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4" sheetId="1" r:id="rId5"/>
    <sheet state="visible" name="Paper Batch Issues_conflict2120" sheetId="2" r:id="rId6"/>
    <sheet state="visible" name="Paper Batches" sheetId="3" r:id="rId7"/>
    <sheet state="visible" name="Paper Batch Issues" sheetId="4" r:id="rId8"/>
    <sheet state="visible" name="Stock Adjustments" sheetId="5" r:id="rId9"/>
    <sheet state="visible" name="GRN" sheetId="6" r:id="rId10"/>
    <sheet state="visible" name="Item Record Check" sheetId="7" r:id="rId11"/>
    <sheet state="visible" name="InOut (Manual)" sheetId="8" r:id="rId12"/>
    <sheet state="visible" name="Sheet30" sheetId="9" r:id="rId13"/>
    <sheet state="visible" name="Stock Image" sheetId="10" r:id="rId14"/>
    <sheet state="visible" name="Form responses 2" sheetId="11" r:id="rId15"/>
    <sheet state="visible" name="Item List" sheetId="12" r:id="rId16"/>
    <sheet state="visible" name="Stock Report" sheetId="13" r:id="rId17"/>
    <sheet state="visible" name="Stock Intelligence" sheetId="14" r:id="rId18"/>
    <sheet state="visible" name="Reorder" sheetId="15" r:id="rId19"/>
    <sheet state="visible" name="Usage Of Stock" sheetId="16" r:id="rId20"/>
    <sheet state="visible" name="IMS" sheetId="17" r:id="rId21"/>
    <sheet state="visible" name="Dealer-Details" sheetId="18" r:id="rId22"/>
    <sheet state="visible" name="Notice" sheetId="19" r:id="rId23"/>
    <sheet state="hidden" name="Printoutlayout" sheetId="20" r:id="rId24"/>
    <sheet state="hidden" name="Auto Stock Matchup" sheetId="21" r:id="rId25"/>
    <sheet state="hidden" name="manualfill-" sheetId="22" r:id="rId26"/>
    <sheet state="hidden" name="InOut (Form)" sheetId="23" r:id="rId27"/>
    <sheet state="hidden" name="Reorder History" sheetId="24" r:id="rId28"/>
    <sheet state="visible" name="DropDown List" sheetId="25" r:id="rId29"/>
    <sheet state="hidden" name="CFG_CODES" sheetId="26" r:id="rId30"/>
  </sheets>
  <definedNames>
    <definedName name="stock">'Item List'!$B$2:$H$248</definedName>
    <definedName name="Category">'Item List'!$A$2:$A$248</definedName>
    <definedName hidden="1" localSheetId="11" name="_xlnm._FilterDatabase">'Item List'!$A$1:$I$995</definedName>
    <definedName hidden="1" localSheetId="13" name="_xlnm._FilterDatabase">'Stock Intelligence'!$A$1:$L$409</definedName>
  </definedNames>
  <calcPr/>
</workbook>
</file>

<file path=xl/sharedStrings.xml><?xml version="1.0" encoding="utf-8"?>
<sst xmlns="http://schemas.openxmlformats.org/spreadsheetml/2006/main" count="49796" uniqueCount="3020">
  <si>
    <t>Batch ID</t>
  </si>
  <si>
    <t>Issue ID</t>
  </si>
  <si>
    <t>Date Received</t>
  </si>
  <si>
    <t>Timestamp</t>
  </si>
  <si>
    <t>SKU</t>
  </si>
  <si>
    <t>Item Name</t>
  </si>
  <si>
    <t>Unit</t>
  </si>
  <si>
    <t>Qty Received</t>
  </si>
  <si>
    <t>Qty Issued</t>
  </si>
  <si>
    <t>Job Ref</t>
  </si>
  <si>
    <t>Remaining Qty</t>
  </si>
  <si>
    <t>Department</t>
  </si>
  <si>
    <t>Status</t>
  </si>
  <si>
    <t>Remark</t>
  </si>
  <si>
    <t>Entered By</t>
  </si>
  <si>
    <t>GRN ID</t>
  </si>
  <si>
    <t>OPEN-P-SBS-003</t>
  </si>
  <si>
    <t>I-260806-112725-0</t>
  </si>
  <si>
    <t>P-SBS-003</t>
  </si>
  <si>
    <t>OPEN-CH-SOL-116</t>
  </si>
  <si>
    <t>Sbs Paper 23X36 300Gsm White</t>
  </si>
  <si>
    <t>CH-SOL-116</t>
  </si>
  <si>
    <t>Sheet</t>
  </si>
  <si>
    <t>Nova Nol Xtra</t>
  </si>
  <si>
    <t>Offset Printing</t>
  </si>
  <si>
    <t>Active</t>
  </si>
  <si>
    <t>unknown</t>
  </si>
  <si>
    <t>Opening balance — seeded from IMS closing stock</t>
  </si>
  <si>
    <t>system</t>
  </si>
  <si>
    <t>I-260807-131121-0</t>
  </si>
  <si>
    <t>OPEN-P-SBS-005</t>
  </si>
  <si>
    <t>GRN-260807-110449-L2</t>
  </si>
  <si>
    <t>C-COA-110</t>
  </si>
  <si>
    <t>P-SBS-005</t>
  </si>
  <si>
    <t>Radicure Textured Duct Matt</t>
  </si>
  <si>
    <t>Sbs Paper 23X39 325Gsm</t>
  </si>
  <si>
    <t>Post-Press / Finishing</t>
  </si>
  <si>
    <t>NEW MATERIAL TESTING</t>
  </si>
  <si>
    <t>I-260807-131121-1</t>
  </si>
  <si>
    <t>OPEN-P-SBS-007</t>
  </si>
  <si>
    <t>GRN-260807-130931-L1</t>
  </si>
  <si>
    <t>P-SBS-007</t>
  </si>
  <si>
    <t>Sbs Paper 25X36 325Gsm Cream</t>
  </si>
  <si>
    <t>I-260807-132102-0</t>
  </si>
  <si>
    <t>OPEN-I-PAN-273</t>
  </si>
  <si>
    <t>I-PAN-273</t>
  </si>
  <si>
    <t>OPEN-P-SBS-009</t>
  </si>
  <si>
    <t>Inkstylo pan 271C</t>
  </si>
  <si>
    <t>P-SBS-009</t>
  </si>
  <si>
    <t>Sbs Paper 31.5X41.5 350Gsm Cream</t>
  </si>
  <si>
    <t>JOB CLOUD KISS</t>
  </si>
  <si>
    <t>I-260807-145250-0</t>
  </si>
  <si>
    <t>OPEN-P-SBS-399</t>
  </si>
  <si>
    <t>P-SBS-399</t>
  </si>
  <si>
    <t>SBS 20X38 345Gsm</t>
  </si>
  <si>
    <t>OPEN-P-SBS-010</t>
  </si>
  <si>
    <t>Pre-Press</t>
  </si>
  <si>
    <t>P-SBS-010</t>
  </si>
  <si>
    <t>Sbs Paper 26X38 345Gsm Cream</t>
  </si>
  <si>
    <t>I-260820-170231-0</t>
  </si>
  <si>
    <t>GRN-260820-145704-L1</t>
  </si>
  <si>
    <t>P-SBS-330</t>
  </si>
  <si>
    <t>Sbs Paper 25X30 325Gsm Cream</t>
  </si>
  <si>
    <t>OPEN-P-SBS-012</t>
  </si>
  <si>
    <t>LONG STAY</t>
  </si>
  <si>
    <t>P-SBS-012</t>
  </si>
  <si>
    <t>CLEAR-</t>
  </si>
  <si>
    <t>Sbs Paper 22X32 300Gsm Cream</t>
  </si>
  <si>
    <t>I-260820-170315-0</t>
  </si>
  <si>
    <t>GRN-260803-153646-L1</t>
  </si>
  <si>
    <t>P-SBS-385</t>
  </si>
  <si>
    <t>Sbs Paper 22X28 290Gsm</t>
  </si>
  <si>
    <t>OPEN-P-SBS-015</t>
  </si>
  <si>
    <t>DAP INNER</t>
  </si>
  <si>
    <t>P-SBS-015</t>
  </si>
  <si>
    <t xml:space="preserve">Sbs Paper 22X28 320Gsm </t>
  </si>
  <si>
    <t>I-260820-170409-0</t>
  </si>
  <si>
    <t>Exhausted</t>
  </si>
  <si>
    <t>GRN-260803-153646-L3</t>
  </si>
  <si>
    <t>P-SBS-346</t>
  </si>
  <si>
    <t>SBS Board 23X36 325Gsm</t>
  </si>
  <si>
    <t>4 IN 1 PRIMER, VML</t>
  </si>
  <si>
    <t>OPEN-P-SBS-016</t>
  </si>
  <si>
    <t>P-SBS-016</t>
  </si>
  <si>
    <t>Sbs Paper 25X30 320Gsm Cream</t>
  </si>
  <si>
    <t>I-260820-171506-0</t>
  </si>
  <si>
    <t>GRN-260803-153646-L2</t>
  </si>
  <si>
    <t>P-SBS-393</t>
  </si>
  <si>
    <t>Sbs Paper 28X40 325Gsm</t>
  </si>
  <si>
    <t>OPEN-P-SBS-018</t>
  </si>
  <si>
    <t xml:space="preserve">RED RICE </t>
  </si>
  <si>
    <t>P-SBS-018</t>
  </si>
  <si>
    <t xml:space="preserve">Sbs Paper 25X36 300Gsm </t>
  </si>
  <si>
    <t>I-260820-171510-0</t>
  </si>
  <si>
    <t>GRN-260803-153646-L4</t>
  </si>
  <si>
    <t>P-SBS-277</t>
  </si>
  <si>
    <t>OPEN-P-SBS-019</t>
  </si>
  <si>
    <t>Sbs Paper 31.5X41.5 330 Gsm</t>
  </si>
  <si>
    <t>P-SBS-019</t>
  </si>
  <si>
    <t>Sbs Paper 24X27 300Gsm White</t>
  </si>
  <si>
    <t>RED RICE SYRUM</t>
  </si>
  <si>
    <t>I-260820-171514-0</t>
  </si>
  <si>
    <t>OPEN-P-SBS-020</t>
  </si>
  <si>
    <t>GRN-260814-140908-L1</t>
  </si>
  <si>
    <t>P-SBS-020</t>
  </si>
  <si>
    <t>P-SBS-037</t>
  </si>
  <si>
    <t>Sbs Paper 31.5X41.5 380Gsm Cream</t>
  </si>
  <si>
    <t>Sbs Paper 21X36 325Gsm Cream</t>
  </si>
  <si>
    <t>TONER AND CLOUD KISS</t>
  </si>
  <si>
    <t>SKU CODE</t>
  </si>
  <si>
    <t>4 PKT TONER, 10 PKT CLOUD KISS</t>
  </si>
  <si>
    <t>OPEN-P-SBS-021</t>
  </si>
  <si>
    <t>I-260820-171519-0</t>
  </si>
  <si>
    <t>P-SBS-021</t>
  </si>
  <si>
    <t>GRN-260814-140908-L2</t>
  </si>
  <si>
    <t>Sbs Paper 25X31 330Gsm White</t>
  </si>
  <si>
    <t>HYDRASHINE</t>
  </si>
  <si>
    <t xml:space="preserve">ITEM NAME </t>
  </si>
  <si>
    <t>OPEN-P-SBS-023</t>
  </si>
  <si>
    <t>I-260820-171524-0</t>
  </si>
  <si>
    <t>P-SBS-023</t>
  </si>
  <si>
    <t>Sbs Paper 22X31 340Gsm Cream</t>
  </si>
  <si>
    <t>GRN-260814-140908-L3</t>
  </si>
  <si>
    <t>P-SBS-326</t>
  </si>
  <si>
    <t>Sbs Paper 22X32 325Gsm</t>
  </si>
  <si>
    <t>IMAGE</t>
  </si>
  <si>
    <t>PRIMER GEL</t>
  </si>
  <si>
    <t>OPEN-P-SBS-024</t>
  </si>
  <si>
    <t>P-SBS-024</t>
  </si>
  <si>
    <t>I-260820-171528-0</t>
  </si>
  <si>
    <t>Sbs Paper 25X33 325Gsm Cream</t>
  </si>
  <si>
    <t>GRN-260814-140908-L4</t>
  </si>
  <si>
    <t xml:space="preserve">GLOW EDIT AND PORE REFINER GOLD </t>
  </si>
  <si>
    <t>OPEN-P-SBS-025</t>
  </si>
  <si>
    <t>4PKT 8PKT</t>
  </si>
  <si>
    <t>P-SBS-025</t>
  </si>
  <si>
    <t>Sbs Paper 20.75X32 320Gsm Cream</t>
  </si>
  <si>
    <t>I-260820-171532-0</t>
  </si>
  <si>
    <t>GRN-260814-140243-L1</t>
  </si>
  <si>
    <t>P-SBS-191</t>
  </si>
  <si>
    <t>SBS 23X36 345Gsm</t>
  </si>
  <si>
    <t xml:space="preserve">WHITE-GRIP AND STYLE </t>
  </si>
  <si>
    <t>OPEN-P-SBS-026</t>
  </si>
  <si>
    <t>P-SBS-026</t>
  </si>
  <si>
    <t>Sbs Paper 22.5X34 195Gsm White</t>
  </si>
  <si>
    <t>I-260820-171536-0</t>
  </si>
  <si>
    <t>GRN-260814-140243-L2</t>
  </si>
  <si>
    <t>P-SBS-230</t>
  </si>
  <si>
    <t>Sbs Paper 28X40 350Gsm</t>
  </si>
  <si>
    <t>OJB BB CREAM</t>
  </si>
  <si>
    <t>12PKT AND 4 PKT OLD PAPER</t>
  </si>
  <si>
    <t>OPEN-P-SBS-030</t>
  </si>
  <si>
    <t>P-SBS-030</t>
  </si>
  <si>
    <t>I-260820-171540-0</t>
  </si>
  <si>
    <t>Sbs Paper 18X24 326Gsm Cream</t>
  </si>
  <si>
    <t>GRN-260814-140243-L3</t>
  </si>
  <si>
    <t>https://drive.google.com/open?id=15OalsFpwAjmWweTsFYgxHVJwlHVUOrfW</t>
  </si>
  <si>
    <t>FOTTY NOTTY</t>
  </si>
  <si>
    <t>OPEN-P-SBS-031</t>
  </si>
  <si>
    <t>P-SBS-031</t>
  </si>
  <si>
    <t>I-260820-171544-0</t>
  </si>
  <si>
    <t>Sbs Paper 28X27.5 350Gsm Cream</t>
  </si>
  <si>
    <t>GRN-260814-140243-L5</t>
  </si>
  <si>
    <t>P-SBS-352</t>
  </si>
  <si>
    <t>SBS 22x32 290Gsm</t>
  </si>
  <si>
    <t>HAIR TOUCH UP</t>
  </si>
  <si>
    <t>OPEN-P-SBS-033</t>
  </si>
  <si>
    <t>P-SBS-033</t>
  </si>
  <si>
    <t>Sbs Paper 25X38 330Gsm Cream</t>
  </si>
  <si>
    <t>I-260820-171548-0</t>
  </si>
  <si>
    <t>GRN-260814-135007-L1</t>
  </si>
  <si>
    <t>P-DUP-192</t>
  </si>
  <si>
    <t>Duplex 31.5X41.5 300Gsm White Back</t>
  </si>
  <si>
    <t>3PIN 6AMP</t>
  </si>
  <si>
    <t>OPEN-P-SBS-034</t>
  </si>
  <si>
    <t>P-SBS-034</t>
  </si>
  <si>
    <t>Sbs Paper 28X40 230Gsm Cream</t>
  </si>
  <si>
    <t>I-260820-171552-0</t>
  </si>
  <si>
    <t>GRN-260814-135007-L2</t>
  </si>
  <si>
    <t>P-DUP-055</t>
  </si>
  <si>
    <t>Duplex 23X36 300Gsm Gray Back</t>
  </si>
  <si>
    <t>OPEN-P-SBS-036</t>
  </si>
  <si>
    <t>SKY ENGINE VALVES OUTER</t>
  </si>
  <si>
    <t>P-SBS-036</t>
  </si>
  <si>
    <t>Sbs Paper 20X26 340Gsm Cream</t>
  </si>
  <si>
    <t>I-260820-171556-0</t>
  </si>
  <si>
    <t>GRN-260814-135007-L4</t>
  </si>
  <si>
    <t>P-DUP-355</t>
  </si>
  <si>
    <t>Duplex 22X32 300Gsm Gray Back</t>
  </si>
  <si>
    <t>OPEN-P-ART-039</t>
  </si>
  <si>
    <t>13W MARVEL</t>
  </si>
  <si>
    <t>P-ART-039</t>
  </si>
  <si>
    <t>Art Card 26X38 350Gsm</t>
  </si>
  <si>
    <t>I-260820-171601-0</t>
  </si>
  <si>
    <t>OPEN-P-SBS-040</t>
  </si>
  <si>
    <t>GRN-260814-134220-L1</t>
  </si>
  <si>
    <t>CCP</t>
  </si>
  <si>
    <t>P-SBS-040</t>
  </si>
  <si>
    <t>Sbs Paper 28X35 350Gsm Cream</t>
  </si>
  <si>
    <t>I-260820-171606-0</t>
  </si>
  <si>
    <t>GRN-260814-133526-L1</t>
  </si>
  <si>
    <t>P-SBS-004</t>
  </si>
  <si>
    <t>Sbs Paper 23X39 350Gsm</t>
  </si>
  <si>
    <t>FERRO NAUTRAL</t>
  </si>
  <si>
    <t>OPEN-P-OTH-041</t>
  </si>
  <si>
    <t>P-OTH-041</t>
  </si>
  <si>
    <t>Sona Paper 25X36 300Gsm</t>
  </si>
  <si>
    <t>I-260820-171610-0</t>
  </si>
  <si>
    <t>GRN-260814-133526-L2</t>
  </si>
  <si>
    <t>OPEN-P-ART-044</t>
  </si>
  <si>
    <t>LTP OUTER, SAUCER 5PACKET</t>
  </si>
  <si>
    <t>P-ART-044</t>
  </si>
  <si>
    <t>Art Paper 20X30 150Gsm</t>
  </si>
  <si>
    <t>I-260820-171614-0</t>
  </si>
  <si>
    <t>GRN-260814-133526-L3</t>
  </si>
  <si>
    <t>P-SBS-296</t>
  </si>
  <si>
    <t>Sbs Paper 25X30 330Gsm</t>
  </si>
  <si>
    <t>OPEN-P-ART-045</t>
  </si>
  <si>
    <t>P-ART-045</t>
  </si>
  <si>
    <t>Art Paper 30X40 128Gsm</t>
  </si>
  <si>
    <t>I-260820-171618-0</t>
  </si>
  <si>
    <t>GRN-260814-133835-L1</t>
  </si>
  <si>
    <t>A-TAP-129</t>
  </si>
  <si>
    <t>P-SBS-400</t>
  </si>
  <si>
    <t>Sbs Paper 28X40 290Gsm</t>
  </si>
  <si>
    <t>OPEN-P-MAP-047</t>
  </si>
  <si>
    <t>JOB HR GOLD, PAPAYA</t>
  </si>
  <si>
    <t>P-MAP-047</t>
  </si>
  <si>
    <t>Mapletho 28X40 100Gsm</t>
  </si>
  <si>
    <t>I-260820-171623-0</t>
  </si>
  <si>
    <t>At 2/65 Self Adhesive Tape Brown</t>
  </si>
  <si>
    <t>GRN-260814-135530-L1</t>
  </si>
  <si>
    <t>OPEN-P-DUP-048</t>
  </si>
  <si>
    <t>SILKVEIL</t>
  </si>
  <si>
    <t>P-DUP-048</t>
  </si>
  <si>
    <t>Duplex 28X35 300Gsm Gray Back</t>
  </si>
  <si>
    <t>https://drive.google.com/open?id=1eoarVdSIW-FWXvjJ5IlP87HNQeICGb7a</t>
  </si>
  <si>
    <t>I-260820-171627-0</t>
  </si>
  <si>
    <t>GRN-260814-135530-L2</t>
  </si>
  <si>
    <t>OPEN-P-DUP-049</t>
  </si>
  <si>
    <t>P-DUP-049</t>
  </si>
  <si>
    <t>Duplex 28X35 350Gsm Gray Back</t>
  </si>
  <si>
    <t>SPF</t>
  </si>
  <si>
    <t>I-260820-171635-0</t>
  </si>
  <si>
    <t>OPEN-P-DUP-051</t>
  </si>
  <si>
    <t>P-DUP-051</t>
  </si>
  <si>
    <t>Duplex 36X38 300Gsm Gray Back</t>
  </si>
  <si>
    <t>GRN-260814-135530-L3</t>
  </si>
  <si>
    <t>HD FOUNDATION</t>
  </si>
  <si>
    <t>OPEN-P-DUP-052</t>
  </si>
  <si>
    <t>P-DUP-052</t>
  </si>
  <si>
    <t>I-260820-171639-0</t>
  </si>
  <si>
    <t>Duplex 31X41 350Gsm White Back</t>
  </si>
  <si>
    <t>GRN-260814-135530-L5</t>
  </si>
  <si>
    <t>OPEN-P-DUP-053</t>
  </si>
  <si>
    <t>8W SCREW</t>
  </si>
  <si>
    <t>P-DUP-053</t>
  </si>
  <si>
    <t>Duplex 28X40 300Gsm White Back</t>
  </si>
  <si>
    <t>I-260820-171956-0</t>
  </si>
  <si>
    <t>OPEN-P-DUP-056</t>
  </si>
  <si>
    <t>GRN-260814-135530-L4</t>
  </si>
  <si>
    <t>P-DUP-056</t>
  </si>
  <si>
    <t>Duplex 22X32 300Gsm White Back</t>
  </si>
  <si>
    <t xml:space="preserve">SAUCER, SPACE SHIP AND STAR </t>
  </si>
  <si>
    <t>OPEN-P-DUP-057</t>
  </si>
  <si>
    <t>I-260821-131047-0</t>
  </si>
  <si>
    <t>P-DUP-057</t>
  </si>
  <si>
    <t>OPEN-I-CMY-228</t>
  </si>
  <si>
    <t>Duplex 23X36 250Gsm Gray Back</t>
  </si>
  <si>
    <t>I-CMY-228</t>
  </si>
  <si>
    <t>Radicure Led 100000 PRO CYAN</t>
  </si>
  <si>
    <t>A-TAP-126</t>
  </si>
  <si>
    <t>OPEN-P-SBS-058</t>
  </si>
  <si>
    <t>I-260821-131108-0</t>
  </si>
  <si>
    <t>P-SBS-058</t>
  </si>
  <si>
    <t>OPEN-I-CMY-225</t>
  </si>
  <si>
    <t>Sbs Paper 28X33 330Gsm Cream</t>
  </si>
  <si>
    <t>At 1/65 Self Adhesive Tape Brown</t>
  </si>
  <si>
    <t>I-CMY-225</t>
  </si>
  <si>
    <t>Radicure Led 100000 PRO YELLOW</t>
  </si>
  <si>
    <t>OPEN-P-SBS-060</t>
  </si>
  <si>
    <t>I-260821-131145-0</t>
  </si>
  <si>
    <t>https://drive.google.com/open?id=1eCiRaaTGtTtap2W2KO_o_uMkF6xE5VKn</t>
  </si>
  <si>
    <t>P-SBS-060</t>
  </si>
  <si>
    <t>Sbs Paper 28X40 275Gsm Cream</t>
  </si>
  <si>
    <t>OPEN-I-CMY-061</t>
  </si>
  <si>
    <t>I-260821-131145-1</t>
  </si>
  <si>
    <t>I-CMY-061</t>
  </si>
  <si>
    <t>Universal Plus Black Ink</t>
  </si>
  <si>
    <t>CORR-260820-182625</t>
  </si>
  <si>
    <t>Kg</t>
  </si>
  <si>
    <t>OPEN-I-CMY-062</t>
  </si>
  <si>
    <t>I-CMY-062</t>
  </si>
  <si>
    <t>I-260822-101638-0</t>
  </si>
  <si>
    <t>Universal Plus Cyan Ink</t>
  </si>
  <si>
    <t>hybrid uv-</t>
  </si>
  <si>
    <t>OPEN-I-CMY-063</t>
  </si>
  <si>
    <t>I-CMY-063</t>
  </si>
  <si>
    <t>Universal Plus Magenta</t>
  </si>
  <si>
    <t>I-260825-154240-0</t>
  </si>
  <si>
    <t>OPEN-M-DHO-165</t>
  </si>
  <si>
    <t>M-DHO-165</t>
  </si>
  <si>
    <t>Dhoti</t>
  </si>
  <si>
    <t>OPEN-I-CMY-064</t>
  </si>
  <si>
    <t>I-CMY-064</t>
  </si>
  <si>
    <t>I-260825-183145-0</t>
  </si>
  <si>
    <t>Universal Plus Yellow</t>
  </si>
  <si>
    <t>GRN-260814-133835-L2</t>
  </si>
  <si>
    <t>P-SBS-310</t>
  </si>
  <si>
    <t>sbs 23X36 350Gsm</t>
  </si>
  <si>
    <t>KAPIVA</t>
  </si>
  <si>
    <t>OPEN-I-CMY-067</t>
  </si>
  <si>
    <t>A-TAP-130</t>
  </si>
  <si>
    <t>I-260825-183150-0</t>
  </si>
  <si>
    <t>I-CMY-067</t>
  </si>
  <si>
    <t>InstaCure 501 Flashdry Led Pr Magenta</t>
  </si>
  <si>
    <t>GRN-260820-150132-L1</t>
  </si>
  <si>
    <t>P-SBS-406</t>
  </si>
  <si>
    <t>SBS 20X38 325GSM CREAM</t>
  </si>
  <si>
    <t>Ft 4 Self Adhesive D/S Foam Tape 24 Mm</t>
  </si>
  <si>
    <t>EFFLAIR</t>
  </si>
  <si>
    <t>11pkt and 3 pkt</t>
  </si>
  <si>
    <t>OPEN-I-CMY-068</t>
  </si>
  <si>
    <t>I-CMY-068</t>
  </si>
  <si>
    <t>I-260825-183156-0</t>
  </si>
  <si>
    <t>InstaCure 501 Flashdry Led Pr Yellow</t>
  </si>
  <si>
    <t>https://drive.google.com/open?id=15lm7cnf-ZJVrn1bQo0j3P8XIX3gtbW1v</t>
  </si>
  <si>
    <t>GRN-260820-190621-L1</t>
  </si>
  <si>
    <t>P-SBS-408</t>
  </si>
  <si>
    <t>SBS 23X36 290GSM CREAM</t>
  </si>
  <si>
    <t>OPEN-I-CMY-069</t>
  </si>
  <si>
    <t>job jati</t>
  </si>
  <si>
    <t>I-CMY-069</t>
  </si>
  <si>
    <t>InstaCure 501 Flashdry Led - Pr Cyan</t>
  </si>
  <si>
    <t>I-260825-183201-0</t>
  </si>
  <si>
    <t>GRN-260820-190757-L1</t>
  </si>
  <si>
    <t>I-260826-161624-0</t>
  </si>
  <si>
    <t>OPEN-I-CMY-070</t>
  </si>
  <si>
    <t>I-CMY-070</t>
  </si>
  <si>
    <t>GRN-260814-140243-L4</t>
  </si>
  <si>
    <t>Sicura Smartcure Uv - Led Pr Cyan</t>
  </si>
  <si>
    <t>P-SBS-189</t>
  </si>
  <si>
    <t>SBS Paper 22X28 345Gsm</t>
  </si>
  <si>
    <t>BUD CAJ</t>
  </si>
  <si>
    <t>I-260826-161633-0</t>
  </si>
  <si>
    <t>OPEN-I-CMY-071</t>
  </si>
  <si>
    <t>GRN-260825-193128-L1</t>
  </si>
  <si>
    <t>P-SBS-013</t>
  </si>
  <si>
    <t>I-CMY-071</t>
  </si>
  <si>
    <t>Sbs Paper 22X28 330Gsm White</t>
  </si>
  <si>
    <t>Sicura Smartcure Uv - Led Pr Magenta</t>
  </si>
  <si>
    <t>UREA FOOT CREAM</t>
  </si>
  <si>
    <t>I-260826-183609-0</t>
  </si>
  <si>
    <t>OPEN-I-CMY-072</t>
  </si>
  <si>
    <t>GRN-260820-182215-L1</t>
  </si>
  <si>
    <t>I-CMY-072</t>
  </si>
  <si>
    <t>P-SBS-407</t>
  </si>
  <si>
    <t>Sicura Smartcure Uv - Led Pr Yellow</t>
  </si>
  <si>
    <t>SPECIAL PAPER 23X35.8 300GSM</t>
  </si>
  <si>
    <t>CET-CET-131</t>
  </si>
  <si>
    <t>Multani - outlet PS card</t>
  </si>
  <si>
    <t>I-260826-183617-0</t>
  </si>
  <si>
    <t>OPEN-I-CMY-073</t>
  </si>
  <si>
    <t>GRN-260825-183711-L2</t>
  </si>
  <si>
    <t>I-CMY-073</t>
  </si>
  <si>
    <t>P-DUP-054</t>
  </si>
  <si>
    <t>Sicura Smartcure Uv - Led Pr Black</t>
  </si>
  <si>
    <t>Duplex 26X38 300Gsm Gray Back</t>
  </si>
  <si>
    <t>3X3 HAV</t>
  </si>
  <si>
    <t>12pkt + 8pkt</t>
  </si>
  <si>
    <t>Ceta</t>
  </si>
  <si>
    <t>OPEN-I-PAN-074</t>
  </si>
  <si>
    <t>I-260827-140730-0</t>
  </si>
  <si>
    <t>I-PAN-074</t>
  </si>
  <si>
    <t>GRN-260827-140051-L1</t>
  </si>
  <si>
    <t>Pan 520c</t>
  </si>
  <si>
    <t>3X3 STANDARD</t>
  </si>
  <si>
    <t>https://drive.google.com/open?id=1z_asE2y1Wsu7Y8AhQgJDh-KtHwJrvxk7</t>
  </si>
  <si>
    <t>1440 IN STANDAND AND 2 GROSS IN PLAIN</t>
  </si>
  <si>
    <t>OPEN-I-PAN-075</t>
  </si>
  <si>
    <t>I-260827-140738-0</t>
  </si>
  <si>
    <t>I-PAN-075</t>
  </si>
  <si>
    <t>Pan 1777c</t>
  </si>
  <si>
    <t>GRN-260827-135604-L1</t>
  </si>
  <si>
    <t>3X3 PLAIN</t>
  </si>
  <si>
    <t>+2 GROSS IN FROM STANDARD</t>
  </si>
  <si>
    <t>OPEN-I-PAN-076</t>
  </si>
  <si>
    <t>I-PAN-076</t>
  </si>
  <si>
    <t>Pan 295c</t>
  </si>
  <si>
    <t>OPEN-I-PAN-077</t>
  </si>
  <si>
    <t>I-PAN-077</t>
  </si>
  <si>
    <t>Pan 429c</t>
  </si>
  <si>
    <t>I-260827-140748-0</t>
  </si>
  <si>
    <t>GRN-260814-134220-L2</t>
  </si>
  <si>
    <t>OPEN-I-PAN-078</t>
  </si>
  <si>
    <t>ENERVIVE</t>
  </si>
  <si>
    <t>I-PAN-078</t>
  </si>
  <si>
    <t xml:space="preserve">2PKT MORE </t>
  </si>
  <si>
    <t>Pan 326c</t>
  </si>
  <si>
    <t>I-260827-140756-0</t>
  </si>
  <si>
    <t>GRN-260827-135001-L1</t>
  </si>
  <si>
    <t>OPEN-I-PAN-079</t>
  </si>
  <si>
    <t>I-PAN-079</t>
  </si>
  <si>
    <t>osteact and fertilina</t>
  </si>
  <si>
    <t>Pan 7505c</t>
  </si>
  <si>
    <t>+2PKT MORE</t>
  </si>
  <si>
    <t>CH-GUM-135</t>
  </si>
  <si>
    <t>I-260827-140805-0</t>
  </si>
  <si>
    <t>GRN-260827-135001-L3</t>
  </si>
  <si>
    <t>Protection Gum</t>
  </si>
  <si>
    <t>enervive and muli</t>
  </si>
  <si>
    <t>6PKT +2 PKT</t>
  </si>
  <si>
    <t>I-260827-140813-0</t>
  </si>
  <si>
    <t>https://drive.google.com/open?id=1l796wJNfFv_yKYCpNrSKFl7LHFAPYgXm</t>
  </si>
  <si>
    <t>GRN-260827-135001-L6</t>
  </si>
  <si>
    <t>P-ART-374</t>
  </si>
  <si>
    <t>ART PAPER 23X36 128Gsm</t>
  </si>
  <si>
    <t>OPEN-I-PAN-080</t>
  </si>
  <si>
    <t>FRUIT CREAM AND ALMOND</t>
  </si>
  <si>
    <t>I-PAN-080</t>
  </si>
  <si>
    <t>PLUS 100 EXTRA</t>
  </si>
  <si>
    <t>Pan 185c</t>
  </si>
  <si>
    <t>I-260827-140821-0</t>
  </si>
  <si>
    <t>GRN-260827-135231-L2</t>
  </si>
  <si>
    <t>P-MAP-347</t>
  </si>
  <si>
    <t>Mapletho 20X30 80Gsm</t>
  </si>
  <si>
    <t>OPEN-I-PAN-081</t>
  </si>
  <si>
    <t>INSERT MULI ENERVIVE</t>
  </si>
  <si>
    <t>I-PAN-081</t>
  </si>
  <si>
    <t>PLUS 700 SHEET</t>
  </si>
  <si>
    <t>Pan 377c</t>
  </si>
  <si>
    <t>I-260831-160441-0</t>
  </si>
  <si>
    <t>OPEN-I-PAN-082</t>
  </si>
  <si>
    <t>I-PAN-082</t>
  </si>
  <si>
    <t>Pan 3125c</t>
  </si>
  <si>
    <t>I-260901-154051-0</t>
  </si>
  <si>
    <t>OPEN-I-PAN-083</t>
  </si>
  <si>
    <t>I-PAN-083</t>
  </si>
  <si>
    <t>Pan 021c</t>
  </si>
  <si>
    <t>OPEN-I-PAN-084</t>
  </si>
  <si>
    <t>I-260901-154100-0</t>
  </si>
  <si>
    <t>I-PAN-084</t>
  </si>
  <si>
    <t>015 jss Orange</t>
  </si>
  <si>
    <t>CH-ADH-139</t>
  </si>
  <si>
    <t>GRN-260820-145704-L2</t>
  </si>
  <si>
    <t>used in coloressence kit</t>
  </si>
  <si>
    <t>Roller Paste-Glazekeen Hydromac</t>
  </si>
  <si>
    <t>OPEN-I-PAN-085</t>
  </si>
  <si>
    <t>⚠ Pulled from Job "KOREAN GLASS" (job "used in coloressence kit" had none of its own left)</t>
  </si>
  <si>
    <t>I-PAN-085</t>
  </si>
  <si>
    <t>Biocon Red</t>
  </si>
  <si>
    <t>I-260901-154106-0</t>
  </si>
  <si>
    <t>GRN-260827-135001-L2</t>
  </si>
  <si>
    <t>https://drive.google.com/open?id=1aH3j5AIBXWQspgvXJeChlmLCXHTPFZWf</t>
  </si>
  <si>
    <t>OPEN-I-PAN-086</t>
  </si>
  <si>
    <t>8w screw conceal</t>
  </si>
  <si>
    <t>I-PAN-086</t>
  </si>
  <si>
    <t>Pan 3262c</t>
  </si>
  <si>
    <t>I-260901-154113-0</t>
  </si>
  <si>
    <t>GRN-260827-135001-L4</t>
  </si>
  <si>
    <t>OPEN-I-PAN-087</t>
  </si>
  <si>
    <t>I-PAN-087</t>
  </si>
  <si>
    <t>Pan 188c</t>
  </si>
  <si>
    <t>⚠ Pulled from Job "korean" (job "used in coloressence kit" had none of its own left)</t>
  </si>
  <si>
    <t>I-260901-154123-0</t>
  </si>
  <si>
    <t>GRN-260827-135231-L1</t>
  </si>
  <si>
    <t>OPEN-I-PAN-088</t>
  </si>
  <si>
    <t>I-PAN-088</t>
  </si>
  <si>
    <t>MULTANI OUTLET OUTER</t>
  </si>
  <si>
    <t>I-260901-154131-0</t>
  </si>
  <si>
    <t>OPEN-I-PAN-089</t>
  </si>
  <si>
    <t>GRN-260831-155325-L1</t>
  </si>
  <si>
    <t>P-OTH-412</t>
  </si>
  <si>
    <t>I-PAN-089</t>
  </si>
  <si>
    <t>17718|Philips Blue</t>
  </si>
  <si>
    <t>safire graphik 25X36 350Gsm</t>
  </si>
  <si>
    <t>REVLON</t>
  </si>
  <si>
    <t>I-260901-154138-0</t>
  </si>
  <si>
    <t>OPEN-I-PAN-090</t>
  </si>
  <si>
    <t>GRN-260901-140314-L2</t>
  </si>
  <si>
    <t>I-PAN-090</t>
  </si>
  <si>
    <t>P-DUP-414</t>
  </si>
  <si>
    <t>Kajal Red</t>
  </si>
  <si>
    <t>DUPLEX 22X32 350Gsm G/B</t>
  </si>
  <si>
    <t>CH-VAR-141</t>
  </si>
  <si>
    <t>JOB 10W &amp;12W</t>
  </si>
  <si>
    <t>OPEN-I-PAN-091</t>
  </si>
  <si>
    <t>Flash Dry Varnishing-Ultra Shield Duct Gloss</t>
  </si>
  <si>
    <t>I-PAN-091</t>
  </si>
  <si>
    <t>I-260901-154145-0</t>
  </si>
  <si>
    <t>Hans Hotel Dar Brown</t>
  </si>
  <si>
    <t>GRN-260901-140314-L3</t>
  </si>
  <si>
    <t>P-DUP-415</t>
  </si>
  <si>
    <t>DUPLEX 22X28 350Gsm G/B</t>
  </si>
  <si>
    <t>https://drive.google.com/open?id=10ukvEUd_XB-JXOW9hDh_kkk1SQbhAan_</t>
  </si>
  <si>
    <t>JOB 15W &amp;18W</t>
  </si>
  <si>
    <t>OPEN-I-PAN-092</t>
  </si>
  <si>
    <t>I-PAN-092</t>
  </si>
  <si>
    <t>I-260901-155110-0</t>
  </si>
  <si>
    <t>Pan 2088c|Rosemarry matter</t>
  </si>
  <si>
    <t>GRN-260901-154957-L1</t>
  </si>
  <si>
    <t>P-SBS-416</t>
  </si>
  <si>
    <t>SBS 25X33 325Gsm</t>
  </si>
  <si>
    <t>Multani Soap 125g x1</t>
  </si>
  <si>
    <t>OPEN-I-PAN-093</t>
  </si>
  <si>
    <t>I-PAN-093</t>
  </si>
  <si>
    <t>Pan 2085c|Rosemarry ground</t>
  </si>
  <si>
    <t>I-260902-125852-0</t>
  </si>
  <si>
    <t>OPEN-I-PAN-095</t>
  </si>
  <si>
    <t>I-PAN-095</t>
  </si>
  <si>
    <t>Colorosence lip color gold new</t>
  </si>
  <si>
    <t>I-260902-125909-0</t>
  </si>
  <si>
    <t>OPEN-I-PAN-097</t>
  </si>
  <si>
    <t>I-PAN-097</t>
  </si>
  <si>
    <t>I-260902-132741-0</t>
  </si>
  <si>
    <t>Pan 252c|Primer</t>
  </si>
  <si>
    <t>OPEN-CH-SOL-240</t>
  </si>
  <si>
    <t>CH-SOL-240</t>
  </si>
  <si>
    <t>NOVA Fount Nectar</t>
  </si>
  <si>
    <t>OPEN-I-PAN-098</t>
  </si>
  <si>
    <t>I-PAN-098</t>
  </si>
  <si>
    <t>Natyres organic orange</t>
  </si>
  <si>
    <t>I-260902-132813-0</t>
  </si>
  <si>
    <t>CH-SOL-142</t>
  </si>
  <si>
    <t>GRN-260901-134301-L1</t>
  </si>
  <si>
    <t>OPEN-I-PAN-100</t>
  </si>
  <si>
    <t>I-PAN-100</t>
  </si>
  <si>
    <t>Uv Led Charger red</t>
  </si>
  <si>
    <t>Plate Cleaner Normal</t>
  </si>
  <si>
    <t>I-260902-133031-0</t>
  </si>
  <si>
    <t>GRN-260901-143739-L1</t>
  </si>
  <si>
    <t>OPEN-I-PAN-101</t>
  </si>
  <si>
    <t>https://drive.google.com/open?id=1DimIEAfsPMYzV23a30n75iVLHc4TkImo</t>
  </si>
  <si>
    <t>multani soap 125gx3</t>
  </si>
  <si>
    <t>I-PAN-101</t>
  </si>
  <si>
    <t>Uv Led Multani natural gold</t>
  </si>
  <si>
    <t>I-260902-133037-0</t>
  </si>
  <si>
    <t>GRN-260901-140314-L1</t>
  </si>
  <si>
    <t>P-DUP-381</t>
  </si>
  <si>
    <t>DUPLEX 25X30 300GSM G/B</t>
  </si>
  <si>
    <t>OPEN-I-PAN-102</t>
  </si>
  <si>
    <t>COLORESSENCE CARRY BAG</t>
  </si>
  <si>
    <t>I-PAN-102</t>
  </si>
  <si>
    <t>Uv Led Platinum gray</t>
  </si>
  <si>
    <t>I-260902-163858-0</t>
  </si>
  <si>
    <t>GRN-260902-163557-L1</t>
  </si>
  <si>
    <t>P-SBS-027</t>
  </si>
  <si>
    <t>Sbs Paper 28X31 330Gsm Cream</t>
  </si>
  <si>
    <t>OPEN-I-PAN-103</t>
  </si>
  <si>
    <t>8W SUNHERI UDAAN 2.0</t>
  </si>
  <si>
    <t>I-PAN-103</t>
  </si>
  <si>
    <t>Uv Led De-tan Light Brown</t>
  </si>
  <si>
    <t>⚠ Pulled from general stock (job "8W SUNHERI UDAAN 2.0" had none of its own left)</t>
  </si>
  <si>
    <t>I-260903-100521-0</t>
  </si>
  <si>
    <t>OPEN-I-PAN-104</t>
  </si>
  <si>
    <t>I-PAN-104</t>
  </si>
  <si>
    <t>Uv Led Gold yellow</t>
  </si>
  <si>
    <t>Adjustment ID</t>
  </si>
  <si>
    <t>I-260903-100545-0</t>
  </si>
  <si>
    <t>OPEN-I-PAN-105</t>
  </si>
  <si>
    <t>I-PAN-105</t>
  </si>
  <si>
    <t>Uv Led Oshea pink</t>
  </si>
  <si>
    <t>CH-SOL-143</t>
  </si>
  <si>
    <t>I-260903-101317-0</t>
  </si>
  <si>
    <t>Qty Adjusted</t>
  </si>
  <si>
    <t>Reason</t>
  </si>
  <si>
    <t>OPEN-C-COA-106</t>
  </si>
  <si>
    <t>Plate Cleaner UV</t>
  </si>
  <si>
    <t>C-COA-106</t>
  </si>
  <si>
    <t>Gloss Op Link (Print Lack)</t>
  </si>
  <si>
    <t>I-260905-154643-0</t>
  </si>
  <si>
    <t>GRN-260902-163557-L2</t>
  </si>
  <si>
    <t>https://drive.google.com/open?id=1aSPhXsfV7yWwkK7fUWyOt-4VQ1bIAbzS</t>
  </si>
  <si>
    <t>P-SBS-011</t>
  </si>
  <si>
    <t>OPEN-C-COA-107</t>
  </si>
  <si>
    <t>Sbs Paper 22X32 330Gsm Cream</t>
  </si>
  <si>
    <t>C-COA-107</t>
  </si>
  <si>
    <t>High Gloss Op Ink (Print Lack)</t>
  </si>
  <si>
    <t>LTP OUTER</t>
  </si>
  <si>
    <t>OPEN-C-COA-108</t>
  </si>
  <si>
    <t>C-COA-108</t>
  </si>
  <si>
    <t>I-260905-154649-0</t>
  </si>
  <si>
    <t>Acrylac Extra Matt</t>
  </si>
  <si>
    <t>GRN-260902-182546-L1</t>
  </si>
  <si>
    <t>P-SBS-417</t>
  </si>
  <si>
    <t>20X32</t>
  </si>
  <si>
    <t>OPEN-C-COA-109</t>
  </si>
  <si>
    <t>LTP INNER</t>
  </si>
  <si>
    <t>C-COA-109</t>
  </si>
  <si>
    <t>Flex Cure Mt Yellow</t>
  </si>
  <si>
    <t>I-260905-154656-0</t>
  </si>
  <si>
    <t>GRN-260905-154042-L1</t>
  </si>
  <si>
    <t>OPEN-C-COA-110</t>
  </si>
  <si>
    <t>P-SBS-287</t>
  </si>
  <si>
    <t>Sbs Paper 22X28 295Gsm</t>
  </si>
  <si>
    <t>ADJ-260806-114718-0</t>
  </si>
  <si>
    <t>TMB VALVE INNER</t>
  </si>
  <si>
    <t>OPEN-I-PAN-111</t>
  </si>
  <si>
    <t>CH-SOL-144</t>
  </si>
  <si>
    <t>OPEN-CH-SOL-144</t>
  </si>
  <si>
    <t>I-260905-154701-0</t>
  </si>
  <si>
    <t>I-PAN-111</t>
  </si>
  <si>
    <t>Md Cure Violet</t>
  </si>
  <si>
    <t>GRN-260905-154042-L2</t>
  </si>
  <si>
    <t>Benzene</t>
  </si>
  <si>
    <t>OPEN-CH-VAR-112</t>
  </si>
  <si>
    <t>piramal, CCP, FND</t>
  </si>
  <si>
    <t>CH-VAR-112</t>
  </si>
  <si>
    <t xml:space="preserve">Uv Varnish Wet Offset Release </t>
  </si>
  <si>
    <t>https://drive.google.com/open?id=1cOX6jzMdMaAE0EadLM4K1zgyoi0JsG5k</t>
  </si>
  <si>
    <t>I-260905-154707-0</t>
  </si>
  <si>
    <t>GRN-260905-154042-L4</t>
  </si>
  <si>
    <t>OPEN-CH-SOL-113</t>
  </si>
  <si>
    <t>VML</t>
  </si>
  <si>
    <t>CH-SOL-113</t>
  </si>
  <si>
    <t>Area Fumigant Water Disinfectant Solun.</t>
  </si>
  <si>
    <t>Ltr</t>
  </si>
  <si>
    <t>I-260905-172835-0</t>
  </si>
  <si>
    <t>GRN-260825-154328-L1</t>
  </si>
  <si>
    <t>Count Correction</t>
  </si>
  <si>
    <t>PHYSICAL CHECK</t>
  </si>
  <si>
    <t>OPEN-CH-SOL-114</t>
  </si>
  <si>
    <t>CH-SOL-114</t>
  </si>
  <si>
    <t>Classic Multi Wash-HPC 0214/25D21</t>
  </si>
  <si>
    <t>ADJ-260807-110528-0</t>
  </si>
  <si>
    <t>OPEN-CH-SOL-115</t>
  </si>
  <si>
    <t>CH-SOL-115</t>
  </si>
  <si>
    <t>Sodium Hypochlorite 5%</t>
  </si>
  <si>
    <t>I-260905-173208-0</t>
  </si>
  <si>
    <t>GRN-260824-161141-L1</t>
  </si>
  <si>
    <t>2/C</t>
  </si>
  <si>
    <t>⚠ Pulled from general stock (job "2/C" had none of its own left)</t>
  </si>
  <si>
    <t>I-260905-173330-0</t>
  </si>
  <si>
    <t>ADJ-260807-110756</t>
  </si>
  <si>
    <t>GRN-260807-131011-L1</t>
  </si>
  <si>
    <t>CORR-260807-110756</t>
  </si>
  <si>
    <t>Ultra Shield 417 Duct Gloss OP Varnish</t>
  </si>
  <si>
    <t>OPEN-CH-SOL-118</t>
  </si>
  <si>
    <t>A-GLU-160</t>
  </si>
  <si>
    <t>ADJ-260820-182625</t>
  </si>
  <si>
    <t>CH-SOL-118</t>
  </si>
  <si>
    <t>Anti Set off spray</t>
  </si>
  <si>
    <t>I-260905-183536-0</t>
  </si>
  <si>
    <t>Pkt</t>
  </si>
  <si>
    <t>Jelly Glue</t>
  </si>
  <si>
    <t>UPDATE</t>
  </si>
  <si>
    <t>OPEN-A-ADH-119</t>
  </si>
  <si>
    <t>A-ADH-119</t>
  </si>
  <si>
    <t>Fevicol Sr 505</t>
  </si>
  <si>
    <t>ADJ-260820-182657</t>
  </si>
  <si>
    <t>I-260905-184908-0</t>
  </si>
  <si>
    <t>https://drive.google.com/open?id=1Lx8j9w2fSDf5pzQD_wZec7hzhzoFCcc3</t>
  </si>
  <si>
    <t>CORR-260820-182657</t>
  </si>
  <si>
    <t>OPEN-A-TAP-125</t>
  </si>
  <si>
    <t>A-TAP-125</t>
  </si>
  <si>
    <t>Arobond Adhesive</t>
  </si>
  <si>
    <t>Dispatch</t>
  </si>
  <si>
    <t>OPEN-A-TAP-120</t>
  </si>
  <si>
    <t>A-TAP-120</t>
  </si>
  <si>
    <t>Self Adhesive Tissue Tape 10 Mm</t>
  </si>
  <si>
    <t>I-260907-103942-0</t>
  </si>
  <si>
    <t>Pc</t>
  </si>
  <si>
    <t>ADJ-260820-182729-0</t>
  </si>
  <si>
    <t>OPEN-I-CMY-226</t>
  </si>
  <si>
    <t>I-CMY-226</t>
  </si>
  <si>
    <t>Radicure Led 100000 PRO WHITE</t>
  </si>
  <si>
    <t>OPEN-A-TAP-121</t>
  </si>
  <si>
    <t>A-TAP-121</t>
  </si>
  <si>
    <t>Self Adhesive Tissue Tape 24 Mm</t>
  </si>
  <si>
    <t>ADJ-260820-182758</t>
  </si>
  <si>
    <t>I-260907-104005-0</t>
  </si>
  <si>
    <t>CORR-260820-182758</t>
  </si>
  <si>
    <t>I-CMY-229</t>
  </si>
  <si>
    <t>Radicure Led 100000 PRO BLACK</t>
  </si>
  <si>
    <t>OPEN-A-TAP-122</t>
  </si>
  <si>
    <t>A-TAP-122</t>
  </si>
  <si>
    <t>Self Adhesive Tissue Tape 8 Mm</t>
  </si>
  <si>
    <t>I-260907-104034-0</t>
  </si>
  <si>
    <t>ADJ-260820-182823</t>
  </si>
  <si>
    <t>CORR-260820-182823</t>
  </si>
  <si>
    <t>OPEN-A-TAP-123</t>
  </si>
  <si>
    <t>A-TAP-123</t>
  </si>
  <si>
    <t>M-MIS-145</t>
  </si>
  <si>
    <t>Self Adhesive Tissue Tape 12Mm</t>
  </si>
  <si>
    <t>I-260907-173023-0</t>
  </si>
  <si>
    <t>ADJ-260820-183025</t>
  </si>
  <si>
    <t>CORR-260820-183025</t>
  </si>
  <si>
    <t>I-CMY-227</t>
  </si>
  <si>
    <t>O/S jss Orange</t>
  </si>
  <si>
    <t>Radicure Led 100000 PRO MAGENTA</t>
  </si>
  <si>
    <t>Sponge</t>
  </si>
  <si>
    <t>OPEN-A-TAP-124</t>
  </si>
  <si>
    <t>A-TAP-124</t>
  </si>
  <si>
    <t>Self Adhesive Tissue Tape 20Mm</t>
  </si>
  <si>
    <t>I-260907-173417-0</t>
  </si>
  <si>
    <t>ADJ-260820-183340-0</t>
  </si>
  <si>
    <t>https://drive.google.com/open?id=11XRfo1A-cNh9dx4JJh6bDbAk92wmVjJC</t>
  </si>
  <si>
    <t>ccp</t>
  </si>
  <si>
    <t>ADJ-260820-183355-0</t>
  </si>
  <si>
    <t>I-260907-173424-0</t>
  </si>
  <si>
    <t>GRN-260907-121302-L1</t>
  </si>
  <si>
    <t>P-DUP-218</t>
  </si>
  <si>
    <t>Duplex 23X36 300Gsm White Back</t>
  </si>
  <si>
    <t>OPEN-A-TAP-126</t>
  </si>
  <si>
    <t>kervo</t>
  </si>
  <si>
    <t>ADJ-260820-183420-0</t>
  </si>
  <si>
    <t>I-260907-173431-0</t>
  </si>
  <si>
    <t>GRN-260907-121302-L2</t>
  </si>
  <si>
    <t>OPEN-A-ADH-127</t>
  </si>
  <si>
    <t>ADJ-260822-101722-0</t>
  </si>
  <si>
    <t>A-ADH-127</t>
  </si>
  <si>
    <t xml:space="preserve">Fevicol Cpw (Pid) </t>
  </si>
  <si>
    <t>tmb outer</t>
  </si>
  <si>
    <t>I-260907-173518-0</t>
  </si>
  <si>
    <t>big adjustment</t>
  </si>
  <si>
    <t>OPEN-A-ADH-128</t>
  </si>
  <si>
    <t>A-ADH-128</t>
  </si>
  <si>
    <t>ADJ-260822-101755-0</t>
  </si>
  <si>
    <t xml:space="preserve">Fevicol 2000 L(Pid) </t>
  </si>
  <si>
    <t>coloressence- Alovera</t>
  </si>
  <si>
    <t>GRN-260807-110449-L1</t>
  </si>
  <si>
    <t>⚠ Pulled from general stock (job "coloressence- Alovera" had none of its own left)</t>
  </si>
  <si>
    <t>OPEN-A-TAP-129</t>
  </si>
  <si>
    <t>I-260908-173259-0</t>
  </si>
  <si>
    <t>ADJ-260824-164145-0</t>
  </si>
  <si>
    <t>GRN-260908-172120-L1</t>
  </si>
  <si>
    <t>OPEN-CH-SOL-268</t>
  </si>
  <si>
    <t>kuka sip</t>
  </si>
  <si>
    <t>CH-SOL-268</t>
  </si>
  <si>
    <t>Screen Clearning Aid Amyle</t>
  </si>
  <si>
    <t>I-260908-173309-0</t>
  </si>
  <si>
    <t>GRN-260902-163557-L3</t>
  </si>
  <si>
    <t>OPEN-A-TAP-130</t>
  </si>
  <si>
    <t>POW-POW-269</t>
  </si>
  <si>
    <t>P-SBS-318</t>
  </si>
  <si>
    <t>ADJ-260901-135711-0</t>
  </si>
  <si>
    <t>SBS 22X28 330Gsm Cream</t>
  </si>
  <si>
    <t>TBC -2</t>
  </si>
  <si>
    <t>⚠ Pulled from general stock (job "TBC -2" had none of its own left)</t>
  </si>
  <si>
    <t>Bichromide</t>
  </si>
  <si>
    <t>I-260908-173337-0</t>
  </si>
  <si>
    <t>ADJ-260901-135711-1</t>
  </si>
  <si>
    <t>OPEN-CET-CET-131</t>
  </si>
  <si>
    <t>GRN-260824-161141-L2</t>
  </si>
  <si>
    <t>https://drive.google.com/open?id=1KZTEOFpEoylPb2Tt7mAuE3t3w6tG4AQQ</t>
  </si>
  <si>
    <t>I-260908-173357-0</t>
  </si>
  <si>
    <t>ADJ-260901-135711-2</t>
  </si>
  <si>
    <t>OPEN-A-TAP-132</t>
  </si>
  <si>
    <t>A-TAP-132</t>
  </si>
  <si>
    <t>Self Adhesive Tape Transparent 48 Mm</t>
  </si>
  <si>
    <t>I-260910-113341-0</t>
  </si>
  <si>
    <t>ADJ-260901-141226-0</t>
  </si>
  <si>
    <t>OPEN-CH-SOL-199</t>
  </si>
  <si>
    <t>CH-SOL-199</t>
  </si>
  <si>
    <t>OPEN-M-MIS-133</t>
  </si>
  <si>
    <t>TK 3400 Wb Board Primer</t>
  </si>
  <si>
    <t>M-MIS-133</t>
  </si>
  <si>
    <t>Wire</t>
  </si>
  <si>
    <t>ADJ-260901-155208-0</t>
  </si>
  <si>
    <t>OPEN-P-SBS-337</t>
  </si>
  <si>
    <t>P-SBS-337</t>
  </si>
  <si>
    <t>OPEN-CH-SOL-136</t>
  </si>
  <si>
    <t>SBS PAPER 34.5X40 325Gsm</t>
  </si>
  <si>
    <t>CH-SOL-136</t>
  </si>
  <si>
    <t>I-260910-113519-0</t>
  </si>
  <si>
    <t>Glass Cleaner</t>
  </si>
  <si>
    <t>ADJ-260902-130044</t>
  </si>
  <si>
    <t>OPEN-CH-SOL-137</t>
  </si>
  <si>
    <t>I-260910-113519-1</t>
  </si>
  <si>
    <t>GRN-260907-104401-L1</t>
  </si>
  <si>
    <t>CH-SOL-137</t>
  </si>
  <si>
    <t xml:space="preserve">Nova Delete </t>
  </si>
  <si>
    <t>https://drive.google.com/open?id=1vT3G8aT68H4eSSSOFdRHp69NQteY0J_A</t>
  </si>
  <si>
    <t>I-260910-120819-0</t>
  </si>
  <si>
    <t>OPEN-CH-POW-138</t>
  </si>
  <si>
    <t>GRN-260908-175022-L1</t>
  </si>
  <si>
    <t>CH-POW-138</t>
  </si>
  <si>
    <t>Cleaning Powder</t>
  </si>
  <si>
    <t>P-DUP-183</t>
  </si>
  <si>
    <t>Duplex 25X36 300Gsm Gray back</t>
  </si>
  <si>
    <t>OPEN-CH-ADH-139</t>
  </si>
  <si>
    <t>I-260910-120828-0</t>
  </si>
  <si>
    <t>GRN-260827-135410-L1</t>
  </si>
  <si>
    <t>ADJ-260902-130125</t>
  </si>
  <si>
    <t>3x3 HAV</t>
  </si>
  <si>
    <t>OPEN-CH-SOL-140</t>
  </si>
  <si>
    <t>⚠ Pulled from Job "JOB --EXTRA" (job "3x3 HAV" had none of its own left)</t>
  </si>
  <si>
    <t>CH-SOL-140</t>
  </si>
  <si>
    <t>Chemical Blanket Saver</t>
  </si>
  <si>
    <t>I-260910-120836-0</t>
  </si>
  <si>
    <t>GRN-260908-172440-L4</t>
  </si>
  <si>
    <t>P-ART-043</t>
  </si>
  <si>
    <t>OPEN-CH-SOL-142</t>
  </si>
  <si>
    <t>ADJ-260902-131618</t>
  </si>
  <si>
    <t>Art Paper 25X36 150Gsm</t>
  </si>
  <si>
    <t>PERFUME BOX</t>
  </si>
  <si>
    <t>OPEN-CH-SOL-143</t>
  </si>
  <si>
    <t>I-260910-120844-0</t>
  </si>
  <si>
    <t>GRN-260908-172440-L5</t>
  </si>
  <si>
    <t>P-ART-419</t>
  </si>
  <si>
    <t>Art paper 23X36 150Gsm</t>
  </si>
  <si>
    <t>patta</t>
  </si>
  <si>
    <t>ADJ-260902-131741</t>
  </si>
  <si>
    <t>I-260910-120853-0</t>
  </si>
  <si>
    <t>https://drive.google.com/open?id=1kf-fNg_mQ_1d__1wyT1F92JDerN4vQu4</t>
  </si>
  <si>
    <t>OPEN-M-MIS-145</t>
  </si>
  <si>
    <t>piramal</t>
  </si>
  <si>
    <t>⚠ Pulled from general stock (job "piramal" had none of its own left)</t>
  </si>
  <si>
    <t>ADJ-260902-132311</t>
  </si>
  <si>
    <t>I-260910-123339-0</t>
  </si>
  <si>
    <t>OPEN-M-POL-146</t>
  </si>
  <si>
    <t>GRN-260910-123314-L1</t>
  </si>
  <si>
    <t>M-POL-146</t>
  </si>
  <si>
    <t>Pvc Polythene</t>
  </si>
  <si>
    <t>I-PAN-420</t>
  </si>
  <si>
    <t>MULTANI RAJBHOGPRASH IMMUNITY  SYRUP</t>
  </si>
  <si>
    <t>OPEN-I-PAN-147</t>
  </si>
  <si>
    <t>ADJ-260902-132343</t>
  </si>
  <si>
    <t>I-260910-151757-0</t>
  </si>
  <si>
    <t>I-PAN-147</t>
  </si>
  <si>
    <t>Biocon Brown</t>
  </si>
  <si>
    <t>GRN-260910-123655-L1</t>
  </si>
  <si>
    <t>GRN-260820-182551-L1</t>
  </si>
  <si>
    <t>I-PAN-421</t>
  </si>
  <si>
    <t>DS/25733 NATUROLAX ORANGE</t>
  </si>
  <si>
    <t>OPEN-I-PAN-148</t>
  </si>
  <si>
    <t>I-PAN-148</t>
  </si>
  <si>
    <t>ADJ-260902-132408</t>
  </si>
  <si>
    <t>Jss Mul Papaya Yellow</t>
  </si>
  <si>
    <t>I-260910-151826-0</t>
  </si>
  <si>
    <t>OPEN-I-PAN-149</t>
  </si>
  <si>
    <t>I-PAN-149</t>
  </si>
  <si>
    <t>ADJ-260902-132437</t>
  </si>
  <si>
    <t>I-260910-151850-0</t>
  </si>
  <si>
    <t>OPEN-I-CMY-227</t>
  </si>
  <si>
    <t>OPEN-L-BOP-152</t>
  </si>
  <si>
    <t>L-BOP-152</t>
  </si>
  <si>
    <t>Bopp Film 14.5 inch Normal Matt</t>
  </si>
  <si>
    <t>https://drive.google.com/open?id=1ThPxQAN9dxk_TsLmkF8RaA0sMKh4GKsf</t>
  </si>
  <si>
    <t>ADJ-260902-132558</t>
  </si>
  <si>
    <t>I-260910-152908-0</t>
  </si>
  <si>
    <t>OPEN-L-BOP-153</t>
  </si>
  <si>
    <t>L-BOP-153</t>
  </si>
  <si>
    <t>Bopp Film 16 inch Normal Matt</t>
  </si>
  <si>
    <t>OPEN-L-BOP-157</t>
  </si>
  <si>
    <t>I-260910-152933-0</t>
  </si>
  <si>
    <t>ADJ-260902-143613</t>
  </si>
  <si>
    <t>L-BOP-157</t>
  </si>
  <si>
    <t>GRN-260824-161141-L5</t>
  </si>
  <si>
    <t>Bopp Film 11.5 inch Gloss</t>
  </si>
  <si>
    <t>CORR-260902-143613</t>
  </si>
  <si>
    <t>I-260911-105650-0</t>
  </si>
  <si>
    <t>ADJ-260902-143717-0</t>
  </si>
  <si>
    <t>GRN-260908-172440-L1</t>
  </si>
  <si>
    <t>P-SBS-343</t>
  </si>
  <si>
    <t>Sbs Paper 28X40 300Gsm</t>
  </si>
  <si>
    <t>OPEN-L-BOP-158</t>
  </si>
  <si>
    <t>L-BOP-158</t>
  </si>
  <si>
    <t>multani HR 30GM</t>
  </si>
  <si>
    <t>Bopp Film 12.5 inch Gloss</t>
  </si>
  <si>
    <t>HR ROSE-22PKT, HR PAPAYA-3PKT</t>
  </si>
  <si>
    <t>ADJ-260902-143717-1</t>
  </si>
  <si>
    <t>I-260911-105656-0</t>
  </si>
  <si>
    <t>OPEN-L-POL-159</t>
  </si>
  <si>
    <t>GRN-260908-172440-L3</t>
  </si>
  <si>
    <t>L-POL-159</t>
  </si>
  <si>
    <t>Pvc 15inch</t>
  </si>
  <si>
    <t>ADJ-260902-143739</t>
  </si>
  <si>
    <t>OPEN-A-GLU-160</t>
  </si>
  <si>
    <t>CORR-260902-143739</t>
  </si>
  <si>
    <t>I-260911-105703-0</t>
  </si>
  <si>
    <t>GRN-260910-125552-L1</t>
  </si>
  <si>
    <t>P-GUM-284</t>
  </si>
  <si>
    <t>PAPER CHROMO25X36</t>
  </si>
  <si>
    <t>OPEN-M-RUB-163</t>
  </si>
  <si>
    <t>warning sticker</t>
  </si>
  <si>
    <t>M-RUB-163</t>
  </si>
  <si>
    <t>ADJ-260902-143810</t>
  </si>
  <si>
    <t>Rubber Band Big Size</t>
  </si>
  <si>
    <t>https://drive.google.com/open?id=1ZcLy-z_uz7WMWlWiOr46M8rqoqVhC13U</t>
  </si>
  <si>
    <t>CORR-260902-143810</t>
  </si>
  <si>
    <t>I-260911-105712-0</t>
  </si>
  <si>
    <t>GRN-260910-125552-L2</t>
  </si>
  <si>
    <t>P-GUM-422</t>
  </si>
  <si>
    <t>paper chromo 23x36</t>
  </si>
  <si>
    <t>OPEN-M-MIS-164</t>
  </si>
  <si>
    <t>FRAGILE STICKER</t>
  </si>
  <si>
    <t>M-MIS-164</t>
  </si>
  <si>
    <t>Nescafe Signature Premix 1 Kg</t>
  </si>
  <si>
    <t>ADJ-260902-143927</t>
  </si>
  <si>
    <t>I-260915-155951-0</t>
  </si>
  <si>
    <t>CORR-260902-143927</t>
  </si>
  <si>
    <t>CH-VAR-134</t>
  </si>
  <si>
    <t>TK/7000 AQUA High Gloss Varnish</t>
  </si>
  <si>
    <t>I-260916-124842-0</t>
  </si>
  <si>
    <t>GRN-260915-161615-L6</t>
  </si>
  <si>
    <t>ADJ-260902-144113-0</t>
  </si>
  <si>
    <t>sandalwood</t>
  </si>
  <si>
    <t>OPEN-M-CUT-169</t>
  </si>
  <si>
    <t>OPEN-C-COA-233</t>
  </si>
  <si>
    <t>M-CUT-169</t>
  </si>
  <si>
    <t>C-COA-233</t>
  </si>
  <si>
    <t>Cutting Stick</t>
  </si>
  <si>
    <t>I-260916-124851-0</t>
  </si>
  <si>
    <t>New V LAC Gloss Blockable-40UC 74007/20P20</t>
  </si>
  <si>
    <t>GRN-260915-161615-L4</t>
  </si>
  <si>
    <t>OPEN-M-MIS-170</t>
  </si>
  <si>
    <t>ADJ-260902-144206-0</t>
  </si>
  <si>
    <t>M-MIS-170</t>
  </si>
  <si>
    <t>oakley set1</t>
  </si>
  <si>
    <t>Expresso Elachi Tea Premix (Tn)</t>
  </si>
  <si>
    <t>I-260916-124859-0</t>
  </si>
  <si>
    <t>GRN-260915-161615-L3</t>
  </si>
  <si>
    <t>P-SBS-175</t>
  </si>
  <si>
    <t>OPEN-C-FOI-171</t>
  </si>
  <si>
    <t>Sbs Paper 28X40 330Gsm Cream</t>
  </si>
  <si>
    <t>C-FOI-171</t>
  </si>
  <si>
    <t>oakley set2</t>
  </si>
  <si>
    <t>Black Processing Uv Foil</t>
  </si>
  <si>
    <t>ADJ-260902-144256-0</t>
  </si>
  <si>
    <t>I-260916-124909-0</t>
  </si>
  <si>
    <t>GRN-260911-103709-L3</t>
  </si>
  <si>
    <t>https://drive.google.com/open?id=1N212gYVy3uTlagQfUW_O053icGLYvQcY</t>
  </si>
  <si>
    <t>OPEN-C-FOI-172</t>
  </si>
  <si>
    <t>C-FOI-172</t>
  </si>
  <si>
    <t>Led Pr cyan led process</t>
  </si>
  <si>
    <t>cloud kiss</t>
  </si>
  <si>
    <t>I-260916-124916-0</t>
  </si>
  <si>
    <t>ADJ-260902-144256-1</t>
  </si>
  <si>
    <t>GRN-260912-154713-L1</t>
  </si>
  <si>
    <t>OPEN-P-SBS-173</t>
  </si>
  <si>
    <t>GRN-260824-161141-L6</t>
  </si>
  <si>
    <t>P-SBS-173</t>
  </si>
  <si>
    <t>Sbs Paper 25X30 300Gsm Cream</t>
  </si>
  <si>
    <t>multani rosewater soap 125x1</t>
  </si>
  <si>
    <t>I-260916-172815-0</t>
  </si>
  <si>
    <t>OPEN-P-KRA-174</t>
  </si>
  <si>
    <t>ADJ-260902-171354-0</t>
  </si>
  <si>
    <t>P-KRA-174</t>
  </si>
  <si>
    <t>Kraft Paper 23X32 320Gsm White</t>
  </si>
  <si>
    <t>OPEN-P-SBS-182</t>
  </si>
  <si>
    <t>I-260916-173029-0</t>
  </si>
  <si>
    <t>P-SBS-182</t>
  </si>
  <si>
    <t xml:space="preserve">SBS board 22X28 325Gsm </t>
  </si>
  <si>
    <t>OPEN-CH-SOL-179</t>
  </si>
  <si>
    <t>CH-SOL-179</t>
  </si>
  <si>
    <t>New V FD Wash(Hard Wash)-HPC-0237/25D21</t>
  </si>
  <si>
    <t>ADJ-260902-171727-0</t>
  </si>
  <si>
    <t>CH-SOL-212</t>
  </si>
  <si>
    <t>ADJ-260902-173029-0</t>
  </si>
  <si>
    <t>OPEN-P-SBS-184</t>
  </si>
  <si>
    <t>P-SBS-184</t>
  </si>
  <si>
    <t>New V Screen Trans ink</t>
  </si>
  <si>
    <t>SBS Board 20.25X34 320Gsm</t>
  </si>
  <si>
    <t>https://drive.google.com/open?id=1ryRm6NfebFUPhqAkRJeV8EsuoA7YdR6w</t>
  </si>
  <si>
    <t>OPEN-P-KRA-186</t>
  </si>
  <si>
    <t>ADJ-260903-100621-0</t>
  </si>
  <si>
    <t>P-KRA-186</t>
  </si>
  <si>
    <t>Kraft Paper 30.25X31 330Gsm</t>
  </si>
  <si>
    <t>OPEN-P-SBS-189</t>
  </si>
  <si>
    <t>ADJ-260903-100621-1</t>
  </si>
  <si>
    <t>OPEN-P-DUP-192</t>
  </si>
  <si>
    <t>ADJ-260903-101204-0</t>
  </si>
  <si>
    <t>OPEN-POW-POW-193</t>
  </si>
  <si>
    <t>POW-POW-193</t>
  </si>
  <si>
    <t>Decoating Powder</t>
  </si>
  <si>
    <t>ADJ-260903-114638-0</t>
  </si>
  <si>
    <t>OPEN-C-COA-194</t>
  </si>
  <si>
    <t>C-COA-194</t>
  </si>
  <si>
    <t>A1 Emulsion Coating Green</t>
  </si>
  <si>
    <t>OPEN-A-TAP-195</t>
  </si>
  <si>
    <t>A-TAP-195</t>
  </si>
  <si>
    <t xml:space="preserve">At 1/65 Self Adhsevise Tape Transparet </t>
  </si>
  <si>
    <t>ADJ-260905-172903-0</t>
  </si>
  <si>
    <t>OPEN-M-OTH-247</t>
  </si>
  <si>
    <t>M-OTH-247</t>
  </si>
  <si>
    <t>Badi Dhoti</t>
  </si>
  <si>
    <t>OPEN-A-TAP-196</t>
  </si>
  <si>
    <t>A-TAP-196</t>
  </si>
  <si>
    <t>TT 50 Self Adhesive Tissue tape 6mm</t>
  </si>
  <si>
    <t>https://drive.google.com/open?id=1z5B_8rkCU-G7ahKpxO_Pi6HKk0jF6oCM</t>
  </si>
  <si>
    <t>ADJ-260905-183556-0</t>
  </si>
  <si>
    <t>OPEN-M-MIS-197</t>
  </si>
  <si>
    <t>M-MIS-197</t>
  </si>
  <si>
    <t>Sutli</t>
  </si>
  <si>
    <t>ADJ-260905-183621-0</t>
  </si>
  <si>
    <t>OPEN-M-MIS-198</t>
  </si>
  <si>
    <t>OPEN-I-PAN-257</t>
  </si>
  <si>
    <t>M-MIS-198</t>
  </si>
  <si>
    <t>I-PAN-257</t>
  </si>
  <si>
    <t>Tape Dispenser</t>
  </si>
  <si>
    <t>NICOBAR CARRY BAG GREY DS/25092</t>
  </si>
  <si>
    <t>ADJ-260905-183725-0</t>
  </si>
  <si>
    <t>OPEN-C-FOI-200</t>
  </si>
  <si>
    <t>C-FOI-200</t>
  </si>
  <si>
    <t xml:space="preserve">Gold Foil </t>
  </si>
  <si>
    <t>ADJ-260905-183751-0</t>
  </si>
  <si>
    <t>OPEN-L-BOP-203</t>
  </si>
  <si>
    <t>L-BOP-203</t>
  </si>
  <si>
    <t>Bopp 12 Micron Film Matt 18.5 Inch</t>
  </si>
  <si>
    <t>OPEN-I-PAN-204</t>
  </si>
  <si>
    <t>I-PAN-204</t>
  </si>
  <si>
    <t>DS/9357 GLORIA RED</t>
  </si>
  <si>
    <t>OPEN-L-POL-206</t>
  </si>
  <si>
    <t>L-POL-206</t>
  </si>
  <si>
    <t>PVC BASE MATRIX (0.5X1.5X11mm)</t>
  </si>
  <si>
    <t>https://drive.google.com/open?id=1OPrXlwYqLFF0EoI_RKOYuzhBLETAmgIW</t>
  </si>
  <si>
    <t>OPEN-P-SBS-207</t>
  </si>
  <si>
    <t>P-SBS-207</t>
  </si>
  <si>
    <t>SBS 21X36 295Gsm</t>
  </si>
  <si>
    <t>OPEN-P-SBS-208</t>
  </si>
  <si>
    <t>P-SBS-208</t>
  </si>
  <si>
    <t>Sbs Paper 31.5X41.5 325 Gsm</t>
  </si>
  <si>
    <t>OPEN-P-SBS-211</t>
  </si>
  <si>
    <t>P-SBS-211</t>
  </si>
  <si>
    <t>Sbs Paper 23X39 390Gsm</t>
  </si>
  <si>
    <t>OPEN-CH-SOL-212</t>
  </si>
  <si>
    <t>OPEN-M-MIS-213</t>
  </si>
  <si>
    <t>M-MIS-213</t>
  </si>
  <si>
    <t>Paper cutter Machine plate</t>
  </si>
  <si>
    <t>OPEN-C-FOI-215</t>
  </si>
  <si>
    <t>C-FOI-215</t>
  </si>
  <si>
    <t>Silver Foil</t>
  </si>
  <si>
    <t>OPEN-P-DUP-216</t>
  </si>
  <si>
    <t>P-DUP-216</t>
  </si>
  <si>
    <t>Duplex 21X36 250Gsm Gray Back</t>
  </si>
  <si>
    <t>OPEN-P-DUP-217</t>
  </si>
  <si>
    <t>P-DUP-217</t>
  </si>
  <si>
    <t>Duplex 23X39 300Gsm Gray Back</t>
  </si>
  <si>
    <t>https://drive.google.com/open?id=1iBbsGIGsP6kUEuEkSG_J2_fNVp0UhMqg</t>
  </si>
  <si>
    <t>OPEN-P-ART-220</t>
  </si>
  <si>
    <t>P-ART-220</t>
  </si>
  <si>
    <t>Art Card 18X24 330Gsm</t>
  </si>
  <si>
    <t>OPEN-P-ART-222</t>
  </si>
  <si>
    <t>P-ART-222</t>
  </si>
  <si>
    <t>Art Paper 30X40 170Gsm</t>
  </si>
  <si>
    <t>OPEN-P-SBS-230</t>
  </si>
  <si>
    <t>https://drive.google.com/open?id=1grjMjynbMKD2nRXNuSfv4FmJkl307upe</t>
  </si>
  <si>
    <t>OPEN-M-POW-231</t>
  </si>
  <si>
    <t>M-POW-231</t>
  </si>
  <si>
    <t>555 Powder</t>
  </si>
  <si>
    <t>OPEN-P-MAP-232</t>
  </si>
  <si>
    <t>P-MAP-232</t>
  </si>
  <si>
    <t>Mapletho25X36 70Gsm</t>
  </si>
  <si>
    <t>OPEN-P-SBS-235</t>
  </si>
  <si>
    <t>P-SBS-235</t>
  </si>
  <si>
    <t>SBS 28X40 235Gsm</t>
  </si>
  <si>
    <t>OPEN-A-ADH-242</t>
  </si>
  <si>
    <t>A-ADH-242</t>
  </si>
  <si>
    <t>Acrylic Polymers EL-4030</t>
  </si>
  <si>
    <t>OPEN-M-OTH-245</t>
  </si>
  <si>
    <t>M-OTH-245</t>
  </si>
  <si>
    <t>Polyster Film</t>
  </si>
  <si>
    <t>https://drive.google.com/open?id=1A3oQdkT8hCGSjHsgeuhump4XjsqRtI5t</t>
  </si>
  <si>
    <t>OPEN-P-SBS-249</t>
  </si>
  <si>
    <t>P-SBS-249</t>
  </si>
  <si>
    <t>Sbs Paper 26X38 330Gsm</t>
  </si>
  <si>
    <t>OPEN-L-COA-254</t>
  </si>
  <si>
    <t>L-COA-254</t>
  </si>
  <si>
    <t>Bopp Film 13 inch Normal Gloss</t>
  </si>
  <si>
    <t>OPEN-L-COA-255</t>
  </si>
  <si>
    <t>L-COA-255</t>
  </si>
  <si>
    <t>Bopp Film 161/2 inch Normal Gloss</t>
  </si>
  <si>
    <t>OPEN-P-SBS-256</t>
  </si>
  <si>
    <t>P-SBS-256</t>
  </si>
  <si>
    <t>Sbs Paper 25X36 330Gsm</t>
  </si>
  <si>
    <t>OPEN-M-MIS-258</t>
  </si>
  <si>
    <t>M-MIS-258</t>
  </si>
  <si>
    <t>555 Soap</t>
  </si>
  <si>
    <t>https://drive.google.com/open?id=1SFK7TXcrRueuz0E7YpCTbqQcDY_4q-8y</t>
  </si>
  <si>
    <t>OPEN-P-OTH-259</t>
  </si>
  <si>
    <t>P-OTH-259</t>
  </si>
  <si>
    <t xml:space="preserve">DO PAPER 25X36 100GSM </t>
  </si>
  <si>
    <t>OPEN-P-SBS-263</t>
  </si>
  <si>
    <t>P-SBS-263</t>
  </si>
  <si>
    <t>Sbs Paper 23X39 320Gsm</t>
  </si>
  <si>
    <t>OPEN-P-DUP-265</t>
  </si>
  <si>
    <t>P-DUP-265</t>
  </si>
  <si>
    <t>Duplex 29X34 296Gsm Gray Back</t>
  </si>
  <si>
    <t>OPEN-A-ADH-267</t>
  </si>
  <si>
    <t>A-ADH-267</t>
  </si>
  <si>
    <t>Classic Col Adhesive PG 55Kg Packing</t>
  </si>
  <si>
    <t>OPEN-POW-POW-269</t>
  </si>
  <si>
    <t>OPEN-P-SBS-274</t>
  </si>
  <si>
    <t>https://drive.google.com/open?id=1M4l6uBcRhr6zQt3T2n_JzJ_bT_3ij2p4</t>
  </si>
  <si>
    <t>P-SBS-274</t>
  </si>
  <si>
    <t>SBS Board 20X34 320Gsm</t>
  </si>
  <si>
    <t>OPEN-P-SBS-276</t>
  </si>
  <si>
    <t>P-SBS-276</t>
  </si>
  <si>
    <t>Sbs Paper 27.2X30.5 400Gsm</t>
  </si>
  <si>
    <t>OPEN-M-MIS-280</t>
  </si>
  <si>
    <t>M-MIS-280</t>
  </si>
  <si>
    <t>ink Foul Sheet</t>
  </si>
  <si>
    <t>OPEN-P-GUM-284</t>
  </si>
  <si>
    <t>OPEN-I-PAN-285</t>
  </si>
  <si>
    <t>I-PAN-285</t>
  </si>
  <si>
    <t>UV LED PINK</t>
  </si>
  <si>
    <t>OPEN-P-SBS-286</t>
  </si>
  <si>
    <t>P-SBS-286</t>
  </si>
  <si>
    <t>Sbs Paper 26X38 325Gsm</t>
  </si>
  <si>
    <t>OPEN-P-DUP-291</t>
  </si>
  <si>
    <t>P-DUP-291</t>
  </si>
  <si>
    <t>Duplex 23X39 285Gsm gb</t>
  </si>
  <si>
    <t>OPEN-P-SBS-293</t>
  </si>
  <si>
    <t>P-SBS-293</t>
  </si>
  <si>
    <t>https://drive.google.com/open?id=1JS5OVNZlnznBetCKv7FvyTtJMcTqEzKy</t>
  </si>
  <si>
    <t>sbs 22X28 350Gsm</t>
  </si>
  <si>
    <t>OPEN-P-DUP-294</t>
  </si>
  <si>
    <t>P-DUP-294</t>
  </si>
  <si>
    <t>Duplex 31X41 296Gsm Gray Back</t>
  </si>
  <si>
    <t>OPEN-P-DUP-295</t>
  </si>
  <si>
    <t>P-DUP-295</t>
  </si>
  <si>
    <t>Duplex 32X34 296Gsm Gray Back</t>
  </si>
  <si>
    <t>OPEN-P-SBS-297</t>
  </si>
  <si>
    <t>P-SBS-297</t>
  </si>
  <si>
    <t>SBS 23X39 300Gsm</t>
  </si>
  <si>
    <t>OPEN-P-OTH-298</t>
  </si>
  <si>
    <t>P-OTH-298</t>
  </si>
  <si>
    <t>Safire Graphik 21.5X37 400Gsm</t>
  </si>
  <si>
    <t>OPEN-M-OTH-299</t>
  </si>
  <si>
    <t>M-OTH-299</t>
  </si>
  <si>
    <t>Castrol activ essential 20w-40</t>
  </si>
  <si>
    <t>https://drive.google.com/open?id=18seGJ5a13FXMzig9AP-qoH76GHW1nxQr</t>
  </si>
  <si>
    <t>OPEN-M-OTH-300</t>
  </si>
  <si>
    <t>M-OTH-300</t>
  </si>
  <si>
    <t>4 Number Soccer ( Die Cutting Automatic)</t>
  </si>
  <si>
    <t>OPEN-M-OTH-301</t>
  </si>
  <si>
    <t>M-OTH-301</t>
  </si>
  <si>
    <t>14 Number Soccer ( Die Cutting Automatic)</t>
  </si>
  <si>
    <t>OPEN-POW-POW-302</t>
  </si>
  <si>
    <t>POW-POW-302</t>
  </si>
  <si>
    <t>Bleaching Powder</t>
  </si>
  <si>
    <t>OPEN-A-ADH-303</t>
  </si>
  <si>
    <t>A-ADH-303</t>
  </si>
  <si>
    <t>Thanik Gum and Adhesive</t>
  </si>
  <si>
    <t>OPEN-CH-SOL-305</t>
  </si>
  <si>
    <t>CH-SOL-305</t>
  </si>
  <si>
    <t>GEL TACK REDUCER</t>
  </si>
  <si>
    <t>https://drive.google.com/open?id=1RLe8_-Ps5-s7a9vEHX5xGYD7tl0d6kr4</t>
  </si>
  <si>
    <t>OPEN-P-DUP-307</t>
  </si>
  <si>
    <t>Date</t>
  </si>
  <si>
    <t>P-DUP-307</t>
  </si>
  <si>
    <t>Vendor</t>
  </si>
  <si>
    <t>Duplex 25X36 296Gsm Gray back</t>
  </si>
  <si>
    <t>Invoice/Challan No</t>
  </si>
  <si>
    <t>Invoice Image</t>
  </si>
  <si>
    <t>GRN-260803-153646</t>
  </si>
  <si>
    <t>OPEN-P-SBS-310</t>
  </si>
  <si>
    <t>M/s SUGANDH ENTERPRISES</t>
  </si>
  <si>
    <t>https://drive.google.com/file/d/1POaWVoFiZUo9FDkq_UDQjmDGl2v7hHy6/view?usp=drivesdk</t>
  </si>
  <si>
    <t>OPEN-P-DUP-311</t>
  </si>
  <si>
    <t>P-DUP-311</t>
  </si>
  <si>
    <t>Duplex Paper 23X36 330Gsm Gray Back</t>
  </si>
  <si>
    <t>OPEN-P-DUP-312</t>
  </si>
  <si>
    <t>P-DUP-312</t>
  </si>
  <si>
    <t>Duplex Paper 23X36 330Gsm Whhite Back</t>
  </si>
  <si>
    <t>https://drive.google.com/open?id=1Oh7xLy7hWoOwvUAe5bvCe6SngDG8Tawt</t>
  </si>
  <si>
    <t>OPEN-P-SBS-315</t>
  </si>
  <si>
    <t>P-SBS-315</t>
  </si>
  <si>
    <t>Sbs Paper 25X36 300Gsm White</t>
  </si>
  <si>
    <t>OPEN-P-DUP-319</t>
  </si>
  <si>
    <t>P-DUP-319</t>
  </si>
  <si>
    <t>OPEN-P-SBS-321</t>
  </si>
  <si>
    <t>P-SBS-321</t>
  </si>
  <si>
    <t>SBS Board 20X34 335Gsm</t>
  </si>
  <si>
    <t>GRN-260807-110449</t>
  </si>
  <si>
    <t>DS INDIA</t>
  </si>
  <si>
    <t>INV01</t>
  </si>
  <si>
    <t>GRN-260807-130931</t>
  </si>
  <si>
    <t>OPEN-P-SBS-322</t>
  </si>
  <si>
    <t>P-SBS-322</t>
  </si>
  <si>
    <t>OK26/3254</t>
  </si>
  <si>
    <t>SBS 29X31 335Gsm Cream</t>
  </si>
  <si>
    <t>GRN-260807-131011</t>
  </si>
  <si>
    <t>OK26/3255</t>
  </si>
  <si>
    <t>GRN-260814-133526</t>
  </si>
  <si>
    <t>https://drive.google.com/open?id=1_0rcaMt0kqJQ_vra_fNKrZOUoH5nc9MR</t>
  </si>
  <si>
    <t>SUGANDH ENTERPRISES</t>
  </si>
  <si>
    <t>OPEN-P-SBS-323</t>
  </si>
  <si>
    <t>https://drive.google.com/file/d/1jiWlkvuJ7EJaCczbhXkth89NRmdx2xS1/view?usp=drivesdk</t>
  </si>
  <si>
    <t>P-SBS-323</t>
  </si>
  <si>
    <t>Sbs Paper 21X36 320Gsm Cream</t>
  </si>
  <si>
    <t>OPEN-P-SBS-324</t>
  </si>
  <si>
    <t>P-SBS-324</t>
  </si>
  <si>
    <t>Sbs Paper 31.5X41.5 210Gsm Cream</t>
  </si>
  <si>
    <t>Item Record Checker</t>
  </si>
  <si>
    <t>OPEN-P-SBS-326</t>
  </si>
  <si>
    <t>GRN-260814-133835</t>
  </si>
  <si>
    <t>SUGANDHA</t>
  </si>
  <si>
    <t>https://drive.google.com/file/d/1mCM2rCWosn2aZM-8dOlZwFLg-OXFz41t/view?usp=drivesdk</t>
  </si>
  <si>
    <t>OPEN-I-PAN-329</t>
  </si>
  <si>
    <t>I-PAN-329</t>
  </si>
  <si>
    <t>UV LED FEBBLE PERFECTION PINK DS/25205</t>
  </si>
  <si>
    <t>OPEN-I-PAN-333</t>
  </si>
  <si>
    <t>Category</t>
  </si>
  <si>
    <t>I-PAN-333</t>
  </si>
  <si>
    <t>Pan 211C-SSE 001349</t>
  </si>
  <si>
    <t>https://drive.google.com/open?id=1-h63dzd6vCH70xpeHF4SWM_1fsWDHoMG</t>
  </si>
  <si>
    <t>Material</t>
  </si>
  <si>
    <t>OPEN-C-COA-334</t>
  </si>
  <si>
    <t>C-COA-334</t>
  </si>
  <si>
    <t>RAINBOW FOIL</t>
  </si>
  <si>
    <t>Size</t>
  </si>
  <si>
    <t>Gsm/Mic</t>
  </si>
  <si>
    <t>Color</t>
  </si>
  <si>
    <t>Finish/Extra</t>
  </si>
  <si>
    <t>GRN-260814-134220</t>
  </si>
  <si>
    <t>OPEN-M-OTH-335</t>
  </si>
  <si>
    <t>M-OTH-335</t>
  </si>
  <si>
    <t>https://drive.google.com/file/d/16T5SZl-w2AIoW7qfTHIq3sNfXQfNZPfH/view?usp=drivesdk</t>
  </si>
  <si>
    <t>CALIBRATED SHEET YELLOW</t>
  </si>
  <si>
    <t>OPEN-M-OTH-336</t>
  </si>
  <si>
    <t>M-OTH-336</t>
  </si>
  <si>
    <t>CALIBRATED SHEET BLUE</t>
  </si>
  <si>
    <t>OPEN-L-COA-338</t>
  </si>
  <si>
    <t>L-COA-338</t>
  </si>
  <si>
    <t>Bopp Film 16.5 inch Normal Matt</t>
  </si>
  <si>
    <t>GRN-260814-135007</t>
  </si>
  <si>
    <t>VT</t>
  </si>
  <si>
    <t>OPEN-L-COA-339</t>
  </si>
  <si>
    <t>https://drive.google.com/file/d/10TvKtelbyXaDDO3YwT309grxo_-t7XNc/view?usp=drivesdk</t>
  </si>
  <si>
    <t>L-COA-339</t>
  </si>
  <si>
    <t>Bopp Film 18.5 inch Normal Matt</t>
  </si>
  <si>
    <t>OPEN-P-SBS-342</t>
  </si>
  <si>
    <t>P-SBS-342</t>
  </si>
  <si>
    <t>Paper</t>
  </si>
  <si>
    <t>SBS 24.5x28 290Gsm</t>
  </si>
  <si>
    <t>https://drive.google.com/open?id=1e3kSVrc82aTFt6q8FTB_3OUw3iiB2cl0</t>
  </si>
  <si>
    <t>OPEN-P-SBS-343</t>
  </si>
  <si>
    <t>OPEN-M-OTH-344</t>
  </si>
  <si>
    <t>M-OTH-344</t>
  </si>
  <si>
    <t>Blanket</t>
  </si>
  <si>
    <t>GRN-260814-135530</t>
  </si>
  <si>
    <t>OPEN-P-SBS-346</t>
  </si>
  <si>
    <t>https://drive.google.com/file/d/1fdNxdmeGbCej4VAGDAeq52vro_cf6wuH/view?usp=drivesdk</t>
  </si>
  <si>
    <t>OPEN-P-MAP-347</t>
  </si>
  <si>
    <t>OPEN-P-DUP-348</t>
  </si>
  <si>
    <t>P-DUP-348</t>
  </si>
  <si>
    <t>Duplex 21X36 300Gsm GrayBack</t>
  </si>
  <si>
    <t>OPEN-P-SBS-349</t>
  </si>
  <si>
    <t>P-SBS-349</t>
  </si>
  <si>
    <t>Sbs Paper 28X40 345Gsm</t>
  </si>
  <si>
    <t>https://drive.google.com/open?id=1Ou4zhwYXHdy8Zynt1NTF-kqjHYRXGB_x</t>
  </si>
  <si>
    <t>OPEN-A-ADH-350</t>
  </si>
  <si>
    <t>A-ADH-350</t>
  </si>
  <si>
    <t>Self Adhesive Tape Transparent 12.5 Mm</t>
  </si>
  <si>
    <t>GRN-260814-140243</t>
  </si>
  <si>
    <t>OPEN-P-SBS-352</t>
  </si>
  <si>
    <t>https://drive.google.com/file/d/1jqJF1dO7v8y1E2xfs3ZS-IykpY5rXyrc/view?usp=drivesdk</t>
  </si>
  <si>
    <t>OPEN-P-SBS-353</t>
  </si>
  <si>
    <t>P-SBS-353</t>
  </si>
  <si>
    <t>SBS 25X30 290Gsm</t>
  </si>
  <si>
    <t>OPEN-P-DUP-354</t>
  </si>
  <si>
    <t>P-DUP-354</t>
  </si>
  <si>
    <t>Duplex 31.5X41.5 300Gsm Gray Back</t>
  </si>
  <si>
    <t>OPEN-I-PAN-356</t>
  </si>
  <si>
    <t>I-PAN-356</t>
  </si>
  <si>
    <t>DS/24604 BOX PINK (URBANZEN KIT )</t>
  </si>
  <si>
    <t>Fevicol Cpw (Pid)</t>
  </si>
  <si>
    <t>OPEN-I-OTH-357</t>
  </si>
  <si>
    <t>I-OTH-357</t>
  </si>
  <si>
    <t>POLYFIX YELLOW</t>
  </si>
  <si>
    <t>https://drive.google.com/open?id=1CGqN0ytrqcwUuXnNOM5ZgnzD-FbHzU5h</t>
  </si>
  <si>
    <t>GRN-260814-140908</t>
  </si>
  <si>
    <t>OPEN-I-OTH-358</t>
  </si>
  <si>
    <t>I-OTH-358</t>
  </si>
  <si>
    <t>POLYFIX MAGENTA</t>
  </si>
  <si>
    <t>https://drive.google.com/file/d/1LW3oHLE70UVplYTKWk5s4WeQLSYasdi_/view?usp=drivesdk</t>
  </si>
  <si>
    <t>OPEN-CH-SOL-360</t>
  </si>
  <si>
    <t>CH-SOL-360</t>
  </si>
  <si>
    <t>inkreducer(phosporic)</t>
  </si>
  <si>
    <t>OPEN-P-SBS-365</t>
  </si>
  <si>
    <t>P-SBS-365</t>
  </si>
  <si>
    <t>SBS 23.5X29 380 GSM</t>
  </si>
  <si>
    <t>OPEN-P-SBS-366</t>
  </si>
  <si>
    <t>P-SBS-366</t>
  </si>
  <si>
    <t>SBS 29.5X23 380GSM</t>
  </si>
  <si>
    <t>OPEN-P-SBS-368</t>
  </si>
  <si>
    <t>P-SBS-368</t>
  </si>
  <si>
    <t xml:space="preserve">SBS 23X36 380Gsm </t>
  </si>
  <si>
    <t>OPEN-P-ART-369</t>
  </si>
  <si>
    <t>P-ART-369</t>
  </si>
  <si>
    <t>ART PAPER 23X36 90Gsm</t>
  </si>
  <si>
    <t>Stock</t>
  </si>
  <si>
    <t>OPEN-P-KRA-370</t>
  </si>
  <si>
    <t>P-KRA-370</t>
  </si>
  <si>
    <t>Kraft paper 23X36 300Gsm</t>
  </si>
  <si>
    <t>GRN-260820-145704</t>
  </si>
  <si>
    <t>Nova Delete</t>
  </si>
  <si>
    <t>https://drive.google.com/file/d/14RdYNG_MEWCeiP0yib1mhv0rvjeh5eLz/view?usp=drivesdk</t>
  </si>
  <si>
    <t>OPEN-P-DUP-371</t>
  </si>
  <si>
    <t>P-DUP-371</t>
  </si>
  <si>
    <t>DUPLEX 23X29 285Gsm White Back</t>
  </si>
  <si>
    <t>https://drive.google.com/open?id=1PFhT4onoTO-EmUNOjq0FgMkY9uM6nouc</t>
  </si>
  <si>
    <t>OPEN-I-PAN-372</t>
  </si>
  <si>
    <t>I-PAN-372</t>
  </si>
  <si>
    <t>MULTANI NATURALS ORANGE DS/25312</t>
  </si>
  <si>
    <t>OPEN-P-ART-374</t>
  </si>
  <si>
    <t>OPEN-P-DUP-377</t>
  </si>
  <si>
    <t>P-DUP-377</t>
  </si>
  <si>
    <t>Duplex 31X41 370Gsm G/B</t>
  </si>
  <si>
    <t>OPEN-P-DUP-378</t>
  </si>
  <si>
    <t>P-DUP-378</t>
  </si>
  <si>
    <t>Duplex 23X36 370Gsm g/b</t>
  </si>
  <si>
    <t>GRN-260820-150132</t>
  </si>
  <si>
    <t>OPEN-P-DUP-380</t>
  </si>
  <si>
    <t>P-DUP-380</t>
  </si>
  <si>
    <t>DUPLEX 22X28 300Gsm g/b</t>
  </si>
  <si>
    <t>https://drive.google.com/file/d/1rPD7BlyBT_LF1D13zCb0eM-RryixopT8/view?usp=drivesdk</t>
  </si>
  <si>
    <t>OPEN-P-KRA-382</t>
  </si>
  <si>
    <t>P-KRA-382</t>
  </si>
  <si>
    <t xml:space="preserve">KRAFT PAPER 24.5X32 300Gsm </t>
  </si>
  <si>
    <t>OPEN-P-SBS-384</t>
  </si>
  <si>
    <t>https://drive.google.com/open?id=1WAc3awGyGt5RicrroHhfobSKBtVqAs1D</t>
  </si>
  <si>
    <t>P-SBS-384</t>
  </si>
  <si>
    <t xml:space="preserve">SBS board 23X39 345Gsm </t>
  </si>
  <si>
    <t>OPEN-P-SBS-396</t>
  </si>
  <si>
    <t>P-SBS-396</t>
  </si>
  <si>
    <t>SBS 25.3X33.7 400Gsm cream</t>
  </si>
  <si>
    <t>OPEN-I-PAN-398</t>
  </si>
  <si>
    <t>I-PAN-398</t>
  </si>
  <si>
    <t>URBAN MOISTURIZER AND TONNER LT PURPLE</t>
  </si>
  <si>
    <t>GRN-260820-182215</t>
  </si>
  <si>
    <t>ANIL AGENCIES PVT LTD</t>
  </si>
  <si>
    <t>AAPL/3238/26-27</t>
  </si>
  <si>
    <t>https://drive.google.com/file/d/1okiSon3jNL3DwU2InmCGXNEonJ_rFY5T/view?usp=drivesdk</t>
  </si>
  <si>
    <t>https://drive.google.com/open?id=1fUbAtyElrS6mAx_bTGBVCz_Om0hWK3CP</t>
  </si>
  <si>
    <t>GRN-260820-182551</t>
  </si>
  <si>
    <t>JAIN ARORA</t>
  </si>
  <si>
    <t>----</t>
  </si>
  <si>
    <t>GRN-260820-190621</t>
  </si>
  <si>
    <t>https://drive.google.com/file/d/1A0abbVBnkJ5R2BzaaEMZu_XCKIkeW34f/view?usp=drivesdk</t>
  </si>
  <si>
    <t>Stock Count Correction — physical count found 20 more than system</t>
  </si>
  <si>
    <t/>
  </si>
  <si>
    <t>GRN-260820-190757</t>
  </si>
  <si>
    <t>https://drive.google.com/open?id=1S_Kk8Hyzz-ztcX7pfzprf0NuwN2rhWko</t>
  </si>
  <si>
    <t>https://drive.google.com/file/d/1AG1J3Z19fsksfpL--J-1JZA7qktne5RM/view?usp=drivesdk</t>
  </si>
  <si>
    <t>GRN-260824-161141</t>
  </si>
  <si>
    <t>DSD INDIA</t>
  </si>
  <si>
    <t>INV26272408</t>
  </si>
  <si>
    <t>GRN-260825-154328</t>
  </si>
  <si>
    <t>SHYAM LAL DHOTI</t>
  </si>
  <si>
    <t>INV111</t>
  </si>
  <si>
    <t>GRN-260825-183711</t>
  </si>
  <si>
    <t>https://drive.google.com/open?id=1wrRZQYIAfBlNvqD0_a4N7pIR2_pl7uzc</t>
  </si>
  <si>
    <t>https://drive.google.com/file/d/1uuVr3MNLrmjablmddaGgRKf-waH-UNLJ/view?usp=drivesdk</t>
  </si>
  <si>
    <t>GRN-260814-135007-L3</t>
  </si>
  <si>
    <t>P-DUP-995</t>
  </si>
  <si>
    <t>Duplex 31.5x41.5 250Gsm Gray Back</t>
  </si>
  <si>
    <t>7W MARVAL</t>
  </si>
  <si>
    <t>GRN-260825-193128</t>
  </si>
  <si>
    <t>D D ENTERPRISES</t>
  </si>
  <si>
    <t>https://drive.google.com/file/d/1z-fAn2MJeUdtrWTQlj4RI73Vam8ysfpz/view?usp=drivesdk</t>
  </si>
  <si>
    <t>https://drive.google.com/open?id=143ERP212O2OCUIsmf4gTlbMS06WdNlf9</t>
  </si>
  <si>
    <t>GRN-260826-153644</t>
  </si>
  <si>
    <t>https://drive.google.com/file/d/1k3GVllCUCwVnnhBSD33kfVHPeFMgLgp_/view?usp=drivesdk</t>
  </si>
  <si>
    <t>https://drive.google.com/open?id=1-NvE0vNfKJkNs9hbHdCwc2IA6qf7CzVu</t>
  </si>
  <si>
    <t>GRN-260827-135001</t>
  </si>
  <si>
    <t>https://drive.google.com/file/d/1vKs43bvx6SamW87uR8bA5iOmxyfCZcvn/view?usp=drivesdk</t>
  </si>
  <si>
    <t>https://drive.google.com/open?id=17uiKidGYRveuEmVLUDpf3-PItn3qKcEP</t>
  </si>
  <si>
    <t>KOREAN GLASS</t>
  </si>
  <si>
    <t>GRN-260827-135231</t>
  </si>
  <si>
    <t>https://drive.google.com/file/d/17MZWZBoa69AXsHEqhBmnJVmBySDJmDay/view?usp=drivesdk</t>
  </si>
  <si>
    <t>Stock Count Correction — physical count found 7 more than system</t>
  </si>
  <si>
    <t>GRN-260827-135410</t>
  </si>
  <si>
    <t>https://drive.google.com/open?id=1220S52X8Wn6034YvZ_ZP3rD6GV3r1Qa7</t>
  </si>
  <si>
    <t>Stock Count Correction — physical count found 4 more than system</t>
  </si>
  <si>
    <t>GRN-260827-135604</t>
  </si>
  <si>
    <t>Shri Mahavir Papers Trading Pvt Ltd</t>
  </si>
  <si>
    <t>4902/OK</t>
  </si>
  <si>
    <t>https://drive.google.com/file/d/1yDYRN1xEy4Lt1W0ULzY14CB-nyHqlqi2/view?usp=drivesdk</t>
  </si>
  <si>
    <t>Stock Count Correction — physical count found 5 more than system</t>
  </si>
  <si>
    <t>Stock Count Correction — physical count found 2 more than system</t>
  </si>
  <si>
    <t>GRN-260827-135758</t>
  </si>
  <si>
    <t>https://drive.google.com/file/d/1TCzVaeIzb5EiGEkPpI8Bbfg-Rf4Ipkiw/view?usp=drivesdk</t>
  </si>
  <si>
    <t>CH-SOL-313</t>
  </si>
  <si>
    <t>WD 40</t>
  </si>
  <si>
    <t>https://drive.google.com/open?id=10IOI-WQbvqtBrSHooXqC5PwkLHycXJTs</t>
  </si>
  <si>
    <t>GRN-260824-161141-L3</t>
  </si>
  <si>
    <t>GRN-260827-140051</t>
  </si>
  <si>
    <t>4897/OK</t>
  </si>
  <si>
    <t>https://drive.google.com/file/d/1U9JqmYAL_FPQtoPvVF5rmwzTo3d-ED_r/view?usp=drivesdk</t>
  </si>
  <si>
    <t>GRN-260824-161141-L4</t>
  </si>
  <si>
    <t>GRN-260824-161141-L7</t>
  </si>
  <si>
    <t>https://drive.google.com/open?id=1Hg6RFopznnqaA58nISOcAOIcBS0TyPrf</t>
  </si>
  <si>
    <t>GRN-260831-155325</t>
  </si>
  <si>
    <t>SUNEJA SONS</t>
  </si>
  <si>
    <t>26-27/1373</t>
  </si>
  <si>
    <t>https://drive.google.com/file/d/1gaZCQsjryedsdzFsK1ac-cwhOxRCD4MW/view?usp=drivesdk</t>
  </si>
  <si>
    <t>GRN-260825-183711-L1</t>
  </si>
  <si>
    <t xml:space="preserve">12W </t>
  </si>
  <si>
    <t>GRN-260825-193128-L2</t>
  </si>
  <si>
    <t>GRN-260901-134301</t>
  </si>
  <si>
    <t>P-ART-409</t>
  </si>
  <si>
    <t>23X36 80GSM</t>
  </si>
  <si>
    <t>D.S.INDIA</t>
  </si>
  <si>
    <t>OK26/3902</t>
  </si>
  <si>
    <t>https://drive.google.com/file/d/1rjO9-avp37eVAaDnCq4aap1iqK5MwyWY/view?usp=drivesdk</t>
  </si>
  <si>
    <t>https://drive.google.com/open?id=1QGQOyFhSKCsQLBXt3j3y95jLFytxiVhw</t>
  </si>
  <si>
    <t>GRN-260826-153644-L1</t>
  </si>
  <si>
    <t>I-CMY-410</t>
  </si>
  <si>
    <t>DS/25620  UREA FOOT CREAM PANT.2237 C GREEN</t>
  </si>
  <si>
    <t>GRN-260901-140314</t>
  </si>
  <si>
    <t>https://drive.google.com/file/d/1auxuwDL0BYUifGTyE6Bd8dX8CZX2rkuk/view?usp=drivesdk</t>
  </si>
  <si>
    <t>I-PAN-392</t>
  </si>
  <si>
    <t>korean</t>
  </si>
  <si>
    <t>GRN-260827-135001-L5</t>
  </si>
  <si>
    <t>Triphala Pantone 4695C SSE 001515</t>
  </si>
  <si>
    <t>P-ART-411</t>
  </si>
  <si>
    <t>Art Paper 23X36 170Gsm</t>
  </si>
  <si>
    <t>NPCI</t>
  </si>
  <si>
    <t>https://drive.google.com/open?id=1gjv3RNOj0cq75yv2DWLbmEwghWFZow0v</t>
  </si>
  <si>
    <t>GRN-260901-143739</t>
  </si>
  <si>
    <t>https://drive.google.com/file/d/1pTHudKD3vM-AQxqrvyRIuzHpOe9B1O5a/view?usp=drivesdk</t>
  </si>
  <si>
    <t>JOB --EXTRA</t>
  </si>
  <si>
    <t>I-PAN-391</t>
  </si>
  <si>
    <t>GRN-260827-135758-L1</t>
  </si>
  <si>
    <t>GRN-260901-154957</t>
  </si>
  <si>
    <t>EXTRA</t>
  </si>
  <si>
    <t>https://drive.google.com/file/d/1ToUkxk6hfNQKOpIW9bIyxD0h0QTCXc-X/view?usp=drivesdk</t>
  </si>
  <si>
    <t>Multani Morning tablet 60- Pan-2411C SSE 001514</t>
  </si>
  <si>
    <t>https://drive.google.com/open?id=1bk62M7TNC_CsusLFlsNkkOfvGxTU4Xb-</t>
  </si>
  <si>
    <t>GRN-260901-134301-L2</t>
  </si>
  <si>
    <t>GRN-260902-163557</t>
  </si>
  <si>
    <t>EVEREST PAPER CONVERTOR</t>
  </si>
  <si>
    <t>EPC-197/26-27</t>
  </si>
  <si>
    <t>I-PAN-390</t>
  </si>
  <si>
    <t>https://drive.google.com/file/d/1KVYJhVVdFowESKB7xSJUy2ZJya1wOX_Y/view?usp=drivesdk</t>
  </si>
  <si>
    <t>i pop midlight blue kajal SSE 001510</t>
  </si>
  <si>
    <t>https://drive.google.com/open?id=13VfeKCx9R5Ogfn-n_jm2l_Lw_cvuRBMO</t>
  </si>
  <si>
    <t>GRN-260902-182546</t>
  </si>
  <si>
    <t>DHARMKOT</t>
  </si>
  <si>
    <t>https://drive.google.com/file/d/1e2pv0nfJe0WjcWKVup55NktQqnSYeZwt/view?usp=drivesdk</t>
  </si>
  <si>
    <t>I-PAN-389</t>
  </si>
  <si>
    <t>Stock Count Correction — physical count found 1 more than system</t>
  </si>
  <si>
    <t>i pop blush mauve kajal SSE 001513</t>
  </si>
  <si>
    <t>GRN-260902-182853</t>
  </si>
  <si>
    <t>SUDARSHAN PAPER COMPANY</t>
  </si>
  <si>
    <t>Stock Count Correction — physical count found 25 more than system</t>
  </si>
  <si>
    <t>https://drive.google.com/file/d/1mdcXHBd9nh8HbXbQ0P7lLUbH5PcdGL5j/view?usp=drivesdk</t>
  </si>
  <si>
    <t>https://drive.google.com/open?id=124WeCD3-cZjr3OEvXB947AAseJZYbY7N</t>
  </si>
  <si>
    <t>GRN-260905-154042</t>
  </si>
  <si>
    <t>SUĞANDH ENTERPRISES</t>
  </si>
  <si>
    <t>https://drive.google.com/file/d/1ZRhIzn-gxvDMXZS_WSkuj_H7RxLdaLNV/view?usp=drivesdk</t>
  </si>
  <si>
    <t>GRN-260902-182853-L1</t>
  </si>
  <si>
    <t>P-OTH-418</t>
  </si>
  <si>
    <t>Special Paper 23X36 68Gsm</t>
  </si>
  <si>
    <t>I-PAN-388</t>
  </si>
  <si>
    <t>M.R NOTEPAD</t>
  </si>
  <si>
    <t>i pop emerald kajal SSE 001511</t>
  </si>
  <si>
    <t>https://drive.google.com/open?id=1L-QhPAmKjQ9tqprS68RBNOXS4kFBuSct</t>
  </si>
  <si>
    <t>GRN-260905-154042-L3</t>
  </si>
  <si>
    <t>GRN-260905-172741</t>
  </si>
  <si>
    <t>ds india</t>
  </si>
  <si>
    <t>ok26-27</t>
  </si>
  <si>
    <t>STROBE 30GM</t>
  </si>
  <si>
    <t>GRN-260905-173106</t>
  </si>
  <si>
    <t>SHYAMLAL</t>
  </si>
  <si>
    <t>GRN-260907-104401</t>
  </si>
  <si>
    <t>APEX</t>
  </si>
  <si>
    <t>https://drive.google.com/file/d/13H7bQo16ehMaur6Ir_i9WWDojCP09xAx/view?usp=drivesdk</t>
  </si>
  <si>
    <t>GRN-260905-172741-L1</t>
  </si>
  <si>
    <t>I-PAN-387</t>
  </si>
  <si>
    <t>i pop wine wink kajal SSE 001509</t>
  </si>
  <si>
    <t>GRN-260905-172741-L2</t>
  </si>
  <si>
    <t>https://drive.google.com/open?id=1PFnimKOi4nNjIbgHCqUrYxrmuU9MwIFh</t>
  </si>
  <si>
    <t>GRN-260905-172741-L3</t>
  </si>
  <si>
    <t>GRN-260907-121302</t>
  </si>
  <si>
    <t>GRN-260905-173106-L1</t>
  </si>
  <si>
    <t>https://drive.google.com/file/d/1fkZtaqxMtOU8qf8ZN6o_5011wKKuWsbZ/view?usp=drivesdk</t>
  </si>
  <si>
    <t>GRN-260905-173106-L2</t>
  </si>
  <si>
    <t>I-PAN-386</t>
  </si>
  <si>
    <t>i pop cosmic blue Kajal SSE 001512</t>
  </si>
  <si>
    <t>https://drive.google.com/open?id=1k8Nh2i9W3uDnk5qiroMEefTtITmyWL-r</t>
  </si>
  <si>
    <t>GRN-260907-121601</t>
  </si>
  <si>
    <t>SOHAM TRADERS</t>
  </si>
  <si>
    <t>https://drive.google.com/file/d/1r13HRSACuY-3Hk1ytMs8vm3AsYYoz7Qn/view?usp=drivesdk</t>
  </si>
  <si>
    <t>GRN-260907-121601-L1</t>
  </si>
  <si>
    <t>INSERT KOOK HERBAL</t>
  </si>
  <si>
    <t>GRN-260907-121749-L1</t>
  </si>
  <si>
    <t>FERTILINA SYRUP 200G</t>
  </si>
  <si>
    <t>GRN-260907-121749</t>
  </si>
  <si>
    <t>https://drive.google.com/file/d/1qV58c-Xr0dJNH4Jw1ZGELEpK0NUdJXpO/view?usp=drivesdk</t>
  </si>
  <si>
    <t>MULTANI RAJBHOGPRASH IMMUNITY SYRUP</t>
  </si>
  <si>
    <t>GRN-260908-172120</t>
  </si>
  <si>
    <t>GRN-260908-172120-L2</t>
  </si>
  <si>
    <t>https://drive.google.com/open?id=1fg6SVnk5_QtwZcIDFyH4K_L0cbjodaJ-</t>
  </si>
  <si>
    <t>extra</t>
  </si>
  <si>
    <t>GRN-260908-172440</t>
  </si>
  <si>
    <t>GRN-260908-172440-L2</t>
  </si>
  <si>
    <t>MULTANI OSTEACT</t>
  </si>
  <si>
    <t>https://drive.google.com/file/d/1yGBofcd6qD2Pey89YFAznUdhrPJhR6Kj/view?usp=drivesdk</t>
  </si>
  <si>
    <t>GRN-260908-175022</t>
  </si>
  <si>
    <t>GRN-260910-123314</t>
  </si>
  <si>
    <t>https://drive.google.com/file/d/147QP6jwEkeouGe6qTVIwvPG6IWrv0erY/view?usp=drivesdk</t>
  </si>
  <si>
    <t>GRN-260910-123655</t>
  </si>
  <si>
    <t>GRN-260910-125552</t>
  </si>
  <si>
    <t>GRN-260910-125552-L3</t>
  </si>
  <si>
    <t>GRN-260910-125552-L4</t>
  </si>
  <si>
    <t>GRN-260911-104302-L1</t>
  </si>
  <si>
    <t>https://drive.google.com/file/d/1A7z30cMi6xDgqtmzYCB127wt7QnYYXw9/view?usp=drivesdk</t>
  </si>
  <si>
    <t>GRN-260911-104302</t>
  </si>
  <si>
    <t>GRN-260911-104302-L2</t>
  </si>
  <si>
    <t>GRN-260911-104302-L3</t>
  </si>
  <si>
    <t>GRN-260911-104622-L1</t>
  </si>
  <si>
    <t>I-PAN-423</t>
  </si>
  <si>
    <t>DS/25673 STUDIO LIGHT BUFF</t>
  </si>
  <si>
    <t>GRN-260911-104622</t>
  </si>
  <si>
    <t>GRN-260911-104622-L2</t>
  </si>
  <si>
    <t>I-PAN-424</t>
  </si>
  <si>
    <t>DS/25672 STUDIO LIGHT PINK</t>
  </si>
  <si>
    <t>SS</t>
  </si>
  <si>
    <t>OK26/4110</t>
  </si>
  <si>
    <t>https://drive.google.com/file/d/1OVR-YtZ2ucFFpF3mwjmk-SzxkxYBBQkY/view?usp=drivesdk</t>
  </si>
  <si>
    <t>GRN-260912-154713</t>
  </si>
  <si>
    <t>GRN-260912-154713-L2</t>
  </si>
  <si>
    <t>P-SBS-185</t>
  </si>
  <si>
    <t>SBS Board 23X36 320Gsm</t>
  </si>
  <si>
    <t>crystal flood light</t>
  </si>
  <si>
    <t>GRN-260912-154713-L3</t>
  </si>
  <si>
    <t xml:space="preserve">cloud kiss </t>
  </si>
  <si>
    <t>GRN-260912-154839-L1</t>
  </si>
  <si>
    <t>P-SBS-006</t>
  </si>
  <si>
    <t>Sbs Paper 23X36 300Gsm Cream</t>
  </si>
  <si>
    <t xml:space="preserve">jati phaladi </t>
  </si>
  <si>
    <t>GRN-260912-154839</t>
  </si>
  <si>
    <t>GRN-260915-161615-L1</t>
  </si>
  <si>
    <t>NARESH PAPER BHANDAR</t>
  </si>
  <si>
    <t>flood light</t>
  </si>
  <si>
    <t>NPB-17578/26-27</t>
  </si>
  <si>
    <t>https://drive.google.com/file/d/1ZTVO45fLe26MvthO4eO3S7Jp0iJvH4MZ/view?usp=drivesdk</t>
  </si>
  <si>
    <t>GRN-260915-161615</t>
  </si>
  <si>
    <t>GRN-260911-103709</t>
  </si>
  <si>
    <t>GRN-260915-161615-L5</t>
  </si>
  <si>
    <t>https://drive.google.com/file/d/1XksOWs-K5nVx12yNRvPOMZ1IqVLVx7o6/view?usp=drivesdk</t>
  </si>
  <si>
    <t>GRN-260915-161833-L1</t>
  </si>
  <si>
    <t xml:space="preserve">INTIMATE LIGHTENING ROLL ON </t>
  </si>
  <si>
    <t>GRN-260915-161833</t>
  </si>
  <si>
    <t>GRN-260915-161833-L2</t>
  </si>
  <si>
    <t xml:space="preserve">MARK </t>
  </si>
  <si>
    <t>GRN-260915-200643-L1</t>
  </si>
  <si>
    <t>KOOK HERBAL</t>
  </si>
  <si>
    <t>GRN-260915-200643</t>
  </si>
  <si>
    <t>GRN-260915-200643-L2</t>
  </si>
  <si>
    <t>ZULFI</t>
  </si>
  <si>
    <t>OK26/4180</t>
  </si>
  <si>
    <t>https://drive.google.com/file/d/1y0tJQQ4opKQCVQ_NUxIW1m2Xrqn4wM7N/view?usp=drivesdk</t>
  </si>
  <si>
    <t>OK26/4154</t>
  </si>
  <si>
    <t>https://drive.google.com/file/d/1t3Eslys52THzithzRKn5LjDpVfejs6cc/view?usp=drivesdk</t>
  </si>
  <si>
    <t>https://drive.google.com/file/d/1zxd3XcO967MvEkgk0wtFXxZ8GPREApj0/view?usp=drivesdk</t>
  </si>
  <si>
    <t>https://drive.google.com/file/d/1haSJXHMPIDREfYyZwWmpk_OBLNfQE6q2/view?usp=drivesdk</t>
  </si>
  <si>
    <t>https://drive.google.com/file/d/1qmkKNHQdCww5C1cTQXT7NlK6cIbST2W1/view?usp=drivesdk</t>
  </si>
  <si>
    <t>https://drive.google.com/file/d/1uihfaTFB6Wj0D_tfTIwhXvPWn5PcFcxV/view?usp=drivesdk</t>
  </si>
  <si>
    <t>https://drive.google.com/file/d/1-dtrxiAeQKsQqXvxg3DXBYIe4NpNNuVt/view?usp=drivesdk</t>
  </si>
  <si>
    <t>In/Out</t>
  </si>
  <si>
    <t>Quantity</t>
  </si>
  <si>
    <t>Job Name</t>
  </si>
  <si>
    <t xml:space="preserve">Item Name </t>
  </si>
  <si>
    <t>Closing Stock</t>
  </si>
  <si>
    <t>P-SBS-001</t>
  </si>
  <si>
    <t>In</t>
  </si>
  <si>
    <t>Cutting</t>
  </si>
  <si>
    <t>Sbs Paper</t>
  </si>
  <si>
    <t>23X36</t>
  </si>
  <si>
    <t>330Gsm</t>
  </si>
  <si>
    <t>White</t>
  </si>
  <si>
    <t>–</t>
  </si>
  <si>
    <t>Image</t>
  </si>
  <si>
    <t>Sku Stock</t>
  </si>
  <si>
    <t>P-SBS-002</t>
  </si>
  <si>
    <t>Sbs Paper 23X36 330Gsm Cream</t>
  </si>
  <si>
    <t>Cream</t>
  </si>
  <si>
    <t>300Gsm</t>
  </si>
  <si>
    <t>23X39</t>
  </si>
  <si>
    <t>350Gsm</t>
  </si>
  <si>
    <t>325Gsm</t>
  </si>
  <si>
    <t>25X36</t>
  </si>
  <si>
    <t>P-SBS-008</t>
  </si>
  <si>
    <t>Job Number</t>
  </si>
  <si>
    <t>Sbs Paper 25X36 325Gsm White</t>
  </si>
  <si>
    <t>Item Code</t>
  </si>
  <si>
    <t>Item quantity(Sheet/Kg/Ltr)</t>
  </si>
  <si>
    <t>31.5X41.5</t>
  </si>
  <si>
    <t>P-MAP-178</t>
  </si>
  <si>
    <t>26X38</t>
  </si>
  <si>
    <t>P-SBS-180</t>
  </si>
  <si>
    <t>345Gsm</t>
  </si>
  <si>
    <t>22X32</t>
  </si>
  <si>
    <t>P-ART-177</t>
  </si>
  <si>
    <t>P-SBS-181</t>
  </si>
  <si>
    <t>-</t>
  </si>
  <si>
    <t>22X28</t>
  </si>
  <si>
    <t>P-SBS-014</t>
  </si>
  <si>
    <t>P-ART-186</t>
  </si>
  <si>
    <t>Sbs Paper 22X28 296Gsm Cream</t>
  </si>
  <si>
    <t>296Gsm</t>
  </si>
  <si>
    <t>P-ART-187</t>
  </si>
  <si>
    <t>320Gsm</t>
  </si>
  <si>
    <t>P-ART-188</t>
  </si>
  <si>
    <t>P-ART-174</t>
  </si>
  <si>
    <t>25X30</t>
  </si>
  <si>
    <t>P-SBS-017</t>
  </si>
  <si>
    <t>Sbs Paper 21X36 340Gsm Cream</t>
  </si>
  <si>
    <t>21X36</t>
  </si>
  <si>
    <t>340Gsm</t>
  </si>
  <si>
    <t>P-SBS-032</t>
  </si>
  <si>
    <t>24X27</t>
  </si>
  <si>
    <t>380Gsm</t>
  </si>
  <si>
    <t>25X31</t>
  </si>
  <si>
    <t>P-DUP-050</t>
  </si>
  <si>
    <t>P-SBS-022</t>
  </si>
  <si>
    <t>P-SBS-028</t>
  </si>
  <si>
    <t>Sbs Paper 22X31 330Gsm White</t>
  </si>
  <si>
    <t>22X31</t>
  </si>
  <si>
    <t>P-OTH-201</t>
  </si>
  <si>
    <t>25X33</t>
  </si>
  <si>
    <t>20.75X32</t>
  </si>
  <si>
    <t>22.5X34</t>
  </si>
  <si>
    <t>195Gsm</t>
  </si>
  <si>
    <t>28X31</t>
  </si>
  <si>
    <t>Sbs Paper 25X35 400Gsm Cream</t>
  </si>
  <si>
    <t>25X35</t>
  </si>
  <si>
    <t>400Gsm</t>
  </si>
  <si>
    <t>P-SBS-029</t>
  </si>
  <si>
    <t>Sbs Paper 30X40 216Gsm Cream</t>
  </si>
  <si>
    <t>30X40</t>
  </si>
  <si>
    <t>216Gsm</t>
  </si>
  <si>
    <t>18X24</t>
  </si>
  <si>
    <t>326Gsm</t>
  </si>
  <si>
    <t>28X27.5</t>
  </si>
  <si>
    <t>Sbs Paper 16X22 330Gsm Cream</t>
  </si>
  <si>
    <t>16X22</t>
  </si>
  <si>
    <t>25X38</t>
  </si>
  <si>
    <t>28X40</t>
  </si>
  <si>
    <t>230Gsm</t>
  </si>
  <si>
    <t>P-SBS-035</t>
  </si>
  <si>
    <t>Sbs Paper 28X40 340Gsm Cream</t>
  </si>
  <si>
    <t>20X26</t>
  </si>
  <si>
    <t>P-ART-038</t>
  </si>
  <si>
    <t>Art Card 23X36 350Gsm</t>
  </si>
  <si>
    <t>Art Card</t>
  </si>
  <si>
    <t>28X35</t>
  </si>
  <si>
    <t>Other</t>
  </si>
  <si>
    <t>P-ART-042</t>
  </si>
  <si>
    <t>Art Card 25X36 150Gsm</t>
  </si>
  <si>
    <t>150Gsm</t>
  </si>
  <si>
    <t>Art Paper</t>
  </si>
  <si>
    <t>20X30</t>
  </si>
  <si>
    <t>128Gsm</t>
  </si>
  <si>
    <t>P-ART-046</t>
  </si>
  <si>
    <t>Art Card 23X36 300Gsm</t>
  </si>
  <si>
    <t>Mapletho</t>
  </si>
  <si>
    <t>100Gsm</t>
  </si>
  <si>
    <t>Duplex</t>
  </si>
  <si>
    <t>Gray Back</t>
  </si>
  <si>
    <t>Duplex 31X41 300Gsm Gray Back</t>
  </si>
  <si>
    <t>31X41</t>
  </si>
  <si>
    <t>Average Daily Consumption</t>
  </si>
  <si>
    <t>36X38</t>
  </si>
  <si>
    <t>Lead Time (From Indent to Receipt)</t>
  </si>
  <si>
    <t>MOQ</t>
  </si>
  <si>
    <t>White Back</t>
  </si>
  <si>
    <t>250Gsm</t>
  </si>
  <si>
    <t>28X33</t>
  </si>
  <si>
    <t>P-DUP-059</t>
  </si>
  <si>
    <t>Duplex 29X34 300Gsm Gray Back</t>
  </si>
  <si>
    <t>Material In Transit</t>
  </si>
  <si>
    <t>29X34</t>
  </si>
  <si>
    <t>Days of Stock Remaining</t>
  </si>
  <si>
    <t>Calc Method</t>
  </si>
  <si>
    <t>Issue Interval (Days)</t>
  </si>
  <si>
    <t>275Gsm</t>
  </si>
  <si>
    <t>Sbs Paper 23X36 330Gsm White</t>
  </si>
  <si>
    <t>Store</t>
  </si>
  <si>
    <t>Ink</t>
  </si>
  <si>
    <t>Cmyk</t>
  </si>
  <si>
    <t>Black</t>
  </si>
  <si>
    <t>Offset</t>
  </si>
  <si>
    <t>Cyan</t>
  </si>
  <si>
    <t>JSS THE PRINT ZONE — STOCK REPORT  |  01/09/2026</t>
  </si>
  <si>
    <t>Magenta</t>
  </si>
  <si>
    <t>PAPER</t>
  </si>
  <si>
    <t>Yellow</t>
  </si>
  <si>
    <t>I-CMY-065</t>
  </si>
  <si>
    <t>InstaCure 501 Flashdry Led Pr Black</t>
  </si>
  <si>
    <t>Led</t>
  </si>
  <si>
    <t>I-CMY-066</t>
  </si>
  <si>
    <t>InstaCure 501 Flashdry Led Pr White</t>
  </si>
  <si>
    <t>Yes</t>
  </si>
  <si>
    <t>No</t>
  </si>
  <si>
    <t>Uv Led</t>
  </si>
  <si>
    <t>Pantone</t>
  </si>
  <si>
    <t>Modern Purple</t>
  </si>
  <si>
    <t>Red</t>
  </si>
  <si>
    <t>SBS paper 31X41 380Gsm</t>
  </si>
  <si>
    <t xml:space="preserve">SBS board 23X39 340Gsm </t>
  </si>
  <si>
    <t>Blue</t>
  </si>
  <si>
    <t>Gray</t>
  </si>
  <si>
    <t>Green</t>
  </si>
  <si>
    <t>P-SBS-209</t>
  </si>
  <si>
    <t>Sbs Paper 25X30 295Gsm</t>
  </si>
  <si>
    <t>P-SBS-210</t>
  </si>
  <si>
    <t>Board Prima 28X44 350Gsm</t>
  </si>
  <si>
    <t>P-SBS-219</t>
  </si>
  <si>
    <t>SBS 26X27 330Gsm White</t>
  </si>
  <si>
    <t>Brown</t>
  </si>
  <si>
    <t>P-SBS-234</t>
  </si>
  <si>
    <t>SBS 23X32.5 290Gsm</t>
  </si>
  <si>
    <t>P-SBS-244</t>
  </si>
  <si>
    <t>Sbs Paper 31.5X41.5 300 Gsm</t>
  </si>
  <si>
    <t>P-SBS-248</t>
  </si>
  <si>
    <t>Sbs Paper 28X40 330Gsm</t>
  </si>
  <si>
    <t>Sonilex</t>
  </si>
  <si>
    <t>P-SBS-251</t>
  </si>
  <si>
    <t xml:space="preserve">SBS 28X32 330GSM </t>
  </si>
  <si>
    <t>P-SBS-262</t>
  </si>
  <si>
    <t>Sbs Paper 21X36 345Gsm</t>
  </si>
  <si>
    <t>P-SBS-264</t>
  </si>
  <si>
    <t>Sbs Paper 22X32 330Gsm</t>
  </si>
  <si>
    <t>P-SBS-275</t>
  </si>
  <si>
    <t>Sbs Paper 22X30 400Gsm</t>
  </si>
  <si>
    <t>Orange</t>
  </si>
  <si>
    <t>P-SBS-288</t>
  </si>
  <si>
    <t>Sbs Paper 28X40 350Gsm White</t>
  </si>
  <si>
    <t>P-SBS-289</t>
  </si>
  <si>
    <t>SBS Paper 22X28 350Gsm White</t>
  </si>
  <si>
    <t>P-SBS-292</t>
  </si>
  <si>
    <t>SBS 20X28 330 GSM</t>
  </si>
  <si>
    <t>P-SBS-314</t>
  </si>
  <si>
    <t>Sbs Paper 26X38 300Gsm White</t>
  </si>
  <si>
    <t>Ds/11924</t>
  </si>
  <si>
    <t>Ds/21973</t>
  </si>
  <si>
    <t>P-SBS-325</t>
  </si>
  <si>
    <t>Sbs Paper 31.5X41.5 190Gsm Cream</t>
  </si>
  <si>
    <t>Ds/18039</t>
  </si>
  <si>
    <t>Philips Blue</t>
  </si>
  <si>
    <t>Ds/19602</t>
  </si>
  <si>
    <t>SBS 22X32 290Gsm</t>
  </si>
  <si>
    <t>Ds/18267</t>
  </si>
  <si>
    <t>P-SBS-359</t>
  </si>
  <si>
    <t>SBS 36x36 300Gsm</t>
  </si>
  <si>
    <t>P-SBS-362</t>
  </si>
  <si>
    <t>SBS 31X41 325GSM</t>
  </si>
  <si>
    <t>P-SBS-363</t>
  </si>
  <si>
    <t>Sbs Paper 22X28 300Gsm</t>
  </si>
  <si>
    <t>Ds/16558</t>
  </si>
  <si>
    <t>P-SBS-364</t>
  </si>
  <si>
    <t xml:space="preserve">SBS 23X30 380GSM </t>
  </si>
  <si>
    <t>Violet</t>
  </si>
  <si>
    <t>P-SBS-367</t>
  </si>
  <si>
    <t>Ds/24280</t>
  </si>
  <si>
    <t>SBS 24X29 380GSM</t>
  </si>
  <si>
    <t>P-SBS-375</t>
  </si>
  <si>
    <t>SBS 23X39 290Gsm</t>
  </si>
  <si>
    <t>P-SBS-376</t>
  </si>
  <si>
    <t>Sbs Paper 25X30 345Gsm</t>
  </si>
  <si>
    <t>Light Purple</t>
  </si>
  <si>
    <t>Ds/24279</t>
  </si>
  <si>
    <t>I-PAN-094</t>
  </si>
  <si>
    <t>Oshea box buff</t>
  </si>
  <si>
    <t>Buff</t>
  </si>
  <si>
    <t>Ds/24392</t>
  </si>
  <si>
    <t>P-SBS-394</t>
  </si>
  <si>
    <t>SBS 23X33 325Gsm Cream</t>
  </si>
  <si>
    <t>P-SBS-395</t>
  </si>
  <si>
    <t>Sbs Paper 28X35 325Gsm Cream</t>
  </si>
  <si>
    <t>P-SBS-397</t>
  </si>
  <si>
    <t>SBS 20X28 320 GSM Cream</t>
  </si>
  <si>
    <t>Gold New</t>
  </si>
  <si>
    <t>Ds/20355</t>
  </si>
  <si>
    <t>P-SBS-401</t>
  </si>
  <si>
    <t>Sbs Paper 25X36 320Gsm Cream</t>
  </si>
  <si>
    <t>I-PAN-096</t>
  </si>
  <si>
    <t>P-SBS-402</t>
  </si>
  <si>
    <t>Sbs Paper 25X36 350Gsm Cream</t>
  </si>
  <si>
    <t>P-SBS-404</t>
  </si>
  <si>
    <t>Sbs Paper 25X33 290Gsm Cream</t>
  </si>
  <si>
    <t>Maxo Bond</t>
  </si>
  <si>
    <t>Ds/23488</t>
  </si>
  <si>
    <t>Subtotal — Sbs Paper</t>
  </si>
  <si>
    <t>Purple</t>
  </si>
  <si>
    <t>Ds/23100</t>
  </si>
  <si>
    <t>P-ART-176</t>
  </si>
  <si>
    <t>Art Card 25X36 300Gsm</t>
  </si>
  <si>
    <t>Art Card 20X30 250Gsm</t>
  </si>
  <si>
    <t>C15446</t>
  </si>
  <si>
    <t>P-ART-243</t>
  </si>
  <si>
    <t xml:space="preserve">Art Card 25X36 250 Gms </t>
  </si>
  <si>
    <t>I-PAN-099</t>
  </si>
  <si>
    <t>Subtotal — Art Card</t>
  </si>
  <si>
    <t>Oshea body wash Gray</t>
  </si>
  <si>
    <t>Ds/24870</t>
  </si>
  <si>
    <t>Pvc Silver Metallised 20X30 120Gsm Release paper</t>
  </si>
  <si>
    <t>P-OTH-224</t>
  </si>
  <si>
    <t>Gloss Paper 30X40 250 Gsm</t>
  </si>
  <si>
    <t>P-OTH-237</t>
  </si>
  <si>
    <t>Safire Graphik 25X30 350Gsm</t>
  </si>
  <si>
    <t>Uv Led |Ds/23486</t>
  </si>
  <si>
    <t>Gold</t>
  </si>
  <si>
    <t>Uv Led |Ds/22605</t>
  </si>
  <si>
    <t>Uv Led |Ds/23146</t>
  </si>
  <si>
    <t>Light Brown</t>
  </si>
  <si>
    <t>Uv Led |Ds/23107</t>
  </si>
  <si>
    <t>Gold yellow</t>
  </si>
  <si>
    <t>Uv Led |Ds/23143</t>
  </si>
  <si>
    <t>Pink</t>
  </si>
  <si>
    <t>Uv Led |Ds/23422</t>
  </si>
  <si>
    <t>Coating</t>
  </si>
  <si>
    <t>Gloss</t>
  </si>
  <si>
    <t>High Gloss</t>
  </si>
  <si>
    <t>Matt|2300/20D22</t>
  </si>
  <si>
    <t>High Gloss|HRB11645</t>
  </si>
  <si>
    <t>Chemical</t>
  </si>
  <si>
    <t>Varnish</t>
  </si>
  <si>
    <t>EXC90220</t>
  </si>
  <si>
    <t>Solution</t>
  </si>
  <si>
    <t>Disinfectant soln</t>
  </si>
  <si>
    <t>Normal Wash</t>
  </si>
  <si>
    <t>Alcohol</t>
  </si>
  <si>
    <t>CH-SOL-117</t>
  </si>
  <si>
    <t>Inc Reducer (B)</t>
  </si>
  <si>
    <t>Adhesive</t>
  </si>
  <si>
    <t>Tape</t>
  </si>
  <si>
    <t>10Mm</t>
  </si>
  <si>
    <t>24Mm</t>
  </si>
  <si>
    <t>8Mm</t>
  </si>
  <si>
    <t>12Mm</t>
  </si>
  <si>
    <t>20Mm</t>
  </si>
  <si>
    <t>48Mm</t>
  </si>
  <si>
    <t>Double Side</t>
  </si>
  <si>
    <t>Miscellaneous</t>
  </si>
  <si>
    <t>Gum</t>
  </si>
  <si>
    <t>Image Remover Fluid</t>
  </si>
  <si>
    <t>Powder</t>
  </si>
  <si>
    <t>Cleaning</t>
  </si>
  <si>
    <t>Deglazing and Maintenance paste</t>
  </si>
  <si>
    <t>Duct Gloss-Full UV</t>
  </si>
  <si>
    <t>Normal Gp</t>
  </si>
  <si>
    <t>Hard Gp</t>
  </si>
  <si>
    <t>Polythene</t>
  </si>
  <si>
    <t>CH-SOL-150</t>
  </si>
  <si>
    <t>Uv Fd ink wash</t>
  </si>
  <si>
    <t>Wash</t>
  </si>
  <si>
    <t>L-BOP-151</t>
  </si>
  <si>
    <t>Lamination</t>
  </si>
  <si>
    <t>Bopp Film 13 inch Normal Matt</t>
  </si>
  <si>
    <t>Bopp Film</t>
  </si>
  <si>
    <t>13inch</t>
  </si>
  <si>
    <t>Normal Matt</t>
  </si>
  <si>
    <t>14.5inch</t>
  </si>
  <si>
    <t>16inch</t>
  </si>
  <si>
    <t>In Transit</t>
  </si>
  <si>
    <t>Days Remaining</t>
  </si>
  <si>
    <t>Order By Date</t>
  </si>
  <si>
    <t>Days to Issue/Overdue</t>
  </si>
  <si>
    <t>L-BOP-154</t>
  </si>
  <si>
    <t>Suggested Order Qty</t>
  </si>
  <si>
    <t>Stock Status</t>
  </si>
  <si>
    <t>Bopp Film 17.5 inch Gloss Matt</t>
  </si>
  <si>
    <t>Manual Status</t>
  </si>
  <si>
    <t>17.5inch</t>
  </si>
  <si>
    <t>Status Date</t>
  </si>
  <si>
    <t>L-BOP-155</t>
  </si>
  <si>
    <t>—</t>
  </si>
  <si>
    <t>Bopp Film 17 inch Normal Matt</t>
  </si>
  <si>
    <t>17inch</t>
  </si>
  <si>
    <t>📌 On Demand</t>
  </si>
  <si>
    <t>L-BOP-156</t>
  </si>
  <si>
    <t>Bopp Film 15 inch Gloss</t>
  </si>
  <si>
    <t>15inch</t>
  </si>
  <si>
    <t>11.5inch</t>
  </si>
  <si>
    <t>12.5inch</t>
  </si>
  <si>
    <t>Polyester Film</t>
  </si>
  <si>
    <t>Glue</t>
  </si>
  <si>
    <t>L-POL-161</t>
  </si>
  <si>
    <t>0.64 M X 240 M Stamping Foil / Srz Silver Roll</t>
  </si>
  <si>
    <t>Silver</t>
  </si>
  <si>
    <t>POW-POW-162</t>
  </si>
  <si>
    <t>Esp Em Powder</t>
  </si>
  <si>
    <t>Rubber</t>
  </si>
  <si>
    <t>M-DOR-166</t>
  </si>
  <si>
    <t>Carry Bag Singal Jod Pesting Eyelet &amp; Dori Red Colour</t>
  </si>
  <si>
    <t>Dori</t>
  </si>
  <si>
    <t>M-DOR-167</t>
  </si>
  <si>
    <t>Carry Bag Singal Jod Pesting Eyelet &amp; Dori Chinky Minky</t>
  </si>
  <si>
    <t>Multi</t>
  </si>
  <si>
    <t>M-DOR-168</t>
  </si>
  <si>
    <t>Dangler Only For Threading</t>
  </si>
  <si>
    <t>Cutter</t>
  </si>
  <si>
    <t>Foil</t>
  </si>
  <si>
    <t>Uv Foil-Exc20044</t>
  </si>
  <si>
    <t>Led-Exc26013v</t>
  </si>
  <si>
    <t>Out</t>
  </si>
  <si>
    <t xml:space="preserve">Printing </t>
  </si>
  <si>
    <t>Die Cutting</t>
  </si>
  <si>
    <t>🟢 OK</t>
  </si>
  <si>
    <t>Kraft Paper</t>
  </si>
  <si>
    <t>23X32</t>
  </si>
  <si>
    <t>Adjustment</t>
  </si>
  <si>
    <t>Printing</t>
  </si>
  <si>
    <t>printing</t>
  </si>
  <si>
    <t>Mapletho 23X36 78Gsm</t>
  </si>
  <si>
    <t>78Gsm</t>
  </si>
  <si>
    <t>Hard Wash</t>
  </si>
  <si>
    <t>⚪ No ADC Data</t>
  </si>
  <si>
    <t>Spot Uv</t>
  </si>
  <si>
    <t>⚪ Set Interval</t>
  </si>
  <si>
    <t>Packaging</t>
  </si>
  <si>
    <t>Pasting</t>
  </si>
  <si>
    <t>516/517</t>
  </si>
  <si>
    <t>20.25X34</t>
  </si>
  <si>
    <t>P-KRA-187</t>
  </si>
  <si>
    <t>DIE CUTTINH</t>
  </si>
  <si>
    <t>Kraft Paper 29.5X41.5 330Gsm</t>
  </si>
  <si>
    <t>P-KRA-188</t>
  </si>
  <si>
    <t>Kraft Paper 35X39.5 320Gsm</t>
  </si>
  <si>
    <t>30.25X31</t>
  </si>
  <si>
    <t>L-BOP-202</t>
  </si>
  <si>
    <t>Bopp 10 Micron Film Gloss 20Inch</t>
  </si>
  <si>
    <t>Printing 2 Color</t>
  </si>
  <si>
    <t>P-ART-205</t>
  </si>
  <si>
    <t>Art Paper 25X36 170Gsm</t>
  </si>
  <si>
    <t>Printing 6 Color</t>
  </si>
  <si>
    <t>P-ART-214</t>
  </si>
  <si>
    <t>Paper Cutting</t>
  </si>
  <si>
    <t>CH-SOL-221</t>
  </si>
  <si>
    <t xml:space="preserve">Standard Screen Cleaner </t>
  </si>
  <si>
    <t>29.5X41.5</t>
  </si>
  <si>
    <t>CH-SOL-223</t>
  </si>
  <si>
    <t>Castrol Alpha SP 150</t>
  </si>
  <si>
    <t>35X39.5</t>
  </si>
  <si>
    <t>CH-SOL-190</t>
  </si>
  <si>
    <t>P-DUP-236</t>
  </si>
  <si>
    <t>Duplex 23X36 296Gsm Gray Back</t>
  </si>
  <si>
    <t>UV Hybrid Gloss Duct</t>
  </si>
  <si>
    <t>P-OTH-238</t>
  </si>
  <si>
    <t>Safire Graphik 36X26 400Gsm</t>
  </si>
  <si>
    <t>Hybrid Gloss</t>
  </si>
  <si>
    <t>P-OTH-239</t>
  </si>
  <si>
    <t>Safire Graphik 23X36 400Gsm</t>
  </si>
  <si>
    <t>P-DUP-241</t>
  </si>
  <si>
    <t>Duplex 26X42 250Gsm G/B</t>
  </si>
  <si>
    <t>lamination</t>
  </si>
  <si>
    <t>Hybrid</t>
  </si>
  <si>
    <t>I-PAN-246</t>
  </si>
  <si>
    <t>Pantone 2736 C Violet</t>
  </si>
  <si>
    <t>P-DUP-250</t>
  </si>
  <si>
    <t>Duplex 21X36 296Gsm White Back</t>
  </si>
  <si>
    <t>I-PAN-252</t>
  </si>
  <si>
    <t>Urban Vitamin Pantone 184c</t>
  </si>
  <si>
    <t>I-PAN-253</t>
  </si>
  <si>
    <t>DS/19530 PANT.350C GREEN</t>
  </si>
  <si>
    <t>M-OTH-260</t>
  </si>
  <si>
    <t>Parle G Buiscuit</t>
  </si>
  <si>
    <t>P-DUP-261</t>
  </si>
  <si>
    <t>Duplex 28X40 250Gsm Gray Back</t>
  </si>
  <si>
    <t>P-DUP-266</t>
  </si>
  <si>
    <t>Duplex 22X32 330Gsm Gray Back</t>
  </si>
  <si>
    <t>L-COA-270</t>
  </si>
  <si>
    <t>Bopp Film 19.5 inch Gloss</t>
  </si>
  <si>
    <t>L-COA-271</t>
  </si>
  <si>
    <t>Bopp Film 17.5 inch Matt</t>
  </si>
  <si>
    <t>L-COA-272</t>
  </si>
  <si>
    <t>Bopp Film 19.5 inch Matt</t>
  </si>
  <si>
    <t>Printing-6c</t>
  </si>
  <si>
    <t>L-COA-278</t>
  </si>
  <si>
    <t>Thermal Matt 19.5Inch</t>
  </si>
  <si>
    <t>P-DUP-279</t>
  </si>
  <si>
    <t>Duplex 37X37.25 296Gsm gb</t>
  </si>
  <si>
    <t>I-PAN-281</t>
  </si>
  <si>
    <t>JSS ANTI ACNE SERUME P 2262C</t>
  </si>
  <si>
    <t>I-PAN-282</t>
  </si>
  <si>
    <t>JSS VITAMIN C SERUM PAN 1575C</t>
  </si>
  <si>
    <t>I-PAN-283</t>
  </si>
  <si>
    <t xml:space="preserve">JSS PAN 213C INTIMATE ROLL ON </t>
  </si>
  <si>
    <t>Automatic</t>
  </si>
  <si>
    <t>P-KRA-290</t>
  </si>
  <si>
    <t>Kraft Paper 29.5X40 300Gsm</t>
  </si>
  <si>
    <t>White/B</t>
  </si>
  <si>
    <t>P-OTH-304</t>
  </si>
  <si>
    <t>Sona paper 25X36 250Gsm</t>
  </si>
  <si>
    <t>P-DUP-306</t>
  </si>
  <si>
    <t>Duplex 26X38 296Gsm Gray Back</t>
  </si>
  <si>
    <t>P-DUP-308</t>
  </si>
  <si>
    <t>Duplex 23X39 296Gsm Gray Back</t>
  </si>
  <si>
    <t>I-PAN-309</t>
  </si>
  <si>
    <t>Pantone 1915C</t>
  </si>
  <si>
    <t>🔴 Critical – Order Now</t>
  </si>
  <si>
    <t>P-DUP-316</t>
  </si>
  <si>
    <t>Duplex 24X34 260Gsm G/B</t>
  </si>
  <si>
    <t>P-DUP-317</t>
  </si>
  <si>
    <t>Duplex Paper 25X36 330Gsm White Back</t>
  </si>
  <si>
    <t>P-DUP-320</t>
  </si>
  <si>
    <t>Duplex 28X40 296Gsm Gray Back</t>
  </si>
  <si>
    <t>I-PAN-327</t>
  </si>
  <si>
    <t>24mm</t>
  </si>
  <si>
    <t>Orgate Face Mask Pantone 113C Yellow</t>
  </si>
  <si>
    <t>Trasnparet</t>
  </si>
  <si>
    <t>I-PAN-328</t>
  </si>
  <si>
    <t>Orgate Mood Bliss Pantone 510C Pink</t>
  </si>
  <si>
    <t>P-ART-331</t>
  </si>
  <si>
    <t>Art Card 20X30 90Gsm</t>
  </si>
  <si>
    <t>L-COA-332</t>
  </si>
  <si>
    <t>6mm</t>
  </si>
  <si>
    <t>Bopp Film 18.5 inch Gloss</t>
  </si>
  <si>
    <t>P-OTH-340</t>
  </si>
  <si>
    <t>Safire Graphik 25.7X37.5 400Gsm</t>
  </si>
  <si>
    <t xml:space="preserve"> Store</t>
  </si>
  <si>
    <t>P-OTH-341</t>
  </si>
  <si>
    <t xml:space="preserve">Safire Graphik 25.7X37.5 350Gsm </t>
  </si>
  <si>
    <t>I-PAN-345</t>
  </si>
  <si>
    <t>JSS P-7597 THANDA HERBAL OIL SSE - 001457</t>
  </si>
  <si>
    <t>I-PAN-351</t>
  </si>
  <si>
    <t xml:space="preserve">Pantone 5125C mederma care for scars </t>
  </si>
  <si>
    <t>Primer</t>
  </si>
  <si>
    <t>store</t>
  </si>
  <si>
    <t>L-BOP-361</t>
  </si>
  <si>
    <t>Bopp Film 17 inch Gloss</t>
  </si>
  <si>
    <t>cutting</t>
  </si>
  <si>
    <t>P-DUP-373</t>
  </si>
  <si>
    <t>Duplex 26X38 285Gsm Gray Back</t>
  </si>
  <si>
    <t>P-DUP-379</t>
  </si>
  <si>
    <t>Duplex 25X30 370Gsm g/b</t>
  </si>
  <si>
    <t>P-KRA-383</t>
  </si>
  <si>
    <t xml:space="preserve">KRAFT PAPER 44X29 300Gsm </t>
  </si>
  <si>
    <t>paper Cutting</t>
  </si>
  <si>
    <t>UV</t>
  </si>
  <si>
    <t>2 color</t>
  </si>
  <si>
    <t>sharrif-pasting</t>
  </si>
  <si>
    <t>Interval</t>
  </si>
  <si>
    <t>P-DUP-403</t>
  </si>
  <si>
    <t>DUPLEX 25X30 350GSM W/B</t>
  </si>
  <si>
    <t>120Gsm</t>
  </si>
  <si>
    <t>P-DUP-405</t>
  </si>
  <si>
    <t>side pasting</t>
  </si>
  <si>
    <t>Art Paper 23X36 80GSM</t>
  </si>
  <si>
    <t>P-DUP-413</t>
  </si>
  <si>
    <t>DUPLEX 25X30 350Gsm g/b</t>
  </si>
  <si>
    <t>18.5 Inch</t>
  </si>
  <si>
    <t>20 Inch</t>
  </si>
  <si>
    <t>Gloria Red</t>
  </si>
  <si>
    <t>Cutting-out</t>
  </si>
  <si>
    <t>6 color printing</t>
  </si>
  <si>
    <t>Spot UV</t>
  </si>
  <si>
    <t>pasting</t>
  </si>
  <si>
    <t>PRINTING 6C</t>
  </si>
  <si>
    <t>DIE Cutting</t>
  </si>
  <si>
    <t>170Gsm</t>
  </si>
  <si>
    <t>11mm</t>
  </si>
  <si>
    <t>295Gsm</t>
  </si>
  <si>
    <t>🛒  PURCHASE ACTIONS — Order Required</t>
  </si>
  <si>
    <t>Suggested Qty</t>
  </si>
  <si>
    <t>🔍  OPERATIONS CHECK — Due for Issue</t>
  </si>
  <si>
    <t>Last Out Date</t>
  </si>
  <si>
    <t>Days Overdue</t>
  </si>
  <si>
    <t>28X44</t>
  </si>
  <si>
    <t>23/04/2026</t>
  </si>
  <si>
    <t>390Gsm</t>
  </si>
  <si>
    <t>31/03/2026</t>
  </si>
  <si>
    <t>20/05/2026</t>
  </si>
  <si>
    <t>UV Screen Gloss-SPOT UV</t>
  </si>
  <si>
    <t>24/06/2026</t>
  </si>
  <si>
    <t>DS</t>
  </si>
  <si>
    <t>28/07/2026</t>
  </si>
  <si>
    <t>24/08/2026</t>
  </si>
  <si>
    <t>02/09/2026</t>
  </si>
  <si>
    <t>03/09/2026</t>
  </si>
  <si>
    <t>Die CUtting</t>
  </si>
  <si>
    <t>TATA-</t>
  </si>
  <si>
    <t>Nicobar</t>
  </si>
  <si>
    <t>GEAR UP</t>
  </si>
  <si>
    <t>16AAMP</t>
  </si>
  <si>
    <t>6AMP</t>
  </si>
  <si>
    <t>26X27</t>
  </si>
  <si>
    <t>Cleaner</t>
  </si>
  <si>
    <t>uv</t>
  </si>
  <si>
    <t>dIE Cutting</t>
  </si>
  <si>
    <t>575/576</t>
  </si>
  <si>
    <t>old/rand</t>
  </si>
  <si>
    <t>Mobi oil</t>
  </si>
  <si>
    <t>cUTTING</t>
  </si>
  <si>
    <t>Gloss Paper</t>
  </si>
  <si>
    <t>2Color</t>
  </si>
  <si>
    <t>random</t>
  </si>
  <si>
    <t>590-40low</t>
  </si>
  <si>
    <t>Multani Insert</t>
  </si>
  <si>
    <t>70Gsm</t>
  </si>
  <si>
    <t>Wasted</t>
  </si>
  <si>
    <t>599/600</t>
  </si>
  <si>
    <t>Pasting and Packaging</t>
  </si>
  <si>
    <t>Pakaging</t>
  </si>
  <si>
    <t>23X32.5</t>
  </si>
  <si>
    <t>Nicobar Patti</t>
  </si>
  <si>
    <t>235Gsm</t>
  </si>
  <si>
    <t>ADJUSTMENT</t>
  </si>
  <si>
    <t>36X26</t>
  </si>
  <si>
    <t>adjustment</t>
  </si>
  <si>
    <t>stock adjustment</t>
  </si>
  <si>
    <t>Fount</t>
  </si>
  <si>
    <t>26X42</t>
  </si>
  <si>
    <t>G/B</t>
  </si>
  <si>
    <t>FEVICOL-LAMINATION</t>
  </si>
  <si>
    <t>pRINting</t>
  </si>
  <si>
    <t>C Violet</t>
  </si>
  <si>
    <t>adj</t>
  </si>
  <si>
    <t>28X32</t>
  </si>
  <si>
    <t>GREEN</t>
  </si>
  <si>
    <t>13Inch</t>
  </si>
  <si>
    <t>55X5</t>
  </si>
  <si>
    <t>16.5Inch</t>
  </si>
  <si>
    <t>grey</t>
  </si>
  <si>
    <t>Seer-Soup</t>
  </si>
  <si>
    <t>Storage</t>
  </si>
  <si>
    <t>19.5inch</t>
  </si>
  <si>
    <t>17.5Inch</t>
  </si>
  <si>
    <t>Cleaning and Packaging</t>
  </si>
  <si>
    <t>20X34</t>
  </si>
  <si>
    <t>22X30</t>
  </si>
  <si>
    <t>27.2X30.5</t>
  </si>
  <si>
    <t>Hair Color</t>
  </si>
  <si>
    <t>19.5Inch</t>
  </si>
  <si>
    <t>37X37.25</t>
  </si>
  <si>
    <t>GB</t>
  </si>
  <si>
    <t>gearup</t>
  </si>
  <si>
    <t>6/c</t>
  </si>
  <si>
    <t>Gumming Sheet</t>
  </si>
  <si>
    <t>Gumming sheet</t>
  </si>
  <si>
    <t>PINK</t>
  </si>
  <si>
    <t>white</t>
  </si>
  <si>
    <t>29.5X40</t>
  </si>
  <si>
    <t>Khaki Color</t>
  </si>
  <si>
    <t>285Gsm</t>
  </si>
  <si>
    <t>gb</t>
  </si>
  <si>
    <t>20X28</t>
  </si>
  <si>
    <t>32X34</t>
  </si>
  <si>
    <t>ADJ</t>
  </si>
  <si>
    <t>21.5X37</t>
  </si>
  <si>
    <t>Printing 2/c</t>
  </si>
  <si>
    <t>DEEPAK</t>
  </si>
  <si>
    <t>all out cutting</t>
  </si>
  <si>
    <t>Nairobi Navy Blue</t>
  </si>
  <si>
    <t>Packing</t>
  </si>
  <si>
    <t>Leafing</t>
  </si>
  <si>
    <t>Packaging-cutting</t>
  </si>
  <si>
    <t>2 Color</t>
  </si>
  <si>
    <t>wb</t>
  </si>
  <si>
    <t>Anti Rust</t>
  </si>
  <si>
    <t>2/c</t>
  </si>
  <si>
    <t>24X34</t>
  </si>
  <si>
    <t>260Gsm</t>
  </si>
  <si>
    <t>648/649</t>
  </si>
  <si>
    <t>W/B</t>
  </si>
  <si>
    <t>335Gsm</t>
  </si>
  <si>
    <t>SKY PISTON KIT SMALL OUTER</t>
  </si>
  <si>
    <t>29X31</t>
  </si>
  <si>
    <t>210Gsm</t>
  </si>
  <si>
    <t>Printing 6/c</t>
  </si>
  <si>
    <t>190Gsm</t>
  </si>
  <si>
    <t>printing 2/c</t>
  </si>
  <si>
    <t>FEBBLE PERFECTION PINK</t>
  </si>
  <si>
    <t>cream</t>
  </si>
  <si>
    <t>90Gsm</t>
  </si>
  <si>
    <t>18.5Inch</t>
  </si>
  <si>
    <t>25w gear up</t>
  </si>
  <si>
    <t>RAINBOW</t>
  </si>
  <si>
    <t>PRINTING YELLOW SHEET</t>
  </si>
  <si>
    <t>PRINTING BLUE SHEET</t>
  </si>
  <si>
    <t>Buiscuit-ot</t>
  </si>
  <si>
    <t>34.5X40</t>
  </si>
  <si>
    <t>6/C</t>
  </si>
  <si>
    <t>25.7X37.5</t>
  </si>
  <si>
    <t>24.5X28</t>
  </si>
  <si>
    <t>290Gsm</t>
  </si>
  <si>
    <t>Printing 2c</t>
  </si>
  <si>
    <t>80Gsm</t>
  </si>
  <si>
    <t xml:space="preserve">Store </t>
  </si>
  <si>
    <t>MEDERMA CARE FOR SCARS</t>
  </si>
  <si>
    <t>URBANZEN KIT -PINK</t>
  </si>
  <si>
    <t>YELLOW-PLASTIC</t>
  </si>
  <si>
    <t>MAGENTA PLASTIC</t>
  </si>
  <si>
    <t>36X36</t>
  </si>
  <si>
    <t>23X30</t>
  </si>
  <si>
    <t>23.5X29</t>
  </si>
  <si>
    <t>29.5X23</t>
  </si>
  <si>
    <t>24X29</t>
  </si>
  <si>
    <t>Pasting/Packaging</t>
  </si>
  <si>
    <t>Cuttting</t>
  </si>
  <si>
    <t>370Gsm</t>
  </si>
  <si>
    <t>24.5X32</t>
  </si>
  <si>
    <t>44X29</t>
  </si>
  <si>
    <t>Cosmic Blue</t>
  </si>
  <si>
    <t>Wine Wink</t>
  </si>
  <si>
    <t>Emerald</t>
  </si>
  <si>
    <t>Pastiing</t>
  </si>
  <si>
    <t>Blush Mauver</t>
  </si>
  <si>
    <t>Midlight Blue</t>
  </si>
  <si>
    <t>6 Color</t>
  </si>
  <si>
    <t>23X33</t>
  </si>
  <si>
    <t>25.3x33.7</t>
  </si>
  <si>
    <t>20X38</t>
  </si>
  <si>
    <t>w/b</t>
  </si>
  <si>
    <t>31.5x41.5</t>
  </si>
  <si>
    <t>gray back</t>
  </si>
  <si>
    <t>CARRY BAG INSIDE</t>
  </si>
  <si>
    <t>CREAM</t>
  </si>
  <si>
    <t>23X35.8</t>
  </si>
  <si>
    <t>DIE</t>
  </si>
  <si>
    <t>kg</t>
  </si>
  <si>
    <t>68Gsm</t>
  </si>
  <si>
    <t>Die Cut</t>
  </si>
  <si>
    <t>Store Pantone</t>
  </si>
  <si>
    <t xml:space="preserve">out </t>
  </si>
  <si>
    <t xml:space="preserve">in </t>
  </si>
  <si>
    <t>Adjustmernt</t>
  </si>
  <si>
    <t xml:space="preserve">Cutting </t>
  </si>
  <si>
    <t>out-adjustment</t>
  </si>
  <si>
    <t>DIESEL-SKY -TMB OUTER</t>
  </si>
  <si>
    <t xml:space="preserve">cutting </t>
  </si>
  <si>
    <t>SKY VALVE</t>
  </si>
  <si>
    <t>ORGA ACNE</t>
  </si>
  <si>
    <t>ORGA ROLL ON</t>
  </si>
  <si>
    <t>AVOLOX</t>
  </si>
  <si>
    <t>PACHMEENA</t>
  </si>
  <si>
    <t>havels and standard</t>
  </si>
  <si>
    <t>CR</t>
  </si>
  <si>
    <t>NAIL PAINT and 10w buzz off</t>
  </si>
  <si>
    <t>9W</t>
  </si>
  <si>
    <t>Proveda sanitary-</t>
  </si>
  <si>
    <t>strip led</t>
  </si>
  <si>
    <t>10w decor</t>
  </si>
  <si>
    <t>ltp outer</t>
  </si>
  <si>
    <t>Mederma</t>
  </si>
  <si>
    <t>Fruity Balm</t>
  </si>
  <si>
    <t>carry bag new age</t>
  </si>
  <si>
    <t>10W BUZZ</t>
  </si>
  <si>
    <t>HOLD PRO GOLD KIT</t>
  </si>
  <si>
    <t>NAIL PAINT</t>
  </si>
  <si>
    <t>medarma</t>
  </si>
  <si>
    <t>fruit balm</t>
  </si>
  <si>
    <t>OUT</t>
  </si>
  <si>
    <t>PACKAGING</t>
  </si>
  <si>
    <t>CUTTING</t>
  </si>
  <si>
    <t>kapiva</t>
  </si>
  <si>
    <t>Maxima and muliv</t>
  </si>
  <si>
    <t>fertilina tab</t>
  </si>
  <si>
    <t>Strip led</t>
  </si>
  <si>
    <t>Proveda</t>
  </si>
  <si>
    <t>wrong paper-10w</t>
  </si>
  <si>
    <t>10w kareva</t>
  </si>
  <si>
    <t>Kozicare</t>
  </si>
  <si>
    <t>maxima 748</t>
  </si>
  <si>
    <t>muliv strong 749</t>
  </si>
  <si>
    <t>Proveda-752</t>
  </si>
  <si>
    <t>Office use</t>
  </si>
  <si>
    <t>fountol reject</t>
  </si>
  <si>
    <t>adjust</t>
  </si>
  <si>
    <t>LAMINATION</t>
  </si>
  <si>
    <t>756-fertilina</t>
  </si>
  <si>
    <t>757-VITTAG</t>
  </si>
  <si>
    <t>758-BCI CERTIFICATE</t>
  </si>
  <si>
    <t>extra--Wrong provided</t>
  </si>
  <si>
    <t>3*3 PLAIN</t>
  </si>
  <si>
    <t xml:space="preserve">1 FIT </t>
  </si>
  <si>
    <t>Multani Arogya</t>
  </si>
  <si>
    <t>wrom care</t>
  </si>
  <si>
    <t>SKY  CONNECTING ROD KIT</t>
  </si>
  <si>
    <t>SKY OUTER</t>
  </si>
  <si>
    <t xml:space="preserve">ltp </t>
  </si>
  <si>
    <t>8w cob</t>
  </si>
  <si>
    <t xml:space="preserve">2/c </t>
  </si>
  <si>
    <t>Orgatree</t>
  </si>
  <si>
    <t>STORE</t>
  </si>
  <si>
    <t>2804/2026</t>
  </si>
  <si>
    <t>multani hair</t>
  </si>
  <si>
    <t>Oshea sampling</t>
  </si>
  <si>
    <t>6C</t>
  </si>
  <si>
    <t>Budwhite</t>
  </si>
  <si>
    <t>ADJUSTMENT IN</t>
  </si>
  <si>
    <t>for LTP</t>
  </si>
  <si>
    <t>Maderma Fashwash</t>
  </si>
  <si>
    <t>cycline</t>
  </si>
  <si>
    <t>Pheet cracked</t>
  </si>
  <si>
    <t>sunheri udan</t>
  </si>
  <si>
    <t>bb kit</t>
  </si>
  <si>
    <t>13w</t>
  </si>
  <si>
    <t>Multani Isabghol</t>
  </si>
  <si>
    <t>coloressence lip color</t>
  </si>
  <si>
    <t>PASTING</t>
  </si>
  <si>
    <t>FND</t>
  </si>
  <si>
    <t>PMB</t>
  </si>
  <si>
    <t>PRIMER</t>
  </si>
  <si>
    <t>ORGA HERBAL OIL</t>
  </si>
  <si>
    <t>ZIG ZAG</t>
  </si>
  <si>
    <t>KOOK INSERT</t>
  </si>
  <si>
    <t>CR CONNECTING ROD KIT</t>
  </si>
  <si>
    <t>TOTA JALI</t>
  </si>
  <si>
    <t>KOOK HERBAL SYP</t>
  </si>
  <si>
    <t>sTORE</t>
  </si>
  <si>
    <t>Multani Enervive</t>
  </si>
  <si>
    <t>enervive</t>
  </si>
  <si>
    <t>Cuttimg</t>
  </si>
  <si>
    <t>multani</t>
  </si>
  <si>
    <t>multani antacid</t>
  </si>
  <si>
    <t>multani isabghol</t>
  </si>
  <si>
    <t>Health Star</t>
  </si>
  <si>
    <t>Grip Style</t>
  </si>
  <si>
    <t>Human Tourch</t>
  </si>
  <si>
    <t>HYBRID UV</t>
  </si>
  <si>
    <t>sky small outer</t>
  </si>
  <si>
    <t xml:space="preserve">sky piston outer </t>
  </si>
  <si>
    <t>sunscream</t>
  </si>
  <si>
    <t>antacid</t>
  </si>
  <si>
    <t>hydra matt</t>
  </si>
  <si>
    <t>jobmuliv</t>
  </si>
  <si>
    <t>10whumantorch</t>
  </si>
  <si>
    <t>sky</t>
  </si>
  <si>
    <t>urbanzen kit</t>
  </si>
  <si>
    <t>pachmeena</t>
  </si>
  <si>
    <t>6/v</t>
  </si>
  <si>
    <t>cr</t>
  </si>
  <si>
    <t>isabgol</t>
  </si>
  <si>
    <t>22 packet primer &amp; 14packet strobe</t>
  </si>
  <si>
    <t>lash ink</t>
  </si>
  <si>
    <t>Glow Edit</t>
  </si>
  <si>
    <t>904 -urbanzen</t>
  </si>
  <si>
    <t>905-i pop</t>
  </si>
  <si>
    <t>906-eyetastic</t>
  </si>
  <si>
    <t>kuka sip and hr 120ml</t>
  </si>
  <si>
    <t>DIE CUTTING</t>
  </si>
  <si>
    <t>long stay</t>
  </si>
  <si>
    <t>SPOT UV</t>
  </si>
  <si>
    <t>Alovera</t>
  </si>
  <si>
    <t>Silkvile</t>
  </si>
  <si>
    <t>INSTANT BEARD &amp; HAIR COLOR</t>
  </si>
  <si>
    <t>maxo bond</t>
  </si>
  <si>
    <t>nico</t>
  </si>
  <si>
    <t>946-TST</t>
  </si>
  <si>
    <t xml:space="preserve">CUTTING </t>
  </si>
  <si>
    <t>CARRY BAG</t>
  </si>
  <si>
    <t>die Cutting</t>
  </si>
  <si>
    <t xml:space="preserve">BAMBOO TOOTHPASTE- </t>
  </si>
  <si>
    <t>red rice moist</t>
  </si>
  <si>
    <t>red rice toner</t>
  </si>
  <si>
    <t>Strobe-2item</t>
  </si>
  <si>
    <t>8w conceal</t>
  </si>
  <si>
    <t>primer20+primer new10+1700extra</t>
  </si>
  <si>
    <t>vml10+4in1 12</t>
  </si>
  <si>
    <t>globe</t>
  </si>
  <si>
    <t>RED RICE</t>
  </si>
  <si>
    <t>4 in 1</t>
  </si>
  <si>
    <t>primer new</t>
  </si>
  <si>
    <t>hydra shine</t>
  </si>
  <si>
    <t>ccc-2</t>
  </si>
  <si>
    <t>budwhite</t>
  </si>
  <si>
    <t>intimate</t>
  </si>
  <si>
    <t>Himalaya soap</t>
  </si>
  <si>
    <t>vudwhite-</t>
  </si>
  <si>
    <t>CONNECTING</t>
  </si>
  <si>
    <t>ADJUST</t>
  </si>
  <si>
    <t>ORGA SINDOOR</t>
  </si>
  <si>
    <t>pro bleach</t>
  </si>
  <si>
    <t>Moringa-CARTON</t>
  </si>
  <si>
    <t>MAXO BOND</t>
  </si>
  <si>
    <t>M.R.</t>
  </si>
  <si>
    <t>proveda-gold</t>
  </si>
  <si>
    <t>proveda-papaya</t>
  </si>
  <si>
    <t>strobe</t>
  </si>
  <si>
    <t>TIME TO PRIME SILK</t>
  </si>
  <si>
    <t>moringa-carton</t>
  </si>
  <si>
    <t>Long Stay Outer</t>
  </si>
  <si>
    <t>FERRO</t>
  </si>
  <si>
    <t>soap 125gm</t>
  </si>
  <si>
    <t>Job HR</t>
  </si>
  <si>
    <t>connecting</t>
  </si>
  <si>
    <t>MAXO</t>
  </si>
  <si>
    <t>KERVO</t>
  </si>
  <si>
    <t>Liquid Sindoor</t>
  </si>
  <si>
    <t>NUTRI GLOW</t>
  </si>
  <si>
    <t>URBENZEN KIT</t>
  </si>
  <si>
    <t>PRO PAPAYA</t>
  </si>
  <si>
    <t>ORGA GROWTH</t>
  </si>
  <si>
    <t>URBANZEN VITAMIN C+E</t>
  </si>
  <si>
    <t>URBANZEN B-3</t>
  </si>
  <si>
    <t>URBANZEN B-5</t>
  </si>
  <si>
    <t>URBANZEN VITAMIN A</t>
  </si>
  <si>
    <t>HEALTH STAR -GROWTH</t>
  </si>
  <si>
    <t xml:space="preserve">URBANZEN MINI KIT </t>
  </si>
  <si>
    <t>SUPREME EYELINER</t>
  </si>
  <si>
    <t>HR ROSE</t>
  </si>
  <si>
    <t>URBANZEN TRAY</t>
  </si>
  <si>
    <t>PRIMER PRE MAKUP</t>
  </si>
  <si>
    <t>PRIMER 4 IN 1</t>
  </si>
  <si>
    <t>Soap</t>
  </si>
  <si>
    <t>5 HAIR FIXER, 4 MIST, 11 SPF, GLOW EDIT</t>
  </si>
  <si>
    <t>Store / Purchase</t>
  </si>
  <si>
    <t>GRN GRN-260803-153646 / Inv 3158</t>
  </si>
  <si>
    <t>DANDI CRYSTA</t>
  </si>
  <si>
    <t>HR GOLD</t>
  </si>
  <si>
    <t>Isabgol</t>
  </si>
  <si>
    <t>ojb kit</t>
  </si>
  <si>
    <t>OJB KIT OUTER</t>
  </si>
  <si>
    <t>Muliv</t>
  </si>
  <si>
    <t>bb cream</t>
  </si>
  <si>
    <t>MULTANI-LOUGH</t>
  </si>
  <si>
    <t>LIVPAW</t>
  </si>
  <si>
    <t>WORMCARE</t>
  </si>
  <si>
    <t>FIT INSP-KUKA SIP</t>
  </si>
  <si>
    <t>OJB BATH KIT</t>
  </si>
  <si>
    <t>MULTANI SOAP 125X3</t>
  </si>
  <si>
    <t>DAP VALVE OUTER</t>
  </si>
  <si>
    <t>HUMAN TORCH</t>
  </si>
  <si>
    <t>OSHEA OUTER</t>
  </si>
  <si>
    <t>NUTRIGLOW KIT</t>
  </si>
  <si>
    <t>NEEM SOAP</t>
  </si>
  <si>
    <t>FEET CREAM</t>
  </si>
  <si>
    <t>SOAP 125GM</t>
  </si>
  <si>
    <t>HR ROSE 30GM</t>
  </si>
  <si>
    <t>0.5 blister coat</t>
  </si>
  <si>
    <t>kozikare</t>
  </si>
  <si>
    <t>12w air</t>
  </si>
  <si>
    <t>s rocket, park outer</t>
  </si>
  <si>
    <t>12W</t>
  </si>
  <si>
    <t>GRANADE</t>
  </si>
  <si>
    <t>4 IN 1, VML</t>
  </si>
  <si>
    <t>RED RICE SYRUP</t>
  </si>
  <si>
    <t>S ROCKET</t>
  </si>
  <si>
    <t>FIT INSP</t>
  </si>
  <si>
    <t>KUKA SIP</t>
  </si>
  <si>
    <t>Stock Count Correction: 15 → 5</t>
  </si>
  <si>
    <t>GRN GRN-260807-110449 / Inv INV01</t>
  </si>
  <si>
    <t>Stock Count Correction: 5 → 1</t>
  </si>
  <si>
    <t>Stock Count Correction: 0 → 20</t>
  </si>
  <si>
    <t>GRN GRN-260807-130931 / Inv OK26/3254</t>
  </si>
  <si>
    <t>GRN GRN-260807-131011 / Inv OK26/3255</t>
  </si>
  <si>
    <t>GRN GRN-260814-133526 / Inv 386</t>
  </si>
  <si>
    <t>GRN GRN-260814-133835 / Inv 3401</t>
  </si>
  <si>
    <t>GRN GRN-260814-134220 / Inv 3394</t>
  </si>
  <si>
    <t>GRN GRN-260814-135007 / Inv 4387</t>
  </si>
  <si>
    <t>GRN GRN-260814-135530 / Inv 3358</t>
  </si>
  <si>
    <t>GRN GRN-260814-140243 / Inv 3293</t>
  </si>
  <si>
    <t>GRN GRN-260814-140908 / Inv 3213</t>
  </si>
  <si>
    <t>GRN GRN-260820-145704 / Inv 3457</t>
  </si>
  <si>
    <t>GRN GRN-260820-150132 / Inv 3514</t>
  </si>
  <si>
    <t>GRN GRN-260820-182215 / Inv AAPL/3238/26-27</t>
  </si>
  <si>
    <t>GRN GRN-260820-182551 / Inv ----</t>
  </si>
  <si>
    <t>Sno</t>
  </si>
  <si>
    <t>Dealer Name</t>
  </si>
  <si>
    <t>Item</t>
  </si>
  <si>
    <t>Contact Number</t>
  </si>
  <si>
    <t>Stock Count Correction: 1 → 8</t>
  </si>
  <si>
    <t>Shyam Lal</t>
  </si>
  <si>
    <t>Big Dhot and Small Dhoti</t>
  </si>
  <si>
    <t>DS INDIA-SHIV VERMA</t>
  </si>
  <si>
    <t>CHEMICALS-ALCOHOL,BENZENE,FOUNT,RADICURE MATT, REDUCER, TRANS V INK, VARNISH, WASH, PLATE CLEANER, HARD PLATE CLEANER</t>
  </si>
  <si>
    <t>Good --can transport within 1 day</t>
  </si>
  <si>
    <t>DS INDIA-RAHUL JAIN ARORA</t>
  </si>
  <si>
    <t>NOVA NOL EXTRA-DS PRODUCT</t>
  </si>
  <si>
    <t>Stock Count Correction: 2 → 6</t>
  </si>
  <si>
    <t>Not good with variety of products</t>
  </si>
  <si>
    <t>Amyle</t>
  </si>
  <si>
    <t>Stock Count Correction: 9 → 4</t>
  </si>
  <si>
    <t>Stock Count Correction: 0 → 5</t>
  </si>
  <si>
    <t>Stock Count Correction: 1 → 6</t>
  </si>
  <si>
    <t>Stock Count Correction: 2 → 4</t>
  </si>
  <si>
    <t>Stock Count Correction: 3 → 0</t>
  </si>
  <si>
    <t>Stock Count Correction: 2 → 0</t>
  </si>
  <si>
    <t>GRN GRN-260820-190621 / Inv 3572</t>
  </si>
  <si>
    <t>GRN GRN-260820-190757 / Inv 3570</t>
  </si>
  <si>
    <t>Stock Count Correction: 1159 → 75</t>
  </si>
  <si>
    <t>Stock Count Correction: 40 → 0</t>
  </si>
  <si>
    <t>GRN GRN-260824-161141 / Inv INV26272408</t>
  </si>
  <si>
    <t>Note:</t>
  </si>
  <si>
    <t>Dont Change any sheet Name</t>
  </si>
  <si>
    <t>Dont enter any values which are not available on drop down menu-First add New item/category/Material into dropdown sheet</t>
  </si>
  <si>
    <t>Dont Modify Any Formulae/Record without proir version control</t>
  </si>
  <si>
    <t>Before Managing Stock In/Out Check if Item listed in Item sheet- and in stock</t>
  </si>
  <si>
    <t>*Note Some Item Quantity is in Overall/assumption based</t>
  </si>
  <si>
    <t>CORECTION</t>
  </si>
  <si>
    <t>Stock Count Correction: 10 → 5</t>
  </si>
  <si>
    <t>GRN GRN-260825-154328 / Inv INV111</t>
  </si>
  <si>
    <t>GRN GRN-260825-183711 / Inv 4217</t>
  </si>
  <si>
    <t>SBS Paper</t>
  </si>
  <si>
    <t>GRN GRN-260825-193128 / Inv 4842</t>
  </si>
  <si>
    <t>Chemicals</t>
  </si>
  <si>
    <t>GRN GRN-260826-153644 / Inv 1111</t>
  </si>
  <si>
    <t>ferro</t>
  </si>
  <si>
    <t>adjustmnet</t>
  </si>
  <si>
    <t>GRN GRN-260827-135001 / Inv 3702</t>
  </si>
  <si>
    <t>GRN GRN-260827-135231 / Inv 3699</t>
  </si>
  <si>
    <t>GRN GRN-260827-135410 / Inv 1142</t>
  </si>
  <si>
    <t>GRN GRN-260827-135604 / Inv 4902/OK</t>
  </si>
  <si>
    <t>GRN GRN-260827-135758 / Inv 3643</t>
  </si>
  <si>
    <t>GRN GRN-260827-140051 / Inv 4897/OK</t>
  </si>
  <si>
    <t>Item Description</t>
  </si>
  <si>
    <t>Gsm</t>
  </si>
  <si>
    <t>GRN GRN-260831-155325 / Inv 26-27/1373</t>
  </si>
  <si>
    <t>GRN GRN-260901-134301 / Inv OK26/3902</t>
  </si>
  <si>
    <t>Stock Count Correction: 11 → 5</t>
  </si>
  <si>
    <t>GRN GRN-260901-140314 / Inv 4237</t>
  </si>
  <si>
    <t>GRN GRN-260901-143739 / Inv 3811</t>
  </si>
  <si>
    <t>⚠️ Warning: 200 Sheet of this issue came from OUTSIDE Job "used in coloressence kit"'s own reserved paper (200 from Job "KOREAN GLASS") because that job's own stock ran short.</t>
  </si>
  <si>
    <t>⚠️ Warning: 100 Sheet of this issue came from OUTSIDE Job "used in coloressence kit"'s own reserved paper (100 from Job "korean") because that job's own stock ran short.</t>
  </si>
  <si>
    <t>GRN GRN-260901-154957 / Inv 3794</t>
  </si>
  <si>
    <t>Coating/Leafing</t>
  </si>
  <si>
    <t>Stock Count Correction: 2500 → 0</t>
  </si>
  <si>
    <t>Adjustment (Count Correction): OPEN-I-CMY-061</t>
  </si>
  <si>
    <t>Adjustment (Count Correction): OPEN-I-CMY-064</t>
  </si>
  <si>
    <t>Adjustment (Count Correction): OPEN-I-CMY-063</t>
  </si>
  <si>
    <t>Adjustment (Count Correction): OPEN-I-CMY-062</t>
  </si>
  <si>
    <t>Adjustment (Count Correction): OPEN-I-CMY-225</t>
  </si>
  <si>
    <t>Adjustment (Count Correction): GRN-260820-182551-L1</t>
  </si>
  <si>
    <t>Adjustment (Count Correction): CORR-260820-182823</t>
  </si>
  <si>
    <t>Adjustment (Count Correction): OPEN-I-CMY-227</t>
  </si>
  <si>
    <t>Adjustment (Count Correction): OPEN-I-CMY-070</t>
  </si>
  <si>
    <t>pentalinear</t>
  </si>
  <si>
    <t>Multani outlet</t>
  </si>
  <si>
    <t>Stock Count Correction: 5 → 10</t>
  </si>
  <si>
    <t>Stock Count Correction: 3 → 4</t>
  </si>
  <si>
    <t>Stock Count Correction: 0 → 25</t>
  </si>
  <si>
    <t>Stock Count Correction: 11 → 4</t>
  </si>
  <si>
    <t>GRN GRN-260902-163557 / Inv EPC-197/26-27</t>
  </si>
  <si>
    <t>⚠️ Warning: 1545 Sheet of this issue came from OUTSIDE Job "8W SUNHERI UDAAN 2.0"'s own reserved paper (1545 from general stock) because that job's own stock ran short.</t>
  </si>
  <si>
    <t>Stock Count Correction: 2900 → 400</t>
  </si>
  <si>
    <t>Stock Count Correction: 2600 → 1000</t>
  </si>
  <si>
    <t>Stock Count Correction: 273 → 100</t>
  </si>
  <si>
    <t>GRN GRN-260902-182546 / Inv 50</t>
  </si>
  <si>
    <t>GRN GRN-260902-182853 / Inv 29699</t>
  </si>
  <si>
    <t>Stock Count Correction: 534 → 120</t>
  </si>
  <si>
    <t>Piramal sampling</t>
  </si>
  <si>
    <t>Stock Count Correction: 150 → 0</t>
  </si>
  <si>
    <t>Stock Count Correction: 7 → 3</t>
  </si>
  <si>
    <t>GRN GRN-260905-154042 / Inv 3872</t>
  </si>
  <si>
    <t>GRN GRN-260905-172741 / Inv ok26-27</t>
  </si>
  <si>
    <t>Stock Count Correction: 75 → 30</t>
  </si>
  <si>
    <t>GRN GRN-260905-173106 / Inv ----</t>
  </si>
  <si>
    <t>⚠️ Warning: 20 Ltr of this issue came from OUTSIDE Job "2/C"'s own reserved paper (20 from general stock) because that job's own stock ran short.</t>
  </si>
  <si>
    <t>⚠️ Warning: 5 Ltr of this issue came from OUTSIDE Job "2/C"'s own reserved paper (5 from general stock) because that job's own stock ran short.</t>
  </si>
  <si>
    <t>Stock Count Correction: 3 → 1</t>
  </si>
  <si>
    <t>Stock Count Correction: 17 → 15</t>
  </si>
  <si>
    <t>Stock Count Correction: 6 → 2</t>
  </si>
  <si>
    <t>GRN GRN-260907-104401 / Inv 417</t>
  </si>
  <si>
    <t>GRN GRN-260907-121302 / Inv 4251</t>
  </si>
  <si>
    <t>GRN GRN-260907-121601 / Inv 786</t>
  </si>
  <si>
    <t>GRN GRN-260907-121749 / Inv 3888</t>
  </si>
  <si>
    <t>⚠️ Warning: 600 Sheet of this issue came from OUTSIDE Job "coloressence- Alovera"'s own reserved paper (600 from general stock) because that job's own stock ran short.</t>
  </si>
  <si>
    <t>Duplex Paper</t>
  </si>
  <si>
    <t>GRN GRN-260908-172120 / Inv 3931</t>
  </si>
  <si>
    <t>GRN GRN-260908-172440 / Inv 3957</t>
  </si>
  <si>
    <t>⚠️ Warning: 1650 Sheet of this issue came from OUTSIDE Job "TBC -2"'s own reserved paper (1650 from general stock) because that job's own stock ran short.</t>
  </si>
  <si>
    <t>GRN GRN-260908-175022 / Inv 4258</t>
  </si>
  <si>
    <t>⚠️ Warning: 1728 Sheet of this issue came from OUTSIDE Job "3x3 HAV"'s own reserved paper (1728 from Job "JOB --EXTRA") because that job's own stock ran short.</t>
  </si>
  <si>
    <t>⚠️ Warning: 700 Sheet of this issue came from OUTSIDE Job "piramal"'s own reserved paper (700 from general stock) because that job's own stock ran short.</t>
  </si>
  <si>
    <t>From Date</t>
  </si>
  <si>
    <t>To Date</t>
  </si>
  <si>
    <t>GRN GRN-260910-123314 / Inv 111</t>
  </si>
  <si>
    <t>GRN GRN-260910-123655 / Inv OK26/4110</t>
  </si>
  <si>
    <t>GRN GRN-260910-125552 / Inv NPB-17578/26-27</t>
  </si>
  <si>
    <t>Art Card/Art Paper</t>
  </si>
  <si>
    <t>GRN GRN-260911-103709 / Inv 4036</t>
  </si>
  <si>
    <t>multani rose water soap 125gx1</t>
  </si>
  <si>
    <t>Crystal flood light</t>
  </si>
  <si>
    <t>GRN GRN-260911-104302 / Inv OK26/4180</t>
  </si>
  <si>
    <t>GRN GRN-260911-104622 / Inv OK26/4154</t>
  </si>
  <si>
    <t>GRN GRN-260912-154839 / Inv 4068</t>
  </si>
  <si>
    <t>GRN GRN-260915-161615 / Inv 4123</t>
  </si>
  <si>
    <t>GRN GRN-260915-161833 / Inv 5586</t>
  </si>
  <si>
    <t>GRN GRN-260915-200643 / Inv 4166</t>
  </si>
  <si>
    <t xml:space="preserve"> 12/24/2025 0:00:00</t>
  </si>
  <si>
    <t>SBS Paper 23 x 36 - 325 GSM</t>
  </si>
  <si>
    <t>SBS Paper 20 x 34 - 345 GSM</t>
  </si>
  <si>
    <t>SBS Paper 25 x 33 - 325 GSM</t>
  </si>
  <si>
    <t>SBS Paper 20 x 36 - 350 GSM</t>
  </si>
  <si>
    <t>SBS Paper 28 X 36 - 350 GSM</t>
  </si>
  <si>
    <t>SBS Paper 23 x 36 - 300 GSM</t>
  </si>
  <si>
    <t>SBS Paper 28 x 40 - 230 GSM</t>
  </si>
  <si>
    <t>SBS Paper 20.8 x 31.8 - 320 GSM</t>
  </si>
  <si>
    <t>SBS Paper 17.750 x 29.50 - 350 GSM</t>
  </si>
  <si>
    <t>SBS Paper 23 x 31 - 340 GSM</t>
  </si>
  <si>
    <t>SBS Paper 22 x 28 - 300 GSM</t>
  </si>
  <si>
    <t>White Back 26 x 38 -400 GSM</t>
  </si>
  <si>
    <t>White Back 22.5 x 34 -200 GSM</t>
  </si>
  <si>
    <t>Gray Back 26 x 38 - 300 GSM</t>
  </si>
  <si>
    <t>Gray Back 28 x 35 - 300 GSM</t>
  </si>
  <si>
    <t>Gray Back 23 x 36 - 300 GSM</t>
  </si>
  <si>
    <t>Gray Back 36 x 38 - 300 GSM</t>
  </si>
  <si>
    <t>Gray Back 30 x 40 - 300 GSM</t>
  </si>
  <si>
    <t>Gloss Paper 25 x 36 - 300 GSM</t>
  </si>
  <si>
    <t>Gloss Paper 25 x 36 - 115 GSM</t>
  </si>
  <si>
    <t>Gloss Paper 30 x 40 - 128 GSM</t>
  </si>
  <si>
    <t>Black Ink</t>
  </si>
  <si>
    <t>Meganta</t>
  </si>
  <si>
    <t>Cyan Ink</t>
  </si>
  <si>
    <t>C-Purple (Primer Paint-252)</t>
  </si>
  <si>
    <t>Oshea Box Buff</t>
  </si>
  <si>
    <t>Colour Gold New</t>
  </si>
  <si>
    <t>UV LED Altima</t>
  </si>
  <si>
    <t>UV LED Platinum Gray</t>
  </si>
  <si>
    <t>UV LED Multan Natural Gold</t>
  </si>
  <si>
    <t>UV LED Oshea Pink</t>
  </si>
  <si>
    <t>UV LED Light Brown</t>
  </si>
  <si>
    <t>UV LED Gold Yellow</t>
  </si>
  <si>
    <t>Voilet</t>
  </si>
  <si>
    <t>Paint -188 - C- Brown</t>
  </si>
  <si>
    <t>Paint -185 - C- Red (Toyo Ink)</t>
  </si>
  <si>
    <t>Paint - 3262 C- Green</t>
  </si>
  <si>
    <t>Philips Blue (17718)</t>
  </si>
  <si>
    <t>Hass Hotel - Dark Brown (Toyo Ink)</t>
  </si>
  <si>
    <t>JSS O/S - Orrange Colour</t>
  </si>
  <si>
    <t>JSS O/S - Pantone Colour</t>
  </si>
  <si>
    <t>D-Link Green</t>
  </si>
  <si>
    <t>Paint 429 C - Gray</t>
  </si>
  <si>
    <t>Pan - 326 C- Green</t>
  </si>
  <si>
    <t>Paint 295 C - Blue</t>
  </si>
  <si>
    <t>MD Cure Violet</t>
  </si>
  <si>
    <t>Radicure Cover Printed Ink</t>
  </si>
  <si>
    <t>JSS PAN 7505 C- Brown</t>
  </si>
  <si>
    <t>JSS PAN 185 C- Sonylex</t>
  </si>
  <si>
    <t>JSS MUL Papaya Yellow</t>
  </si>
  <si>
    <t>JSS PAN 3125 C-Green</t>
  </si>
  <si>
    <t>PAN - 429 C-Gray</t>
  </si>
  <si>
    <t>PAN - 326 C-Green</t>
  </si>
  <si>
    <t>PAN - LED - PR -Cyan</t>
  </si>
  <si>
    <t>UV - LED PR - Yellow</t>
  </si>
  <si>
    <t>UV - LED PR - Magenta</t>
  </si>
  <si>
    <t>UV - PR - Cyan (Toyo Ink)</t>
  </si>
  <si>
    <t>LED PR - Yellow</t>
  </si>
  <si>
    <t>LED PR - Magenta (Toyo Ink)</t>
  </si>
  <si>
    <t>LED PR Black</t>
  </si>
  <si>
    <t>LED PR White</t>
  </si>
  <si>
    <t>Gloss OP Link (Print Lack)</t>
  </si>
  <si>
    <t>High Gloss OP Ink (Print Lack)</t>
  </si>
  <si>
    <t>Flex Cure MT -Yellow</t>
  </si>
  <si>
    <t>Fly Fix Black O/S</t>
  </si>
  <si>
    <t>Pistone Orrange (The Colour Tub)</t>
  </si>
  <si>
    <t>Toyo Otrience King 3400WB Primer</t>
  </si>
  <si>
    <t>Toyo Ink</t>
  </si>
  <si>
    <t>Toyo King 7000 Letho High Gloss Primer</t>
  </si>
  <si>
    <t>Alpha SP-150</t>
  </si>
  <si>
    <t>Plate Cleaner</t>
  </si>
  <si>
    <t>Novas Unigum (Protection Gum)</t>
  </si>
  <si>
    <t>Area Fumigant Water Disinfactent Solun.</t>
  </si>
  <si>
    <t>Ultra 417 Duct Gloss OP Varnish -20K</t>
  </si>
  <si>
    <t>Classic Multi Wash</t>
  </si>
  <si>
    <t>Process Cyan Ink (LT Spectro)</t>
  </si>
  <si>
    <t>UV Volmatt Gold (Old)</t>
  </si>
  <si>
    <t>UV Nalur Green (Old)</t>
  </si>
  <si>
    <t>UV Varnish Wet Offset Release (Old)</t>
  </si>
  <si>
    <t>Toyo Ink LED PR Cyan Process Colour</t>
  </si>
  <si>
    <t>Toyo Ink UV Process Cyan Steratest (Old)</t>
  </si>
  <si>
    <t>Yellow JSS PAN-S20-Cby (Old Sample)</t>
  </si>
  <si>
    <t>Maxo Bond Yellow</t>
  </si>
  <si>
    <t>ESP EM Powder (Old)</t>
  </si>
  <si>
    <t>Collin Glass Cleaner</t>
  </si>
  <si>
    <t>CETA</t>
  </si>
  <si>
    <t>Front Lay - Al. Cast ('S' Series/Speedmaster) Code No-218008</t>
  </si>
  <si>
    <t>Evora Tea Size 80x67x126 MM CTP Final Die Code-25112903</t>
  </si>
  <si>
    <t>Nova Nol Xtra (20)</t>
  </si>
  <si>
    <t>PC/214 Micro Multi Wash (25)</t>
  </si>
  <si>
    <t xml:space="preserve">Maxo 23x36 350 GSM </t>
  </si>
  <si>
    <t>Maxo 21x36  340 GSM</t>
  </si>
  <si>
    <t>Maxo 22x32 295 GSM</t>
  </si>
  <si>
    <t>Maxo 25X36 340 GSM</t>
  </si>
  <si>
    <t>Maxo 25x30 325 GSM</t>
  </si>
  <si>
    <t>AT 1/65 Self Adhesive Tape</t>
  </si>
  <si>
    <t>FT 4 Self Adhesive D/S Foam Tape 24 MM</t>
  </si>
  <si>
    <t>TT 50 Self Adhesive Tissue Tape Sansui Orange 24 MM</t>
  </si>
  <si>
    <t xml:space="preserve">GSM Board </t>
  </si>
  <si>
    <t>ART Paper 23x36 130 GSM HI Coat Gloss</t>
  </si>
  <si>
    <t>Paper 23x36 80 GSM Khana Maplitho</t>
  </si>
  <si>
    <t xml:space="preserve">DIE -1 KNJ Outer Final 94x56x12 MM JSS Code - 25120202 </t>
  </si>
  <si>
    <t>Die - 2 Mederma Stretch Mark Blister Perforatio Code - 25120205</t>
  </si>
  <si>
    <t>Die -3 KNJ Gold Corrugation CTP Final 175x50x17 Code - 25120213</t>
  </si>
  <si>
    <t>Carry Bag Singal Jod Pesting Eyelet &amp; Dori  Red Colour</t>
  </si>
  <si>
    <t>Carry Bag Singal Jod Pesting Eyelet &amp; Dori  Chinky Minky</t>
  </si>
  <si>
    <t>Inc 17x27 Inc - 2 Ply Sky Inner 140x120 Corrugated Sheet</t>
  </si>
  <si>
    <t>50x541 X 285 CM 3 Ply Corrugated Sheet</t>
  </si>
  <si>
    <t>50x41 X 285 CM 5 Ply Corrugated Sheet</t>
  </si>
  <si>
    <t>Pet Coating Varnish Over Print Mederma Stretch Mark Blister Card Sheet</t>
  </si>
  <si>
    <t>Pet Coating Varnish Over Print Revion Febuliner Blister Card Sheets</t>
  </si>
  <si>
    <t>JSS Pan 5152C Mederma Scare SSE-001323</t>
  </si>
  <si>
    <t>Polymer to Polymer Block Agigaurd-200 AT Embossed  Block Azigaurd Size 7.5x9.25</t>
  </si>
  <si>
    <t>BOPP Film Gloss 15 Inch</t>
  </si>
  <si>
    <t>Die -1 Mederma Stretch Mark Blister JSS Code No-25120204 Ply-19x23x1, Rule 200x5 Butterfly 6x25</t>
  </si>
  <si>
    <t>Emboss Block Male Female JOb Mederma Size -13.5x9</t>
  </si>
  <si>
    <t>Positive Size - 19x23</t>
  </si>
  <si>
    <t>Safari Graphik 55.3x21.3 - 21.3 Kg (400 Gm)</t>
  </si>
  <si>
    <t>Safari Graphik 63.5x76 - 16.9 Kg (350 Gm)</t>
  </si>
  <si>
    <t xml:space="preserve">BOPP Film Gloss 19.5 Inch </t>
  </si>
  <si>
    <t>BOPP Film Gloss matti 14.5 Inch - 17.9 Kg 14 Inch-15.90 Kg</t>
  </si>
  <si>
    <t>BOPP Film Matt 17.5 Inch</t>
  </si>
  <si>
    <t>Poly Yester Matallized Film Wet Silver MOUV (10 MIC) Code-392062</t>
  </si>
  <si>
    <t>BCPP Film Velvet Box Code-392099</t>
  </si>
  <si>
    <t>FBB Board 28x31 320 GSM Maxo</t>
  </si>
  <si>
    <t xml:space="preserve">FBB Board 20x34 320 GSM Maxo </t>
  </si>
  <si>
    <t>FBB Board 23x36 320 GSM Maxo</t>
  </si>
  <si>
    <t>FBB Board 28x22 320 GSM Maxo</t>
  </si>
  <si>
    <t>FBB Board 23x30.7 400 GSM</t>
  </si>
  <si>
    <t>Paper &amp; Board 20.8x31.8 320 GSM</t>
  </si>
  <si>
    <t>FBB Board 25x30 295 GSM Maxo</t>
  </si>
  <si>
    <t xml:space="preserve">FBB Board 21x36 295 GSM Maxo </t>
  </si>
  <si>
    <t>Board 345 GSM 26x38</t>
  </si>
  <si>
    <t>Spot Aqueous - Job Work  LIP Cplor (18x23)</t>
  </si>
  <si>
    <t>Frame Charges - Job Work</t>
  </si>
  <si>
    <t>Hbrid &amp; UV - Job Work (Printer Sheet (17.5x22)</t>
  </si>
  <si>
    <t>Hybrid and UV - Job Work Aziguard 200 (15.5x21)</t>
  </si>
  <si>
    <t>Blanket Setting Charges</t>
  </si>
  <si>
    <t>Acrylic POlymers EL- 4030 6x55 Kg</t>
  </si>
  <si>
    <t xml:space="preserve">Board 325 GSM 23x36 </t>
  </si>
  <si>
    <t xml:space="preserve">3 Ply Corrugated Box  Size-18.5x18 </t>
  </si>
  <si>
    <t>3 Ply Corrugated Box  Size-24x18</t>
  </si>
  <si>
    <t>3 Ply Corrugatd Box 24x19 Size</t>
  </si>
  <si>
    <t>Fram charges Job work</t>
  </si>
  <si>
    <t>Thermat Matt Lamination - Job Work (16.5x26.5)</t>
  </si>
  <si>
    <t>Art Card/Board 200 Sheet 25x36 300 GSM Gloss</t>
  </si>
  <si>
    <t>Paper 4 Ream 23x36 80 GSM Maplitho</t>
  </si>
  <si>
    <t>Art Paper 1 Ream 23x36 130 GSM HI Coat Matt</t>
  </si>
  <si>
    <t>Paper &amp; Board 20.8x31.8 320 GSM  Prima</t>
  </si>
  <si>
    <t>FBB Board 28x40 230 GSM Maxo</t>
  </si>
  <si>
    <t>Paper &amp; Board 28x40 230 GSM Optic Fold</t>
  </si>
  <si>
    <t xml:space="preserve">Cover Print - Pet Coating Varnish </t>
  </si>
  <si>
    <t>Over Print -W/B Heat Varnish</t>
  </si>
  <si>
    <t>Over Print - Pet Coating Varnish Mederma Blister Card Sheet</t>
  </si>
  <si>
    <t>BOPP Film Gloss 19 Inch</t>
  </si>
  <si>
    <t>JSS Pan 429C - SSE 001329</t>
  </si>
  <si>
    <t>in</t>
  </si>
  <si>
    <t>JSS Pan 326C - Green - SSE 001330</t>
  </si>
  <si>
    <t>FBB Board 23x39 340 GSM/Maxo</t>
  </si>
  <si>
    <t>FBB Board 22x28 295 GSM/ Maxo</t>
  </si>
  <si>
    <t>FBB Board 23x39 325 GSM/Maxo</t>
  </si>
  <si>
    <t>FBB Board 28x40 340 GSM/Maxo</t>
  </si>
  <si>
    <t>FBB Board 25x30 325 GSM/Maxo</t>
  </si>
  <si>
    <t>Paper and Board 26x27 350 GSM/ Prima</t>
  </si>
  <si>
    <t>Paper1 Ream 23x36 80 / GSM Maplitho</t>
  </si>
  <si>
    <t>Art Card/Board 300 Sheet 25x36 300 GSM  HI Coat Gloss</t>
  </si>
  <si>
    <t>Smartuse UV  LED Pro Yellow</t>
  </si>
  <si>
    <t>Smartuse UV  LED Pro Black</t>
  </si>
  <si>
    <t>Smartuse UV LED OPe. White</t>
  </si>
  <si>
    <t>Univversal Plus Magenta</t>
  </si>
  <si>
    <t>Universal Plus Cyan</t>
  </si>
  <si>
    <t>Universal Plus Black</t>
  </si>
  <si>
    <t>Strip Gumming  Job Work JR Fruit Cream Sheet Min Cing 75</t>
  </si>
  <si>
    <t>Chem Case Binding Adhesive Quicklock GC-3550F 18 W(1-kg)</t>
  </si>
  <si>
    <t>12/13/2025 0:00:00</t>
  </si>
  <si>
    <t>DIE-1 Renoked Die-JSS Code-25121216</t>
  </si>
  <si>
    <t xml:space="preserve">Self Ad Tape </t>
  </si>
  <si>
    <t>Packing Material RB</t>
  </si>
  <si>
    <t>DIE -1 Rhumad Strong 60 Ml-JSS Code No-25121329</t>
  </si>
  <si>
    <t>Classic Col Athesive PG 55 Kg packing</t>
  </si>
  <si>
    <t xml:space="preserve">FT 4 Self Adhesive D/S Foam Tape </t>
  </si>
  <si>
    <t>12/15/2025 0:00;00</t>
  </si>
  <si>
    <t>0.64 M x 240 M Stamping Foil /  SRZ Silver Roll</t>
  </si>
  <si>
    <t>Polymer to Polymer Block Size 8x6.5 Ruhmad</t>
  </si>
  <si>
    <t>Polymer to Polymer Size 10x9.5 Tusscofex</t>
  </si>
  <si>
    <t>Polymer to Polymer Size 6.5x7.5 Tusccofex</t>
  </si>
  <si>
    <t>DIE -1 Star Power Piston Kit JSS Die Code-25121520</t>
  </si>
  <si>
    <t>TUV 5433 Duct Gloss 4117 Plain</t>
  </si>
  <si>
    <t>Sponge (V) 32 MM</t>
  </si>
  <si>
    <t>12/17/2025 0:00:00</t>
  </si>
  <si>
    <t>PC/0237 New UV Inc Wash Spl (25)</t>
  </si>
  <si>
    <t>40UC740047 UV Hybride Gloss Duct (20)</t>
  </si>
  <si>
    <t>Radicure Textured Duct Matt (003876)</t>
  </si>
  <si>
    <t xml:space="preserve">16x21 inch Corrugated Sheet 2 Ply </t>
  </si>
  <si>
    <t>Spot UV - Job Work</t>
  </si>
  <si>
    <t>Spot UV - Job Work Orgatile Lip Balm</t>
  </si>
  <si>
    <t xml:space="preserve">Spot UV Job Work </t>
  </si>
  <si>
    <t>12/18/2025 0:00:00</t>
  </si>
  <si>
    <t>Alpha SP 150 20 Lit</t>
  </si>
  <si>
    <t>A. Paper Chromo 23x36 (H. M.)</t>
  </si>
  <si>
    <t>12/24/2025 0:00:00</t>
  </si>
  <si>
    <t>Wash UP Blade SIM 72</t>
  </si>
  <si>
    <t>12/24/2025 00:00:00</t>
  </si>
  <si>
    <t>Paper Weight Assambly</t>
  </si>
  <si>
    <t>12/23/2025 0:00:00</t>
  </si>
  <si>
    <t>Board 25x30 GSM</t>
  </si>
  <si>
    <t>12/22/2025 0:00:00</t>
  </si>
  <si>
    <t xml:space="preserve">Paper 23x36 -170 GSM </t>
  </si>
  <si>
    <t>Paper 23x36 - 300 GSM</t>
  </si>
  <si>
    <t>Paper 23x36 - 350 GSM</t>
  </si>
  <si>
    <t>Paper 25x30 - 290 GSM</t>
  </si>
  <si>
    <t>22/12/2025 00:00;00</t>
  </si>
  <si>
    <t>Paper 23x39 - 325 GSM</t>
  </si>
  <si>
    <t>Die Pack of 10 Multani CTP Final Die Code No - 25122030</t>
  </si>
  <si>
    <t>12/20/2025 0:00:00</t>
  </si>
  <si>
    <t>Die-1 Dlink Card CTP Die JSS Code No-25121929</t>
  </si>
  <si>
    <t>12/19/2025 0:00:00</t>
  </si>
  <si>
    <t>Electrode Set for Plasma Treatment Machine</t>
  </si>
  <si>
    <t>Ceramic Holder for Plasma Treatment Machine</t>
  </si>
  <si>
    <t>Nozzle Tip for Plasma Treatment Machine</t>
  </si>
  <si>
    <t>Safire Graphik 65.5x95.3 24 Skg (400 Gm)</t>
  </si>
  <si>
    <t>CETA Creasing Matrix</t>
  </si>
  <si>
    <t>Die -1 Matt Bronzer JSS Code-25121837</t>
  </si>
  <si>
    <t xml:space="preserve">Transaction Type </t>
  </si>
  <si>
    <t>Polymer To Polymer Block</t>
  </si>
  <si>
    <t>Paint 226 C Pink Code - DS/23711</t>
  </si>
  <si>
    <t>D Link Green Code - DS/24748</t>
  </si>
  <si>
    <t>12/15/2025 0:00:00</t>
  </si>
  <si>
    <t>Job Spot UV Raseate</t>
  </si>
  <si>
    <t xml:space="preserve">Positive </t>
  </si>
  <si>
    <t xml:space="preserve">Wash </t>
  </si>
  <si>
    <t xml:space="preserve">Bengine </t>
  </si>
  <si>
    <t xml:space="preserve">Color Yellow </t>
  </si>
  <si>
    <t xml:space="preserve">Color Meganta </t>
  </si>
  <si>
    <t>Color Black</t>
  </si>
  <si>
    <t>12/18/2025 0:00;00</t>
  </si>
  <si>
    <t>Rubber Band</t>
  </si>
  <si>
    <t xml:space="preserve">Redicure Ink </t>
  </si>
  <si>
    <t>Rabber Band</t>
  </si>
  <si>
    <t>Radicure Ink</t>
  </si>
  <si>
    <t>Yellow Ink</t>
  </si>
  <si>
    <t>20/12/2025 00:00;00</t>
  </si>
  <si>
    <t>Penton -24748</t>
  </si>
  <si>
    <t>Brown Tape</t>
  </si>
  <si>
    <t>24/12/2025 00:00;00</t>
  </si>
  <si>
    <t>12/25/2025 0:00;00</t>
  </si>
  <si>
    <t>Cutter Blade</t>
  </si>
  <si>
    <t>12/27/2025 0:00:00</t>
  </si>
  <si>
    <t>12/29/2025 0:00:00</t>
  </si>
  <si>
    <t>12//29/2025 0:00:00</t>
  </si>
  <si>
    <t>12/30/2025 0:00:00</t>
  </si>
  <si>
    <t>30/12/2025 00:00;00</t>
  </si>
  <si>
    <t>12/31/2025 0:00:00</t>
  </si>
  <si>
    <t>Double Tape</t>
  </si>
  <si>
    <t xml:space="preserve">Rubber Band </t>
  </si>
  <si>
    <t>PS Plates 615x724</t>
  </si>
  <si>
    <t>Plate Heating</t>
  </si>
  <si>
    <t>Boop Film Gloss 17.5 Inch</t>
  </si>
  <si>
    <t>Boop Film Matt 16 Inch</t>
  </si>
  <si>
    <t>Big Boxes Printed 5 Ply</t>
  </si>
  <si>
    <t>Small Boxes Printed 3 Ply</t>
  </si>
  <si>
    <t>Old Dhoti</t>
  </si>
  <si>
    <t>12/202/2025 0:00:00</t>
  </si>
  <si>
    <t>Capacitor bank Type-5 Spare Part</t>
  </si>
  <si>
    <t>UV Hybrid Gloss Duct (20) Code No-40UC74007</t>
  </si>
  <si>
    <t>Expresso Elachi Tea Primix (TN)</t>
  </si>
  <si>
    <t>For DV Motor 2 Beper Seals</t>
  </si>
  <si>
    <t>3M Self Adhesive Tissue Tape Code-91091, 10 mm , 10 Pcs</t>
  </si>
  <si>
    <t>TT 50 Self Adhesiv Tissue Tape Sunsul Orange 18mm, 10 Pcs</t>
  </si>
  <si>
    <t>Arobond Adhesive 555 / 5Kg packing</t>
  </si>
  <si>
    <t>A. Paper Chromo 13x19 90x90</t>
  </si>
  <si>
    <t>AT 2/65 Self Adhesive Tape</t>
  </si>
  <si>
    <t>Fevicol CPW (PID) - 50 Kg</t>
  </si>
  <si>
    <t>Fevicol 2000 L(PID) - 50 KG</t>
  </si>
  <si>
    <t>12/26/2025 0:00:00</t>
  </si>
  <si>
    <t>Paper Board 25x36 230 GSM</t>
  </si>
  <si>
    <t>Paper Board 25x36 300 GSM</t>
  </si>
  <si>
    <t>Staff Gate Pass</t>
  </si>
  <si>
    <t>Die-1 Wormcare Slevi Die JSS Code No-25122738</t>
  </si>
  <si>
    <t>Die-2 Wormcare Outer    CTP Die JSS Code-251227739</t>
  </si>
  <si>
    <t>Die-3 Grip &amp; Style Powder Die JSS Die Code-25122740</t>
  </si>
  <si>
    <t>Leaf Block Size 13.5x4.75 Wormcare Inner Leaf Block</t>
  </si>
  <si>
    <t>Leaf Block Size 9x16.5 Wormcare Inner Leaf Block</t>
  </si>
  <si>
    <t>Dangler Only for Threading</t>
  </si>
  <si>
    <t xml:space="preserve"> Corrugated Box 50x41x285 CM 5 Ply</t>
  </si>
  <si>
    <t xml:space="preserve"> Corrugated Box 50x41x285 CM 3 Ply</t>
  </si>
  <si>
    <t>JSS PAN 7729C Orga-Grip and Style-SSE 001340</t>
  </si>
  <si>
    <t>Die-1 Almond &amp; Fruit Creme Label 500 Ml JSS Code No-25122938</t>
  </si>
  <si>
    <t>Die-2 Almond &amp; Fruit Creme Label 750 Ml JSS Code No-25122939</t>
  </si>
  <si>
    <t>Coated Paper &amp; Board (FBB), Cent Prima 28x22 330 GSM -1100=5x5</t>
  </si>
  <si>
    <t>Coated Paper &amp; Board (FBB), Cent Prima 28x40 330 GSM -1100=1x5</t>
  </si>
  <si>
    <t>Coated Paper &amp; Board (FBB), C Omega 25x32 -330 GSM -100=1x3</t>
  </si>
  <si>
    <t>Coate Paper &amp; Board (FBB), C Omega 25x36 -330</t>
  </si>
  <si>
    <t>Die-1 Kuka SIP CIP Die JSS Code No-25123032</t>
  </si>
  <si>
    <t>Polymer to Polymer Block Havax Suspension 60ML CTP Final Size 8x5.5</t>
  </si>
  <si>
    <t>Polymer to Polymer Block Kuka SIP polymer Size 6.5x6</t>
  </si>
  <si>
    <t>FBB Board 31.5x41.5 380 GSM / Maxo</t>
  </si>
  <si>
    <t xml:space="preserve">FBB Board 25.5x35 380 GSM / Maxo </t>
  </si>
  <si>
    <t>FBB Board 28x40 230 GSM /Maxo</t>
  </si>
  <si>
    <t>Pet Coating Varnish (Over Print)</t>
  </si>
  <si>
    <t>Die Bearing Big &amp; Bigger Code-26010112</t>
  </si>
  <si>
    <t>Board 25x36 GSM</t>
  </si>
  <si>
    <t>Knife Re-Grinded ("36)</t>
  </si>
  <si>
    <t>12/30/2025 0:00:00:00</t>
  </si>
  <si>
    <t>Board 22x32 325 GSM</t>
  </si>
  <si>
    <t>Board 21x36 320 GSM</t>
  </si>
  <si>
    <t>Board 25x30 320 GSM</t>
  </si>
  <si>
    <t>Board 25x30 300 GSM</t>
  </si>
  <si>
    <t>Board 21x36 290 GSM</t>
  </si>
  <si>
    <t>Board 26x38 325 GSM</t>
  </si>
  <si>
    <t>12/25/2025 0:00:00</t>
  </si>
  <si>
    <t>Bopp Thermal Gloss 11.5 Inch 20.78x21.08x20.94 Kg</t>
  </si>
  <si>
    <t>Leaf Block Kum Kum Size 6x2</t>
  </si>
  <si>
    <t>Radicure Texured Duct Matt Code-003876</t>
  </si>
  <si>
    <t>Nova Fount Necture (20)</t>
  </si>
  <si>
    <t>UV Hybrid Gloss Duct (20) Code-40UC74007</t>
  </si>
  <si>
    <t>Micro Multi Wash (25) Code-PC/214</t>
  </si>
  <si>
    <t>Over Print Pet Coating Varnish Colorssence Starry Strawbbery Blister Card Sheet</t>
  </si>
  <si>
    <t>Bopp Film Gloss 17.5 Inch 19.8 Kg, 11.5 Inch 15.3 Kg</t>
  </si>
  <si>
    <t>Bopp Film Gloss 15 Inch</t>
  </si>
  <si>
    <t>Bopp Film Matt 14.5 Inch</t>
  </si>
  <si>
    <t>Die-1 Kuka Sip CTP Die JSS Code-25123032</t>
  </si>
  <si>
    <t>12/31/2025 0:00;00</t>
  </si>
  <si>
    <t>Die-2 Havax Suspension 60Ml Die JSS Code 25123130</t>
  </si>
  <si>
    <t xml:space="preserve">Dhoti </t>
  </si>
  <si>
    <t>Varnish Gloss</t>
  </si>
  <si>
    <t>Found</t>
  </si>
  <si>
    <t>Bengine</t>
  </si>
  <si>
    <t>Standard</t>
  </si>
  <si>
    <t>Trans Ink</t>
  </si>
  <si>
    <t>Emulsion</t>
  </si>
  <si>
    <t>GPF</t>
  </si>
  <si>
    <t>06/01/2026 :00:00:00</t>
  </si>
  <si>
    <t>Magenta Ink</t>
  </si>
  <si>
    <t>TAP</t>
  </si>
  <si>
    <t xml:space="preserve">Rubber </t>
  </si>
  <si>
    <t>TAP BROW</t>
  </si>
  <si>
    <t>GP</t>
  </si>
  <si>
    <t>RUBBER</t>
  </si>
  <si>
    <t>BRONW TAP</t>
  </si>
  <si>
    <t>SPECIAL INK PURPLE 520'C</t>
  </si>
  <si>
    <t>PVC PAPER</t>
  </si>
  <si>
    <t>BROW TAP</t>
  </si>
  <si>
    <t>CETO</t>
  </si>
  <si>
    <t>20 LIT</t>
  </si>
  <si>
    <t>HARD WASH</t>
  </si>
  <si>
    <t>Cyan INK</t>
  </si>
  <si>
    <t>2 KG</t>
  </si>
  <si>
    <t>2KG</t>
  </si>
  <si>
    <t>Black INK</t>
  </si>
  <si>
    <t>10 PCS</t>
  </si>
  <si>
    <t>5 PCS</t>
  </si>
  <si>
    <t>1 PCS</t>
  </si>
  <si>
    <t>4 PCS</t>
  </si>
  <si>
    <t>2 PKT</t>
  </si>
  <si>
    <t>1 PKT</t>
  </si>
  <si>
    <t>VENGIN</t>
  </si>
  <si>
    <t>5 LIT</t>
  </si>
  <si>
    <t>01/13/2026</t>
  </si>
  <si>
    <t>Black INK LED</t>
  </si>
  <si>
    <t>1 KG</t>
  </si>
  <si>
    <t>Magenta Ink LED</t>
  </si>
  <si>
    <t>01/14/2026</t>
  </si>
  <si>
    <t>DUBBLE TAP</t>
  </si>
  <si>
    <t>2 PCS</t>
  </si>
  <si>
    <t>PVC PANNI</t>
  </si>
  <si>
    <t>2 MIT</t>
  </si>
  <si>
    <t xml:space="preserve"> 6 PCS</t>
  </si>
  <si>
    <t>Yellow Ink LED</t>
  </si>
  <si>
    <t xml:space="preserve"> 1 KG</t>
  </si>
  <si>
    <t>Cyan INK LED</t>
  </si>
  <si>
    <t>1KG</t>
  </si>
  <si>
    <t>1 LIT</t>
  </si>
  <si>
    <t>01/15/2026</t>
  </si>
  <si>
    <t>PANNI</t>
  </si>
  <si>
    <t xml:space="preserve"> 1 LIT</t>
  </si>
  <si>
    <t xml:space="preserve"> PENTON PURPLE {2085C}</t>
  </si>
  <si>
    <t>01/16/2026</t>
  </si>
  <si>
    <t>FEVICOL</t>
  </si>
  <si>
    <t>50 LIT</t>
  </si>
  <si>
    <t>BROWN TAP</t>
  </si>
  <si>
    <t>01/17/2026</t>
  </si>
  <si>
    <t>PENTON INK 271C</t>
  </si>
  <si>
    <t>CETTO</t>
  </si>
  <si>
    <t>01/19/2026</t>
  </si>
  <si>
    <t>BLACK INK</t>
  </si>
  <si>
    <t>2 kg</t>
  </si>
  <si>
    <t>YELLOW INK</t>
  </si>
  <si>
    <t xml:space="preserve"> Magenta ink</t>
  </si>
  <si>
    <t>2kg</t>
  </si>
  <si>
    <t>10 pcs</t>
  </si>
  <si>
    <t>tape</t>
  </si>
  <si>
    <t>2 pcs</t>
  </si>
  <si>
    <t>01/20/2026</t>
  </si>
  <si>
    <t>normal wash</t>
  </si>
  <si>
    <t>20 lit</t>
  </si>
  <si>
    <t>5 kg</t>
  </si>
  <si>
    <t>FEVICOL sr 505</t>
  </si>
  <si>
    <t>1 lit</t>
  </si>
  <si>
    <t xml:space="preserve">SKU CODE </t>
  </si>
  <si>
    <t xml:space="preserve"> Item Name </t>
  </si>
  <si>
    <t xml:space="preserve"> Max Level </t>
  </si>
  <si>
    <t xml:space="preserve"> Reorder Level (80%) </t>
  </si>
  <si>
    <t xml:space="preserve"> Closing Stock </t>
  </si>
  <si>
    <t>unit</t>
  </si>
  <si>
    <t>qty</t>
  </si>
  <si>
    <t xml:space="preserve"> Status</t>
  </si>
  <si>
    <t>Logged Date</t>
  </si>
  <si>
    <t>Sbs Paper 23X39 350Gsm Cream</t>
  </si>
  <si>
    <t>0Sheet</t>
  </si>
  <si>
    <t>HOLD</t>
  </si>
  <si>
    <t>IGNORE</t>
  </si>
  <si>
    <t>2Kg</t>
  </si>
  <si>
    <t>1Kg</t>
  </si>
  <si>
    <t>ORDERED</t>
  </si>
  <si>
    <t>2Pc</t>
  </si>
  <si>
    <t>Sbs Paper 23X39 325Gsm Cream</t>
  </si>
  <si>
    <t>Sbs Paper 22X28 320Gsm Cream</t>
  </si>
  <si>
    <t>Formulae for sku</t>
  </si>
  <si>
    <t xml:space="preserve">IF(A178="","",
TEXTJOIN("-",TRUE,
IFERROR(
  INDEX(FILTER(CFG_CODES!C:C, CFG_CODES!A:A="CATEGORY", UPPER(CFG_CODES!B:B)=UPPER(B178))),
  LEFT(UPPER(B178),3)
),
IFERROR(
  INDEX(FILTER(CFG_CODES!C:C, CFG_CODES!A:A="MATERIAL", UPPER(CFG_CODES!B:B)=UPPER(C178))),
  LEFT(UPPER(C178),3)
),
TEXT(ROW()-1,"000")
))
</t>
  </si>
  <si>
    <t>0Kg</t>
  </si>
  <si>
    <t>Polymer</t>
  </si>
  <si>
    <t>1Pc</t>
  </si>
  <si>
    <t>Type</t>
  </si>
  <si>
    <t>Value</t>
  </si>
  <si>
    <t>Code</t>
  </si>
  <si>
    <t>CATEGORY</t>
  </si>
  <si>
    <t>P</t>
  </si>
  <si>
    <t>I</t>
  </si>
  <si>
    <t>C</t>
  </si>
  <si>
    <t>L</t>
  </si>
  <si>
    <t>CH</t>
  </si>
  <si>
    <t>A</t>
  </si>
  <si>
    <t>M</t>
  </si>
  <si>
    <t>MATERIAL</t>
  </si>
  <si>
    <t>SBS</t>
  </si>
  <si>
    <t>ART</t>
  </si>
  <si>
    <t>DUP</t>
  </si>
  <si>
    <t>CMY</t>
  </si>
  <si>
    <t>BOP</t>
  </si>
  <si>
    <t>COLOR</t>
  </si>
  <si>
    <t>W</t>
  </si>
  <si>
    <t>BLK</t>
  </si>
  <si>
    <t>Y</t>
  </si>
  <si>
    <t>FINISH</t>
  </si>
  <si>
    <t>OFS</t>
  </si>
  <si>
    <t>GL</t>
  </si>
  <si>
    <t>Matte</t>
  </si>
  <si>
    <t>MT</t>
  </si>
  <si>
    <t>UV Led</t>
  </si>
  <si>
    <t>UVL</t>
  </si>
  <si>
    <t>HG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</si>
</sst>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 h:mm:ss"/>
    <numFmt numFmtId="165" formatCode="dd/MM/yyyy HH:mm:ss"/>
    <numFmt numFmtId="166" formatCode="dd&quot;/&quot;mm&quot;/&quot;yy"/>
    <numFmt numFmtId="167" formatCode="dd/mm/yyyy"/>
    <numFmt numFmtId="168" formatCode="dd/mm/yyyy hh:mm:ss"/>
    <numFmt numFmtId="169" formatCode="dd/MM/yyyy"/>
    <numFmt numFmtId="170" formatCode="d/m/yyyy"/>
    <numFmt numFmtId="171" formatCode="m/d/yyyy\ h:mm:ss"/>
    <numFmt numFmtId="172" formatCode="dd/mm/yyyy\ hh:mm:ss"/>
    <numFmt numFmtId="173" formatCode="d/m/yyyy hh:mm:ss"/>
  </numFmts>
  <fonts count="39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</font>
    <font>
      <b/>
      <sz val="23.0"/>
      <color theme="1"/>
      <name val="Arial"/>
      <scheme val="minor"/>
    </font>
    <font>
      <b/>
      <color theme="1"/>
      <name val="Arial"/>
    </font>
    <font/>
    <font>
      <sz val="11.0"/>
      <color theme="1"/>
      <name val="Calibri"/>
    </font>
    <font>
      <color theme="1"/>
      <name val="Arial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FFFFFF"/>
      <name val="Arial"/>
      <scheme val="minor"/>
    </font>
    <font>
      <b/>
      <sz val="11.0"/>
      <color rgb="FFFFFFFF"/>
      <name val="Arial"/>
      <scheme val="minor"/>
    </font>
    <font>
      <b/>
      <sz val="10.0"/>
      <color rgb="FF1E40AF"/>
      <name val="Arial"/>
      <scheme val="minor"/>
    </font>
    <font>
      <b/>
      <sz val="9.0"/>
      <color rgb="FFFFFFFF"/>
      <name val="Arial"/>
      <scheme val="minor"/>
    </font>
    <font>
      <sz val="9.0"/>
      <color theme="1"/>
      <name val="Arial"/>
      <scheme val="minor"/>
    </font>
    <font>
      <b/>
      <sz val="9.0"/>
      <color rgb="FF991B1B"/>
      <name val="Arial"/>
      <scheme val="minor"/>
    </font>
    <font>
      <sz val="9.0"/>
      <color rgb="FF000000"/>
      <name val="Arial"/>
      <scheme val="minor"/>
    </font>
    <font>
      <b/>
      <sz val="9.0"/>
      <color rgb="FF1E3A8A"/>
      <name val="Arial"/>
      <scheme val="minor"/>
    </font>
    <font>
      <b/>
      <color rgb="FF991B1B"/>
      <name val="Arial"/>
      <scheme val="minor"/>
    </font>
    <font>
      <u/>
      <color rgb="FF0000FF"/>
    </font>
    <font>
      <b/>
      <sz val="12.0"/>
      <color rgb="FF0A0A0A"/>
      <name val="&quot;Google Sans&quot;"/>
    </font>
    <font>
      <b/>
      <sz val="12.0"/>
      <color rgb="FF001D35"/>
      <name val="&quot;Google Sans&quot;"/>
    </font>
    <font>
      <b/>
      <sz val="12.0"/>
      <color rgb="FF0A0A0A"/>
      <name val="Arial"/>
    </font>
    <font>
      <b/>
      <sz val="12.0"/>
      <color rgb="FF001D35"/>
      <name val="Arial"/>
    </font>
    <font>
      <color rgb="FF000000"/>
      <name val="Arial"/>
    </font>
    <font>
      <b/>
      <sz val="17.0"/>
      <color theme="1"/>
      <name val="Arial"/>
      <scheme val="minor"/>
    </font>
    <font>
      <sz val="15.0"/>
      <color theme="1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</font>
    <font>
      <sz val="9.0"/>
      <color rgb="FF6B7280"/>
      <name val="&quot;Segoe UI&quot;"/>
    </font>
    <font>
      <color rgb="FF383A3C"/>
      <name val="Arial"/>
    </font>
    <font>
      <color theme="1"/>
      <name val="Roboto"/>
    </font>
    <font>
      <color rgb="FF434343"/>
      <name val="Roboto"/>
    </font>
    <font>
      <color rgb="FF434343"/>
      <name val="Arial"/>
    </font>
  </fonts>
  <fills count="37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1E40AF"/>
        <bgColor rgb="FF1E40AF"/>
      </patternFill>
    </fill>
    <fill>
      <patternFill patternType="solid">
        <fgColor rgb="FFDBEAFE"/>
        <bgColor rgb="FFDBEAFE"/>
      </patternFill>
    </fill>
    <fill>
      <patternFill patternType="solid">
        <fgColor rgb="FF434343"/>
        <bgColor rgb="FF434343"/>
      </patternFill>
    </fill>
    <fill>
      <patternFill patternType="solid">
        <fgColor rgb="FFFEE2E2"/>
        <bgColor rgb="FFFEE2E2"/>
      </patternFill>
    </fill>
    <fill>
      <patternFill patternType="solid">
        <fgColor rgb="FFF9FAFB"/>
        <bgColor rgb="FFF9FAFB"/>
      </patternFill>
    </fill>
    <fill>
      <patternFill patternType="solid">
        <fgColor rgb="FFCC66FF"/>
        <bgColor rgb="FFCC66FF"/>
      </patternFill>
    </fill>
    <fill>
      <patternFill patternType="solid">
        <fgColor rgb="FFE0E7FF"/>
        <bgColor rgb="FFE0E7FF"/>
      </patternFill>
    </fill>
    <fill>
      <patternFill patternType="solid">
        <fgColor rgb="FF274E13"/>
        <bgColor rgb="FF274E13"/>
      </patternFill>
    </fill>
    <fill>
      <patternFill patternType="solid">
        <fgColor rgb="FF7F6000"/>
        <bgColor rgb="FF7F60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6F8F9"/>
        <bgColor rgb="FFF6F8F9"/>
      </patternFill>
    </fill>
    <fill>
      <patternFill patternType="solid">
        <fgColor rgb="FFCC0000"/>
        <bgColor rgb="FFCC0000"/>
      </patternFill>
    </fill>
    <fill>
      <patternFill patternType="solid">
        <fgColor rgb="FFE69138"/>
        <bgColor rgb="FFE69138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theme="6"/>
        <bgColor theme="6"/>
      </patternFill>
    </fill>
    <fill>
      <patternFill patternType="solid">
        <fgColor rgb="FFF1C232"/>
        <bgColor rgb="FFF1C232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284E3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/>
    </xf>
    <xf borderId="1" fillId="3" fontId="7" numFmtId="0" xfId="0" applyAlignment="1" applyBorder="1" applyFill="1" applyFont="1">
      <alignment readingOrder="0" shrinkToFit="0" wrapText="1"/>
    </xf>
    <xf borderId="2" fillId="4" fontId="8" numFmtId="0" xfId="0" applyAlignment="1" applyBorder="1" applyFill="1" applyFont="1">
      <alignment shrinkToFit="0" vertical="top" wrapText="1"/>
    </xf>
    <xf borderId="2" fillId="4" fontId="8" numFmtId="0" xfId="0" applyAlignment="1" applyBorder="1" applyFill="1" applyFont="1">
      <alignment shrinkToFit="0" vertical="top" wrapText="0"/>
    </xf>
    <xf borderId="3" fillId="0" fontId="9" numFmtId="0" xfId="0" applyBorder="1" applyFont="1"/>
    <xf borderId="2" fillId="0" fontId="10" numFmtId="0" xfId="0" applyAlignment="1" applyBorder="1" applyFont="1">
      <alignment readingOrder="0" shrinkToFit="0" vertical="top" wrapText="0"/>
    </xf>
    <xf borderId="4" fillId="0" fontId="9" numFmtId="0" xfId="0" applyBorder="1" applyFont="1"/>
    <xf borderId="2" fillId="5" fontId="2" numFmtId="0" xfId="0" applyBorder="1" applyFill="1" applyFont="1"/>
    <xf borderId="2" fillId="6" fontId="2" numFmtId="0" xfId="0" applyBorder="1" applyFill="1" applyFont="1"/>
    <xf borderId="2" fillId="6" fontId="2" numFmtId="0" xfId="0" applyAlignment="1" applyBorder="1" applyFill="1" applyFont="1">
      <alignment readingOrder="0"/>
    </xf>
    <xf borderId="0" fillId="0" fontId="2" numFmtId="0" xfId="0" applyFont="1"/>
    <xf borderId="0" fillId="6" fontId="2" numFmtId="0" xfId="0" applyFill="1" applyFont="1"/>
    <xf borderId="2" fillId="0" fontId="11" numFmtId="0" xfId="0" applyAlignment="1" applyBorder="1" applyFont="1">
      <alignment vertical="top"/>
    </xf>
    <xf borderId="2" fillId="5" fontId="2" numFmtId="0" xfId="0" applyAlignment="1" applyBorder="1" applyFill="1" applyFont="1">
      <alignment readingOrder="0"/>
    </xf>
    <xf borderId="2" fillId="5" fontId="12" numFmtId="0" xfId="0" applyAlignment="1" applyBorder="1" applyFill="1" applyFont="1">
      <alignment horizontal="left" shrinkToFit="0" vertical="top" wrapText="1"/>
    </xf>
    <xf borderId="2" fillId="5" fontId="12" numFmtId="0" xfId="0" applyAlignment="1" applyBorder="1" applyFill="1" applyFont="1">
      <alignment readingOrder="0"/>
    </xf>
    <xf borderId="2" fillId="5" fontId="11" numFmtId="165" xfId="0" applyAlignment="1" applyBorder="1" applyFill="1" applyFont="1" applyNumberFormat="1">
      <alignment horizontal="left" vertical="bottom"/>
    </xf>
    <xf borderId="2" fillId="5" fontId="11" numFmtId="0" xfId="0" applyAlignment="1" applyBorder="1" applyFill="1" applyFont="1">
      <alignment horizontal="right" vertical="bottom"/>
    </xf>
    <xf borderId="0" fillId="5" fontId="2" numFmtId="0" xfId="0" applyAlignment="1" applyFill="1" applyFont="1">
      <alignment readingOrder="0"/>
    </xf>
    <xf borderId="0" fillId="5" fontId="2" numFmtId="0" xfId="0" applyFill="1" applyFont="1"/>
    <xf borderId="2" fillId="6" fontId="2" numFmtId="166" xfId="0" applyAlignment="1" applyBorder="1" applyFill="1" applyFont="1" applyNumberFormat="1">
      <alignment readingOrder="0" shrinkToFit="0" wrapText="1"/>
    </xf>
    <xf borderId="2" fillId="0" fontId="2" numFmtId="167" xfId="0" applyAlignment="1" applyBorder="1" applyFont="1" applyNumberFormat="1">
      <alignment horizontal="left" readingOrder="0" shrinkToFit="0" vertical="top" wrapText="1"/>
    </xf>
    <xf borderId="0" fillId="6" fontId="11" numFmtId="0" xfId="0" applyAlignment="1" applyFill="1" applyFont="1">
      <alignment horizontal="right" readingOrder="0" vertical="top"/>
    </xf>
    <xf borderId="0" fillId="0" fontId="2" numFmtId="0" xfId="0" applyAlignment="1" applyFont="1">
      <alignment readingOrder="0"/>
    </xf>
    <xf borderId="2" fillId="0" fontId="11" numFmtId="0" xfId="0" applyAlignment="1" applyBorder="1" applyFont="1">
      <alignment readingOrder="0" vertical="top"/>
    </xf>
    <xf borderId="2" fillId="0" fontId="13" numFmtId="0" xfId="0" applyAlignment="1" applyBorder="1" applyFont="1">
      <alignment shrinkToFit="0" wrapText="1"/>
    </xf>
    <xf borderId="2" fillId="0" fontId="13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0" fontId="2" numFmtId="168" xfId="0" applyAlignment="1" applyFont="1" applyNumberFormat="1">
      <alignment readingOrder="0"/>
    </xf>
    <xf borderId="0" fillId="6" fontId="2" numFmtId="168" xfId="0" applyAlignment="1" applyFill="1" applyFont="1" applyNumberFormat="1">
      <alignment readingOrder="0" shrinkToFit="0" wrapText="1"/>
    </xf>
    <xf borderId="0" fillId="6" fontId="11" numFmtId="0" xfId="0" applyAlignment="1" applyFill="1" applyFont="1">
      <alignment shrinkToFit="0" vertical="top" wrapText="0"/>
    </xf>
    <xf borderId="0" fillId="6" fontId="11" numFmtId="0" xfId="0" applyAlignment="1" applyFill="1" applyFont="1">
      <alignment readingOrder="0" shrinkToFit="0" vertical="top" wrapText="0"/>
    </xf>
    <xf borderId="0" fillId="6" fontId="11" numFmtId="0" xfId="0" applyAlignment="1" applyFill="1" applyFont="1">
      <alignment vertical="top"/>
    </xf>
    <xf borderId="2" fillId="0" fontId="2" numFmtId="0" xfId="0" applyAlignment="1" applyBorder="1" applyFont="1">
      <alignment readingOrder="0"/>
    </xf>
    <xf borderId="0" fillId="6" fontId="2" numFmtId="14" xfId="0" applyAlignment="1" applyFill="1" applyFont="1" applyNumberFormat="1">
      <alignment readingOrder="0"/>
    </xf>
    <xf borderId="0" fillId="6" fontId="11" numFmtId="0" xfId="0" applyAlignment="1" applyFill="1" applyFont="1">
      <alignment horizontal="right" readingOrder="0" vertical="top"/>
    </xf>
    <xf borderId="2" fillId="6" fontId="11" numFmtId="0" xfId="0" applyAlignment="1" applyBorder="1" applyFill="1" applyFont="1">
      <alignment vertical="top"/>
    </xf>
    <xf borderId="0" fillId="0" fontId="2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6" fontId="11" numFmtId="0" xfId="0" applyAlignment="1" applyFill="1" applyFont="1">
      <alignment shrinkToFit="0" vertical="top" wrapText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2" fillId="4" fontId="8" numFmtId="0" xfId="0" applyAlignment="1" applyBorder="1" applyFill="1" applyFont="1">
      <alignment shrinkToFit="0" vertical="top" wrapText="1"/>
    </xf>
    <xf borderId="2" fillId="4" fontId="8" numFmtId="0" xfId="0" applyAlignment="1" applyBorder="1" applyFill="1" applyFont="1">
      <alignment readingOrder="0" shrinkToFit="0" vertical="top" wrapText="1"/>
    </xf>
    <xf borderId="2" fillId="4" fontId="8" numFmtId="0" xfId="0" applyAlignment="1" applyBorder="1" applyFill="1" applyFont="1">
      <alignment readingOrder="0" shrinkToFit="0" vertical="bottom" wrapText="1"/>
    </xf>
    <xf borderId="2" fillId="4" fontId="8" numFmtId="0" xfId="0" applyAlignment="1" applyBorder="1" applyFill="1" applyFont="1">
      <alignment shrinkToFit="0" vertical="bottom" wrapText="1"/>
    </xf>
    <xf borderId="0" fillId="0" fontId="11" numFmtId="0" xfId="0" applyAlignment="1" applyFont="1">
      <alignment vertical="bottom"/>
    </xf>
    <xf borderId="2" fillId="6" fontId="10" numFmtId="0" xfId="0" applyAlignment="1" applyBorder="1" applyFill="1" applyFont="1">
      <alignment vertical="top"/>
    </xf>
    <xf borderId="2" fillId="0" fontId="11" numFmtId="0" xfId="0" applyAlignment="1" applyBorder="1" applyFont="1">
      <alignment vertical="top"/>
    </xf>
    <xf borderId="0" fillId="7" fontId="15" numFmtId="0" xfId="0" applyAlignment="1" applyFill="1" applyFont="1">
      <alignment horizontal="center" readingOrder="0"/>
    </xf>
    <xf borderId="0" fillId="2" fontId="16" numFmtId="0" xfId="0" applyAlignment="1" applyFill="1" applyFont="1">
      <alignment readingOrder="0"/>
    </xf>
    <xf borderId="2" fillId="0" fontId="10" numFmtId="0" xfId="0" applyAlignment="1" applyBorder="1" applyFont="1">
      <alignment shrinkToFit="0" vertical="top" wrapText="0"/>
    </xf>
    <xf borderId="0" fillId="8" fontId="17" numFmtId="0" xfId="0" applyAlignment="1" applyFill="1" applyFont="1">
      <alignment readingOrder="0"/>
    </xf>
    <xf borderId="2" fillId="0" fontId="11" numFmtId="0" xfId="0" applyAlignment="1" applyBorder="1" applyFont="1">
      <alignment horizontal="center" vertical="top"/>
    </xf>
    <xf borderId="0" fillId="9" fontId="18" numFmtId="0" xfId="0" applyAlignment="1" applyFill="1" applyFont="1">
      <alignment readingOrder="0"/>
    </xf>
    <xf borderId="0" fillId="10" fontId="19" numFmtId="0" xfId="0" applyAlignment="1" applyFill="1" applyFont="1">
      <alignment readingOrder="0"/>
    </xf>
    <xf borderId="0" fillId="10" fontId="20" numFmtId="0" xfId="0" applyAlignment="1" applyFill="1" applyFont="1">
      <alignment readingOrder="0"/>
    </xf>
    <xf borderId="0" fillId="11" fontId="19" numFmtId="0" xfId="0" applyAlignment="1" applyFill="1" applyFont="1">
      <alignment readingOrder="0"/>
    </xf>
    <xf borderId="0" fillId="11" fontId="21" numFmtId="0" xfId="0" applyAlignment="1" applyFill="1" applyFont="1">
      <alignment readingOrder="0"/>
    </xf>
    <xf borderId="0" fillId="6" fontId="19" numFmtId="0" xfId="0" applyAlignment="1" applyFill="1" applyFont="1">
      <alignment readingOrder="0"/>
    </xf>
    <xf borderId="0" fillId="6" fontId="21" numFmtId="0" xfId="0" applyAlignment="1" applyFill="1" applyFont="1">
      <alignment readingOrder="0"/>
    </xf>
    <xf borderId="2" fillId="12" fontId="11" numFmtId="0" xfId="0" applyAlignment="1" applyBorder="1" applyFill="1" applyFont="1">
      <alignment readingOrder="0" vertical="top"/>
    </xf>
    <xf borderId="2" fillId="0" fontId="11" numFmtId="0" xfId="0" applyAlignment="1" applyBorder="1" applyFont="1">
      <alignment horizontal="right" readingOrder="0" vertical="bottom"/>
    </xf>
    <xf borderId="2" fillId="0" fontId="11" numFmtId="0" xfId="0" applyAlignment="1" applyBorder="1" applyFont="1">
      <alignment vertical="bottom"/>
    </xf>
    <xf borderId="2" fillId="6" fontId="10" numFmtId="0" xfId="0" applyAlignment="1" applyBorder="1" applyFill="1" applyFont="1">
      <alignment readingOrder="0" vertical="top"/>
    </xf>
    <xf borderId="2" fillId="6" fontId="10" numFmtId="0" xfId="0" applyAlignment="1" applyBorder="1" applyFill="1" applyFont="1">
      <alignment vertical="top"/>
    </xf>
    <xf borderId="2" fillId="0" fontId="10" numFmtId="0" xfId="0" applyAlignment="1" applyBorder="1" applyFont="1">
      <alignment shrinkToFit="0" vertical="top" wrapText="0"/>
    </xf>
    <xf borderId="0" fillId="10" fontId="20" numFmtId="0" xfId="0" applyAlignment="1" applyFill="1" applyFont="1">
      <alignment readingOrder="0"/>
    </xf>
    <xf borderId="0" fillId="6" fontId="21" numFmtId="0" xfId="0" applyAlignment="1" applyFill="1" applyFont="1">
      <alignment readingOrder="0"/>
    </xf>
    <xf borderId="0" fillId="11" fontId="21" numFmtId="0" xfId="0" applyAlignment="1" applyFill="1" applyFont="1">
      <alignment readingOrder="0"/>
    </xf>
    <xf borderId="2" fillId="0" fontId="11" numFmtId="0" xfId="0" applyAlignment="1" applyBorder="1" applyFont="1">
      <alignment readingOrder="0" vertical="bottom"/>
    </xf>
    <xf borderId="0" fillId="13" fontId="2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0" fontId="23" numFmtId="0" xfId="0" applyAlignment="1" applyFont="1">
      <alignment readingOrder="0"/>
    </xf>
    <xf borderId="0" fillId="0" fontId="2" numFmtId="0" xfId="0" applyFont="1"/>
    <xf borderId="2" fillId="0" fontId="11" numFmtId="0" xfId="0" applyAlignment="1" applyBorder="1" applyFont="1">
      <alignment horizontal="center" vertical="top"/>
    </xf>
    <xf borderId="2" fillId="0" fontId="11" numFmtId="0" xfId="0" applyAlignment="1" applyBorder="1" applyFont="1">
      <alignment horizontal="center" readingOrder="0" vertical="top"/>
    </xf>
    <xf borderId="2" fillId="6" fontId="11" numFmtId="0" xfId="0" applyAlignment="1" applyBorder="1" applyFill="1" applyFont="1">
      <alignment readingOrder="0" vertical="top"/>
    </xf>
    <xf borderId="0" fillId="6" fontId="11" numFmtId="0" xfId="0" applyAlignment="1" applyFill="1" applyFont="1">
      <alignment readingOrder="0" vertical="top"/>
    </xf>
    <xf borderId="0" fillId="9" fontId="1" numFmtId="0" xfId="0" applyAlignment="1" applyFill="1" applyFont="1">
      <alignment readingOrder="0"/>
    </xf>
    <xf borderId="0" fillId="14" fontId="1" numFmtId="0" xfId="0" applyAlignment="1" applyFill="1" applyFont="1">
      <alignment readingOrder="0"/>
    </xf>
    <xf borderId="0" fillId="15" fontId="1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5" fontId="2" numFmtId="169" xfId="0" applyAlignment="1" applyFill="1" applyFont="1" applyNumberFormat="1">
      <alignment readingOrder="0"/>
    </xf>
    <xf borderId="2" fillId="0" fontId="11" numFmtId="0" xfId="0" applyAlignment="1" applyBorder="1" applyFont="1">
      <alignment horizontal="right" vertical="bottom"/>
    </xf>
    <xf borderId="2" fillId="6" fontId="2" numFmtId="167" xfId="0" applyAlignment="1" applyBorder="1" applyFill="1" applyFont="1" applyNumberFormat="1">
      <alignment horizontal="left" readingOrder="0"/>
    </xf>
    <xf borderId="0" fillId="0" fontId="11" numFmtId="0" xfId="0" applyAlignment="1" applyFont="1">
      <alignment horizontal="right" vertical="bottom"/>
    </xf>
    <xf borderId="0" fillId="0" fontId="24" numFmtId="0" xfId="0" applyAlignment="1" applyFont="1">
      <alignment readingOrder="0"/>
    </xf>
    <xf borderId="2" fillId="6" fontId="11" numFmtId="0" xfId="0" applyAlignment="1" applyBorder="1" applyFill="1" applyFont="1">
      <alignment readingOrder="0" vertical="top"/>
    </xf>
    <xf borderId="2" fillId="6" fontId="11" numFmtId="0" xfId="0" applyAlignment="1" applyBorder="1" applyFill="1" applyFont="1">
      <alignment horizontal="right" readingOrder="0" vertical="top"/>
    </xf>
    <xf borderId="2" fillId="6" fontId="11" numFmtId="0" xfId="0" applyAlignment="1" applyBorder="1" applyFill="1" applyFont="1">
      <alignment horizontal="right" readingOrder="0" vertical="top"/>
    </xf>
    <xf borderId="0" fillId="6" fontId="11" numFmtId="0" xfId="0" applyAlignment="1" applyFill="1" applyFont="1">
      <alignment horizontal="right" readingOrder="0" vertical="top"/>
    </xf>
    <xf borderId="2" fillId="6" fontId="11" numFmtId="0" xfId="0" applyAlignment="1" applyBorder="1" applyFill="1" applyFont="1">
      <alignment horizontal="right" readingOrder="0" vertical="top"/>
    </xf>
    <xf borderId="0" fillId="6" fontId="2" numFmtId="167" xfId="0" applyAlignment="1" applyFill="1" applyFont="1" applyNumberFormat="1">
      <alignment horizontal="left" readingOrder="0"/>
    </xf>
    <xf borderId="0" fillId="0" fontId="2" numFmtId="169" xfId="0" applyFont="1" applyNumberFormat="1"/>
    <xf borderId="0" fillId="6" fontId="2" numFmtId="166" xfId="0" applyAlignment="1" applyFill="1" applyFont="1" applyNumberFormat="1">
      <alignment readingOrder="0" shrinkToFit="0" wrapText="1"/>
    </xf>
    <xf borderId="2" fillId="16" fontId="2" numFmtId="0" xfId="0" applyAlignment="1" applyBorder="1" applyFill="1" applyFont="1">
      <alignment readingOrder="0"/>
    </xf>
    <xf borderId="0" fillId="16" fontId="2" numFmtId="166" xfId="0" applyAlignment="1" applyFill="1" applyFont="1" applyNumberFormat="1">
      <alignment readingOrder="0" shrinkToFit="0" wrapText="1"/>
    </xf>
    <xf borderId="0" fillId="17" fontId="2" numFmtId="0" xfId="0" applyAlignment="1" applyFill="1" applyFont="1">
      <alignment readingOrder="0"/>
    </xf>
    <xf borderId="0" fillId="17" fontId="2" numFmtId="0" xfId="0" applyAlignment="1" applyFill="1" applyFont="1">
      <alignment readingOrder="0"/>
    </xf>
    <xf borderId="0" fillId="17" fontId="2" numFmtId="169" xfId="0" applyAlignment="1" applyFill="1" applyFont="1" applyNumberFormat="1">
      <alignment readingOrder="0"/>
    </xf>
    <xf borderId="0" fillId="18" fontId="2" numFmtId="0" xfId="0" applyAlignment="1" applyFill="1" applyFont="1">
      <alignment readingOrder="0"/>
    </xf>
    <xf borderId="0" fillId="17" fontId="2" numFmtId="0" xfId="0" applyFill="1" applyFont="1"/>
    <xf borderId="0" fillId="19" fontId="2" numFmtId="0" xfId="0" applyAlignment="1" applyFill="1" applyFont="1">
      <alignment readingOrder="0"/>
    </xf>
    <xf borderId="0" fillId="19" fontId="2" numFmtId="0" xfId="0" applyAlignment="1" applyFill="1" applyFont="1">
      <alignment readingOrder="0"/>
    </xf>
    <xf borderId="0" fillId="19" fontId="2" numFmtId="169" xfId="0" applyAlignment="1" applyFill="1" applyFont="1" applyNumberFormat="1">
      <alignment readingOrder="0"/>
    </xf>
    <xf borderId="0" fillId="6" fontId="2" numFmtId="0" xfId="0" applyFill="1" applyFont="1"/>
    <xf borderId="0" fillId="19" fontId="2" numFmtId="0" xfId="0" applyFill="1" applyFont="1"/>
    <xf borderId="0" fillId="20" fontId="2" numFmtId="0" xfId="0" applyFill="1" applyFont="1"/>
    <xf borderId="0" fillId="20" fontId="2" numFmtId="167" xfId="0" applyAlignment="1" applyFill="1" applyFont="1" applyNumberFormat="1">
      <alignment horizontal="left" readingOrder="0"/>
    </xf>
    <xf borderId="0" fillId="21" fontId="2" numFmtId="0" xfId="0" applyAlignment="1" applyFill="1" applyFont="1">
      <alignment readingOrder="0"/>
    </xf>
    <xf borderId="2" fillId="6" fontId="11" numFmtId="0" xfId="0" applyAlignment="1" applyBorder="1" applyFill="1" applyFont="1">
      <alignment readingOrder="0" vertical="top"/>
    </xf>
    <xf borderId="0" fillId="6" fontId="11" numFmtId="0" xfId="0" applyAlignment="1" applyFill="1" applyFont="1">
      <alignment horizontal="right" vertical="top"/>
    </xf>
    <xf borderId="2" fillId="0" fontId="11" numFmtId="0" xfId="0" applyAlignment="1" applyBorder="1" applyFont="1">
      <alignment shrinkToFit="0" vertical="top" wrapText="0"/>
    </xf>
    <xf borderId="0" fillId="20" fontId="11" numFmtId="0" xfId="0" applyAlignment="1" applyFill="1" applyFont="1">
      <alignment horizontal="right" readingOrder="0" vertical="top"/>
    </xf>
    <xf borderId="2" fillId="6" fontId="10" numFmtId="0" xfId="0" applyAlignment="1" applyBorder="1" applyFill="1" applyFont="1">
      <alignment shrinkToFit="0" vertical="top" wrapText="0"/>
    </xf>
    <xf borderId="2" fillId="22" fontId="10" numFmtId="0" xfId="0" applyAlignment="1" applyBorder="1" applyFill="1" applyFont="1">
      <alignment shrinkToFit="0" vertical="top" wrapText="0"/>
    </xf>
    <xf borderId="2" fillId="22" fontId="11" numFmtId="0" xfId="0" applyAlignment="1" applyBorder="1" applyFill="1" applyFont="1">
      <alignment vertical="top"/>
    </xf>
    <xf borderId="2" fillId="6" fontId="11" numFmtId="0" xfId="0" applyAlignment="1" applyBorder="1" applyFill="1" applyFont="1">
      <alignment vertical="top"/>
    </xf>
    <xf borderId="2" fillId="22" fontId="11" numFmtId="0" xfId="0" applyAlignment="1" applyBorder="1" applyFill="1" applyFont="1">
      <alignment shrinkToFit="0" vertical="top" wrapText="1"/>
    </xf>
    <xf borderId="2" fillId="6" fontId="11" numFmtId="0" xfId="0" applyAlignment="1" applyBorder="1" applyFill="1" applyFont="1">
      <alignment shrinkToFit="0" vertical="top" wrapText="1"/>
    </xf>
    <xf borderId="2" fillId="6" fontId="10" numFmtId="0" xfId="0" applyAlignment="1" applyBorder="1" applyFill="1" applyFont="1">
      <alignment shrinkToFit="0" vertical="top" wrapText="0"/>
    </xf>
    <xf borderId="2" fillId="22" fontId="11" numFmtId="0" xfId="0" applyAlignment="1" applyBorder="1" applyFill="1" applyFont="1">
      <alignment shrinkToFit="0" vertical="top" wrapText="0"/>
    </xf>
    <xf borderId="2" fillId="6" fontId="11" numFmtId="0" xfId="0" applyAlignment="1" applyBorder="1" applyFill="1" applyFont="1">
      <alignment shrinkToFit="0" vertical="top" wrapText="0"/>
    </xf>
    <xf borderId="2" fillId="20" fontId="11" numFmtId="0" xfId="0" applyAlignment="1" applyBorder="1" applyFill="1" applyFont="1">
      <alignment shrinkToFit="0" vertical="top" wrapText="1"/>
    </xf>
    <xf borderId="2" fillId="0" fontId="11" numFmtId="0" xfId="0" applyAlignment="1" applyBorder="1" applyFont="1">
      <alignment readingOrder="0" vertical="bottom"/>
    </xf>
    <xf borderId="2" fillId="22" fontId="11" numFmtId="0" xfId="0" applyAlignment="1" applyBorder="1" applyFill="1" applyFont="1">
      <alignment readingOrder="0" shrinkToFit="0" vertical="top" wrapText="1"/>
    </xf>
    <xf borderId="0" fillId="6" fontId="11" numFmtId="0" xfId="0" applyAlignment="1" applyFill="1" applyFont="1">
      <alignment readingOrder="0" shrinkToFit="0" vertical="top" wrapText="0"/>
    </xf>
    <xf borderId="2" fillId="22" fontId="11" numFmtId="0" xfId="0" applyAlignment="1" applyBorder="1" applyFill="1" applyFont="1">
      <alignment readingOrder="0" shrinkToFit="0" vertical="top" wrapText="0"/>
    </xf>
    <xf borderId="2" fillId="6" fontId="11" numFmtId="0" xfId="0" applyAlignment="1" applyBorder="1" applyFill="1" applyFont="1">
      <alignment readingOrder="0" shrinkToFit="0" vertical="top" wrapText="0"/>
    </xf>
    <xf borderId="2" fillId="22" fontId="11" numFmtId="0" xfId="0" applyAlignment="1" applyBorder="1" applyFill="1" applyFont="1">
      <alignment readingOrder="0" vertical="top"/>
    </xf>
    <xf borderId="2" fillId="22" fontId="11" numFmtId="0" xfId="0" applyAlignment="1" applyBorder="1" applyFill="1" applyFont="1">
      <alignment vertical="top"/>
    </xf>
    <xf borderId="2" fillId="6" fontId="11" numFmtId="0" xfId="0" applyAlignment="1" applyBorder="1" applyFill="1" applyFont="1">
      <alignment readingOrder="0" shrinkToFit="0" vertical="top" wrapText="1"/>
    </xf>
    <xf borderId="0" fillId="23" fontId="16" numFmtId="0" xfId="0" applyAlignment="1" applyFill="1" applyFont="1">
      <alignment readingOrder="0"/>
    </xf>
    <xf borderId="0" fillId="0" fontId="2" numFmtId="14" xfId="0" applyFont="1" applyNumberFormat="1"/>
    <xf borderId="0" fillId="21" fontId="2" numFmtId="49" xfId="0" applyAlignment="1" applyFill="1" applyFont="1" applyNumberFormat="1">
      <alignment readingOrder="0"/>
    </xf>
    <xf borderId="0" fillId="21" fontId="2" numFmtId="1" xfId="0" applyAlignment="1" applyFill="1" applyFont="1" applyNumberFormat="1">
      <alignment readingOrder="0"/>
    </xf>
    <xf borderId="0" fillId="23" fontId="2" numFmtId="169" xfId="0" applyAlignment="1" applyFill="1" applyFont="1" applyNumberFormat="1">
      <alignment readingOrder="0"/>
    </xf>
    <xf borderId="0" fillId="0" fontId="2" numFmtId="49" xfId="0" applyFont="1" applyNumberFormat="1"/>
    <xf borderId="0" fillId="0" fontId="2" numFmtId="1" xfId="0" applyFont="1" applyNumberFormat="1"/>
    <xf borderId="0" fillId="24" fontId="16" numFmtId="0" xfId="0" applyAlignment="1" applyFill="1" applyFont="1">
      <alignment readingOrder="0"/>
    </xf>
    <xf borderId="0" fillId="25" fontId="2" numFmtId="49" xfId="0" applyAlignment="1" applyFill="1" applyFont="1" applyNumberFormat="1">
      <alignment readingOrder="0"/>
    </xf>
    <xf borderId="0" fillId="25" fontId="2" numFmtId="1" xfId="0" applyAlignment="1" applyFill="1" applyFont="1" applyNumberFormat="1">
      <alignment readingOrder="0"/>
    </xf>
    <xf borderId="0" fillId="21" fontId="12" numFmtId="1" xfId="0" applyAlignment="1" applyFill="1" applyFont="1" applyNumberFormat="1">
      <alignment readingOrder="0"/>
    </xf>
    <xf borderId="0" fillId="25" fontId="2" numFmtId="49" xfId="0" applyFill="1" applyFont="1" applyNumberFormat="1"/>
    <xf borderId="2" fillId="22" fontId="11" numFmtId="0" xfId="0" applyAlignment="1" applyBorder="1" applyFill="1" applyFont="1">
      <alignment shrinkToFit="0" vertical="top" wrapText="0"/>
    </xf>
    <xf borderId="2" fillId="6" fontId="11" numFmtId="0" xfId="0" applyAlignment="1" applyBorder="1" applyFill="1" applyFont="1">
      <alignment shrinkToFit="0" vertical="top" wrapText="0"/>
    </xf>
    <xf borderId="0" fillId="6" fontId="25" numFmtId="0" xfId="0" applyAlignment="1" applyFill="1" applyFont="1">
      <alignment readingOrder="0"/>
    </xf>
    <xf borderId="0" fillId="6" fontId="26" numFmtId="0" xfId="0" applyAlignment="1" applyFill="1" applyFont="1">
      <alignment readingOrder="0"/>
    </xf>
    <xf borderId="0" fillId="6" fontId="2" numFmtId="14" xfId="0" applyAlignment="1" applyFill="1" applyFont="1" applyNumberFormat="1">
      <alignment readingOrder="0"/>
    </xf>
    <xf borderId="0" fillId="6" fontId="27" numFmtId="0" xfId="0" applyAlignment="1" applyFill="1" applyFont="1">
      <alignment readingOrder="0"/>
    </xf>
    <xf borderId="0" fillId="6" fontId="27" numFmtId="0" xfId="0" applyAlignment="1" applyFill="1" applyFont="1">
      <alignment horizontal="right" readingOrder="0" vertical="top"/>
    </xf>
    <xf borderId="6" fillId="0" fontId="2" numFmtId="0" xfId="0" applyBorder="1" applyFont="1"/>
    <xf borderId="0" fillId="6" fontId="28" numFmtId="3" xfId="0" applyAlignment="1" applyFill="1" applyFont="1" applyNumberFormat="1">
      <alignment readingOrder="0"/>
    </xf>
    <xf borderId="0" fillId="6" fontId="2" numFmtId="0" xfId="0" applyFill="1" applyFont="1"/>
    <xf borderId="0" fillId="6" fontId="2" numFmtId="167" xfId="0" applyAlignment="1" applyFill="1" applyFont="1" applyNumberFormat="1">
      <alignment horizontal="left" readingOrder="0"/>
    </xf>
    <xf borderId="0" fillId="6" fontId="11" numFmtId="0" xfId="0" applyAlignment="1" applyFill="1" applyFont="1">
      <alignment horizontal="right" readingOrder="0" shrinkToFit="0" vertical="top" wrapText="0"/>
    </xf>
    <xf borderId="0" fillId="22" fontId="2" numFmtId="0" xfId="0" applyAlignment="1" applyFill="1" applyFont="1">
      <alignment readingOrder="0"/>
    </xf>
    <xf borderId="2" fillId="22" fontId="11" numFmtId="0" xfId="0" applyAlignment="1" applyBorder="1" applyFill="1" applyFont="1">
      <alignment readingOrder="0" vertical="top"/>
    </xf>
    <xf borderId="2" fillId="6" fontId="11" numFmtId="0" xfId="0" applyAlignment="1" applyBorder="1" applyFill="1" applyFont="1">
      <alignment vertical="top"/>
    </xf>
    <xf borderId="2" fillId="22" fontId="11" numFmtId="0" xfId="0" applyAlignment="1" applyBorder="1" applyFill="1" applyFont="1">
      <alignment vertical="top"/>
    </xf>
    <xf borderId="2" fillId="0" fontId="11" numFmtId="0" xfId="0" applyAlignment="1" applyBorder="1" applyFont="1">
      <alignment readingOrder="0" vertical="top"/>
    </xf>
    <xf borderId="0" fillId="16" fontId="29" numFmtId="0" xfId="0" applyAlignment="1" applyFill="1" applyFont="1">
      <alignment horizontal="right" readingOrder="0" vertical="top"/>
    </xf>
    <xf borderId="0" fillId="6" fontId="11" numFmtId="0" xfId="0" applyAlignment="1" applyFill="1" applyFont="1">
      <alignment vertical="top"/>
    </xf>
    <xf borderId="0" fillId="0" fontId="2" numFmtId="14" xfId="0" applyAlignment="1" applyFont="1" applyNumberFormat="1">
      <alignment readingOrder="0"/>
    </xf>
    <xf borderId="0" fillId="0" fontId="11" numFmtId="0" xfId="0" applyAlignment="1" applyFont="1">
      <alignment horizontal="right" readingOrder="0" vertical="top"/>
    </xf>
    <xf borderId="0" fillId="0" fontId="11" numFmtId="0" xfId="0" applyAlignment="1" applyFont="1">
      <alignment horizontal="right" readingOrder="0" vertical="top"/>
    </xf>
    <xf borderId="0" fillId="0" fontId="11" numFmtId="0" xfId="0" applyAlignment="1" applyFont="1">
      <alignment horizontal="right" vertical="top"/>
    </xf>
    <xf borderId="0" fillId="0" fontId="11" numFmtId="0" xfId="0" applyAlignment="1" applyFont="1">
      <alignment readingOrder="0" vertical="bottom"/>
    </xf>
    <xf borderId="0" fillId="6" fontId="11" numFmtId="0" xfId="0" applyAlignment="1" applyFill="1" applyFont="1">
      <alignment readingOrder="0" vertical="top"/>
    </xf>
    <xf borderId="0" fillId="0" fontId="11" numFmtId="0" xfId="0" applyAlignment="1" applyFont="1">
      <alignment readingOrder="0" vertical="bottom"/>
    </xf>
    <xf borderId="0" fillId="22" fontId="11" numFmtId="0" xfId="0" applyAlignment="1" applyFill="1" applyFont="1">
      <alignment readingOrder="0" vertical="top"/>
    </xf>
    <xf borderId="0" fillId="6" fontId="2" numFmtId="168" xfId="0" applyAlignment="1" applyFill="1" applyFont="1" applyNumberFormat="1">
      <alignment readingOrder="0"/>
    </xf>
    <xf borderId="0" fillId="6" fontId="11" numFmtId="0" xfId="0" applyAlignment="1" applyFill="1" applyFont="1">
      <alignment readingOrder="0" vertical="top"/>
    </xf>
    <xf borderId="0" fillId="6" fontId="2" numFmtId="168" xfId="0" applyAlignment="1" applyFill="1" applyFont="1" applyNumberFormat="1">
      <alignment horizontal="left" readingOrder="0"/>
    </xf>
    <xf borderId="0" fillId="6" fontId="11" numFmtId="3" xfId="0" applyAlignment="1" applyFill="1" applyFont="1" applyNumberFormat="1">
      <alignment horizontal="right" readingOrder="0" vertical="top"/>
    </xf>
    <xf borderId="0" fillId="0" fontId="11" numFmtId="0" xfId="0" applyAlignment="1" applyFont="1">
      <alignment readingOrder="0" vertical="top"/>
    </xf>
    <xf borderId="0" fillId="6" fontId="11" numFmtId="3" xfId="0" applyAlignment="1" applyFill="1" applyFont="1" applyNumberFormat="1">
      <alignment horizontal="right" readingOrder="0" vertical="top"/>
    </xf>
    <xf borderId="0" fillId="6" fontId="2" numFmtId="0" xfId="0" applyAlignment="1" applyFill="1" applyFont="1">
      <alignment horizontal="left" readingOrder="0"/>
    </xf>
    <xf borderId="0" fillId="25" fontId="2" numFmtId="0" xfId="0" applyAlignment="1" applyFill="1" applyFont="1">
      <alignment readingOrder="0"/>
    </xf>
    <xf borderId="0" fillId="22" fontId="11" numFmtId="0" xfId="0" applyAlignment="1" applyFill="1" applyFont="1">
      <alignment readingOrder="0" vertical="bottom"/>
    </xf>
    <xf borderId="0" fillId="6" fontId="11" numFmtId="0" xfId="0" applyAlignment="1" applyFill="1" applyFont="1">
      <alignment readingOrder="0" vertical="bottom"/>
    </xf>
    <xf borderId="0" fillId="0" fontId="11" numFmtId="0" xfId="0" applyAlignment="1" applyFont="1">
      <alignment readingOrder="0" vertical="top"/>
    </xf>
    <xf borderId="0" fillId="26" fontId="2" numFmtId="49" xfId="0" applyAlignment="1" applyFill="1" applyFont="1" applyNumberFormat="1">
      <alignment readingOrder="0"/>
    </xf>
    <xf borderId="0" fillId="6" fontId="2" numFmtId="168" xfId="0" applyAlignment="1" applyFill="1" applyFont="1" applyNumberFormat="1">
      <alignment readingOrder="0"/>
    </xf>
    <xf borderId="2" fillId="0" fontId="2" numFmtId="0" xfId="0" applyAlignment="1" applyBorder="1" applyFont="1">
      <alignment horizontal="left" shrinkToFit="0" vertical="top" wrapText="1"/>
    </xf>
    <xf borderId="2" fillId="5" fontId="12" numFmtId="0" xfId="0" applyAlignment="1" applyBorder="1" applyFill="1" applyFont="1">
      <alignment horizontal="left" readingOrder="0" shrinkToFit="0" vertical="top" wrapText="1"/>
    </xf>
    <xf borderId="2" fillId="5" fontId="8" numFmtId="0" xfId="0" applyAlignment="1" applyBorder="1" applyFill="1" applyFont="1">
      <alignment shrinkToFit="0" vertical="bottom" wrapText="1"/>
    </xf>
    <xf borderId="0" fillId="6" fontId="8" numFmtId="167" xfId="0" applyAlignment="1" applyFill="1" applyFont="1" applyNumberFormat="1">
      <alignment readingOrder="0" vertical="bottom"/>
    </xf>
    <xf borderId="2" fillId="0" fontId="2" numFmtId="0" xfId="0" applyAlignment="1" applyBorder="1" applyFont="1">
      <alignment horizontal="left" vertical="top"/>
    </xf>
    <xf borderId="2" fillId="21" fontId="2" numFmtId="0" xfId="0" applyAlignment="1" applyBorder="1" applyFill="1" applyFont="1">
      <alignment horizontal="left" readingOrder="0" vertical="top"/>
    </xf>
    <xf borderId="2" fillId="6" fontId="2" numFmtId="0" xfId="0" applyAlignment="1" applyBorder="1" applyFill="1" applyFont="1">
      <alignment horizontal="left" readingOrder="0" vertical="top"/>
    </xf>
    <xf borderId="0" fillId="27" fontId="2" numFmtId="0" xfId="0" applyAlignment="1" applyFill="1" applyFont="1">
      <alignment horizontal="left" readingOrder="0" vertical="top"/>
    </xf>
    <xf borderId="0" fillId="6" fontId="2" numFmtId="0" xfId="0" applyAlignment="1" applyFill="1" applyFont="1">
      <alignment horizontal="left" readingOrder="0" vertical="top"/>
    </xf>
    <xf borderId="0" fillId="21" fontId="2" numFmtId="0" xfId="0" applyAlignment="1" applyFill="1" applyFont="1">
      <alignment horizontal="left" readingOrder="0" vertical="top"/>
    </xf>
    <xf borderId="2" fillId="27" fontId="2" numFmtId="0" xfId="0" applyAlignment="1" applyBorder="1" applyFill="1" applyFont="1">
      <alignment horizontal="left" readingOrder="0" vertical="top"/>
    </xf>
    <xf borderId="2" fillId="17" fontId="2" numFmtId="0" xfId="0" applyAlignment="1" applyBorder="1" applyFill="1" applyFont="1">
      <alignment horizontal="left" readingOrder="0" vertical="top"/>
    </xf>
    <xf borderId="2" fillId="28" fontId="2" numFmtId="0" xfId="0" applyAlignment="1" applyBorder="1" applyFill="1" applyFont="1">
      <alignment horizontal="left" readingOrder="0" vertical="top"/>
    </xf>
    <xf borderId="2" fillId="6" fontId="2" numFmtId="0" xfId="0" applyAlignment="1" applyBorder="1" applyFill="1" applyFont="1">
      <alignment horizontal="left" shrinkToFit="0" vertical="top" wrapText="1"/>
    </xf>
    <xf borderId="0" fillId="17" fontId="2" numFmtId="0" xfId="0" applyAlignment="1" applyFill="1" applyFont="1">
      <alignment horizontal="left" readingOrder="0" vertical="top"/>
    </xf>
    <xf borderId="2" fillId="29" fontId="2" numFmtId="0" xfId="0" applyAlignment="1" applyBorder="1" applyFill="1" applyFont="1">
      <alignment horizontal="left" shrinkToFit="0" vertical="top" wrapText="1"/>
    </xf>
    <xf borderId="2" fillId="30" fontId="2" numFmtId="0" xfId="0" applyAlignment="1" applyBorder="1" applyFill="1" applyFont="1">
      <alignment horizontal="left" shrinkToFit="0" vertical="top" wrapText="1"/>
    </xf>
    <xf borderId="0" fillId="28" fontId="2" numFmtId="0" xfId="0" applyAlignment="1" applyFill="1" applyFont="1">
      <alignment horizontal="left" readingOrder="0" vertical="top"/>
    </xf>
    <xf borderId="2" fillId="6" fontId="2" numFmtId="0" xfId="0" applyAlignment="1" applyBorder="1" applyFill="1" applyFont="1">
      <alignment horizontal="left" vertical="top"/>
    </xf>
    <xf borderId="0" fillId="6" fontId="2" numFmtId="0" xfId="0" applyAlignment="1" applyFill="1" applyFont="1">
      <alignment horizontal="left" vertical="top"/>
    </xf>
    <xf borderId="0" fillId="6" fontId="2" numFmtId="170" xfId="0" applyAlignment="1" applyFill="1" applyFont="1" applyNumberFormat="1">
      <alignment horizontal="left" readingOrder="0"/>
    </xf>
    <xf borderId="2" fillId="0" fontId="2" numFmtId="0" xfId="0" applyAlignment="1" applyBorder="1" applyFont="1">
      <alignment shrinkToFit="0" wrapText="1"/>
    </xf>
    <xf borderId="2" fillId="0" fontId="2" numFmtId="0" xfId="0" applyBorder="1" applyFont="1"/>
    <xf borderId="2" fillId="6" fontId="2" numFmtId="0" xfId="0" applyAlignment="1" applyBorder="1" applyFill="1" applyFont="1">
      <alignment horizontal="left" readingOrder="0"/>
    </xf>
    <xf borderId="0" fillId="6" fontId="2" numFmtId="0" xfId="0" applyAlignment="1" applyFill="1" applyFont="1">
      <alignment horizontal="left"/>
    </xf>
    <xf borderId="0" fillId="27" fontId="2" numFmtId="0" xfId="0" applyAlignment="1" applyFill="1" applyFont="1">
      <alignment horizontal="left" readingOrder="0"/>
    </xf>
    <xf borderId="0" fillId="0" fontId="2" numFmtId="0" xfId="0" applyAlignment="1" applyFont="1">
      <alignment horizontal="left"/>
    </xf>
    <xf borderId="2" fillId="6" fontId="2" numFmtId="0" xfId="0" applyAlignment="1" applyBorder="1" applyFill="1" applyFont="1">
      <alignment readingOrder="0" shrinkToFit="0" wrapText="1"/>
    </xf>
    <xf borderId="0" fillId="6" fontId="2" numFmtId="0" xfId="0" applyAlignment="1" applyFill="1" applyFont="1">
      <alignment shrinkToFit="0" wrapText="1"/>
    </xf>
    <xf borderId="0" fillId="0" fontId="2" numFmtId="0" xfId="0" applyAlignment="1" applyFont="1">
      <alignment shrinkToFit="0" wrapText="1"/>
    </xf>
    <xf borderId="2" fillId="6" fontId="2" numFmtId="0" xfId="0" applyAlignment="1" applyBorder="1" applyFill="1" applyFont="1">
      <alignment horizontal="left" readingOrder="0" shrinkToFit="0" vertical="top" wrapText="1"/>
    </xf>
    <xf borderId="0" fillId="6" fontId="2" numFmtId="0" xfId="0" applyAlignment="1" applyFill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6" fontId="2" numFmtId="0" xfId="0" applyAlignment="1" applyFill="1" applyFont="1">
      <alignment readingOrder="0"/>
    </xf>
    <xf borderId="0" fillId="31" fontId="2" numFmtId="0" xfId="0" applyAlignment="1" applyFill="1" applyFont="1">
      <alignment readingOrder="0"/>
    </xf>
    <xf borderId="0" fillId="0" fontId="2" numFmtId="167" xfId="0" applyAlignment="1" applyFont="1" applyNumberFormat="1">
      <alignment readingOrder="0"/>
    </xf>
    <xf borderId="0" fillId="6" fontId="2" numFmtId="14" xfId="0" applyAlignment="1" applyFill="1" applyFont="1" applyNumberFormat="1">
      <alignment horizontal="left" readingOrder="0"/>
    </xf>
    <xf borderId="5" fillId="32" fontId="30" numFmtId="0" xfId="0" applyAlignment="1" applyBorder="1" applyFill="1" applyFont="1">
      <alignment readingOrder="0"/>
    </xf>
    <xf borderId="7" fillId="0" fontId="9" numFmtId="0" xfId="0" applyBorder="1" applyFont="1"/>
    <xf borderId="8" fillId="0" fontId="9" numFmtId="0" xfId="0" applyBorder="1" applyFont="1"/>
    <xf borderId="2" fillId="0" fontId="31" numFmtId="0" xfId="0" applyBorder="1" applyFont="1"/>
    <xf borderId="0" fillId="0" fontId="31" numFmtId="0" xfId="0" applyFont="1"/>
    <xf quotePrefix="1" borderId="0" fillId="6" fontId="2" numFmtId="0" xfId="0" applyAlignment="1" applyFill="1" applyFont="1">
      <alignment readingOrder="0"/>
    </xf>
    <xf borderId="0" fillId="0" fontId="2" numFmtId="168" xfId="0" applyFont="1" applyNumberFormat="1"/>
    <xf borderId="5" fillId="0" fontId="32" numFmtId="0" xfId="0" applyAlignment="1" applyBorder="1" applyFont="1">
      <alignment readingOrder="0"/>
    </xf>
    <xf borderId="2" fillId="0" fontId="33" numFmtId="0" xfId="0" applyAlignment="1" applyBorder="1" applyFont="1">
      <alignment vertical="top"/>
    </xf>
    <xf borderId="0" fillId="6" fontId="34" numFmtId="0" xfId="0" applyAlignment="1" applyFill="1" applyFont="1">
      <alignment readingOrder="0"/>
    </xf>
    <xf borderId="0" fillId="0" fontId="2" numFmtId="164" xfId="0" applyFont="1" applyNumberFormat="1"/>
    <xf borderId="0" fillId="6" fontId="2" numFmtId="168" xfId="0" applyAlignment="1" applyFill="1" applyFont="1" applyNumberFormat="1">
      <alignment horizontal="left" readingOrder="0"/>
    </xf>
    <xf borderId="2" fillId="33" fontId="30" numFmtId="0" xfId="0" applyAlignment="1" applyBorder="1" applyFill="1" applyFont="1">
      <alignment readingOrder="0"/>
    </xf>
    <xf borderId="2" fillId="33" fontId="32" numFmtId="0" xfId="0" applyBorder="1" applyFill="1" applyFont="1"/>
    <xf borderId="2" fillId="4" fontId="8" numFmtId="169" xfId="0" applyAlignment="1" applyBorder="1" applyFill="1" applyFont="1" applyNumberFormat="1">
      <alignment shrinkToFit="0" vertical="top" wrapText="0"/>
    </xf>
    <xf borderId="0" fillId="0" fontId="2" numFmtId="170" xfId="0" applyAlignment="1" applyFont="1" applyNumberFormat="1">
      <alignment readingOrder="0"/>
    </xf>
    <xf borderId="0" fillId="0" fontId="2" numFmtId="169" xfId="0" applyFont="1" applyNumberFormat="1"/>
    <xf borderId="2" fillId="32" fontId="30" numFmtId="0" xfId="0" applyAlignment="1" applyBorder="1" applyFill="1" applyFont="1">
      <alignment readingOrder="0"/>
    </xf>
    <xf borderId="2" fillId="32" fontId="31" numFmtId="0" xfId="0" applyBorder="1" applyFill="1" applyFont="1"/>
    <xf borderId="2" fillId="5" fontId="2" numFmtId="169" xfId="0" applyBorder="1" applyFill="1" applyFont="1" applyNumberFormat="1"/>
    <xf borderId="2" fillId="5" fontId="2" numFmtId="165" xfId="0" applyAlignment="1" applyBorder="1" applyFill="1" applyFont="1" applyNumberFormat="1">
      <alignment readingOrder="0"/>
    </xf>
    <xf borderId="2" fillId="34" fontId="10" numFmtId="0" xfId="0" applyAlignment="1" applyBorder="1" applyFill="1" applyFont="1">
      <alignment horizontal="left" vertical="top"/>
    </xf>
    <xf borderId="2" fillId="12" fontId="10" numFmtId="0" xfId="0" applyAlignment="1" applyBorder="1" applyFill="1" applyFont="1">
      <alignment horizontal="left" vertical="top"/>
    </xf>
    <xf borderId="2" fillId="34" fontId="10" numFmtId="0" xfId="0" applyAlignment="1" applyBorder="1" applyFill="1" applyFont="1">
      <alignment horizontal="left" vertical="top"/>
    </xf>
    <xf borderId="2" fillId="12" fontId="10" numFmtId="0" xfId="0" applyAlignment="1" applyBorder="1" applyFill="1" applyFont="1">
      <alignment horizontal="left" vertical="top"/>
    </xf>
    <xf borderId="2" fillId="6" fontId="11" numFmtId="171" xfId="0" applyAlignment="1" applyBorder="1" applyFill="1" applyFont="1" applyNumberFormat="1">
      <alignment horizontal="left" shrinkToFit="0" vertical="top" wrapText="0"/>
    </xf>
    <xf borderId="2" fillId="6" fontId="11" numFmtId="0" xfId="0" applyAlignment="1" applyBorder="1" applyFill="1" applyFont="1">
      <alignment horizontal="left" shrinkToFit="0" vertical="top" wrapText="1"/>
    </xf>
    <xf borderId="2" fillId="6" fontId="35" numFmtId="0" xfId="0" applyAlignment="1" applyBorder="1" applyFill="1" applyFont="1">
      <alignment horizontal="left" shrinkToFit="0" vertical="top" wrapText="0"/>
    </xf>
    <xf borderId="2" fillId="6" fontId="11" numFmtId="172" xfId="0" applyAlignment="1" applyBorder="1" applyFill="1" applyFont="1" applyNumberFormat="1">
      <alignment horizontal="left" shrinkToFit="0" vertical="top" wrapText="0"/>
    </xf>
    <xf borderId="2" fillId="6" fontId="11" numFmtId="0" xfId="0" applyAlignment="1" applyBorder="1" applyFill="1" applyFont="1">
      <alignment horizontal="left" shrinkToFit="0" vertical="top" wrapText="0"/>
    </xf>
    <xf borderId="0" fillId="6" fontId="11" numFmtId="0" xfId="0" applyAlignment="1" applyFill="1" applyFont="1">
      <alignment horizontal="right" shrinkToFit="0" wrapText="0"/>
    </xf>
    <xf borderId="2" fillId="22" fontId="11" numFmtId="171" xfId="0" applyAlignment="1" applyBorder="1" applyFill="1" applyFont="1" applyNumberFormat="1">
      <alignment horizontal="left" shrinkToFit="0" vertical="top" wrapText="0"/>
    </xf>
    <xf borderId="2" fillId="22" fontId="11" numFmtId="0" xfId="0" applyAlignment="1" applyBorder="1" applyFill="1" applyFont="1">
      <alignment horizontal="left" shrinkToFit="0" vertical="top" wrapText="1"/>
    </xf>
    <xf borderId="2" fillId="22" fontId="35" numFmtId="0" xfId="0" applyAlignment="1" applyBorder="1" applyFill="1" applyFont="1">
      <alignment horizontal="left" shrinkToFit="0" vertical="top" wrapText="0"/>
    </xf>
    <xf borderId="2" fillId="22" fontId="11" numFmtId="172" xfId="0" applyAlignment="1" applyBorder="1" applyFill="1" applyFont="1" applyNumberFormat="1">
      <alignment horizontal="left" shrinkToFit="0" vertical="top" wrapText="0"/>
    </xf>
    <xf borderId="2" fillId="22" fontId="11" numFmtId="0" xfId="0" applyAlignment="1" applyBorder="1" applyFill="1" applyFont="1">
      <alignment horizontal="left" shrinkToFit="0" vertical="top" wrapText="0"/>
    </xf>
    <xf borderId="0" fillId="22" fontId="11" numFmtId="0" xfId="0" applyAlignment="1" applyFill="1" applyFont="1">
      <alignment horizontal="right" shrinkToFit="0" wrapText="0"/>
    </xf>
    <xf borderId="2" fillId="6" fontId="11" numFmtId="0" xfId="0" applyAlignment="1" applyBorder="1" applyFill="1" applyFont="1">
      <alignment horizontal="left" shrinkToFit="0" vertical="top" wrapText="1"/>
    </xf>
    <xf borderId="2" fillId="6" fontId="35" numFmtId="0" xfId="0" applyAlignment="1" applyBorder="1" applyFill="1" applyFont="1">
      <alignment horizontal="left" shrinkToFit="0" vertical="top" wrapText="0"/>
    </xf>
    <xf borderId="2" fillId="22" fontId="11" numFmtId="0" xfId="0" applyAlignment="1" applyBorder="1" applyFill="1" applyFont="1">
      <alignment horizontal="left" shrinkToFit="0" vertical="top" wrapText="1"/>
    </xf>
    <xf borderId="2" fillId="22" fontId="35" numFmtId="0" xfId="0" applyAlignment="1" applyBorder="1" applyFill="1" applyFont="1">
      <alignment horizontal="left" shrinkToFit="0" vertical="top" wrapText="0"/>
    </xf>
    <xf borderId="2" fillId="6" fontId="11" numFmtId="171" xfId="0" applyAlignment="1" applyBorder="1" applyFill="1" applyFont="1" applyNumberFormat="1">
      <alignment horizontal="left" readingOrder="0" shrinkToFit="0" vertical="top" wrapText="0"/>
    </xf>
    <xf borderId="2" fillId="6" fontId="11" numFmtId="167" xfId="0" applyAlignment="1" applyBorder="1" applyFill="1" applyFont="1" applyNumberFormat="1">
      <alignment horizontal="left" shrinkToFit="0" vertical="top" wrapText="0"/>
    </xf>
    <xf borderId="2" fillId="22" fontId="11" numFmtId="167" xfId="0" applyAlignment="1" applyBorder="1" applyFill="1" applyFont="1" applyNumberFormat="1">
      <alignment horizontal="left" shrinkToFit="0" vertical="top" wrapText="0"/>
    </xf>
    <xf borderId="0" fillId="22" fontId="11" numFmtId="0" xfId="0" applyAlignment="1" applyFill="1" applyFont="1">
      <alignment shrinkToFit="0" vertical="top" wrapText="0"/>
    </xf>
    <xf borderId="2" fillId="22" fontId="11" numFmtId="0" xfId="0" applyAlignment="1" applyBorder="1" applyFill="1" applyFont="1">
      <alignment horizontal="left" readingOrder="0" shrinkToFit="0" vertical="top" wrapText="1"/>
    </xf>
    <xf borderId="2" fillId="22" fontId="35" numFmtId="0" xfId="0" applyAlignment="1" applyBorder="1" applyFill="1" applyFont="1">
      <alignment horizontal="left" readingOrder="0" shrinkToFit="0" vertical="top" wrapText="0"/>
    </xf>
    <xf borderId="2" fillId="22" fontId="11" numFmtId="167" xfId="0" applyAlignment="1" applyBorder="1" applyFill="1" applyFont="1" applyNumberFormat="1">
      <alignment horizontal="left" readingOrder="0" shrinkToFit="0" vertical="top" wrapText="0"/>
    </xf>
    <xf borderId="2" fillId="22" fontId="11" numFmtId="0" xfId="0" applyAlignment="1" applyBorder="1" applyFill="1" applyFont="1">
      <alignment horizontal="left" readingOrder="0" shrinkToFit="0" vertical="top" wrapText="0"/>
    </xf>
    <xf borderId="0" fillId="22" fontId="11" numFmtId="0" xfId="0" applyAlignment="1" applyFill="1" applyFont="1">
      <alignment readingOrder="0" shrinkToFit="0" vertical="top" wrapText="0"/>
    </xf>
    <xf borderId="2" fillId="22" fontId="11" numFmtId="170" xfId="0" applyAlignment="1" applyBorder="1" applyFill="1" applyFont="1" applyNumberFormat="1">
      <alignment horizontal="left" readingOrder="0" shrinkToFit="0" vertical="top" wrapText="0"/>
    </xf>
    <xf borderId="2" fillId="22" fontId="11" numFmtId="173" xfId="0" applyAlignment="1" applyBorder="1" applyFill="1" applyFont="1" applyNumberFormat="1">
      <alignment horizontal="left" readingOrder="0" shrinkToFit="0" vertical="top" wrapText="0"/>
    </xf>
    <xf borderId="2" fillId="22" fontId="11" numFmtId="165" xfId="0" applyAlignment="1" applyBorder="1" applyFill="1" applyFont="1" applyNumberFormat="1">
      <alignment horizontal="left" readingOrder="0" shrinkToFit="0" vertical="top" wrapText="0"/>
    </xf>
    <xf borderId="1" fillId="5" fontId="2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horizontal="left" readingOrder="0" shrinkToFit="0" vertical="top" wrapText="1"/>
    </xf>
    <xf borderId="9" fillId="5" fontId="2" numFmtId="0" xfId="0" applyAlignment="1" applyBorder="1" applyFill="1" applyFont="1">
      <alignment readingOrder="0"/>
    </xf>
    <xf borderId="2" fillId="5" fontId="11" numFmtId="165" xfId="0" applyAlignment="1" applyBorder="1" applyFill="1" applyFont="1" applyNumberFormat="1">
      <alignment vertical="bottom"/>
    </xf>
    <xf borderId="2" fillId="5" fontId="11" numFmtId="0" xfId="0" applyAlignment="1" applyBorder="1" applyFill="1" applyFont="1">
      <alignment vertical="bottom"/>
    </xf>
    <xf borderId="0" fillId="6" fontId="2" numFmtId="0" xfId="0" applyAlignment="1" applyFill="1" applyFont="1">
      <alignment horizontal="left" readingOrder="0" shrinkToFit="0" vertical="top" wrapText="1"/>
    </xf>
    <xf borderId="0" fillId="6" fontId="2" numFmtId="0" xfId="0" applyFill="1" applyFont="1"/>
    <xf borderId="0" fillId="0" fontId="2" numFmtId="0" xfId="0" applyFont="1"/>
    <xf borderId="2" fillId="22" fontId="11" numFmtId="168" xfId="0" applyAlignment="1" applyBorder="1" applyFill="1" applyFont="1" applyNumberFormat="1">
      <alignment horizontal="left" readingOrder="0" shrinkToFit="0" vertical="top" wrapText="0"/>
    </xf>
    <xf borderId="2" fillId="0" fontId="2" numFmtId="0" xfId="0" applyAlignment="1" applyBorder="1" applyFont="1">
      <alignment horizontal="left" readingOrder="0" vertical="top"/>
    </xf>
    <xf borderId="2" fillId="0" fontId="2" numFmtId="0" xfId="0" applyAlignment="1" applyBorder="1" applyFont="1">
      <alignment horizontal="left" readingOrder="0" vertical="top"/>
    </xf>
    <xf borderId="2" fillId="0" fontId="2" numFmtId="0" xfId="0" applyAlignment="1" applyBorder="1" applyFont="1">
      <alignment horizontal="left" readingOrder="0" shrinkToFit="0" vertical="top" wrapText="1"/>
    </xf>
    <xf borderId="2" fillId="0" fontId="2" numFmtId="168" xfId="0" applyAlignment="1" applyBorder="1" applyFont="1" applyNumberFormat="1">
      <alignment horizontal="left" readingOrder="0" vertical="top"/>
    </xf>
    <xf borderId="2" fillId="0" fontId="2" numFmtId="167" xfId="0" applyAlignment="1" applyBorder="1" applyFont="1" applyNumberFormat="1">
      <alignment horizontal="left" readingOrder="0" vertical="top"/>
    </xf>
    <xf borderId="2" fillId="22" fontId="11" numFmtId="167" xfId="0" applyAlignment="1" applyBorder="1" applyFill="1" applyFont="1" applyNumberFormat="1">
      <alignment readingOrder="0" vertical="top"/>
    </xf>
    <xf borderId="2" fillId="22" fontId="35" numFmtId="167" xfId="0" applyAlignment="1" applyBorder="1" applyFill="1" applyFont="1" applyNumberFormat="1">
      <alignment horizontal="left" readingOrder="0" shrinkToFit="0" vertical="top" wrapText="0"/>
    </xf>
    <xf borderId="2" fillId="6" fontId="11" numFmtId="167" xfId="0" applyAlignment="1" applyBorder="1" applyFill="1" applyFont="1" applyNumberFormat="1">
      <alignment readingOrder="0" vertical="top"/>
    </xf>
    <xf borderId="2" fillId="22" fontId="11" numFmtId="167" xfId="0" applyAlignment="1" applyBorder="1" applyFill="1" applyFont="1" applyNumberFormat="1">
      <alignment vertical="top"/>
    </xf>
    <xf borderId="2" fillId="6" fontId="11" numFmtId="167" xfId="0" applyAlignment="1" applyBorder="1" applyFill="1" applyFont="1" applyNumberFormat="1">
      <alignment vertical="top"/>
    </xf>
    <xf borderId="0" fillId="0" fontId="2" numFmtId="165" xfId="0" applyFont="1" applyNumberFormat="1"/>
    <xf borderId="2" fillId="35" fontId="8" numFmtId="0" xfId="0" applyAlignment="1" applyBorder="1" applyFill="1" applyFont="1">
      <alignment vertical="bottom"/>
    </xf>
    <xf borderId="2" fillId="35" fontId="8" numFmtId="0" xfId="0" applyAlignment="1" applyBorder="1" applyFill="1" applyFont="1">
      <alignment vertical="bottom"/>
    </xf>
    <xf borderId="2" fillId="35" fontId="8" numFmtId="0" xfId="0" applyAlignment="1" applyBorder="1" applyFill="1" applyFont="1">
      <alignment readingOrder="0" vertical="bottom"/>
    </xf>
    <xf borderId="2" fillId="35" fontId="8" numFmtId="165" xfId="0" applyAlignment="1" applyBorder="1" applyFill="1" applyFont="1" applyNumberFormat="1">
      <alignment vertical="bottom"/>
    </xf>
    <xf borderId="2" fillId="35" fontId="12" numFmtId="165" xfId="0" applyAlignment="1" applyBorder="1" applyFill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6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vertical="bottom"/>
    </xf>
    <xf borderId="2" fillId="6" fontId="37" numFmtId="0" xfId="0" applyAlignment="1" applyBorder="1" applyFill="1" applyFont="1">
      <alignment readingOrder="0" shrinkToFit="0" vertical="center" wrapText="0"/>
    </xf>
    <xf borderId="2" fillId="6" fontId="38" numFmtId="0" xfId="0" applyAlignment="1" applyBorder="1" applyFill="1" applyFont="1">
      <alignment shrinkToFit="0" vertical="top" wrapText="0"/>
    </xf>
    <xf borderId="2" fillId="6" fontId="37" numFmtId="0" xfId="0" applyAlignment="1" applyBorder="1" applyFill="1" applyFont="1">
      <alignment shrinkToFit="0" vertical="center" wrapText="0"/>
    </xf>
    <xf borderId="0" fillId="36" fontId="11" numFmtId="0" xfId="0" applyAlignment="1" applyFill="1" applyFont="1">
      <alignment readingOrder="0" vertical="bottom"/>
    </xf>
    <xf borderId="2" fillId="22" fontId="37" numFmtId="0" xfId="0" applyAlignment="1" applyBorder="1" applyFill="1" applyFont="1">
      <alignment shrinkToFit="0" vertical="center" wrapText="0"/>
    </xf>
    <xf borderId="2" fillId="22" fontId="38" numFmtId="0" xfId="0" applyAlignment="1" applyBorder="1" applyFill="1" applyFont="1">
      <alignment shrinkToFit="0" vertical="top" wrapText="0"/>
    </xf>
    <xf borderId="2" fillId="6" fontId="38" numFmtId="0" xfId="0" applyAlignment="1" applyBorder="1" applyFill="1" applyFont="1">
      <alignment readingOrder="0" shrinkToFit="0" vertical="top" wrapText="0"/>
    </xf>
    <xf borderId="0" fillId="34" fontId="11" numFmtId="0" xfId="0" applyAlignment="1" applyFill="1" applyFont="1">
      <alignment readingOrder="0" vertical="bottom"/>
    </xf>
    <xf borderId="0" fillId="34" fontId="11" numFmtId="0" xfId="0" applyAlignment="1" applyFill="1" applyFont="1">
      <alignment vertical="bottom"/>
    </xf>
    <xf borderId="10" fillId="6" fontId="37" numFmtId="0" xfId="0" applyAlignment="1" applyBorder="1" applyFill="1" applyFont="1">
      <alignment shrinkToFit="0" vertical="center" wrapText="0"/>
    </xf>
    <xf borderId="0" fillId="0" fontId="8" numFmtId="0" xfId="0" applyAlignment="1" applyFont="1">
      <alignment horizontal="center" vertical="bottom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33">
    <tableStyle count="4" pivot="0" name="Form responses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InOut (Manual)-style">
      <tableStyleElement dxfId="2" type="firstRowStripe"/>
      <tableStyleElement dxfId="5" type="secondRowStripe"/>
    </tableStyle>
    <tableStyle count="2" pivot="0" name="InOut (Manual)-style 2">
      <tableStyleElement dxfId="5" type="firstRowStripe"/>
      <tableStyleElement dxfId="2" type="secondRowStripe"/>
    </tableStyle>
    <tableStyle count="2" pivot="0" name="InOut (Manual)-style 3">
      <tableStyleElement dxfId="5" type="firstRowStripe"/>
      <tableStyleElement dxfId="2" type="secondRowStripe"/>
    </tableStyle>
    <tableStyle count="2" pivot="0" name="InOut (Manual)-style 4">
      <tableStyleElement dxfId="5" type="firstRowStripe"/>
      <tableStyleElement dxfId="2" type="secondRowStripe"/>
    </tableStyle>
    <tableStyle count="2" pivot="0" name="InOut (Manual)-style 5">
      <tableStyleElement dxfId="5" type="firstRowStripe"/>
      <tableStyleElement dxfId="2" type="secondRowStripe"/>
    </tableStyle>
    <tableStyle count="2" pivot="0" name="InOut (Manual)-style 6">
      <tableStyleElement dxfId="5" type="firstRowStripe"/>
      <tableStyleElement dxfId="2" type="secondRowStripe"/>
    </tableStyle>
    <tableStyle count="2" pivot="0" name="InOut (Manual)-style 7">
      <tableStyleElement dxfId="5" type="firstRowStripe"/>
      <tableStyleElement dxfId="2" type="secondRowStripe"/>
    </tableStyle>
    <tableStyle count="2" pivot="0" name="InOut (Manual)-style 8">
      <tableStyleElement dxfId="5" type="firstRowStripe"/>
      <tableStyleElement dxfId="2" type="secondRowStripe"/>
    </tableStyle>
    <tableStyle count="2" pivot="0" name="InOut (Manual)-style 9">
      <tableStyleElement dxfId="5" type="firstRowStripe"/>
      <tableStyleElement dxfId="2" type="secondRowStripe"/>
    </tableStyle>
    <tableStyle count="2" pivot="0" name="InOut (Manual)-style 10">
      <tableStyleElement dxfId="5" type="firstRowStripe"/>
      <tableStyleElement dxfId="2" type="secondRowStripe"/>
    </tableStyle>
    <tableStyle count="2" pivot="0" name="InOut (Manual)-style 11">
      <tableStyleElement dxfId="5" type="firstRowStripe"/>
      <tableStyleElement dxfId="2" type="secondRowStripe"/>
    </tableStyle>
    <tableStyle count="2" pivot="0" name="InOut (Manual)-style 12">
      <tableStyleElement dxfId="5" type="firstRowStripe"/>
      <tableStyleElement dxfId="2" type="secondRowStripe"/>
    </tableStyle>
    <tableStyle count="2" pivot="0" name="InOut (Manual)-style 13">
      <tableStyleElement dxfId="5" type="firstRowStripe"/>
      <tableStyleElement dxfId="2" type="secondRowStripe"/>
    </tableStyle>
    <tableStyle count="2" pivot="0" name="Form responses 2-style">
      <tableStyleElement dxfId="2" type="firstRowStripe"/>
      <tableStyleElement dxfId="5" type="secondRowStripe"/>
    </tableStyle>
    <tableStyle count="2" pivot="0" name="Item List-style">
      <tableStyleElement dxfId="5" type="firstRowStripe"/>
      <tableStyleElement dxfId="2" type="secondRowStripe"/>
    </tableStyle>
    <tableStyle count="2" pivot="0" name="manualfill--style">
      <tableStyleElement dxfId="2" type="firstRowStripe"/>
      <tableStyleElement dxfId="5" type="secondRowStripe"/>
    </tableStyle>
    <tableStyle count="2" pivot="0" name="manualfill--style 2">
      <tableStyleElement dxfId="5" type="firstRowStripe"/>
      <tableStyleElement dxfId="2" type="secondRowStripe"/>
    </tableStyle>
    <tableStyle count="2" pivot="0" name="manualfill--style 3">
      <tableStyleElement dxfId="5" type="firstRowStripe"/>
      <tableStyleElement dxfId="2" type="secondRowStripe"/>
    </tableStyle>
    <tableStyle count="2" pivot="0" name="manualfill--style 4">
      <tableStyleElement dxfId="5" type="firstRowStripe"/>
      <tableStyleElement dxfId="2" type="secondRowStripe"/>
    </tableStyle>
    <tableStyle count="2" pivot="0" name="manualfill--style 5">
      <tableStyleElement dxfId="5" type="firstRowStripe"/>
      <tableStyleElement dxfId="2" type="secondRowStripe"/>
    </tableStyle>
    <tableStyle count="2" pivot="0" name="manualfill--style 6">
      <tableStyleElement dxfId="5" type="firstRowStripe"/>
      <tableStyleElement dxfId="2" type="secondRowStripe"/>
    </tableStyle>
    <tableStyle count="2" pivot="0" name="manualfill--style 7">
      <tableStyleElement dxfId="5" type="firstRowStripe"/>
      <tableStyleElement dxfId="2" type="secondRowStripe"/>
    </tableStyle>
    <tableStyle count="2" pivot="0" name="manualfill--style 8">
      <tableStyleElement dxfId="5" type="firstRowStripe"/>
      <tableStyleElement dxfId="2" type="secondRowStripe"/>
    </tableStyle>
    <tableStyle count="2" pivot="0" name="manualfill--style 9">
      <tableStyleElement dxfId="5" type="firstRowStripe"/>
      <tableStyleElement dxfId="2" type="secondRowStripe"/>
    </tableStyle>
    <tableStyle count="2" pivot="0" name="manualfill--style 10">
      <tableStyleElement dxfId="5" type="firstRowStripe"/>
      <tableStyleElement dxfId="2" type="secondRowStripe"/>
    </tableStyle>
    <tableStyle count="2" pivot="0" name="manualfill--style 11">
      <tableStyleElement dxfId="5" type="firstRowStripe"/>
      <tableStyleElement dxfId="2" type="secondRowStripe"/>
    </tableStyle>
    <tableStyle count="2" pivot="0" name="manualfill--style 12">
      <tableStyleElement dxfId="5" type="firstRowStripe"/>
      <tableStyleElement dxfId="2" type="secondRowStripe"/>
    </tableStyle>
    <tableStyle count="2" pivot="0" name="manualfill--style 13">
      <tableStyleElement dxfId="5" type="firstRowStripe"/>
      <tableStyleElement dxfId="2" type="secondRowStripe"/>
    </tableStyle>
    <tableStyle count="4" pivot="0" name="DropDown List-style">
      <tableStyleElement dxfId="6" type="headerRow"/>
      <tableStyleElement dxfId="2" type="firstRowStripe"/>
      <tableStyleElement dxfId="5" type="secondRowStripe"/>
      <tableStyleElement dxfId="4" size="0" type="wholeTable"/>
    </tableStyle>
    <tableStyle count="4" pivot="0" name="DropDown List-style 2">
      <tableStyleElement dxfId="7" type="headerRow"/>
      <tableStyleElement dxfId="2" type="firstRowStripe"/>
      <tableStyleElement dxfId="5" type="secondRowStripe"/>
      <tableStyleElement dxfId="4" size="0" type="wholeTable"/>
    </tableStyle>
    <tableStyle count="4" pivot="0" name="DropDown List-style 3">
      <tableStyleElement dxfId="7" type="headerRow"/>
      <tableStyleElement dxfId="2" type="firstRowStripe"/>
      <tableStyleElement dxfId="5" type="secondRowStripe"/>
      <tableStyleElement dxfId="4" size="0" type="wholeTable"/>
    </tableStyle>
    <tableStyle count="4" pivot="0" name="DropDown List-style 4">
      <tableStyleElement dxfId="7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42</xdr:row>
      <xdr:rowOff>171450</xdr:rowOff>
    </xdr:from>
    <xdr:ext cx="13792200" cy="5562600"/>
    <xdr:pic>
      <xdr:nvPicPr>
        <xdr:cNvPr id="176076498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57" displayName="Form_Responses" name="Form_Responses" id="1">
  <tableColumns count="4">
    <tableColumn name="Timestamp" id="1"/>
    <tableColumn name="SKU CODE" id="2"/>
    <tableColumn name="ITEM NAME " id="3"/>
    <tableColumn name="IMAGE" id="4"/>
  </tableColumns>
  <tableStyleInfo name="Form responses 4-style" showColumnStripes="0" showFirstColumn="1" showLastColumn="1" showRowStripes="1"/>
</table>
</file>

<file path=xl/tables/table2.xml><?xml version="1.0" encoding="utf-8"?>
<table xmlns="http://schemas.openxmlformats.org/spreadsheetml/2006/main" headerRowCount="0" ref="A99:G412" displayName="Table_1" name="Table_1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InOut (Manual)-style" showColumnStripes="0" showFirstColumn="1" showLastColumn="1" showRowStripes="1"/>
</table>
</file>

<file path=xl/tables/table3.xml><?xml version="1.0" encoding="utf-8"?>
<table xmlns="http://schemas.openxmlformats.org/spreadsheetml/2006/main" headerRowCount="0" ref="A413:F414" displayName="Table_2" name="Table_2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nOut (Manual)-style 2" showColumnStripes="0" showFirstColumn="1" showLastColumn="1" showRowStripes="1"/>
</table>
</file>

<file path=xl/tables/table4.xml><?xml version="1.0" encoding="utf-8"?>
<table xmlns="http://schemas.openxmlformats.org/spreadsheetml/2006/main" headerRowCount="0" ref="A415:F415" displayName="Table_3" name="Table_3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nOut (Manual)-style 3" showColumnStripes="0" showFirstColumn="1" showLastColumn="1" showRowStripes="1"/>
</table>
</file>

<file path=xl/tables/table5.xml><?xml version="1.0" encoding="utf-8"?>
<table xmlns="http://schemas.openxmlformats.org/spreadsheetml/2006/main" headerRowCount="0" ref="A417:F418" displayName="Table_4" name="Table_4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nOut (Manual)-style 4" showColumnStripes="0" showFirstColumn="1" showLastColumn="1" showRowStripes="1"/>
</table>
</file>

<file path=xl/tables/table6.xml><?xml version="1.0" encoding="utf-8"?>
<table xmlns="http://schemas.openxmlformats.org/spreadsheetml/2006/main" headerRowCount="0" ref="A419:G420" displayName="Table_5" name="Table_5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InOut (Manual)-style 5" showColumnStripes="0" showFirstColumn="1" showLastColumn="1" showRowStripes="1"/>
</table>
</file>

<file path=xl/tables/table7.xml><?xml version="1.0" encoding="utf-8"?>
<table xmlns="http://schemas.openxmlformats.org/spreadsheetml/2006/main" headerRowCount="0" ref="A421:G422" displayName="Table_6" name="Table_6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InOut (Manual)-style 6" showColumnStripes="0" showFirstColumn="1" showLastColumn="1" showRowStripes="1"/>
</table>
</file>

<file path=xl/tables/table8.xml><?xml version="1.0" encoding="utf-8"?>
<table xmlns="http://schemas.openxmlformats.org/spreadsheetml/2006/main" headerRowCount="0" ref="A423:F424" displayName="Table_7" name="Table_7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nOut (Manual)-style 7" showColumnStripes="0" showFirstColumn="1" showLastColumn="1" showRowStripes="1"/>
</table>
</file>

<file path=xl/tables/table9.xml><?xml version="1.0" encoding="utf-8"?>
<table xmlns="http://schemas.openxmlformats.org/spreadsheetml/2006/main" headerRowCount="0" ref="A425:F426" displayName="Table_8" name="Table_8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nOut (Manual)-style 8" showColumnStripes="0" showFirstColumn="1" showLastColumn="1" showRowStripes="1"/>
</table>
</file>

<file path=xl/tables/table10.xml><?xml version="1.0" encoding="utf-8"?>
<table xmlns="http://schemas.openxmlformats.org/spreadsheetml/2006/main" headerRowCount="0" ref="A427:G428" displayName="Table_9" name="Table_9" id="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InOut (Manual)-style 9" showColumnStripes="0" showFirstColumn="1" showLastColumn="1" showRowStripes="1"/>
</table>
</file>

<file path=xl/tables/table11.xml><?xml version="1.0" encoding="utf-8"?>
<table xmlns="http://schemas.openxmlformats.org/spreadsheetml/2006/main" headerRowCount="0" ref="A429:G430" displayName="Table_10" name="Table_10" id="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InOut (Manual)-style 10" showColumnStripes="0" showFirstColumn="1" showLastColumn="1" showRowStripes="1"/>
</table>
</file>

<file path=xl/tables/table12.xml><?xml version="1.0" encoding="utf-8"?>
<table xmlns="http://schemas.openxmlformats.org/spreadsheetml/2006/main" headerRowCount="0" ref="A431:G432" displayName="Table_11" name="Table_11" id="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InOut (Manual)-style 11" showColumnStripes="0" showFirstColumn="1" showLastColumn="1" showRowStripes="1"/>
</table>
</file>

<file path=xl/tables/table13.xml><?xml version="1.0" encoding="utf-8"?>
<table xmlns="http://schemas.openxmlformats.org/spreadsheetml/2006/main" headerRowCount="0" ref="A433:G434" displayName="Table_12" name="Table_12" id="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InOut (Manual)-style 12" showColumnStripes="0" showFirstColumn="1" showLastColumn="1" showRowStripes="1"/>
</table>
</file>

<file path=xl/tables/table14.xml><?xml version="1.0" encoding="utf-8"?>
<table xmlns="http://schemas.openxmlformats.org/spreadsheetml/2006/main" headerRowCount="0" ref="A435:I930" displayName="Table_13" name="Table_13" id="1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InOut (Manual)-style 13" showColumnStripes="0" showFirstColumn="1" showLastColumn="1" showRowStripes="1"/>
</table>
</file>

<file path=xl/tables/table15.xml><?xml version="1.0" encoding="utf-8"?>
<table xmlns="http://schemas.openxmlformats.org/spreadsheetml/2006/main" headerRowCount="0" ref="C21:E35" displayName="Table_14" name="Table_14" id="15">
  <tableColumns count="3">
    <tableColumn name="Column1" id="1"/>
    <tableColumn name="Column2" id="2"/>
    <tableColumn name="Column3" id="3"/>
  </tableColumns>
  <tableStyleInfo name="Form responses 2-style" showColumnStripes="0" showFirstColumn="1" showLastColumn="1" showRowStripes="1"/>
</table>
</file>

<file path=xl/tables/table16.xml><?xml version="1.0" encoding="utf-8"?>
<table xmlns="http://schemas.openxmlformats.org/spreadsheetml/2006/main" headerRowCount="0" ref="N217:N248" displayName="Table_15" name="Table_15" id="16">
  <tableColumns count="1">
    <tableColumn name="Column1" id="1"/>
  </tableColumns>
  <tableStyleInfo name="Item List-style" showColumnStripes="0" showFirstColumn="1" showLastColumn="1" showRowStripes="1"/>
</table>
</file>

<file path=xl/tables/table17.xml><?xml version="1.0" encoding="utf-8"?>
<table xmlns="http://schemas.openxmlformats.org/spreadsheetml/2006/main" headerRowCount="0" ref="A99:F412" displayName="Table_16" name="Table_16" id="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nualfill--style" showColumnStripes="0" showFirstColumn="1" showLastColumn="1" showRowStripes="1"/>
</table>
</file>

<file path=xl/tables/table18.xml><?xml version="1.0" encoding="utf-8"?>
<table xmlns="http://schemas.openxmlformats.org/spreadsheetml/2006/main" headerRowCount="0" ref="A414:E414" displayName="Table_17" name="Table_17" id="18">
  <tableColumns count="5">
    <tableColumn name="Column1" id="1"/>
    <tableColumn name="Column2" id="2"/>
    <tableColumn name="Column3" id="3"/>
    <tableColumn name="Column4" id="4"/>
    <tableColumn name="Column5" id="5"/>
  </tableColumns>
  <tableStyleInfo name="manualfill--style 2" showColumnStripes="0" showFirstColumn="1" showLastColumn="1" showRowStripes="1"/>
</table>
</file>

<file path=xl/tables/table19.xml><?xml version="1.0" encoding="utf-8"?>
<table xmlns="http://schemas.openxmlformats.org/spreadsheetml/2006/main" headerRowCount="0" ref="A416:E416" displayName="Table_18" name="Table_18" id="19">
  <tableColumns count="5">
    <tableColumn name="Column1" id="1"/>
    <tableColumn name="Column2" id="2"/>
    <tableColumn name="Column3" id="3"/>
    <tableColumn name="Column4" id="4"/>
    <tableColumn name="Column5" id="5"/>
  </tableColumns>
  <tableStyleInfo name="manualfill--style 3" showColumnStripes="0" showFirstColumn="1" showLastColumn="1" showRowStripes="1"/>
</table>
</file>

<file path=xl/tables/table20.xml><?xml version="1.0" encoding="utf-8"?>
<table xmlns="http://schemas.openxmlformats.org/spreadsheetml/2006/main" headerRowCount="0" ref="A418:E418" displayName="Table_19" name="Table_19" id="20">
  <tableColumns count="5">
    <tableColumn name="Column1" id="1"/>
    <tableColumn name="Column2" id="2"/>
    <tableColumn name="Column3" id="3"/>
    <tableColumn name="Column4" id="4"/>
    <tableColumn name="Column5" id="5"/>
  </tableColumns>
  <tableStyleInfo name="manualfill--style 4" showColumnStripes="0" showFirstColumn="1" showLastColumn="1" showRowStripes="1"/>
</table>
</file>

<file path=xl/tables/table21.xml><?xml version="1.0" encoding="utf-8"?>
<table xmlns="http://schemas.openxmlformats.org/spreadsheetml/2006/main" headerRowCount="0" ref="A420:E420" displayName="Table_20" name="Table_20" id="21">
  <tableColumns count="5">
    <tableColumn name="Column1" id="1"/>
    <tableColumn name="Column2" id="2"/>
    <tableColumn name="Column3" id="3"/>
    <tableColumn name="Column4" id="4"/>
    <tableColumn name="Column5" id="5"/>
  </tableColumns>
  <tableStyleInfo name="manualfill--style 5" showColumnStripes="0" showFirstColumn="1" showLastColumn="1" showRowStripes="1"/>
</table>
</file>

<file path=xl/tables/table22.xml><?xml version="1.0" encoding="utf-8"?>
<table xmlns="http://schemas.openxmlformats.org/spreadsheetml/2006/main" headerRowCount="0" ref="A422:E422" displayName="Table_21" name="Table_21" id="22">
  <tableColumns count="5">
    <tableColumn name="Column1" id="1"/>
    <tableColumn name="Column2" id="2"/>
    <tableColumn name="Column3" id="3"/>
    <tableColumn name="Column4" id="4"/>
    <tableColumn name="Column5" id="5"/>
  </tableColumns>
  <tableStyleInfo name="manualfill--style 6" showColumnStripes="0" showFirstColumn="1" showLastColumn="1" showRowStripes="1"/>
</table>
</file>

<file path=xl/tables/table23.xml><?xml version="1.0" encoding="utf-8"?>
<table xmlns="http://schemas.openxmlformats.org/spreadsheetml/2006/main" headerRowCount="0" ref="A424:E425" displayName="Table_22" name="Table_22" id="23">
  <tableColumns count="5">
    <tableColumn name="Column1" id="1"/>
    <tableColumn name="Column2" id="2"/>
    <tableColumn name="Column3" id="3"/>
    <tableColumn name="Column4" id="4"/>
    <tableColumn name="Column5" id="5"/>
  </tableColumns>
  <tableStyleInfo name="manualfill--style 7" showColumnStripes="0" showFirstColumn="1" showLastColumn="1" showRowStripes="1"/>
</table>
</file>

<file path=xl/tables/table24.xml><?xml version="1.0" encoding="utf-8"?>
<table xmlns="http://schemas.openxmlformats.org/spreadsheetml/2006/main" headerRowCount="0" ref="A426:E426" displayName="Table_23" name="Table_23" id="24">
  <tableColumns count="5">
    <tableColumn name="Column1" id="1"/>
    <tableColumn name="Column2" id="2"/>
    <tableColumn name="Column3" id="3"/>
    <tableColumn name="Column4" id="4"/>
    <tableColumn name="Column5" id="5"/>
  </tableColumns>
  <tableStyleInfo name="manualfill--style 8" showColumnStripes="0" showFirstColumn="1" showLastColumn="1" showRowStripes="1"/>
</table>
</file>

<file path=xl/tables/table25.xml><?xml version="1.0" encoding="utf-8"?>
<table xmlns="http://schemas.openxmlformats.org/spreadsheetml/2006/main" headerRowCount="0" ref="A428:E428" displayName="Table_24" name="Table_24" id="25">
  <tableColumns count="5">
    <tableColumn name="Column1" id="1"/>
    <tableColumn name="Column2" id="2"/>
    <tableColumn name="Column3" id="3"/>
    <tableColumn name="Column4" id="4"/>
    <tableColumn name="Column5" id="5"/>
  </tableColumns>
  <tableStyleInfo name="manualfill--style 9" showColumnStripes="0" showFirstColumn="1" showLastColumn="1" showRowStripes="1"/>
</table>
</file>

<file path=xl/tables/table26.xml><?xml version="1.0" encoding="utf-8"?>
<table xmlns="http://schemas.openxmlformats.org/spreadsheetml/2006/main" headerRowCount="0" ref="A430:E430" displayName="Table_25" name="Table_25" id="26">
  <tableColumns count="5">
    <tableColumn name="Column1" id="1"/>
    <tableColumn name="Column2" id="2"/>
    <tableColumn name="Column3" id="3"/>
    <tableColumn name="Column4" id="4"/>
    <tableColumn name="Column5" id="5"/>
  </tableColumns>
  <tableStyleInfo name="manualfill--style 10" showColumnStripes="0" showFirstColumn="1" showLastColumn="1" showRowStripes="1"/>
</table>
</file>

<file path=xl/tables/table27.xml><?xml version="1.0" encoding="utf-8"?>
<table xmlns="http://schemas.openxmlformats.org/spreadsheetml/2006/main" headerRowCount="0" ref="A432:E432" displayName="Table_26" name="Table_26" id="27">
  <tableColumns count="5">
    <tableColumn name="Column1" id="1"/>
    <tableColumn name="Column2" id="2"/>
    <tableColumn name="Column3" id="3"/>
    <tableColumn name="Column4" id="4"/>
    <tableColumn name="Column5" id="5"/>
  </tableColumns>
  <tableStyleInfo name="manualfill--style 11" showColumnStripes="0" showFirstColumn="1" showLastColumn="1" showRowStripes="1"/>
</table>
</file>

<file path=xl/tables/table28.xml><?xml version="1.0" encoding="utf-8"?>
<table xmlns="http://schemas.openxmlformats.org/spreadsheetml/2006/main" headerRowCount="0" ref="A434:E434" displayName="Table_27" name="Table_27" id="28">
  <tableColumns count="5">
    <tableColumn name="Column1" id="1"/>
    <tableColumn name="Column2" id="2"/>
    <tableColumn name="Column3" id="3"/>
    <tableColumn name="Column4" id="4"/>
    <tableColumn name="Column5" id="5"/>
  </tableColumns>
  <tableStyleInfo name="manualfill--style 12" showColumnStripes="0" showFirstColumn="1" showLastColumn="1" showRowStripes="1"/>
</table>
</file>

<file path=xl/tables/table29.xml><?xml version="1.0" encoding="utf-8"?>
<table xmlns="http://schemas.openxmlformats.org/spreadsheetml/2006/main" headerRowCount="0" ref="A436:E481" displayName="Table_28" name="Table_28" id="29">
  <tableColumns count="5">
    <tableColumn name="Column1" id="1"/>
    <tableColumn name="Column2" id="2"/>
    <tableColumn name="Column3" id="3"/>
    <tableColumn name="Column4" id="4"/>
    <tableColumn name="Column5" id="5"/>
  </tableColumns>
  <tableStyleInfo name="manualfill--style 13" showColumnStripes="0" showFirstColumn="1" showLastColumn="1" showRowStripes="1"/>
</table>
</file>

<file path=xl/tables/table30.xml><?xml version="1.0" encoding="utf-8"?>
<table xmlns="http://schemas.openxmlformats.org/spreadsheetml/2006/main" ref="A1:A10" displayName="Catagory" name="Catagory" id="30">
  <tableColumns count="1">
    <tableColumn name="Category" id="1"/>
  </tableColumns>
  <tableStyleInfo name="DropDown List-style" showColumnStripes="0" showFirstColumn="1" showLastColumn="1" showRowStripes="1"/>
</table>
</file>

<file path=xl/tables/table31.xml><?xml version="1.0" encoding="utf-8"?>
<table xmlns="http://schemas.openxmlformats.org/spreadsheetml/2006/main" ref="C1:C30" displayName="Material" name="Material" id="31">
  <tableColumns count="1">
    <tableColumn name="Material" id="1"/>
  </tableColumns>
  <tableStyleInfo name="DropDown List-style 2" showColumnStripes="0" showFirstColumn="1" showLastColumn="1" showRowStripes="1"/>
</table>
</file>

<file path=xl/tables/table32.xml><?xml version="1.0" encoding="utf-8"?>
<table xmlns="http://schemas.openxmlformats.org/spreadsheetml/2006/main" ref="E1:E6" displayName="Unit" name="Unit" id="32">
  <tableColumns count="1">
    <tableColumn name="Unit" id="1"/>
  </tableColumns>
  <tableStyleInfo name="DropDown List-style 3" showColumnStripes="0" showFirstColumn="1" showLastColumn="1" showRowStripes="1"/>
</table>
</file>

<file path=xl/tables/table33.xml><?xml version="1.0" encoding="utf-8"?>
<table xmlns="http://schemas.openxmlformats.org/spreadsheetml/2006/main" ref="G1:G3" displayName="Status" name="Status" id="33">
  <tableColumns count="1">
    <tableColumn name="Status" id="1"/>
  </tableColumns>
  <tableStyleInfo name="DropDown List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S_Kk8Hyzz-ztcX7pfzprf0NuwN2rhWko" TargetMode="External"/><Relationship Id="rId42" Type="http://schemas.openxmlformats.org/officeDocument/2006/relationships/hyperlink" Target="https://drive.google.com/open?id=143ERP212O2OCUIsmf4gTlbMS06WdNlf9" TargetMode="External"/><Relationship Id="rId41" Type="http://schemas.openxmlformats.org/officeDocument/2006/relationships/hyperlink" Target="https://drive.google.com/open?id=1wrRZQYIAfBlNvqD0_a4N7pIR2_pl7uzc" TargetMode="External"/><Relationship Id="rId44" Type="http://schemas.openxmlformats.org/officeDocument/2006/relationships/hyperlink" Target="https://drive.google.com/open?id=17uiKidGYRveuEmVLUDpf3-PItn3qKcEP" TargetMode="External"/><Relationship Id="rId43" Type="http://schemas.openxmlformats.org/officeDocument/2006/relationships/hyperlink" Target="https://drive.google.com/open?id=1-NvE0vNfKJkNs9hbHdCwc2IA6qf7CzVu" TargetMode="External"/><Relationship Id="rId46" Type="http://schemas.openxmlformats.org/officeDocument/2006/relationships/hyperlink" Target="https://drive.google.com/open?id=10IOI-WQbvqtBrSHooXqC5PwkLHycXJTs" TargetMode="External"/><Relationship Id="rId45" Type="http://schemas.openxmlformats.org/officeDocument/2006/relationships/hyperlink" Target="https://drive.google.com/open?id=1220S52X8Wn6034YvZ_ZP3rD6GV3r1Qa7" TargetMode="External"/><Relationship Id="rId1" Type="http://schemas.openxmlformats.org/officeDocument/2006/relationships/hyperlink" Target="https://drive.google.com/open?id=15OalsFpwAjmWweTsFYgxHVJwlHVUOrfW" TargetMode="External"/><Relationship Id="rId2" Type="http://schemas.openxmlformats.org/officeDocument/2006/relationships/hyperlink" Target="https://drive.google.com/open?id=1eoarVdSIW-FWXvjJ5IlP87HNQeICGb7a" TargetMode="External"/><Relationship Id="rId3" Type="http://schemas.openxmlformats.org/officeDocument/2006/relationships/hyperlink" Target="https://drive.google.com/open?id=1eCiRaaTGtTtap2W2KO_o_uMkF6xE5VKn" TargetMode="External"/><Relationship Id="rId4" Type="http://schemas.openxmlformats.org/officeDocument/2006/relationships/hyperlink" Target="https://drive.google.com/open?id=15lm7cnf-ZJVrn1bQo0j3P8XIX3gtbW1v" TargetMode="External"/><Relationship Id="rId9" Type="http://schemas.openxmlformats.org/officeDocument/2006/relationships/hyperlink" Target="https://drive.google.com/open?id=1DimIEAfsPMYzV23a30n75iVLHc4TkImo" TargetMode="External"/><Relationship Id="rId48" Type="http://schemas.openxmlformats.org/officeDocument/2006/relationships/hyperlink" Target="https://drive.google.com/open?id=1QGQOyFhSKCsQLBXt3j3y95jLFytxiVhw" TargetMode="External"/><Relationship Id="rId47" Type="http://schemas.openxmlformats.org/officeDocument/2006/relationships/hyperlink" Target="https://drive.google.com/open?id=1Hg6RFopznnqaA58nISOcAOIcBS0TyPrf" TargetMode="External"/><Relationship Id="rId49" Type="http://schemas.openxmlformats.org/officeDocument/2006/relationships/hyperlink" Target="https://drive.google.com/open?id=1gjv3RNOj0cq75yv2DWLbmEwghWFZow0v" TargetMode="External"/><Relationship Id="rId5" Type="http://schemas.openxmlformats.org/officeDocument/2006/relationships/hyperlink" Target="https://drive.google.com/open?id=1z_asE2y1Wsu7Y8AhQgJDh-KtHwJrvxk7" TargetMode="External"/><Relationship Id="rId6" Type="http://schemas.openxmlformats.org/officeDocument/2006/relationships/hyperlink" Target="https://drive.google.com/open?id=1l796wJNfFv_yKYCpNrSKFl7LHFAPYgXm" TargetMode="External"/><Relationship Id="rId7" Type="http://schemas.openxmlformats.org/officeDocument/2006/relationships/hyperlink" Target="https://drive.google.com/open?id=1aH3j5AIBXWQspgvXJeChlmLCXHTPFZWf" TargetMode="External"/><Relationship Id="rId8" Type="http://schemas.openxmlformats.org/officeDocument/2006/relationships/hyperlink" Target="https://drive.google.com/open?id=10ukvEUd_XB-JXOW9hDh_kkk1SQbhAan_" TargetMode="External"/><Relationship Id="rId31" Type="http://schemas.openxmlformats.org/officeDocument/2006/relationships/hyperlink" Target="https://drive.google.com/open?id=1Oh7xLy7hWoOwvUAe5bvCe6SngDG8Tawt" TargetMode="External"/><Relationship Id="rId30" Type="http://schemas.openxmlformats.org/officeDocument/2006/relationships/hyperlink" Target="https://drive.google.com/open?id=1RLe8_-Ps5-s7a9vEHX5xGYD7tl0d6kr4" TargetMode="External"/><Relationship Id="rId33" Type="http://schemas.openxmlformats.org/officeDocument/2006/relationships/hyperlink" Target="https://drive.google.com/open?id=1-h63dzd6vCH70xpeHF4SWM_1fsWDHoMG" TargetMode="External"/><Relationship Id="rId32" Type="http://schemas.openxmlformats.org/officeDocument/2006/relationships/hyperlink" Target="https://drive.google.com/open?id=1_0rcaMt0kqJQ_vra_fNKrZOUoH5nc9MR" TargetMode="External"/><Relationship Id="rId35" Type="http://schemas.openxmlformats.org/officeDocument/2006/relationships/hyperlink" Target="https://drive.google.com/open?id=1Ou4zhwYXHdy8Zynt1NTF-kqjHYRXGB_x" TargetMode="External"/><Relationship Id="rId34" Type="http://schemas.openxmlformats.org/officeDocument/2006/relationships/hyperlink" Target="https://drive.google.com/open?id=1e3kSVrc82aTFt6q8FTB_3OUw3iiB2cl0" TargetMode="External"/><Relationship Id="rId37" Type="http://schemas.openxmlformats.org/officeDocument/2006/relationships/hyperlink" Target="https://drive.google.com/open?id=1PFhT4onoTO-EmUNOjq0FgMkY9uM6nouc" TargetMode="External"/><Relationship Id="rId36" Type="http://schemas.openxmlformats.org/officeDocument/2006/relationships/hyperlink" Target="https://drive.google.com/open?id=1CGqN0ytrqcwUuXnNOM5ZgnzD-FbHzU5h" TargetMode="External"/><Relationship Id="rId39" Type="http://schemas.openxmlformats.org/officeDocument/2006/relationships/hyperlink" Target="https://drive.google.com/open?id=1fUbAtyElrS6mAx_bTGBVCz_Om0hWK3CP" TargetMode="External"/><Relationship Id="rId38" Type="http://schemas.openxmlformats.org/officeDocument/2006/relationships/hyperlink" Target="https://drive.google.com/open?id=1WAc3awGyGt5RicrroHhfobSKBtVqAs1D" TargetMode="External"/><Relationship Id="rId20" Type="http://schemas.openxmlformats.org/officeDocument/2006/relationships/hyperlink" Target="https://drive.google.com/open?id=1ryRm6NfebFUPhqAkRJeV8EsuoA7YdR6w" TargetMode="External"/><Relationship Id="rId22" Type="http://schemas.openxmlformats.org/officeDocument/2006/relationships/hyperlink" Target="https://drive.google.com/open?id=1OPrXlwYqLFF0EoI_RKOYuzhBLETAmgIW" TargetMode="External"/><Relationship Id="rId21" Type="http://schemas.openxmlformats.org/officeDocument/2006/relationships/hyperlink" Target="https://drive.google.com/open?id=1z5B_8rkCU-G7ahKpxO_Pi6HKk0jF6oCM" TargetMode="External"/><Relationship Id="rId24" Type="http://schemas.openxmlformats.org/officeDocument/2006/relationships/hyperlink" Target="https://drive.google.com/open?id=1grjMjynbMKD2nRXNuSfv4FmJkl307upe" TargetMode="External"/><Relationship Id="rId23" Type="http://schemas.openxmlformats.org/officeDocument/2006/relationships/hyperlink" Target="https://drive.google.com/open?id=1iBbsGIGsP6kUEuEkSG_J2_fNVp0UhMqg" TargetMode="External"/><Relationship Id="rId26" Type="http://schemas.openxmlformats.org/officeDocument/2006/relationships/hyperlink" Target="https://drive.google.com/open?id=1SFK7TXcrRueuz0E7YpCTbqQcDY_4q-8y" TargetMode="External"/><Relationship Id="rId25" Type="http://schemas.openxmlformats.org/officeDocument/2006/relationships/hyperlink" Target="https://drive.google.com/open?id=1A3oQdkT8hCGSjHsgeuhump4XjsqRtI5t" TargetMode="External"/><Relationship Id="rId28" Type="http://schemas.openxmlformats.org/officeDocument/2006/relationships/hyperlink" Target="https://drive.google.com/open?id=1JS5OVNZlnznBetCKv7FvyTtJMcTqEzKy" TargetMode="External"/><Relationship Id="rId27" Type="http://schemas.openxmlformats.org/officeDocument/2006/relationships/hyperlink" Target="https://drive.google.com/open?id=1M4l6uBcRhr6zQt3T2n_JzJ_bT_3ij2p4" TargetMode="External"/><Relationship Id="rId29" Type="http://schemas.openxmlformats.org/officeDocument/2006/relationships/hyperlink" Target="https://drive.google.com/open?id=18seGJ5a13FXMzig9AP-qoH76GHW1nxQr" TargetMode="External"/><Relationship Id="rId51" Type="http://schemas.openxmlformats.org/officeDocument/2006/relationships/hyperlink" Target="https://drive.google.com/open?id=13VfeKCx9R5Ogfn-n_jm2l_Lw_cvuRBMO" TargetMode="External"/><Relationship Id="rId50" Type="http://schemas.openxmlformats.org/officeDocument/2006/relationships/hyperlink" Target="https://drive.google.com/open?id=1bk62M7TNC_CsusLFlsNkkOfvGxTU4Xb-" TargetMode="External"/><Relationship Id="rId53" Type="http://schemas.openxmlformats.org/officeDocument/2006/relationships/hyperlink" Target="https://drive.google.com/open?id=1L-QhPAmKjQ9tqprS68RBNOXS4kFBuSct" TargetMode="External"/><Relationship Id="rId52" Type="http://schemas.openxmlformats.org/officeDocument/2006/relationships/hyperlink" Target="https://drive.google.com/open?id=124WeCD3-cZjr3OEvXB947AAseJZYbY7N" TargetMode="External"/><Relationship Id="rId11" Type="http://schemas.openxmlformats.org/officeDocument/2006/relationships/hyperlink" Target="https://drive.google.com/open?id=1cOX6jzMdMaAE0EadLM4K1zgyoi0JsG5k" TargetMode="External"/><Relationship Id="rId55" Type="http://schemas.openxmlformats.org/officeDocument/2006/relationships/hyperlink" Target="https://drive.google.com/open?id=1k8Nh2i9W3uDnk5qiroMEefTtITmyWL-r" TargetMode="External"/><Relationship Id="rId10" Type="http://schemas.openxmlformats.org/officeDocument/2006/relationships/hyperlink" Target="https://drive.google.com/open?id=1aSPhXsfV7yWwkK7fUWyOt-4VQ1bIAbzS" TargetMode="External"/><Relationship Id="rId54" Type="http://schemas.openxmlformats.org/officeDocument/2006/relationships/hyperlink" Target="https://drive.google.com/open?id=1PFnimKOi4nNjIbgHCqUrYxrmuU9MwIFh" TargetMode="External"/><Relationship Id="rId13" Type="http://schemas.openxmlformats.org/officeDocument/2006/relationships/hyperlink" Target="https://drive.google.com/open?id=11XRfo1A-cNh9dx4JJh6bDbAk92wmVjJC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drive.google.com/open?id=1Lx8j9w2fSDf5pzQD_wZec7hzhzoFCcc3" TargetMode="External"/><Relationship Id="rId56" Type="http://schemas.openxmlformats.org/officeDocument/2006/relationships/hyperlink" Target="https://drive.google.com/open?id=1fg6SVnk5_QtwZcIDFyH4K_L0cbjodaJ-" TargetMode="External"/><Relationship Id="rId15" Type="http://schemas.openxmlformats.org/officeDocument/2006/relationships/hyperlink" Target="https://drive.google.com/open?id=1vT3G8aT68H4eSSSOFdRHp69NQteY0J_A" TargetMode="External"/><Relationship Id="rId59" Type="http://schemas.openxmlformats.org/officeDocument/2006/relationships/table" Target="../tables/table1.xml"/><Relationship Id="rId14" Type="http://schemas.openxmlformats.org/officeDocument/2006/relationships/hyperlink" Target="https://drive.google.com/open?id=1KZTEOFpEoylPb2Tt7mAuE3t3w6tG4AQQ" TargetMode="External"/><Relationship Id="rId17" Type="http://schemas.openxmlformats.org/officeDocument/2006/relationships/hyperlink" Target="https://drive.google.com/open?id=1ThPxQAN9dxk_TsLmkF8RaA0sMKh4GKsf" TargetMode="External"/><Relationship Id="rId16" Type="http://schemas.openxmlformats.org/officeDocument/2006/relationships/hyperlink" Target="https://drive.google.com/open?id=1kf-fNg_mQ_1d__1wyT1F92JDerN4vQu4" TargetMode="External"/><Relationship Id="rId19" Type="http://schemas.openxmlformats.org/officeDocument/2006/relationships/hyperlink" Target="https://drive.google.com/open?id=1N212gYVy3uTlagQfUW_O053icGLYvQcY" TargetMode="External"/><Relationship Id="rId18" Type="http://schemas.openxmlformats.org/officeDocument/2006/relationships/hyperlink" Target="https://drive.google.com/open?id=1ZcLy-z_uz7WMWlWiOr46M8rqoqVhC13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XksOWs-K5nVx12yNRvPOMZ1IqVLVx7o6/view?usp=drivesdk" TargetMode="External"/><Relationship Id="rId42" Type="http://schemas.openxmlformats.org/officeDocument/2006/relationships/hyperlink" Target="https://drive.google.com/file/d/1t3Eslys52THzithzRKn5LjDpVfejs6cc/view?usp=drivesdk" TargetMode="External"/><Relationship Id="rId41" Type="http://schemas.openxmlformats.org/officeDocument/2006/relationships/hyperlink" Target="https://drive.google.com/file/d/1y0tJQQ4opKQCVQ_NUxIW1m2Xrqn4wM7N/view?usp=drivesdk" TargetMode="External"/><Relationship Id="rId44" Type="http://schemas.openxmlformats.org/officeDocument/2006/relationships/hyperlink" Target="https://drive.google.com/file/d/1haSJXHMPIDREfYyZwWmpk_OBLNfQE6q2/view?usp=drivesdk" TargetMode="External"/><Relationship Id="rId43" Type="http://schemas.openxmlformats.org/officeDocument/2006/relationships/hyperlink" Target="https://drive.google.com/file/d/1zxd3XcO967MvEkgk0wtFXxZ8GPREApj0/view?usp=drivesdk" TargetMode="External"/><Relationship Id="rId46" Type="http://schemas.openxmlformats.org/officeDocument/2006/relationships/hyperlink" Target="https://drive.google.com/file/d/1uihfaTFB6Wj0D_tfTIwhXvPWn5PcFcxV/view?usp=drivesdk" TargetMode="External"/><Relationship Id="rId45" Type="http://schemas.openxmlformats.org/officeDocument/2006/relationships/hyperlink" Target="https://drive.google.com/file/d/1qmkKNHQdCww5C1cTQXT7NlK6cIbST2W1/view?usp=drivesdk" TargetMode="External"/><Relationship Id="rId1" Type="http://schemas.openxmlformats.org/officeDocument/2006/relationships/hyperlink" Target="https://drive.google.com/file/d/1POaWVoFiZUo9FDkq_UDQjmDGl2v7hHy6/view?usp=drivesdk" TargetMode="External"/><Relationship Id="rId2" Type="http://schemas.openxmlformats.org/officeDocument/2006/relationships/hyperlink" Target="https://drive.google.com/file/d/1jiWlkvuJ7EJaCczbhXkth89NRmdx2xS1/view?usp=drivesdk" TargetMode="External"/><Relationship Id="rId3" Type="http://schemas.openxmlformats.org/officeDocument/2006/relationships/hyperlink" Target="https://drive.google.com/file/d/1mCM2rCWosn2aZM-8dOlZwFLg-OXFz41t/view?usp=drivesdk" TargetMode="External"/><Relationship Id="rId4" Type="http://schemas.openxmlformats.org/officeDocument/2006/relationships/hyperlink" Target="https://drive.google.com/file/d/16T5SZl-w2AIoW7qfTHIq3sNfXQfNZPfH/view?usp=drivesdk" TargetMode="External"/><Relationship Id="rId9" Type="http://schemas.openxmlformats.org/officeDocument/2006/relationships/hyperlink" Target="https://drive.google.com/file/d/14RdYNG_MEWCeiP0yib1mhv0rvjeh5eLz/view?usp=drivesdk" TargetMode="External"/><Relationship Id="rId48" Type="http://schemas.openxmlformats.org/officeDocument/2006/relationships/drawing" Target="../drawings/drawing6.xml"/><Relationship Id="rId47" Type="http://schemas.openxmlformats.org/officeDocument/2006/relationships/hyperlink" Target="https://drive.google.com/file/d/1-dtrxiAeQKsQqXvxg3DXBYIe4NpNNuVt/view?usp=drivesdk" TargetMode="External"/><Relationship Id="rId5" Type="http://schemas.openxmlformats.org/officeDocument/2006/relationships/hyperlink" Target="https://drive.google.com/file/d/10TvKtelbyXaDDO3YwT309grxo_-t7XNc/view?usp=drivesdk" TargetMode="External"/><Relationship Id="rId6" Type="http://schemas.openxmlformats.org/officeDocument/2006/relationships/hyperlink" Target="https://drive.google.com/file/d/1fdNxdmeGbCej4VAGDAeq52vro_cf6wuH/view?usp=drivesdk" TargetMode="External"/><Relationship Id="rId7" Type="http://schemas.openxmlformats.org/officeDocument/2006/relationships/hyperlink" Target="https://drive.google.com/file/d/1jqJF1dO7v8y1E2xfs3ZS-IykpY5rXyrc/view?usp=drivesdk" TargetMode="External"/><Relationship Id="rId8" Type="http://schemas.openxmlformats.org/officeDocument/2006/relationships/hyperlink" Target="https://drive.google.com/file/d/1LW3oHLE70UVplYTKWk5s4WeQLSYasdi_/view?usp=drivesdk" TargetMode="External"/><Relationship Id="rId31" Type="http://schemas.openxmlformats.org/officeDocument/2006/relationships/hyperlink" Target="https://drive.google.com/file/d/13H7bQo16ehMaur6Ir_i9WWDojCP09xAx/view?usp=drivesdk" TargetMode="External"/><Relationship Id="rId30" Type="http://schemas.openxmlformats.org/officeDocument/2006/relationships/hyperlink" Target="https://drive.google.com/file/d/1ZRhIzn-gxvDMXZS_WSkuj_H7RxLdaLNV/view?usp=drivesdk" TargetMode="External"/><Relationship Id="rId33" Type="http://schemas.openxmlformats.org/officeDocument/2006/relationships/hyperlink" Target="https://drive.google.com/file/d/1r13HRSACuY-3Hk1ytMs8vm3AsYYoz7Qn/view?usp=drivesdk" TargetMode="External"/><Relationship Id="rId32" Type="http://schemas.openxmlformats.org/officeDocument/2006/relationships/hyperlink" Target="https://drive.google.com/file/d/1fkZtaqxMtOU8qf8ZN6o_5011wKKuWsbZ/view?usp=drivesdk" TargetMode="External"/><Relationship Id="rId35" Type="http://schemas.openxmlformats.org/officeDocument/2006/relationships/hyperlink" Target="https://drive.google.com/file/d/1yGBofcd6qD2Pey89YFAznUdhrPJhR6Kj/view?usp=drivesdk" TargetMode="External"/><Relationship Id="rId34" Type="http://schemas.openxmlformats.org/officeDocument/2006/relationships/hyperlink" Target="https://drive.google.com/file/d/1qV58c-Xr0dJNH4Jw1ZGELEpK0NUdJXpO/view?usp=drivesdk" TargetMode="External"/><Relationship Id="rId37" Type="http://schemas.openxmlformats.org/officeDocument/2006/relationships/hyperlink" Target="https://drive.google.com/file/d/1A7z30cMi6xDgqtmzYCB127wt7QnYYXw9/view?usp=drivesdk" TargetMode="External"/><Relationship Id="rId36" Type="http://schemas.openxmlformats.org/officeDocument/2006/relationships/hyperlink" Target="https://drive.google.com/file/d/147QP6jwEkeouGe6qTVIwvPG6IWrv0erY/view?usp=drivesdk" TargetMode="External"/><Relationship Id="rId39" Type="http://schemas.openxmlformats.org/officeDocument/2006/relationships/hyperlink" Target="https://drive.google.com/file/d/1ZTVO45fLe26MvthO4eO3S7Jp0iJvH4MZ/view?usp=drivesdk" TargetMode="External"/><Relationship Id="rId38" Type="http://schemas.openxmlformats.org/officeDocument/2006/relationships/hyperlink" Target="https://drive.google.com/file/d/1OVR-YtZ2ucFFpF3mwjmk-SzxkxYBBQkY/view?usp=drivesdk" TargetMode="External"/><Relationship Id="rId20" Type="http://schemas.openxmlformats.org/officeDocument/2006/relationships/hyperlink" Target="https://drive.google.com/file/d/1TCzVaeIzb5EiGEkPpI8Bbfg-Rf4Ipkiw/view?usp=drivesdk" TargetMode="External"/><Relationship Id="rId22" Type="http://schemas.openxmlformats.org/officeDocument/2006/relationships/hyperlink" Target="https://drive.google.com/file/d/1gaZCQsjryedsdzFsK1ac-cwhOxRCD4MW/view?usp=drivesdk" TargetMode="External"/><Relationship Id="rId21" Type="http://schemas.openxmlformats.org/officeDocument/2006/relationships/hyperlink" Target="https://drive.google.com/file/d/1U9JqmYAL_FPQtoPvVF5rmwzTo3d-ED_r/view?usp=drivesdk" TargetMode="External"/><Relationship Id="rId24" Type="http://schemas.openxmlformats.org/officeDocument/2006/relationships/hyperlink" Target="https://drive.google.com/file/d/1auxuwDL0BYUifGTyE6Bd8dX8CZX2rkuk/view?usp=drivesdk" TargetMode="External"/><Relationship Id="rId23" Type="http://schemas.openxmlformats.org/officeDocument/2006/relationships/hyperlink" Target="https://drive.google.com/file/d/1rjO9-avp37eVAaDnCq4aap1iqK5MwyWY/view?usp=drivesdk" TargetMode="External"/><Relationship Id="rId26" Type="http://schemas.openxmlformats.org/officeDocument/2006/relationships/hyperlink" Target="https://drive.google.com/file/d/1ToUkxk6hfNQKOpIW9bIyxD0h0QTCXc-X/view?usp=drivesdk" TargetMode="External"/><Relationship Id="rId25" Type="http://schemas.openxmlformats.org/officeDocument/2006/relationships/hyperlink" Target="https://drive.google.com/file/d/1pTHudKD3vM-AQxqrvyRIuzHpOe9B1O5a/view?usp=drivesdk" TargetMode="External"/><Relationship Id="rId28" Type="http://schemas.openxmlformats.org/officeDocument/2006/relationships/hyperlink" Target="https://drive.google.com/file/d/1e2pv0nfJe0WjcWKVup55NktQqnSYeZwt/view?usp=drivesdk" TargetMode="External"/><Relationship Id="rId27" Type="http://schemas.openxmlformats.org/officeDocument/2006/relationships/hyperlink" Target="https://drive.google.com/file/d/1KVYJhVVdFowESKB7xSJUy2ZJya1wOX_Y/view?usp=drivesdk" TargetMode="External"/><Relationship Id="rId29" Type="http://schemas.openxmlformats.org/officeDocument/2006/relationships/hyperlink" Target="https://drive.google.com/file/d/1mdcXHBd9nh8HbXbQ0P7lLUbH5PcdGL5j/view?usp=drivesdk" TargetMode="External"/><Relationship Id="rId11" Type="http://schemas.openxmlformats.org/officeDocument/2006/relationships/hyperlink" Target="https://drive.google.com/file/d/1okiSon3jNL3DwU2InmCGXNEonJ_rFY5T/view?usp=drivesdk" TargetMode="External"/><Relationship Id="rId10" Type="http://schemas.openxmlformats.org/officeDocument/2006/relationships/hyperlink" Target="https://drive.google.com/file/d/1rPD7BlyBT_LF1D13zCb0eM-RryixopT8/view?usp=drivesdk" TargetMode="External"/><Relationship Id="rId13" Type="http://schemas.openxmlformats.org/officeDocument/2006/relationships/hyperlink" Target="https://drive.google.com/file/d/1AG1J3Z19fsksfpL--J-1JZA7qktne5RM/view?usp=drivesdk" TargetMode="External"/><Relationship Id="rId12" Type="http://schemas.openxmlformats.org/officeDocument/2006/relationships/hyperlink" Target="https://drive.google.com/file/d/1A0abbVBnkJ5R2BzaaEMZu_XCKIkeW34f/view?usp=drivesdk" TargetMode="External"/><Relationship Id="rId15" Type="http://schemas.openxmlformats.org/officeDocument/2006/relationships/hyperlink" Target="https://drive.google.com/file/d/1z-fAn2MJeUdtrWTQlj4RI73Vam8ysfpz/view?usp=drivesdk" TargetMode="External"/><Relationship Id="rId14" Type="http://schemas.openxmlformats.org/officeDocument/2006/relationships/hyperlink" Target="https://drive.google.com/file/d/1uuVr3MNLrmjablmddaGgRKf-waH-UNLJ/view?usp=drivesdk" TargetMode="External"/><Relationship Id="rId17" Type="http://schemas.openxmlformats.org/officeDocument/2006/relationships/hyperlink" Target="https://drive.google.com/file/d/1vKs43bvx6SamW87uR8bA5iOmxyfCZcvn/view?usp=drivesdk" TargetMode="External"/><Relationship Id="rId16" Type="http://schemas.openxmlformats.org/officeDocument/2006/relationships/hyperlink" Target="https://drive.google.com/file/d/1k3GVllCUCwVnnhBSD33kfVHPeFMgLgp_/view?usp=drivesdk" TargetMode="External"/><Relationship Id="rId19" Type="http://schemas.openxmlformats.org/officeDocument/2006/relationships/hyperlink" Target="https://drive.google.com/file/d/1yDYRN1xEy4Lt1W0ULzY14CB-nyHqlqi2/view?usp=drivesdk" TargetMode="External"/><Relationship Id="rId18" Type="http://schemas.openxmlformats.org/officeDocument/2006/relationships/hyperlink" Target="https://drive.google.com/file/d/17MZWZBoa69AXsHEqhBmnJVmBySDJmDay/view?usp=drivesdk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20" Type="http://schemas.openxmlformats.org/officeDocument/2006/relationships/table" Target="../tables/table7.xml"/><Relationship Id="rId22" Type="http://schemas.openxmlformats.org/officeDocument/2006/relationships/table" Target="../tables/table9.xml"/><Relationship Id="rId21" Type="http://schemas.openxmlformats.org/officeDocument/2006/relationships/table" Target="../tables/table8.xml"/><Relationship Id="rId24" Type="http://schemas.openxmlformats.org/officeDocument/2006/relationships/table" Target="../tables/table11.xml"/><Relationship Id="rId23" Type="http://schemas.openxmlformats.org/officeDocument/2006/relationships/table" Target="../tables/table10.xml"/><Relationship Id="rId26" Type="http://schemas.openxmlformats.org/officeDocument/2006/relationships/table" Target="../tables/table13.xml"/><Relationship Id="rId25" Type="http://schemas.openxmlformats.org/officeDocument/2006/relationships/table" Target="../tables/table12.xml"/><Relationship Id="rId27" Type="http://schemas.openxmlformats.org/officeDocument/2006/relationships/table" Target="../tables/table14.xml"/><Relationship Id="rId15" Type="http://schemas.openxmlformats.org/officeDocument/2006/relationships/table" Target="../tables/table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20" Type="http://schemas.openxmlformats.org/officeDocument/2006/relationships/table" Target="../tables/table22.xml"/><Relationship Id="rId22" Type="http://schemas.openxmlformats.org/officeDocument/2006/relationships/table" Target="../tables/table24.xml"/><Relationship Id="rId21" Type="http://schemas.openxmlformats.org/officeDocument/2006/relationships/table" Target="../tables/table23.xml"/><Relationship Id="rId24" Type="http://schemas.openxmlformats.org/officeDocument/2006/relationships/table" Target="../tables/table26.xml"/><Relationship Id="rId23" Type="http://schemas.openxmlformats.org/officeDocument/2006/relationships/table" Target="../tables/table25.xml"/><Relationship Id="rId26" Type="http://schemas.openxmlformats.org/officeDocument/2006/relationships/table" Target="../tables/table28.xml"/><Relationship Id="rId25" Type="http://schemas.openxmlformats.org/officeDocument/2006/relationships/table" Target="../tables/table27.xml"/><Relationship Id="rId27" Type="http://schemas.openxmlformats.org/officeDocument/2006/relationships/table" Target="../tables/table29.xml"/><Relationship Id="rId15" Type="http://schemas.openxmlformats.org/officeDocument/2006/relationships/table" Target="../tables/table17.xml"/><Relationship Id="rId17" Type="http://schemas.openxmlformats.org/officeDocument/2006/relationships/table" Target="../tables/table19.xml"/><Relationship Id="rId16" Type="http://schemas.openxmlformats.org/officeDocument/2006/relationships/table" Target="../tables/table18.xml"/><Relationship Id="rId19" Type="http://schemas.openxmlformats.org/officeDocument/2006/relationships/table" Target="../tables/table21.xml"/><Relationship Id="rId18" Type="http://schemas.openxmlformats.org/officeDocument/2006/relationships/table" Target="../tables/table20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9" Type="http://schemas.openxmlformats.org/officeDocument/2006/relationships/table" Target="../tables/table33.xml"/><Relationship Id="rId6" Type="http://schemas.openxmlformats.org/officeDocument/2006/relationships/table" Target="../tables/table30.xml"/><Relationship Id="rId7" Type="http://schemas.openxmlformats.org/officeDocument/2006/relationships/table" Target="../tables/table31.xml"/><Relationship Id="rId8" Type="http://schemas.openxmlformats.org/officeDocument/2006/relationships/table" Target="../tables/table32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 ht="22.5" customHeight="1">
      <c r="A1" s="5" t="s">
        <v>3</v>
      </c>
      <c r="B1" s="6" t="s">
        <v>109</v>
      </c>
      <c r="C1" s="6" t="s">
        <v>117</v>
      </c>
      <c r="D1" s="6" t="s">
        <v>125</v>
      </c>
    </row>
    <row r="2" ht="22.5" customHeight="1">
      <c r="A2" s="7">
        <v>46112.620994756944</v>
      </c>
      <c r="B2" s="8" t="s">
        <v>32</v>
      </c>
      <c r="C2" s="8" t="s">
        <v>34</v>
      </c>
      <c r="D2" s="9" t="s">
        <v>156</v>
      </c>
    </row>
    <row r="3" ht="22.5" customHeight="1">
      <c r="A3" s="10">
        <v>46112.624748622686</v>
      </c>
      <c r="B3" s="11" t="s">
        <v>222</v>
      </c>
      <c r="C3" s="11" t="s">
        <v>230</v>
      </c>
      <c r="D3" s="12" t="s">
        <v>236</v>
      </c>
    </row>
    <row r="4" ht="22.5" customHeight="1">
      <c r="A4" s="10">
        <v>46112.62552429398</v>
      </c>
      <c r="B4" s="11" t="s">
        <v>271</v>
      </c>
      <c r="C4" s="11" t="s">
        <v>277</v>
      </c>
      <c r="D4" s="12" t="s">
        <v>282</v>
      </c>
    </row>
    <row r="5" ht="22.5" customHeight="1">
      <c r="A5" s="10">
        <v>46112.626297650466</v>
      </c>
      <c r="B5" s="11" t="s">
        <v>312</v>
      </c>
      <c r="C5" s="11" t="s">
        <v>319</v>
      </c>
      <c r="D5" s="12" t="s">
        <v>326</v>
      </c>
    </row>
    <row r="6" ht="22.5" customHeight="1">
      <c r="A6" s="10">
        <v>46112.6266447338</v>
      </c>
      <c r="B6" s="11" t="s">
        <v>359</v>
      </c>
      <c r="C6" s="11" t="s">
        <v>370</v>
      </c>
      <c r="D6" s="12" t="s">
        <v>377</v>
      </c>
    </row>
    <row r="7" ht="22.5" customHeight="1">
      <c r="A7" s="10">
        <v>46112.6272765625</v>
      </c>
      <c r="B7" s="11" t="s">
        <v>406</v>
      </c>
      <c r="C7" s="11" t="s">
        <v>409</v>
      </c>
      <c r="D7" s="12" t="s">
        <v>413</v>
      </c>
    </row>
    <row r="8" ht="22.5" customHeight="1">
      <c r="A8" s="10">
        <v>46112.62788703704</v>
      </c>
      <c r="B8" s="11" t="s">
        <v>443</v>
      </c>
      <c r="C8" s="11" t="s">
        <v>446</v>
      </c>
      <c r="D8" s="12" t="s">
        <v>453</v>
      </c>
    </row>
    <row r="9" ht="22.5" customHeight="1">
      <c r="A9" s="10">
        <v>46112.628603414356</v>
      </c>
      <c r="B9" s="11" t="s">
        <v>484</v>
      </c>
      <c r="C9" s="11" t="s">
        <v>487</v>
      </c>
      <c r="D9" s="12" t="s">
        <v>494</v>
      </c>
    </row>
    <row r="10" ht="22.5" customHeight="1">
      <c r="A10" s="10">
        <v>46112.62906769676</v>
      </c>
      <c r="B10" s="11" t="s">
        <v>523</v>
      </c>
      <c r="C10" s="11" t="s">
        <v>528</v>
      </c>
      <c r="D10" s="12" t="s">
        <v>532</v>
      </c>
    </row>
    <row r="11" ht="22.5" customHeight="1">
      <c r="A11" s="10">
        <v>46112.62951208334</v>
      </c>
      <c r="B11" s="11" t="s">
        <v>562</v>
      </c>
      <c r="C11" s="11" t="s">
        <v>567</v>
      </c>
      <c r="D11" s="12" t="s">
        <v>572</v>
      </c>
    </row>
    <row r="12" ht="22.5" customHeight="1">
      <c r="A12" s="10">
        <v>46112.62992936342</v>
      </c>
      <c r="B12" s="11" t="s">
        <v>598</v>
      </c>
      <c r="C12" s="11" t="s">
        <v>604</v>
      </c>
      <c r="D12" s="12" t="s">
        <v>609</v>
      </c>
    </row>
    <row r="13" ht="22.5" customHeight="1">
      <c r="A13" s="10">
        <v>46112.63101828704</v>
      </c>
      <c r="B13" s="11" t="s">
        <v>638</v>
      </c>
      <c r="C13" s="11" t="s">
        <v>644</v>
      </c>
      <c r="D13" s="12" t="s">
        <v>651</v>
      </c>
    </row>
    <row r="14" ht="22.5" customHeight="1">
      <c r="A14" s="10">
        <v>46112.635795497685</v>
      </c>
      <c r="B14" s="11" t="s">
        <v>682</v>
      </c>
      <c r="C14" s="11" t="s">
        <v>690</v>
      </c>
      <c r="D14" s="12" t="s">
        <v>696</v>
      </c>
    </row>
    <row r="15" ht="22.5" customHeight="1">
      <c r="A15" s="10">
        <v>46112.63768025463</v>
      </c>
      <c r="B15" s="11" t="s">
        <v>733</v>
      </c>
      <c r="C15" s="11" t="s">
        <v>739</v>
      </c>
      <c r="D15" s="12" t="s">
        <v>744</v>
      </c>
    </row>
    <row r="16" ht="22.5" customHeight="1">
      <c r="A16" s="10">
        <v>46112.638007511574</v>
      </c>
      <c r="B16" s="11" t="s">
        <v>672</v>
      </c>
      <c r="C16" s="11" t="s">
        <v>673</v>
      </c>
      <c r="D16" s="12" t="s">
        <v>772</v>
      </c>
    </row>
    <row r="17" ht="22.5" customHeight="1">
      <c r="A17" s="10">
        <v>46112.63841596065</v>
      </c>
      <c r="B17" s="11" t="s">
        <v>269</v>
      </c>
      <c r="C17" s="11" t="s">
        <v>270</v>
      </c>
      <c r="D17" s="12" t="s">
        <v>804</v>
      </c>
    </row>
    <row r="18" ht="22.5" customHeight="1">
      <c r="A18" s="10">
        <v>46112.63879111111</v>
      </c>
      <c r="B18" s="11" t="s">
        <v>687</v>
      </c>
      <c r="C18" s="11" t="s">
        <v>689</v>
      </c>
      <c r="D18" s="12" t="s">
        <v>838</v>
      </c>
    </row>
    <row r="19" ht="22.5" customHeight="1">
      <c r="A19" s="10">
        <v>46112.6391224074</v>
      </c>
      <c r="B19" s="11" t="s">
        <v>664</v>
      </c>
      <c r="C19" s="11" t="s">
        <v>665</v>
      </c>
      <c r="D19" s="12" t="s">
        <v>879</v>
      </c>
    </row>
    <row r="20" ht="22.5" customHeight="1">
      <c r="A20" s="10">
        <v>46112.6394062037</v>
      </c>
      <c r="B20" s="11" t="s">
        <v>278</v>
      </c>
      <c r="C20" s="11" t="s">
        <v>279</v>
      </c>
      <c r="D20" s="12" t="s">
        <v>922</v>
      </c>
    </row>
    <row r="21" ht="22.5" customHeight="1">
      <c r="A21" s="10">
        <v>46112.639863275464</v>
      </c>
      <c r="B21" s="11" t="s">
        <v>948</v>
      </c>
      <c r="C21" s="11" t="s">
        <v>952</v>
      </c>
      <c r="D21" s="14" t="s">
        <v>954</v>
      </c>
    </row>
    <row r="22" ht="22.5" customHeight="1">
      <c r="A22" s="10">
        <v>46112.64023188657</v>
      </c>
      <c r="B22" s="11" t="s">
        <v>968</v>
      </c>
      <c r="C22" s="11" t="s">
        <v>969</v>
      </c>
      <c r="D22" s="12" t="s">
        <v>980</v>
      </c>
    </row>
    <row r="23" ht="22.5" customHeight="1">
      <c r="A23" s="10">
        <v>46112.64050471065</v>
      </c>
      <c r="B23" s="11" t="s">
        <v>964</v>
      </c>
      <c r="C23" s="11" t="s">
        <v>965</v>
      </c>
      <c r="D23" s="12" t="s">
        <v>1006</v>
      </c>
    </row>
    <row r="24" ht="22.5" customHeight="1">
      <c r="A24" s="10">
        <v>46112.64127706019</v>
      </c>
      <c r="B24" s="11" t="s">
        <v>945</v>
      </c>
      <c r="C24" s="11" t="s">
        <v>946</v>
      </c>
      <c r="D24" s="12" t="s">
        <v>1029</v>
      </c>
    </row>
    <row r="25" ht="22.5" customHeight="1">
      <c r="A25" s="10">
        <v>46112.6419359838</v>
      </c>
      <c r="B25" s="11" t="s">
        <v>287</v>
      </c>
      <c r="C25" s="11" t="s">
        <v>288</v>
      </c>
      <c r="D25" s="12" t="s">
        <v>1037</v>
      </c>
    </row>
    <row r="26" ht="22.5" customHeight="1">
      <c r="A26" s="10">
        <v>46112.64240140046</v>
      </c>
      <c r="B26" s="11" t="s">
        <v>292</v>
      </c>
      <c r="C26" s="11" t="s">
        <v>294</v>
      </c>
      <c r="D26" s="12" t="s">
        <v>1053</v>
      </c>
    </row>
    <row r="27" ht="22.5" customHeight="1">
      <c r="A27" s="10">
        <v>46112.64277229167</v>
      </c>
      <c r="B27" s="11" t="s">
        <v>297</v>
      </c>
      <c r="C27" s="11" t="s">
        <v>298</v>
      </c>
      <c r="D27" s="12" t="s">
        <v>1069</v>
      </c>
    </row>
    <row r="28" ht="22.5" customHeight="1">
      <c r="A28" s="10">
        <v>46112.64543230324</v>
      </c>
      <c r="B28" s="11" t="s">
        <v>304</v>
      </c>
      <c r="C28" s="11" t="s">
        <v>306</v>
      </c>
      <c r="D28" s="12" t="s">
        <v>1084</v>
      </c>
    </row>
    <row r="29" ht="22.5" customHeight="1">
      <c r="A29" s="10">
        <v>46112.64625230324</v>
      </c>
      <c r="B29" s="11" t="s">
        <v>622</v>
      </c>
      <c r="C29" s="11" t="s">
        <v>623</v>
      </c>
      <c r="D29" s="12" t="s">
        <v>1105</v>
      </c>
    </row>
    <row r="30" ht="22.5" customHeight="1">
      <c r="A30" s="10">
        <v>46112.64718560185</v>
      </c>
      <c r="B30" s="11" t="s">
        <v>21</v>
      </c>
      <c r="C30" s="11" t="s">
        <v>23</v>
      </c>
      <c r="D30" s="12" t="s">
        <v>1122</v>
      </c>
    </row>
    <row r="31" ht="22.5" customHeight="1">
      <c r="A31" s="10">
        <v>46112.66188834491</v>
      </c>
      <c r="B31" s="11" t="s">
        <v>640</v>
      </c>
      <c r="C31" s="11" t="s">
        <v>641</v>
      </c>
      <c r="D31" s="12" t="s">
        <v>1138</v>
      </c>
    </row>
    <row r="32" ht="22.5" customHeight="1">
      <c r="A32" s="10">
        <v>46112.662845694445</v>
      </c>
      <c r="B32" s="11" t="s">
        <v>647</v>
      </c>
      <c r="C32" s="11" t="s">
        <v>648</v>
      </c>
      <c r="D32" s="12" t="s">
        <v>1156</v>
      </c>
    </row>
    <row r="33" ht="22.5" customHeight="1">
      <c r="A33" s="10">
        <v>46112.66526923611</v>
      </c>
      <c r="B33" s="11" t="s">
        <v>901</v>
      </c>
      <c r="C33" s="11" t="s">
        <v>904</v>
      </c>
      <c r="D33" s="12" t="s">
        <v>1176</v>
      </c>
    </row>
    <row r="34" ht="22.5" customHeight="1">
      <c r="A34" s="10">
        <v>46112.66568534722</v>
      </c>
      <c r="B34" s="11" t="s">
        <v>517</v>
      </c>
      <c r="C34" s="11" t="s">
        <v>518</v>
      </c>
      <c r="D34" s="12" t="s">
        <v>1197</v>
      </c>
    </row>
    <row r="35" ht="22.5" customHeight="1">
      <c r="A35" s="10">
        <v>46112.667841365736</v>
      </c>
      <c r="B35" s="11" t="s">
        <v>728</v>
      </c>
      <c r="C35" s="11" t="s">
        <v>729</v>
      </c>
      <c r="D35" s="12" t="s">
        <v>1227</v>
      </c>
    </row>
    <row r="36" ht="22.5" customHeight="1">
      <c r="A36" s="10">
        <v>46112.66870851852</v>
      </c>
      <c r="B36" s="11" t="s">
        <v>787</v>
      </c>
      <c r="C36" s="11" t="s">
        <v>788</v>
      </c>
      <c r="D36" s="12" t="s">
        <v>1242</v>
      </c>
    </row>
    <row r="37" ht="22.5" customHeight="1">
      <c r="A37" s="10">
        <v>46112.66958152778</v>
      </c>
      <c r="B37" s="11" t="s">
        <v>710</v>
      </c>
      <c r="C37" s="11" t="s">
        <v>1258</v>
      </c>
      <c r="D37" s="12" t="s">
        <v>1262</v>
      </c>
    </row>
    <row r="38" ht="22.5" customHeight="1">
      <c r="A38" s="10">
        <v>46112.67018398148</v>
      </c>
      <c r="B38" s="11" t="s">
        <v>770</v>
      </c>
      <c r="C38" s="11" t="s">
        <v>1288</v>
      </c>
      <c r="D38" s="12" t="s">
        <v>1293</v>
      </c>
    </row>
    <row r="39" ht="22.5" customHeight="1">
      <c r="A39" s="10">
        <v>46112.6746509838</v>
      </c>
      <c r="B39" s="11" t="s">
        <v>763</v>
      </c>
      <c r="C39" s="11" t="s">
        <v>765</v>
      </c>
      <c r="D39" s="12" t="s">
        <v>1313</v>
      </c>
    </row>
    <row r="40" ht="22.5" customHeight="1">
      <c r="A40" s="10">
        <v>46112.676235439816</v>
      </c>
      <c r="B40" s="11" t="s">
        <v>876</v>
      </c>
      <c r="C40" s="11" t="s">
        <v>878</v>
      </c>
      <c r="D40" s="12" t="s">
        <v>1326</v>
      </c>
    </row>
    <row r="41" ht="22.5" customHeight="1">
      <c r="A41" s="10">
        <v>46112.70200405092</v>
      </c>
      <c r="B41" s="11" t="s">
        <v>1091</v>
      </c>
      <c r="C41" s="11" t="s">
        <v>1092</v>
      </c>
      <c r="D41" s="12" t="s">
        <v>1335</v>
      </c>
    </row>
    <row r="42" ht="22.5" customHeight="1">
      <c r="A42" s="10">
        <v>46125.78801541666</v>
      </c>
      <c r="B42" s="11" t="s">
        <v>892</v>
      </c>
      <c r="C42" s="11" t="s">
        <v>893</v>
      </c>
      <c r="D42" s="12" t="s">
        <v>1344</v>
      </c>
    </row>
    <row r="43" ht="22.5" customHeight="1">
      <c r="A43" s="10">
        <v>46127.636519074076</v>
      </c>
      <c r="B43" s="11" t="s">
        <v>654</v>
      </c>
      <c r="C43" s="11" t="s">
        <v>655</v>
      </c>
      <c r="D43" s="12" t="s">
        <v>1353</v>
      </c>
    </row>
    <row r="44" ht="22.5" customHeight="1">
      <c r="A44" s="10">
        <v>46128.41160542824</v>
      </c>
      <c r="B44" s="11" t="s">
        <v>1127</v>
      </c>
      <c r="C44" s="11" t="s">
        <v>1128</v>
      </c>
      <c r="D44" s="12" t="s">
        <v>1356</v>
      </c>
    </row>
    <row r="45" ht="22.5" customHeight="1">
      <c r="A45" s="10">
        <v>46128.460792349535</v>
      </c>
      <c r="B45" s="11" t="s">
        <v>1130</v>
      </c>
      <c r="C45" s="11" t="s">
        <v>1131</v>
      </c>
      <c r="D45" s="12" t="s">
        <v>1359</v>
      </c>
    </row>
    <row r="46" ht="22.5" customHeight="1">
      <c r="A46" s="10">
        <v>46128.4624541088</v>
      </c>
      <c r="B46" s="11" t="s">
        <v>1124</v>
      </c>
      <c r="C46" s="11" t="s">
        <v>1125</v>
      </c>
      <c r="D46" s="12" t="s">
        <v>1365</v>
      </c>
    </row>
    <row r="47" ht="22.5" customHeight="1">
      <c r="A47" s="10">
        <v>46133.55830418981</v>
      </c>
      <c r="B47" s="11" t="s">
        <v>1375</v>
      </c>
      <c r="C47" s="11" t="s">
        <v>1376</v>
      </c>
      <c r="D47" s="12" t="s">
        <v>1377</v>
      </c>
    </row>
    <row r="48" ht="22.5" customHeight="1">
      <c r="A48" s="10">
        <v>46139.439534212965</v>
      </c>
      <c r="B48" s="11" t="s">
        <v>1136</v>
      </c>
      <c r="C48" s="11" t="s">
        <v>1137</v>
      </c>
      <c r="D48" s="12" t="s">
        <v>1384</v>
      </c>
    </row>
    <row r="49" ht="22.5" customHeight="1">
      <c r="A49" s="10">
        <v>46204.62892011574</v>
      </c>
      <c r="B49" s="11" t="s">
        <v>1230</v>
      </c>
      <c r="C49" s="11" t="s">
        <v>1231</v>
      </c>
      <c r="D49" s="12" t="s">
        <v>1398</v>
      </c>
    </row>
    <row r="50" ht="22.5" customHeight="1">
      <c r="A50" s="10">
        <v>46204.75241274305</v>
      </c>
      <c r="B50" s="11" t="s">
        <v>1404</v>
      </c>
      <c r="C50" s="11" t="s">
        <v>1407</v>
      </c>
      <c r="D50" s="12" t="s">
        <v>1411</v>
      </c>
    </row>
    <row r="51" ht="22.5" customHeight="1">
      <c r="A51" s="10">
        <v>46204.752989189816</v>
      </c>
      <c r="B51" s="11" t="s">
        <v>1415</v>
      </c>
      <c r="C51" s="11" t="s">
        <v>1420</v>
      </c>
      <c r="D51" s="12" t="s">
        <v>1421</v>
      </c>
    </row>
    <row r="52" ht="22.5" customHeight="1">
      <c r="A52" s="10">
        <v>46204.75444829861</v>
      </c>
      <c r="B52" s="11" t="s">
        <v>1426</v>
      </c>
      <c r="C52" s="11" t="s">
        <v>1428</v>
      </c>
      <c r="D52" s="12" t="s">
        <v>1429</v>
      </c>
    </row>
    <row r="53" ht="22.5" customHeight="1">
      <c r="A53" s="10">
        <v>46204.75513765046</v>
      </c>
      <c r="B53" s="11" t="s">
        <v>1433</v>
      </c>
      <c r="C53" s="11" t="s">
        <v>1435</v>
      </c>
      <c r="D53" s="12" t="s">
        <v>1440</v>
      </c>
    </row>
    <row r="54" ht="22.5" customHeight="1">
      <c r="A54" s="10">
        <v>46204.755943842596</v>
      </c>
      <c r="B54" s="11" t="s">
        <v>1447</v>
      </c>
      <c r="C54" s="11" t="s">
        <v>1449</v>
      </c>
      <c r="D54" s="12" t="s">
        <v>1450</v>
      </c>
    </row>
    <row r="55" ht="22.5" customHeight="1">
      <c r="A55" s="10">
        <v>46204.75696903935</v>
      </c>
      <c r="B55" s="11" t="s">
        <v>1462</v>
      </c>
      <c r="C55" s="11" t="s">
        <v>1463</v>
      </c>
      <c r="D55" s="12" t="s">
        <v>1465</v>
      </c>
    </row>
    <row r="56" ht="22.5" customHeight="1">
      <c r="A56" s="10">
        <v>46204.75747232639</v>
      </c>
      <c r="B56" s="11" t="s">
        <v>1471</v>
      </c>
      <c r="C56" s="11" t="s">
        <v>1472</v>
      </c>
      <c r="D56" s="12" t="s">
        <v>1473</v>
      </c>
    </row>
    <row r="57" ht="22.5" customHeight="1">
      <c r="A57" s="10">
        <v>46275.54035900463</v>
      </c>
      <c r="B57" s="11" t="s">
        <v>814</v>
      </c>
      <c r="C57" s="11" t="s">
        <v>1483</v>
      </c>
      <c r="D57" s="12" t="s">
        <v>1486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</hyperlinks>
  <drawing r:id="rId57"/>
  <tableParts count="1">
    <tablePart r:id="rId5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9.25"/>
    <col customWidth="1" min="3" max="3" width="7.13"/>
    <col customWidth="1" min="4" max="4" width="4.0"/>
    <col customWidth="1" min="5" max="5" width="9.0"/>
    <col customWidth="1" min="6" max="6" width="8.63"/>
    <col customWidth="1" min="7" max="7" width="6.63"/>
    <col customWidth="1" min="8" max="8" width="9.63"/>
    <col customWidth="1" min="9" max="9" width="6.63"/>
    <col customWidth="1" min="10" max="10" width="8.88"/>
  </cols>
  <sheetData>
    <row r="1">
      <c r="A1" s="1" t="s">
        <v>1</v>
      </c>
      <c r="B1" s="1" t="s">
        <v>3</v>
      </c>
      <c r="C1" s="1" t="s">
        <v>0</v>
      </c>
      <c r="D1" s="1" t="s">
        <v>4</v>
      </c>
      <c r="E1" s="1" t="s">
        <v>5</v>
      </c>
      <c r="F1" s="1" t="s">
        <v>8</v>
      </c>
      <c r="G1" s="1" t="s">
        <v>9</v>
      </c>
      <c r="H1" s="1" t="s">
        <v>11</v>
      </c>
      <c r="I1" s="1" t="s">
        <v>13</v>
      </c>
      <c r="J1" s="1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2.38"/>
    <col customWidth="1" min="3" max="3" width="12.75"/>
    <col customWidth="1" min="4" max="4" width="42.38"/>
    <col customWidth="1" min="5" max="5" width="5.38"/>
    <col customWidth="1" min="6" max="6" width="10.5"/>
    <col customWidth="1" min="7" max="7" width="33.0"/>
    <col customWidth="1" min="8" max="8" width="11.63"/>
    <col customWidth="1" min="9" max="9" width="5.63"/>
    <col customWidth="1" min="10" max="10" width="6.63"/>
    <col customWidth="1" min="11" max="11" width="8.88"/>
    <col customWidth="1" min="12" max="12" width="16.88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12</v>
      </c>
      <c r="J1" s="1" t="s">
        <v>13</v>
      </c>
      <c r="K1" s="1" t="s">
        <v>14</v>
      </c>
      <c r="L1" s="1" t="s">
        <v>15</v>
      </c>
    </row>
    <row r="2">
      <c r="A2" s="2" t="s">
        <v>16</v>
      </c>
      <c r="B2" s="3">
        <v>46234.566705798614</v>
      </c>
      <c r="C2" s="2" t="s">
        <v>18</v>
      </c>
      <c r="D2" s="2" t="s">
        <v>20</v>
      </c>
      <c r="E2" s="2" t="s">
        <v>22</v>
      </c>
      <c r="F2" s="4">
        <v>400.0</v>
      </c>
      <c r="H2" s="4">
        <v>400.0</v>
      </c>
      <c r="I2" s="2" t="s">
        <v>25</v>
      </c>
      <c r="J2" s="2" t="s">
        <v>27</v>
      </c>
      <c r="K2" s="2" t="s">
        <v>28</v>
      </c>
    </row>
    <row r="3">
      <c r="A3" s="2" t="s">
        <v>30</v>
      </c>
      <c r="B3" s="3">
        <v>46234.566705798614</v>
      </c>
      <c r="C3" s="2" t="s">
        <v>33</v>
      </c>
      <c r="D3" s="2" t="s">
        <v>35</v>
      </c>
      <c r="E3" s="2" t="s">
        <v>22</v>
      </c>
      <c r="F3" s="4">
        <v>1000.0</v>
      </c>
      <c r="H3" s="4">
        <v>400.0</v>
      </c>
      <c r="I3" s="2" t="s">
        <v>25</v>
      </c>
      <c r="J3" s="2" t="s">
        <v>27</v>
      </c>
      <c r="K3" s="2" t="s">
        <v>28</v>
      </c>
    </row>
    <row r="4">
      <c r="A4" s="2" t="s">
        <v>39</v>
      </c>
      <c r="B4" s="3">
        <v>46234.566705798614</v>
      </c>
      <c r="C4" s="2" t="s">
        <v>41</v>
      </c>
      <c r="D4" s="2" t="s">
        <v>42</v>
      </c>
      <c r="E4" s="2" t="s">
        <v>22</v>
      </c>
      <c r="F4" s="4">
        <v>800.0</v>
      </c>
      <c r="H4" s="4">
        <v>100.0</v>
      </c>
      <c r="I4" s="2" t="s">
        <v>25</v>
      </c>
      <c r="J4" s="2" t="s">
        <v>27</v>
      </c>
      <c r="K4" s="2" t="s">
        <v>28</v>
      </c>
    </row>
    <row r="5">
      <c r="A5" s="2" t="s">
        <v>46</v>
      </c>
      <c r="B5" s="3">
        <v>46234.566705798614</v>
      </c>
      <c r="C5" s="2" t="s">
        <v>48</v>
      </c>
      <c r="D5" s="2" t="s">
        <v>49</v>
      </c>
      <c r="E5" s="2" t="s">
        <v>22</v>
      </c>
      <c r="F5" s="4">
        <v>30.0</v>
      </c>
      <c r="H5" s="4">
        <v>30.0</v>
      </c>
      <c r="I5" s="2" t="s">
        <v>25</v>
      </c>
      <c r="J5" s="2" t="s">
        <v>27</v>
      </c>
      <c r="K5" s="2" t="s">
        <v>28</v>
      </c>
    </row>
    <row r="6">
      <c r="A6" s="2" t="s">
        <v>55</v>
      </c>
      <c r="B6" s="3">
        <v>46234.566705798614</v>
      </c>
      <c r="C6" s="2" t="s">
        <v>57</v>
      </c>
      <c r="D6" s="2" t="s">
        <v>58</v>
      </c>
      <c r="E6" s="2" t="s">
        <v>22</v>
      </c>
      <c r="F6" s="4">
        <v>400.0</v>
      </c>
      <c r="H6" s="4">
        <v>400.0</v>
      </c>
      <c r="I6" s="2" t="s">
        <v>25</v>
      </c>
      <c r="J6" s="2" t="s">
        <v>27</v>
      </c>
      <c r="K6" s="2" t="s">
        <v>28</v>
      </c>
    </row>
    <row r="7">
      <c r="A7" s="2" t="s">
        <v>63</v>
      </c>
      <c r="B7" s="3">
        <v>46234.566705798614</v>
      </c>
      <c r="C7" s="2" t="s">
        <v>65</v>
      </c>
      <c r="D7" s="2" t="s">
        <v>67</v>
      </c>
      <c r="E7" s="2" t="s">
        <v>22</v>
      </c>
      <c r="F7" s="4">
        <v>1000.0</v>
      </c>
      <c r="H7" s="4">
        <v>1000.0</v>
      </c>
      <c r="I7" s="2" t="s">
        <v>25</v>
      </c>
      <c r="J7" s="2" t="s">
        <v>27</v>
      </c>
      <c r="K7" s="2" t="s">
        <v>28</v>
      </c>
    </row>
    <row r="8">
      <c r="A8" s="2" t="s">
        <v>72</v>
      </c>
      <c r="B8" s="3">
        <v>46234.566705798614</v>
      </c>
      <c r="C8" s="2" t="s">
        <v>74</v>
      </c>
      <c r="D8" s="2" t="s">
        <v>75</v>
      </c>
      <c r="E8" s="2" t="s">
        <v>22</v>
      </c>
      <c r="F8" s="4">
        <v>150.0</v>
      </c>
      <c r="H8" s="4">
        <v>0.0</v>
      </c>
      <c r="I8" s="2" t="s">
        <v>77</v>
      </c>
      <c r="J8" s="2" t="s">
        <v>27</v>
      </c>
      <c r="K8" s="2" t="s">
        <v>28</v>
      </c>
    </row>
    <row r="9">
      <c r="A9" s="2" t="s">
        <v>82</v>
      </c>
      <c r="B9" s="3">
        <v>46234.566705798614</v>
      </c>
      <c r="C9" s="2" t="s">
        <v>83</v>
      </c>
      <c r="D9" s="2" t="s">
        <v>84</v>
      </c>
      <c r="E9" s="2" t="s">
        <v>22</v>
      </c>
      <c r="F9" s="4">
        <v>2000.0</v>
      </c>
      <c r="H9" s="4">
        <v>2000.0</v>
      </c>
      <c r="I9" s="2" t="s">
        <v>25</v>
      </c>
      <c r="J9" s="2" t="s">
        <v>27</v>
      </c>
      <c r="K9" s="2" t="s">
        <v>28</v>
      </c>
    </row>
    <row r="10">
      <c r="A10" s="2" t="s">
        <v>89</v>
      </c>
      <c r="B10" s="3">
        <v>46234.566705798614</v>
      </c>
      <c r="C10" s="2" t="s">
        <v>91</v>
      </c>
      <c r="D10" s="2" t="s">
        <v>92</v>
      </c>
      <c r="E10" s="2" t="s">
        <v>22</v>
      </c>
      <c r="F10" s="4">
        <v>400.0</v>
      </c>
      <c r="H10" s="4">
        <v>400.0</v>
      </c>
      <c r="I10" s="2" t="s">
        <v>25</v>
      </c>
      <c r="J10" s="2" t="s">
        <v>27</v>
      </c>
      <c r="K10" s="2" t="s">
        <v>28</v>
      </c>
    </row>
    <row r="11">
      <c r="A11" s="2" t="s">
        <v>96</v>
      </c>
      <c r="B11" s="3">
        <v>46234.566705798614</v>
      </c>
      <c r="C11" s="2" t="s">
        <v>98</v>
      </c>
      <c r="D11" s="2" t="s">
        <v>99</v>
      </c>
      <c r="E11" s="2" t="s">
        <v>22</v>
      </c>
      <c r="F11" s="4">
        <v>600.0</v>
      </c>
      <c r="H11" s="4">
        <v>600.0</v>
      </c>
      <c r="I11" s="2" t="s">
        <v>25</v>
      </c>
      <c r="J11" s="2" t="s">
        <v>27</v>
      </c>
      <c r="K11" s="2" t="s">
        <v>28</v>
      </c>
    </row>
    <row r="12">
      <c r="A12" s="2" t="s">
        <v>102</v>
      </c>
      <c r="B12" s="3">
        <v>46234.566705798614</v>
      </c>
      <c r="C12" s="2" t="s">
        <v>104</v>
      </c>
      <c r="D12" s="2" t="s">
        <v>106</v>
      </c>
      <c r="E12" s="2" t="s">
        <v>22</v>
      </c>
      <c r="F12" s="4">
        <v>2600.0</v>
      </c>
      <c r="H12" s="4">
        <v>1000.0</v>
      </c>
      <c r="I12" s="2" t="s">
        <v>25</v>
      </c>
      <c r="J12" s="2" t="s">
        <v>27</v>
      </c>
      <c r="K12" s="2" t="s">
        <v>28</v>
      </c>
    </row>
    <row r="13">
      <c r="A13" s="2" t="s">
        <v>111</v>
      </c>
      <c r="B13" s="3">
        <v>46234.566705798614</v>
      </c>
      <c r="C13" s="2" t="s">
        <v>113</v>
      </c>
      <c r="D13" s="2" t="s">
        <v>115</v>
      </c>
      <c r="E13" s="2" t="s">
        <v>22</v>
      </c>
      <c r="F13" s="4">
        <v>600.0</v>
      </c>
      <c r="H13" s="4">
        <v>600.0</v>
      </c>
      <c r="I13" s="2" t="s">
        <v>25</v>
      </c>
      <c r="J13" s="2" t="s">
        <v>27</v>
      </c>
      <c r="K13" s="2" t="s">
        <v>28</v>
      </c>
    </row>
    <row r="14">
      <c r="A14" s="2" t="s">
        <v>118</v>
      </c>
      <c r="B14" s="3">
        <v>46234.566705798614</v>
      </c>
      <c r="C14" s="2" t="s">
        <v>120</v>
      </c>
      <c r="D14" s="2" t="s">
        <v>121</v>
      </c>
      <c r="E14" s="2" t="s">
        <v>22</v>
      </c>
      <c r="F14" s="4">
        <v>200.0</v>
      </c>
      <c r="H14" s="4">
        <v>200.0</v>
      </c>
      <c r="I14" s="2" t="s">
        <v>25</v>
      </c>
      <c r="J14" s="2" t="s">
        <v>27</v>
      </c>
      <c r="K14" s="2" t="s">
        <v>28</v>
      </c>
    </row>
    <row r="15">
      <c r="A15" s="2" t="s">
        <v>127</v>
      </c>
      <c r="B15" s="3">
        <v>46234.566705798614</v>
      </c>
      <c r="C15" s="2" t="s">
        <v>128</v>
      </c>
      <c r="D15" s="2" t="s">
        <v>130</v>
      </c>
      <c r="E15" s="2" t="s">
        <v>22</v>
      </c>
      <c r="F15" s="4">
        <v>500.0</v>
      </c>
      <c r="H15" s="4">
        <v>500.0</v>
      </c>
      <c r="I15" s="2" t="s">
        <v>25</v>
      </c>
      <c r="J15" s="2" t="s">
        <v>27</v>
      </c>
      <c r="K15" s="2" t="s">
        <v>28</v>
      </c>
    </row>
    <row r="16">
      <c r="A16" s="2" t="s">
        <v>133</v>
      </c>
      <c r="B16" s="3">
        <v>46234.566705798614</v>
      </c>
      <c r="C16" s="2" t="s">
        <v>135</v>
      </c>
      <c r="D16" s="2" t="s">
        <v>136</v>
      </c>
      <c r="E16" s="2" t="s">
        <v>22</v>
      </c>
      <c r="F16" s="4">
        <v>600.0</v>
      </c>
      <c r="H16" s="4">
        <v>600.0</v>
      </c>
      <c r="I16" s="2" t="s">
        <v>25</v>
      </c>
      <c r="J16" s="2" t="s">
        <v>27</v>
      </c>
      <c r="K16" s="2" t="s">
        <v>28</v>
      </c>
    </row>
    <row r="17">
      <c r="A17" s="2" t="s">
        <v>142</v>
      </c>
      <c r="B17" s="3">
        <v>46234.566705798614</v>
      </c>
      <c r="C17" s="2" t="s">
        <v>143</v>
      </c>
      <c r="D17" s="2" t="s">
        <v>144</v>
      </c>
      <c r="E17" s="2" t="s">
        <v>22</v>
      </c>
      <c r="F17" s="4">
        <v>1600.0</v>
      </c>
      <c r="H17" s="4">
        <v>1600.0</v>
      </c>
      <c r="I17" s="2" t="s">
        <v>25</v>
      </c>
      <c r="J17" s="2" t="s">
        <v>27</v>
      </c>
      <c r="K17" s="2" t="s">
        <v>28</v>
      </c>
    </row>
    <row r="18">
      <c r="A18" s="2" t="s">
        <v>151</v>
      </c>
      <c r="B18" s="3">
        <v>46234.566705798614</v>
      </c>
      <c r="C18" s="2" t="s">
        <v>152</v>
      </c>
      <c r="D18" s="2" t="s">
        <v>154</v>
      </c>
      <c r="E18" s="2" t="s">
        <v>22</v>
      </c>
      <c r="F18" s="4">
        <v>2500.0</v>
      </c>
      <c r="H18" s="4">
        <v>2500.0</v>
      </c>
      <c r="I18" s="2" t="s">
        <v>25</v>
      </c>
      <c r="J18" s="2" t="s">
        <v>27</v>
      </c>
      <c r="K18" s="2" t="s">
        <v>28</v>
      </c>
    </row>
    <row r="19">
      <c r="A19" s="2" t="s">
        <v>158</v>
      </c>
      <c r="B19" s="3">
        <v>46234.566705798614</v>
      </c>
      <c r="C19" s="2" t="s">
        <v>159</v>
      </c>
      <c r="D19" s="2" t="s">
        <v>161</v>
      </c>
      <c r="E19" s="2" t="s">
        <v>22</v>
      </c>
      <c r="F19" s="4">
        <v>700.0</v>
      </c>
      <c r="H19" s="4">
        <v>700.0</v>
      </c>
      <c r="I19" s="2" t="s">
        <v>25</v>
      </c>
      <c r="J19" s="2" t="s">
        <v>27</v>
      </c>
      <c r="K19" s="2" t="s">
        <v>28</v>
      </c>
    </row>
    <row r="20">
      <c r="A20" s="2" t="s">
        <v>166</v>
      </c>
      <c r="B20" s="3">
        <v>46234.566705798614</v>
      </c>
      <c r="C20" s="2" t="s">
        <v>167</v>
      </c>
      <c r="D20" s="2" t="s">
        <v>168</v>
      </c>
      <c r="E20" s="2" t="s">
        <v>22</v>
      </c>
      <c r="F20" s="4">
        <v>1900.0</v>
      </c>
      <c r="H20" s="4">
        <v>1900.0</v>
      </c>
      <c r="I20" s="2" t="s">
        <v>25</v>
      </c>
      <c r="J20" s="2" t="s">
        <v>27</v>
      </c>
      <c r="K20" s="2" t="s">
        <v>28</v>
      </c>
    </row>
    <row r="21">
      <c r="A21" s="2" t="s">
        <v>174</v>
      </c>
      <c r="B21" s="3">
        <v>46234.566705798614</v>
      </c>
      <c r="C21" s="2" t="s">
        <v>175</v>
      </c>
      <c r="D21" s="2" t="s">
        <v>176</v>
      </c>
      <c r="E21" s="2" t="s">
        <v>22</v>
      </c>
      <c r="F21" s="4">
        <v>2700.0</v>
      </c>
      <c r="H21" s="4">
        <v>2700.0</v>
      </c>
      <c r="I21" s="2" t="s">
        <v>25</v>
      </c>
      <c r="J21" s="2" t="s">
        <v>27</v>
      </c>
      <c r="K21" s="2" t="s">
        <v>28</v>
      </c>
    </row>
    <row r="22">
      <c r="A22" s="2" t="s">
        <v>181</v>
      </c>
      <c r="B22" s="3">
        <v>46234.566705798614</v>
      </c>
      <c r="C22" s="2" t="s">
        <v>183</v>
      </c>
      <c r="D22" s="2" t="s">
        <v>184</v>
      </c>
      <c r="E22" s="2" t="s">
        <v>22</v>
      </c>
      <c r="F22" s="4">
        <v>200.0</v>
      </c>
      <c r="H22" s="4">
        <v>200.0</v>
      </c>
      <c r="I22" s="2" t="s">
        <v>25</v>
      </c>
      <c r="J22" s="2" t="s">
        <v>27</v>
      </c>
      <c r="K22" s="2" t="s">
        <v>28</v>
      </c>
    </row>
    <row r="23">
      <c r="A23" s="2" t="s">
        <v>189</v>
      </c>
      <c r="B23" s="3">
        <v>46234.566705798614</v>
      </c>
      <c r="C23" s="2" t="s">
        <v>191</v>
      </c>
      <c r="D23" s="2" t="s">
        <v>192</v>
      </c>
      <c r="E23" s="2" t="s">
        <v>22</v>
      </c>
      <c r="F23" s="4">
        <v>500.0</v>
      </c>
      <c r="H23" s="4">
        <v>500.0</v>
      </c>
      <c r="I23" s="2" t="s">
        <v>25</v>
      </c>
      <c r="J23" s="2" t="s">
        <v>27</v>
      </c>
      <c r="K23" s="2" t="s">
        <v>28</v>
      </c>
    </row>
    <row r="24">
      <c r="A24" s="2" t="s">
        <v>194</v>
      </c>
      <c r="B24" s="3">
        <v>46234.566705798614</v>
      </c>
      <c r="C24" s="2" t="s">
        <v>197</v>
      </c>
      <c r="D24" s="2" t="s">
        <v>198</v>
      </c>
      <c r="E24" s="2" t="s">
        <v>22</v>
      </c>
      <c r="F24" s="4">
        <v>500.0</v>
      </c>
      <c r="H24" s="4">
        <v>500.0</v>
      </c>
      <c r="I24" s="2" t="s">
        <v>25</v>
      </c>
      <c r="J24" s="2" t="s">
        <v>27</v>
      </c>
      <c r="K24" s="2" t="s">
        <v>28</v>
      </c>
    </row>
    <row r="25">
      <c r="A25" s="2" t="s">
        <v>204</v>
      </c>
      <c r="B25" s="3">
        <v>46234.566705798614</v>
      </c>
      <c r="C25" s="2" t="s">
        <v>205</v>
      </c>
      <c r="D25" s="2" t="s">
        <v>206</v>
      </c>
      <c r="E25" s="2" t="s">
        <v>22</v>
      </c>
      <c r="F25" s="4">
        <v>600.0</v>
      </c>
      <c r="H25" s="4">
        <v>600.0</v>
      </c>
      <c r="I25" s="2" t="s">
        <v>25</v>
      </c>
      <c r="J25" s="2" t="s">
        <v>27</v>
      </c>
      <c r="K25" s="2" t="s">
        <v>28</v>
      </c>
    </row>
    <row r="26">
      <c r="A26" s="2" t="s">
        <v>209</v>
      </c>
      <c r="B26" s="3">
        <v>46234.566705798614</v>
      </c>
      <c r="C26" s="2" t="s">
        <v>211</v>
      </c>
      <c r="D26" s="2" t="s">
        <v>212</v>
      </c>
      <c r="E26" s="2" t="s">
        <v>22</v>
      </c>
      <c r="F26" s="4">
        <v>450.0</v>
      </c>
      <c r="H26" s="4">
        <v>450.0</v>
      </c>
      <c r="I26" s="2" t="s">
        <v>25</v>
      </c>
      <c r="J26" s="2" t="s">
        <v>27</v>
      </c>
      <c r="K26" s="2" t="s">
        <v>28</v>
      </c>
    </row>
    <row r="27">
      <c r="A27" s="2" t="s">
        <v>217</v>
      </c>
      <c r="B27" s="3">
        <v>46234.566705798614</v>
      </c>
      <c r="C27" s="2" t="s">
        <v>218</v>
      </c>
      <c r="D27" s="2" t="s">
        <v>219</v>
      </c>
      <c r="E27" s="2" t="s">
        <v>22</v>
      </c>
      <c r="F27" s="4">
        <v>1300.0</v>
      </c>
      <c r="H27" s="4">
        <v>1300.0</v>
      </c>
      <c r="I27" s="2" t="s">
        <v>25</v>
      </c>
      <c r="J27" s="2" t="s">
        <v>27</v>
      </c>
      <c r="K27" s="2" t="s">
        <v>28</v>
      </c>
    </row>
    <row r="28">
      <c r="A28" s="2" t="s">
        <v>225</v>
      </c>
      <c r="B28" s="3">
        <v>46234.566705798614</v>
      </c>
      <c r="C28" s="2" t="s">
        <v>227</v>
      </c>
      <c r="D28" s="2" t="s">
        <v>228</v>
      </c>
      <c r="E28" s="2" t="s">
        <v>22</v>
      </c>
      <c r="F28" s="4">
        <v>45.0</v>
      </c>
      <c r="H28" s="4">
        <v>45.0</v>
      </c>
      <c r="I28" s="2" t="s">
        <v>25</v>
      </c>
      <c r="J28" s="2" t="s">
        <v>27</v>
      </c>
      <c r="K28" s="2" t="s">
        <v>28</v>
      </c>
    </row>
    <row r="29">
      <c r="A29" s="2" t="s">
        <v>232</v>
      </c>
      <c r="B29" s="3">
        <v>46234.566705798614</v>
      </c>
      <c r="C29" s="2" t="s">
        <v>234</v>
      </c>
      <c r="D29" s="2" t="s">
        <v>235</v>
      </c>
      <c r="E29" s="2" t="s">
        <v>22</v>
      </c>
      <c r="F29" s="4">
        <v>1008.0</v>
      </c>
      <c r="H29" s="4">
        <v>1008.0</v>
      </c>
      <c r="I29" s="2" t="s">
        <v>25</v>
      </c>
      <c r="J29" s="2" t="s">
        <v>27</v>
      </c>
      <c r="K29" s="2" t="s">
        <v>28</v>
      </c>
    </row>
    <row r="30">
      <c r="A30" s="2" t="s">
        <v>239</v>
      </c>
      <c r="B30" s="3">
        <v>46234.566705798614</v>
      </c>
      <c r="C30" s="2" t="s">
        <v>240</v>
      </c>
      <c r="D30" s="2" t="s">
        <v>241</v>
      </c>
      <c r="E30" s="2" t="s">
        <v>22</v>
      </c>
      <c r="F30" s="4">
        <v>1008.0</v>
      </c>
      <c r="H30" s="4">
        <v>1008.0</v>
      </c>
      <c r="I30" s="2" t="s">
        <v>25</v>
      </c>
      <c r="J30" s="2" t="s">
        <v>27</v>
      </c>
      <c r="K30" s="2" t="s">
        <v>28</v>
      </c>
    </row>
    <row r="31">
      <c r="A31" s="2" t="s">
        <v>244</v>
      </c>
      <c r="B31" s="3">
        <v>46234.566705798614</v>
      </c>
      <c r="C31" s="2" t="s">
        <v>245</v>
      </c>
      <c r="D31" s="2" t="s">
        <v>246</v>
      </c>
      <c r="E31" s="2" t="s">
        <v>22</v>
      </c>
      <c r="F31" s="4">
        <v>648.0</v>
      </c>
      <c r="H31" s="4">
        <v>648.0</v>
      </c>
      <c r="I31" s="2" t="s">
        <v>25</v>
      </c>
      <c r="J31" s="2" t="s">
        <v>27</v>
      </c>
      <c r="K31" s="2" t="s">
        <v>28</v>
      </c>
    </row>
    <row r="32">
      <c r="A32" s="2" t="s">
        <v>249</v>
      </c>
      <c r="B32" s="3">
        <v>46234.566705798614</v>
      </c>
      <c r="C32" s="2" t="s">
        <v>250</v>
      </c>
      <c r="D32" s="2" t="s">
        <v>252</v>
      </c>
      <c r="E32" s="2" t="s">
        <v>22</v>
      </c>
      <c r="F32" s="4">
        <v>432.0</v>
      </c>
      <c r="H32" s="4">
        <v>432.0</v>
      </c>
      <c r="I32" s="2" t="s">
        <v>25</v>
      </c>
      <c r="J32" s="2" t="s">
        <v>27</v>
      </c>
      <c r="K32" s="2" t="s">
        <v>28</v>
      </c>
    </row>
    <row r="33">
      <c r="A33" s="2" t="s">
        <v>254</v>
      </c>
      <c r="B33" s="3">
        <v>46234.566705798614</v>
      </c>
      <c r="C33" s="2" t="s">
        <v>256</v>
      </c>
      <c r="D33" s="2" t="s">
        <v>257</v>
      </c>
      <c r="E33" s="2" t="s">
        <v>22</v>
      </c>
      <c r="F33" s="4">
        <v>576.0</v>
      </c>
      <c r="H33" s="4">
        <v>576.0</v>
      </c>
      <c r="I33" s="2" t="s">
        <v>25</v>
      </c>
      <c r="J33" s="2" t="s">
        <v>27</v>
      </c>
      <c r="K33" s="2" t="s">
        <v>28</v>
      </c>
    </row>
    <row r="34">
      <c r="A34" s="2" t="s">
        <v>259</v>
      </c>
      <c r="B34" s="3">
        <v>46234.566705798614</v>
      </c>
      <c r="C34" s="2" t="s">
        <v>261</v>
      </c>
      <c r="D34" s="2" t="s">
        <v>262</v>
      </c>
      <c r="E34" s="2" t="s">
        <v>22</v>
      </c>
      <c r="F34" s="4">
        <v>864.0</v>
      </c>
      <c r="H34" s="4">
        <v>864.0</v>
      </c>
      <c r="I34" s="2" t="s">
        <v>25</v>
      </c>
      <c r="J34" s="2" t="s">
        <v>27</v>
      </c>
      <c r="K34" s="2" t="s">
        <v>28</v>
      </c>
    </row>
    <row r="35">
      <c r="A35" s="2" t="s">
        <v>264</v>
      </c>
      <c r="B35" s="3">
        <v>46234.566705798614</v>
      </c>
      <c r="C35" s="2" t="s">
        <v>266</v>
      </c>
      <c r="D35" s="2" t="s">
        <v>268</v>
      </c>
      <c r="E35" s="2" t="s">
        <v>22</v>
      </c>
      <c r="F35" s="4">
        <v>432.0</v>
      </c>
      <c r="H35" s="4">
        <v>432.0</v>
      </c>
      <c r="I35" s="2" t="s">
        <v>25</v>
      </c>
      <c r="J35" s="2" t="s">
        <v>27</v>
      </c>
      <c r="K35" s="2" t="s">
        <v>28</v>
      </c>
    </row>
    <row r="36">
      <c r="A36" s="2" t="s">
        <v>272</v>
      </c>
      <c r="B36" s="3">
        <v>46234.566705798614</v>
      </c>
      <c r="C36" s="2" t="s">
        <v>274</v>
      </c>
      <c r="D36" s="2" t="s">
        <v>276</v>
      </c>
      <c r="E36" s="2" t="s">
        <v>22</v>
      </c>
      <c r="F36" s="4">
        <v>600.0</v>
      </c>
      <c r="H36" s="4">
        <v>600.0</v>
      </c>
      <c r="I36" s="2" t="s">
        <v>25</v>
      </c>
      <c r="J36" s="2" t="s">
        <v>27</v>
      </c>
      <c r="K36" s="2" t="s">
        <v>28</v>
      </c>
    </row>
    <row r="37">
      <c r="A37" s="2" t="s">
        <v>280</v>
      </c>
      <c r="B37" s="3">
        <v>46234.566705798614</v>
      </c>
      <c r="C37" s="2" t="s">
        <v>283</v>
      </c>
      <c r="D37" s="2" t="s">
        <v>284</v>
      </c>
      <c r="E37" s="2" t="s">
        <v>22</v>
      </c>
      <c r="F37" s="4">
        <v>200.0</v>
      </c>
      <c r="H37" s="4">
        <v>200.0</v>
      </c>
      <c r="I37" s="2" t="s">
        <v>25</v>
      </c>
      <c r="J37" s="2" t="s">
        <v>27</v>
      </c>
      <c r="K37" s="2" t="s">
        <v>28</v>
      </c>
    </row>
    <row r="38">
      <c r="A38" s="2" t="s">
        <v>285</v>
      </c>
      <c r="B38" s="3">
        <v>46234.566705798614</v>
      </c>
      <c r="C38" s="2" t="s">
        <v>287</v>
      </c>
      <c r="D38" s="2" t="s">
        <v>288</v>
      </c>
      <c r="E38" s="2" t="s">
        <v>290</v>
      </c>
      <c r="F38" s="4">
        <v>22.0</v>
      </c>
      <c r="H38" s="4">
        <v>16.0</v>
      </c>
      <c r="I38" s="2" t="s">
        <v>25</v>
      </c>
      <c r="J38" s="2" t="s">
        <v>27</v>
      </c>
      <c r="K38" s="2" t="s">
        <v>28</v>
      </c>
    </row>
    <row r="39">
      <c r="A39" s="2" t="s">
        <v>291</v>
      </c>
      <c r="B39" s="3">
        <v>46234.566705798614</v>
      </c>
      <c r="C39" s="2" t="s">
        <v>292</v>
      </c>
      <c r="D39" s="2" t="s">
        <v>294</v>
      </c>
      <c r="E39" s="2" t="s">
        <v>290</v>
      </c>
      <c r="F39" s="4">
        <v>18.0</v>
      </c>
      <c r="H39" s="4">
        <v>10.0</v>
      </c>
      <c r="I39" s="2" t="s">
        <v>25</v>
      </c>
      <c r="J39" s="2" t="s">
        <v>27</v>
      </c>
      <c r="K39" s="2" t="s">
        <v>28</v>
      </c>
    </row>
    <row r="40">
      <c r="A40" s="2" t="s">
        <v>296</v>
      </c>
      <c r="B40" s="3">
        <v>46234.566705798614</v>
      </c>
      <c r="C40" s="2" t="s">
        <v>297</v>
      </c>
      <c r="D40" s="2" t="s">
        <v>298</v>
      </c>
      <c r="E40" s="2" t="s">
        <v>290</v>
      </c>
      <c r="F40" s="4">
        <v>18.0</v>
      </c>
      <c r="H40" s="4">
        <v>0.0</v>
      </c>
      <c r="I40" s="2" t="s">
        <v>77</v>
      </c>
      <c r="J40" s="2" t="s">
        <v>27</v>
      </c>
      <c r="K40" s="2" t="s">
        <v>28</v>
      </c>
    </row>
    <row r="41">
      <c r="A41" s="2" t="s">
        <v>303</v>
      </c>
      <c r="B41" s="3">
        <v>46234.566705798614</v>
      </c>
      <c r="C41" s="2" t="s">
        <v>304</v>
      </c>
      <c r="D41" s="2" t="s">
        <v>306</v>
      </c>
      <c r="E41" s="2" t="s">
        <v>290</v>
      </c>
      <c r="F41" s="4">
        <v>20.0</v>
      </c>
      <c r="H41" s="4">
        <v>7.0</v>
      </c>
      <c r="I41" s="2" t="s">
        <v>25</v>
      </c>
      <c r="J41" s="2" t="s">
        <v>27</v>
      </c>
      <c r="K41" s="2" t="s">
        <v>28</v>
      </c>
    </row>
    <row r="42">
      <c r="A42" s="2" t="s">
        <v>311</v>
      </c>
      <c r="B42" s="3">
        <v>46234.566705798614</v>
      </c>
      <c r="C42" s="2" t="s">
        <v>314</v>
      </c>
      <c r="D42" s="2" t="s">
        <v>315</v>
      </c>
      <c r="E42" s="2" t="s">
        <v>290</v>
      </c>
      <c r="F42" s="4">
        <v>1.0</v>
      </c>
      <c r="H42" s="4">
        <v>1.0</v>
      </c>
      <c r="I42" s="2" t="s">
        <v>25</v>
      </c>
      <c r="J42" s="2" t="s">
        <v>27</v>
      </c>
      <c r="K42" s="2" t="s">
        <v>28</v>
      </c>
    </row>
    <row r="43">
      <c r="A43" s="2" t="s">
        <v>322</v>
      </c>
      <c r="B43" s="3">
        <v>46234.566705798614</v>
      </c>
      <c r="C43" s="2" t="s">
        <v>323</v>
      </c>
      <c r="D43" s="2" t="s">
        <v>325</v>
      </c>
      <c r="E43" s="2" t="s">
        <v>290</v>
      </c>
      <c r="F43" s="4">
        <v>1.0</v>
      </c>
      <c r="H43" s="4">
        <v>1.0</v>
      </c>
      <c r="I43" s="2" t="s">
        <v>25</v>
      </c>
      <c r="J43" s="2" t="s">
        <v>27</v>
      </c>
      <c r="K43" s="2" t="s">
        <v>28</v>
      </c>
    </row>
    <row r="44">
      <c r="A44" s="2" t="s">
        <v>330</v>
      </c>
      <c r="B44" s="3">
        <v>46234.566705798614</v>
      </c>
      <c r="C44" s="2" t="s">
        <v>332</v>
      </c>
      <c r="D44" s="2" t="s">
        <v>333</v>
      </c>
      <c r="E44" s="2" t="s">
        <v>290</v>
      </c>
      <c r="F44" s="4">
        <v>1.0</v>
      </c>
      <c r="H44" s="4">
        <v>1.0</v>
      </c>
      <c r="I44" s="2" t="s">
        <v>25</v>
      </c>
      <c r="J44" s="2" t="s">
        <v>27</v>
      </c>
      <c r="K44" s="2" t="s">
        <v>28</v>
      </c>
    </row>
    <row r="45">
      <c r="A45" s="2" t="s">
        <v>337</v>
      </c>
      <c r="B45" s="3">
        <v>46234.566705798614</v>
      </c>
      <c r="C45" s="2" t="s">
        <v>338</v>
      </c>
      <c r="D45" s="2" t="s">
        <v>340</v>
      </c>
      <c r="E45" s="2" t="s">
        <v>290</v>
      </c>
      <c r="F45" s="4">
        <v>4.0</v>
      </c>
      <c r="H45" s="4">
        <v>3.0</v>
      </c>
      <c r="I45" s="2" t="s">
        <v>25</v>
      </c>
      <c r="J45" s="2" t="s">
        <v>27</v>
      </c>
      <c r="K45" s="2" t="s">
        <v>28</v>
      </c>
    </row>
    <row r="46">
      <c r="A46" s="2" t="s">
        <v>345</v>
      </c>
      <c r="B46" s="3">
        <v>46234.566705798614</v>
      </c>
      <c r="C46" s="2" t="s">
        <v>348</v>
      </c>
      <c r="D46" s="2" t="s">
        <v>350</v>
      </c>
      <c r="E46" s="2" t="s">
        <v>290</v>
      </c>
      <c r="F46" s="4">
        <v>3.0</v>
      </c>
      <c r="H46" s="4">
        <v>0.0</v>
      </c>
      <c r="I46" s="2" t="s">
        <v>77</v>
      </c>
      <c r="J46" s="2" t="s">
        <v>27</v>
      </c>
      <c r="K46" s="2" t="s">
        <v>28</v>
      </c>
    </row>
    <row r="47">
      <c r="A47" s="2" t="s">
        <v>353</v>
      </c>
      <c r="B47" s="3">
        <v>46234.566705798614</v>
      </c>
      <c r="C47" s="2" t="s">
        <v>355</v>
      </c>
      <c r="D47" s="2" t="s">
        <v>357</v>
      </c>
      <c r="E47" s="2" t="s">
        <v>290</v>
      </c>
      <c r="F47" s="4">
        <v>2.0</v>
      </c>
      <c r="H47" s="4">
        <v>0.0</v>
      </c>
      <c r="I47" s="2" t="s">
        <v>77</v>
      </c>
      <c r="J47" s="2" t="s">
        <v>27</v>
      </c>
      <c r="K47" s="2" t="s">
        <v>28</v>
      </c>
    </row>
    <row r="48">
      <c r="A48" s="2" t="s">
        <v>362</v>
      </c>
      <c r="B48" s="3">
        <v>46234.566705798614</v>
      </c>
      <c r="C48" s="2" t="s">
        <v>364</v>
      </c>
      <c r="D48" s="2" t="s">
        <v>366</v>
      </c>
      <c r="E48" s="2" t="s">
        <v>290</v>
      </c>
      <c r="F48" s="4">
        <v>2.0</v>
      </c>
      <c r="H48" s="4">
        <v>0.0</v>
      </c>
      <c r="I48" s="2" t="s">
        <v>77</v>
      </c>
      <c r="J48" s="2" t="s">
        <v>27</v>
      </c>
      <c r="K48" s="2" t="s">
        <v>28</v>
      </c>
    </row>
    <row r="49">
      <c r="A49" s="2" t="s">
        <v>371</v>
      </c>
      <c r="B49" s="3">
        <v>46234.566705798614</v>
      </c>
      <c r="C49" s="2" t="s">
        <v>373</v>
      </c>
      <c r="D49" s="2" t="s">
        <v>375</v>
      </c>
      <c r="E49" s="2" t="s">
        <v>290</v>
      </c>
      <c r="F49" s="4">
        <v>2.0</v>
      </c>
      <c r="H49" s="4">
        <v>2.0</v>
      </c>
      <c r="I49" s="2" t="s">
        <v>25</v>
      </c>
      <c r="J49" s="2" t="s">
        <v>27</v>
      </c>
      <c r="K49" s="2" t="s">
        <v>28</v>
      </c>
    </row>
    <row r="50">
      <c r="A50" s="2" t="s">
        <v>379</v>
      </c>
      <c r="B50" s="3">
        <v>46234.566705798614</v>
      </c>
      <c r="C50" s="2" t="s">
        <v>381</v>
      </c>
      <c r="D50" s="2" t="s">
        <v>382</v>
      </c>
      <c r="E50" s="2" t="s">
        <v>290</v>
      </c>
      <c r="F50" s="4">
        <v>1.0</v>
      </c>
      <c r="H50" s="4">
        <v>1.0</v>
      </c>
      <c r="I50" s="2" t="s">
        <v>25</v>
      </c>
      <c r="J50" s="2" t="s">
        <v>27</v>
      </c>
      <c r="K50" s="2" t="s">
        <v>28</v>
      </c>
    </row>
    <row r="51">
      <c r="A51" s="2" t="s">
        <v>386</v>
      </c>
      <c r="B51" s="3">
        <v>46234.566705798614</v>
      </c>
      <c r="C51" s="2" t="s">
        <v>387</v>
      </c>
      <c r="D51" s="2" t="s">
        <v>388</v>
      </c>
      <c r="E51" s="2" t="s">
        <v>290</v>
      </c>
      <c r="F51" s="4">
        <v>8.0</v>
      </c>
      <c r="H51" s="4">
        <v>8.0</v>
      </c>
      <c r="I51" s="2" t="s">
        <v>25</v>
      </c>
      <c r="J51" s="2" t="s">
        <v>27</v>
      </c>
      <c r="K51" s="2" t="s">
        <v>28</v>
      </c>
    </row>
    <row r="52">
      <c r="A52" s="2" t="s">
        <v>389</v>
      </c>
      <c r="B52" s="3">
        <v>46234.566705798614</v>
      </c>
      <c r="C52" s="2" t="s">
        <v>390</v>
      </c>
      <c r="D52" s="2" t="s">
        <v>391</v>
      </c>
      <c r="E52" s="2" t="s">
        <v>290</v>
      </c>
      <c r="F52" s="4">
        <v>1.0</v>
      </c>
      <c r="H52" s="4">
        <v>1.0</v>
      </c>
      <c r="I52" s="2" t="s">
        <v>25</v>
      </c>
      <c r="J52" s="2" t="s">
        <v>27</v>
      </c>
      <c r="K52" s="2" t="s">
        <v>28</v>
      </c>
    </row>
    <row r="53">
      <c r="A53" s="2" t="s">
        <v>394</v>
      </c>
      <c r="B53" s="3">
        <v>46234.566705798614</v>
      </c>
      <c r="C53" s="2" t="s">
        <v>396</v>
      </c>
      <c r="D53" s="2" t="s">
        <v>398</v>
      </c>
      <c r="E53" s="2" t="s">
        <v>290</v>
      </c>
      <c r="F53" s="4">
        <v>1.0</v>
      </c>
      <c r="H53" s="4">
        <v>1.0</v>
      </c>
      <c r="I53" s="2" t="s">
        <v>25</v>
      </c>
      <c r="J53" s="2" t="s">
        <v>27</v>
      </c>
      <c r="K53" s="2" t="s">
        <v>28</v>
      </c>
    </row>
    <row r="54">
      <c r="A54" s="2" t="s">
        <v>401</v>
      </c>
      <c r="B54" s="3">
        <v>46234.566705798614</v>
      </c>
      <c r="C54" s="2" t="s">
        <v>402</v>
      </c>
      <c r="D54" s="2" t="s">
        <v>404</v>
      </c>
      <c r="E54" s="2" t="s">
        <v>290</v>
      </c>
      <c r="F54" s="4">
        <v>1.0</v>
      </c>
      <c r="H54" s="4">
        <v>1.0</v>
      </c>
      <c r="I54" s="2" t="s">
        <v>25</v>
      </c>
      <c r="J54" s="2" t="s">
        <v>27</v>
      </c>
      <c r="K54" s="2" t="s">
        <v>28</v>
      </c>
    </row>
    <row r="55">
      <c r="A55" s="2" t="s">
        <v>417</v>
      </c>
      <c r="B55" s="3">
        <v>46234.566705798614</v>
      </c>
      <c r="C55" s="2" t="s">
        <v>419</v>
      </c>
      <c r="D55" s="2" t="s">
        <v>421</v>
      </c>
      <c r="E55" s="2" t="s">
        <v>290</v>
      </c>
      <c r="F55" s="4">
        <v>2.0</v>
      </c>
      <c r="H55" s="4">
        <v>2.0</v>
      </c>
      <c r="I55" s="2" t="s">
        <v>25</v>
      </c>
      <c r="J55" s="2" t="s">
        <v>27</v>
      </c>
      <c r="K55" s="2" t="s">
        <v>28</v>
      </c>
    </row>
    <row r="56">
      <c r="A56" s="2" t="s">
        <v>426</v>
      </c>
      <c r="B56" s="3">
        <v>46234.566705798614</v>
      </c>
      <c r="C56" s="2" t="s">
        <v>428</v>
      </c>
      <c r="D56" s="2" t="s">
        <v>430</v>
      </c>
      <c r="E56" s="2" t="s">
        <v>290</v>
      </c>
      <c r="F56" s="4">
        <v>2.0</v>
      </c>
      <c r="H56" s="4">
        <v>2.0</v>
      </c>
      <c r="I56" s="2" t="s">
        <v>25</v>
      </c>
      <c r="J56" s="2" t="s">
        <v>27</v>
      </c>
      <c r="K56" s="2" t="s">
        <v>28</v>
      </c>
    </row>
    <row r="57">
      <c r="A57" s="2" t="s">
        <v>432</v>
      </c>
      <c r="B57" s="3">
        <v>46234.566705798614</v>
      </c>
      <c r="C57" s="2" t="s">
        <v>433</v>
      </c>
      <c r="D57" s="2" t="s">
        <v>434</v>
      </c>
      <c r="E57" s="2" t="s">
        <v>290</v>
      </c>
      <c r="F57" s="4">
        <v>1.0</v>
      </c>
      <c r="H57" s="4">
        <v>1.0</v>
      </c>
      <c r="I57" s="2" t="s">
        <v>25</v>
      </c>
      <c r="J57" s="2" t="s">
        <v>27</v>
      </c>
      <c r="K57" s="2" t="s">
        <v>28</v>
      </c>
    </row>
    <row r="58">
      <c r="A58" s="2" t="s">
        <v>436</v>
      </c>
      <c r="B58" s="3">
        <v>46234.566705798614</v>
      </c>
      <c r="C58" s="2" t="s">
        <v>437</v>
      </c>
      <c r="D58" s="2" t="s">
        <v>438</v>
      </c>
      <c r="E58" s="2" t="s">
        <v>290</v>
      </c>
      <c r="F58" s="4">
        <v>10.0</v>
      </c>
      <c r="H58" s="4">
        <v>5.0</v>
      </c>
      <c r="I58" s="2" t="s">
        <v>25</v>
      </c>
      <c r="J58" s="2" t="s">
        <v>27</v>
      </c>
      <c r="K58" s="2" t="s">
        <v>28</v>
      </c>
    </row>
    <row r="59">
      <c r="A59" s="2" t="s">
        <v>439</v>
      </c>
      <c r="B59" s="3">
        <v>46234.566705798614</v>
      </c>
      <c r="C59" s="2" t="s">
        <v>441</v>
      </c>
      <c r="D59" s="2" t="s">
        <v>442</v>
      </c>
      <c r="E59" s="2" t="s">
        <v>290</v>
      </c>
      <c r="F59" s="4">
        <v>6.0</v>
      </c>
      <c r="H59" s="4">
        <v>0.0</v>
      </c>
      <c r="I59" s="2" t="s">
        <v>77</v>
      </c>
      <c r="J59" s="2" t="s">
        <v>27</v>
      </c>
      <c r="K59" s="2" t="s">
        <v>28</v>
      </c>
    </row>
    <row r="60">
      <c r="A60" s="2" t="s">
        <v>447</v>
      </c>
      <c r="B60" s="3">
        <v>46234.566705798614</v>
      </c>
      <c r="C60" s="2" t="s">
        <v>449</v>
      </c>
      <c r="D60" s="2" t="s">
        <v>450</v>
      </c>
      <c r="E60" s="2" t="s">
        <v>290</v>
      </c>
      <c r="F60" s="4">
        <v>3.0</v>
      </c>
      <c r="H60" s="4">
        <v>3.0</v>
      </c>
      <c r="I60" s="2" t="s">
        <v>25</v>
      </c>
      <c r="J60" s="2" t="s">
        <v>27</v>
      </c>
      <c r="K60" s="2" t="s">
        <v>28</v>
      </c>
    </row>
    <row r="61">
      <c r="A61" s="2" t="s">
        <v>454</v>
      </c>
      <c r="B61" s="3">
        <v>46234.566705798614</v>
      </c>
      <c r="C61" s="2" t="s">
        <v>456</v>
      </c>
      <c r="D61" s="2" t="s">
        <v>457</v>
      </c>
      <c r="E61" s="2" t="s">
        <v>290</v>
      </c>
      <c r="F61" s="4">
        <v>1.0</v>
      </c>
      <c r="H61" s="4">
        <v>1.0</v>
      </c>
      <c r="I61" s="2" t="s">
        <v>25</v>
      </c>
      <c r="J61" s="2" t="s">
        <v>27</v>
      </c>
      <c r="K61" s="2" t="s">
        <v>28</v>
      </c>
    </row>
    <row r="62">
      <c r="A62" s="2" t="s">
        <v>460</v>
      </c>
      <c r="B62" s="3">
        <v>46234.566705798614</v>
      </c>
      <c r="C62" s="2" t="s">
        <v>461</v>
      </c>
      <c r="D62" s="2" t="s">
        <v>462</v>
      </c>
      <c r="E62" s="2" t="s">
        <v>290</v>
      </c>
      <c r="F62" s="4">
        <v>1.0</v>
      </c>
      <c r="H62" s="4">
        <v>1.0</v>
      </c>
      <c r="I62" s="2" t="s">
        <v>25</v>
      </c>
      <c r="J62" s="2" t="s">
        <v>27</v>
      </c>
      <c r="K62" s="2" t="s">
        <v>28</v>
      </c>
    </row>
    <row r="63">
      <c r="A63" s="2" t="s">
        <v>466</v>
      </c>
      <c r="B63" s="3">
        <v>46234.566705798614</v>
      </c>
      <c r="C63" s="2" t="s">
        <v>467</v>
      </c>
      <c r="D63" s="2" t="s">
        <v>421</v>
      </c>
      <c r="E63" s="2" t="s">
        <v>290</v>
      </c>
      <c r="F63" s="4">
        <v>1.0</v>
      </c>
      <c r="H63" s="4">
        <v>1.0</v>
      </c>
      <c r="I63" s="2" t="s">
        <v>25</v>
      </c>
      <c r="J63" s="2" t="s">
        <v>27</v>
      </c>
      <c r="K63" s="2" t="s">
        <v>28</v>
      </c>
    </row>
    <row r="64">
      <c r="A64" s="2" t="s">
        <v>470</v>
      </c>
      <c r="B64" s="3">
        <v>46234.566705798614</v>
      </c>
      <c r="C64" s="2" t="s">
        <v>473</v>
      </c>
      <c r="D64" s="2" t="s">
        <v>474</v>
      </c>
      <c r="E64" s="2" t="s">
        <v>290</v>
      </c>
      <c r="F64" s="4">
        <v>1.0</v>
      </c>
      <c r="H64" s="4">
        <v>1.0</v>
      </c>
      <c r="I64" s="2" t="s">
        <v>25</v>
      </c>
      <c r="J64" s="2" t="s">
        <v>27</v>
      </c>
      <c r="K64" s="2" t="s">
        <v>28</v>
      </c>
    </row>
    <row r="65">
      <c r="A65" s="2" t="s">
        <v>478</v>
      </c>
      <c r="B65" s="3">
        <v>46234.566705798614</v>
      </c>
      <c r="C65" s="2" t="s">
        <v>480</v>
      </c>
      <c r="D65" s="2" t="s">
        <v>482</v>
      </c>
      <c r="E65" s="2" t="s">
        <v>290</v>
      </c>
      <c r="F65" s="4">
        <v>1.0</v>
      </c>
      <c r="H65" s="4">
        <v>1.0</v>
      </c>
      <c r="I65" s="2" t="s">
        <v>25</v>
      </c>
      <c r="J65" s="2" t="s">
        <v>27</v>
      </c>
      <c r="K65" s="2" t="s">
        <v>28</v>
      </c>
    </row>
    <row r="66">
      <c r="A66" s="2" t="s">
        <v>486</v>
      </c>
      <c r="B66" s="3">
        <v>46234.566705798614</v>
      </c>
      <c r="C66" s="2" t="s">
        <v>488</v>
      </c>
      <c r="D66" s="2" t="s">
        <v>490</v>
      </c>
      <c r="E66" s="2" t="s">
        <v>290</v>
      </c>
      <c r="F66" s="4">
        <v>1.0</v>
      </c>
      <c r="H66" s="4">
        <v>1.0</v>
      </c>
      <c r="I66" s="2" t="s">
        <v>25</v>
      </c>
      <c r="J66" s="2" t="s">
        <v>27</v>
      </c>
      <c r="K66" s="2" t="s">
        <v>28</v>
      </c>
    </row>
    <row r="67">
      <c r="A67" s="2" t="s">
        <v>496</v>
      </c>
      <c r="B67" s="3">
        <v>46234.566705798614</v>
      </c>
      <c r="C67" s="2" t="s">
        <v>497</v>
      </c>
      <c r="D67" s="2" t="s">
        <v>499</v>
      </c>
      <c r="E67" s="2" t="s">
        <v>290</v>
      </c>
      <c r="F67" s="4">
        <v>2.0</v>
      </c>
      <c r="H67" s="4">
        <v>2.0</v>
      </c>
      <c r="I67" s="2" t="s">
        <v>25</v>
      </c>
      <c r="J67" s="2" t="s">
        <v>27</v>
      </c>
      <c r="K67" s="2" t="s">
        <v>28</v>
      </c>
    </row>
    <row r="68">
      <c r="A68" s="2" t="s">
        <v>504</v>
      </c>
      <c r="B68" s="3">
        <v>46234.566705798614</v>
      </c>
      <c r="C68" s="2" t="s">
        <v>505</v>
      </c>
      <c r="D68" s="2" t="s">
        <v>506</v>
      </c>
      <c r="E68" s="2" t="s">
        <v>290</v>
      </c>
      <c r="F68" s="4">
        <v>6.0</v>
      </c>
      <c r="H68" s="4">
        <v>6.0</v>
      </c>
      <c r="I68" s="2" t="s">
        <v>25</v>
      </c>
      <c r="J68" s="2" t="s">
        <v>27</v>
      </c>
      <c r="K68" s="2" t="s">
        <v>28</v>
      </c>
    </row>
    <row r="69">
      <c r="A69" s="2" t="s">
        <v>508</v>
      </c>
      <c r="B69" s="3">
        <v>46234.566705798614</v>
      </c>
      <c r="C69" s="2" t="s">
        <v>509</v>
      </c>
      <c r="D69" s="2" t="s">
        <v>510</v>
      </c>
      <c r="E69" s="2" t="s">
        <v>290</v>
      </c>
      <c r="F69" s="4">
        <v>4.0</v>
      </c>
      <c r="H69" s="4">
        <v>1.0</v>
      </c>
      <c r="I69" s="2" t="s">
        <v>25</v>
      </c>
      <c r="J69" s="2" t="s">
        <v>27</v>
      </c>
      <c r="K69" s="2" t="s">
        <v>28</v>
      </c>
    </row>
    <row r="70">
      <c r="A70" s="2" t="s">
        <v>512</v>
      </c>
      <c r="B70" s="3">
        <v>46234.566705798614</v>
      </c>
      <c r="C70" s="2" t="s">
        <v>513</v>
      </c>
      <c r="D70" s="2" t="s">
        <v>515</v>
      </c>
      <c r="E70" s="2" t="s">
        <v>290</v>
      </c>
      <c r="F70" s="4">
        <v>2.0</v>
      </c>
      <c r="H70" s="4">
        <v>2.0</v>
      </c>
      <c r="I70" s="2" t="s">
        <v>25</v>
      </c>
      <c r="J70" s="2" t="s">
        <v>27</v>
      </c>
      <c r="K70" s="2" t="s">
        <v>28</v>
      </c>
    </row>
    <row r="71">
      <c r="A71" s="2" t="s">
        <v>519</v>
      </c>
      <c r="B71" s="3">
        <v>46234.566705798614</v>
      </c>
      <c r="C71" s="2" t="s">
        <v>520</v>
      </c>
      <c r="D71" s="2" t="s">
        <v>521</v>
      </c>
      <c r="E71" s="2" t="s">
        <v>290</v>
      </c>
      <c r="F71" s="4">
        <v>2.0</v>
      </c>
      <c r="H71" s="4">
        <v>2.0</v>
      </c>
      <c r="I71" s="2" t="s">
        <v>25</v>
      </c>
      <c r="J71" s="2" t="s">
        <v>27</v>
      </c>
      <c r="K71" s="2" t="s">
        <v>28</v>
      </c>
    </row>
    <row r="72">
      <c r="A72" s="2" t="s">
        <v>525</v>
      </c>
      <c r="B72" s="3">
        <v>46234.566705798614</v>
      </c>
      <c r="C72" s="2" t="s">
        <v>526</v>
      </c>
      <c r="D72" s="2" t="s">
        <v>527</v>
      </c>
      <c r="E72" s="2" t="s">
        <v>290</v>
      </c>
      <c r="F72" s="4">
        <v>4.0</v>
      </c>
      <c r="H72" s="4">
        <v>4.0</v>
      </c>
      <c r="I72" s="2" t="s">
        <v>25</v>
      </c>
      <c r="J72" s="2" t="s">
        <v>27</v>
      </c>
      <c r="K72" s="2" t="s">
        <v>28</v>
      </c>
    </row>
    <row r="73">
      <c r="A73" s="2" t="s">
        <v>531</v>
      </c>
      <c r="B73" s="3">
        <v>46234.566705798614</v>
      </c>
      <c r="C73" s="2" t="s">
        <v>534</v>
      </c>
      <c r="D73" s="2" t="s">
        <v>535</v>
      </c>
      <c r="E73" s="2" t="s">
        <v>290</v>
      </c>
      <c r="F73" s="4">
        <v>1.0</v>
      </c>
      <c r="H73" s="4">
        <v>1.0</v>
      </c>
      <c r="I73" s="2" t="s">
        <v>25</v>
      </c>
      <c r="J73" s="2" t="s">
        <v>27</v>
      </c>
      <c r="K73" s="2" t="s">
        <v>28</v>
      </c>
    </row>
    <row r="74">
      <c r="A74" s="2" t="s">
        <v>540</v>
      </c>
      <c r="B74" s="3">
        <v>46234.566705798614</v>
      </c>
      <c r="C74" s="2" t="s">
        <v>542</v>
      </c>
      <c r="D74" s="2" t="s">
        <v>543</v>
      </c>
      <c r="E74" s="2" t="s">
        <v>290</v>
      </c>
      <c r="F74" s="4">
        <v>1.0</v>
      </c>
      <c r="H74" s="4">
        <v>1.0</v>
      </c>
      <c r="I74" s="2" t="s">
        <v>25</v>
      </c>
      <c r="J74" s="2" t="s">
        <v>27</v>
      </c>
      <c r="K74" s="2" t="s">
        <v>28</v>
      </c>
    </row>
    <row r="75">
      <c r="A75" s="2" t="s">
        <v>548</v>
      </c>
      <c r="B75" s="3">
        <v>46234.566705798614</v>
      </c>
      <c r="C75" s="2" t="s">
        <v>550</v>
      </c>
      <c r="D75" s="2" t="s">
        <v>551</v>
      </c>
      <c r="E75" s="2" t="s">
        <v>290</v>
      </c>
      <c r="F75" s="4">
        <v>1.0</v>
      </c>
      <c r="H75" s="4">
        <v>1.0</v>
      </c>
      <c r="I75" s="2" t="s">
        <v>25</v>
      </c>
      <c r="J75" s="2" t="s">
        <v>27</v>
      </c>
      <c r="K75" s="2" t="s">
        <v>28</v>
      </c>
    </row>
    <row r="76">
      <c r="A76" s="2" t="s">
        <v>554</v>
      </c>
      <c r="B76" s="3">
        <v>46234.566705798614</v>
      </c>
      <c r="C76" s="2" t="s">
        <v>555</v>
      </c>
      <c r="D76" s="2" t="s">
        <v>556</v>
      </c>
      <c r="E76" s="2" t="s">
        <v>290</v>
      </c>
      <c r="F76" s="4">
        <v>1.0</v>
      </c>
      <c r="H76" s="4">
        <v>1.0</v>
      </c>
      <c r="I76" s="2" t="s">
        <v>25</v>
      </c>
      <c r="J76" s="2" t="s">
        <v>27</v>
      </c>
      <c r="K76" s="2" t="s">
        <v>28</v>
      </c>
    </row>
    <row r="77">
      <c r="A77" s="2" t="s">
        <v>559</v>
      </c>
      <c r="B77" s="3">
        <v>46234.566705798614</v>
      </c>
      <c r="C77" s="2" t="s">
        <v>560</v>
      </c>
      <c r="D77" s="2" t="s">
        <v>561</v>
      </c>
      <c r="E77" s="2" t="s">
        <v>290</v>
      </c>
      <c r="F77" s="4">
        <v>1.0</v>
      </c>
      <c r="H77" s="4">
        <v>1.0</v>
      </c>
      <c r="I77" s="2" t="s">
        <v>25</v>
      </c>
      <c r="J77" s="2" t="s">
        <v>27</v>
      </c>
      <c r="K77" s="2" t="s">
        <v>28</v>
      </c>
    </row>
    <row r="78">
      <c r="A78" s="2" t="s">
        <v>566</v>
      </c>
      <c r="B78" s="3">
        <v>46234.566705798614</v>
      </c>
      <c r="C78" s="2" t="s">
        <v>568</v>
      </c>
      <c r="D78" s="2" t="s">
        <v>569</v>
      </c>
      <c r="E78" s="2" t="s">
        <v>290</v>
      </c>
      <c r="F78" s="4">
        <v>2.0</v>
      </c>
      <c r="H78" s="4">
        <v>2.0</v>
      </c>
      <c r="I78" s="2" t="s">
        <v>25</v>
      </c>
      <c r="J78" s="2" t="s">
        <v>27</v>
      </c>
      <c r="K78" s="2" t="s">
        <v>28</v>
      </c>
    </row>
    <row r="79">
      <c r="A79" s="2" t="s">
        <v>574</v>
      </c>
      <c r="B79" s="3">
        <v>46234.566705798614</v>
      </c>
      <c r="C79" s="2" t="s">
        <v>576</v>
      </c>
      <c r="D79" s="2" t="s">
        <v>577</v>
      </c>
      <c r="E79" s="2" t="s">
        <v>290</v>
      </c>
      <c r="F79" s="4">
        <v>1.0</v>
      </c>
      <c r="H79" s="4">
        <v>1.0</v>
      </c>
      <c r="I79" s="2" t="s">
        <v>25</v>
      </c>
      <c r="J79" s="2" t="s">
        <v>27</v>
      </c>
      <c r="K79" s="2" t="s">
        <v>28</v>
      </c>
    </row>
    <row r="80">
      <c r="A80" s="2" t="s">
        <v>579</v>
      </c>
      <c r="B80" s="3">
        <v>46234.566705798614</v>
      </c>
      <c r="C80" s="2" t="s">
        <v>580</v>
      </c>
      <c r="D80" s="2" t="s">
        <v>582</v>
      </c>
      <c r="E80" s="2" t="s">
        <v>290</v>
      </c>
      <c r="F80" s="4">
        <v>20.0</v>
      </c>
      <c r="H80" s="4">
        <v>20.0</v>
      </c>
      <c r="I80" s="2" t="s">
        <v>25</v>
      </c>
      <c r="J80" s="2" t="s">
        <v>27</v>
      </c>
      <c r="K80" s="2" t="s">
        <v>28</v>
      </c>
    </row>
    <row r="81">
      <c r="A81" s="2" t="s">
        <v>586</v>
      </c>
      <c r="B81" s="3">
        <v>46234.566705798614</v>
      </c>
      <c r="C81" s="2" t="s">
        <v>588</v>
      </c>
      <c r="D81" s="2" t="s">
        <v>589</v>
      </c>
      <c r="E81" s="2" t="s">
        <v>290</v>
      </c>
      <c r="F81" s="4">
        <v>1.0</v>
      </c>
      <c r="H81" s="4">
        <v>1.0</v>
      </c>
      <c r="I81" s="2" t="s">
        <v>25</v>
      </c>
      <c r="J81" s="2" t="s">
        <v>27</v>
      </c>
      <c r="K81" s="2" t="s">
        <v>28</v>
      </c>
    </row>
    <row r="82">
      <c r="A82" s="2" t="s">
        <v>592</v>
      </c>
      <c r="B82" s="3">
        <v>46234.566705798614</v>
      </c>
      <c r="C82" s="2" t="s">
        <v>32</v>
      </c>
      <c r="D82" s="2" t="s">
        <v>34</v>
      </c>
      <c r="E82" s="2" t="s">
        <v>290</v>
      </c>
      <c r="F82" s="4">
        <v>4.0</v>
      </c>
      <c r="H82" s="4">
        <v>0.0</v>
      </c>
      <c r="I82" s="2" t="s">
        <v>77</v>
      </c>
      <c r="J82" s="2" t="s">
        <v>27</v>
      </c>
      <c r="K82" s="2" t="s">
        <v>28</v>
      </c>
    </row>
    <row r="83">
      <c r="A83" s="2" t="s">
        <v>597</v>
      </c>
      <c r="B83" s="3">
        <v>46234.566705798614</v>
      </c>
      <c r="C83" s="2" t="s">
        <v>601</v>
      </c>
      <c r="D83" s="2" t="s">
        <v>602</v>
      </c>
      <c r="E83" s="2" t="s">
        <v>290</v>
      </c>
      <c r="F83" s="4">
        <v>2.0</v>
      </c>
      <c r="H83" s="4">
        <v>2.0</v>
      </c>
      <c r="I83" s="2" t="s">
        <v>25</v>
      </c>
      <c r="J83" s="2" t="s">
        <v>27</v>
      </c>
      <c r="K83" s="2" t="s">
        <v>28</v>
      </c>
    </row>
    <row r="84">
      <c r="A84" s="2" t="s">
        <v>605</v>
      </c>
      <c r="B84" s="3">
        <v>46234.566705798614</v>
      </c>
      <c r="C84" s="2" t="s">
        <v>607</v>
      </c>
      <c r="D84" s="2" t="s">
        <v>608</v>
      </c>
      <c r="E84" s="2" t="s">
        <v>290</v>
      </c>
      <c r="F84" s="4">
        <v>3.0</v>
      </c>
      <c r="H84" s="4">
        <v>3.0</v>
      </c>
      <c r="I84" s="2" t="s">
        <v>25</v>
      </c>
      <c r="J84" s="2" t="s">
        <v>27</v>
      </c>
      <c r="K84" s="2" t="s">
        <v>28</v>
      </c>
    </row>
    <row r="85">
      <c r="A85" s="2" t="s">
        <v>612</v>
      </c>
      <c r="B85" s="3">
        <v>46234.566705798614</v>
      </c>
      <c r="C85" s="2" t="s">
        <v>614</v>
      </c>
      <c r="D85" s="2" t="s">
        <v>615</v>
      </c>
      <c r="E85" s="2" t="s">
        <v>616</v>
      </c>
      <c r="F85" s="4">
        <v>5.0</v>
      </c>
      <c r="H85" s="4">
        <v>5.0</v>
      </c>
      <c r="I85" s="2" t="s">
        <v>25</v>
      </c>
      <c r="J85" s="2" t="s">
        <v>27</v>
      </c>
      <c r="K85" s="2" t="s">
        <v>28</v>
      </c>
    </row>
    <row r="86">
      <c r="A86" s="2" t="s">
        <v>621</v>
      </c>
      <c r="B86" s="3">
        <v>46234.566705798614</v>
      </c>
      <c r="C86" s="2" t="s">
        <v>622</v>
      </c>
      <c r="D86" s="2" t="s">
        <v>623</v>
      </c>
      <c r="E86" s="2" t="s">
        <v>616</v>
      </c>
      <c r="F86" s="4">
        <v>20.0</v>
      </c>
      <c r="H86" s="4">
        <v>20.0</v>
      </c>
      <c r="I86" s="2" t="s">
        <v>25</v>
      </c>
      <c r="J86" s="2" t="s">
        <v>27</v>
      </c>
      <c r="K86" s="2" t="s">
        <v>28</v>
      </c>
    </row>
    <row r="87">
      <c r="A87" s="2" t="s">
        <v>625</v>
      </c>
      <c r="B87" s="3">
        <v>46234.566705798614</v>
      </c>
      <c r="C87" s="2" t="s">
        <v>626</v>
      </c>
      <c r="D87" s="2" t="s">
        <v>627</v>
      </c>
      <c r="E87" s="2" t="s">
        <v>616</v>
      </c>
      <c r="F87" s="4">
        <v>2.5</v>
      </c>
      <c r="H87" s="4">
        <v>2.5</v>
      </c>
      <c r="I87" s="2" t="s">
        <v>25</v>
      </c>
      <c r="J87" s="2" t="s">
        <v>27</v>
      </c>
      <c r="K87" s="2" t="s">
        <v>28</v>
      </c>
    </row>
    <row r="88">
      <c r="A88" s="2" t="s">
        <v>19</v>
      </c>
      <c r="B88" s="3">
        <v>46234.566705798614</v>
      </c>
      <c r="C88" s="2" t="s">
        <v>21</v>
      </c>
      <c r="D88" s="2" t="s">
        <v>23</v>
      </c>
      <c r="E88" s="2" t="s">
        <v>616</v>
      </c>
      <c r="F88" s="4">
        <v>20.0</v>
      </c>
      <c r="H88" s="4">
        <v>0.0</v>
      </c>
      <c r="I88" s="2" t="s">
        <v>77</v>
      </c>
      <c r="J88" s="2" t="s">
        <v>27</v>
      </c>
      <c r="K88" s="2" t="s">
        <v>28</v>
      </c>
    </row>
    <row r="89">
      <c r="A89" s="2" t="s">
        <v>637</v>
      </c>
      <c r="B89" s="3">
        <v>46234.566705798614</v>
      </c>
      <c r="C89" s="2" t="s">
        <v>640</v>
      </c>
      <c r="D89" s="2" t="s">
        <v>641</v>
      </c>
      <c r="E89" s="2" t="s">
        <v>643</v>
      </c>
      <c r="F89" s="4">
        <v>7.0</v>
      </c>
      <c r="H89" s="4">
        <v>3.0</v>
      </c>
      <c r="I89" s="2" t="s">
        <v>25</v>
      </c>
      <c r="J89" s="2" t="s">
        <v>27</v>
      </c>
      <c r="K89" s="2" t="s">
        <v>28</v>
      </c>
    </row>
    <row r="90">
      <c r="A90" s="2" t="s">
        <v>646</v>
      </c>
      <c r="B90" s="3">
        <v>46234.566705798614</v>
      </c>
      <c r="C90" s="2" t="s">
        <v>647</v>
      </c>
      <c r="D90" s="2" t="s">
        <v>648</v>
      </c>
      <c r="E90" s="2" t="s">
        <v>290</v>
      </c>
      <c r="F90" s="4">
        <v>2.0</v>
      </c>
      <c r="H90" s="4">
        <v>2.0</v>
      </c>
      <c r="I90" s="2" t="s">
        <v>25</v>
      </c>
      <c r="J90" s="2" t="s">
        <v>27</v>
      </c>
      <c r="K90" s="2" t="s">
        <v>28</v>
      </c>
    </row>
    <row r="91">
      <c r="A91" s="2" t="s">
        <v>657</v>
      </c>
      <c r="B91" s="3">
        <v>46234.566705798614</v>
      </c>
      <c r="C91" s="2" t="s">
        <v>658</v>
      </c>
      <c r="D91" s="2" t="s">
        <v>659</v>
      </c>
      <c r="E91" s="2" t="s">
        <v>661</v>
      </c>
      <c r="F91" s="4">
        <v>6.0</v>
      </c>
      <c r="H91" s="4">
        <v>6.0</v>
      </c>
      <c r="I91" s="2" t="s">
        <v>25</v>
      </c>
      <c r="J91" s="2" t="s">
        <v>27</v>
      </c>
      <c r="K91" s="2" t="s">
        <v>28</v>
      </c>
    </row>
    <row r="92">
      <c r="A92" s="2" t="s">
        <v>666</v>
      </c>
      <c r="B92" s="3">
        <v>46234.566705798614</v>
      </c>
      <c r="C92" s="2" t="s">
        <v>667</v>
      </c>
      <c r="D92" s="2" t="s">
        <v>668</v>
      </c>
      <c r="E92" s="2" t="s">
        <v>661</v>
      </c>
      <c r="F92" s="4">
        <v>8.0</v>
      </c>
      <c r="H92" s="4">
        <v>8.0</v>
      </c>
      <c r="I92" s="2" t="s">
        <v>25</v>
      </c>
      <c r="J92" s="2" t="s">
        <v>27</v>
      </c>
      <c r="K92" s="2" t="s">
        <v>28</v>
      </c>
    </row>
    <row r="93">
      <c r="A93" s="2" t="s">
        <v>674</v>
      </c>
      <c r="B93" s="3">
        <v>46234.566705798614</v>
      </c>
      <c r="C93" s="2" t="s">
        <v>675</v>
      </c>
      <c r="D93" s="2" t="s">
        <v>676</v>
      </c>
      <c r="E93" s="2" t="s">
        <v>661</v>
      </c>
      <c r="F93" s="4">
        <v>30.0</v>
      </c>
      <c r="H93" s="4">
        <v>30.0</v>
      </c>
      <c r="I93" s="2" t="s">
        <v>25</v>
      </c>
      <c r="J93" s="2" t="s">
        <v>27</v>
      </c>
      <c r="K93" s="2" t="s">
        <v>28</v>
      </c>
    </row>
    <row r="94">
      <c r="A94" s="2" t="s">
        <v>680</v>
      </c>
      <c r="B94" s="3">
        <v>46234.566705798614</v>
      </c>
      <c r="C94" s="2" t="s">
        <v>681</v>
      </c>
      <c r="D94" s="2" t="s">
        <v>683</v>
      </c>
      <c r="E94" s="2" t="s">
        <v>661</v>
      </c>
      <c r="F94" s="4">
        <v>8.0</v>
      </c>
      <c r="H94" s="4">
        <v>8.0</v>
      </c>
      <c r="I94" s="2" t="s">
        <v>25</v>
      </c>
      <c r="J94" s="2" t="s">
        <v>27</v>
      </c>
      <c r="K94" s="2" t="s">
        <v>28</v>
      </c>
    </row>
    <row r="95">
      <c r="A95" s="2" t="s">
        <v>691</v>
      </c>
      <c r="B95" s="3">
        <v>46234.566705798614</v>
      </c>
      <c r="C95" s="2" t="s">
        <v>692</v>
      </c>
      <c r="D95" s="2" t="s">
        <v>693</v>
      </c>
      <c r="E95" s="2" t="s">
        <v>661</v>
      </c>
      <c r="F95" s="4">
        <v>1.0</v>
      </c>
      <c r="H95" s="4">
        <v>1.0</v>
      </c>
      <c r="I95" s="2" t="s">
        <v>25</v>
      </c>
      <c r="J95" s="2" t="s">
        <v>27</v>
      </c>
      <c r="K95" s="2" t="s">
        <v>28</v>
      </c>
    </row>
    <row r="96">
      <c r="A96" s="2" t="s">
        <v>653</v>
      </c>
      <c r="B96" s="3">
        <v>46234.566705798614</v>
      </c>
      <c r="C96" s="2" t="s">
        <v>654</v>
      </c>
      <c r="D96" s="2" t="s">
        <v>655</v>
      </c>
      <c r="E96" s="2" t="s">
        <v>290</v>
      </c>
      <c r="F96" s="4">
        <v>5.0</v>
      </c>
      <c r="H96" s="4">
        <v>0.0</v>
      </c>
      <c r="I96" s="2" t="s">
        <v>77</v>
      </c>
      <c r="J96" s="2" t="s">
        <v>27</v>
      </c>
      <c r="K96" s="2" t="s">
        <v>28</v>
      </c>
    </row>
    <row r="97">
      <c r="A97" s="2" t="s">
        <v>703</v>
      </c>
      <c r="B97" s="3">
        <v>46234.566705798614</v>
      </c>
      <c r="C97" s="2" t="s">
        <v>271</v>
      </c>
      <c r="D97" s="2" t="s">
        <v>277</v>
      </c>
      <c r="E97" s="2" t="s">
        <v>661</v>
      </c>
      <c r="F97" s="4">
        <v>25.0</v>
      </c>
      <c r="H97" s="4">
        <v>25.0</v>
      </c>
      <c r="I97" s="2" t="s">
        <v>25</v>
      </c>
      <c r="J97" s="2" t="s">
        <v>27</v>
      </c>
      <c r="K97" s="2" t="s">
        <v>28</v>
      </c>
    </row>
    <row r="98">
      <c r="A98" s="2" t="s">
        <v>708</v>
      </c>
      <c r="B98" s="3">
        <v>46234.566705798614</v>
      </c>
      <c r="C98" s="2" t="s">
        <v>710</v>
      </c>
      <c r="D98" s="2" t="s">
        <v>711</v>
      </c>
      <c r="E98" s="2" t="s">
        <v>290</v>
      </c>
      <c r="F98" s="4">
        <v>50.0</v>
      </c>
      <c r="H98" s="4">
        <v>50.0</v>
      </c>
      <c r="I98" s="2" t="s">
        <v>25</v>
      </c>
      <c r="J98" s="2" t="s">
        <v>27</v>
      </c>
      <c r="K98" s="2" t="s">
        <v>28</v>
      </c>
    </row>
    <row r="99">
      <c r="A99" s="2" t="s">
        <v>715</v>
      </c>
      <c r="B99" s="3">
        <v>46234.566705798614</v>
      </c>
      <c r="C99" s="2" t="s">
        <v>716</v>
      </c>
      <c r="D99" s="2" t="s">
        <v>718</v>
      </c>
      <c r="E99" s="2" t="s">
        <v>290</v>
      </c>
      <c r="F99" s="4">
        <v>50.0</v>
      </c>
      <c r="H99" s="4">
        <v>50.0</v>
      </c>
      <c r="I99" s="2" t="s">
        <v>25</v>
      </c>
      <c r="J99" s="2" t="s">
        <v>27</v>
      </c>
      <c r="K99" s="2" t="s">
        <v>28</v>
      </c>
    </row>
    <row r="100">
      <c r="A100" s="2" t="s">
        <v>722</v>
      </c>
      <c r="B100" s="3">
        <v>46234.566705798614</v>
      </c>
      <c r="C100" s="2" t="s">
        <v>222</v>
      </c>
      <c r="D100" s="2" t="s">
        <v>230</v>
      </c>
      <c r="E100" s="2" t="s">
        <v>661</v>
      </c>
      <c r="F100" s="4">
        <v>60.0</v>
      </c>
      <c r="H100" s="4">
        <v>60.0</v>
      </c>
      <c r="I100" s="2" t="s">
        <v>25</v>
      </c>
      <c r="J100" s="2" t="s">
        <v>27</v>
      </c>
      <c r="K100" s="2" t="s">
        <v>28</v>
      </c>
    </row>
    <row r="101">
      <c r="A101" s="2" t="s">
        <v>732</v>
      </c>
      <c r="B101" s="3">
        <v>46234.566705798614</v>
      </c>
      <c r="C101" s="2" t="s">
        <v>312</v>
      </c>
      <c r="D101" s="2" t="s">
        <v>319</v>
      </c>
      <c r="E101" s="2" t="s">
        <v>661</v>
      </c>
      <c r="F101" s="4">
        <v>17.0</v>
      </c>
      <c r="H101" s="4">
        <v>17.0</v>
      </c>
      <c r="I101" s="2" t="s">
        <v>25</v>
      </c>
      <c r="J101" s="2" t="s">
        <v>27</v>
      </c>
      <c r="K101" s="2" t="s">
        <v>28</v>
      </c>
    </row>
    <row r="102">
      <c r="A102" s="2" t="s">
        <v>742</v>
      </c>
      <c r="B102" s="3">
        <v>46234.566705798614</v>
      </c>
      <c r="C102" s="2" t="s">
        <v>359</v>
      </c>
      <c r="D102" s="2" t="s">
        <v>370</v>
      </c>
      <c r="E102" s="2" t="s">
        <v>661</v>
      </c>
      <c r="F102" s="4">
        <v>273.0</v>
      </c>
      <c r="H102" s="4">
        <v>100.0</v>
      </c>
      <c r="I102" s="2" t="s">
        <v>25</v>
      </c>
      <c r="J102" s="2" t="s">
        <v>27</v>
      </c>
      <c r="K102" s="2" t="s">
        <v>28</v>
      </c>
    </row>
    <row r="103">
      <c r="A103" s="2" t="s">
        <v>747</v>
      </c>
      <c r="B103" s="3">
        <v>46234.566705798614</v>
      </c>
      <c r="C103" s="2" t="s">
        <v>748</v>
      </c>
      <c r="D103" s="2" t="s">
        <v>749</v>
      </c>
      <c r="E103" s="2" t="s">
        <v>661</v>
      </c>
      <c r="F103" s="4">
        <v>1.0</v>
      </c>
      <c r="H103" s="4">
        <v>1.0</v>
      </c>
      <c r="I103" s="2" t="s">
        <v>25</v>
      </c>
      <c r="J103" s="2" t="s">
        <v>27</v>
      </c>
      <c r="K103" s="2" t="s">
        <v>28</v>
      </c>
    </row>
    <row r="104">
      <c r="A104" s="2" t="s">
        <v>754</v>
      </c>
      <c r="B104" s="3">
        <v>46234.566705798614</v>
      </c>
      <c r="C104" s="2" t="s">
        <v>756</v>
      </c>
      <c r="D104" s="2" t="s">
        <v>757</v>
      </c>
      <c r="E104" s="2" t="s">
        <v>643</v>
      </c>
      <c r="F104" s="4">
        <v>2.0</v>
      </c>
      <c r="H104" s="4">
        <v>2.0</v>
      </c>
      <c r="I104" s="2" t="s">
        <v>25</v>
      </c>
      <c r="J104" s="2" t="s">
        <v>27</v>
      </c>
      <c r="K104" s="2" t="s">
        <v>28</v>
      </c>
    </row>
    <row r="105">
      <c r="A105" s="2" t="s">
        <v>761</v>
      </c>
      <c r="B105" s="3">
        <v>46234.566705798614</v>
      </c>
      <c r="C105" s="2" t="s">
        <v>763</v>
      </c>
      <c r="D105" s="2" t="s">
        <v>765</v>
      </c>
      <c r="E105" s="2" t="s">
        <v>616</v>
      </c>
      <c r="F105" s="4">
        <v>10.0</v>
      </c>
      <c r="H105" s="4">
        <v>10.0</v>
      </c>
      <c r="I105" s="2" t="s">
        <v>25</v>
      </c>
      <c r="J105" s="2" t="s">
        <v>27</v>
      </c>
      <c r="K105" s="2" t="s">
        <v>28</v>
      </c>
    </row>
    <row r="106">
      <c r="A106" s="2" t="s">
        <v>767</v>
      </c>
      <c r="B106" s="3">
        <v>46234.566705798614</v>
      </c>
      <c r="C106" s="2" t="s">
        <v>770</v>
      </c>
      <c r="D106" s="2" t="s">
        <v>771</v>
      </c>
      <c r="E106" s="2" t="s">
        <v>616</v>
      </c>
      <c r="F106" s="4">
        <v>0.2</v>
      </c>
      <c r="H106" s="4">
        <v>0.2</v>
      </c>
      <c r="I106" s="2" t="s">
        <v>25</v>
      </c>
      <c r="J106" s="2" t="s">
        <v>27</v>
      </c>
      <c r="K106" s="2" t="s">
        <v>28</v>
      </c>
    </row>
    <row r="107">
      <c r="A107" s="2" t="s">
        <v>774</v>
      </c>
      <c r="B107" s="3">
        <v>46234.566705798614</v>
      </c>
      <c r="C107" s="2" t="s">
        <v>776</v>
      </c>
      <c r="D107" s="2" t="s">
        <v>777</v>
      </c>
      <c r="E107" s="2" t="s">
        <v>290</v>
      </c>
      <c r="F107" s="4">
        <v>1.5</v>
      </c>
      <c r="H107" s="4">
        <v>1.5</v>
      </c>
      <c r="I107" s="2" t="s">
        <v>25</v>
      </c>
      <c r="J107" s="2" t="s">
        <v>27</v>
      </c>
      <c r="K107" s="2" t="s">
        <v>28</v>
      </c>
    </row>
    <row r="108">
      <c r="A108" s="2" t="s">
        <v>780</v>
      </c>
      <c r="B108" s="3">
        <v>46234.566705798614</v>
      </c>
      <c r="C108" s="2" t="s">
        <v>443</v>
      </c>
      <c r="D108" s="2" t="s">
        <v>446</v>
      </c>
      <c r="E108" s="2" t="s">
        <v>661</v>
      </c>
      <c r="F108" s="4">
        <v>4.0</v>
      </c>
      <c r="H108" s="4">
        <v>4.0</v>
      </c>
      <c r="I108" s="2" t="s">
        <v>25</v>
      </c>
      <c r="J108" s="2" t="s">
        <v>27</v>
      </c>
      <c r="K108" s="2" t="s">
        <v>28</v>
      </c>
    </row>
    <row r="109">
      <c r="A109" s="2" t="s">
        <v>785</v>
      </c>
      <c r="B109" s="3">
        <v>46234.566705798614</v>
      </c>
      <c r="C109" s="2" t="s">
        <v>787</v>
      </c>
      <c r="D109" s="2" t="s">
        <v>788</v>
      </c>
      <c r="E109" s="2" t="s">
        <v>290</v>
      </c>
      <c r="F109" s="4">
        <v>0.5</v>
      </c>
      <c r="H109" s="4">
        <v>0.5</v>
      </c>
      <c r="I109" s="2" t="s">
        <v>25</v>
      </c>
      <c r="J109" s="2" t="s">
        <v>27</v>
      </c>
      <c r="K109" s="2" t="s">
        <v>28</v>
      </c>
    </row>
    <row r="110">
      <c r="A110" s="2" t="s">
        <v>792</v>
      </c>
      <c r="B110" s="3">
        <v>46234.566705798614</v>
      </c>
      <c r="C110" s="2" t="s">
        <v>523</v>
      </c>
      <c r="D110" s="2" t="s">
        <v>528</v>
      </c>
      <c r="E110" s="2" t="s">
        <v>616</v>
      </c>
      <c r="F110" s="4">
        <v>10.0</v>
      </c>
      <c r="H110" s="4">
        <v>0.0</v>
      </c>
      <c r="I110" s="2" t="s">
        <v>77</v>
      </c>
      <c r="J110" s="2" t="s">
        <v>27</v>
      </c>
      <c r="K110" s="2" t="s">
        <v>28</v>
      </c>
    </row>
    <row r="111">
      <c r="A111" s="2" t="s">
        <v>796</v>
      </c>
      <c r="B111" s="3">
        <v>46234.566705798614</v>
      </c>
      <c r="C111" s="2" t="s">
        <v>562</v>
      </c>
      <c r="D111" s="2" t="s">
        <v>567</v>
      </c>
      <c r="E111" s="2" t="s">
        <v>616</v>
      </c>
      <c r="F111" s="4">
        <v>5.0</v>
      </c>
      <c r="H111" s="4">
        <v>0.0</v>
      </c>
      <c r="I111" s="2" t="s">
        <v>77</v>
      </c>
      <c r="J111" s="2" t="s">
        <v>27</v>
      </c>
      <c r="K111" s="2" t="s">
        <v>28</v>
      </c>
    </row>
    <row r="112">
      <c r="A112" s="2" t="s">
        <v>599</v>
      </c>
      <c r="B112" s="3">
        <v>46234.566705798614</v>
      </c>
      <c r="C112" s="2" t="s">
        <v>598</v>
      </c>
      <c r="D112" s="2" t="s">
        <v>604</v>
      </c>
      <c r="E112" s="2" t="s">
        <v>616</v>
      </c>
      <c r="F112" s="4">
        <v>15.0</v>
      </c>
      <c r="H112" s="4">
        <v>0.0</v>
      </c>
      <c r="I112" s="2" t="s">
        <v>77</v>
      </c>
      <c r="J112" s="2" t="s">
        <v>27</v>
      </c>
      <c r="K112" s="2" t="s">
        <v>28</v>
      </c>
    </row>
    <row r="113">
      <c r="A113" s="2" t="s">
        <v>805</v>
      </c>
      <c r="B113" s="3">
        <v>46234.566705798614</v>
      </c>
      <c r="C113" s="2" t="s">
        <v>682</v>
      </c>
      <c r="D113" s="2" t="s">
        <v>690</v>
      </c>
      <c r="E113" s="2" t="s">
        <v>661</v>
      </c>
      <c r="F113" s="4">
        <v>14.0</v>
      </c>
      <c r="H113" s="4">
        <v>14.0</v>
      </c>
      <c r="I113" s="2" t="s">
        <v>25</v>
      </c>
      <c r="J113" s="2" t="s">
        <v>27</v>
      </c>
      <c r="K113" s="2" t="s">
        <v>28</v>
      </c>
    </row>
    <row r="114">
      <c r="A114" s="2" t="s">
        <v>810</v>
      </c>
      <c r="B114" s="3">
        <v>46234.566705798614</v>
      </c>
      <c r="C114" s="2" t="s">
        <v>812</v>
      </c>
      <c r="D114" s="2" t="s">
        <v>813</v>
      </c>
      <c r="E114" s="2" t="s">
        <v>661</v>
      </c>
      <c r="F114" s="4">
        <v>100.0</v>
      </c>
      <c r="H114" s="4">
        <v>100.0</v>
      </c>
      <c r="I114" s="2" t="s">
        <v>25</v>
      </c>
      <c r="J114" s="2" t="s">
        <v>27</v>
      </c>
      <c r="K114" s="2" t="s">
        <v>28</v>
      </c>
    </row>
    <row r="115">
      <c r="A115" s="2" t="s">
        <v>816</v>
      </c>
      <c r="B115" s="3">
        <v>46234.566705798614</v>
      </c>
      <c r="C115" s="2" t="s">
        <v>819</v>
      </c>
      <c r="D115" s="2" t="s">
        <v>820</v>
      </c>
      <c r="E115" s="2" t="s">
        <v>290</v>
      </c>
      <c r="F115" s="4">
        <v>1.0</v>
      </c>
      <c r="H115" s="4">
        <v>1.0</v>
      </c>
      <c r="I115" s="2" t="s">
        <v>25</v>
      </c>
      <c r="J115" s="2" t="s">
        <v>27</v>
      </c>
      <c r="K115" s="2" t="s">
        <v>28</v>
      </c>
    </row>
    <row r="116">
      <c r="A116" s="2" t="s">
        <v>825</v>
      </c>
      <c r="B116" s="3">
        <v>46234.566705798614</v>
      </c>
      <c r="C116" s="2" t="s">
        <v>826</v>
      </c>
      <c r="D116" s="2" t="s">
        <v>828</v>
      </c>
      <c r="E116" s="2" t="s">
        <v>290</v>
      </c>
      <c r="F116" s="4">
        <v>1.0</v>
      </c>
      <c r="H116" s="4">
        <v>1.0</v>
      </c>
      <c r="I116" s="2" t="s">
        <v>25</v>
      </c>
      <c r="J116" s="2" t="s">
        <v>27</v>
      </c>
      <c r="K116" s="2" t="s">
        <v>28</v>
      </c>
    </row>
    <row r="117">
      <c r="A117" s="2" t="s">
        <v>830</v>
      </c>
      <c r="B117" s="3">
        <v>46234.566705798614</v>
      </c>
      <c r="C117" s="2" t="s">
        <v>831</v>
      </c>
      <c r="D117" s="2" t="s">
        <v>828</v>
      </c>
      <c r="E117" s="2" t="s">
        <v>290</v>
      </c>
      <c r="F117" s="4">
        <v>1.0</v>
      </c>
      <c r="H117" s="4">
        <v>1.0</v>
      </c>
      <c r="I117" s="2" t="s">
        <v>25</v>
      </c>
      <c r="J117" s="2" t="s">
        <v>27</v>
      </c>
      <c r="K117" s="2" t="s">
        <v>28</v>
      </c>
    </row>
    <row r="118">
      <c r="A118" s="2" t="s">
        <v>835</v>
      </c>
      <c r="B118" s="3">
        <v>46234.566705798614</v>
      </c>
      <c r="C118" s="2" t="s">
        <v>836</v>
      </c>
      <c r="D118" s="2" t="s">
        <v>837</v>
      </c>
      <c r="E118" s="2" t="s">
        <v>661</v>
      </c>
      <c r="F118" s="4">
        <v>1.0</v>
      </c>
      <c r="H118" s="4">
        <v>1.0</v>
      </c>
      <c r="I118" s="2" t="s">
        <v>25</v>
      </c>
      <c r="J118" s="2" t="s">
        <v>27</v>
      </c>
      <c r="K118" s="2" t="s">
        <v>28</v>
      </c>
    </row>
    <row r="119">
      <c r="A119" s="2" t="s">
        <v>841</v>
      </c>
      <c r="B119" s="3">
        <v>46234.566705798614</v>
      </c>
      <c r="C119" s="2" t="s">
        <v>842</v>
      </c>
      <c r="D119" s="2" t="s">
        <v>843</v>
      </c>
      <c r="E119" s="2" t="s">
        <v>661</v>
      </c>
      <c r="F119" s="4">
        <v>1.0</v>
      </c>
      <c r="H119" s="4">
        <v>1.0</v>
      </c>
      <c r="I119" s="2" t="s">
        <v>25</v>
      </c>
      <c r="J119" s="2" t="s">
        <v>27</v>
      </c>
      <c r="K119" s="2" t="s">
        <v>28</v>
      </c>
    </row>
    <row r="120">
      <c r="A120" s="2" t="s">
        <v>844</v>
      </c>
      <c r="B120" s="3">
        <v>46234.566705798614</v>
      </c>
      <c r="C120" s="2" t="s">
        <v>847</v>
      </c>
      <c r="D120" s="2" t="s">
        <v>849</v>
      </c>
      <c r="E120" s="2" t="s">
        <v>661</v>
      </c>
      <c r="F120" s="4">
        <v>1.0</v>
      </c>
      <c r="H120" s="4">
        <v>1.0</v>
      </c>
      <c r="I120" s="2" t="s">
        <v>25</v>
      </c>
      <c r="J120" s="2" t="s">
        <v>27</v>
      </c>
      <c r="K120" s="2" t="s">
        <v>28</v>
      </c>
    </row>
    <row r="121">
      <c r="A121" s="2" t="s">
        <v>856</v>
      </c>
      <c r="B121" s="3">
        <v>46234.566705798614</v>
      </c>
      <c r="C121" s="2" t="s">
        <v>857</v>
      </c>
      <c r="D121" s="2" t="s">
        <v>859</v>
      </c>
      <c r="E121" s="2" t="s">
        <v>661</v>
      </c>
      <c r="F121" s="4">
        <v>1.0</v>
      </c>
      <c r="H121" s="4">
        <v>1.0</v>
      </c>
      <c r="I121" s="2" t="s">
        <v>25</v>
      </c>
      <c r="J121" s="2" t="s">
        <v>27</v>
      </c>
      <c r="K121" s="2" t="s">
        <v>28</v>
      </c>
    </row>
    <row r="122">
      <c r="A122" s="2" t="s">
        <v>863</v>
      </c>
      <c r="B122" s="3">
        <v>46234.566705798614</v>
      </c>
      <c r="C122" s="2" t="s">
        <v>865</v>
      </c>
      <c r="D122" s="2" t="s">
        <v>866</v>
      </c>
      <c r="E122" s="2" t="s">
        <v>661</v>
      </c>
      <c r="F122" s="4">
        <v>1.0</v>
      </c>
      <c r="H122" s="4">
        <v>1.0</v>
      </c>
      <c r="I122" s="2" t="s">
        <v>25</v>
      </c>
      <c r="J122" s="2" t="s">
        <v>27</v>
      </c>
      <c r="K122" s="2" t="s">
        <v>28</v>
      </c>
    </row>
    <row r="123">
      <c r="A123" s="2" t="s">
        <v>868</v>
      </c>
      <c r="B123" s="3">
        <v>46234.566705798614</v>
      </c>
      <c r="C123" s="2" t="s">
        <v>638</v>
      </c>
      <c r="D123" s="2" t="s">
        <v>644</v>
      </c>
      <c r="E123" s="2" t="s">
        <v>290</v>
      </c>
      <c r="F123" s="4">
        <v>9.0</v>
      </c>
      <c r="H123" s="4">
        <v>9.0</v>
      </c>
      <c r="I123" s="2" t="s">
        <v>25</v>
      </c>
      <c r="J123" s="2" t="s">
        <v>27</v>
      </c>
      <c r="K123" s="2" t="s">
        <v>28</v>
      </c>
    </row>
    <row r="124">
      <c r="A124" s="2" t="s">
        <v>874</v>
      </c>
      <c r="B124" s="3">
        <v>46234.566705798614</v>
      </c>
      <c r="C124" s="2" t="s">
        <v>876</v>
      </c>
      <c r="D124" s="2" t="s">
        <v>878</v>
      </c>
      <c r="E124" s="2" t="s">
        <v>643</v>
      </c>
      <c r="F124" s="4">
        <v>34.0</v>
      </c>
      <c r="H124" s="4">
        <v>34.0</v>
      </c>
      <c r="I124" s="2" t="s">
        <v>25</v>
      </c>
      <c r="J124" s="2" t="s">
        <v>27</v>
      </c>
      <c r="K124" s="2" t="s">
        <v>28</v>
      </c>
    </row>
    <row r="125">
      <c r="A125" s="2" t="s">
        <v>885</v>
      </c>
      <c r="B125" s="3">
        <v>46234.566705798614</v>
      </c>
      <c r="C125" s="2" t="s">
        <v>887</v>
      </c>
      <c r="D125" s="2" t="s">
        <v>888</v>
      </c>
      <c r="E125" s="2" t="s">
        <v>290</v>
      </c>
      <c r="F125" s="4">
        <v>6.0</v>
      </c>
      <c r="H125" s="4">
        <v>6.0</v>
      </c>
      <c r="I125" s="2" t="s">
        <v>25</v>
      </c>
      <c r="J125" s="2" t="s">
        <v>27</v>
      </c>
      <c r="K125" s="2" t="s">
        <v>28</v>
      </c>
    </row>
    <row r="126">
      <c r="A126" s="2" t="s">
        <v>300</v>
      </c>
      <c r="B126" s="3">
        <v>46234.566705798614</v>
      </c>
      <c r="C126" s="2" t="s">
        <v>301</v>
      </c>
      <c r="D126" s="2" t="s">
        <v>302</v>
      </c>
      <c r="E126" s="2" t="s">
        <v>661</v>
      </c>
      <c r="F126" s="4">
        <v>1159.0</v>
      </c>
      <c r="H126" s="4">
        <v>0.0</v>
      </c>
      <c r="I126" s="2" t="s">
        <v>77</v>
      </c>
      <c r="J126" s="2" t="s">
        <v>27</v>
      </c>
      <c r="K126" s="2" t="s">
        <v>28</v>
      </c>
    </row>
    <row r="127">
      <c r="A127" s="2" t="s">
        <v>898</v>
      </c>
      <c r="B127" s="3">
        <v>46234.566705798614</v>
      </c>
      <c r="C127" s="2" t="s">
        <v>900</v>
      </c>
      <c r="D127" s="2" t="s">
        <v>902</v>
      </c>
      <c r="E127" s="2" t="s">
        <v>661</v>
      </c>
      <c r="F127" s="4">
        <v>9.0</v>
      </c>
      <c r="H127" s="4">
        <v>9.0</v>
      </c>
      <c r="I127" s="2" t="s">
        <v>25</v>
      </c>
      <c r="J127" s="2" t="s">
        <v>27</v>
      </c>
      <c r="K127" s="2" t="s">
        <v>28</v>
      </c>
    </row>
    <row r="128">
      <c r="A128" s="2" t="s">
        <v>906</v>
      </c>
      <c r="B128" s="3">
        <v>46234.566705798614</v>
      </c>
      <c r="C128" s="2" t="s">
        <v>908</v>
      </c>
      <c r="D128" s="2" t="s">
        <v>910</v>
      </c>
      <c r="E128" s="2" t="s">
        <v>643</v>
      </c>
      <c r="F128" s="4">
        <v>16.0</v>
      </c>
      <c r="H128" s="4">
        <v>16.0</v>
      </c>
      <c r="I128" s="2" t="s">
        <v>25</v>
      </c>
      <c r="J128" s="2" t="s">
        <v>27</v>
      </c>
      <c r="K128" s="2" t="s">
        <v>28</v>
      </c>
    </row>
    <row r="129">
      <c r="A129" s="2" t="s">
        <v>914</v>
      </c>
      <c r="B129" s="3">
        <v>46234.566705798614</v>
      </c>
      <c r="C129" s="2" t="s">
        <v>916</v>
      </c>
      <c r="D129" s="2" t="s">
        <v>918</v>
      </c>
      <c r="E129" s="2" t="s">
        <v>290</v>
      </c>
      <c r="F129" s="4">
        <v>3.0</v>
      </c>
      <c r="H129" s="4">
        <v>3.0</v>
      </c>
      <c r="I129" s="2" t="s">
        <v>25</v>
      </c>
      <c r="J129" s="2" t="s">
        <v>27</v>
      </c>
      <c r="K129" s="2" t="s">
        <v>28</v>
      </c>
    </row>
    <row r="130">
      <c r="A130" s="2" t="s">
        <v>923</v>
      </c>
      <c r="B130" s="3">
        <v>46234.566705798614</v>
      </c>
      <c r="C130" s="2" t="s">
        <v>924</v>
      </c>
      <c r="D130" s="2" t="s">
        <v>925</v>
      </c>
      <c r="E130" s="2" t="s">
        <v>290</v>
      </c>
      <c r="F130" s="4">
        <v>3.0</v>
      </c>
      <c r="H130" s="4">
        <v>3.0</v>
      </c>
      <c r="I130" s="2" t="s">
        <v>25</v>
      </c>
      <c r="J130" s="2" t="s">
        <v>27</v>
      </c>
      <c r="K130" s="2" t="s">
        <v>28</v>
      </c>
    </row>
    <row r="131">
      <c r="A131" s="2" t="s">
        <v>930</v>
      </c>
      <c r="B131" s="3">
        <v>46234.566705798614</v>
      </c>
      <c r="C131" s="2" t="s">
        <v>932</v>
      </c>
      <c r="D131" s="2" t="s">
        <v>933</v>
      </c>
      <c r="E131" s="2" t="s">
        <v>22</v>
      </c>
      <c r="F131" s="4">
        <v>400.0</v>
      </c>
      <c r="H131" s="4">
        <v>400.0</v>
      </c>
      <c r="I131" s="2" t="s">
        <v>25</v>
      </c>
      <c r="J131" s="2" t="s">
        <v>27</v>
      </c>
      <c r="K131" s="2" t="s">
        <v>28</v>
      </c>
    </row>
    <row r="132">
      <c r="A132" s="2" t="s">
        <v>936</v>
      </c>
      <c r="B132" s="3">
        <v>46234.566705798614</v>
      </c>
      <c r="C132" s="2" t="s">
        <v>938</v>
      </c>
      <c r="D132" s="2" t="s">
        <v>939</v>
      </c>
      <c r="E132" s="2" t="s">
        <v>22</v>
      </c>
      <c r="F132" s="4">
        <v>35.0</v>
      </c>
      <c r="H132" s="4">
        <v>35.0</v>
      </c>
      <c r="I132" s="2" t="s">
        <v>25</v>
      </c>
      <c r="J132" s="2" t="s">
        <v>27</v>
      </c>
      <c r="K132" s="2" t="s">
        <v>28</v>
      </c>
    </row>
    <row r="133">
      <c r="A133" s="2" t="s">
        <v>944</v>
      </c>
      <c r="B133" s="3">
        <v>46234.566705798614</v>
      </c>
      <c r="C133" s="2" t="s">
        <v>945</v>
      </c>
      <c r="D133" s="2" t="s">
        <v>946</v>
      </c>
      <c r="E133" s="2" t="s">
        <v>616</v>
      </c>
      <c r="F133" s="4">
        <v>25.0</v>
      </c>
      <c r="H133" s="4">
        <v>25.0</v>
      </c>
      <c r="I133" s="2" t="s">
        <v>25</v>
      </c>
      <c r="J133" s="2" t="s">
        <v>27</v>
      </c>
      <c r="K133" s="2" t="s">
        <v>28</v>
      </c>
    </row>
    <row r="134">
      <c r="A134" s="2" t="s">
        <v>940</v>
      </c>
      <c r="B134" s="3">
        <v>46234.566705798614</v>
      </c>
      <c r="C134" s="2" t="s">
        <v>942</v>
      </c>
      <c r="D134" s="2" t="s">
        <v>943</v>
      </c>
      <c r="E134" s="2" t="s">
        <v>22</v>
      </c>
      <c r="F134" s="4">
        <v>2700.0</v>
      </c>
      <c r="H134" s="4">
        <v>200.0</v>
      </c>
      <c r="I134" s="2" t="s">
        <v>25</v>
      </c>
      <c r="J134" s="2" t="s">
        <v>27</v>
      </c>
      <c r="K134" s="2" t="s">
        <v>28</v>
      </c>
    </row>
    <row r="135">
      <c r="A135" s="2" t="s">
        <v>950</v>
      </c>
      <c r="B135" s="3">
        <v>46234.566705798614</v>
      </c>
      <c r="C135" s="2" t="s">
        <v>951</v>
      </c>
      <c r="D135" s="2" t="s">
        <v>953</v>
      </c>
      <c r="E135" s="2" t="s">
        <v>22</v>
      </c>
      <c r="F135" s="4">
        <v>990.0</v>
      </c>
      <c r="H135" s="4">
        <v>990.0</v>
      </c>
      <c r="I135" s="2" t="s">
        <v>25</v>
      </c>
      <c r="J135" s="2" t="s">
        <v>27</v>
      </c>
      <c r="K135" s="2" t="s">
        <v>28</v>
      </c>
    </row>
    <row r="136">
      <c r="A136" s="2" t="s">
        <v>955</v>
      </c>
      <c r="B136" s="3">
        <v>46234.566705798614</v>
      </c>
      <c r="C136" s="2" t="s">
        <v>957</v>
      </c>
      <c r="D136" s="2" t="s">
        <v>958</v>
      </c>
      <c r="E136" s="2" t="s">
        <v>22</v>
      </c>
      <c r="F136" s="4">
        <v>65.0</v>
      </c>
      <c r="H136" s="4">
        <v>65.0</v>
      </c>
      <c r="I136" s="2" t="s">
        <v>25</v>
      </c>
      <c r="J136" s="2" t="s">
        <v>27</v>
      </c>
      <c r="K136" s="2" t="s">
        <v>28</v>
      </c>
    </row>
    <row r="137">
      <c r="A137" s="2" t="s">
        <v>959</v>
      </c>
      <c r="B137" s="3">
        <v>46234.566705798614</v>
      </c>
      <c r="C137" s="2" t="s">
        <v>341</v>
      </c>
      <c r="D137" s="2" t="s">
        <v>342</v>
      </c>
      <c r="E137" s="2" t="s">
        <v>22</v>
      </c>
      <c r="F137" s="4">
        <v>1100.0</v>
      </c>
      <c r="H137" s="4">
        <v>1100.0</v>
      </c>
      <c r="I137" s="2" t="s">
        <v>25</v>
      </c>
      <c r="J137" s="2" t="s">
        <v>27</v>
      </c>
      <c r="K137" s="2" t="s">
        <v>28</v>
      </c>
    </row>
    <row r="138">
      <c r="A138" s="2" t="s">
        <v>961</v>
      </c>
      <c r="B138" s="3">
        <v>46234.566705798614</v>
      </c>
      <c r="C138" s="2" t="s">
        <v>171</v>
      </c>
      <c r="D138" s="2" t="s">
        <v>172</v>
      </c>
      <c r="E138" s="2" t="s">
        <v>22</v>
      </c>
      <c r="F138" s="4">
        <v>720.0</v>
      </c>
      <c r="H138" s="4">
        <v>720.0</v>
      </c>
      <c r="I138" s="2" t="s">
        <v>25</v>
      </c>
      <c r="J138" s="2" t="s">
        <v>27</v>
      </c>
      <c r="K138" s="2" t="s">
        <v>28</v>
      </c>
    </row>
    <row r="139">
      <c r="A139" s="2" t="s">
        <v>963</v>
      </c>
      <c r="B139" s="3">
        <v>46234.566705798614</v>
      </c>
      <c r="C139" s="2" t="s">
        <v>964</v>
      </c>
      <c r="D139" s="2" t="s">
        <v>965</v>
      </c>
      <c r="E139" s="2" t="s">
        <v>643</v>
      </c>
      <c r="F139" s="4">
        <v>25.0</v>
      </c>
      <c r="H139" s="4">
        <v>25.0</v>
      </c>
      <c r="I139" s="2" t="s">
        <v>25</v>
      </c>
      <c r="J139" s="2" t="s">
        <v>27</v>
      </c>
      <c r="K139" s="2" t="s">
        <v>28</v>
      </c>
    </row>
    <row r="140">
      <c r="A140" s="2" t="s">
        <v>967</v>
      </c>
      <c r="B140" s="3">
        <v>46234.566705798614</v>
      </c>
      <c r="C140" s="2" t="s">
        <v>968</v>
      </c>
      <c r="D140" s="2" t="s">
        <v>969</v>
      </c>
      <c r="E140" s="2" t="s">
        <v>290</v>
      </c>
      <c r="F140" s="4">
        <v>2.0</v>
      </c>
      <c r="H140" s="4">
        <v>2.0</v>
      </c>
      <c r="I140" s="2" t="s">
        <v>25</v>
      </c>
      <c r="J140" s="2" t="s">
        <v>27</v>
      </c>
      <c r="K140" s="2" t="s">
        <v>28</v>
      </c>
    </row>
    <row r="141">
      <c r="A141" s="2" t="s">
        <v>970</v>
      </c>
      <c r="B141" s="3">
        <v>46234.566705798614</v>
      </c>
      <c r="C141" s="2" t="s">
        <v>971</v>
      </c>
      <c r="D141" s="2" t="s">
        <v>972</v>
      </c>
      <c r="E141" s="2" t="s">
        <v>661</v>
      </c>
      <c r="F141" s="4">
        <v>6.0</v>
      </c>
      <c r="H141" s="4">
        <v>6.0</v>
      </c>
      <c r="I141" s="2" t="s">
        <v>25</v>
      </c>
      <c r="J141" s="2" t="s">
        <v>27</v>
      </c>
      <c r="K141" s="2" t="s">
        <v>28</v>
      </c>
    </row>
    <row r="142">
      <c r="A142" s="2" t="s">
        <v>977</v>
      </c>
      <c r="B142" s="3">
        <v>46234.566705798614</v>
      </c>
      <c r="C142" s="2" t="s">
        <v>978</v>
      </c>
      <c r="D142" s="2" t="s">
        <v>979</v>
      </c>
      <c r="E142" s="2" t="s">
        <v>661</v>
      </c>
      <c r="F142" s="4">
        <v>15.0</v>
      </c>
      <c r="H142" s="4">
        <v>15.0</v>
      </c>
      <c r="I142" s="2" t="s">
        <v>25</v>
      </c>
      <c r="J142" s="2" t="s">
        <v>27</v>
      </c>
      <c r="K142" s="2" t="s">
        <v>28</v>
      </c>
    </row>
    <row r="143">
      <c r="A143" s="2" t="s">
        <v>982</v>
      </c>
      <c r="B143" s="3">
        <v>46234.566705798614</v>
      </c>
      <c r="C143" s="2" t="s">
        <v>983</v>
      </c>
      <c r="D143" s="2" t="s">
        <v>984</v>
      </c>
      <c r="E143" s="2" t="s">
        <v>661</v>
      </c>
      <c r="F143" s="4">
        <v>8.0</v>
      </c>
      <c r="H143" s="4">
        <v>8.0</v>
      </c>
      <c r="I143" s="2" t="s">
        <v>25</v>
      </c>
      <c r="J143" s="2" t="s">
        <v>27</v>
      </c>
      <c r="K143" s="2" t="s">
        <v>28</v>
      </c>
    </row>
    <row r="144">
      <c r="A144" s="2" t="s">
        <v>986</v>
      </c>
      <c r="B144" s="3">
        <v>46234.566705798614</v>
      </c>
      <c r="C144" s="2" t="s">
        <v>988</v>
      </c>
      <c r="D144" s="2" t="s">
        <v>990</v>
      </c>
      <c r="E144" s="2" t="s">
        <v>661</v>
      </c>
      <c r="F144" s="4">
        <v>2.0</v>
      </c>
      <c r="H144" s="4">
        <v>2.0</v>
      </c>
      <c r="I144" s="2" t="s">
        <v>25</v>
      </c>
      <c r="J144" s="2" t="s">
        <v>27</v>
      </c>
      <c r="K144" s="2" t="s">
        <v>28</v>
      </c>
    </row>
    <row r="145">
      <c r="A145" s="2" t="s">
        <v>752</v>
      </c>
      <c r="B145" s="3">
        <v>46234.566705798614</v>
      </c>
      <c r="C145" s="2" t="s">
        <v>753</v>
      </c>
      <c r="D145" s="2" t="s">
        <v>755</v>
      </c>
      <c r="E145" s="2" t="s">
        <v>290</v>
      </c>
      <c r="F145" s="4">
        <v>25.0</v>
      </c>
      <c r="H145" s="4">
        <v>0.0</v>
      </c>
      <c r="I145" s="2" t="s">
        <v>77</v>
      </c>
      <c r="J145" s="2" t="s">
        <v>27</v>
      </c>
      <c r="K145" s="2" t="s">
        <v>28</v>
      </c>
    </row>
    <row r="146">
      <c r="A146" s="2" t="s">
        <v>993</v>
      </c>
      <c r="B146" s="3">
        <v>46234.566705798614</v>
      </c>
      <c r="C146" s="2" t="s">
        <v>994</v>
      </c>
      <c r="D146" s="2" t="s">
        <v>995</v>
      </c>
      <c r="E146" s="2" t="s">
        <v>661</v>
      </c>
      <c r="F146" s="4">
        <v>9.0</v>
      </c>
      <c r="H146" s="4">
        <v>9.0</v>
      </c>
      <c r="I146" s="2" t="s">
        <v>25</v>
      </c>
      <c r="J146" s="2" t="s">
        <v>27</v>
      </c>
      <c r="K146" s="2" t="s">
        <v>28</v>
      </c>
    </row>
    <row r="147">
      <c r="A147" s="2" t="s">
        <v>997</v>
      </c>
      <c r="B147" s="3">
        <v>46234.566705798614</v>
      </c>
      <c r="C147" s="2" t="s">
        <v>998</v>
      </c>
      <c r="D147" s="2" t="s">
        <v>999</v>
      </c>
      <c r="E147" s="2" t="s">
        <v>661</v>
      </c>
      <c r="F147" s="4">
        <v>1.0</v>
      </c>
      <c r="H147" s="4">
        <v>1.0</v>
      </c>
      <c r="I147" s="2" t="s">
        <v>25</v>
      </c>
      <c r="J147" s="2" t="s">
        <v>27</v>
      </c>
      <c r="K147" s="2" t="s">
        <v>28</v>
      </c>
    </row>
    <row r="148">
      <c r="A148" s="2" t="s">
        <v>1000</v>
      </c>
      <c r="B148" s="3">
        <v>46234.566705798614</v>
      </c>
      <c r="C148" s="2" t="s">
        <v>1001</v>
      </c>
      <c r="D148" s="2" t="s">
        <v>1002</v>
      </c>
      <c r="E148" s="2" t="s">
        <v>290</v>
      </c>
      <c r="F148" s="4">
        <v>1.0</v>
      </c>
      <c r="H148" s="4">
        <v>1.0</v>
      </c>
      <c r="I148" s="2" t="s">
        <v>25</v>
      </c>
      <c r="J148" s="2" t="s">
        <v>27</v>
      </c>
      <c r="K148" s="2" t="s">
        <v>28</v>
      </c>
    </row>
    <row r="149">
      <c r="A149" s="2" t="s">
        <v>1003</v>
      </c>
      <c r="B149" s="3">
        <v>46234.566705798614</v>
      </c>
      <c r="C149" s="2" t="s">
        <v>1004</v>
      </c>
      <c r="D149" s="2" t="s">
        <v>1005</v>
      </c>
      <c r="E149" s="2" t="s">
        <v>643</v>
      </c>
      <c r="F149" s="4">
        <v>5.0</v>
      </c>
      <c r="H149" s="4">
        <v>5.0</v>
      </c>
      <c r="I149" s="2" t="s">
        <v>25</v>
      </c>
      <c r="J149" s="2" t="s">
        <v>27</v>
      </c>
      <c r="K149" s="2" t="s">
        <v>28</v>
      </c>
    </row>
    <row r="150">
      <c r="A150" s="2" t="s">
        <v>1007</v>
      </c>
      <c r="B150" s="3">
        <v>46234.566705798614</v>
      </c>
      <c r="C150" s="2" t="s">
        <v>1008</v>
      </c>
      <c r="D150" s="2" t="s">
        <v>1009</v>
      </c>
      <c r="E150" s="2" t="s">
        <v>22</v>
      </c>
      <c r="F150" s="4">
        <v>200.0</v>
      </c>
      <c r="H150" s="4">
        <v>200.0</v>
      </c>
      <c r="I150" s="2" t="s">
        <v>25</v>
      </c>
      <c r="J150" s="2" t="s">
        <v>27</v>
      </c>
      <c r="K150" s="2" t="s">
        <v>28</v>
      </c>
    </row>
    <row r="151">
      <c r="A151" s="2" t="s">
        <v>1010</v>
      </c>
      <c r="B151" s="3">
        <v>46234.566705798614</v>
      </c>
      <c r="C151" s="2" t="s">
        <v>1011</v>
      </c>
      <c r="D151" s="2" t="s">
        <v>1012</v>
      </c>
      <c r="E151" s="2" t="s">
        <v>22</v>
      </c>
      <c r="F151" s="4">
        <v>100.0</v>
      </c>
      <c r="H151" s="4">
        <v>100.0</v>
      </c>
      <c r="I151" s="2" t="s">
        <v>25</v>
      </c>
      <c r="J151" s="2" t="s">
        <v>27</v>
      </c>
      <c r="K151" s="2" t="s">
        <v>28</v>
      </c>
    </row>
    <row r="152">
      <c r="A152" s="2" t="s">
        <v>1013</v>
      </c>
      <c r="B152" s="3">
        <v>46234.566705798614</v>
      </c>
      <c r="C152" s="2" t="s">
        <v>1014</v>
      </c>
      <c r="D152" s="2" t="s">
        <v>1015</v>
      </c>
      <c r="E152" s="2" t="s">
        <v>22</v>
      </c>
      <c r="F152" s="4">
        <v>835.0</v>
      </c>
      <c r="H152" s="4">
        <v>835.0</v>
      </c>
      <c r="I152" s="2" t="s">
        <v>25</v>
      </c>
      <c r="J152" s="2" t="s">
        <v>27</v>
      </c>
      <c r="K152" s="2" t="s">
        <v>28</v>
      </c>
    </row>
    <row r="153">
      <c r="A153" s="2" t="s">
        <v>1016</v>
      </c>
      <c r="B153" s="3">
        <v>46234.566705798614</v>
      </c>
      <c r="C153" s="2" t="s">
        <v>948</v>
      </c>
      <c r="D153" s="2" t="s">
        <v>952</v>
      </c>
      <c r="E153" s="2" t="s">
        <v>616</v>
      </c>
      <c r="F153" s="4">
        <v>8.0</v>
      </c>
      <c r="H153" s="4">
        <v>8.0</v>
      </c>
      <c r="I153" s="2" t="s">
        <v>25</v>
      </c>
      <c r="J153" s="2" t="s">
        <v>27</v>
      </c>
      <c r="K153" s="2" t="s">
        <v>28</v>
      </c>
    </row>
    <row r="154">
      <c r="A154" s="2" t="s">
        <v>1017</v>
      </c>
      <c r="B154" s="3">
        <v>46234.566705798614</v>
      </c>
      <c r="C154" s="2" t="s">
        <v>1018</v>
      </c>
      <c r="D154" s="2" t="s">
        <v>1019</v>
      </c>
      <c r="E154" s="2" t="s">
        <v>661</v>
      </c>
      <c r="F154" s="4">
        <v>6.0</v>
      </c>
      <c r="H154" s="4">
        <v>6.0</v>
      </c>
      <c r="I154" s="2" t="s">
        <v>25</v>
      </c>
      <c r="J154" s="2" t="s">
        <v>27</v>
      </c>
      <c r="K154" s="2" t="s">
        <v>28</v>
      </c>
    </row>
    <row r="155">
      <c r="A155" s="2" t="s">
        <v>1020</v>
      </c>
      <c r="B155" s="3">
        <v>46234.566705798614</v>
      </c>
      <c r="C155" s="2" t="s">
        <v>1021</v>
      </c>
      <c r="D155" s="2" t="s">
        <v>1022</v>
      </c>
      <c r="E155" s="2" t="s">
        <v>661</v>
      </c>
      <c r="F155" s="4">
        <v>9.0</v>
      </c>
      <c r="H155" s="4">
        <v>9.0</v>
      </c>
      <c r="I155" s="2" t="s">
        <v>25</v>
      </c>
      <c r="J155" s="2" t="s">
        <v>27</v>
      </c>
      <c r="K155" s="2" t="s">
        <v>28</v>
      </c>
    </row>
    <row r="156">
      <c r="A156" s="2" t="s">
        <v>1023</v>
      </c>
      <c r="B156" s="3">
        <v>46234.566705798614</v>
      </c>
      <c r="C156" s="2" t="s">
        <v>1024</v>
      </c>
      <c r="D156" s="2" t="s">
        <v>1025</v>
      </c>
      <c r="E156" s="2" t="s">
        <v>22</v>
      </c>
      <c r="F156" s="4">
        <v>1296.0</v>
      </c>
      <c r="H156" s="4">
        <v>1296.0</v>
      </c>
      <c r="I156" s="2" t="s">
        <v>25</v>
      </c>
      <c r="J156" s="2" t="s">
        <v>27</v>
      </c>
      <c r="K156" s="2" t="s">
        <v>28</v>
      </c>
    </row>
    <row r="157">
      <c r="A157" s="2" t="s">
        <v>1026</v>
      </c>
      <c r="B157" s="3">
        <v>46234.566705798614</v>
      </c>
      <c r="C157" s="2" t="s">
        <v>1027</v>
      </c>
      <c r="D157" s="2" t="s">
        <v>1028</v>
      </c>
      <c r="E157" s="2" t="s">
        <v>22</v>
      </c>
      <c r="F157" s="4">
        <v>1872.0</v>
      </c>
      <c r="H157" s="4">
        <v>1872.0</v>
      </c>
      <c r="I157" s="2" t="s">
        <v>25</v>
      </c>
      <c r="J157" s="2" t="s">
        <v>27</v>
      </c>
      <c r="K157" s="2" t="s">
        <v>28</v>
      </c>
    </row>
    <row r="158">
      <c r="A158" s="2" t="s">
        <v>1030</v>
      </c>
      <c r="B158" s="3">
        <v>46234.566705798614</v>
      </c>
      <c r="C158" s="2" t="s">
        <v>1031</v>
      </c>
      <c r="D158" s="2" t="s">
        <v>1032</v>
      </c>
      <c r="E158" s="2" t="s">
        <v>22</v>
      </c>
      <c r="F158" s="4">
        <v>2100.0</v>
      </c>
      <c r="H158" s="4">
        <v>2100.0</v>
      </c>
      <c r="I158" s="2" t="s">
        <v>25</v>
      </c>
      <c r="J158" s="2" t="s">
        <v>27</v>
      </c>
      <c r="K158" s="2" t="s">
        <v>28</v>
      </c>
    </row>
    <row r="159">
      <c r="A159" s="2" t="s">
        <v>1033</v>
      </c>
      <c r="B159" s="3">
        <v>46234.566705798614</v>
      </c>
      <c r="C159" s="2" t="s">
        <v>1034</v>
      </c>
      <c r="D159" s="2" t="s">
        <v>1035</v>
      </c>
      <c r="E159" s="2" t="s">
        <v>22</v>
      </c>
      <c r="F159" s="4">
        <v>90.0</v>
      </c>
      <c r="H159" s="4">
        <v>90.0</v>
      </c>
      <c r="I159" s="2" t="s">
        <v>25</v>
      </c>
      <c r="J159" s="2" t="s">
        <v>27</v>
      </c>
      <c r="K159" s="2" t="s">
        <v>28</v>
      </c>
    </row>
    <row r="160">
      <c r="A160" s="2" t="s">
        <v>275</v>
      </c>
      <c r="B160" s="3">
        <v>46234.566705798614</v>
      </c>
      <c r="C160" s="2" t="s">
        <v>278</v>
      </c>
      <c r="D160" s="2" t="s">
        <v>279</v>
      </c>
      <c r="E160" s="2" t="s">
        <v>290</v>
      </c>
      <c r="F160" s="4">
        <v>2.0</v>
      </c>
      <c r="H160" s="4">
        <v>2.0</v>
      </c>
      <c r="I160" s="2" t="s">
        <v>25</v>
      </c>
      <c r="J160" s="2" t="s">
        <v>27</v>
      </c>
      <c r="K160" s="2" t="s">
        <v>28</v>
      </c>
    </row>
    <row r="161">
      <c r="A161" s="2" t="s">
        <v>663</v>
      </c>
      <c r="B161" s="3">
        <v>46234.566705798614</v>
      </c>
      <c r="C161" s="2" t="s">
        <v>664</v>
      </c>
      <c r="D161" s="2" t="s">
        <v>665</v>
      </c>
      <c r="E161" s="2" t="s">
        <v>290</v>
      </c>
      <c r="F161" s="4">
        <v>5.0</v>
      </c>
      <c r="H161" s="4">
        <v>0.0</v>
      </c>
      <c r="I161" s="2" t="s">
        <v>77</v>
      </c>
      <c r="J161" s="2" t="s">
        <v>27</v>
      </c>
      <c r="K161" s="2" t="s">
        <v>28</v>
      </c>
    </row>
    <row r="162">
      <c r="A162" s="2" t="s">
        <v>834</v>
      </c>
      <c r="B162" s="3">
        <v>46234.566705798614</v>
      </c>
      <c r="C162" s="2" t="s">
        <v>687</v>
      </c>
      <c r="D162" s="2" t="s">
        <v>689</v>
      </c>
      <c r="E162" s="2" t="s">
        <v>290</v>
      </c>
      <c r="F162" s="4">
        <v>2.0</v>
      </c>
      <c r="H162" s="4">
        <v>3.0</v>
      </c>
      <c r="I162" s="2" t="s">
        <v>25</v>
      </c>
      <c r="J162" s="2" t="s">
        <v>27</v>
      </c>
      <c r="K162" s="2" t="s">
        <v>28</v>
      </c>
    </row>
    <row r="163">
      <c r="A163" s="2" t="s">
        <v>267</v>
      </c>
      <c r="B163" s="3">
        <v>46234.566705798614</v>
      </c>
      <c r="C163" s="2" t="s">
        <v>269</v>
      </c>
      <c r="D163" s="2" t="s">
        <v>270</v>
      </c>
      <c r="E163" s="2" t="s">
        <v>290</v>
      </c>
      <c r="F163" s="4">
        <v>1.0</v>
      </c>
      <c r="H163" s="4">
        <v>0.0</v>
      </c>
      <c r="I163" s="2" t="s">
        <v>77</v>
      </c>
      <c r="J163" s="2" t="s">
        <v>27</v>
      </c>
      <c r="K163" s="2" t="s">
        <v>28</v>
      </c>
    </row>
    <row r="164">
      <c r="A164" s="2" t="s">
        <v>1036</v>
      </c>
      <c r="B164" s="3">
        <v>46234.566705798614</v>
      </c>
      <c r="C164" s="2" t="s">
        <v>147</v>
      </c>
      <c r="D164" s="2" t="s">
        <v>148</v>
      </c>
      <c r="E164" s="2" t="s">
        <v>22</v>
      </c>
      <c r="F164" s="4">
        <v>400.0</v>
      </c>
      <c r="H164" s="4">
        <v>250.0</v>
      </c>
      <c r="I164" s="2" t="s">
        <v>25</v>
      </c>
      <c r="J164" s="2" t="s">
        <v>27</v>
      </c>
      <c r="K164" s="2" t="s">
        <v>28</v>
      </c>
    </row>
    <row r="165">
      <c r="A165" s="2" t="s">
        <v>1038</v>
      </c>
      <c r="B165" s="3">
        <v>46234.566705798614</v>
      </c>
      <c r="C165" s="2" t="s">
        <v>1039</v>
      </c>
      <c r="D165" s="2" t="s">
        <v>1040</v>
      </c>
      <c r="E165" s="2" t="s">
        <v>643</v>
      </c>
      <c r="F165" s="4">
        <v>6.0</v>
      </c>
      <c r="H165" s="4">
        <v>6.0</v>
      </c>
      <c r="I165" s="2" t="s">
        <v>25</v>
      </c>
      <c r="J165" s="2" t="s">
        <v>27</v>
      </c>
      <c r="K165" s="2" t="s">
        <v>28</v>
      </c>
    </row>
    <row r="166">
      <c r="A166" s="2" t="s">
        <v>1041</v>
      </c>
      <c r="B166" s="3">
        <v>46234.566705798614</v>
      </c>
      <c r="C166" s="2" t="s">
        <v>1042</v>
      </c>
      <c r="D166" s="2" t="s">
        <v>1043</v>
      </c>
      <c r="E166" s="2" t="s">
        <v>22</v>
      </c>
      <c r="F166" s="4">
        <v>250.0</v>
      </c>
      <c r="H166" s="4">
        <v>250.0</v>
      </c>
      <c r="I166" s="2" t="s">
        <v>25</v>
      </c>
      <c r="J166" s="2" t="s">
        <v>27</v>
      </c>
      <c r="K166" s="2" t="s">
        <v>28</v>
      </c>
    </row>
    <row r="167">
      <c r="A167" s="2" t="s">
        <v>899</v>
      </c>
      <c r="B167" s="3">
        <v>46234.566705798614</v>
      </c>
      <c r="C167" s="2" t="s">
        <v>901</v>
      </c>
      <c r="D167" s="2" t="s">
        <v>904</v>
      </c>
      <c r="E167" s="2" t="s">
        <v>290</v>
      </c>
      <c r="F167" s="4">
        <v>20.0</v>
      </c>
      <c r="H167" s="4">
        <v>0.0</v>
      </c>
      <c r="I167" s="2" t="s">
        <v>77</v>
      </c>
      <c r="J167" s="2" t="s">
        <v>27</v>
      </c>
      <c r="K167" s="2" t="s">
        <v>28</v>
      </c>
    </row>
    <row r="168">
      <c r="A168" s="2" t="s">
        <v>1044</v>
      </c>
      <c r="B168" s="3">
        <v>46234.566705798614</v>
      </c>
      <c r="C168" s="2" t="s">
        <v>1045</v>
      </c>
      <c r="D168" s="2" t="s">
        <v>1046</v>
      </c>
      <c r="E168" s="2" t="s">
        <v>22</v>
      </c>
      <c r="F168" s="4">
        <v>950.0</v>
      </c>
      <c r="H168" s="4">
        <v>950.0</v>
      </c>
      <c r="I168" s="2" t="s">
        <v>25</v>
      </c>
      <c r="J168" s="2" t="s">
        <v>27</v>
      </c>
      <c r="K168" s="2" t="s">
        <v>28</v>
      </c>
    </row>
    <row r="169">
      <c r="A169" s="2" t="s">
        <v>516</v>
      </c>
      <c r="B169" s="3">
        <v>46234.566705798614</v>
      </c>
      <c r="C169" s="2" t="s">
        <v>517</v>
      </c>
      <c r="D169" s="2" t="s">
        <v>518</v>
      </c>
      <c r="E169" s="2" t="s">
        <v>290</v>
      </c>
      <c r="F169" s="4">
        <v>20.0</v>
      </c>
      <c r="H169" s="4">
        <v>0.0</v>
      </c>
      <c r="I169" s="2" t="s">
        <v>77</v>
      </c>
      <c r="J169" s="2" t="s">
        <v>27</v>
      </c>
      <c r="K169" s="2" t="s">
        <v>28</v>
      </c>
    </row>
    <row r="170">
      <c r="A170" s="2" t="s">
        <v>1047</v>
      </c>
      <c r="B170" s="3">
        <v>46234.566705798614</v>
      </c>
      <c r="C170" s="2" t="s">
        <v>1048</v>
      </c>
      <c r="D170" s="2" t="s">
        <v>1049</v>
      </c>
      <c r="E170" s="2" t="s">
        <v>290</v>
      </c>
      <c r="F170" s="4">
        <v>275.0</v>
      </c>
      <c r="H170" s="4">
        <v>275.0</v>
      </c>
      <c r="I170" s="2" t="s">
        <v>25</v>
      </c>
      <c r="J170" s="2" t="s">
        <v>27</v>
      </c>
      <c r="K170" s="2" t="s">
        <v>28</v>
      </c>
    </row>
    <row r="171">
      <c r="A171" s="2" t="s">
        <v>1050</v>
      </c>
      <c r="B171" s="3">
        <v>46234.566705798614</v>
      </c>
      <c r="C171" s="2" t="s">
        <v>1051</v>
      </c>
      <c r="D171" s="2" t="s">
        <v>1052</v>
      </c>
      <c r="E171" s="2" t="s">
        <v>290</v>
      </c>
      <c r="F171" s="4">
        <v>17.0</v>
      </c>
      <c r="H171" s="4">
        <v>17.0</v>
      </c>
      <c r="I171" s="2" t="s">
        <v>25</v>
      </c>
      <c r="J171" s="2" t="s">
        <v>27</v>
      </c>
      <c r="K171" s="2" t="s">
        <v>28</v>
      </c>
    </row>
    <row r="172">
      <c r="A172" s="2" t="s">
        <v>974</v>
      </c>
      <c r="B172" s="3">
        <v>46234.566705798614</v>
      </c>
      <c r="C172" s="2" t="s">
        <v>975</v>
      </c>
      <c r="D172" s="2" t="s">
        <v>976</v>
      </c>
      <c r="E172" s="2" t="s">
        <v>661</v>
      </c>
      <c r="F172" s="4">
        <v>75.0</v>
      </c>
      <c r="H172" s="4">
        <v>30.0</v>
      </c>
      <c r="I172" s="2" t="s">
        <v>25</v>
      </c>
      <c r="J172" s="2" t="s">
        <v>27</v>
      </c>
      <c r="K172" s="2" t="s">
        <v>28</v>
      </c>
    </row>
    <row r="173">
      <c r="A173" s="2" t="s">
        <v>1054</v>
      </c>
      <c r="B173" s="3">
        <v>46234.566705798614</v>
      </c>
      <c r="C173" s="2" t="s">
        <v>1055</v>
      </c>
      <c r="D173" s="2" t="s">
        <v>1056</v>
      </c>
      <c r="E173" s="2" t="s">
        <v>22</v>
      </c>
      <c r="F173" s="4">
        <v>300.0</v>
      </c>
      <c r="H173" s="4">
        <v>300.0</v>
      </c>
      <c r="I173" s="2" t="s">
        <v>25</v>
      </c>
      <c r="J173" s="2" t="s">
        <v>27</v>
      </c>
      <c r="K173" s="2" t="s">
        <v>28</v>
      </c>
    </row>
    <row r="174">
      <c r="A174" s="2" t="s">
        <v>1057</v>
      </c>
      <c r="B174" s="3">
        <v>46234.566705798614</v>
      </c>
      <c r="C174" s="2" t="s">
        <v>1058</v>
      </c>
      <c r="D174" s="2" t="s">
        <v>1059</v>
      </c>
      <c r="E174" s="2" t="s">
        <v>661</v>
      </c>
      <c r="F174" s="4">
        <v>1.0</v>
      </c>
      <c r="H174" s="4">
        <v>1.0</v>
      </c>
      <c r="I174" s="2" t="s">
        <v>25</v>
      </c>
      <c r="J174" s="2" t="s">
        <v>27</v>
      </c>
      <c r="K174" s="2" t="s">
        <v>28</v>
      </c>
    </row>
    <row r="175">
      <c r="A175" s="2" t="s">
        <v>1060</v>
      </c>
      <c r="B175" s="3">
        <v>46234.566705798614</v>
      </c>
      <c r="C175" s="2" t="s">
        <v>1061</v>
      </c>
      <c r="D175" s="2" t="s">
        <v>1062</v>
      </c>
      <c r="E175" s="2" t="s">
        <v>661</v>
      </c>
      <c r="F175" s="4">
        <v>1.0</v>
      </c>
      <c r="H175" s="4">
        <v>1.0</v>
      </c>
      <c r="I175" s="2" t="s">
        <v>25</v>
      </c>
      <c r="J175" s="2" t="s">
        <v>27</v>
      </c>
      <c r="K175" s="2" t="s">
        <v>28</v>
      </c>
    </row>
    <row r="176">
      <c r="A176" s="2" t="s">
        <v>1063</v>
      </c>
      <c r="B176" s="3">
        <v>46234.566705798614</v>
      </c>
      <c r="C176" s="2" t="s">
        <v>1064</v>
      </c>
      <c r="D176" s="2" t="s">
        <v>1065</v>
      </c>
      <c r="E176" s="2" t="s">
        <v>22</v>
      </c>
      <c r="F176" s="4">
        <v>1500.0</v>
      </c>
      <c r="H176" s="4">
        <v>1500.0</v>
      </c>
      <c r="I176" s="2" t="s">
        <v>25</v>
      </c>
      <c r="J176" s="2" t="s">
        <v>27</v>
      </c>
      <c r="K176" s="2" t="s">
        <v>28</v>
      </c>
    </row>
    <row r="177">
      <c r="A177" s="2" t="s">
        <v>987</v>
      </c>
      <c r="B177" s="3">
        <v>46234.566705798614</v>
      </c>
      <c r="C177" s="2" t="s">
        <v>989</v>
      </c>
      <c r="D177" s="2" t="s">
        <v>991</v>
      </c>
      <c r="E177" s="2" t="s">
        <v>290</v>
      </c>
      <c r="F177" s="4">
        <v>2.0</v>
      </c>
      <c r="H177" s="4">
        <v>0.0</v>
      </c>
      <c r="I177" s="2" t="s">
        <v>77</v>
      </c>
      <c r="J177" s="2" t="s">
        <v>27</v>
      </c>
      <c r="K177" s="2" t="s">
        <v>28</v>
      </c>
    </row>
    <row r="178">
      <c r="A178" s="2" t="s">
        <v>1066</v>
      </c>
      <c r="B178" s="3">
        <v>46234.566705798614</v>
      </c>
      <c r="C178" s="2" t="s">
        <v>1067</v>
      </c>
      <c r="D178" s="2" t="s">
        <v>1068</v>
      </c>
      <c r="E178" s="2" t="s">
        <v>661</v>
      </c>
      <c r="F178" s="4">
        <v>10.0</v>
      </c>
      <c r="H178" s="4">
        <v>10.0</v>
      </c>
      <c r="I178" s="2" t="s">
        <v>25</v>
      </c>
      <c r="J178" s="2" t="s">
        <v>27</v>
      </c>
      <c r="K178" s="2" t="s">
        <v>28</v>
      </c>
    </row>
    <row r="179">
      <c r="A179" s="2" t="s">
        <v>1070</v>
      </c>
      <c r="B179" s="3">
        <v>46234.566705798614</v>
      </c>
      <c r="C179" s="2" t="s">
        <v>1071</v>
      </c>
      <c r="D179" s="2" t="s">
        <v>1072</v>
      </c>
      <c r="E179" s="2" t="s">
        <v>22</v>
      </c>
      <c r="F179" s="4">
        <v>200.0</v>
      </c>
      <c r="H179" s="4">
        <v>200.0</v>
      </c>
      <c r="I179" s="2" t="s">
        <v>25</v>
      </c>
      <c r="J179" s="2" t="s">
        <v>27</v>
      </c>
      <c r="K179" s="2" t="s">
        <v>28</v>
      </c>
    </row>
    <row r="180">
      <c r="A180" s="2" t="s">
        <v>1073</v>
      </c>
      <c r="B180" s="3">
        <v>46234.566705798614</v>
      </c>
      <c r="C180" s="2" t="s">
        <v>1074</v>
      </c>
      <c r="D180" s="2" t="s">
        <v>1075</v>
      </c>
      <c r="E180" s="2" t="s">
        <v>22</v>
      </c>
      <c r="F180" s="4">
        <v>300.0</v>
      </c>
      <c r="H180" s="4">
        <v>300.0</v>
      </c>
      <c r="I180" s="2" t="s">
        <v>25</v>
      </c>
      <c r="J180" s="2" t="s">
        <v>27</v>
      </c>
      <c r="K180" s="2" t="s">
        <v>28</v>
      </c>
    </row>
    <row r="181">
      <c r="A181" s="2" t="s">
        <v>1076</v>
      </c>
      <c r="B181" s="3">
        <v>46234.566705798614</v>
      </c>
      <c r="C181" s="2" t="s">
        <v>1077</v>
      </c>
      <c r="D181" s="2" t="s">
        <v>1078</v>
      </c>
      <c r="E181" s="2" t="s">
        <v>22</v>
      </c>
      <c r="F181" s="4">
        <v>1080.0</v>
      </c>
      <c r="H181" s="4">
        <v>1080.0</v>
      </c>
      <c r="I181" s="2" t="s">
        <v>25</v>
      </c>
      <c r="J181" s="2" t="s">
        <v>27</v>
      </c>
      <c r="K181" s="2" t="s">
        <v>28</v>
      </c>
    </row>
    <row r="182">
      <c r="A182" s="2" t="s">
        <v>1079</v>
      </c>
      <c r="B182" s="3">
        <v>46234.566705798614</v>
      </c>
      <c r="C182" s="2" t="s">
        <v>1080</v>
      </c>
      <c r="D182" s="2" t="s">
        <v>1081</v>
      </c>
      <c r="E182" s="2" t="s">
        <v>290</v>
      </c>
      <c r="F182" s="4">
        <v>110.0</v>
      </c>
      <c r="H182" s="4">
        <v>110.0</v>
      </c>
      <c r="I182" s="2" t="s">
        <v>25</v>
      </c>
      <c r="J182" s="2" t="s">
        <v>27</v>
      </c>
      <c r="K182" s="2" t="s">
        <v>28</v>
      </c>
    </row>
    <row r="183">
      <c r="A183" s="2" t="s">
        <v>726</v>
      </c>
      <c r="B183" s="3">
        <v>46234.566705798614</v>
      </c>
      <c r="C183" s="2" t="s">
        <v>728</v>
      </c>
      <c r="D183" s="2" t="s">
        <v>729</v>
      </c>
      <c r="E183" s="2" t="s">
        <v>661</v>
      </c>
      <c r="F183" s="4">
        <v>10.0</v>
      </c>
      <c r="H183" s="4">
        <v>5.0</v>
      </c>
      <c r="I183" s="2" t="s">
        <v>25</v>
      </c>
      <c r="J183" s="2" t="s">
        <v>27</v>
      </c>
      <c r="K183" s="2" t="s">
        <v>28</v>
      </c>
    </row>
    <row r="184">
      <c r="A184" s="2" t="s">
        <v>1082</v>
      </c>
      <c r="B184" s="3">
        <v>46234.566705798614</v>
      </c>
      <c r="C184" s="2" t="s">
        <v>733</v>
      </c>
      <c r="D184" s="2" t="s">
        <v>739</v>
      </c>
      <c r="E184" s="2" t="s">
        <v>661</v>
      </c>
      <c r="F184" s="4">
        <v>3.0</v>
      </c>
      <c r="H184" s="4">
        <v>3.0</v>
      </c>
      <c r="I184" s="2" t="s">
        <v>25</v>
      </c>
      <c r="J184" s="2" t="s">
        <v>27</v>
      </c>
      <c r="K184" s="2" t="s">
        <v>28</v>
      </c>
    </row>
    <row r="185">
      <c r="A185" s="2" t="s">
        <v>44</v>
      </c>
      <c r="B185" s="3">
        <v>46234.566705798614</v>
      </c>
      <c r="C185" s="2" t="s">
        <v>45</v>
      </c>
      <c r="D185" s="2" t="s">
        <v>47</v>
      </c>
      <c r="E185" s="2" t="s">
        <v>661</v>
      </c>
      <c r="F185" s="4">
        <v>2.0</v>
      </c>
      <c r="H185" s="4">
        <v>0.0</v>
      </c>
      <c r="I185" s="2" t="s">
        <v>77</v>
      </c>
      <c r="J185" s="2" t="s">
        <v>27</v>
      </c>
      <c r="K185" s="2" t="s">
        <v>28</v>
      </c>
    </row>
    <row r="186">
      <c r="A186" s="2" t="s">
        <v>1083</v>
      </c>
      <c r="B186" s="3">
        <v>46234.566705798614</v>
      </c>
      <c r="C186" s="2" t="s">
        <v>1085</v>
      </c>
      <c r="D186" s="2" t="s">
        <v>1086</v>
      </c>
      <c r="E186" s="2" t="s">
        <v>661</v>
      </c>
      <c r="F186" s="4">
        <v>15800.0</v>
      </c>
      <c r="H186" s="4">
        <v>15800.0</v>
      </c>
      <c r="I186" s="2" t="s">
        <v>25</v>
      </c>
      <c r="J186" s="2" t="s">
        <v>27</v>
      </c>
      <c r="K186" s="2" t="s">
        <v>28</v>
      </c>
    </row>
    <row r="187">
      <c r="A187" s="2" t="s">
        <v>1087</v>
      </c>
      <c r="B187" s="3">
        <v>46234.566705798614</v>
      </c>
      <c r="C187" s="2" t="s">
        <v>1088</v>
      </c>
      <c r="D187" s="2" t="s">
        <v>1089</v>
      </c>
      <c r="E187" s="2" t="s">
        <v>22</v>
      </c>
      <c r="F187" s="4">
        <v>200.0</v>
      </c>
      <c r="H187" s="4">
        <v>200.0</v>
      </c>
      <c r="I187" s="2" t="s">
        <v>25</v>
      </c>
      <c r="J187" s="2" t="s">
        <v>27</v>
      </c>
      <c r="K187" s="2" t="s">
        <v>28</v>
      </c>
    </row>
    <row r="188">
      <c r="A188" s="2" t="s">
        <v>1090</v>
      </c>
      <c r="B188" s="3">
        <v>46234.566705798614</v>
      </c>
      <c r="C188" s="2" t="s">
        <v>1091</v>
      </c>
      <c r="D188" s="2" t="s">
        <v>1092</v>
      </c>
      <c r="E188" s="2" t="s">
        <v>22</v>
      </c>
      <c r="F188" s="4">
        <v>52.0</v>
      </c>
      <c r="H188" s="4">
        <v>52.0</v>
      </c>
      <c r="I188" s="2" t="s">
        <v>25</v>
      </c>
      <c r="J188" s="2" t="s">
        <v>27</v>
      </c>
      <c r="K188" s="2" t="s">
        <v>28</v>
      </c>
    </row>
    <row r="189">
      <c r="A189" s="2" t="s">
        <v>1093</v>
      </c>
      <c r="B189" s="3">
        <v>46234.566705798614</v>
      </c>
      <c r="C189" s="2" t="s">
        <v>872</v>
      </c>
      <c r="D189" s="2" t="s">
        <v>873</v>
      </c>
      <c r="E189" s="2" t="s">
        <v>22</v>
      </c>
      <c r="F189" s="4">
        <v>800.0</v>
      </c>
      <c r="H189" s="4">
        <v>800.0</v>
      </c>
      <c r="I189" s="2" t="s">
        <v>25</v>
      </c>
      <c r="J189" s="2" t="s">
        <v>27</v>
      </c>
      <c r="K189" s="2" t="s">
        <v>28</v>
      </c>
    </row>
    <row r="190">
      <c r="A190" s="2" t="s">
        <v>1094</v>
      </c>
      <c r="B190" s="3">
        <v>46234.566705798614</v>
      </c>
      <c r="C190" s="2" t="s">
        <v>1095</v>
      </c>
      <c r="D190" s="2" t="s">
        <v>1096</v>
      </c>
      <c r="E190" s="2" t="s">
        <v>290</v>
      </c>
      <c r="F190" s="4">
        <v>1.0</v>
      </c>
      <c r="H190" s="4">
        <v>1.0</v>
      </c>
      <c r="I190" s="2" t="s">
        <v>25</v>
      </c>
      <c r="J190" s="2" t="s">
        <v>27</v>
      </c>
      <c r="K190" s="2" t="s">
        <v>28</v>
      </c>
    </row>
    <row r="191">
      <c r="A191" s="2" t="s">
        <v>1097</v>
      </c>
      <c r="B191" s="3">
        <v>46234.566705798614</v>
      </c>
      <c r="C191" s="2" t="s">
        <v>1098</v>
      </c>
      <c r="D191" s="2" t="s">
        <v>1099</v>
      </c>
      <c r="E191" s="2" t="s">
        <v>22</v>
      </c>
      <c r="F191" s="4">
        <v>600.0</v>
      </c>
      <c r="H191" s="4">
        <v>600.0</v>
      </c>
      <c r="I191" s="2" t="s">
        <v>25</v>
      </c>
      <c r="J191" s="2" t="s">
        <v>27</v>
      </c>
      <c r="K191" s="2" t="s">
        <v>28</v>
      </c>
    </row>
    <row r="192">
      <c r="A192" s="2" t="s">
        <v>1100</v>
      </c>
      <c r="B192" s="3">
        <v>46234.566705798614</v>
      </c>
      <c r="C192" s="2" t="s">
        <v>1101</v>
      </c>
      <c r="D192" s="2" t="s">
        <v>1102</v>
      </c>
      <c r="E192" s="2" t="s">
        <v>22</v>
      </c>
      <c r="F192" s="4">
        <v>864.0</v>
      </c>
      <c r="H192" s="4">
        <v>864.0</v>
      </c>
      <c r="I192" s="2" t="s">
        <v>25</v>
      </c>
      <c r="J192" s="2" t="s">
        <v>27</v>
      </c>
      <c r="K192" s="2" t="s">
        <v>28</v>
      </c>
    </row>
    <row r="193">
      <c r="A193" s="2" t="s">
        <v>1103</v>
      </c>
      <c r="B193" s="3">
        <v>46234.566705798614</v>
      </c>
      <c r="C193" s="2" t="s">
        <v>1104</v>
      </c>
      <c r="D193" s="2" t="s">
        <v>1106</v>
      </c>
      <c r="E193" s="2" t="s">
        <v>22</v>
      </c>
      <c r="F193" s="4">
        <v>4500.0</v>
      </c>
      <c r="H193" s="4">
        <v>4500.0</v>
      </c>
      <c r="I193" s="2" t="s">
        <v>25</v>
      </c>
      <c r="J193" s="2" t="s">
        <v>27</v>
      </c>
      <c r="K193" s="2" t="s">
        <v>28</v>
      </c>
    </row>
    <row r="194">
      <c r="A194" s="2" t="s">
        <v>1107</v>
      </c>
      <c r="B194" s="3">
        <v>46234.566705798614</v>
      </c>
      <c r="C194" s="2" t="s">
        <v>1108</v>
      </c>
      <c r="D194" s="2" t="s">
        <v>1109</v>
      </c>
      <c r="E194" s="2" t="s">
        <v>22</v>
      </c>
      <c r="F194" s="4">
        <v>144.0</v>
      </c>
      <c r="H194" s="4">
        <v>144.0</v>
      </c>
      <c r="I194" s="2" t="s">
        <v>25</v>
      </c>
      <c r="J194" s="2" t="s">
        <v>27</v>
      </c>
      <c r="K194" s="2" t="s">
        <v>28</v>
      </c>
    </row>
    <row r="195">
      <c r="A195" s="2" t="s">
        <v>1110</v>
      </c>
      <c r="B195" s="3">
        <v>46234.566705798614</v>
      </c>
      <c r="C195" s="2" t="s">
        <v>1111</v>
      </c>
      <c r="D195" s="2" t="s">
        <v>1112</v>
      </c>
      <c r="E195" s="2" t="s">
        <v>22</v>
      </c>
      <c r="F195" s="4">
        <v>1152.0</v>
      </c>
      <c r="H195" s="4">
        <v>1152.0</v>
      </c>
      <c r="I195" s="2" t="s">
        <v>25</v>
      </c>
      <c r="J195" s="2" t="s">
        <v>27</v>
      </c>
      <c r="K195" s="2" t="s">
        <v>28</v>
      </c>
    </row>
    <row r="196">
      <c r="A196" s="2" t="s">
        <v>1113</v>
      </c>
      <c r="B196" s="3">
        <v>46234.566705798614</v>
      </c>
      <c r="C196" s="2" t="s">
        <v>1114</v>
      </c>
      <c r="D196" s="2" t="s">
        <v>1115</v>
      </c>
      <c r="E196" s="2" t="s">
        <v>22</v>
      </c>
      <c r="F196" s="4">
        <v>600.0</v>
      </c>
      <c r="H196" s="4">
        <v>600.0</v>
      </c>
      <c r="I196" s="2" t="s">
        <v>25</v>
      </c>
      <c r="J196" s="2" t="s">
        <v>27</v>
      </c>
      <c r="K196" s="2" t="s">
        <v>28</v>
      </c>
    </row>
    <row r="197">
      <c r="A197" s="2" t="s">
        <v>1116</v>
      </c>
      <c r="B197" s="3">
        <v>46234.566705798614</v>
      </c>
      <c r="C197" s="2" t="s">
        <v>1117</v>
      </c>
      <c r="D197" s="2" t="s">
        <v>1118</v>
      </c>
      <c r="E197" s="2" t="s">
        <v>22</v>
      </c>
      <c r="F197" s="4">
        <v>800.0</v>
      </c>
      <c r="H197" s="4">
        <v>800.0</v>
      </c>
      <c r="I197" s="2" t="s">
        <v>25</v>
      </c>
      <c r="J197" s="2" t="s">
        <v>27</v>
      </c>
      <c r="K197" s="2" t="s">
        <v>28</v>
      </c>
    </row>
    <row r="198">
      <c r="A198" s="2" t="s">
        <v>1119</v>
      </c>
      <c r="B198" s="3">
        <v>46234.566705798614</v>
      </c>
      <c r="C198" s="2" t="s">
        <v>1120</v>
      </c>
      <c r="D198" s="2" t="s">
        <v>1121</v>
      </c>
      <c r="E198" s="2" t="s">
        <v>616</v>
      </c>
      <c r="F198" s="4">
        <v>0.95</v>
      </c>
      <c r="H198" s="4">
        <v>0.95</v>
      </c>
      <c r="I198" s="2" t="s">
        <v>25</v>
      </c>
      <c r="J198" s="2" t="s">
        <v>27</v>
      </c>
      <c r="K198" s="2" t="s">
        <v>28</v>
      </c>
    </row>
    <row r="199">
      <c r="A199" s="2" t="s">
        <v>1123</v>
      </c>
      <c r="B199" s="3">
        <v>46234.566705798614</v>
      </c>
      <c r="C199" s="2" t="s">
        <v>1124</v>
      </c>
      <c r="D199" s="2" t="s">
        <v>1125</v>
      </c>
      <c r="E199" s="2" t="s">
        <v>661</v>
      </c>
      <c r="F199" s="4">
        <v>80.0</v>
      </c>
      <c r="H199" s="4">
        <v>80.0</v>
      </c>
      <c r="I199" s="2" t="s">
        <v>25</v>
      </c>
      <c r="J199" s="2" t="s">
        <v>27</v>
      </c>
      <c r="K199" s="2" t="s">
        <v>28</v>
      </c>
    </row>
    <row r="200">
      <c r="A200" s="2" t="s">
        <v>1126</v>
      </c>
      <c r="B200" s="3">
        <v>46234.566705798614</v>
      </c>
      <c r="C200" s="2" t="s">
        <v>1127</v>
      </c>
      <c r="D200" s="2" t="s">
        <v>1128</v>
      </c>
      <c r="E200" s="2" t="s">
        <v>661</v>
      </c>
      <c r="F200" s="4">
        <v>180.0</v>
      </c>
      <c r="H200" s="4">
        <v>180.0</v>
      </c>
      <c r="I200" s="2" t="s">
        <v>25</v>
      </c>
      <c r="J200" s="2" t="s">
        <v>27</v>
      </c>
      <c r="K200" s="2" t="s">
        <v>28</v>
      </c>
    </row>
    <row r="201">
      <c r="A201" s="2" t="s">
        <v>1129</v>
      </c>
      <c r="B201" s="3">
        <v>46234.566705798614</v>
      </c>
      <c r="C201" s="2" t="s">
        <v>1130</v>
      </c>
      <c r="D201" s="2" t="s">
        <v>1131</v>
      </c>
      <c r="E201" s="2" t="s">
        <v>290</v>
      </c>
      <c r="F201" s="4">
        <v>3.0</v>
      </c>
      <c r="H201" s="4">
        <v>3.0</v>
      </c>
      <c r="I201" s="2" t="s">
        <v>25</v>
      </c>
      <c r="J201" s="2" t="s">
        <v>27</v>
      </c>
      <c r="K201" s="2" t="s">
        <v>28</v>
      </c>
    </row>
    <row r="202">
      <c r="A202" s="2" t="s">
        <v>1132</v>
      </c>
      <c r="B202" s="3">
        <v>46234.566705798614</v>
      </c>
      <c r="C202" s="2" t="s">
        <v>1133</v>
      </c>
      <c r="D202" s="2" t="s">
        <v>1134</v>
      </c>
      <c r="E202" s="2" t="s">
        <v>643</v>
      </c>
      <c r="F202" s="4">
        <v>2.0</v>
      </c>
      <c r="H202" s="4">
        <v>2.0</v>
      </c>
      <c r="I202" s="2" t="s">
        <v>25</v>
      </c>
      <c r="J202" s="2" t="s">
        <v>27</v>
      </c>
      <c r="K202" s="2" t="s">
        <v>28</v>
      </c>
    </row>
    <row r="203">
      <c r="A203" s="2" t="s">
        <v>1135</v>
      </c>
      <c r="B203" s="3">
        <v>46234.566705798614</v>
      </c>
      <c r="C203" s="2" t="s">
        <v>1136</v>
      </c>
      <c r="D203" s="2" t="s">
        <v>1137</v>
      </c>
      <c r="E203" s="2" t="s">
        <v>290</v>
      </c>
      <c r="F203" s="4">
        <v>2.0</v>
      </c>
      <c r="H203" s="4">
        <v>2.0</v>
      </c>
      <c r="I203" s="2" t="s">
        <v>25</v>
      </c>
      <c r="J203" s="2" t="s">
        <v>27</v>
      </c>
      <c r="K203" s="2" t="s">
        <v>28</v>
      </c>
    </row>
    <row r="204">
      <c r="A204" s="2" t="s">
        <v>1139</v>
      </c>
      <c r="B204" s="3">
        <v>46234.566705798614</v>
      </c>
      <c r="C204" s="2" t="s">
        <v>1141</v>
      </c>
      <c r="D204" s="2" t="s">
        <v>1143</v>
      </c>
      <c r="E204" s="2" t="s">
        <v>22</v>
      </c>
      <c r="F204" s="4">
        <v>1440.0</v>
      </c>
      <c r="H204" s="4">
        <v>1440.0</v>
      </c>
      <c r="I204" s="2" t="s">
        <v>25</v>
      </c>
      <c r="J204" s="2" t="s">
        <v>27</v>
      </c>
      <c r="K204" s="2" t="s">
        <v>28</v>
      </c>
    </row>
    <row r="205">
      <c r="A205" s="2" t="s">
        <v>1147</v>
      </c>
      <c r="B205" s="3">
        <v>46234.566705798614</v>
      </c>
      <c r="C205" s="2" t="s">
        <v>308</v>
      </c>
      <c r="D205" s="2" t="s">
        <v>309</v>
      </c>
      <c r="E205" s="2" t="s">
        <v>22</v>
      </c>
      <c r="F205" s="4">
        <v>1000.0</v>
      </c>
      <c r="H205" s="4">
        <v>1000.0</v>
      </c>
      <c r="I205" s="2" t="s">
        <v>25</v>
      </c>
      <c r="J205" s="2" t="s">
        <v>27</v>
      </c>
      <c r="K205" s="2" t="s">
        <v>28</v>
      </c>
    </row>
    <row r="206">
      <c r="A206" s="2" t="s">
        <v>1150</v>
      </c>
      <c r="B206" s="3">
        <v>46234.566705798614</v>
      </c>
      <c r="C206" s="2" t="s">
        <v>1151</v>
      </c>
      <c r="D206" s="2" t="s">
        <v>1152</v>
      </c>
      <c r="E206" s="2" t="s">
        <v>22</v>
      </c>
      <c r="F206" s="4">
        <v>1296.0</v>
      </c>
      <c r="H206" s="4">
        <v>1296.0</v>
      </c>
      <c r="I206" s="2" t="s">
        <v>25</v>
      </c>
      <c r="J206" s="2" t="s">
        <v>27</v>
      </c>
      <c r="K206" s="2" t="s">
        <v>28</v>
      </c>
    </row>
    <row r="207">
      <c r="A207" s="2" t="s">
        <v>1153</v>
      </c>
      <c r="B207" s="3">
        <v>46234.566705798614</v>
      </c>
      <c r="C207" s="2" t="s">
        <v>1154</v>
      </c>
      <c r="D207" s="2" t="s">
        <v>1155</v>
      </c>
      <c r="E207" s="2" t="s">
        <v>22</v>
      </c>
      <c r="F207" s="4">
        <v>1296.0</v>
      </c>
      <c r="H207" s="4">
        <v>1296.0</v>
      </c>
      <c r="I207" s="2" t="s">
        <v>25</v>
      </c>
      <c r="J207" s="2" t="s">
        <v>27</v>
      </c>
      <c r="K207" s="2" t="s">
        <v>28</v>
      </c>
    </row>
    <row r="208">
      <c r="A208" s="2" t="s">
        <v>1157</v>
      </c>
      <c r="B208" s="3">
        <v>46234.566705798614</v>
      </c>
      <c r="C208" s="2" t="s">
        <v>1158</v>
      </c>
      <c r="D208" s="2" t="s">
        <v>1159</v>
      </c>
      <c r="E208" s="2" t="s">
        <v>22</v>
      </c>
      <c r="F208" s="4">
        <v>300.0</v>
      </c>
      <c r="H208" s="4">
        <v>300.0</v>
      </c>
      <c r="I208" s="2" t="s">
        <v>25</v>
      </c>
      <c r="J208" s="2" t="s">
        <v>27</v>
      </c>
      <c r="K208" s="2" t="s">
        <v>28</v>
      </c>
    </row>
    <row r="209">
      <c r="A209" s="2" t="s">
        <v>1160</v>
      </c>
      <c r="B209" s="3">
        <v>46234.566705798614</v>
      </c>
      <c r="C209" s="2" t="s">
        <v>1161</v>
      </c>
      <c r="D209" s="2" t="s">
        <v>1112</v>
      </c>
      <c r="E209" s="2" t="s">
        <v>22</v>
      </c>
      <c r="F209" s="4">
        <v>1800.0</v>
      </c>
      <c r="H209" s="4">
        <v>1800.0</v>
      </c>
      <c r="I209" s="2" t="s">
        <v>25</v>
      </c>
      <c r="J209" s="2" t="s">
        <v>27</v>
      </c>
      <c r="K209" s="2" t="s">
        <v>28</v>
      </c>
    </row>
    <row r="210">
      <c r="A210" s="2" t="s">
        <v>1162</v>
      </c>
      <c r="B210" s="3">
        <v>46234.566705798614</v>
      </c>
      <c r="C210" s="2" t="s">
        <v>1163</v>
      </c>
      <c r="D210" s="2" t="s">
        <v>1164</v>
      </c>
      <c r="E210" s="2" t="s">
        <v>22</v>
      </c>
      <c r="F210" s="4">
        <v>75.0</v>
      </c>
      <c r="H210" s="4">
        <v>75.0</v>
      </c>
      <c r="I210" s="2" t="s">
        <v>25</v>
      </c>
      <c r="J210" s="2" t="s">
        <v>27</v>
      </c>
      <c r="K210" s="2" t="s">
        <v>28</v>
      </c>
    </row>
    <row r="211">
      <c r="A211" s="2" t="s">
        <v>1169</v>
      </c>
      <c r="B211" s="3">
        <v>46234.566705798614</v>
      </c>
      <c r="C211" s="2" t="s">
        <v>1170</v>
      </c>
      <c r="D211" s="2" t="s">
        <v>1172</v>
      </c>
      <c r="E211" s="2" t="s">
        <v>22</v>
      </c>
      <c r="F211" s="4">
        <v>2060.0</v>
      </c>
      <c r="H211" s="4">
        <v>2060.0</v>
      </c>
      <c r="I211" s="2" t="s">
        <v>25</v>
      </c>
      <c r="J211" s="2" t="s">
        <v>27</v>
      </c>
      <c r="K211" s="2" t="s">
        <v>28</v>
      </c>
    </row>
    <row r="212">
      <c r="A212" s="2" t="s">
        <v>1178</v>
      </c>
      <c r="B212" s="3">
        <v>46234.566705798614</v>
      </c>
      <c r="C212" s="2" t="s">
        <v>1180</v>
      </c>
      <c r="D212" s="2" t="s">
        <v>1181</v>
      </c>
      <c r="E212" s="2" t="s">
        <v>22</v>
      </c>
      <c r="F212" s="4">
        <v>300.0</v>
      </c>
      <c r="H212" s="4">
        <v>300.0</v>
      </c>
      <c r="I212" s="2" t="s">
        <v>25</v>
      </c>
      <c r="J212" s="2" t="s">
        <v>27</v>
      </c>
      <c r="K212" s="2" t="s">
        <v>28</v>
      </c>
    </row>
    <row r="213">
      <c r="A213" s="2" t="s">
        <v>1182</v>
      </c>
      <c r="B213" s="3">
        <v>46234.566705798614</v>
      </c>
      <c r="C213" s="2" t="s">
        <v>1183</v>
      </c>
      <c r="D213" s="2" t="s">
        <v>1184</v>
      </c>
      <c r="E213" s="2" t="s">
        <v>22</v>
      </c>
      <c r="F213" s="4">
        <v>100.0</v>
      </c>
      <c r="H213" s="4">
        <v>100.0</v>
      </c>
      <c r="I213" s="2" t="s">
        <v>25</v>
      </c>
      <c r="J213" s="2" t="s">
        <v>27</v>
      </c>
      <c r="K213" s="2" t="s">
        <v>28</v>
      </c>
    </row>
    <row r="214">
      <c r="A214" s="2" t="s">
        <v>1186</v>
      </c>
      <c r="B214" s="3">
        <v>46234.566705798614</v>
      </c>
      <c r="C214" s="2" t="s">
        <v>123</v>
      </c>
      <c r="D214" s="2" t="s">
        <v>124</v>
      </c>
      <c r="E214" s="2" t="s">
        <v>22</v>
      </c>
      <c r="F214" s="4">
        <v>2000.0</v>
      </c>
      <c r="H214" s="4">
        <v>2000.0</v>
      </c>
      <c r="I214" s="2" t="s">
        <v>25</v>
      </c>
      <c r="J214" s="2" t="s">
        <v>27</v>
      </c>
      <c r="K214" s="2" t="s">
        <v>28</v>
      </c>
    </row>
    <row r="215">
      <c r="A215" s="2" t="s">
        <v>1190</v>
      </c>
      <c r="B215" s="3">
        <v>46234.566705798614</v>
      </c>
      <c r="C215" s="2" t="s">
        <v>1191</v>
      </c>
      <c r="D215" s="2" t="s">
        <v>1192</v>
      </c>
      <c r="E215" s="2" t="s">
        <v>290</v>
      </c>
      <c r="F215" s="4">
        <v>2.0</v>
      </c>
      <c r="H215" s="4">
        <v>2.0</v>
      </c>
      <c r="I215" s="2" t="s">
        <v>25</v>
      </c>
      <c r="J215" s="2" t="s">
        <v>27</v>
      </c>
      <c r="K215" s="2" t="s">
        <v>28</v>
      </c>
    </row>
    <row r="216">
      <c r="A216" s="2" t="s">
        <v>1193</v>
      </c>
      <c r="B216" s="3">
        <v>46234.566705798614</v>
      </c>
      <c r="C216" s="2" t="s">
        <v>1195</v>
      </c>
      <c r="D216" s="2" t="s">
        <v>1196</v>
      </c>
      <c r="E216" s="2" t="s">
        <v>290</v>
      </c>
      <c r="F216" s="4">
        <v>2.0</v>
      </c>
      <c r="H216" s="4">
        <v>2.0</v>
      </c>
      <c r="I216" s="2" t="s">
        <v>25</v>
      </c>
      <c r="J216" s="2" t="s">
        <v>27</v>
      </c>
      <c r="K216" s="2" t="s">
        <v>28</v>
      </c>
    </row>
    <row r="217">
      <c r="A217" s="2" t="s">
        <v>1199</v>
      </c>
      <c r="B217" s="3">
        <v>46234.566705798614</v>
      </c>
      <c r="C217" s="2" t="s">
        <v>1200</v>
      </c>
      <c r="D217" s="2" t="s">
        <v>1201</v>
      </c>
      <c r="E217" s="2" t="s">
        <v>661</v>
      </c>
      <c r="F217" s="4">
        <v>2.0</v>
      </c>
      <c r="H217" s="4">
        <v>2.0</v>
      </c>
      <c r="I217" s="2" t="s">
        <v>25</v>
      </c>
      <c r="J217" s="2" t="s">
        <v>27</v>
      </c>
      <c r="K217" s="2" t="s">
        <v>28</v>
      </c>
    </row>
    <row r="218">
      <c r="A218" s="2" t="s">
        <v>1207</v>
      </c>
      <c r="B218" s="3">
        <v>46234.566705798614</v>
      </c>
      <c r="C218" s="2" t="s">
        <v>1208</v>
      </c>
      <c r="D218" s="2" t="s">
        <v>1210</v>
      </c>
      <c r="E218" s="2" t="s">
        <v>22</v>
      </c>
      <c r="F218" s="4">
        <v>100.0</v>
      </c>
      <c r="H218" s="4">
        <v>100.0</v>
      </c>
      <c r="I218" s="2" t="s">
        <v>25</v>
      </c>
      <c r="J218" s="2" t="s">
        <v>27</v>
      </c>
      <c r="K218" s="2" t="s">
        <v>28</v>
      </c>
    </row>
    <row r="219">
      <c r="A219" s="2" t="s">
        <v>1211</v>
      </c>
      <c r="B219" s="3">
        <v>46234.566705798614</v>
      </c>
      <c r="C219" s="2" t="s">
        <v>1212</v>
      </c>
      <c r="D219" s="2" t="s">
        <v>1213</v>
      </c>
      <c r="E219" s="2" t="s">
        <v>22</v>
      </c>
      <c r="F219" s="4">
        <v>100.0</v>
      </c>
      <c r="H219" s="4">
        <v>100.0</v>
      </c>
      <c r="I219" s="2" t="s">
        <v>25</v>
      </c>
      <c r="J219" s="2" t="s">
        <v>27</v>
      </c>
      <c r="K219" s="2" t="s">
        <v>28</v>
      </c>
    </row>
    <row r="220">
      <c r="A220" s="2" t="s">
        <v>759</v>
      </c>
      <c r="B220" s="3">
        <v>46234.566705798614</v>
      </c>
      <c r="C220" s="2" t="s">
        <v>760</v>
      </c>
      <c r="D220" s="2" t="s">
        <v>762</v>
      </c>
      <c r="E220" s="2" t="s">
        <v>22</v>
      </c>
      <c r="F220" s="4">
        <v>2500.0</v>
      </c>
      <c r="H220" s="4">
        <v>0.0</v>
      </c>
      <c r="I220" s="2" t="s">
        <v>77</v>
      </c>
      <c r="J220" s="2" t="s">
        <v>27</v>
      </c>
      <c r="K220" s="2" t="s">
        <v>28</v>
      </c>
    </row>
    <row r="221">
      <c r="A221" s="2" t="s">
        <v>1214</v>
      </c>
      <c r="B221" s="3">
        <v>46234.566705798614</v>
      </c>
      <c r="C221" s="2" t="s">
        <v>1215</v>
      </c>
      <c r="D221" s="2" t="s">
        <v>1216</v>
      </c>
      <c r="E221" s="2" t="s">
        <v>661</v>
      </c>
      <c r="F221" s="4">
        <v>2.0</v>
      </c>
      <c r="H221" s="4">
        <v>2.0</v>
      </c>
      <c r="I221" s="2" t="s">
        <v>25</v>
      </c>
      <c r="J221" s="2" t="s">
        <v>27</v>
      </c>
      <c r="K221" s="2" t="s">
        <v>28</v>
      </c>
    </row>
    <row r="222">
      <c r="A222" s="2" t="s">
        <v>1219</v>
      </c>
      <c r="B222" s="3">
        <v>46234.566705798614</v>
      </c>
      <c r="C222" s="2" t="s">
        <v>1221</v>
      </c>
      <c r="D222" s="2" t="s">
        <v>1222</v>
      </c>
      <c r="E222" s="2" t="s">
        <v>661</v>
      </c>
      <c r="F222" s="4">
        <v>2.0</v>
      </c>
      <c r="H222" s="4">
        <v>2.0</v>
      </c>
      <c r="I222" s="2" t="s">
        <v>25</v>
      </c>
      <c r="J222" s="2" t="s">
        <v>27</v>
      </c>
      <c r="K222" s="2" t="s">
        <v>28</v>
      </c>
    </row>
    <row r="223">
      <c r="A223" s="2" t="s">
        <v>1223</v>
      </c>
      <c r="B223" s="3">
        <v>46234.566705798614</v>
      </c>
      <c r="C223" s="2" t="s">
        <v>1224</v>
      </c>
      <c r="D223" s="2" t="s">
        <v>1226</v>
      </c>
      <c r="E223" s="2" t="s">
        <v>22</v>
      </c>
      <c r="F223" s="4">
        <v>4700.0</v>
      </c>
      <c r="H223" s="4">
        <v>4700.0</v>
      </c>
      <c r="I223" s="2" t="s">
        <v>25</v>
      </c>
      <c r="J223" s="2" t="s">
        <v>27</v>
      </c>
      <c r="K223" s="2" t="s">
        <v>28</v>
      </c>
    </row>
    <row r="224">
      <c r="A224" s="2" t="s">
        <v>1228</v>
      </c>
      <c r="B224" s="3">
        <v>46234.566705798614</v>
      </c>
      <c r="C224" s="2" t="s">
        <v>854</v>
      </c>
      <c r="D224" s="2" t="s">
        <v>855</v>
      </c>
      <c r="E224" s="2" t="s">
        <v>22</v>
      </c>
      <c r="F224" s="4">
        <v>300.0</v>
      </c>
      <c r="H224" s="4">
        <v>300.0</v>
      </c>
      <c r="I224" s="2" t="s">
        <v>25</v>
      </c>
      <c r="J224" s="2" t="s">
        <v>27</v>
      </c>
      <c r="K224" s="2" t="s">
        <v>28</v>
      </c>
    </row>
    <row r="225">
      <c r="A225" s="2" t="s">
        <v>1229</v>
      </c>
      <c r="B225" s="3">
        <v>46234.566705798614</v>
      </c>
      <c r="C225" s="2" t="s">
        <v>1230</v>
      </c>
      <c r="D225" s="2" t="s">
        <v>1231</v>
      </c>
      <c r="E225" s="2" t="s">
        <v>661</v>
      </c>
      <c r="F225" s="4">
        <v>48.0</v>
      </c>
      <c r="H225" s="4">
        <v>48.0</v>
      </c>
      <c r="I225" s="2" t="s">
        <v>25</v>
      </c>
      <c r="J225" s="2" t="s">
        <v>27</v>
      </c>
      <c r="K225" s="2" t="s">
        <v>28</v>
      </c>
    </row>
    <row r="226">
      <c r="A226" s="2" t="s">
        <v>1233</v>
      </c>
      <c r="B226" s="3">
        <v>46234.566705798614</v>
      </c>
      <c r="C226" s="2" t="s">
        <v>79</v>
      </c>
      <c r="D226" s="2" t="s">
        <v>80</v>
      </c>
      <c r="E226" s="2" t="s">
        <v>22</v>
      </c>
      <c r="F226" s="4">
        <v>100.0</v>
      </c>
      <c r="H226" s="4">
        <v>100.0</v>
      </c>
      <c r="I226" s="2" t="s">
        <v>25</v>
      </c>
      <c r="J226" s="2" t="s">
        <v>27</v>
      </c>
      <c r="K226" s="2" t="s">
        <v>28</v>
      </c>
    </row>
    <row r="227">
      <c r="A227" s="2" t="s">
        <v>1235</v>
      </c>
      <c r="B227" s="3">
        <v>46234.566705798614</v>
      </c>
      <c r="C227" s="2" t="s">
        <v>424</v>
      </c>
      <c r="D227" s="2" t="s">
        <v>425</v>
      </c>
      <c r="E227" s="2" t="s">
        <v>22</v>
      </c>
      <c r="F227" s="4">
        <v>1400.0</v>
      </c>
      <c r="H227" s="4">
        <v>1400.0</v>
      </c>
      <c r="I227" s="2" t="s">
        <v>25</v>
      </c>
      <c r="J227" s="2" t="s">
        <v>27</v>
      </c>
      <c r="K227" s="2" t="s">
        <v>28</v>
      </c>
    </row>
    <row r="228">
      <c r="A228" s="2" t="s">
        <v>1236</v>
      </c>
      <c r="B228" s="3">
        <v>46234.566705798614</v>
      </c>
      <c r="C228" s="2" t="s">
        <v>1237</v>
      </c>
      <c r="D228" s="2" t="s">
        <v>1238</v>
      </c>
      <c r="E228" s="2" t="s">
        <v>22</v>
      </c>
      <c r="F228" s="4">
        <v>720.0</v>
      </c>
      <c r="H228" s="4">
        <v>720.0</v>
      </c>
      <c r="I228" s="2" t="s">
        <v>25</v>
      </c>
      <c r="J228" s="2" t="s">
        <v>27</v>
      </c>
      <c r="K228" s="2" t="s">
        <v>28</v>
      </c>
    </row>
    <row r="229">
      <c r="A229" s="2" t="s">
        <v>1239</v>
      </c>
      <c r="B229" s="3">
        <v>46234.566705798614</v>
      </c>
      <c r="C229" s="2" t="s">
        <v>1240</v>
      </c>
      <c r="D229" s="2" t="s">
        <v>1241</v>
      </c>
      <c r="E229" s="2" t="s">
        <v>22</v>
      </c>
      <c r="F229" s="4">
        <v>100.0</v>
      </c>
      <c r="H229" s="4">
        <v>100.0</v>
      </c>
      <c r="I229" s="2" t="s">
        <v>25</v>
      </c>
      <c r="J229" s="2" t="s">
        <v>27</v>
      </c>
      <c r="K229" s="2" t="s">
        <v>28</v>
      </c>
    </row>
    <row r="230">
      <c r="A230" s="2" t="s">
        <v>1243</v>
      </c>
      <c r="B230" s="3">
        <v>46234.566705798614</v>
      </c>
      <c r="C230" s="2" t="s">
        <v>1244</v>
      </c>
      <c r="D230" s="2" t="s">
        <v>1245</v>
      </c>
      <c r="E230" s="2" t="s">
        <v>661</v>
      </c>
      <c r="F230" s="4">
        <v>10.0</v>
      </c>
      <c r="H230" s="4">
        <v>10.0</v>
      </c>
      <c r="I230" s="2" t="s">
        <v>25</v>
      </c>
      <c r="J230" s="2" t="s">
        <v>27</v>
      </c>
      <c r="K230" s="2" t="s">
        <v>28</v>
      </c>
    </row>
    <row r="231">
      <c r="A231" s="2" t="s">
        <v>1247</v>
      </c>
      <c r="B231" s="3">
        <v>46234.566705798614</v>
      </c>
      <c r="C231" s="2" t="s">
        <v>163</v>
      </c>
      <c r="D231" s="2" t="s">
        <v>164</v>
      </c>
      <c r="E231" s="2" t="s">
        <v>22</v>
      </c>
      <c r="F231" s="4">
        <v>3500.0</v>
      </c>
      <c r="H231" s="4">
        <v>3500.0</v>
      </c>
      <c r="I231" s="2" t="s">
        <v>25</v>
      </c>
      <c r="J231" s="2" t="s">
        <v>27</v>
      </c>
      <c r="K231" s="2" t="s">
        <v>28</v>
      </c>
    </row>
    <row r="232">
      <c r="A232" s="2" t="s">
        <v>1249</v>
      </c>
      <c r="B232" s="3">
        <v>46234.566705798614</v>
      </c>
      <c r="C232" s="2" t="s">
        <v>1250</v>
      </c>
      <c r="D232" s="2" t="s">
        <v>1251</v>
      </c>
      <c r="E232" s="2" t="s">
        <v>22</v>
      </c>
      <c r="F232" s="4">
        <v>100.0</v>
      </c>
      <c r="H232" s="4">
        <v>100.0</v>
      </c>
      <c r="I232" s="2" t="s">
        <v>25</v>
      </c>
      <c r="J232" s="2" t="s">
        <v>27</v>
      </c>
      <c r="K232" s="2" t="s">
        <v>28</v>
      </c>
    </row>
    <row r="233">
      <c r="A233" s="2" t="s">
        <v>1252</v>
      </c>
      <c r="B233" s="3">
        <v>46234.566705798614</v>
      </c>
      <c r="C233" s="2" t="s">
        <v>1253</v>
      </c>
      <c r="D233" s="2" t="s">
        <v>1254</v>
      </c>
      <c r="E233" s="2" t="s">
        <v>22</v>
      </c>
      <c r="F233" s="4">
        <v>792.0</v>
      </c>
      <c r="H233" s="4">
        <v>792.0</v>
      </c>
      <c r="I233" s="2" t="s">
        <v>25</v>
      </c>
      <c r="J233" s="2" t="s">
        <v>27</v>
      </c>
      <c r="K233" s="2" t="s">
        <v>28</v>
      </c>
    </row>
    <row r="234">
      <c r="A234" s="2" t="s">
        <v>1255</v>
      </c>
      <c r="B234" s="3">
        <v>46234.566705798614</v>
      </c>
      <c r="C234" s="2" t="s">
        <v>1256</v>
      </c>
      <c r="D234" s="2" t="s">
        <v>1257</v>
      </c>
      <c r="E234" s="2" t="s">
        <v>290</v>
      </c>
      <c r="F234" s="4">
        <v>6.0</v>
      </c>
      <c r="H234" s="4">
        <v>6.0</v>
      </c>
      <c r="I234" s="2" t="s">
        <v>25</v>
      </c>
      <c r="J234" s="2" t="s">
        <v>27</v>
      </c>
      <c r="K234" s="2" t="s">
        <v>28</v>
      </c>
    </row>
    <row r="235">
      <c r="A235" s="2" t="s">
        <v>1259</v>
      </c>
      <c r="B235" s="3">
        <v>46234.566705798614</v>
      </c>
      <c r="C235" s="2" t="s">
        <v>1260</v>
      </c>
      <c r="D235" s="2" t="s">
        <v>1261</v>
      </c>
      <c r="E235" s="2" t="s">
        <v>290</v>
      </c>
      <c r="F235" s="4">
        <v>1.0</v>
      </c>
      <c r="H235" s="4">
        <v>1.0</v>
      </c>
      <c r="I235" s="2" t="s">
        <v>25</v>
      </c>
      <c r="J235" s="2" t="s">
        <v>27</v>
      </c>
      <c r="K235" s="2" t="s">
        <v>28</v>
      </c>
    </row>
    <row r="236">
      <c r="A236" s="2" t="s">
        <v>1264</v>
      </c>
      <c r="B236" s="3">
        <v>46234.566705798614</v>
      </c>
      <c r="C236" s="2" t="s">
        <v>1265</v>
      </c>
      <c r="D236" s="2" t="s">
        <v>1266</v>
      </c>
      <c r="E236" s="2" t="s">
        <v>290</v>
      </c>
      <c r="F236" s="4">
        <v>1.0</v>
      </c>
      <c r="H236" s="4">
        <v>1.0</v>
      </c>
      <c r="I236" s="2" t="s">
        <v>25</v>
      </c>
      <c r="J236" s="2" t="s">
        <v>27</v>
      </c>
      <c r="K236" s="2" t="s">
        <v>28</v>
      </c>
    </row>
    <row r="237">
      <c r="A237" s="2" t="s">
        <v>1268</v>
      </c>
      <c r="B237" s="3">
        <v>46234.566705798614</v>
      </c>
      <c r="C237" s="2" t="s">
        <v>1269</v>
      </c>
      <c r="D237" s="2" t="s">
        <v>1270</v>
      </c>
      <c r="E237" s="2" t="s">
        <v>616</v>
      </c>
      <c r="F237" s="4">
        <v>2.0</v>
      </c>
      <c r="H237" s="4">
        <v>2.0</v>
      </c>
      <c r="I237" s="2" t="s">
        <v>25</v>
      </c>
      <c r="J237" s="2" t="s">
        <v>27</v>
      </c>
      <c r="K237" s="2" t="s">
        <v>28</v>
      </c>
    </row>
    <row r="238">
      <c r="A238" s="2" t="s">
        <v>1271</v>
      </c>
      <c r="B238" s="3">
        <v>46234.566705798614</v>
      </c>
      <c r="C238" s="2" t="s">
        <v>1272</v>
      </c>
      <c r="D238" s="2" t="s">
        <v>1273</v>
      </c>
      <c r="E238" s="2" t="s">
        <v>22</v>
      </c>
      <c r="F238" s="4">
        <v>3887.0</v>
      </c>
      <c r="H238" s="4">
        <v>3887.0</v>
      </c>
      <c r="I238" s="2" t="s">
        <v>25</v>
      </c>
      <c r="J238" s="2" t="s">
        <v>27</v>
      </c>
      <c r="K238" s="2" t="s">
        <v>28</v>
      </c>
    </row>
    <row r="239">
      <c r="A239" s="2" t="s">
        <v>1274</v>
      </c>
      <c r="B239" s="3">
        <v>46234.566705798614</v>
      </c>
      <c r="C239" s="2" t="s">
        <v>1275</v>
      </c>
      <c r="D239" s="2" t="s">
        <v>1276</v>
      </c>
      <c r="E239" s="2" t="s">
        <v>22</v>
      </c>
      <c r="F239" s="4">
        <v>700.0</v>
      </c>
      <c r="H239" s="4">
        <v>700.0</v>
      </c>
      <c r="I239" s="2" t="s">
        <v>25</v>
      </c>
      <c r="J239" s="2" t="s">
        <v>27</v>
      </c>
      <c r="K239" s="2" t="s">
        <v>28</v>
      </c>
    </row>
    <row r="240">
      <c r="A240" s="2" t="s">
        <v>1277</v>
      </c>
      <c r="B240" s="3">
        <v>46234.566705798614</v>
      </c>
      <c r="C240" s="2" t="s">
        <v>1278</v>
      </c>
      <c r="D240" s="2" t="s">
        <v>1279</v>
      </c>
      <c r="E240" s="2" t="s">
        <v>22</v>
      </c>
      <c r="F240" s="4">
        <v>400.0</v>
      </c>
      <c r="H240" s="4">
        <v>400.0</v>
      </c>
      <c r="I240" s="2" t="s">
        <v>25</v>
      </c>
      <c r="J240" s="2" t="s">
        <v>27</v>
      </c>
      <c r="K240" s="2" t="s">
        <v>28</v>
      </c>
    </row>
    <row r="241">
      <c r="A241" s="2" t="s">
        <v>1280</v>
      </c>
      <c r="B241" s="3">
        <v>46234.566705798614</v>
      </c>
      <c r="C241" s="2" t="s">
        <v>1281</v>
      </c>
      <c r="D241" s="2" t="s">
        <v>1282</v>
      </c>
      <c r="E241" s="2" t="s">
        <v>22</v>
      </c>
      <c r="F241" s="4">
        <v>1500.0</v>
      </c>
      <c r="H241" s="4">
        <v>1500.0</v>
      </c>
      <c r="I241" s="2" t="s">
        <v>25</v>
      </c>
      <c r="J241" s="2" t="s">
        <v>27</v>
      </c>
      <c r="K241" s="2" t="s">
        <v>28</v>
      </c>
    </row>
    <row r="242">
      <c r="A242" s="2" t="s">
        <v>1284</v>
      </c>
      <c r="B242" s="3">
        <v>46234.566705798614</v>
      </c>
      <c r="C242" s="2" t="s">
        <v>1285</v>
      </c>
      <c r="D242" s="2" t="s">
        <v>1286</v>
      </c>
      <c r="E242" s="2" t="s">
        <v>22</v>
      </c>
      <c r="F242" s="4">
        <v>300.0</v>
      </c>
      <c r="H242" s="4">
        <v>300.0</v>
      </c>
      <c r="I242" s="2" t="s">
        <v>25</v>
      </c>
      <c r="J242" s="2" t="s">
        <v>27</v>
      </c>
      <c r="K242" s="2" t="s">
        <v>28</v>
      </c>
    </row>
    <row r="243">
      <c r="A243" s="2" t="s">
        <v>1290</v>
      </c>
      <c r="B243" s="3">
        <v>46234.566705798614</v>
      </c>
      <c r="C243" s="2" t="s">
        <v>1291</v>
      </c>
      <c r="D243" s="2" t="s">
        <v>1292</v>
      </c>
      <c r="E243" s="2" t="s">
        <v>22</v>
      </c>
      <c r="F243" s="4">
        <v>720.0</v>
      </c>
      <c r="H243" s="4">
        <v>720.0</v>
      </c>
      <c r="I243" s="2" t="s">
        <v>25</v>
      </c>
      <c r="J243" s="2" t="s">
        <v>27</v>
      </c>
      <c r="K243" s="2" t="s">
        <v>28</v>
      </c>
    </row>
    <row r="244">
      <c r="A244" s="2" t="s">
        <v>1294</v>
      </c>
      <c r="B244" s="3">
        <v>46234.566705798614</v>
      </c>
      <c r="C244" s="2" t="s">
        <v>1295</v>
      </c>
      <c r="D244" s="2" t="s">
        <v>1296</v>
      </c>
      <c r="E244" s="2" t="s">
        <v>290</v>
      </c>
      <c r="F244" s="4">
        <v>1.0</v>
      </c>
      <c r="H244" s="4">
        <v>1.0</v>
      </c>
      <c r="I244" s="2" t="s">
        <v>25</v>
      </c>
      <c r="J244" s="2" t="s">
        <v>27</v>
      </c>
      <c r="K244" s="2" t="s">
        <v>28</v>
      </c>
    </row>
    <row r="245">
      <c r="A245" s="2" t="s">
        <v>1297</v>
      </c>
      <c r="B245" s="3">
        <v>46234.566705798614</v>
      </c>
      <c r="C245" s="2" t="s">
        <v>415</v>
      </c>
      <c r="D245" s="2" t="s">
        <v>416</v>
      </c>
      <c r="E245" s="2" t="s">
        <v>22</v>
      </c>
      <c r="F245" s="4">
        <v>2750.0</v>
      </c>
      <c r="H245" s="4">
        <v>2750.0</v>
      </c>
      <c r="I245" s="2" t="s">
        <v>25</v>
      </c>
      <c r="J245" s="2" t="s">
        <v>27</v>
      </c>
      <c r="K245" s="2" t="s">
        <v>28</v>
      </c>
    </row>
    <row r="246">
      <c r="A246" s="2" t="s">
        <v>1298</v>
      </c>
      <c r="B246" s="3">
        <v>46234.566705798614</v>
      </c>
      <c r="C246" s="2" t="s">
        <v>1299</v>
      </c>
      <c r="D246" s="2" t="s">
        <v>1300</v>
      </c>
      <c r="E246" s="2" t="s">
        <v>22</v>
      </c>
      <c r="F246" s="4">
        <v>560.0</v>
      </c>
      <c r="H246" s="4">
        <v>560.0</v>
      </c>
      <c r="I246" s="2" t="s">
        <v>25</v>
      </c>
      <c r="J246" s="2" t="s">
        <v>27</v>
      </c>
      <c r="K246" s="2" t="s">
        <v>28</v>
      </c>
    </row>
    <row r="247">
      <c r="A247" s="2" t="s">
        <v>1301</v>
      </c>
      <c r="B247" s="3">
        <v>46234.566705798614</v>
      </c>
      <c r="C247" s="2" t="s">
        <v>1302</v>
      </c>
      <c r="D247" s="2" t="s">
        <v>1303</v>
      </c>
      <c r="E247" s="2" t="s">
        <v>22</v>
      </c>
      <c r="F247" s="4">
        <v>1000.0</v>
      </c>
      <c r="H247" s="4">
        <v>1000.0</v>
      </c>
      <c r="I247" s="2" t="s">
        <v>25</v>
      </c>
      <c r="J247" s="2" t="s">
        <v>27</v>
      </c>
      <c r="K247" s="2" t="s">
        <v>28</v>
      </c>
    </row>
    <row r="248">
      <c r="A248" s="2" t="s">
        <v>1305</v>
      </c>
      <c r="B248" s="3">
        <v>46234.566705798614</v>
      </c>
      <c r="C248" s="2" t="s">
        <v>1306</v>
      </c>
      <c r="D248" s="2" t="s">
        <v>1307</v>
      </c>
      <c r="E248" s="2" t="s">
        <v>22</v>
      </c>
      <c r="F248" s="4">
        <v>1048.0</v>
      </c>
      <c r="H248" s="4">
        <v>1048.0</v>
      </c>
      <c r="I248" s="2" t="s">
        <v>25</v>
      </c>
      <c r="J248" s="2" t="s">
        <v>27</v>
      </c>
      <c r="K248" s="2" t="s">
        <v>28</v>
      </c>
    </row>
    <row r="249">
      <c r="A249" s="2" t="s">
        <v>1309</v>
      </c>
      <c r="B249" s="3">
        <v>46234.566705798614</v>
      </c>
      <c r="C249" s="2" t="s">
        <v>1310</v>
      </c>
      <c r="D249" s="2" t="s">
        <v>1311</v>
      </c>
      <c r="E249" s="2" t="s">
        <v>22</v>
      </c>
      <c r="F249" s="4">
        <v>3225.0</v>
      </c>
      <c r="H249" s="4">
        <v>3225.0</v>
      </c>
      <c r="I249" s="2" t="s">
        <v>25</v>
      </c>
      <c r="J249" s="2" t="s">
        <v>27</v>
      </c>
      <c r="K249" s="2" t="s">
        <v>28</v>
      </c>
    </row>
    <row r="250">
      <c r="A250" s="2" t="s">
        <v>1312</v>
      </c>
      <c r="B250" s="3">
        <v>46234.566705798614</v>
      </c>
      <c r="C250" s="2" t="s">
        <v>1314</v>
      </c>
      <c r="D250" s="2" t="s">
        <v>1315</v>
      </c>
      <c r="E250" s="2" t="s">
        <v>22</v>
      </c>
      <c r="F250" s="4">
        <v>500.0</v>
      </c>
      <c r="H250" s="4">
        <v>500.0</v>
      </c>
      <c r="I250" s="2" t="s">
        <v>25</v>
      </c>
      <c r="J250" s="2" t="s">
        <v>27</v>
      </c>
      <c r="K250" s="2" t="s">
        <v>28</v>
      </c>
    </row>
    <row r="251">
      <c r="A251" s="2" t="s">
        <v>1316</v>
      </c>
      <c r="B251" s="3">
        <v>46234.566705798614</v>
      </c>
      <c r="C251" s="2" t="s">
        <v>1317</v>
      </c>
      <c r="D251" s="2" t="s">
        <v>1318</v>
      </c>
      <c r="E251" s="2" t="s">
        <v>22</v>
      </c>
      <c r="F251" s="4">
        <v>1600.0</v>
      </c>
      <c r="H251" s="4">
        <v>1600.0</v>
      </c>
      <c r="I251" s="2" t="s">
        <v>25</v>
      </c>
      <c r="J251" s="2" t="s">
        <v>27</v>
      </c>
      <c r="K251" s="2" t="s">
        <v>28</v>
      </c>
    </row>
    <row r="252">
      <c r="A252" s="2" t="s">
        <v>1319</v>
      </c>
      <c r="B252" s="3">
        <v>46234.566705798614</v>
      </c>
      <c r="C252" s="2" t="s">
        <v>1320</v>
      </c>
      <c r="D252" s="2" t="s">
        <v>1321</v>
      </c>
      <c r="E252" s="2" t="s">
        <v>290</v>
      </c>
      <c r="F252" s="4">
        <v>4.5</v>
      </c>
      <c r="H252" s="4">
        <v>4.5</v>
      </c>
      <c r="I252" s="2" t="s">
        <v>25</v>
      </c>
      <c r="J252" s="2" t="s">
        <v>27</v>
      </c>
      <c r="K252" s="2" t="s">
        <v>28</v>
      </c>
    </row>
    <row r="253">
      <c r="A253" s="2" t="s">
        <v>52</v>
      </c>
      <c r="B253" s="3">
        <v>46234.566705798614</v>
      </c>
      <c r="C253" s="2" t="s">
        <v>53</v>
      </c>
      <c r="D253" s="2" t="s">
        <v>54</v>
      </c>
      <c r="E253" s="2" t="s">
        <v>22</v>
      </c>
      <c r="F253" s="4">
        <v>100.0</v>
      </c>
      <c r="H253" s="4">
        <v>0.0</v>
      </c>
      <c r="I253" s="2" t="s">
        <v>77</v>
      </c>
      <c r="J253" s="2" t="s">
        <v>27</v>
      </c>
      <c r="K253" s="2" t="s">
        <v>28</v>
      </c>
    </row>
    <row r="254">
      <c r="A254" s="2" t="s">
        <v>69</v>
      </c>
      <c r="B254" s="3">
        <v>46237.0</v>
      </c>
      <c r="C254" s="2" t="s">
        <v>70</v>
      </c>
      <c r="D254" s="2" t="s">
        <v>71</v>
      </c>
      <c r="E254" s="2" t="s">
        <v>22</v>
      </c>
      <c r="F254" s="4">
        <v>600.0</v>
      </c>
      <c r="G254" s="2" t="s">
        <v>73</v>
      </c>
      <c r="H254" s="4">
        <v>0.0</v>
      </c>
      <c r="I254" s="2" t="s">
        <v>77</v>
      </c>
      <c r="K254" s="2" t="s">
        <v>26</v>
      </c>
      <c r="L254" s="2" t="s">
        <v>1146</v>
      </c>
    </row>
    <row r="255">
      <c r="A255" s="2" t="s">
        <v>86</v>
      </c>
      <c r="B255" s="3">
        <v>46237.0</v>
      </c>
      <c r="C255" s="2" t="s">
        <v>87</v>
      </c>
      <c r="D255" s="2" t="s">
        <v>88</v>
      </c>
      <c r="E255" s="2" t="s">
        <v>22</v>
      </c>
      <c r="F255" s="4">
        <v>500.0</v>
      </c>
      <c r="G255" s="2" t="s">
        <v>90</v>
      </c>
      <c r="H255" s="4">
        <v>0.0</v>
      </c>
      <c r="I255" s="2" t="s">
        <v>77</v>
      </c>
      <c r="K255" s="2" t="s">
        <v>26</v>
      </c>
      <c r="L255" s="2" t="s">
        <v>1146</v>
      </c>
    </row>
    <row r="256">
      <c r="A256" s="2" t="s">
        <v>78</v>
      </c>
      <c r="B256" s="3">
        <v>46237.0</v>
      </c>
      <c r="C256" s="2" t="s">
        <v>79</v>
      </c>
      <c r="D256" s="2" t="s">
        <v>80</v>
      </c>
      <c r="E256" s="2" t="s">
        <v>22</v>
      </c>
      <c r="F256" s="4">
        <v>1900.0</v>
      </c>
      <c r="G256" s="2" t="s">
        <v>81</v>
      </c>
      <c r="H256" s="4">
        <v>0.0</v>
      </c>
      <c r="I256" s="2" t="s">
        <v>77</v>
      </c>
      <c r="K256" s="2" t="s">
        <v>26</v>
      </c>
      <c r="L256" s="2" t="s">
        <v>1146</v>
      </c>
    </row>
    <row r="257">
      <c r="A257" s="2" t="s">
        <v>94</v>
      </c>
      <c r="B257" s="3">
        <v>46237.0</v>
      </c>
      <c r="C257" s="2" t="s">
        <v>95</v>
      </c>
      <c r="D257" s="2" t="s">
        <v>97</v>
      </c>
      <c r="E257" s="2" t="s">
        <v>22</v>
      </c>
      <c r="F257" s="4">
        <v>500.0</v>
      </c>
      <c r="G257" s="2" t="s">
        <v>100</v>
      </c>
      <c r="H257" s="4">
        <v>0.0</v>
      </c>
      <c r="I257" s="2" t="s">
        <v>77</v>
      </c>
      <c r="K257" s="2" t="s">
        <v>26</v>
      </c>
      <c r="L257" s="2" t="s">
        <v>1146</v>
      </c>
    </row>
    <row r="258">
      <c r="A258" s="2" t="s">
        <v>720</v>
      </c>
      <c r="B258" s="3">
        <v>46240.0</v>
      </c>
      <c r="C258" s="2" t="s">
        <v>21</v>
      </c>
      <c r="D258" s="2" t="s">
        <v>23</v>
      </c>
      <c r="E258" s="2" t="s">
        <v>616</v>
      </c>
      <c r="F258" s="4">
        <v>40.0</v>
      </c>
      <c r="H258" s="4">
        <v>0.0</v>
      </c>
      <c r="I258" s="2" t="s">
        <v>77</v>
      </c>
      <c r="K258" s="2" t="s">
        <v>26</v>
      </c>
      <c r="L258" s="2" t="s">
        <v>1165</v>
      </c>
    </row>
    <row r="259">
      <c r="A259" s="2" t="s">
        <v>31</v>
      </c>
      <c r="B259" s="3">
        <v>46240.0</v>
      </c>
      <c r="C259" s="2" t="s">
        <v>32</v>
      </c>
      <c r="D259" s="2" t="s">
        <v>34</v>
      </c>
      <c r="E259" s="2" t="s">
        <v>290</v>
      </c>
      <c r="F259" s="4">
        <v>1.0</v>
      </c>
      <c r="H259" s="4">
        <v>0.0</v>
      </c>
      <c r="I259" s="2" t="s">
        <v>77</v>
      </c>
      <c r="K259" s="2" t="s">
        <v>26</v>
      </c>
      <c r="L259" s="2" t="s">
        <v>1165</v>
      </c>
    </row>
    <row r="260">
      <c r="A260" s="2" t="s">
        <v>635</v>
      </c>
      <c r="B260" s="3">
        <v>46241.46385136574</v>
      </c>
      <c r="C260" s="2" t="s">
        <v>484</v>
      </c>
      <c r="D260" s="2" t="s">
        <v>636</v>
      </c>
      <c r="E260" s="2" t="s">
        <v>290</v>
      </c>
      <c r="F260" s="4">
        <v>20.0</v>
      </c>
      <c r="H260" s="4">
        <v>20.0</v>
      </c>
      <c r="I260" s="2" t="s">
        <v>25</v>
      </c>
      <c r="J260" s="2" t="s">
        <v>1332</v>
      </c>
      <c r="K260" s="2" t="s">
        <v>26</v>
      </c>
    </row>
    <row r="261">
      <c r="A261" s="2" t="s">
        <v>40</v>
      </c>
      <c r="B261" s="3">
        <v>46241.0</v>
      </c>
      <c r="C261" s="2" t="s">
        <v>32</v>
      </c>
      <c r="D261" s="2" t="s">
        <v>34</v>
      </c>
      <c r="E261" s="2" t="s">
        <v>290</v>
      </c>
      <c r="F261" s="4">
        <v>2.0</v>
      </c>
      <c r="H261" s="4">
        <v>0.0</v>
      </c>
      <c r="I261" s="2" t="s">
        <v>77</v>
      </c>
      <c r="K261" s="2" t="s">
        <v>26</v>
      </c>
      <c r="L261" s="2" t="s">
        <v>1168</v>
      </c>
    </row>
    <row r="262">
      <c r="A262" s="2" t="s">
        <v>634</v>
      </c>
      <c r="B262" s="3">
        <v>46241.0</v>
      </c>
      <c r="C262" s="2" t="s">
        <v>598</v>
      </c>
      <c r="D262" s="2" t="s">
        <v>604</v>
      </c>
      <c r="E262" s="2" t="s">
        <v>616</v>
      </c>
      <c r="F262" s="4">
        <v>20.0</v>
      </c>
      <c r="H262" s="4">
        <v>0.0</v>
      </c>
      <c r="I262" s="2" t="s">
        <v>77</v>
      </c>
      <c r="K262" s="2" t="s">
        <v>26</v>
      </c>
      <c r="L262" s="2" t="s">
        <v>1173</v>
      </c>
    </row>
    <row r="263">
      <c r="A263" s="2" t="s">
        <v>200</v>
      </c>
      <c r="B263" s="3">
        <v>46247.0</v>
      </c>
      <c r="C263" s="2" t="s">
        <v>201</v>
      </c>
      <c r="D263" s="2" t="s">
        <v>202</v>
      </c>
      <c r="E263" s="2" t="s">
        <v>22</v>
      </c>
      <c r="F263" s="4">
        <v>3600.0</v>
      </c>
      <c r="G263" s="2" t="s">
        <v>203</v>
      </c>
      <c r="H263" s="4">
        <v>0.0</v>
      </c>
      <c r="I263" s="2" t="s">
        <v>77</v>
      </c>
      <c r="K263" s="2" t="s">
        <v>26</v>
      </c>
      <c r="L263" s="2" t="s">
        <v>1175</v>
      </c>
    </row>
    <row r="264">
      <c r="A264" s="2" t="s">
        <v>208</v>
      </c>
      <c r="B264" s="3">
        <v>46247.0</v>
      </c>
      <c r="C264" s="2" t="s">
        <v>123</v>
      </c>
      <c r="D264" s="2" t="s">
        <v>124</v>
      </c>
      <c r="E264" s="2" t="s">
        <v>22</v>
      </c>
      <c r="F264" s="4">
        <v>4100.0</v>
      </c>
      <c r="G264" s="2" t="s">
        <v>210</v>
      </c>
      <c r="H264" s="4">
        <v>0.0</v>
      </c>
      <c r="I264" s="2" t="s">
        <v>77</v>
      </c>
      <c r="K264" s="2" t="s">
        <v>26</v>
      </c>
      <c r="L264" s="2" t="s">
        <v>1175</v>
      </c>
    </row>
    <row r="265">
      <c r="A265" s="2" t="s">
        <v>214</v>
      </c>
      <c r="B265" s="3">
        <v>46247.0</v>
      </c>
      <c r="C265" s="2" t="s">
        <v>215</v>
      </c>
      <c r="D265" s="2" t="s">
        <v>216</v>
      </c>
      <c r="E265" s="2" t="s">
        <v>22</v>
      </c>
      <c r="F265" s="4">
        <v>1000.0</v>
      </c>
      <c r="G265" s="2" t="s">
        <v>64</v>
      </c>
      <c r="H265" s="4">
        <v>0.0</v>
      </c>
      <c r="I265" s="2" t="s">
        <v>77</v>
      </c>
      <c r="K265" s="2" t="s">
        <v>26</v>
      </c>
      <c r="L265" s="2" t="s">
        <v>1175</v>
      </c>
    </row>
    <row r="266">
      <c r="A266" s="2" t="s">
        <v>221</v>
      </c>
      <c r="B266" s="3">
        <v>46247.0</v>
      </c>
      <c r="C266" s="2" t="s">
        <v>223</v>
      </c>
      <c r="D266" s="2" t="s">
        <v>224</v>
      </c>
      <c r="E266" s="2" t="s">
        <v>22</v>
      </c>
      <c r="F266" s="4">
        <v>600.0</v>
      </c>
      <c r="G266" s="2" t="s">
        <v>226</v>
      </c>
      <c r="H266" s="4">
        <v>0.0</v>
      </c>
      <c r="I266" s="2" t="s">
        <v>77</v>
      </c>
      <c r="K266" s="2" t="s">
        <v>26</v>
      </c>
      <c r="L266" s="2" t="s">
        <v>1187</v>
      </c>
    </row>
    <row r="267">
      <c r="A267" s="2" t="s">
        <v>307</v>
      </c>
      <c r="B267" s="3">
        <v>46247.0</v>
      </c>
      <c r="C267" s="2" t="s">
        <v>308</v>
      </c>
      <c r="D267" s="2" t="s">
        <v>309</v>
      </c>
      <c r="E267" s="2" t="s">
        <v>22</v>
      </c>
      <c r="F267" s="4">
        <v>1000.0</v>
      </c>
      <c r="G267" s="2" t="s">
        <v>310</v>
      </c>
      <c r="H267" s="4">
        <v>0.0</v>
      </c>
      <c r="I267" s="2" t="s">
        <v>77</v>
      </c>
      <c r="K267" s="2" t="s">
        <v>26</v>
      </c>
      <c r="L267" s="2" t="s">
        <v>1187</v>
      </c>
    </row>
    <row r="268">
      <c r="A268" s="2" t="s">
        <v>195</v>
      </c>
      <c r="B268" s="3">
        <v>46246.0</v>
      </c>
      <c r="C268" s="2" t="s">
        <v>41</v>
      </c>
      <c r="D268" s="2" t="s">
        <v>42</v>
      </c>
      <c r="E268" s="2" t="s">
        <v>22</v>
      </c>
      <c r="F268" s="4">
        <v>2200.0</v>
      </c>
      <c r="G268" s="2" t="s">
        <v>196</v>
      </c>
      <c r="H268" s="4">
        <v>0.0</v>
      </c>
      <c r="I268" s="2" t="s">
        <v>77</v>
      </c>
      <c r="K268" s="2" t="s">
        <v>26</v>
      </c>
      <c r="L268" s="2" t="s">
        <v>1206</v>
      </c>
    </row>
    <row r="269">
      <c r="A269" s="2" t="s">
        <v>393</v>
      </c>
      <c r="B269" s="3">
        <v>46246.0</v>
      </c>
      <c r="C269" s="2" t="s">
        <v>147</v>
      </c>
      <c r="D269" s="2" t="s">
        <v>148</v>
      </c>
      <c r="E269" s="2" t="s">
        <v>22</v>
      </c>
      <c r="F269" s="4">
        <v>1000.0</v>
      </c>
      <c r="G269" s="2" t="s">
        <v>395</v>
      </c>
      <c r="H269" s="4">
        <v>0.0</v>
      </c>
      <c r="I269" s="2" t="s">
        <v>77</v>
      </c>
      <c r="K269" s="2" t="s">
        <v>26</v>
      </c>
      <c r="L269" s="2" t="s">
        <v>1206</v>
      </c>
    </row>
    <row r="270">
      <c r="A270" s="2" t="s">
        <v>170</v>
      </c>
      <c r="B270" s="3">
        <v>46245.0</v>
      </c>
      <c r="C270" s="2" t="s">
        <v>171</v>
      </c>
      <c r="D270" s="2" t="s">
        <v>172</v>
      </c>
      <c r="E270" s="2" t="s">
        <v>22</v>
      </c>
      <c r="F270" s="4">
        <v>648.0</v>
      </c>
      <c r="G270" s="2" t="s">
        <v>173</v>
      </c>
      <c r="H270" s="4">
        <v>0.0</v>
      </c>
      <c r="I270" s="2" t="s">
        <v>77</v>
      </c>
      <c r="K270" s="2" t="s">
        <v>26</v>
      </c>
      <c r="L270" s="2" t="s">
        <v>1217</v>
      </c>
    </row>
    <row r="271">
      <c r="A271" s="2" t="s">
        <v>178</v>
      </c>
      <c r="B271" s="3">
        <v>46245.0</v>
      </c>
      <c r="C271" s="2" t="s">
        <v>179</v>
      </c>
      <c r="D271" s="2" t="s">
        <v>180</v>
      </c>
      <c r="E271" s="2" t="s">
        <v>22</v>
      </c>
      <c r="F271" s="4">
        <v>2592.0</v>
      </c>
      <c r="G271" s="2" t="s">
        <v>182</v>
      </c>
      <c r="H271" s="4">
        <v>0.0</v>
      </c>
      <c r="I271" s="2" t="s">
        <v>77</v>
      </c>
      <c r="K271" s="2" t="s">
        <v>26</v>
      </c>
      <c r="L271" s="2" t="s">
        <v>1217</v>
      </c>
    </row>
    <row r="272">
      <c r="A272" s="2" t="s">
        <v>1346</v>
      </c>
      <c r="B272" s="3">
        <v>46245.0</v>
      </c>
      <c r="C272" s="2" t="s">
        <v>1347</v>
      </c>
      <c r="D272" s="2" t="s">
        <v>1348</v>
      </c>
      <c r="E272" s="2" t="s">
        <v>22</v>
      </c>
      <c r="F272" s="4">
        <v>720.0</v>
      </c>
      <c r="G272" s="2" t="s">
        <v>1349</v>
      </c>
      <c r="H272" s="4">
        <v>720.0</v>
      </c>
      <c r="I272" s="2" t="s">
        <v>25</v>
      </c>
      <c r="K272" s="2" t="s">
        <v>26</v>
      </c>
      <c r="L272" s="2" t="s">
        <v>1217</v>
      </c>
    </row>
    <row r="273">
      <c r="A273" s="2" t="s">
        <v>186</v>
      </c>
      <c r="B273" s="3">
        <v>46245.0</v>
      </c>
      <c r="C273" s="2" t="s">
        <v>187</v>
      </c>
      <c r="D273" s="2" t="s">
        <v>188</v>
      </c>
      <c r="E273" s="2" t="s">
        <v>22</v>
      </c>
      <c r="F273" s="4">
        <v>864.0</v>
      </c>
      <c r="G273" s="2" t="s">
        <v>190</v>
      </c>
      <c r="H273" s="4">
        <v>0.0</v>
      </c>
      <c r="I273" s="2" t="s">
        <v>77</v>
      </c>
      <c r="K273" s="2" t="s">
        <v>26</v>
      </c>
      <c r="L273" s="2" t="s">
        <v>1217</v>
      </c>
    </row>
    <row r="274">
      <c r="A274" s="2" t="s">
        <v>231</v>
      </c>
      <c r="B274" s="3">
        <v>46248.0</v>
      </c>
      <c r="C274" s="2" t="s">
        <v>105</v>
      </c>
      <c r="D274" s="2" t="s">
        <v>107</v>
      </c>
      <c r="E274" s="2" t="s">
        <v>22</v>
      </c>
      <c r="F274" s="4">
        <v>600.0</v>
      </c>
      <c r="G274" s="2" t="s">
        <v>233</v>
      </c>
      <c r="H274" s="4">
        <v>0.0</v>
      </c>
      <c r="I274" s="2" t="s">
        <v>77</v>
      </c>
      <c r="K274" s="2" t="s">
        <v>26</v>
      </c>
      <c r="L274" s="2" t="s">
        <v>1232</v>
      </c>
    </row>
    <row r="275">
      <c r="A275" s="2" t="s">
        <v>238</v>
      </c>
      <c r="B275" s="3">
        <v>46248.0</v>
      </c>
      <c r="C275" s="2" t="s">
        <v>87</v>
      </c>
      <c r="D275" s="2" t="s">
        <v>88</v>
      </c>
      <c r="E275" s="2" t="s">
        <v>22</v>
      </c>
      <c r="F275" s="4">
        <v>700.0</v>
      </c>
      <c r="G275" s="2" t="s">
        <v>242</v>
      </c>
      <c r="H275" s="4">
        <v>0.0</v>
      </c>
      <c r="I275" s="2" t="s">
        <v>77</v>
      </c>
      <c r="K275" s="2" t="s">
        <v>26</v>
      </c>
      <c r="L275" s="2" t="s">
        <v>1232</v>
      </c>
    </row>
    <row r="276">
      <c r="A276" s="2" t="s">
        <v>247</v>
      </c>
      <c r="B276" s="3">
        <v>46248.0</v>
      </c>
      <c r="C276" s="2" t="s">
        <v>123</v>
      </c>
      <c r="D276" s="2" t="s">
        <v>124</v>
      </c>
      <c r="E276" s="2" t="s">
        <v>22</v>
      </c>
      <c r="F276" s="4">
        <v>800.0</v>
      </c>
      <c r="G276" s="2" t="s">
        <v>248</v>
      </c>
      <c r="H276" s="4">
        <v>0.0</v>
      </c>
      <c r="I276" s="2" t="s">
        <v>77</v>
      </c>
      <c r="K276" s="2" t="s">
        <v>26</v>
      </c>
      <c r="L276" s="2" t="s">
        <v>1232</v>
      </c>
    </row>
    <row r="277">
      <c r="A277" s="2" t="s">
        <v>260</v>
      </c>
      <c r="B277" s="3">
        <v>46248.0</v>
      </c>
      <c r="C277" s="2" t="s">
        <v>79</v>
      </c>
      <c r="D277" s="2" t="s">
        <v>80</v>
      </c>
      <c r="E277" s="2" t="s">
        <v>22</v>
      </c>
      <c r="F277" s="4">
        <v>1100.0</v>
      </c>
      <c r="G277" s="2" t="s">
        <v>263</v>
      </c>
      <c r="H277" s="4">
        <v>0.0</v>
      </c>
      <c r="I277" s="2" t="s">
        <v>77</v>
      </c>
      <c r="K277" s="2" t="s">
        <v>26</v>
      </c>
      <c r="L277" s="2" t="s">
        <v>1232</v>
      </c>
    </row>
    <row r="278">
      <c r="A278" s="2" t="s">
        <v>253</v>
      </c>
      <c r="B278" s="3">
        <v>46248.0</v>
      </c>
      <c r="C278" s="2" t="s">
        <v>215</v>
      </c>
      <c r="D278" s="2" t="s">
        <v>216</v>
      </c>
      <c r="E278" s="2" t="s">
        <v>22</v>
      </c>
      <c r="F278" s="4">
        <v>1000.0</v>
      </c>
      <c r="G278" s="2" t="s">
        <v>255</v>
      </c>
      <c r="H278" s="4">
        <v>0.0</v>
      </c>
      <c r="I278" s="2" t="s">
        <v>77</v>
      </c>
      <c r="K278" s="2" t="s">
        <v>26</v>
      </c>
      <c r="L278" s="2" t="s">
        <v>1232</v>
      </c>
    </row>
    <row r="279">
      <c r="A279" s="2" t="s">
        <v>138</v>
      </c>
      <c r="B279" s="3">
        <v>46242.0</v>
      </c>
      <c r="C279" s="2" t="s">
        <v>139</v>
      </c>
      <c r="D279" s="2" t="s">
        <v>140</v>
      </c>
      <c r="E279" s="2" t="s">
        <v>22</v>
      </c>
      <c r="F279" s="4">
        <v>1100.0</v>
      </c>
      <c r="G279" s="2" t="s">
        <v>141</v>
      </c>
      <c r="H279" s="4">
        <v>0.0</v>
      </c>
      <c r="I279" s="2" t="s">
        <v>77</v>
      </c>
      <c r="K279" s="2" t="s">
        <v>26</v>
      </c>
      <c r="L279" s="2" t="s">
        <v>1246</v>
      </c>
    </row>
    <row r="280">
      <c r="A280" s="2" t="s">
        <v>146</v>
      </c>
      <c r="B280" s="3">
        <v>46242.0</v>
      </c>
      <c r="C280" s="2" t="s">
        <v>147</v>
      </c>
      <c r="D280" s="2" t="s">
        <v>148</v>
      </c>
      <c r="E280" s="2" t="s">
        <v>22</v>
      </c>
      <c r="F280" s="4">
        <v>1200.0</v>
      </c>
      <c r="G280" s="2" t="s">
        <v>149</v>
      </c>
      <c r="H280" s="4">
        <v>0.0</v>
      </c>
      <c r="I280" s="2" t="s">
        <v>77</v>
      </c>
      <c r="K280" s="2" t="s">
        <v>26</v>
      </c>
      <c r="L280" s="2" t="s">
        <v>1246</v>
      </c>
    </row>
    <row r="281">
      <c r="A281" s="2" t="s">
        <v>155</v>
      </c>
      <c r="B281" s="3">
        <v>46242.0</v>
      </c>
      <c r="C281" s="2" t="s">
        <v>41</v>
      </c>
      <c r="D281" s="2" t="s">
        <v>42</v>
      </c>
      <c r="E281" s="2" t="s">
        <v>22</v>
      </c>
      <c r="F281" s="4">
        <v>1000.0</v>
      </c>
      <c r="G281" s="2" t="s">
        <v>157</v>
      </c>
      <c r="H281" s="4">
        <v>0.0</v>
      </c>
      <c r="I281" s="2" t="s">
        <v>77</v>
      </c>
      <c r="K281" s="2" t="s">
        <v>26</v>
      </c>
      <c r="L281" s="2" t="s">
        <v>1246</v>
      </c>
    </row>
    <row r="282">
      <c r="A282" s="2" t="s">
        <v>339</v>
      </c>
      <c r="B282" s="3">
        <v>46242.0</v>
      </c>
      <c r="C282" s="2" t="s">
        <v>341</v>
      </c>
      <c r="D282" s="2" t="s">
        <v>342</v>
      </c>
      <c r="E282" s="2" t="s">
        <v>22</v>
      </c>
      <c r="F282" s="4">
        <v>1100.0</v>
      </c>
      <c r="G282" s="2" t="s">
        <v>343</v>
      </c>
      <c r="H282" s="4">
        <v>0.0</v>
      </c>
      <c r="I282" s="2" t="s">
        <v>77</v>
      </c>
      <c r="K282" s="2" t="s">
        <v>26</v>
      </c>
      <c r="L282" s="2" t="s">
        <v>1246</v>
      </c>
    </row>
    <row r="283">
      <c r="A283" s="2" t="s">
        <v>162</v>
      </c>
      <c r="B283" s="3">
        <v>46242.0</v>
      </c>
      <c r="C283" s="2" t="s">
        <v>163</v>
      </c>
      <c r="D283" s="2" t="s">
        <v>164</v>
      </c>
      <c r="E283" s="2" t="s">
        <v>22</v>
      </c>
      <c r="F283" s="4">
        <v>3000.0</v>
      </c>
      <c r="G283" s="2" t="s">
        <v>165</v>
      </c>
      <c r="H283" s="4">
        <v>0.0</v>
      </c>
      <c r="I283" s="2" t="s">
        <v>77</v>
      </c>
      <c r="K283" s="2" t="s">
        <v>26</v>
      </c>
      <c r="L283" s="2" t="s">
        <v>1246</v>
      </c>
    </row>
    <row r="284">
      <c r="A284" s="2" t="s">
        <v>103</v>
      </c>
      <c r="B284" s="3">
        <v>46239.0</v>
      </c>
      <c r="C284" s="2" t="s">
        <v>105</v>
      </c>
      <c r="D284" s="2" t="s">
        <v>107</v>
      </c>
      <c r="E284" s="2" t="s">
        <v>22</v>
      </c>
      <c r="F284" s="4">
        <v>1400.0</v>
      </c>
      <c r="G284" s="2" t="s">
        <v>108</v>
      </c>
      <c r="H284" s="4">
        <v>0.0</v>
      </c>
      <c r="I284" s="2" t="s">
        <v>77</v>
      </c>
      <c r="K284" s="2" t="s">
        <v>26</v>
      </c>
      <c r="L284" s="2" t="s">
        <v>1263</v>
      </c>
    </row>
    <row r="285">
      <c r="A285" s="2" t="s">
        <v>114</v>
      </c>
      <c r="B285" s="3">
        <v>46239.0</v>
      </c>
      <c r="C285" s="2" t="s">
        <v>41</v>
      </c>
      <c r="D285" s="2" t="s">
        <v>42</v>
      </c>
      <c r="E285" s="2" t="s">
        <v>22</v>
      </c>
      <c r="F285" s="4">
        <v>400.0</v>
      </c>
      <c r="G285" s="2" t="s">
        <v>116</v>
      </c>
      <c r="H285" s="4">
        <v>0.0</v>
      </c>
      <c r="I285" s="2" t="s">
        <v>77</v>
      </c>
      <c r="K285" s="2" t="s">
        <v>26</v>
      </c>
      <c r="L285" s="2" t="s">
        <v>1263</v>
      </c>
    </row>
    <row r="286">
      <c r="A286" s="2" t="s">
        <v>122</v>
      </c>
      <c r="B286" s="3">
        <v>46239.0</v>
      </c>
      <c r="C286" s="2" t="s">
        <v>123</v>
      </c>
      <c r="D286" s="2" t="s">
        <v>124</v>
      </c>
      <c r="E286" s="2" t="s">
        <v>22</v>
      </c>
      <c r="F286" s="4">
        <v>1400.0</v>
      </c>
      <c r="G286" s="2" t="s">
        <v>126</v>
      </c>
      <c r="H286" s="4">
        <v>0.0</v>
      </c>
      <c r="I286" s="2" t="s">
        <v>77</v>
      </c>
      <c r="K286" s="2" t="s">
        <v>26</v>
      </c>
      <c r="L286" s="2" t="s">
        <v>1263</v>
      </c>
    </row>
    <row r="287">
      <c r="A287" s="2" t="s">
        <v>131</v>
      </c>
      <c r="B287" s="3">
        <v>46239.0</v>
      </c>
      <c r="C287" s="2" t="s">
        <v>87</v>
      </c>
      <c r="D287" s="2" t="s">
        <v>88</v>
      </c>
      <c r="E287" s="2" t="s">
        <v>22</v>
      </c>
      <c r="F287" s="4">
        <v>1200.0</v>
      </c>
      <c r="G287" s="2" t="s">
        <v>132</v>
      </c>
      <c r="H287" s="4">
        <v>0.0</v>
      </c>
      <c r="I287" s="2" t="s">
        <v>77</v>
      </c>
      <c r="K287" s="2" t="s">
        <v>26</v>
      </c>
      <c r="L287" s="2" t="s">
        <v>1263</v>
      </c>
    </row>
    <row r="288">
      <c r="A288" s="2" t="s">
        <v>60</v>
      </c>
      <c r="B288" s="3">
        <v>46248.0</v>
      </c>
      <c r="C288" s="2" t="s">
        <v>61</v>
      </c>
      <c r="D288" s="2" t="s">
        <v>62</v>
      </c>
      <c r="E288" s="2" t="s">
        <v>22</v>
      </c>
      <c r="F288" s="4">
        <v>1000.0</v>
      </c>
      <c r="G288" s="2" t="s">
        <v>64</v>
      </c>
      <c r="H288" s="4">
        <v>0.0</v>
      </c>
      <c r="I288" s="2" t="s">
        <v>77</v>
      </c>
      <c r="K288" s="2" t="s">
        <v>26</v>
      </c>
      <c r="L288" s="2" t="s">
        <v>1287</v>
      </c>
    </row>
    <row r="289">
      <c r="A289" s="2" t="s">
        <v>444</v>
      </c>
      <c r="B289" s="3">
        <v>46248.0</v>
      </c>
      <c r="C289" s="2" t="s">
        <v>87</v>
      </c>
      <c r="D289" s="2" t="s">
        <v>88</v>
      </c>
      <c r="E289" s="2" t="s">
        <v>22</v>
      </c>
      <c r="F289" s="4">
        <v>200.0</v>
      </c>
      <c r="G289" s="2" t="s">
        <v>1360</v>
      </c>
      <c r="H289" s="4">
        <v>0.0</v>
      </c>
      <c r="I289" s="2" t="s">
        <v>77</v>
      </c>
      <c r="K289" s="2" t="s">
        <v>26</v>
      </c>
      <c r="L289" s="2" t="s">
        <v>1287</v>
      </c>
    </row>
    <row r="290">
      <c r="A290" s="2" t="s">
        <v>316</v>
      </c>
      <c r="B290" s="3">
        <v>46253.0</v>
      </c>
      <c r="C290" s="2" t="s">
        <v>317</v>
      </c>
      <c r="D290" s="2" t="s">
        <v>318</v>
      </c>
      <c r="E290" s="2" t="s">
        <v>22</v>
      </c>
      <c r="F290" s="4">
        <v>1400.0</v>
      </c>
      <c r="G290" s="2" t="s">
        <v>320</v>
      </c>
      <c r="H290" s="4">
        <v>0.0</v>
      </c>
      <c r="I290" s="2" t="s">
        <v>77</v>
      </c>
      <c r="K290" s="2" t="s">
        <v>26</v>
      </c>
      <c r="L290" s="2" t="s">
        <v>1304</v>
      </c>
    </row>
    <row r="291">
      <c r="A291" s="2" t="s">
        <v>354</v>
      </c>
      <c r="B291" s="3">
        <v>46254.0</v>
      </c>
      <c r="C291" s="2" t="s">
        <v>356</v>
      </c>
      <c r="D291" s="2" t="s">
        <v>358</v>
      </c>
      <c r="E291" s="2" t="s">
        <v>22</v>
      </c>
      <c r="F291" s="4">
        <v>1200.0</v>
      </c>
      <c r="G291" s="2" t="s">
        <v>360</v>
      </c>
      <c r="H291" s="4">
        <v>0.0</v>
      </c>
      <c r="I291" s="2" t="s">
        <v>77</v>
      </c>
      <c r="K291" s="2" t="s">
        <v>26</v>
      </c>
      <c r="L291" s="2" t="s">
        <v>1322</v>
      </c>
    </row>
    <row r="292">
      <c r="A292" s="2" t="s">
        <v>822</v>
      </c>
      <c r="B292" s="3">
        <v>46254.0</v>
      </c>
      <c r="C292" s="2" t="s">
        <v>664</v>
      </c>
      <c r="D292" s="2" t="s">
        <v>665</v>
      </c>
      <c r="E292" s="2" t="s">
        <v>290</v>
      </c>
      <c r="F292" s="4">
        <v>4.0</v>
      </c>
      <c r="H292" s="4">
        <v>2.0</v>
      </c>
      <c r="I292" s="2" t="s">
        <v>25</v>
      </c>
      <c r="K292" s="2" t="s">
        <v>26</v>
      </c>
      <c r="L292" s="2" t="s">
        <v>1327</v>
      </c>
    </row>
    <row r="293">
      <c r="A293" s="2" t="s">
        <v>289</v>
      </c>
      <c r="B293" s="3">
        <v>46254.76835247685</v>
      </c>
      <c r="C293" s="2" t="s">
        <v>32</v>
      </c>
      <c r="D293" s="2" t="s">
        <v>34</v>
      </c>
      <c r="E293" s="2" t="s">
        <v>290</v>
      </c>
      <c r="F293" s="4">
        <v>7.0</v>
      </c>
      <c r="H293" s="4">
        <v>0.0</v>
      </c>
      <c r="I293" s="2" t="s">
        <v>77</v>
      </c>
      <c r="J293" s="2" t="s">
        <v>1363</v>
      </c>
      <c r="K293" s="2" t="s">
        <v>26</v>
      </c>
    </row>
    <row r="294">
      <c r="A294" s="2" t="s">
        <v>652</v>
      </c>
      <c r="B294" s="3">
        <v>46254.768718182866</v>
      </c>
      <c r="C294" s="2" t="s">
        <v>278</v>
      </c>
      <c r="D294" s="2" t="s">
        <v>279</v>
      </c>
      <c r="E294" s="2" t="s">
        <v>290</v>
      </c>
      <c r="F294" s="4">
        <v>4.0</v>
      </c>
      <c r="H294" s="4">
        <v>4.0</v>
      </c>
      <c r="I294" s="2" t="s">
        <v>25</v>
      </c>
      <c r="J294" s="2" t="s">
        <v>1366</v>
      </c>
      <c r="K294" s="2" t="s">
        <v>26</v>
      </c>
    </row>
    <row r="295">
      <c r="A295" s="2" t="s">
        <v>671</v>
      </c>
      <c r="B295" s="3">
        <v>46254.76942420139</v>
      </c>
      <c r="C295" s="2" t="s">
        <v>672</v>
      </c>
      <c r="D295" s="2" t="s">
        <v>673</v>
      </c>
      <c r="E295" s="2" t="s">
        <v>290</v>
      </c>
      <c r="F295" s="4">
        <v>5.0</v>
      </c>
      <c r="H295" s="4">
        <v>5.0</v>
      </c>
      <c r="I295" s="2" t="s">
        <v>25</v>
      </c>
      <c r="J295" s="2" t="s">
        <v>1371</v>
      </c>
      <c r="K295" s="2" t="s">
        <v>26</v>
      </c>
    </row>
    <row r="296">
      <c r="A296" s="2" t="s">
        <v>679</v>
      </c>
      <c r="B296" s="3">
        <v>46254.76971263889</v>
      </c>
      <c r="C296" s="2" t="s">
        <v>269</v>
      </c>
      <c r="D296" s="2" t="s">
        <v>270</v>
      </c>
      <c r="E296" s="2" t="s">
        <v>290</v>
      </c>
      <c r="F296" s="4">
        <v>5.0</v>
      </c>
      <c r="H296" s="4">
        <v>4.0</v>
      </c>
      <c r="I296" s="2" t="s">
        <v>25</v>
      </c>
      <c r="J296" s="2" t="s">
        <v>1371</v>
      </c>
      <c r="K296" s="2" t="s">
        <v>26</v>
      </c>
    </row>
    <row r="297">
      <c r="A297" s="2" t="s">
        <v>686</v>
      </c>
      <c r="B297" s="3">
        <v>46254.77112795139</v>
      </c>
      <c r="C297" s="2" t="s">
        <v>687</v>
      </c>
      <c r="D297" s="2" t="s">
        <v>689</v>
      </c>
      <c r="E297" s="2" t="s">
        <v>290</v>
      </c>
      <c r="F297" s="4">
        <v>2.0</v>
      </c>
      <c r="H297" s="4">
        <v>2.0</v>
      </c>
      <c r="I297" s="2" t="s">
        <v>25</v>
      </c>
      <c r="J297" s="2" t="s">
        <v>1372</v>
      </c>
      <c r="K297" s="2" t="s">
        <v>26</v>
      </c>
    </row>
    <row r="298">
      <c r="A298" s="2" t="s">
        <v>327</v>
      </c>
      <c r="B298" s="3">
        <v>46254.0</v>
      </c>
      <c r="C298" s="2" t="s">
        <v>328</v>
      </c>
      <c r="D298" s="2" t="s">
        <v>329</v>
      </c>
      <c r="E298" s="2" t="s">
        <v>22</v>
      </c>
      <c r="F298" s="4">
        <v>1400.0</v>
      </c>
      <c r="G298" s="2" t="s">
        <v>331</v>
      </c>
      <c r="H298" s="4">
        <v>0.0</v>
      </c>
      <c r="I298" s="2" t="s">
        <v>77</v>
      </c>
      <c r="K298" s="2" t="s">
        <v>26</v>
      </c>
      <c r="L298" s="2" t="s">
        <v>1330</v>
      </c>
    </row>
    <row r="299">
      <c r="A299" s="2" t="s">
        <v>335</v>
      </c>
      <c r="B299" s="3">
        <v>46254.0</v>
      </c>
      <c r="C299" s="2" t="s">
        <v>328</v>
      </c>
      <c r="D299" s="2" t="s">
        <v>329</v>
      </c>
      <c r="E299" s="2" t="s">
        <v>22</v>
      </c>
      <c r="F299" s="4">
        <v>1400.0</v>
      </c>
      <c r="G299" s="2" t="s">
        <v>331</v>
      </c>
      <c r="H299" s="4">
        <v>0.0</v>
      </c>
      <c r="I299" s="2" t="s">
        <v>77</v>
      </c>
      <c r="K299" s="2" t="s">
        <v>26</v>
      </c>
      <c r="L299" s="2" t="s">
        <v>1334</v>
      </c>
    </row>
    <row r="300">
      <c r="A300" s="2" t="s">
        <v>629</v>
      </c>
      <c r="B300" s="3">
        <v>46258.0</v>
      </c>
      <c r="C300" s="2" t="s">
        <v>21</v>
      </c>
      <c r="D300" s="2" t="s">
        <v>23</v>
      </c>
      <c r="E300" s="2" t="s">
        <v>616</v>
      </c>
      <c r="F300" s="4">
        <v>40.0</v>
      </c>
      <c r="H300" s="4">
        <v>0.0</v>
      </c>
      <c r="I300" s="2" t="s">
        <v>77</v>
      </c>
      <c r="K300" s="2" t="s">
        <v>26</v>
      </c>
      <c r="L300" s="2" t="s">
        <v>1337</v>
      </c>
    </row>
    <row r="301">
      <c r="A301" s="2" t="s">
        <v>743</v>
      </c>
      <c r="B301" s="3">
        <v>46258.0</v>
      </c>
      <c r="C301" s="2" t="s">
        <v>32</v>
      </c>
      <c r="D301" s="2" t="s">
        <v>34</v>
      </c>
      <c r="E301" s="2" t="s">
        <v>290</v>
      </c>
      <c r="F301" s="4">
        <v>4.0</v>
      </c>
      <c r="H301" s="4">
        <v>0.0</v>
      </c>
      <c r="I301" s="2" t="s">
        <v>77</v>
      </c>
      <c r="K301" s="2" t="s">
        <v>26</v>
      </c>
      <c r="L301" s="2" t="s">
        <v>1337</v>
      </c>
    </row>
    <row r="302">
      <c r="A302" s="2" t="s">
        <v>1378</v>
      </c>
      <c r="B302" s="3">
        <v>46258.0</v>
      </c>
      <c r="C302" s="2" t="s">
        <v>945</v>
      </c>
      <c r="D302" s="2" t="s">
        <v>946</v>
      </c>
      <c r="E302" s="2" t="s">
        <v>616</v>
      </c>
      <c r="F302" s="4">
        <v>25.0</v>
      </c>
      <c r="H302" s="4">
        <v>25.0</v>
      </c>
      <c r="I302" s="2" t="s">
        <v>25</v>
      </c>
      <c r="K302" s="2" t="s">
        <v>26</v>
      </c>
      <c r="L302" s="2" t="s">
        <v>1337</v>
      </c>
    </row>
    <row r="303">
      <c r="A303" s="2" t="s">
        <v>1382</v>
      </c>
      <c r="B303" s="3">
        <v>46258.0</v>
      </c>
      <c r="C303" s="2" t="s">
        <v>753</v>
      </c>
      <c r="D303" s="2" t="s">
        <v>755</v>
      </c>
      <c r="E303" s="2" t="s">
        <v>290</v>
      </c>
      <c r="F303" s="4">
        <v>25.0</v>
      </c>
      <c r="H303" s="4">
        <v>25.0</v>
      </c>
      <c r="I303" s="2" t="s">
        <v>25</v>
      </c>
      <c r="K303" s="2" t="s">
        <v>26</v>
      </c>
      <c r="L303" s="2" t="s">
        <v>1337</v>
      </c>
    </row>
    <row r="304">
      <c r="A304" s="2" t="s">
        <v>848</v>
      </c>
      <c r="B304" s="3">
        <v>46258.0</v>
      </c>
      <c r="C304" s="2" t="s">
        <v>523</v>
      </c>
      <c r="D304" s="2" t="s">
        <v>528</v>
      </c>
      <c r="E304" s="2" t="s">
        <v>616</v>
      </c>
      <c r="F304" s="4">
        <v>10.0</v>
      </c>
      <c r="H304" s="4">
        <v>0.0</v>
      </c>
      <c r="I304" s="2" t="s">
        <v>77</v>
      </c>
      <c r="K304" s="2" t="s">
        <v>26</v>
      </c>
      <c r="L304" s="2" t="s">
        <v>1337</v>
      </c>
    </row>
    <row r="305">
      <c r="A305" s="2" t="s">
        <v>931</v>
      </c>
      <c r="B305" s="3">
        <v>46258.0</v>
      </c>
      <c r="C305" s="2" t="s">
        <v>562</v>
      </c>
      <c r="D305" s="2" t="s">
        <v>567</v>
      </c>
      <c r="E305" s="2" t="s">
        <v>616</v>
      </c>
      <c r="F305" s="4">
        <v>6.0</v>
      </c>
      <c r="H305" s="4">
        <v>4.0</v>
      </c>
      <c r="I305" s="2" t="s">
        <v>25</v>
      </c>
      <c r="K305" s="2" t="s">
        <v>26</v>
      </c>
      <c r="L305" s="2" t="s">
        <v>1337</v>
      </c>
    </row>
    <row r="306">
      <c r="A306" s="2" t="s">
        <v>1383</v>
      </c>
      <c r="B306" s="3">
        <v>46258.0</v>
      </c>
      <c r="C306" s="2" t="s">
        <v>598</v>
      </c>
      <c r="D306" s="2" t="s">
        <v>604</v>
      </c>
      <c r="E306" s="2" t="s">
        <v>616</v>
      </c>
      <c r="F306" s="4">
        <v>20.0</v>
      </c>
      <c r="H306" s="4">
        <v>20.0</v>
      </c>
      <c r="I306" s="2" t="s">
        <v>25</v>
      </c>
      <c r="K306" s="2" t="s">
        <v>26</v>
      </c>
      <c r="L306" s="2" t="s">
        <v>1337</v>
      </c>
    </row>
    <row r="307">
      <c r="A307" s="2" t="s">
        <v>618</v>
      </c>
      <c r="B307" s="3">
        <v>46258.0</v>
      </c>
      <c r="C307" s="2" t="s">
        <v>301</v>
      </c>
      <c r="D307" s="2" t="s">
        <v>302</v>
      </c>
      <c r="E307" s="2" t="s">
        <v>661</v>
      </c>
      <c r="F307" s="4">
        <v>499.97</v>
      </c>
      <c r="H307" s="4">
        <v>79.97000000000003</v>
      </c>
      <c r="I307" s="2" t="s">
        <v>25</v>
      </c>
      <c r="K307" s="2" t="s">
        <v>26</v>
      </c>
      <c r="L307" s="2" t="s">
        <v>1340</v>
      </c>
    </row>
    <row r="308">
      <c r="A308" s="2" t="s">
        <v>1389</v>
      </c>
      <c r="B308" s="3">
        <v>46255.0</v>
      </c>
      <c r="C308" s="2" t="s">
        <v>261</v>
      </c>
      <c r="D308" s="2" t="s">
        <v>262</v>
      </c>
      <c r="E308" s="2" t="s">
        <v>22</v>
      </c>
      <c r="F308" s="4">
        <v>432.0</v>
      </c>
      <c r="G308" s="2" t="s">
        <v>1390</v>
      </c>
      <c r="H308" s="4">
        <v>432.0</v>
      </c>
      <c r="I308" s="2" t="s">
        <v>25</v>
      </c>
      <c r="K308" s="2" t="s">
        <v>26</v>
      </c>
      <c r="L308" s="2" t="s">
        <v>1343</v>
      </c>
    </row>
    <row r="309">
      <c r="A309" s="2" t="s">
        <v>363</v>
      </c>
      <c r="B309" s="3">
        <v>46255.0</v>
      </c>
      <c r="C309" s="2" t="s">
        <v>365</v>
      </c>
      <c r="D309" s="2" t="s">
        <v>367</v>
      </c>
      <c r="E309" s="2" t="s">
        <v>22</v>
      </c>
      <c r="F309" s="4">
        <v>1200.0</v>
      </c>
      <c r="G309" s="2" t="s">
        <v>368</v>
      </c>
      <c r="H309" s="4">
        <v>0.0</v>
      </c>
      <c r="I309" s="2" t="s">
        <v>77</v>
      </c>
      <c r="K309" s="2" t="s">
        <v>26</v>
      </c>
      <c r="L309" s="2" t="s">
        <v>1343</v>
      </c>
    </row>
    <row r="310">
      <c r="A310" s="2" t="s">
        <v>346</v>
      </c>
      <c r="B310" s="3">
        <v>46258.0</v>
      </c>
      <c r="C310" s="2" t="s">
        <v>347</v>
      </c>
      <c r="D310" s="2" t="s">
        <v>349</v>
      </c>
      <c r="E310" s="2" t="s">
        <v>22</v>
      </c>
      <c r="F310" s="4">
        <v>600.0</v>
      </c>
      <c r="G310" s="2" t="s">
        <v>351</v>
      </c>
      <c r="H310" s="4">
        <v>0.0</v>
      </c>
      <c r="I310" s="2" t="s">
        <v>77</v>
      </c>
      <c r="K310" s="2" t="s">
        <v>26</v>
      </c>
      <c r="L310" s="2" t="s">
        <v>1350</v>
      </c>
    </row>
    <row r="311">
      <c r="A311" s="2" t="s">
        <v>1391</v>
      </c>
      <c r="B311" s="3">
        <v>46258.0</v>
      </c>
      <c r="C311" s="2" t="s">
        <v>1393</v>
      </c>
      <c r="D311" s="2" t="s">
        <v>1394</v>
      </c>
      <c r="E311" s="2" t="s">
        <v>22</v>
      </c>
      <c r="F311" s="4">
        <v>500.0</v>
      </c>
      <c r="H311" s="4">
        <v>500.0</v>
      </c>
      <c r="I311" s="2" t="s">
        <v>25</v>
      </c>
      <c r="K311" s="2" t="s">
        <v>26</v>
      </c>
      <c r="L311" s="2" t="s">
        <v>1350</v>
      </c>
    </row>
    <row r="312">
      <c r="A312" s="2" t="s">
        <v>1399</v>
      </c>
      <c r="B312" s="3">
        <v>46251.0</v>
      </c>
      <c r="C312" s="2" t="s">
        <v>1400</v>
      </c>
      <c r="D312" s="2" t="s">
        <v>1401</v>
      </c>
      <c r="E312" s="2" t="s">
        <v>290</v>
      </c>
      <c r="F312" s="4">
        <v>2.5</v>
      </c>
      <c r="H312" s="4">
        <v>2.5</v>
      </c>
      <c r="I312" s="2" t="s">
        <v>25</v>
      </c>
      <c r="K312" s="2" t="s">
        <v>26</v>
      </c>
      <c r="L312" s="2" t="s">
        <v>1354</v>
      </c>
    </row>
    <row r="313">
      <c r="A313" s="2" t="s">
        <v>400</v>
      </c>
      <c r="B313" s="3">
        <v>46260.0</v>
      </c>
      <c r="C313" s="2" t="s">
        <v>201</v>
      </c>
      <c r="D313" s="2" t="s">
        <v>202</v>
      </c>
      <c r="E313" s="2" t="s">
        <v>22</v>
      </c>
      <c r="F313" s="4">
        <v>600.0</v>
      </c>
      <c r="G313" s="2" t="s">
        <v>403</v>
      </c>
      <c r="H313" s="4">
        <v>0.0</v>
      </c>
      <c r="I313" s="2" t="s">
        <v>77</v>
      </c>
      <c r="K313" s="2" t="s">
        <v>26</v>
      </c>
      <c r="L313" s="2" t="s">
        <v>1357</v>
      </c>
    </row>
    <row r="314">
      <c r="A314" s="2" t="s">
        <v>452</v>
      </c>
      <c r="B314" s="3">
        <v>46260.0</v>
      </c>
      <c r="C314" s="2" t="s">
        <v>61</v>
      </c>
      <c r="D314" s="2" t="s">
        <v>62</v>
      </c>
      <c r="E314" s="2" t="s">
        <v>22</v>
      </c>
      <c r="F314" s="4">
        <v>1000.0</v>
      </c>
      <c r="G314" s="2" t="s">
        <v>455</v>
      </c>
      <c r="H314" s="4">
        <v>0.0</v>
      </c>
      <c r="I314" s="2" t="s">
        <v>77</v>
      </c>
      <c r="K314" s="2" t="s">
        <v>26</v>
      </c>
      <c r="L314" s="2" t="s">
        <v>1357</v>
      </c>
    </row>
    <row r="315">
      <c r="A315" s="2" t="s">
        <v>408</v>
      </c>
      <c r="B315" s="3">
        <v>46260.0</v>
      </c>
      <c r="C315" s="2" t="s">
        <v>147</v>
      </c>
      <c r="D315" s="2" t="s">
        <v>148</v>
      </c>
      <c r="E315" s="2" t="s">
        <v>22</v>
      </c>
      <c r="F315" s="4">
        <v>200.0</v>
      </c>
      <c r="G315" s="2" t="s">
        <v>410</v>
      </c>
      <c r="H315" s="4">
        <v>0.0</v>
      </c>
      <c r="I315" s="2" t="s">
        <v>77</v>
      </c>
      <c r="K315" s="2" t="s">
        <v>26</v>
      </c>
      <c r="L315" s="2" t="s">
        <v>1357</v>
      </c>
    </row>
    <row r="316">
      <c r="A316" s="2" t="s">
        <v>459</v>
      </c>
      <c r="B316" s="3">
        <v>46260.0</v>
      </c>
      <c r="C316" s="2" t="s">
        <v>87</v>
      </c>
      <c r="D316" s="2" t="s">
        <v>88</v>
      </c>
      <c r="E316" s="2" t="s">
        <v>22</v>
      </c>
      <c r="F316" s="4">
        <v>100.0</v>
      </c>
      <c r="G316" s="2" t="s">
        <v>1405</v>
      </c>
      <c r="H316" s="4">
        <v>0.0</v>
      </c>
      <c r="I316" s="2" t="s">
        <v>77</v>
      </c>
      <c r="K316" s="2" t="s">
        <v>26</v>
      </c>
      <c r="L316" s="2" t="s">
        <v>1357</v>
      </c>
    </row>
    <row r="317">
      <c r="A317" s="2" t="s">
        <v>1406</v>
      </c>
      <c r="B317" s="3">
        <v>46260.0</v>
      </c>
      <c r="C317" s="2" t="s">
        <v>1408</v>
      </c>
      <c r="D317" s="2" t="s">
        <v>1409</v>
      </c>
      <c r="E317" s="2" t="s">
        <v>22</v>
      </c>
      <c r="F317" s="4">
        <v>500.0</v>
      </c>
      <c r="G317" s="2" t="s">
        <v>1410</v>
      </c>
      <c r="H317" s="4">
        <v>500.0</v>
      </c>
      <c r="I317" s="2" t="s">
        <v>25</v>
      </c>
      <c r="K317" s="2" t="s">
        <v>26</v>
      </c>
      <c r="L317" s="2" t="s">
        <v>1357</v>
      </c>
    </row>
    <row r="318">
      <c r="A318" s="2" t="s">
        <v>414</v>
      </c>
      <c r="B318" s="3">
        <v>46260.0</v>
      </c>
      <c r="C318" s="2" t="s">
        <v>415</v>
      </c>
      <c r="D318" s="2" t="s">
        <v>416</v>
      </c>
      <c r="E318" s="2" t="s">
        <v>22</v>
      </c>
      <c r="F318" s="4">
        <v>1000.0</v>
      </c>
      <c r="G318" s="2" t="s">
        <v>418</v>
      </c>
      <c r="H318" s="4">
        <v>0.0</v>
      </c>
      <c r="I318" s="2" t="s">
        <v>77</v>
      </c>
      <c r="K318" s="2" t="s">
        <v>26</v>
      </c>
      <c r="L318" s="2" t="s">
        <v>1357</v>
      </c>
    </row>
    <row r="319">
      <c r="A319" s="2" t="s">
        <v>465</v>
      </c>
      <c r="B319" s="3">
        <v>46260.0</v>
      </c>
      <c r="C319" s="2" t="s">
        <v>308</v>
      </c>
      <c r="D319" s="2" t="s">
        <v>309</v>
      </c>
      <c r="E319" s="2" t="s">
        <v>22</v>
      </c>
      <c r="F319" s="4">
        <v>800.0</v>
      </c>
      <c r="G319" s="2" t="s">
        <v>468</v>
      </c>
      <c r="H319" s="4">
        <v>0.0</v>
      </c>
      <c r="I319" s="2" t="s">
        <v>77</v>
      </c>
      <c r="K319" s="2" t="s">
        <v>26</v>
      </c>
      <c r="L319" s="2" t="s">
        <v>1361</v>
      </c>
    </row>
    <row r="320">
      <c r="A320" s="2" t="s">
        <v>423</v>
      </c>
      <c r="B320" s="3">
        <v>46260.0</v>
      </c>
      <c r="C320" s="2" t="s">
        <v>424</v>
      </c>
      <c r="D320" s="2" t="s">
        <v>425</v>
      </c>
      <c r="E320" s="2" t="s">
        <v>22</v>
      </c>
      <c r="F320" s="4">
        <v>1000.0</v>
      </c>
      <c r="G320" s="2" t="s">
        <v>427</v>
      </c>
      <c r="H320" s="4">
        <v>0.0</v>
      </c>
      <c r="I320" s="2" t="s">
        <v>77</v>
      </c>
      <c r="K320" s="2" t="s">
        <v>26</v>
      </c>
      <c r="L320" s="2" t="s">
        <v>1361</v>
      </c>
    </row>
    <row r="321">
      <c r="A321" s="2" t="s">
        <v>782</v>
      </c>
      <c r="B321" s="3">
        <v>46260.0</v>
      </c>
      <c r="C321" s="2" t="s">
        <v>365</v>
      </c>
      <c r="D321" s="2" t="s">
        <v>367</v>
      </c>
      <c r="E321" s="2" t="s">
        <v>22</v>
      </c>
      <c r="F321" s="4">
        <v>1728.0</v>
      </c>
      <c r="G321" s="2" t="s">
        <v>1414</v>
      </c>
      <c r="H321" s="4">
        <v>0.0</v>
      </c>
      <c r="I321" s="2" t="s">
        <v>77</v>
      </c>
      <c r="K321" s="2" t="s">
        <v>26</v>
      </c>
      <c r="L321" s="2" t="s">
        <v>1364</v>
      </c>
    </row>
    <row r="322">
      <c r="A322" s="2" t="s">
        <v>383</v>
      </c>
      <c r="B322" s="3">
        <v>46259.0</v>
      </c>
      <c r="C322" s="2" t="s">
        <v>365</v>
      </c>
      <c r="D322" s="2" t="s">
        <v>367</v>
      </c>
      <c r="E322" s="2" t="s">
        <v>22</v>
      </c>
      <c r="F322" s="4">
        <v>2592.0</v>
      </c>
      <c r="G322" s="2" t="s">
        <v>384</v>
      </c>
      <c r="H322" s="4">
        <v>0.0</v>
      </c>
      <c r="I322" s="2" t="s">
        <v>77</v>
      </c>
      <c r="K322" s="2" t="s">
        <v>26</v>
      </c>
      <c r="L322" s="2" t="s">
        <v>1367</v>
      </c>
    </row>
    <row r="323">
      <c r="A323" s="2" t="s">
        <v>1416</v>
      </c>
      <c r="B323" s="3">
        <v>46259.0</v>
      </c>
      <c r="C323" s="2" t="s">
        <v>328</v>
      </c>
      <c r="D323" s="2" t="s">
        <v>329</v>
      </c>
      <c r="E323" s="2" t="s">
        <v>22</v>
      </c>
      <c r="F323" s="4">
        <v>1500.0</v>
      </c>
      <c r="G323" s="2" t="s">
        <v>1418</v>
      </c>
      <c r="H323" s="4">
        <v>1500.0</v>
      </c>
      <c r="I323" s="2" t="s">
        <v>25</v>
      </c>
      <c r="K323" s="2" t="s">
        <v>26</v>
      </c>
      <c r="L323" s="2" t="s">
        <v>1373</v>
      </c>
    </row>
    <row r="324">
      <c r="A324" s="2" t="s">
        <v>374</v>
      </c>
      <c r="B324" s="3">
        <v>46261.0</v>
      </c>
      <c r="C324" s="2" t="s">
        <v>365</v>
      </c>
      <c r="D324" s="2" t="s">
        <v>367</v>
      </c>
      <c r="E324" s="2" t="s">
        <v>22</v>
      </c>
      <c r="F324" s="4">
        <v>1728.0</v>
      </c>
      <c r="G324" s="2" t="s">
        <v>376</v>
      </c>
      <c r="H324" s="4">
        <v>0.0</v>
      </c>
      <c r="I324" s="2" t="s">
        <v>77</v>
      </c>
      <c r="K324" s="2" t="s">
        <v>26</v>
      </c>
      <c r="L324" s="2" t="s">
        <v>1379</v>
      </c>
    </row>
    <row r="325">
      <c r="A325" s="2" t="s">
        <v>471</v>
      </c>
      <c r="B325" s="3">
        <v>46265.0</v>
      </c>
      <c r="C325" s="2" t="s">
        <v>472</v>
      </c>
      <c r="D325" s="2" t="s">
        <v>475</v>
      </c>
      <c r="E325" s="2" t="s">
        <v>22</v>
      </c>
      <c r="F325" s="4">
        <v>200.0</v>
      </c>
      <c r="G325" s="2" t="s">
        <v>476</v>
      </c>
      <c r="H325" s="4">
        <v>0.0</v>
      </c>
      <c r="I325" s="2" t="s">
        <v>77</v>
      </c>
      <c r="K325" s="2" t="s">
        <v>26</v>
      </c>
      <c r="L325" s="2" t="s">
        <v>1385</v>
      </c>
    </row>
    <row r="326">
      <c r="A326" s="2" t="s">
        <v>524</v>
      </c>
      <c r="B326" s="3">
        <v>46266.0</v>
      </c>
      <c r="C326" s="2" t="s">
        <v>32</v>
      </c>
      <c r="D326" s="2" t="s">
        <v>34</v>
      </c>
      <c r="E326" s="2" t="s">
        <v>290</v>
      </c>
      <c r="F326" s="4">
        <v>6.0</v>
      </c>
      <c r="H326" s="4">
        <v>1.0</v>
      </c>
      <c r="I326" s="2" t="s">
        <v>25</v>
      </c>
      <c r="K326" s="2" t="s">
        <v>26</v>
      </c>
      <c r="L326" s="2" t="s">
        <v>1392</v>
      </c>
    </row>
    <row r="327">
      <c r="A327" s="2" t="s">
        <v>1422</v>
      </c>
      <c r="B327" s="3">
        <v>46266.0</v>
      </c>
      <c r="C327" s="2" t="s">
        <v>901</v>
      </c>
      <c r="D327" s="2" t="s">
        <v>904</v>
      </c>
      <c r="E327" s="2" t="s">
        <v>290</v>
      </c>
      <c r="F327" s="4">
        <v>20.0</v>
      </c>
      <c r="H327" s="4">
        <v>20.0</v>
      </c>
      <c r="I327" s="2" t="s">
        <v>25</v>
      </c>
      <c r="K327" s="2" t="s">
        <v>26</v>
      </c>
      <c r="L327" s="2" t="s">
        <v>1392</v>
      </c>
    </row>
    <row r="328">
      <c r="A328" s="2" t="s">
        <v>537</v>
      </c>
      <c r="B328" s="3">
        <v>46265.0</v>
      </c>
      <c r="C328" s="2" t="s">
        <v>538</v>
      </c>
      <c r="D328" s="2" t="s">
        <v>539</v>
      </c>
      <c r="E328" s="2" t="s">
        <v>22</v>
      </c>
      <c r="F328" s="4">
        <v>1296.0</v>
      </c>
      <c r="G328" s="2" t="s">
        <v>541</v>
      </c>
      <c r="H328" s="4">
        <v>144.0</v>
      </c>
      <c r="I328" s="2" t="s">
        <v>25</v>
      </c>
      <c r="K328" s="2" t="s">
        <v>26</v>
      </c>
      <c r="L328" s="2" t="s">
        <v>1402</v>
      </c>
    </row>
    <row r="329">
      <c r="A329" s="2" t="s">
        <v>479</v>
      </c>
      <c r="B329" s="3">
        <v>46265.0</v>
      </c>
      <c r="C329" s="2" t="s">
        <v>481</v>
      </c>
      <c r="D329" s="2" t="s">
        <v>483</v>
      </c>
      <c r="E329" s="2" t="s">
        <v>22</v>
      </c>
      <c r="F329" s="4">
        <v>720.0</v>
      </c>
      <c r="G329" s="2" t="s">
        <v>485</v>
      </c>
      <c r="H329" s="4">
        <v>0.0</v>
      </c>
      <c r="I329" s="2" t="s">
        <v>77</v>
      </c>
      <c r="K329" s="2" t="s">
        <v>26</v>
      </c>
      <c r="L329" s="2" t="s">
        <v>1402</v>
      </c>
    </row>
    <row r="330">
      <c r="A330" s="2" t="s">
        <v>491</v>
      </c>
      <c r="B330" s="3">
        <v>46265.0</v>
      </c>
      <c r="C330" s="2" t="s">
        <v>492</v>
      </c>
      <c r="D330" s="2" t="s">
        <v>493</v>
      </c>
      <c r="E330" s="2" t="s">
        <v>22</v>
      </c>
      <c r="F330" s="4">
        <v>1440.0</v>
      </c>
      <c r="G330" s="2" t="s">
        <v>495</v>
      </c>
      <c r="H330" s="4">
        <v>0.0</v>
      </c>
      <c r="I330" s="2" t="s">
        <v>77</v>
      </c>
      <c r="K330" s="2" t="s">
        <v>26</v>
      </c>
      <c r="L330" s="2" t="s">
        <v>1402</v>
      </c>
    </row>
    <row r="331">
      <c r="A331" s="2" t="s">
        <v>530</v>
      </c>
      <c r="B331" s="3">
        <v>46266.0</v>
      </c>
      <c r="C331" s="2" t="s">
        <v>147</v>
      </c>
      <c r="D331" s="2" t="s">
        <v>148</v>
      </c>
      <c r="E331" s="2" t="s">
        <v>22</v>
      </c>
      <c r="F331" s="4">
        <v>300.0</v>
      </c>
      <c r="G331" s="2" t="s">
        <v>533</v>
      </c>
      <c r="H331" s="4">
        <v>0.0</v>
      </c>
      <c r="I331" s="2" t="s">
        <v>77</v>
      </c>
      <c r="K331" s="2" t="s">
        <v>26</v>
      </c>
      <c r="L331" s="2" t="s">
        <v>1412</v>
      </c>
    </row>
    <row r="332">
      <c r="A332" s="2" t="s">
        <v>500</v>
      </c>
      <c r="B332" s="3">
        <v>46265.0</v>
      </c>
      <c r="C332" s="2" t="s">
        <v>501</v>
      </c>
      <c r="D332" s="2" t="s">
        <v>502</v>
      </c>
      <c r="E332" s="2" t="s">
        <v>22</v>
      </c>
      <c r="F332" s="4">
        <v>800.0</v>
      </c>
      <c r="G332" s="2" t="s">
        <v>503</v>
      </c>
      <c r="H332" s="4">
        <v>100.0</v>
      </c>
      <c r="I332" s="2" t="s">
        <v>25</v>
      </c>
      <c r="K332" s="2" t="s">
        <v>26</v>
      </c>
      <c r="L332" s="2" t="s">
        <v>1417</v>
      </c>
    </row>
    <row r="333">
      <c r="A333" s="2" t="s">
        <v>850</v>
      </c>
      <c r="B333" s="3">
        <v>46267.60849381944</v>
      </c>
      <c r="C333" s="2" t="s">
        <v>654</v>
      </c>
      <c r="D333" s="2" t="s">
        <v>655</v>
      </c>
      <c r="E333" s="2" t="s">
        <v>290</v>
      </c>
      <c r="F333" s="4">
        <v>5.0</v>
      </c>
      <c r="H333" s="4">
        <v>5.0</v>
      </c>
      <c r="I333" s="2" t="s">
        <v>25</v>
      </c>
      <c r="J333" s="2" t="s">
        <v>1371</v>
      </c>
      <c r="K333" s="2" t="s">
        <v>26</v>
      </c>
    </row>
    <row r="334">
      <c r="A334" s="2" t="s">
        <v>869</v>
      </c>
      <c r="B334" s="3">
        <v>46267.60948491898</v>
      </c>
      <c r="C334" s="2" t="s">
        <v>728</v>
      </c>
      <c r="D334" s="2" t="s">
        <v>729</v>
      </c>
      <c r="E334" s="2" t="s">
        <v>661</v>
      </c>
      <c r="F334" s="4">
        <v>5.0</v>
      </c>
      <c r="H334" s="4">
        <v>5.0</v>
      </c>
      <c r="I334" s="2" t="s">
        <v>25</v>
      </c>
      <c r="J334" s="2" t="s">
        <v>1371</v>
      </c>
      <c r="K334" s="2" t="s">
        <v>26</v>
      </c>
    </row>
    <row r="335">
      <c r="A335" s="2" t="s">
        <v>880</v>
      </c>
      <c r="B335" s="3">
        <v>46267.60984445602</v>
      </c>
      <c r="C335" s="2" t="s">
        <v>733</v>
      </c>
      <c r="D335" s="2" t="s">
        <v>739</v>
      </c>
      <c r="E335" s="2" t="s">
        <v>661</v>
      </c>
      <c r="F335" s="4">
        <v>1.0</v>
      </c>
      <c r="H335" s="4">
        <v>1.0</v>
      </c>
      <c r="I335" s="2" t="s">
        <v>25</v>
      </c>
      <c r="J335" s="2" t="s">
        <v>1434</v>
      </c>
      <c r="K335" s="2" t="s">
        <v>26</v>
      </c>
    </row>
    <row r="336">
      <c r="A336" s="2" t="s">
        <v>891</v>
      </c>
      <c r="B336" s="3">
        <v>46267.61073585648</v>
      </c>
      <c r="C336" s="2" t="s">
        <v>892</v>
      </c>
      <c r="D336" s="2" t="s">
        <v>893</v>
      </c>
      <c r="E336" s="2" t="s">
        <v>290</v>
      </c>
      <c r="F336" s="4">
        <v>25.0</v>
      </c>
      <c r="H336" s="4">
        <v>25.0</v>
      </c>
      <c r="I336" s="2" t="s">
        <v>25</v>
      </c>
      <c r="J336" s="2" t="s">
        <v>1438</v>
      </c>
      <c r="K336" s="2" t="s">
        <v>26</v>
      </c>
    </row>
    <row r="337">
      <c r="A337" s="2" t="s">
        <v>545</v>
      </c>
      <c r="B337" s="3">
        <v>46255.0</v>
      </c>
      <c r="C337" s="2" t="s">
        <v>546</v>
      </c>
      <c r="D337" s="2" t="s">
        <v>547</v>
      </c>
      <c r="E337" s="2" t="s">
        <v>22</v>
      </c>
      <c r="F337" s="4">
        <v>3945.0</v>
      </c>
      <c r="H337" s="4">
        <v>2400.0</v>
      </c>
      <c r="I337" s="2" t="s">
        <v>25</v>
      </c>
      <c r="K337" s="2" t="s">
        <v>26</v>
      </c>
      <c r="L337" s="2" t="s">
        <v>1423</v>
      </c>
    </row>
    <row r="338">
      <c r="A338" s="2" t="s">
        <v>571</v>
      </c>
      <c r="B338" s="3">
        <v>46255.0</v>
      </c>
      <c r="C338" s="2" t="s">
        <v>573</v>
      </c>
      <c r="D338" s="2" t="s">
        <v>575</v>
      </c>
      <c r="E338" s="2" t="s">
        <v>22</v>
      </c>
      <c r="F338" s="4">
        <v>1600.0</v>
      </c>
      <c r="G338" s="2" t="s">
        <v>578</v>
      </c>
      <c r="H338" s="4">
        <v>0.0</v>
      </c>
      <c r="I338" s="2" t="s">
        <v>77</v>
      </c>
      <c r="K338" s="2" t="s">
        <v>26</v>
      </c>
      <c r="L338" s="2" t="s">
        <v>1423</v>
      </c>
    </row>
    <row r="339">
      <c r="A339" s="2" t="s">
        <v>731</v>
      </c>
      <c r="B339" s="3">
        <v>46255.0</v>
      </c>
      <c r="C339" s="2" t="s">
        <v>734</v>
      </c>
      <c r="D339" s="2" t="s">
        <v>736</v>
      </c>
      <c r="E339" s="2" t="s">
        <v>22</v>
      </c>
      <c r="F339" s="4">
        <v>2560.0</v>
      </c>
      <c r="H339" s="2">
        <v>1000.0</v>
      </c>
      <c r="I339" s="2" t="s">
        <v>25</v>
      </c>
      <c r="K339" s="2" t="s">
        <v>26</v>
      </c>
      <c r="L339" s="2" t="s">
        <v>1423</v>
      </c>
    </row>
    <row r="340">
      <c r="A340" s="2" t="s">
        <v>583</v>
      </c>
      <c r="B340" s="3">
        <v>46267.0</v>
      </c>
      <c r="C340" s="2" t="s">
        <v>584</v>
      </c>
      <c r="D340" s="2" t="s">
        <v>585</v>
      </c>
      <c r="E340" s="2" t="s">
        <v>22</v>
      </c>
      <c r="F340" s="4">
        <v>5300.0</v>
      </c>
      <c r="G340" s="2" t="s">
        <v>587</v>
      </c>
      <c r="H340" s="4">
        <v>0.0</v>
      </c>
      <c r="I340" s="2" t="s">
        <v>77</v>
      </c>
      <c r="K340" s="2" t="s">
        <v>26</v>
      </c>
      <c r="L340" s="2" t="s">
        <v>1430</v>
      </c>
    </row>
    <row r="341">
      <c r="A341" s="2" t="s">
        <v>1444</v>
      </c>
      <c r="B341" s="3">
        <v>46267.0</v>
      </c>
      <c r="C341" s="2" t="s">
        <v>1445</v>
      </c>
      <c r="D341" s="2" t="s">
        <v>1446</v>
      </c>
      <c r="E341" s="2" t="s">
        <v>22</v>
      </c>
      <c r="F341" s="4">
        <v>60000.0</v>
      </c>
      <c r="G341" s="2" t="s">
        <v>1448</v>
      </c>
      <c r="H341" s="4">
        <v>60000.0</v>
      </c>
      <c r="I341" s="2" t="s">
        <v>25</v>
      </c>
      <c r="K341" s="2" t="s">
        <v>26</v>
      </c>
      <c r="L341" s="2" t="s">
        <v>1436</v>
      </c>
    </row>
    <row r="342">
      <c r="A342" s="2" t="s">
        <v>591</v>
      </c>
      <c r="B342" s="3">
        <v>46269.0</v>
      </c>
      <c r="C342" s="2" t="s">
        <v>593</v>
      </c>
      <c r="D342" s="2" t="s">
        <v>594</v>
      </c>
      <c r="E342" s="2" t="s">
        <v>22</v>
      </c>
      <c r="F342" s="4">
        <v>1200.0</v>
      </c>
      <c r="G342" s="2" t="s">
        <v>596</v>
      </c>
      <c r="H342" s="4">
        <v>0.0</v>
      </c>
      <c r="I342" s="2" t="s">
        <v>77</v>
      </c>
      <c r="K342" s="2" t="s">
        <v>26</v>
      </c>
      <c r="L342" s="2" t="s">
        <v>1441</v>
      </c>
    </row>
    <row r="343">
      <c r="A343" s="2" t="s">
        <v>603</v>
      </c>
      <c r="B343" s="3">
        <v>46269.0</v>
      </c>
      <c r="C343" s="2" t="s">
        <v>41</v>
      </c>
      <c r="D343" s="2" t="s">
        <v>42</v>
      </c>
      <c r="E343" s="2" t="s">
        <v>22</v>
      </c>
      <c r="F343" s="4">
        <v>3100.0</v>
      </c>
      <c r="G343" s="2" t="s">
        <v>606</v>
      </c>
      <c r="H343" s="4">
        <v>0.0</v>
      </c>
      <c r="I343" s="2" t="s">
        <v>77</v>
      </c>
      <c r="K343" s="2" t="s">
        <v>26</v>
      </c>
      <c r="L343" s="2" t="s">
        <v>1441</v>
      </c>
    </row>
    <row r="344">
      <c r="A344" s="2" t="s">
        <v>1451</v>
      </c>
      <c r="B344" s="3">
        <v>46269.0</v>
      </c>
      <c r="C344" s="2" t="s">
        <v>87</v>
      </c>
      <c r="D344" s="2" t="s">
        <v>88</v>
      </c>
      <c r="E344" s="2" t="s">
        <v>22</v>
      </c>
      <c r="F344" s="4">
        <v>800.0</v>
      </c>
      <c r="G344" s="2" t="s">
        <v>1455</v>
      </c>
      <c r="H344" s="4">
        <v>800.0</v>
      </c>
      <c r="I344" s="2" t="s">
        <v>25</v>
      </c>
      <c r="K344" s="2" t="s">
        <v>26</v>
      </c>
      <c r="L344" s="2" t="s">
        <v>1441</v>
      </c>
    </row>
    <row r="345">
      <c r="A345" s="2" t="s">
        <v>611</v>
      </c>
      <c r="B345" s="3">
        <v>46269.0</v>
      </c>
      <c r="C345" s="2" t="s">
        <v>79</v>
      </c>
      <c r="D345" s="2" t="s">
        <v>80</v>
      </c>
      <c r="E345" s="2" t="s">
        <v>22</v>
      </c>
      <c r="F345" s="4">
        <v>1100.0</v>
      </c>
      <c r="G345" s="2" t="s">
        <v>613</v>
      </c>
      <c r="H345" s="4">
        <v>0.0</v>
      </c>
      <c r="I345" s="2" t="s">
        <v>77</v>
      </c>
      <c r="K345" s="2" t="s">
        <v>26</v>
      </c>
      <c r="L345" s="2" t="s">
        <v>1441</v>
      </c>
    </row>
    <row r="346">
      <c r="A346" s="2" t="s">
        <v>1461</v>
      </c>
      <c r="B346" s="3">
        <v>46270.0</v>
      </c>
      <c r="C346" s="2" t="s">
        <v>989</v>
      </c>
      <c r="D346" s="2" t="s">
        <v>991</v>
      </c>
      <c r="E346" s="2" t="s">
        <v>290</v>
      </c>
      <c r="F346" s="4">
        <v>15.0</v>
      </c>
      <c r="H346" s="4">
        <v>15.0</v>
      </c>
      <c r="I346" s="2" t="s">
        <v>25</v>
      </c>
      <c r="K346" s="2" t="s">
        <v>26</v>
      </c>
      <c r="L346" s="2" t="s">
        <v>1452</v>
      </c>
    </row>
    <row r="347">
      <c r="A347" s="2" t="s">
        <v>1464</v>
      </c>
      <c r="B347" s="3">
        <v>46270.0</v>
      </c>
      <c r="C347" s="2" t="s">
        <v>948</v>
      </c>
      <c r="D347" s="2" t="s">
        <v>952</v>
      </c>
      <c r="E347" s="2" t="s">
        <v>616</v>
      </c>
      <c r="F347" s="4">
        <v>5.0</v>
      </c>
      <c r="H347" s="4">
        <v>5.0</v>
      </c>
      <c r="I347" s="2" t="s">
        <v>25</v>
      </c>
      <c r="K347" s="2" t="s">
        <v>26</v>
      </c>
      <c r="L347" s="2" t="s">
        <v>1452</v>
      </c>
    </row>
    <row r="348">
      <c r="A348" s="2" t="s">
        <v>1466</v>
      </c>
      <c r="B348" s="3">
        <v>46270.0</v>
      </c>
      <c r="C348" s="2" t="s">
        <v>32</v>
      </c>
      <c r="D348" s="2" t="s">
        <v>34</v>
      </c>
      <c r="E348" s="2" t="s">
        <v>290</v>
      </c>
      <c r="F348" s="4">
        <v>6.0</v>
      </c>
      <c r="H348" s="4">
        <v>6.0</v>
      </c>
      <c r="I348" s="2" t="s">
        <v>25</v>
      </c>
      <c r="K348" s="2" t="s">
        <v>26</v>
      </c>
      <c r="L348" s="2" t="s">
        <v>1452</v>
      </c>
    </row>
    <row r="349">
      <c r="A349" s="2" t="s">
        <v>1468</v>
      </c>
      <c r="B349" s="3">
        <v>46270.0</v>
      </c>
      <c r="C349" s="2" t="s">
        <v>301</v>
      </c>
      <c r="D349" s="2" t="s">
        <v>302</v>
      </c>
      <c r="E349" s="2" t="s">
        <v>661</v>
      </c>
      <c r="F349" s="4">
        <v>500.0</v>
      </c>
      <c r="H349" s="4">
        <v>500.0</v>
      </c>
      <c r="I349" s="2" t="s">
        <v>25</v>
      </c>
      <c r="K349" s="2" t="s">
        <v>26</v>
      </c>
      <c r="L349" s="2" t="s">
        <v>1456</v>
      </c>
    </row>
    <row r="350">
      <c r="A350" s="2" t="s">
        <v>1470</v>
      </c>
      <c r="B350" s="3">
        <v>46270.0</v>
      </c>
      <c r="C350" s="2" t="s">
        <v>975</v>
      </c>
      <c r="D350" s="2" t="s">
        <v>976</v>
      </c>
      <c r="E350" s="2" t="s">
        <v>661</v>
      </c>
      <c r="F350" s="4">
        <v>50.0</v>
      </c>
      <c r="H350" s="4">
        <v>50.0</v>
      </c>
      <c r="I350" s="2" t="s">
        <v>25</v>
      </c>
      <c r="K350" s="2" t="s">
        <v>26</v>
      </c>
      <c r="L350" s="2" t="s">
        <v>1456</v>
      </c>
    </row>
    <row r="351">
      <c r="A351" s="2" t="s">
        <v>769</v>
      </c>
      <c r="B351" s="3">
        <v>46270.0</v>
      </c>
      <c r="C351" s="2" t="s">
        <v>297</v>
      </c>
      <c r="D351" s="2" t="s">
        <v>298</v>
      </c>
      <c r="E351" s="2" t="s">
        <v>290</v>
      </c>
      <c r="F351" s="4">
        <v>12.0</v>
      </c>
      <c r="H351" s="4">
        <v>10.0</v>
      </c>
      <c r="I351" s="2" t="s">
        <v>25</v>
      </c>
      <c r="K351" s="2" t="s">
        <v>26</v>
      </c>
      <c r="L351" s="2" t="s">
        <v>1458</v>
      </c>
    </row>
    <row r="352">
      <c r="A352" s="2" t="s">
        <v>700</v>
      </c>
      <c r="B352" s="3">
        <v>46270.0</v>
      </c>
      <c r="C352" s="2" t="s">
        <v>701</v>
      </c>
      <c r="D352" s="2" t="s">
        <v>702</v>
      </c>
      <c r="E352" s="2" t="s">
        <v>22</v>
      </c>
      <c r="F352" s="4">
        <v>2304.0</v>
      </c>
      <c r="G352" s="2" t="s">
        <v>704</v>
      </c>
      <c r="H352" s="4">
        <v>0.0</v>
      </c>
      <c r="I352" s="2" t="s">
        <v>77</v>
      </c>
      <c r="K352" s="2" t="s">
        <v>26</v>
      </c>
      <c r="L352" s="2" t="s">
        <v>1467</v>
      </c>
    </row>
    <row r="353">
      <c r="A353" s="2" t="s">
        <v>707</v>
      </c>
      <c r="B353" s="3">
        <v>46270.0</v>
      </c>
      <c r="C353" s="2" t="s">
        <v>179</v>
      </c>
      <c r="D353" s="2" t="s">
        <v>180</v>
      </c>
      <c r="E353" s="2" t="s">
        <v>22</v>
      </c>
      <c r="F353" s="4">
        <v>1440.0</v>
      </c>
      <c r="G353" s="2" t="s">
        <v>712</v>
      </c>
      <c r="H353" s="4">
        <v>0.0</v>
      </c>
      <c r="I353" s="2" t="s">
        <v>77</v>
      </c>
      <c r="K353" s="2" t="s">
        <v>26</v>
      </c>
      <c r="L353" s="2" t="s">
        <v>1467</v>
      </c>
    </row>
    <row r="354">
      <c r="A354" s="2" t="s">
        <v>1477</v>
      </c>
      <c r="B354" s="3">
        <v>46270.0</v>
      </c>
      <c r="C354" s="2" t="s">
        <v>424</v>
      </c>
      <c r="D354" s="2" t="s">
        <v>425</v>
      </c>
      <c r="E354" s="2" t="s">
        <v>22</v>
      </c>
      <c r="F354" s="4">
        <v>9000.0</v>
      </c>
      <c r="G354" s="2" t="s">
        <v>1478</v>
      </c>
      <c r="H354" s="4">
        <v>9000.0</v>
      </c>
      <c r="I354" s="2" t="s">
        <v>25</v>
      </c>
      <c r="K354" s="2" t="s">
        <v>26</v>
      </c>
      <c r="L354" s="2" t="s">
        <v>1474</v>
      </c>
    </row>
    <row r="355">
      <c r="A355" s="2" t="s">
        <v>1479</v>
      </c>
      <c r="B355" s="3">
        <v>46270.0</v>
      </c>
      <c r="C355" s="2" t="s">
        <v>1240</v>
      </c>
      <c r="D355" s="2" t="s">
        <v>1241</v>
      </c>
      <c r="E355" s="2" t="s">
        <v>22</v>
      </c>
      <c r="F355" s="4">
        <v>600.0</v>
      </c>
      <c r="G355" s="2" t="s">
        <v>1480</v>
      </c>
      <c r="H355" s="4">
        <v>600.0</v>
      </c>
      <c r="I355" s="2" t="s">
        <v>25</v>
      </c>
      <c r="K355" s="2" t="s">
        <v>26</v>
      </c>
      <c r="L355" s="2" t="s">
        <v>1481</v>
      </c>
    </row>
    <row r="356">
      <c r="A356" s="2" t="s">
        <v>725</v>
      </c>
      <c r="B356" s="3">
        <v>46272.0</v>
      </c>
      <c r="C356" s="2" t="s">
        <v>105</v>
      </c>
      <c r="D356" s="2" t="s">
        <v>107</v>
      </c>
      <c r="E356" s="2" t="s">
        <v>22</v>
      </c>
      <c r="F356" s="4">
        <v>5200.0</v>
      </c>
      <c r="G356" s="2" t="s">
        <v>727</v>
      </c>
      <c r="H356" s="4">
        <v>0.0</v>
      </c>
      <c r="I356" s="2" t="s">
        <v>77</v>
      </c>
      <c r="K356" s="2" t="s">
        <v>26</v>
      </c>
      <c r="L356" s="2" t="s">
        <v>1484</v>
      </c>
    </row>
    <row r="357">
      <c r="A357" s="2" t="s">
        <v>1485</v>
      </c>
      <c r="B357" s="3">
        <v>46272.0</v>
      </c>
      <c r="C357" s="2" t="s">
        <v>854</v>
      </c>
      <c r="D357" s="2" t="s">
        <v>855</v>
      </c>
      <c r="E357" s="2" t="s">
        <v>22</v>
      </c>
      <c r="F357" s="4">
        <v>900.0</v>
      </c>
      <c r="G357" s="2" t="s">
        <v>1487</v>
      </c>
      <c r="H357" s="4">
        <v>900.0</v>
      </c>
      <c r="I357" s="2" t="s">
        <v>25</v>
      </c>
      <c r="K357" s="2" t="s">
        <v>26</v>
      </c>
      <c r="L357" s="2" t="s">
        <v>1484</v>
      </c>
    </row>
    <row r="358">
      <c r="A358" s="2" t="s">
        <v>853</v>
      </c>
      <c r="B358" s="3">
        <v>46273.0</v>
      </c>
      <c r="C358" s="2" t="s">
        <v>854</v>
      </c>
      <c r="D358" s="2" t="s">
        <v>855</v>
      </c>
      <c r="E358" s="2" t="s">
        <v>22</v>
      </c>
      <c r="F358" s="4">
        <v>2500.0</v>
      </c>
      <c r="G358" s="2" t="s">
        <v>858</v>
      </c>
      <c r="H358" s="4">
        <v>0.0</v>
      </c>
      <c r="I358" s="2" t="s">
        <v>77</v>
      </c>
      <c r="K358" s="2" t="s">
        <v>26</v>
      </c>
      <c r="L358" s="2" t="s">
        <v>1488</v>
      </c>
    </row>
    <row r="359">
      <c r="A359" s="2" t="s">
        <v>1489</v>
      </c>
      <c r="B359" s="3">
        <v>46273.0</v>
      </c>
      <c r="C359" s="2" t="s">
        <v>201</v>
      </c>
      <c r="D359" s="2" t="s">
        <v>202</v>
      </c>
      <c r="E359" s="2" t="s">
        <v>22</v>
      </c>
      <c r="F359" s="4">
        <v>600.0</v>
      </c>
      <c r="G359" s="2" t="s">
        <v>1490</v>
      </c>
      <c r="H359" s="4">
        <v>600.0</v>
      </c>
      <c r="I359" s="2" t="s">
        <v>25</v>
      </c>
      <c r="K359" s="2" t="s">
        <v>26</v>
      </c>
      <c r="L359" s="2" t="s">
        <v>1488</v>
      </c>
    </row>
    <row r="360">
      <c r="A360" s="2" t="s">
        <v>864</v>
      </c>
      <c r="B360" s="3">
        <v>46273.0</v>
      </c>
      <c r="C360" s="2" t="s">
        <v>61</v>
      </c>
      <c r="D360" s="2" t="s">
        <v>62</v>
      </c>
      <c r="E360" s="2" t="s">
        <v>22</v>
      </c>
      <c r="F360" s="4">
        <v>1100.0</v>
      </c>
      <c r="G360" s="2" t="s">
        <v>64</v>
      </c>
      <c r="H360" s="4">
        <v>0.0</v>
      </c>
      <c r="I360" s="2" t="s">
        <v>77</v>
      </c>
      <c r="K360" s="2" t="s">
        <v>26</v>
      </c>
      <c r="L360" s="2" t="s">
        <v>1488</v>
      </c>
    </row>
    <row r="361">
      <c r="A361" s="2" t="s">
        <v>790</v>
      </c>
      <c r="B361" s="3">
        <v>46273.0</v>
      </c>
      <c r="C361" s="2" t="s">
        <v>791</v>
      </c>
      <c r="D361" s="2" t="s">
        <v>794</v>
      </c>
      <c r="E361" s="2" t="s">
        <v>22</v>
      </c>
      <c r="F361" s="4">
        <v>1000.0</v>
      </c>
      <c r="G361" s="2" t="s">
        <v>795</v>
      </c>
      <c r="H361" s="4">
        <v>0.0</v>
      </c>
      <c r="I361" s="2" t="s">
        <v>77</v>
      </c>
      <c r="K361" s="2" t="s">
        <v>26</v>
      </c>
      <c r="L361" s="2" t="s">
        <v>1488</v>
      </c>
    </row>
    <row r="362">
      <c r="A362" s="2" t="s">
        <v>798</v>
      </c>
      <c r="B362" s="3">
        <v>46273.0</v>
      </c>
      <c r="C362" s="2" t="s">
        <v>799</v>
      </c>
      <c r="D362" s="2" t="s">
        <v>800</v>
      </c>
      <c r="E362" s="2" t="s">
        <v>22</v>
      </c>
      <c r="F362" s="4">
        <v>1000.0</v>
      </c>
      <c r="G362" s="2" t="s">
        <v>801</v>
      </c>
      <c r="H362" s="4">
        <v>0.0</v>
      </c>
      <c r="I362" s="2" t="s">
        <v>77</v>
      </c>
      <c r="K362" s="2" t="s">
        <v>26</v>
      </c>
      <c r="L362" s="2" t="s">
        <v>1488</v>
      </c>
    </row>
    <row r="363">
      <c r="A363" s="2" t="s">
        <v>775</v>
      </c>
      <c r="B363" s="3">
        <v>46273.0</v>
      </c>
      <c r="C363" s="2" t="s">
        <v>778</v>
      </c>
      <c r="D363" s="2" t="s">
        <v>779</v>
      </c>
      <c r="E363" s="2" t="s">
        <v>22</v>
      </c>
      <c r="F363" s="4">
        <v>2880.0</v>
      </c>
      <c r="G363" s="2" t="s">
        <v>368</v>
      </c>
      <c r="H363" s="4">
        <v>0.0</v>
      </c>
      <c r="I363" s="2" t="s">
        <v>77</v>
      </c>
      <c r="K363" s="2" t="s">
        <v>26</v>
      </c>
      <c r="L363" s="2" t="s">
        <v>1492</v>
      </c>
    </row>
    <row r="364">
      <c r="A364" s="2" t="s">
        <v>811</v>
      </c>
      <c r="B364" s="3">
        <v>46274.0</v>
      </c>
      <c r="C364" s="2" t="s">
        <v>814</v>
      </c>
      <c r="D364" s="2" t="s">
        <v>815</v>
      </c>
      <c r="E364" s="2" t="s">
        <v>290</v>
      </c>
      <c r="F364" s="4">
        <v>3.99</v>
      </c>
      <c r="H364" s="4">
        <v>2.0</v>
      </c>
      <c r="I364" s="2" t="s">
        <v>25</v>
      </c>
      <c r="K364" s="2" t="s">
        <v>26</v>
      </c>
      <c r="L364" s="2" t="s">
        <v>1493</v>
      </c>
    </row>
    <row r="365">
      <c r="A365" s="2" t="s">
        <v>821</v>
      </c>
      <c r="B365" s="3">
        <v>46274.0</v>
      </c>
      <c r="C365" s="2" t="s">
        <v>823</v>
      </c>
      <c r="D365" s="2" t="s">
        <v>824</v>
      </c>
      <c r="E365" s="2" t="s">
        <v>290</v>
      </c>
      <c r="F365" s="4">
        <v>1.0</v>
      </c>
      <c r="H365" s="4">
        <v>0.0</v>
      </c>
      <c r="I365" s="2" t="s">
        <v>77</v>
      </c>
      <c r="K365" s="2" t="s">
        <v>26</v>
      </c>
      <c r="L365" s="2" t="s">
        <v>1495</v>
      </c>
    </row>
    <row r="366">
      <c r="A366" s="2" t="s">
        <v>871</v>
      </c>
      <c r="B366" s="3">
        <v>46275.0</v>
      </c>
      <c r="C366" s="2" t="s">
        <v>872</v>
      </c>
      <c r="D366" s="2" t="s">
        <v>873</v>
      </c>
      <c r="E366" s="2" t="s">
        <v>22</v>
      </c>
      <c r="F366" s="4">
        <v>900.0</v>
      </c>
      <c r="G366" s="2" t="s">
        <v>875</v>
      </c>
      <c r="H366" s="4">
        <v>0.0</v>
      </c>
      <c r="I366" s="2" t="s">
        <v>77</v>
      </c>
      <c r="K366" s="2" t="s">
        <v>26</v>
      </c>
      <c r="L366" s="2" t="s">
        <v>1496</v>
      </c>
    </row>
    <row r="367">
      <c r="A367" s="2" t="s">
        <v>882</v>
      </c>
      <c r="B367" s="3">
        <v>46275.0</v>
      </c>
      <c r="C367" s="2" t="s">
        <v>883</v>
      </c>
      <c r="D367" s="2" t="s">
        <v>884</v>
      </c>
      <c r="E367" s="2" t="s">
        <v>22</v>
      </c>
      <c r="F367" s="4">
        <v>800.0</v>
      </c>
      <c r="G367" s="2" t="s">
        <v>886</v>
      </c>
      <c r="H367" s="4">
        <v>0.0</v>
      </c>
      <c r="I367" s="2" t="s">
        <v>77</v>
      </c>
      <c r="K367" s="2" t="s">
        <v>26</v>
      </c>
      <c r="L367" s="2" t="s">
        <v>1496</v>
      </c>
    </row>
    <row r="368">
      <c r="A368" s="2" t="s">
        <v>1497</v>
      </c>
      <c r="B368" s="3">
        <v>46275.0</v>
      </c>
      <c r="C368" s="2" t="s">
        <v>271</v>
      </c>
      <c r="D368" s="2" t="s">
        <v>277</v>
      </c>
      <c r="E368" s="2" t="s">
        <v>661</v>
      </c>
      <c r="F368" s="4">
        <v>20.0</v>
      </c>
      <c r="H368" s="4">
        <v>20.0</v>
      </c>
      <c r="I368" s="2" t="s">
        <v>25</v>
      </c>
      <c r="K368" s="2" t="s">
        <v>26</v>
      </c>
      <c r="L368" s="2" t="s">
        <v>1496</v>
      </c>
    </row>
    <row r="369">
      <c r="A369" s="2" t="s">
        <v>1498</v>
      </c>
      <c r="B369" s="3">
        <v>46275.0</v>
      </c>
      <c r="C369" s="2" t="s">
        <v>1244</v>
      </c>
      <c r="D369" s="2" t="s">
        <v>1245</v>
      </c>
      <c r="E369" s="2" t="s">
        <v>661</v>
      </c>
      <c r="F369" s="4">
        <v>6.0</v>
      </c>
      <c r="H369" s="4">
        <v>6.0</v>
      </c>
      <c r="I369" s="2" t="s">
        <v>25</v>
      </c>
      <c r="K369" s="2" t="s">
        <v>26</v>
      </c>
      <c r="L369" s="2" t="s">
        <v>1496</v>
      </c>
    </row>
    <row r="370">
      <c r="A370" s="2" t="s">
        <v>1499</v>
      </c>
      <c r="B370" s="3">
        <v>46275.0</v>
      </c>
      <c r="C370" s="2" t="s">
        <v>892</v>
      </c>
      <c r="D370" s="2" t="s">
        <v>893</v>
      </c>
      <c r="E370" s="2" t="s">
        <v>290</v>
      </c>
      <c r="F370" s="4">
        <v>20.0</v>
      </c>
      <c r="H370" s="4">
        <v>20.0</v>
      </c>
      <c r="I370" s="2" t="s">
        <v>25</v>
      </c>
      <c r="K370" s="2" t="s">
        <v>26</v>
      </c>
      <c r="L370" s="2" t="s">
        <v>1501</v>
      </c>
    </row>
    <row r="371">
      <c r="A371" s="2" t="s">
        <v>1502</v>
      </c>
      <c r="B371" s="3">
        <v>46275.0</v>
      </c>
      <c r="C371" s="2" t="s">
        <v>21</v>
      </c>
      <c r="D371" s="2" t="s">
        <v>23</v>
      </c>
      <c r="E371" s="2" t="s">
        <v>616</v>
      </c>
      <c r="F371" s="4">
        <v>20.0</v>
      </c>
      <c r="H371" s="4">
        <v>20.0</v>
      </c>
      <c r="I371" s="2" t="s">
        <v>25</v>
      </c>
      <c r="K371" s="2" t="s">
        <v>26</v>
      </c>
      <c r="L371" s="2" t="s">
        <v>1501</v>
      </c>
    </row>
    <row r="372">
      <c r="A372" s="2" t="s">
        <v>1503</v>
      </c>
      <c r="B372" s="3">
        <v>46275.0</v>
      </c>
      <c r="C372" s="2" t="s">
        <v>523</v>
      </c>
      <c r="D372" s="2" t="s">
        <v>528</v>
      </c>
      <c r="E372" s="2" t="s">
        <v>616</v>
      </c>
      <c r="F372" s="4">
        <v>15.0</v>
      </c>
      <c r="H372" s="4">
        <v>15.0</v>
      </c>
      <c r="I372" s="2" t="s">
        <v>25</v>
      </c>
      <c r="K372" s="2" t="s">
        <v>26</v>
      </c>
      <c r="L372" s="2" t="s">
        <v>1501</v>
      </c>
    </row>
    <row r="373">
      <c r="A373" s="2" t="s">
        <v>1504</v>
      </c>
      <c r="B373" s="3">
        <v>46274.0</v>
      </c>
      <c r="C373" s="2" t="s">
        <v>1505</v>
      </c>
      <c r="D373" s="2" t="s">
        <v>1506</v>
      </c>
      <c r="E373" s="2" t="s">
        <v>290</v>
      </c>
      <c r="F373" s="4">
        <v>1.0</v>
      </c>
      <c r="H373" s="4">
        <v>1.0</v>
      </c>
      <c r="I373" s="2" t="s">
        <v>25</v>
      </c>
      <c r="K373" s="2" t="s">
        <v>26</v>
      </c>
      <c r="L373" s="2" t="s">
        <v>1507</v>
      </c>
    </row>
    <row r="374">
      <c r="A374" s="2" t="s">
        <v>1508</v>
      </c>
      <c r="B374" s="3">
        <v>46274.0</v>
      </c>
      <c r="C374" s="2" t="s">
        <v>1509</v>
      </c>
      <c r="D374" s="2" t="s">
        <v>1510</v>
      </c>
      <c r="E374" s="2" t="s">
        <v>290</v>
      </c>
      <c r="F374" s="4">
        <v>1.0</v>
      </c>
      <c r="H374" s="4">
        <v>1.0</v>
      </c>
      <c r="I374" s="2" t="s">
        <v>25</v>
      </c>
      <c r="K374" s="2" t="s">
        <v>26</v>
      </c>
      <c r="L374" s="2" t="s">
        <v>1507</v>
      </c>
    </row>
    <row r="375">
      <c r="A375" s="2" t="s">
        <v>929</v>
      </c>
      <c r="B375" s="3">
        <v>46275.0</v>
      </c>
      <c r="C375" s="2" t="s">
        <v>128</v>
      </c>
      <c r="D375" s="2" t="s">
        <v>130</v>
      </c>
      <c r="E375" s="2" t="s">
        <v>22</v>
      </c>
      <c r="F375" s="4">
        <v>2700.0</v>
      </c>
      <c r="G375" s="2" t="s">
        <v>934</v>
      </c>
      <c r="H375" s="4">
        <v>0.0</v>
      </c>
      <c r="I375" s="2" t="s">
        <v>77</v>
      </c>
      <c r="K375" s="2" t="s">
        <v>26</v>
      </c>
      <c r="L375" s="2" t="s">
        <v>1514</v>
      </c>
    </row>
    <row r="376">
      <c r="A376" s="2" t="s">
        <v>1515</v>
      </c>
      <c r="B376" s="3">
        <v>46275.0</v>
      </c>
      <c r="C376" s="2" t="s">
        <v>1516</v>
      </c>
      <c r="D376" s="2" t="s">
        <v>1517</v>
      </c>
      <c r="E376" s="2" t="s">
        <v>22</v>
      </c>
      <c r="F376" s="4">
        <v>1100.0</v>
      </c>
      <c r="G376" s="2" t="s">
        <v>1518</v>
      </c>
      <c r="H376" s="4">
        <v>1100.0</v>
      </c>
      <c r="I376" s="2" t="s">
        <v>25</v>
      </c>
      <c r="K376" s="2" t="s">
        <v>26</v>
      </c>
      <c r="L376" s="2" t="s">
        <v>1514</v>
      </c>
    </row>
    <row r="377">
      <c r="A377" s="2" t="s">
        <v>1519</v>
      </c>
      <c r="B377" s="3">
        <v>46275.0</v>
      </c>
      <c r="C377" s="2" t="s">
        <v>105</v>
      </c>
      <c r="D377" s="2" t="s">
        <v>107</v>
      </c>
      <c r="E377" s="2" t="s">
        <v>22</v>
      </c>
      <c r="F377" s="4">
        <v>1200.0</v>
      </c>
      <c r="G377" s="2" t="s">
        <v>1520</v>
      </c>
      <c r="H377" s="4">
        <v>1200.0</v>
      </c>
      <c r="I377" s="2" t="s">
        <v>25</v>
      </c>
      <c r="K377" s="2" t="s">
        <v>26</v>
      </c>
      <c r="L377" s="2" t="s">
        <v>1514</v>
      </c>
    </row>
    <row r="378">
      <c r="A378" s="2" t="s">
        <v>1521</v>
      </c>
      <c r="B378" s="3">
        <v>46276.0</v>
      </c>
      <c r="C378" s="2" t="s">
        <v>1522</v>
      </c>
      <c r="D378" s="2" t="s">
        <v>1523</v>
      </c>
      <c r="E378" s="2" t="s">
        <v>22</v>
      </c>
      <c r="F378" s="4">
        <v>800.0</v>
      </c>
      <c r="G378" s="2" t="s">
        <v>1524</v>
      </c>
      <c r="H378" s="4">
        <v>800.0</v>
      </c>
      <c r="I378" s="2" t="s">
        <v>25</v>
      </c>
      <c r="K378" s="2" t="s">
        <v>26</v>
      </c>
      <c r="L378" s="2" t="s">
        <v>1525</v>
      </c>
    </row>
    <row r="379">
      <c r="A379" s="2" t="s">
        <v>1526</v>
      </c>
      <c r="B379" s="3">
        <v>46279.0</v>
      </c>
      <c r="C379" s="2" t="s">
        <v>79</v>
      </c>
      <c r="D379" s="2" t="s">
        <v>80</v>
      </c>
      <c r="E379" s="2" t="s">
        <v>22</v>
      </c>
      <c r="F379" s="4">
        <v>700.0</v>
      </c>
      <c r="G379" s="2" t="s">
        <v>1528</v>
      </c>
      <c r="H379" s="4">
        <v>700.0</v>
      </c>
      <c r="I379" s="2" t="s">
        <v>25</v>
      </c>
      <c r="K379" s="2" t="s">
        <v>26</v>
      </c>
      <c r="L379" s="2" t="s">
        <v>1531</v>
      </c>
    </row>
    <row r="380">
      <c r="A380" s="2" t="s">
        <v>921</v>
      </c>
      <c r="B380" s="3">
        <v>46275.0</v>
      </c>
      <c r="C380" s="2" t="s">
        <v>105</v>
      </c>
      <c r="D380" s="2" t="s">
        <v>107</v>
      </c>
      <c r="E380" s="2" t="s">
        <v>22</v>
      </c>
      <c r="F380" s="4">
        <v>1200.0</v>
      </c>
      <c r="G380" s="2" t="s">
        <v>926</v>
      </c>
      <c r="H380" s="4">
        <v>0.0</v>
      </c>
      <c r="I380" s="2" t="s">
        <v>77</v>
      </c>
      <c r="K380" s="2" t="s">
        <v>26</v>
      </c>
      <c r="L380" s="2" t="s">
        <v>1532</v>
      </c>
    </row>
    <row r="381">
      <c r="A381" s="2" t="s">
        <v>912</v>
      </c>
      <c r="B381" s="3">
        <v>46279.0</v>
      </c>
      <c r="C381" s="2" t="s">
        <v>913</v>
      </c>
      <c r="D381" s="2" t="s">
        <v>915</v>
      </c>
      <c r="E381" s="2" t="s">
        <v>22</v>
      </c>
      <c r="F381" s="4">
        <v>700.0</v>
      </c>
      <c r="G381" s="2" t="s">
        <v>917</v>
      </c>
      <c r="H381" s="4">
        <v>0.0</v>
      </c>
      <c r="I381" s="2" t="s">
        <v>77</v>
      </c>
      <c r="K381" s="2" t="s">
        <v>26</v>
      </c>
      <c r="L381" s="2" t="s">
        <v>1531</v>
      </c>
    </row>
    <row r="382">
      <c r="A382" s="2" t="s">
        <v>905</v>
      </c>
      <c r="B382" s="3">
        <v>46279.0</v>
      </c>
      <c r="C382" s="2" t="s">
        <v>123</v>
      </c>
      <c r="D382" s="2" t="s">
        <v>124</v>
      </c>
      <c r="E382" s="2" t="s">
        <v>22</v>
      </c>
      <c r="F382" s="4">
        <v>700.0</v>
      </c>
      <c r="G382" s="2" t="s">
        <v>909</v>
      </c>
      <c r="H382" s="4">
        <v>0.0</v>
      </c>
      <c r="I382" s="2" t="s">
        <v>77</v>
      </c>
      <c r="K382" s="2" t="s">
        <v>26</v>
      </c>
      <c r="L382" s="2" t="s">
        <v>1531</v>
      </c>
    </row>
    <row r="383">
      <c r="A383" s="2" t="s">
        <v>1533</v>
      </c>
      <c r="B383" s="3">
        <v>46279.0</v>
      </c>
      <c r="C383" s="2" t="s">
        <v>942</v>
      </c>
      <c r="D383" s="2" t="s">
        <v>943</v>
      </c>
      <c r="E383" s="2" t="s">
        <v>22</v>
      </c>
      <c r="F383" s="4">
        <v>500.0</v>
      </c>
      <c r="G383" s="2" t="s">
        <v>801</v>
      </c>
      <c r="H383" s="4">
        <v>500.0</v>
      </c>
      <c r="I383" s="2" t="s">
        <v>25</v>
      </c>
      <c r="K383" s="2" t="s">
        <v>26</v>
      </c>
      <c r="L383" s="2" t="s">
        <v>1531</v>
      </c>
    </row>
    <row r="384">
      <c r="A384" s="2" t="s">
        <v>895</v>
      </c>
      <c r="B384" s="3">
        <v>46279.0</v>
      </c>
      <c r="C384" s="2" t="s">
        <v>128</v>
      </c>
      <c r="D384" s="2" t="s">
        <v>130</v>
      </c>
      <c r="E384" s="2" t="s">
        <v>22</v>
      </c>
      <c r="F384" s="4">
        <v>400.0</v>
      </c>
      <c r="G384" s="2" t="s">
        <v>897</v>
      </c>
      <c r="H384" s="4">
        <v>0.0</v>
      </c>
      <c r="I384" s="2" t="s">
        <v>77</v>
      </c>
      <c r="K384" s="2" t="s">
        <v>26</v>
      </c>
      <c r="L384" s="2" t="s">
        <v>1531</v>
      </c>
    </row>
    <row r="385">
      <c r="A385" s="2" t="s">
        <v>1535</v>
      </c>
      <c r="B385" s="3">
        <v>46279.0</v>
      </c>
      <c r="C385" s="2" t="s">
        <v>347</v>
      </c>
      <c r="D385" s="2" t="s">
        <v>349</v>
      </c>
      <c r="E385" s="2" t="s">
        <v>22</v>
      </c>
      <c r="F385" s="4">
        <v>1100.0</v>
      </c>
      <c r="G385" s="2" t="s">
        <v>1536</v>
      </c>
      <c r="H385" s="4">
        <v>1100.0</v>
      </c>
      <c r="I385" s="2" t="s">
        <v>25</v>
      </c>
      <c r="K385" s="2" t="s">
        <v>26</v>
      </c>
      <c r="L385" s="2" t="s">
        <v>1537</v>
      </c>
    </row>
    <row r="386">
      <c r="A386" s="2" t="s">
        <v>1538</v>
      </c>
      <c r="B386" s="3">
        <v>46279.0</v>
      </c>
      <c r="C386" s="2" t="s">
        <v>347</v>
      </c>
      <c r="D386" s="2" t="s">
        <v>349</v>
      </c>
      <c r="E386" s="2" t="s">
        <v>22</v>
      </c>
      <c r="F386" s="4">
        <v>700.0</v>
      </c>
      <c r="G386" s="2" t="s">
        <v>1539</v>
      </c>
      <c r="H386" s="4">
        <v>700.0</v>
      </c>
      <c r="I386" s="2" t="s">
        <v>25</v>
      </c>
      <c r="K386" s="2" t="s">
        <v>26</v>
      </c>
      <c r="L386" s="2" t="s">
        <v>1537</v>
      </c>
    </row>
    <row r="387">
      <c r="A387" s="2" t="s">
        <v>1540</v>
      </c>
      <c r="B387" s="3">
        <v>46280.0</v>
      </c>
      <c r="C387" s="2" t="s">
        <v>1098</v>
      </c>
      <c r="D387" s="2" t="s">
        <v>1099</v>
      </c>
      <c r="E387" s="2" t="s">
        <v>22</v>
      </c>
      <c r="F387" s="4">
        <v>6100.0</v>
      </c>
      <c r="G387" s="2" t="s">
        <v>1541</v>
      </c>
      <c r="H387" s="4">
        <v>6100.0</v>
      </c>
      <c r="I387" s="2" t="s">
        <v>25</v>
      </c>
      <c r="K387" s="2" t="s">
        <v>26</v>
      </c>
      <c r="L387" s="2" t="s">
        <v>1542</v>
      </c>
    </row>
    <row r="388">
      <c r="A388" s="2" t="s">
        <v>1543</v>
      </c>
      <c r="B388" s="3">
        <v>46280.0</v>
      </c>
      <c r="C388" s="2" t="s">
        <v>41</v>
      </c>
      <c r="D388" s="2" t="s">
        <v>42</v>
      </c>
      <c r="E388" s="2" t="s">
        <v>22</v>
      </c>
      <c r="F388" s="4">
        <v>900.0</v>
      </c>
      <c r="G388" s="2" t="s">
        <v>1544</v>
      </c>
      <c r="H388" s="4">
        <v>900.0</v>
      </c>
      <c r="I388" s="2" t="s">
        <v>25</v>
      </c>
      <c r="K388" s="2" t="s">
        <v>26</v>
      </c>
      <c r="L388" s="2" t="s">
        <v>1542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9.25"/>
    <col customWidth="1" min="3" max="3" width="7.13"/>
    <col customWidth="1" min="4" max="4" width="4.0"/>
    <col customWidth="1" min="5" max="5" width="9.0"/>
    <col customWidth="1" min="6" max="6" width="8.63"/>
    <col customWidth="1" min="7" max="7" width="6.63"/>
    <col customWidth="1" min="8" max="8" width="9.63"/>
    <col customWidth="1" min="9" max="9" width="6.63"/>
    <col customWidth="1" min="10" max="10" width="8.88"/>
  </cols>
  <sheetData>
    <row r="1">
      <c r="A1" s="1" t="s">
        <v>1</v>
      </c>
      <c r="B1" s="1" t="s">
        <v>3</v>
      </c>
      <c r="C1" s="1" t="s">
        <v>0</v>
      </c>
      <c r="D1" s="1" t="s">
        <v>4</v>
      </c>
      <c r="E1" s="1" t="s">
        <v>5</v>
      </c>
      <c r="F1" s="1" t="s">
        <v>8</v>
      </c>
      <c r="G1" s="1" t="s">
        <v>9</v>
      </c>
      <c r="H1" s="1" t="s">
        <v>11</v>
      </c>
      <c r="I1" s="1" t="s">
        <v>13</v>
      </c>
      <c r="J1" s="1" t="s">
        <v>14</v>
      </c>
    </row>
    <row r="2">
      <c r="A2" s="2" t="s">
        <v>17</v>
      </c>
      <c r="B2" s="3">
        <v>46240.47738099537</v>
      </c>
      <c r="C2" s="2" t="s">
        <v>19</v>
      </c>
      <c r="D2" s="2" t="s">
        <v>21</v>
      </c>
      <c r="E2" s="2" t="s">
        <v>23</v>
      </c>
      <c r="F2" s="4">
        <v>20.0</v>
      </c>
      <c r="H2" s="2" t="s">
        <v>24</v>
      </c>
      <c r="J2" s="2" t="s">
        <v>26</v>
      </c>
    </row>
    <row r="3">
      <c r="A3" s="2" t="s">
        <v>29</v>
      </c>
      <c r="B3" s="3">
        <v>46241.54955351852</v>
      </c>
      <c r="C3" s="2" t="s">
        <v>31</v>
      </c>
      <c r="D3" s="2" t="s">
        <v>32</v>
      </c>
      <c r="E3" s="2" t="s">
        <v>34</v>
      </c>
      <c r="F3" s="4">
        <v>1.0</v>
      </c>
      <c r="H3" s="2" t="s">
        <v>36</v>
      </c>
      <c r="I3" s="2" t="s">
        <v>37</v>
      </c>
      <c r="J3" s="2" t="s">
        <v>26</v>
      </c>
    </row>
    <row r="4">
      <c r="A4" s="2" t="s">
        <v>38</v>
      </c>
      <c r="B4" s="3">
        <v>46241.54955351852</v>
      </c>
      <c r="C4" s="2" t="s">
        <v>40</v>
      </c>
      <c r="D4" s="2" t="s">
        <v>32</v>
      </c>
      <c r="E4" s="2" t="s">
        <v>34</v>
      </c>
      <c r="F4" s="4">
        <v>1.0</v>
      </c>
      <c r="H4" s="2" t="s">
        <v>36</v>
      </c>
      <c r="I4" s="2" t="s">
        <v>37</v>
      </c>
      <c r="J4" s="2" t="s">
        <v>26</v>
      </c>
    </row>
    <row r="5">
      <c r="A5" s="2" t="s">
        <v>43</v>
      </c>
      <c r="B5" s="3">
        <v>46241.55628017361</v>
      </c>
      <c r="C5" s="2" t="s">
        <v>44</v>
      </c>
      <c r="D5" s="2" t="s">
        <v>45</v>
      </c>
      <c r="E5" s="2" t="s">
        <v>47</v>
      </c>
      <c r="F5" s="4">
        <v>2.0</v>
      </c>
      <c r="H5" s="2" t="s">
        <v>24</v>
      </c>
      <c r="I5" s="2" t="s">
        <v>50</v>
      </c>
      <c r="J5" s="2" t="s">
        <v>26</v>
      </c>
    </row>
    <row r="6">
      <c r="A6" s="2" t="s">
        <v>51</v>
      </c>
      <c r="B6" s="3">
        <v>46241.62002657408</v>
      </c>
      <c r="C6" s="2" t="s">
        <v>52</v>
      </c>
      <c r="D6" s="2" t="s">
        <v>53</v>
      </c>
      <c r="E6" s="2" t="s">
        <v>54</v>
      </c>
      <c r="F6" s="4">
        <v>100.0</v>
      </c>
      <c r="H6" s="2" t="s">
        <v>56</v>
      </c>
      <c r="J6" s="2" t="s">
        <v>26</v>
      </c>
    </row>
    <row r="7">
      <c r="A7" s="2" t="s">
        <v>59</v>
      </c>
      <c r="B7" s="3">
        <v>46254.71008954861</v>
      </c>
      <c r="C7" s="2" t="s">
        <v>60</v>
      </c>
      <c r="D7" s="2" t="s">
        <v>61</v>
      </c>
      <c r="E7" s="2" t="s">
        <v>62</v>
      </c>
      <c r="F7" s="4">
        <v>1000.0</v>
      </c>
      <c r="G7" s="2" t="s">
        <v>64</v>
      </c>
      <c r="H7" s="2" t="s">
        <v>36</v>
      </c>
      <c r="I7" s="2" t="s">
        <v>66</v>
      </c>
      <c r="J7" s="2" t="s">
        <v>26</v>
      </c>
    </row>
    <row r="8">
      <c r="A8" s="2" t="s">
        <v>68</v>
      </c>
      <c r="B8" s="3">
        <v>46254.7105987963</v>
      </c>
      <c r="C8" s="2" t="s">
        <v>69</v>
      </c>
      <c r="D8" s="2" t="s">
        <v>70</v>
      </c>
      <c r="E8" s="2" t="s">
        <v>71</v>
      </c>
      <c r="F8" s="4">
        <v>600.0</v>
      </c>
      <c r="G8" s="2" t="s">
        <v>73</v>
      </c>
      <c r="H8" s="2" t="s">
        <v>24</v>
      </c>
      <c r="J8" s="2" t="s">
        <v>26</v>
      </c>
    </row>
    <row r="9">
      <c r="A9" s="2" t="s">
        <v>76</v>
      </c>
      <c r="B9" s="3">
        <v>46254.71122341436</v>
      </c>
      <c r="C9" s="2" t="s">
        <v>78</v>
      </c>
      <c r="D9" s="2" t="s">
        <v>79</v>
      </c>
      <c r="E9" s="2" t="s">
        <v>80</v>
      </c>
      <c r="F9" s="4">
        <v>1900.0</v>
      </c>
      <c r="G9" s="2" t="s">
        <v>81</v>
      </c>
      <c r="H9" s="2" t="s">
        <v>24</v>
      </c>
      <c r="J9" s="2" t="s">
        <v>26</v>
      </c>
    </row>
    <row r="10">
      <c r="A10" s="2" t="s">
        <v>85</v>
      </c>
      <c r="B10" s="3">
        <v>46254.7188252662</v>
      </c>
      <c r="C10" s="2" t="s">
        <v>86</v>
      </c>
      <c r="D10" s="2" t="s">
        <v>87</v>
      </c>
      <c r="E10" s="2" t="s">
        <v>88</v>
      </c>
      <c r="F10" s="4">
        <v>500.0</v>
      </c>
      <c r="G10" s="2" t="s">
        <v>90</v>
      </c>
      <c r="H10" s="2" t="s">
        <v>24</v>
      </c>
      <c r="I10" s="2">
        <v>500.0</v>
      </c>
      <c r="J10" s="2" t="s">
        <v>26</v>
      </c>
    </row>
    <row r="11">
      <c r="A11" s="2" t="s">
        <v>93</v>
      </c>
      <c r="B11" s="3">
        <v>46254.71887517361</v>
      </c>
      <c r="C11" s="2" t="s">
        <v>94</v>
      </c>
      <c r="D11" s="2" t="s">
        <v>95</v>
      </c>
      <c r="E11" s="2" t="s">
        <v>97</v>
      </c>
      <c r="F11" s="4">
        <v>500.0</v>
      </c>
      <c r="G11" s="2" t="s">
        <v>100</v>
      </c>
      <c r="H11" s="2" t="s">
        <v>24</v>
      </c>
      <c r="J11" s="2" t="s">
        <v>26</v>
      </c>
    </row>
    <row r="12">
      <c r="A12" s="2" t="s">
        <v>101</v>
      </c>
      <c r="B12" s="3">
        <v>46254.71892119213</v>
      </c>
      <c r="C12" s="2" t="s">
        <v>103</v>
      </c>
      <c r="D12" s="2" t="s">
        <v>105</v>
      </c>
      <c r="E12" s="2" t="s">
        <v>107</v>
      </c>
      <c r="F12" s="4">
        <v>1400.0</v>
      </c>
      <c r="G12" s="2" t="s">
        <v>108</v>
      </c>
      <c r="H12" s="2" t="s">
        <v>24</v>
      </c>
      <c r="I12" s="2" t="s">
        <v>110</v>
      </c>
      <c r="J12" s="2" t="s">
        <v>26</v>
      </c>
    </row>
    <row r="13">
      <c r="A13" s="2" t="s">
        <v>112</v>
      </c>
      <c r="B13" s="3">
        <v>46254.7189740625</v>
      </c>
      <c r="C13" s="2" t="s">
        <v>114</v>
      </c>
      <c r="D13" s="2" t="s">
        <v>41</v>
      </c>
      <c r="E13" s="2" t="s">
        <v>42</v>
      </c>
      <c r="F13" s="4">
        <v>400.0</v>
      </c>
      <c r="G13" s="2" t="s">
        <v>116</v>
      </c>
      <c r="H13" s="2" t="s">
        <v>24</v>
      </c>
      <c r="J13" s="2" t="s">
        <v>26</v>
      </c>
    </row>
    <row r="14">
      <c r="A14" s="2" t="s">
        <v>119</v>
      </c>
      <c r="B14" s="3">
        <v>46254.719033217596</v>
      </c>
      <c r="C14" s="2" t="s">
        <v>122</v>
      </c>
      <c r="D14" s="2" t="s">
        <v>123</v>
      </c>
      <c r="E14" s="2" t="s">
        <v>124</v>
      </c>
      <c r="F14" s="4">
        <v>1400.0</v>
      </c>
      <c r="G14" s="2" t="s">
        <v>126</v>
      </c>
      <c r="H14" s="2" t="s">
        <v>24</v>
      </c>
      <c r="I14" s="2">
        <v>1400.0</v>
      </c>
      <c r="J14" s="2" t="s">
        <v>26</v>
      </c>
    </row>
    <row r="15">
      <c r="A15" s="2" t="s">
        <v>129</v>
      </c>
      <c r="B15" s="3">
        <v>46254.71907799768</v>
      </c>
      <c r="C15" s="2" t="s">
        <v>131</v>
      </c>
      <c r="D15" s="2" t="s">
        <v>87</v>
      </c>
      <c r="E15" s="2" t="s">
        <v>88</v>
      </c>
      <c r="F15" s="4">
        <v>1200.0</v>
      </c>
      <c r="G15" s="2" t="s">
        <v>132</v>
      </c>
      <c r="H15" s="2" t="s">
        <v>24</v>
      </c>
      <c r="I15" s="2" t="s">
        <v>134</v>
      </c>
      <c r="J15" s="2" t="s">
        <v>26</v>
      </c>
    </row>
    <row r="16">
      <c r="A16" s="2" t="s">
        <v>137</v>
      </c>
      <c r="B16" s="3">
        <v>46254.71912601852</v>
      </c>
      <c r="C16" s="2" t="s">
        <v>138</v>
      </c>
      <c r="D16" s="2" t="s">
        <v>139</v>
      </c>
      <c r="E16" s="2" t="s">
        <v>140</v>
      </c>
      <c r="F16" s="4">
        <v>1100.0</v>
      </c>
      <c r="G16" s="2" t="s">
        <v>141</v>
      </c>
      <c r="H16" s="2" t="s">
        <v>24</v>
      </c>
      <c r="I16" s="2">
        <v>1100.0</v>
      </c>
      <c r="J16" s="2" t="s">
        <v>26</v>
      </c>
    </row>
    <row r="17">
      <c r="A17" s="2" t="s">
        <v>145</v>
      </c>
      <c r="B17" s="3">
        <v>46254.71917135417</v>
      </c>
      <c r="C17" s="2" t="s">
        <v>146</v>
      </c>
      <c r="D17" s="2" t="s">
        <v>147</v>
      </c>
      <c r="E17" s="2" t="s">
        <v>148</v>
      </c>
      <c r="F17" s="4">
        <v>1200.0</v>
      </c>
      <c r="G17" s="2" t="s">
        <v>149</v>
      </c>
      <c r="H17" s="2" t="s">
        <v>24</v>
      </c>
      <c r="I17" s="2" t="s">
        <v>150</v>
      </c>
      <c r="J17" s="2" t="s">
        <v>26</v>
      </c>
    </row>
    <row r="18">
      <c r="A18" s="2" t="s">
        <v>153</v>
      </c>
      <c r="B18" s="3">
        <v>46254.71921487269</v>
      </c>
      <c r="C18" s="2" t="s">
        <v>155</v>
      </c>
      <c r="D18" s="2" t="s">
        <v>41</v>
      </c>
      <c r="E18" s="2" t="s">
        <v>42</v>
      </c>
      <c r="F18" s="4">
        <v>1000.0</v>
      </c>
      <c r="G18" s="2" t="s">
        <v>157</v>
      </c>
      <c r="H18" s="2" t="s">
        <v>24</v>
      </c>
      <c r="J18" s="2" t="s">
        <v>26</v>
      </c>
    </row>
    <row r="19">
      <c r="A19" s="2" t="s">
        <v>160</v>
      </c>
      <c r="B19" s="3">
        <v>46254.719263611114</v>
      </c>
      <c r="C19" s="2" t="s">
        <v>162</v>
      </c>
      <c r="D19" s="2" t="s">
        <v>163</v>
      </c>
      <c r="E19" s="2" t="s">
        <v>164</v>
      </c>
      <c r="F19" s="4">
        <v>3000.0</v>
      </c>
      <c r="G19" s="2" t="s">
        <v>165</v>
      </c>
      <c r="H19" s="2" t="s">
        <v>24</v>
      </c>
      <c r="I19" s="2">
        <v>3000.0</v>
      </c>
      <c r="J19" s="2" t="s">
        <v>26</v>
      </c>
    </row>
    <row r="20">
      <c r="A20" s="2" t="s">
        <v>169</v>
      </c>
      <c r="B20" s="3">
        <v>46254.719310127315</v>
      </c>
      <c r="C20" s="2" t="s">
        <v>170</v>
      </c>
      <c r="D20" s="2" t="s">
        <v>171</v>
      </c>
      <c r="E20" s="2" t="s">
        <v>172</v>
      </c>
      <c r="F20" s="4">
        <v>648.0</v>
      </c>
      <c r="G20" s="2" t="s">
        <v>173</v>
      </c>
      <c r="H20" s="2" t="s">
        <v>24</v>
      </c>
      <c r="J20" s="2" t="s">
        <v>26</v>
      </c>
    </row>
    <row r="21">
      <c r="A21" s="2" t="s">
        <v>177</v>
      </c>
      <c r="B21" s="3">
        <v>46254.71935813657</v>
      </c>
      <c r="C21" s="2" t="s">
        <v>178</v>
      </c>
      <c r="D21" s="2" t="s">
        <v>179</v>
      </c>
      <c r="E21" s="2" t="s">
        <v>180</v>
      </c>
      <c r="F21" s="4">
        <v>2592.0</v>
      </c>
      <c r="G21" s="2" t="s">
        <v>182</v>
      </c>
      <c r="H21" s="2" t="s">
        <v>24</v>
      </c>
      <c r="J21" s="2" t="s">
        <v>26</v>
      </c>
    </row>
    <row r="22">
      <c r="A22" s="2" t="s">
        <v>185</v>
      </c>
      <c r="B22" s="3">
        <v>46254.71940930556</v>
      </c>
      <c r="C22" s="2" t="s">
        <v>186</v>
      </c>
      <c r="D22" s="2" t="s">
        <v>187</v>
      </c>
      <c r="E22" s="2" t="s">
        <v>188</v>
      </c>
      <c r="F22" s="4">
        <v>864.0</v>
      </c>
      <c r="G22" s="2" t="s">
        <v>190</v>
      </c>
      <c r="H22" s="2" t="s">
        <v>24</v>
      </c>
      <c r="J22" s="2" t="s">
        <v>26</v>
      </c>
    </row>
    <row r="23">
      <c r="A23" s="2" t="s">
        <v>193</v>
      </c>
      <c r="B23" s="3">
        <v>46254.719459513886</v>
      </c>
      <c r="C23" s="2" t="s">
        <v>195</v>
      </c>
      <c r="D23" s="2" t="s">
        <v>41</v>
      </c>
      <c r="E23" s="2" t="s">
        <v>42</v>
      </c>
      <c r="F23" s="4">
        <v>2200.0</v>
      </c>
      <c r="G23" s="2" t="s">
        <v>196</v>
      </c>
      <c r="H23" s="2" t="s">
        <v>24</v>
      </c>
      <c r="J23" s="2" t="s">
        <v>26</v>
      </c>
    </row>
    <row r="24">
      <c r="A24" s="2" t="s">
        <v>199</v>
      </c>
      <c r="B24" s="3">
        <v>46254.7195152662</v>
      </c>
      <c r="C24" s="2" t="s">
        <v>200</v>
      </c>
      <c r="D24" s="2" t="s">
        <v>201</v>
      </c>
      <c r="E24" s="2" t="s">
        <v>202</v>
      </c>
      <c r="F24" s="4">
        <v>3600.0</v>
      </c>
      <c r="G24" s="2" t="s">
        <v>203</v>
      </c>
      <c r="H24" s="2" t="s">
        <v>24</v>
      </c>
      <c r="J24" s="2" t="s">
        <v>26</v>
      </c>
    </row>
    <row r="25">
      <c r="A25" s="2" t="s">
        <v>207</v>
      </c>
      <c r="B25" s="3">
        <v>46254.719569953704</v>
      </c>
      <c r="C25" s="2" t="s">
        <v>208</v>
      </c>
      <c r="D25" s="2" t="s">
        <v>123</v>
      </c>
      <c r="E25" s="2" t="s">
        <v>124</v>
      </c>
      <c r="F25" s="4">
        <v>4100.0</v>
      </c>
      <c r="G25" s="2" t="s">
        <v>210</v>
      </c>
      <c r="H25" s="2" t="s">
        <v>24</v>
      </c>
      <c r="J25" s="2" t="s">
        <v>26</v>
      </c>
    </row>
    <row r="26">
      <c r="A26" s="2" t="s">
        <v>213</v>
      </c>
      <c r="B26" s="3">
        <v>46254.71960827547</v>
      </c>
      <c r="C26" s="2" t="s">
        <v>214</v>
      </c>
      <c r="D26" s="2" t="s">
        <v>215</v>
      </c>
      <c r="E26" s="2" t="s">
        <v>216</v>
      </c>
      <c r="F26" s="4">
        <v>1000.0</v>
      </c>
      <c r="G26" s="2" t="s">
        <v>64</v>
      </c>
      <c r="H26" s="2" t="s">
        <v>24</v>
      </c>
      <c r="J26" s="2" t="s">
        <v>26</v>
      </c>
    </row>
    <row r="27">
      <c r="A27" s="2" t="s">
        <v>220</v>
      </c>
      <c r="B27" s="3">
        <v>46254.719663703705</v>
      </c>
      <c r="C27" s="2" t="s">
        <v>221</v>
      </c>
      <c r="D27" s="2" t="s">
        <v>223</v>
      </c>
      <c r="E27" s="2" t="s">
        <v>224</v>
      </c>
      <c r="F27" s="4">
        <v>600.0</v>
      </c>
      <c r="G27" s="2" t="s">
        <v>226</v>
      </c>
      <c r="H27" s="2" t="s">
        <v>24</v>
      </c>
      <c r="J27" s="2" t="s">
        <v>26</v>
      </c>
    </row>
    <row r="28">
      <c r="A28" s="2" t="s">
        <v>229</v>
      </c>
      <c r="B28" s="3">
        <v>46254.719712199076</v>
      </c>
      <c r="C28" s="2" t="s">
        <v>231</v>
      </c>
      <c r="D28" s="2" t="s">
        <v>105</v>
      </c>
      <c r="E28" s="2" t="s">
        <v>107</v>
      </c>
      <c r="F28" s="4">
        <v>600.0</v>
      </c>
      <c r="G28" s="2" t="s">
        <v>233</v>
      </c>
      <c r="H28" s="2" t="s">
        <v>24</v>
      </c>
      <c r="J28" s="2" t="s">
        <v>26</v>
      </c>
    </row>
    <row r="29">
      <c r="A29" s="2" t="s">
        <v>237</v>
      </c>
      <c r="B29" s="3">
        <v>46254.71976252315</v>
      </c>
      <c r="C29" s="2" t="s">
        <v>238</v>
      </c>
      <c r="D29" s="2" t="s">
        <v>87</v>
      </c>
      <c r="E29" s="2" t="s">
        <v>88</v>
      </c>
      <c r="F29" s="4">
        <v>700.0</v>
      </c>
      <c r="G29" s="2" t="s">
        <v>242</v>
      </c>
      <c r="H29" s="2" t="s">
        <v>24</v>
      </c>
      <c r="J29" s="2" t="s">
        <v>26</v>
      </c>
    </row>
    <row r="30">
      <c r="A30" s="2" t="s">
        <v>243</v>
      </c>
      <c r="B30" s="3">
        <v>46254.71985028935</v>
      </c>
      <c r="C30" s="2" t="s">
        <v>247</v>
      </c>
      <c r="D30" s="2" t="s">
        <v>123</v>
      </c>
      <c r="E30" s="2" t="s">
        <v>124</v>
      </c>
      <c r="F30" s="4">
        <v>800.0</v>
      </c>
      <c r="G30" s="2" t="s">
        <v>248</v>
      </c>
      <c r="H30" s="2" t="s">
        <v>24</v>
      </c>
      <c r="J30" s="2" t="s">
        <v>26</v>
      </c>
    </row>
    <row r="31">
      <c r="A31" s="2" t="s">
        <v>251</v>
      </c>
      <c r="B31" s="3">
        <v>46254.719896759256</v>
      </c>
      <c r="C31" s="2" t="s">
        <v>253</v>
      </c>
      <c r="D31" s="2" t="s">
        <v>215</v>
      </c>
      <c r="E31" s="2" t="s">
        <v>216</v>
      </c>
      <c r="F31" s="4">
        <v>1000.0</v>
      </c>
      <c r="G31" s="2" t="s">
        <v>255</v>
      </c>
      <c r="H31" s="2" t="s">
        <v>24</v>
      </c>
      <c r="J31" s="2" t="s">
        <v>26</v>
      </c>
    </row>
    <row r="32">
      <c r="A32" s="2" t="s">
        <v>258</v>
      </c>
      <c r="B32" s="3">
        <v>46254.72217657407</v>
      </c>
      <c r="C32" s="2" t="s">
        <v>260</v>
      </c>
      <c r="D32" s="2" t="s">
        <v>79</v>
      </c>
      <c r="E32" s="2" t="s">
        <v>80</v>
      </c>
      <c r="F32" s="4">
        <v>600.0</v>
      </c>
      <c r="G32" s="2" t="s">
        <v>263</v>
      </c>
      <c r="H32" s="2" t="s">
        <v>24</v>
      </c>
      <c r="J32" s="2" t="s">
        <v>26</v>
      </c>
    </row>
    <row r="33">
      <c r="A33" s="2" t="s">
        <v>265</v>
      </c>
      <c r="B33" s="3">
        <v>46255.54916403935</v>
      </c>
      <c r="C33" s="2" t="s">
        <v>267</v>
      </c>
      <c r="D33" s="2" t="s">
        <v>269</v>
      </c>
      <c r="E33" s="2" t="s">
        <v>270</v>
      </c>
      <c r="F33" s="4">
        <v>1.0</v>
      </c>
      <c r="H33" s="2" t="s">
        <v>24</v>
      </c>
      <c r="J33" s="2" t="s">
        <v>26</v>
      </c>
    </row>
    <row r="34">
      <c r="A34" s="2" t="s">
        <v>273</v>
      </c>
      <c r="B34" s="3">
        <v>46255.54940533565</v>
      </c>
      <c r="C34" s="2" t="s">
        <v>275</v>
      </c>
      <c r="D34" s="2" t="s">
        <v>278</v>
      </c>
      <c r="E34" s="2" t="s">
        <v>279</v>
      </c>
      <c r="F34" s="4">
        <v>1.0</v>
      </c>
      <c r="H34" s="2" t="s">
        <v>24</v>
      </c>
      <c r="J34" s="2" t="s">
        <v>26</v>
      </c>
    </row>
    <row r="35">
      <c r="A35" s="2" t="s">
        <v>281</v>
      </c>
      <c r="B35" s="3">
        <v>46255.54983267361</v>
      </c>
      <c r="C35" s="2" t="s">
        <v>40</v>
      </c>
      <c r="D35" s="2" t="s">
        <v>32</v>
      </c>
      <c r="E35" s="2" t="s">
        <v>34</v>
      </c>
      <c r="F35" s="4">
        <v>1.0</v>
      </c>
      <c r="H35" s="2" t="s">
        <v>36</v>
      </c>
      <c r="J35" s="2" t="s">
        <v>26</v>
      </c>
    </row>
    <row r="36">
      <c r="A36" s="2" t="s">
        <v>286</v>
      </c>
      <c r="B36" s="3">
        <v>46255.54983267361</v>
      </c>
      <c r="C36" s="2" t="s">
        <v>289</v>
      </c>
      <c r="D36" s="2" t="s">
        <v>32</v>
      </c>
      <c r="E36" s="2" t="s">
        <v>34</v>
      </c>
      <c r="F36" s="4">
        <v>1.0</v>
      </c>
      <c r="H36" s="2" t="s">
        <v>36</v>
      </c>
      <c r="J36" s="2" t="s">
        <v>26</v>
      </c>
    </row>
    <row r="37">
      <c r="A37" s="2" t="s">
        <v>293</v>
      </c>
      <c r="B37" s="3">
        <v>46256.428222222225</v>
      </c>
      <c r="C37" s="2" t="s">
        <v>289</v>
      </c>
      <c r="D37" s="2" t="s">
        <v>32</v>
      </c>
      <c r="E37" s="2" t="s">
        <v>34</v>
      </c>
      <c r="F37" s="4">
        <v>2.0</v>
      </c>
      <c r="H37" s="2" t="s">
        <v>36</v>
      </c>
      <c r="I37" s="2" t="s">
        <v>295</v>
      </c>
      <c r="J37" s="2" t="s">
        <v>26</v>
      </c>
    </row>
    <row r="38">
      <c r="A38" s="2" t="s">
        <v>299</v>
      </c>
      <c r="B38" s="3">
        <v>46259.65463754629</v>
      </c>
      <c r="C38" s="2" t="s">
        <v>300</v>
      </c>
      <c r="D38" s="2" t="s">
        <v>301</v>
      </c>
      <c r="E38" s="2" t="s">
        <v>302</v>
      </c>
      <c r="F38" s="4">
        <v>15.0</v>
      </c>
      <c r="H38" s="2" t="s">
        <v>24</v>
      </c>
      <c r="J38" s="2" t="s">
        <v>26</v>
      </c>
    </row>
    <row r="39">
      <c r="A39" s="2" t="s">
        <v>305</v>
      </c>
      <c r="B39" s="3">
        <v>46259.77205328704</v>
      </c>
      <c r="C39" s="2" t="s">
        <v>307</v>
      </c>
      <c r="D39" s="2" t="s">
        <v>308</v>
      </c>
      <c r="E39" s="2" t="s">
        <v>309</v>
      </c>
      <c r="F39" s="4">
        <v>1000.0</v>
      </c>
      <c r="G39" s="2" t="s">
        <v>310</v>
      </c>
      <c r="H39" s="2" t="s">
        <v>24</v>
      </c>
      <c r="J39" s="2" t="s">
        <v>26</v>
      </c>
    </row>
    <row r="40">
      <c r="A40" s="2" t="s">
        <v>313</v>
      </c>
      <c r="B40" s="3">
        <v>46259.772117141205</v>
      </c>
      <c r="C40" s="2" t="s">
        <v>316</v>
      </c>
      <c r="D40" s="2" t="s">
        <v>317</v>
      </c>
      <c r="E40" s="2" t="s">
        <v>318</v>
      </c>
      <c r="F40" s="4">
        <v>1400.0</v>
      </c>
      <c r="G40" s="2" t="s">
        <v>320</v>
      </c>
      <c r="H40" s="2" t="s">
        <v>24</v>
      </c>
      <c r="I40" s="2" t="s">
        <v>321</v>
      </c>
      <c r="J40" s="2" t="s">
        <v>26</v>
      </c>
    </row>
    <row r="41">
      <c r="A41" s="2" t="s">
        <v>324</v>
      </c>
      <c r="B41" s="3">
        <v>46259.77217739583</v>
      </c>
      <c r="C41" s="2" t="s">
        <v>327</v>
      </c>
      <c r="D41" s="2" t="s">
        <v>328</v>
      </c>
      <c r="E41" s="2" t="s">
        <v>329</v>
      </c>
      <c r="F41" s="4">
        <v>1400.0</v>
      </c>
      <c r="G41" s="2" t="s">
        <v>331</v>
      </c>
      <c r="H41" s="2" t="s">
        <v>24</v>
      </c>
      <c r="J41" s="2" t="s">
        <v>26</v>
      </c>
    </row>
    <row r="42">
      <c r="A42" s="2" t="s">
        <v>334</v>
      </c>
      <c r="B42" s="3">
        <v>46259.772240011574</v>
      </c>
      <c r="C42" s="2" t="s">
        <v>335</v>
      </c>
      <c r="D42" s="2" t="s">
        <v>328</v>
      </c>
      <c r="E42" s="2" t="s">
        <v>329</v>
      </c>
      <c r="F42" s="4">
        <v>1400.0</v>
      </c>
      <c r="G42" s="2" t="s">
        <v>331</v>
      </c>
      <c r="H42" s="2" t="s">
        <v>24</v>
      </c>
      <c r="J42" s="2" t="s">
        <v>26</v>
      </c>
    </row>
    <row r="43">
      <c r="A43" s="2" t="s">
        <v>336</v>
      </c>
      <c r="B43" s="3">
        <v>46260.67806651621</v>
      </c>
      <c r="C43" s="2" t="s">
        <v>339</v>
      </c>
      <c r="D43" s="2" t="s">
        <v>341</v>
      </c>
      <c r="E43" s="2" t="s">
        <v>342</v>
      </c>
      <c r="F43" s="4">
        <v>1100.0</v>
      </c>
      <c r="G43" s="2" t="s">
        <v>343</v>
      </c>
      <c r="H43" s="2" t="s">
        <v>24</v>
      </c>
      <c r="J43" s="2" t="s">
        <v>26</v>
      </c>
    </row>
    <row r="44">
      <c r="A44" s="2" t="s">
        <v>344</v>
      </c>
      <c r="B44" s="3">
        <v>46260.67816459491</v>
      </c>
      <c r="C44" s="2" t="s">
        <v>346</v>
      </c>
      <c r="D44" s="2" t="s">
        <v>347</v>
      </c>
      <c r="E44" s="2" t="s">
        <v>349</v>
      </c>
      <c r="F44" s="4">
        <v>600.0</v>
      </c>
      <c r="G44" s="2" t="s">
        <v>351</v>
      </c>
      <c r="H44" s="2" t="s">
        <v>24</v>
      </c>
      <c r="J44" s="2" t="s">
        <v>26</v>
      </c>
    </row>
    <row r="45">
      <c r="A45" s="2" t="s">
        <v>352</v>
      </c>
      <c r="B45" s="3">
        <v>46260.7751075</v>
      </c>
      <c r="C45" s="2" t="s">
        <v>354</v>
      </c>
      <c r="D45" s="2" t="s">
        <v>356</v>
      </c>
      <c r="E45" s="2" t="s">
        <v>358</v>
      </c>
      <c r="F45" s="4">
        <v>1200.0</v>
      </c>
      <c r="G45" s="2" t="s">
        <v>360</v>
      </c>
      <c r="H45" s="2" t="s">
        <v>24</v>
      </c>
      <c r="J45" s="2" t="s">
        <v>26</v>
      </c>
    </row>
    <row r="46">
      <c r="A46" s="2" t="s">
        <v>361</v>
      </c>
      <c r="B46" s="3">
        <v>46260.775206782404</v>
      </c>
      <c r="C46" s="2" t="s">
        <v>363</v>
      </c>
      <c r="D46" s="2" t="s">
        <v>365</v>
      </c>
      <c r="E46" s="2" t="s">
        <v>367</v>
      </c>
      <c r="F46" s="4">
        <v>1200.0</v>
      </c>
      <c r="G46" s="2" t="s">
        <v>368</v>
      </c>
      <c r="H46" s="2" t="s">
        <v>24</v>
      </c>
      <c r="I46" s="2" t="s">
        <v>369</v>
      </c>
      <c r="J46" s="2" t="s">
        <v>26</v>
      </c>
    </row>
    <row r="47">
      <c r="A47" s="2" t="s">
        <v>372</v>
      </c>
      <c r="B47" s="3">
        <v>46261.58854952546</v>
      </c>
      <c r="C47" s="2" t="s">
        <v>374</v>
      </c>
      <c r="D47" s="2" t="s">
        <v>365</v>
      </c>
      <c r="E47" s="2" t="s">
        <v>367</v>
      </c>
      <c r="F47" s="4">
        <v>1728.0</v>
      </c>
      <c r="G47" s="2" t="s">
        <v>376</v>
      </c>
      <c r="H47" s="2" t="s">
        <v>24</v>
      </c>
      <c r="I47" s="2" t="s">
        <v>378</v>
      </c>
      <c r="J47" s="2" t="s">
        <v>26</v>
      </c>
    </row>
    <row r="48">
      <c r="A48" s="2" t="s">
        <v>380</v>
      </c>
      <c r="B48" s="3">
        <v>46261.58864263889</v>
      </c>
      <c r="C48" s="2" t="s">
        <v>383</v>
      </c>
      <c r="D48" s="2" t="s">
        <v>365</v>
      </c>
      <c r="E48" s="2" t="s">
        <v>367</v>
      </c>
      <c r="F48" s="4">
        <v>2592.0</v>
      </c>
      <c r="G48" s="2" t="s">
        <v>384</v>
      </c>
      <c r="H48" s="2" t="s">
        <v>24</v>
      </c>
      <c r="I48" s="13" t="s">
        <v>385</v>
      </c>
      <c r="J48" s="2" t="s">
        <v>26</v>
      </c>
    </row>
    <row r="49">
      <c r="A49" s="2" t="s">
        <v>392</v>
      </c>
      <c r="B49" s="3">
        <v>46261.588755543984</v>
      </c>
      <c r="C49" s="2" t="s">
        <v>393</v>
      </c>
      <c r="D49" s="2" t="s">
        <v>147</v>
      </c>
      <c r="E49" s="2" t="s">
        <v>148</v>
      </c>
      <c r="F49" s="4">
        <v>850.0</v>
      </c>
      <c r="G49" s="2" t="s">
        <v>395</v>
      </c>
      <c r="H49" s="2" t="s">
        <v>24</v>
      </c>
      <c r="I49" s="2" t="s">
        <v>397</v>
      </c>
      <c r="J49" s="2" t="s">
        <v>26</v>
      </c>
    </row>
    <row r="50">
      <c r="A50" s="2" t="s">
        <v>399</v>
      </c>
      <c r="B50" s="3">
        <v>46261.588842743055</v>
      </c>
      <c r="C50" s="2" t="s">
        <v>400</v>
      </c>
      <c r="D50" s="2" t="s">
        <v>201</v>
      </c>
      <c r="E50" s="2" t="s">
        <v>202</v>
      </c>
      <c r="F50" s="4">
        <v>600.0</v>
      </c>
      <c r="G50" s="2" t="s">
        <v>403</v>
      </c>
      <c r="H50" s="2" t="s">
        <v>24</v>
      </c>
      <c r="I50" s="13" t="s">
        <v>405</v>
      </c>
      <c r="J50" s="2" t="s">
        <v>26</v>
      </c>
    </row>
    <row r="51">
      <c r="A51" s="2" t="s">
        <v>407</v>
      </c>
      <c r="B51" s="3">
        <v>46261.58895711806</v>
      </c>
      <c r="C51" s="2" t="s">
        <v>408</v>
      </c>
      <c r="D51" s="2" t="s">
        <v>147</v>
      </c>
      <c r="E51" s="2" t="s">
        <v>148</v>
      </c>
      <c r="F51" s="4">
        <v>200.0</v>
      </c>
      <c r="G51" s="2" t="s">
        <v>410</v>
      </c>
      <c r="H51" s="2" t="s">
        <v>24</v>
      </c>
      <c r="I51" s="2" t="s">
        <v>411</v>
      </c>
      <c r="J51" s="2" t="s">
        <v>26</v>
      </c>
    </row>
    <row r="52">
      <c r="A52" s="2" t="s">
        <v>412</v>
      </c>
      <c r="B52" s="3">
        <v>46261.58904552083</v>
      </c>
      <c r="C52" s="2" t="s">
        <v>414</v>
      </c>
      <c r="D52" s="2" t="s">
        <v>415</v>
      </c>
      <c r="E52" s="2" t="s">
        <v>416</v>
      </c>
      <c r="F52" s="4">
        <v>1000.0</v>
      </c>
      <c r="G52" s="2" t="s">
        <v>418</v>
      </c>
      <c r="H52" s="2" t="s">
        <v>24</v>
      </c>
      <c r="I52" s="2" t="s">
        <v>420</v>
      </c>
      <c r="J52" s="2" t="s">
        <v>26</v>
      </c>
    </row>
    <row r="53">
      <c r="A53" s="2" t="s">
        <v>422</v>
      </c>
      <c r="B53" s="3">
        <v>46261.58914332176</v>
      </c>
      <c r="C53" s="2" t="s">
        <v>423</v>
      </c>
      <c r="D53" s="2" t="s">
        <v>424</v>
      </c>
      <c r="E53" s="2" t="s">
        <v>425</v>
      </c>
      <c r="F53" s="4">
        <v>1000.0</v>
      </c>
      <c r="G53" s="2" t="s">
        <v>427</v>
      </c>
      <c r="H53" s="2" t="s">
        <v>24</v>
      </c>
      <c r="I53" s="2" t="s">
        <v>429</v>
      </c>
      <c r="J53" s="2" t="s">
        <v>26</v>
      </c>
    </row>
    <row r="54">
      <c r="A54" s="2" t="s">
        <v>431</v>
      </c>
      <c r="B54" s="3">
        <v>46265.66992770833</v>
      </c>
      <c r="C54" s="2" t="s">
        <v>289</v>
      </c>
      <c r="D54" s="2" t="s">
        <v>32</v>
      </c>
      <c r="E54" s="2" t="s">
        <v>34</v>
      </c>
      <c r="F54" s="4">
        <v>3.0</v>
      </c>
      <c r="H54" s="2" t="s">
        <v>36</v>
      </c>
      <c r="J54" s="2" t="s">
        <v>26</v>
      </c>
    </row>
    <row r="55">
      <c r="A55" s="2" t="s">
        <v>435</v>
      </c>
      <c r="B55" s="3">
        <v>46266.653369224536</v>
      </c>
      <c r="C55" s="2" t="s">
        <v>260</v>
      </c>
      <c r="D55" s="2" t="s">
        <v>79</v>
      </c>
      <c r="E55" s="2" t="s">
        <v>80</v>
      </c>
      <c r="F55" s="4">
        <v>500.0</v>
      </c>
      <c r="G55" s="2" t="s">
        <v>263</v>
      </c>
      <c r="H55" s="2" t="s">
        <v>24</v>
      </c>
      <c r="J55" s="2" t="s">
        <v>26</v>
      </c>
    </row>
    <row r="56">
      <c r="A56" s="2" t="s">
        <v>440</v>
      </c>
      <c r="B56" s="3">
        <v>46266.65347863426</v>
      </c>
      <c r="C56" s="2" t="s">
        <v>444</v>
      </c>
      <c r="D56" s="2" t="s">
        <v>87</v>
      </c>
      <c r="E56" s="2" t="s">
        <v>88</v>
      </c>
      <c r="F56" s="4">
        <v>200.0</v>
      </c>
      <c r="G56" s="2" t="s">
        <v>445</v>
      </c>
      <c r="H56" s="2" t="s">
        <v>24</v>
      </c>
      <c r="I56" s="2" t="s">
        <v>448</v>
      </c>
      <c r="J56" s="2" t="s">
        <v>26</v>
      </c>
    </row>
    <row r="57">
      <c r="A57" s="2" t="s">
        <v>451</v>
      </c>
      <c r="B57" s="3">
        <v>46266.653551979165</v>
      </c>
      <c r="C57" s="2" t="s">
        <v>452</v>
      </c>
      <c r="D57" s="2" t="s">
        <v>61</v>
      </c>
      <c r="E57" s="2" t="s">
        <v>62</v>
      </c>
      <c r="F57" s="4">
        <v>1000.0</v>
      </c>
      <c r="G57" s="2" t="s">
        <v>455</v>
      </c>
      <c r="H57" s="2" t="s">
        <v>24</v>
      </c>
      <c r="J57" s="2" t="s">
        <v>26</v>
      </c>
    </row>
    <row r="58">
      <c r="A58" s="2" t="s">
        <v>458</v>
      </c>
      <c r="B58" s="3">
        <v>46266.65362831019</v>
      </c>
      <c r="C58" s="2" t="s">
        <v>459</v>
      </c>
      <c r="D58" s="2" t="s">
        <v>87</v>
      </c>
      <c r="E58" s="2" t="s">
        <v>88</v>
      </c>
      <c r="F58" s="4">
        <v>100.0</v>
      </c>
      <c r="G58" s="2" t="s">
        <v>445</v>
      </c>
      <c r="H58" s="2" t="s">
        <v>24</v>
      </c>
      <c r="I58" s="2" t="s">
        <v>463</v>
      </c>
      <c r="J58" s="2" t="s">
        <v>26</v>
      </c>
    </row>
    <row r="59">
      <c r="A59" s="2" t="s">
        <v>464</v>
      </c>
      <c r="B59" s="3">
        <v>46266.6537415162</v>
      </c>
      <c r="C59" s="2" t="s">
        <v>465</v>
      </c>
      <c r="D59" s="2" t="s">
        <v>308</v>
      </c>
      <c r="E59" s="2" t="s">
        <v>309</v>
      </c>
      <c r="F59" s="4">
        <v>800.0</v>
      </c>
      <c r="G59" s="2" t="s">
        <v>468</v>
      </c>
      <c r="H59" s="2" t="s">
        <v>24</v>
      </c>
      <c r="J59" s="2" t="s">
        <v>26</v>
      </c>
    </row>
    <row r="60">
      <c r="A60" s="2" t="s">
        <v>469</v>
      </c>
      <c r="B60" s="3">
        <v>46266.65383927083</v>
      </c>
      <c r="C60" s="2" t="s">
        <v>471</v>
      </c>
      <c r="D60" s="2" t="s">
        <v>472</v>
      </c>
      <c r="E60" s="2" t="s">
        <v>475</v>
      </c>
      <c r="F60" s="4">
        <v>200.0</v>
      </c>
      <c r="G60" s="2" t="s">
        <v>476</v>
      </c>
      <c r="H60" s="2" t="s">
        <v>24</v>
      </c>
      <c r="J60" s="2" t="s">
        <v>26</v>
      </c>
    </row>
    <row r="61">
      <c r="A61" s="2" t="s">
        <v>477</v>
      </c>
      <c r="B61" s="3">
        <v>46266.65391359954</v>
      </c>
      <c r="C61" s="2" t="s">
        <v>479</v>
      </c>
      <c r="D61" s="2" t="s">
        <v>481</v>
      </c>
      <c r="E61" s="2" t="s">
        <v>483</v>
      </c>
      <c r="F61" s="4">
        <v>720.0</v>
      </c>
      <c r="G61" s="2" t="s">
        <v>485</v>
      </c>
      <c r="H61" s="2" t="s">
        <v>24</v>
      </c>
      <c r="J61" s="2" t="s">
        <v>26</v>
      </c>
    </row>
    <row r="62">
      <c r="A62" s="2" t="s">
        <v>489</v>
      </c>
      <c r="B62" s="3">
        <v>46266.65400034722</v>
      </c>
      <c r="C62" s="2" t="s">
        <v>491</v>
      </c>
      <c r="D62" s="2" t="s">
        <v>492</v>
      </c>
      <c r="E62" s="2" t="s">
        <v>493</v>
      </c>
      <c r="F62" s="4">
        <v>1440.0</v>
      </c>
      <c r="G62" s="2" t="s">
        <v>495</v>
      </c>
      <c r="H62" s="2" t="s">
        <v>24</v>
      </c>
      <c r="J62" s="2" t="s">
        <v>26</v>
      </c>
    </row>
    <row r="63">
      <c r="A63" s="2" t="s">
        <v>498</v>
      </c>
      <c r="B63" s="3">
        <v>46266.660538854165</v>
      </c>
      <c r="C63" s="2" t="s">
        <v>500</v>
      </c>
      <c r="D63" s="2" t="s">
        <v>501</v>
      </c>
      <c r="E63" s="2" t="s">
        <v>502</v>
      </c>
      <c r="F63" s="4">
        <v>700.0</v>
      </c>
      <c r="G63" s="2" t="s">
        <v>503</v>
      </c>
      <c r="H63" s="2" t="s">
        <v>24</v>
      </c>
      <c r="J63" s="2" t="s">
        <v>26</v>
      </c>
    </row>
    <row r="64">
      <c r="A64" s="2" t="s">
        <v>507</v>
      </c>
      <c r="B64" s="3">
        <v>46267.540880555556</v>
      </c>
      <c r="C64" s="2" t="s">
        <v>303</v>
      </c>
      <c r="D64" s="2" t="s">
        <v>304</v>
      </c>
      <c r="E64" s="2" t="s">
        <v>306</v>
      </c>
      <c r="F64" s="2">
        <v>2.0</v>
      </c>
      <c r="H64" s="2" t="s">
        <v>24</v>
      </c>
      <c r="J64" s="2" t="s">
        <v>26</v>
      </c>
    </row>
    <row r="65">
      <c r="A65" s="2" t="s">
        <v>511</v>
      </c>
      <c r="B65" s="3">
        <v>46267.54108425926</v>
      </c>
      <c r="C65" s="2" t="s">
        <v>296</v>
      </c>
      <c r="D65" s="2" t="s">
        <v>297</v>
      </c>
      <c r="E65" s="2" t="s">
        <v>298</v>
      </c>
      <c r="F65" s="4">
        <v>2.0</v>
      </c>
      <c r="H65" s="2" t="s">
        <v>24</v>
      </c>
      <c r="J65" s="2" t="s">
        <v>26</v>
      </c>
    </row>
    <row r="66">
      <c r="A66" s="2" t="s">
        <v>514</v>
      </c>
      <c r="B66" s="3">
        <v>46267.56089528935</v>
      </c>
      <c r="C66" s="2" t="s">
        <v>516</v>
      </c>
      <c r="D66" s="2" t="s">
        <v>517</v>
      </c>
      <c r="E66" s="2" t="s">
        <v>518</v>
      </c>
      <c r="F66" s="4">
        <v>20.0</v>
      </c>
      <c r="H66" s="2" t="s">
        <v>24</v>
      </c>
      <c r="J66" s="2" t="s">
        <v>26</v>
      </c>
    </row>
    <row r="67">
      <c r="A67" s="2" t="s">
        <v>522</v>
      </c>
      <c r="B67" s="3">
        <v>46267.56126266204</v>
      </c>
      <c r="C67" s="2" t="s">
        <v>524</v>
      </c>
      <c r="D67" s="2" t="s">
        <v>32</v>
      </c>
      <c r="E67" s="2" t="s">
        <v>34</v>
      </c>
      <c r="F67" s="4">
        <v>2.0</v>
      </c>
      <c r="H67" s="2" t="s">
        <v>36</v>
      </c>
      <c r="J67" s="2" t="s">
        <v>26</v>
      </c>
    </row>
    <row r="68">
      <c r="A68" s="2" t="s">
        <v>529</v>
      </c>
      <c r="B68" s="3">
        <v>46267.562868877314</v>
      </c>
      <c r="C68" s="2" t="s">
        <v>530</v>
      </c>
      <c r="D68" s="2" t="s">
        <v>147</v>
      </c>
      <c r="E68" s="2" t="s">
        <v>148</v>
      </c>
      <c r="F68" s="4">
        <v>300.0</v>
      </c>
      <c r="G68" s="2" t="s">
        <v>533</v>
      </c>
      <c r="H68" s="2" t="s">
        <v>24</v>
      </c>
      <c r="J68" s="2" t="s">
        <v>26</v>
      </c>
    </row>
    <row r="69">
      <c r="A69" s="2" t="s">
        <v>536</v>
      </c>
      <c r="B69" s="3">
        <v>46267.56293850695</v>
      </c>
      <c r="C69" s="2" t="s">
        <v>537</v>
      </c>
      <c r="D69" s="2" t="s">
        <v>538</v>
      </c>
      <c r="E69" s="2" t="s">
        <v>539</v>
      </c>
      <c r="F69" s="4">
        <v>1152.0</v>
      </c>
      <c r="G69" s="2" t="s">
        <v>541</v>
      </c>
      <c r="H69" s="2" t="s">
        <v>24</v>
      </c>
      <c r="J69" s="2" t="s">
        <v>26</v>
      </c>
    </row>
    <row r="70">
      <c r="A70" s="2" t="s">
        <v>544</v>
      </c>
      <c r="B70" s="3">
        <v>46267.693733252316</v>
      </c>
      <c r="C70" s="2" t="s">
        <v>545</v>
      </c>
      <c r="D70" s="2" t="s">
        <v>546</v>
      </c>
      <c r="E70" s="2" t="s">
        <v>547</v>
      </c>
      <c r="F70" s="4">
        <v>1545.0</v>
      </c>
      <c r="G70" s="2" t="s">
        <v>549</v>
      </c>
      <c r="H70" s="2" t="s">
        <v>24</v>
      </c>
      <c r="I70" s="2" t="s">
        <v>552</v>
      </c>
      <c r="J70" s="2" t="s">
        <v>26</v>
      </c>
    </row>
    <row r="71">
      <c r="A71" s="2" t="s">
        <v>553</v>
      </c>
      <c r="B71" s="3">
        <v>46268.42039295139</v>
      </c>
      <c r="C71" s="2" t="s">
        <v>300</v>
      </c>
      <c r="D71" s="2" t="s">
        <v>301</v>
      </c>
      <c r="E71" s="2" t="s">
        <v>302</v>
      </c>
      <c r="F71" s="4">
        <v>15.0</v>
      </c>
      <c r="H71" s="2" t="s">
        <v>24</v>
      </c>
      <c r="J71" s="2" t="s">
        <v>26</v>
      </c>
    </row>
    <row r="72">
      <c r="A72" s="2" t="s">
        <v>558</v>
      </c>
      <c r="B72" s="3">
        <v>46268.42066915509</v>
      </c>
      <c r="C72" s="2" t="s">
        <v>300</v>
      </c>
      <c r="D72" s="2" t="s">
        <v>301</v>
      </c>
      <c r="E72" s="2" t="s">
        <v>302</v>
      </c>
      <c r="F72" s="4">
        <v>11.0</v>
      </c>
      <c r="H72" s="2" t="s">
        <v>36</v>
      </c>
      <c r="J72" s="2" t="s">
        <v>26</v>
      </c>
    </row>
    <row r="73">
      <c r="A73" s="2" t="s">
        <v>563</v>
      </c>
      <c r="B73" s="3">
        <v>46268.425893287036</v>
      </c>
      <c r="C73" s="2" t="s">
        <v>524</v>
      </c>
      <c r="D73" s="2" t="s">
        <v>32</v>
      </c>
      <c r="E73" s="2" t="s">
        <v>34</v>
      </c>
      <c r="F73" s="4">
        <v>2.0</v>
      </c>
      <c r="H73" s="2" t="s">
        <v>36</v>
      </c>
      <c r="J73" s="2" t="s">
        <v>26</v>
      </c>
    </row>
    <row r="74">
      <c r="A74" s="2" t="s">
        <v>570</v>
      </c>
      <c r="B74" s="3">
        <v>46270.657451203704</v>
      </c>
      <c r="C74" s="2" t="s">
        <v>571</v>
      </c>
      <c r="D74" s="2" t="s">
        <v>573</v>
      </c>
      <c r="E74" s="2" t="s">
        <v>575</v>
      </c>
      <c r="F74" s="4">
        <v>1600.0</v>
      </c>
      <c r="G74" s="2" t="s">
        <v>578</v>
      </c>
      <c r="H74" s="2" t="s">
        <v>24</v>
      </c>
      <c r="J74" s="2" t="s">
        <v>26</v>
      </c>
    </row>
    <row r="75">
      <c r="A75" s="2" t="s">
        <v>581</v>
      </c>
      <c r="B75" s="3">
        <v>46270.65752</v>
      </c>
      <c r="C75" s="2" t="s">
        <v>583</v>
      </c>
      <c r="D75" s="2" t="s">
        <v>584</v>
      </c>
      <c r="E75" s="2" t="s">
        <v>585</v>
      </c>
      <c r="F75" s="4">
        <v>5300.0</v>
      </c>
      <c r="G75" s="2" t="s">
        <v>587</v>
      </c>
      <c r="H75" s="2" t="s">
        <v>24</v>
      </c>
      <c r="J75" s="2" t="s">
        <v>26</v>
      </c>
    </row>
    <row r="76">
      <c r="A76" s="2" t="s">
        <v>590</v>
      </c>
      <c r="B76" s="3">
        <v>46270.65759800926</v>
      </c>
      <c r="C76" s="2" t="s">
        <v>591</v>
      </c>
      <c r="D76" s="2" t="s">
        <v>593</v>
      </c>
      <c r="E76" s="2" t="s">
        <v>594</v>
      </c>
      <c r="F76" s="4">
        <v>1200.0</v>
      </c>
      <c r="G76" s="2" t="s">
        <v>596</v>
      </c>
      <c r="H76" s="2" t="s">
        <v>24</v>
      </c>
      <c r="J76" s="2" t="s">
        <v>26</v>
      </c>
    </row>
    <row r="77">
      <c r="A77" s="2" t="s">
        <v>600</v>
      </c>
      <c r="B77" s="3">
        <v>46270.657661053236</v>
      </c>
      <c r="C77" s="2" t="s">
        <v>603</v>
      </c>
      <c r="D77" s="2" t="s">
        <v>41</v>
      </c>
      <c r="E77" s="2" t="s">
        <v>42</v>
      </c>
      <c r="F77" s="4">
        <v>800.0</v>
      </c>
      <c r="G77" s="2" t="s">
        <v>606</v>
      </c>
      <c r="H77" s="2" t="s">
        <v>24</v>
      </c>
      <c r="J77" s="2" t="s">
        <v>26</v>
      </c>
    </row>
    <row r="78">
      <c r="A78" s="2" t="s">
        <v>610</v>
      </c>
      <c r="B78" s="3">
        <v>46270.6577287963</v>
      </c>
      <c r="C78" s="2" t="s">
        <v>611</v>
      </c>
      <c r="D78" s="2" t="s">
        <v>79</v>
      </c>
      <c r="E78" s="2" t="s">
        <v>80</v>
      </c>
      <c r="F78" s="4">
        <v>1100.0</v>
      </c>
      <c r="G78" s="2" t="s">
        <v>613</v>
      </c>
      <c r="H78" s="2" t="s">
        <v>24</v>
      </c>
      <c r="J78" s="2" t="s">
        <v>26</v>
      </c>
    </row>
    <row r="79">
      <c r="A79" s="2" t="s">
        <v>617</v>
      </c>
      <c r="B79" s="3">
        <v>46270.72819076389</v>
      </c>
      <c r="C79" s="2" t="s">
        <v>618</v>
      </c>
      <c r="D79" s="2" t="s">
        <v>301</v>
      </c>
      <c r="E79" s="2" t="s">
        <v>302</v>
      </c>
      <c r="F79" s="4">
        <v>15.0</v>
      </c>
      <c r="H79" s="2" t="s">
        <v>24</v>
      </c>
      <c r="J79" s="2" t="s">
        <v>26</v>
      </c>
    </row>
    <row r="80">
      <c r="A80" s="2" t="s">
        <v>628</v>
      </c>
      <c r="B80" s="3">
        <v>46270.73065783565</v>
      </c>
      <c r="C80" s="2" t="s">
        <v>629</v>
      </c>
      <c r="D80" s="2" t="s">
        <v>21</v>
      </c>
      <c r="E80" s="2" t="s">
        <v>23</v>
      </c>
      <c r="F80" s="4">
        <v>20.0</v>
      </c>
      <c r="G80" s="2" t="s">
        <v>630</v>
      </c>
      <c r="H80" s="2" t="s">
        <v>36</v>
      </c>
      <c r="I80" s="2" t="s">
        <v>631</v>
      </c>
      <c r="J80" s="2" t="s">
        <v>26</v>
      </c>
    </row>
    <row r="81">
      <c r="A81" s="2" t="s">
        <v>632</v>
      </c>
      <c r="B81" s="3">
        <v>46270.73160240741</v>
      </c>
      <c r="C81" s="2" t="s">
        <v>634</v>
      </c>
      <c r="D81" s="2" t="s">
        <v>598</v>
      </c>
      <c r="E81" s="2" t="s">
        <v>604</v>
      </c>
      <c r="F81" s="4">
        <v>5.0</v>
      </c>
      <c r="G81" s="2" t="s">
        <v>630</v>
      </c>
      <c r="H81" s="2" t="s">
        <v>36</v>
      </c>
      <c r="I81" s="2" t="s">
        <v>631</v>
      </c>
      <c r="J81" s="2" t="s">
        <v>26</v>
      </c>
    </row>
    <row r="82">
      <c r="A82" s="2" t="s">
        <v>642</v>
      </c>
      <c r="B82" s="3">
        <v>46270.77472630787</v>
      </c>
      <c r="C82" s="2" t="s">
        <v>508</v>
      </c>
      <c r="D82" s="2" t="s">
        <v>509</v>
      </c>
      <c r="E82" s="2" t="s">
        <v>510</v>
      </c>
      <c r="F82" s="4">
        <v>1.0</v>
      </c>
      <c r="H82" s="2" t="s">
        <v>24</v>
      </c>
      <c r="J82" s="2" t="s">
        <v>26</v>
      </c>
    </row>
    <row r="83">
      <c r="A83" s="2" t="s">
        <v>650</v>
      </c>
      <c r="B83" s="3">
        <v>46270.78412224537</v>
      </c>
      <c r="C83" s="2" t="s">
        <v>653</v>
      </c>
      <c r="D83" s="2" t="s">
        <v>654</v>
      </c>
      <c r="E83" s="2" t="s">
        <v>655</v>
      </c>
      <c r="F83" s="4">
        <v>5.0</v>
      </c>
      <c r="H83" s="2" t="s">
        <v>656</v>
      </c>
      <c r="J83" s="2" t="s">
        <v>26</v>
      </c>
    </row>
    <row r="84">
      <c r="A84" s="2" t="s">
        <v>660</v>
      </c>
      <c r="B84" s="3">
        <v>46272.44424189815</v>
      </c>
      <c r="C84" s="2" t="s">
        <v>296</v>
      </c>
      <c r="D84" s="2" t="s">
        <v>297</v>
      </c>
      <c r="E84" s="2" t="s">
        <v>298</v>
      </c>
      <c r="F84" s="4">
        <v>4.0</v>
      </c>
      <c r="H84" s="2" t="s">
        <v>24</v>
      </c>
      <c r="J84" s="2" t="s">
        <v>26</v>
      </c>
    </row>
    <row r="85">
      <c r="A85" s="2" t="s">
        <v>670</v>
      </c>
      <c r="B85" s="3">
        <v>46272.44450951389</v>
      </c>
      <c r="C85" s="2" t="s">
        <v>303</v>
      </c>
      <c r="D85" s="2" t="s">
        <v>304</v>
      </c>
      <c r="E85" s="2" t="s">
        <v>306</v>
      </c>
      <c r="F85" s="4">
        <v>2.0</v>
      </c>
      <c r="H85" s="2" t="s">
        <v>24</v>
      </c>
      <c r="J85" s="2" t="s">
        <v>26</v>
      </c>
    </row>
    <row r="86">
      <c r="A86" s="2" t="s">
        <v>677</v>
      </c>
      <c r="B86" s="3">
        <v>46272.44484232639</v>
      </c>
      <c r="C86" s="2" t="s">
        <v>291</v>
      </c>
      <c r="D86" s="2" t="s">
        <v>292</v>
      </c>
      <c r="E86" s="2" t="s">
        <v>294</v>
      </c>
      <c r="F86" s="4">
        <v>2.0</v>
      </c>
      <c r="H86" s="2" t="s">
        <v>24</v>
      </c>
      <c r="J86" s="2" t="s">
        <v>26</v>
      </c>
    </row>
    <row r="87">
      <c r="A87" s="2" t="s">
        <v>684</v>
      </c>
      <c r="B87" s="3">
        <v>46272.72944134259</v>
      </c>
      <c r="C87" s="2" t="s">
        <v>439</v>
      </c>
      <c r="D87" s="2" t="s">
        <v>441</v>
      </c>
      <c r="E87" s="2" t="s">
        <v>688</v>
      </c>
      <c r="F87" s="4">
        <v>2.0</v>
      </c>
      <c r="H87" s="2" t="s">
        <v>24</v>
      </c>
      <c r="J87" s="2" t="s">
        <v>26</v>
      </c>
    </row>
    <row r="88">
      <c r="A88" s="2" t="s">
        <v>694</v>
      </c>
      <c r="B88" s="3">
        <v>46272.73214769676</v>
      </c>
      <c r="C88" s="2" t="s">
        <v>603</v>
      </c>
      <c r="D88" s="2" t="s">
        <v>41</v>
      </c>
      <c r="E88" s="2" t="s">
        <v>42</v>
      </c>
      <c r="F88" s="4">
        <v>1600.0</v>
      </c>
      <c r="G88" s="2" t="s">
        <v>606</v>
      </c>
      <c r="H88" s="2" t="s">
        <v>24</v>
      </c>
      <c r="I88" s="2" t="s">
        <v>697</v>
      </c>
      <c r="J88" s="2" t="s">
        <v>26</v>
      </c>
    </row>
    <row r="89">
      <c r="A89" s="2" t="s">
        <v>699</v>
      </c>
      <c r="B89" s="3">
        <v>46272.73222394676</v>
      </c>
      <c r="C89" s="2" t="s">
        <v>700</v>
      </c>
      <c r="D89" s="2" t="s">
        <v>701</v>
      </c>
      <c r="E89" s="2" t="s">
        <v>702</v>
      </c>
      <c r="F89" s="4">
        <v>2304.0</v>
      </c>
      <c r="G89" s="2" t="s">
        <v>704</v>
      </c>
      <c r="H89" s="2" t="s">
        <v>24</v>
      </c>
      <c r="J89" s="2" t="s">
        <v>26</v>
      </c>
    </row>
    <row r="90">
      <c r="A90" s="2" t="s">
        <v>706</v>
      </c>
      <c r="B90" s="3">
        <v>46272.73231068287</v>
      </c>
      <c r="C90" s="2" t="s">
        <v>707</v>
      </c>
      <c r="D90" s="2" t="s">
        <v>179</v>
      </c>
      <c r="E90" s="2" t="s">
        <v>180</v>
      </c>
      <c r="F90" s="4">
        <v>1440.0</v>
      </c>
      <c r="G90" s="2" t="s">
        <v>712</v>
      </c>
      <c r="H90" s="2" t="s">
        <v>24</v>
      </c>
      <c r="J90" s="2" t="s">
        <v>26</v>
      </c>
    </row>
    <row r="91">
      <c r="A91" s="2" t="s">
        <v>713</v>
      </c>
      <c r="B91" s="3">
        <v>46272.732849050924</v>
      </c>
      <c r="C91" s="2" t="s">
        <v>30</v>
      </c>
      <c r="D91" s="2" t="s">
        <v>33</v>
      </c>
      <c r="E91" s="2" t="s">
        <v>35</v>
      </c>
      <c r="F91" s="4">
        <v>600.0</v>
      </c>
      <c r="G91" s="2" t="s">
        <v>719</v>
      </c>
      <c r="H91" s="2" t="s">
        <v>24</v>
      </c>
      <c r="I91" s="2" t="s">
        <v>721</v>
      </c>
      <c r="J91" s="2" t="s">
        <v>26</v>
      </c>
    </row>
    <row r="92">
      <c r="A92" s="2" t="s">
        <v>723</v>
      </c>
      <c r="B92" s="3">
        <v>46273.73124636574</v>
      </c>
      <c r="C92" s="2" t="s">
        <v>725</v>
      </c>
      <c r="D92" s="2" t="s">
        <v>105</v>
      </c>
      <c r="E92" s="2" t="s">
        <v>107</v>
      </c>
      <c r="F92" s="4">
        <v>5200.0</v>
      </c>
      <c r="G92" s="2" t="s">
        <v>727</v>
      </c>
      <c r="H92" s="2" t="s">
        <v>24</v>
      </c>
      <c r="J92" s="2" t="s">
        <v>26</v>
      </c>
    </row>
    <row r="93">
      <c r="A93" s="2" t="s">
        <v>730</v>
      </c>
      <c r="B93" s="3">
        <v>46273.73135851852</v>
      </c>
      <c r="C93" s="2" t="s">
        <v>731</v>
      </c>
      <c r="D93" s="2" t="s">
        <v>734</v>
      </c>
      <c r="E93" s="2" t="s">
        <v>736</v>
      </c>
      <c r="F93" s="2">
        <v>1560.0</v>
      </c>
      <c r="G93" s="2" t="s">
        <v>737</v>
      </c>
      <c r="H93" s="2" t="s">
        <v>24</v>
      </c>
      <c r="I93" s="2" t="s">
        <v>738</v>
      </c>
      <c r="J93" s="2" t="s">
        <v>26</v>
      </c>
    </row>
    <row r="94">
      <c r="A94" s="2" t="s">
        <v>740</v>
      </c>
      <c r="B94" s="3">
        <v>46273.731680069446</v>
      </c>
      <c r="C94" s="2" t="s">
        <v>303</v>
      </c>
      <c r="D94" s="2" t="s">
        <v>304</v>
      </c>
      <c r="E94" s="2" t="s">
        <v>306</v>
      </c>
      <c r="F94" s="4">
        <v>2.0</v>
      </c>
      <c r="H94" s="2" t="s">
        <v>24</v>
      </c>
      <c r="J94" s="2" t="s">
        <v>26</v>
      </c>
    </row>
    <row r="95">
      <c r="A95" s="2" t="s">
        <v>745</v>
      </c>
      <c r="B95" s="3">
        <v>46273.73191869213</v>
      </c>
      <c r="C95" s="2" t="s">
        <v>296</v>
      </c>
      <c r="D95" s="2" t="s">
        <v>297</v>
      </c>
      <c r="E95" s="2" t="s">
        <v>298</v>
      </c>
      <c r="F95" s="4">
        <v>2.0</v>
      </c>
      <c r="H95" s="2" t="s">
        <v>24</v>
      </c>
      <c r="J95" s="2" t="s">
        <v>26</v>
      </c>
    </row>
    <row r="96">
      <c r="A96" s="2" t="s">
        <v>750</v>
      </c>
      <c r="B96" s="3">
        <v>46275.48173413194</v>
      </c>
      <c r="C96" s="2" t="s">
        <v>303</v>
      </c>
      <c r="D96" s="2" t="s">
        <v>304</v>
      </c>
      <c r="E96" s="2" t="s">
        <v>306</v>
      </c>
      <c r="F96" s="4">
        <v>4.0</v>
      </c>
      <c r="H96" s="2" t="s">
        <v>24</v>
      </c>
      <c r="J96" s="2" t="s">
        <v>26</v>
      </c>
    </row>
    <row r="97">
      <c r="A97" s="2" t="s">
        <v>764</v>
      </c>
      <c r="B97" s="3">
        <v>46275.48286415509</v>
      </c>
      <c r="C97" s="2" t="s">
        <v>296</v>
      </c>
      <c r="D97" s="2" t="s">
        <v>297</v>
      </c>
      <c r="E97" s="2" t="s">
        <v>298</v>
      </c>
      <c r="F97" s="4">
        <v>2.0</v>
      </c>
      <c r="H97" s="2" t="s">
        <v>24</v>
      </c>
      <c r="J97" s="2" t="s">
        <v>26</v>
      </c>
    </row>
    <row r="98">
      <c r="A98" s="2" t="s">
        <v>768</v>
      </c>
      <c r="B98" s="3">
        <v>46275.48286415509</v>
      </c>
      <c r="C98" s="2" t="s">
        <v>769</v>
      </c>
      <c r="D98" s="2" t="s">
        <v>297</v>
      </c>
      <c r="E98" s="2" t="s">
        <v>298</v>
      </c>
      <c r="F98" s="4">
        <v>2.0</v>
      </c>
      <c r="H98" s="2" t="s">
        <v>24</v>
      </c>
      <c r="J98" s="2" t="s">
        <v>26</v>
      </c>
    </row>
    <row r="99">
      <c r="A99" s="2" t="s">
        <v>773</v>
      </c>
      <c r="B99" s="3">
        <v>46275.50577679398</v>
      </c>
      <c r="C99" s="2" t="s">
        <v>775</v>
      </c>
      <c r="D99" s="2" t="s">
        <v>778</v>
      </c>
      <c r="E99" s="2" t="s">
        <v>779</v>
      </c>
      <c r="F99" s="4">
        <v>2880.0</v>
      </c>
      <c r="G99" s="2" t="s">
        <v>368</v>
      </c>
      <c r="H99" s="2" t="s">
        <v>24</v>
      </c>
      <c r="J99" s="2" t="s">
        <v>26</v>
      </c>
    </row>
    <row r="100">
      <c r="A100" s="2" t="s">
        <v>781</v>
      </c>
      <c r="B100" s="3">
        <v>46275.5058855324</v>
      </c>
      <c r="C100" s="2" t="s">
        <v>782</v>
      </c>
      <c r="D100" s="2" t="s">
        <v>365</v>
      </c>
      <c r="E100" s="2" t="s">
        <v>367</v>
      </c>
      <c r="F100" s="4">
        <v>1728.0</v>
      </c>
      <c r="G100" s="2" t="s">
        <v>784</v>
      </c>
      <c r="H100" s="2" t="s">
        <v>24</v>
      </c>
      <c r="I100" s="2" t="s">
        <v>786</v>
      </c>
      <c r="J100" s="2" t="s">
        <v>26</v>
      </c>
    </row>
    <row r="101">
      <c r="A101" s="2" t="s">
        <v>789</v>
      </c>
      <c r="B101" s="3">
        <v>46275.50597658565</v>
      </c>
      <c r="C101" s="2" t="s">
        <v>790</v>
      </c>
      <c r="D101" s="2" t="s">
        <v>791</v>
      </c>
      <c r="E101" s="2" t="s">
        <v>794</v>
      </c>
      <c r="F101" s="4">
        <v>1000.0</v>
      </c>
      <c r="G101" s="2" t="s">
        <v>795</v>
      </c>
      <c r="H101" s="2" t="s">
        <v>24</v>
      </c>
      <c r="J101" s="2" t="s">
        <v>26</v>
      </c>
    </row>
    <row r="102">
      <c r="A102" s="2" t="s">
        <v>797</v>
      </c>
      <c r="B102" s="3">
        <v>46275.5060662037</v>
      </c>
      <c r="C102" s="2" t="s">
        <v>798</v>
      </c>
      <c r="D102" s="2" t="s">
        <v>799</v>
      </c>
      <c r="E102" s="2" t="s">
        <v>800</v>
      </c>
      <c r="F102" s="4">
        <v>1000.0</v>
      </c>
      <c r="G102" s="2" t="s">
        <v>801</v>
      </c>
      <c r="H102" s="2" t="s">
        <v>24</v>
      </c>
      <c r="J102" s="2" t="s">
        <v>26</v>
      </c>
    </row>
    <row r="103">
      <c r="A103" s="2" t="s">
        <v>803</v>
      </c>
      <c r="B103" s="3">
        <v>46275.506177777774</v>
      </c>
      <c r="C103" s="2" t="s">
        <v>39</v>
      </c>
      <c r="D103" s="2" t="s">
        <v>41</v>
      </c>
      <c r="E103" s="2" t="s">
        <v>42</v>
      </c>
      <c r="F103" s="4">
        <v>700.0</v>
      </c>
      <c r="G103" s="2" t="s">
        <v>806</v>
      </c>
      <c r="H103" s="2" t="s">
        <v>24</v>
      </c>
      <c r="I103" s="2" t="s">
        <v>807</v>
      </c>
      <c r="J103" s="2" t="s">
        <v>26</v>
      </c>
    </row>
    <row r="104">
      <c r="A104" s="2" t="s">
        <v>809</v>
      </c>
      <c r="B104" s="3">
        <v>46275.523376701385</v>
      </c>
      <c r="C104" s="2" t="s">
        <v>811</v>
      </c>
      <c r="D104" s="2" t="s">
        <v>814</v>
      </c>
      <c r="E104" s="2" t="s">
        <v>815</v>
      </c>
      <c r="F104" s="4">
        <v>1.99</v>
      </c>
      <c r="H104" s="2" t="s">
        <v>24</v>
      </c>
      <c r="J104" s="2" t="s">
        <v>26</v>
      </c>
    </row>
    <row r="105">
      <c r="A105" s="2" t="s">
        <v>818</v>
      </c>
      <c r="B105" s="3">
        <v>46275.6374741551</v>
      </c>
      <c r="C105" s="2" t="s">
        <v>821</v>
      </c>
      <c r="D105" s="2" t="s">
        <v>823</v>
      </c>
      <c r="E105" s="2" t="s">
        <v>824</v>
      </c>
      <c r="F105" s="4">
        <v>1.0</v>
      </c>
      <c r="H105" s="2" t="s">
        <v>24</v>
      </c>
      <c r="J105" s="2" t="s">
        <v>26</v>
      </c>
    </row>
    <row r="106">
      <c r="A106" s="2" t="s">
        <v>829</v>
      </c>
      <c r="B106" s="3">
        <v>46275.63780547454</v>
      </c>
      <c r="C106" s="2" t="s">
        <v>618</v>
      </c>
      <c r="D106" s="2" t="s">
        <v>301</v>
      </c>
      <c r="E106" s="2" t="s">
        <v>302</v>
      </c>
      <c r="F106" s="4">
        <v>15.0</v>
      </c>
      <c r="H106" s="2" t="s">
        <v>24</v>
      </c>
      <c r="J106" s="2" t="s">
        <v>26</v>
      </c>
    </row>
    <row r="107">
      <c r="A107" s="2" t="s">
        <v>833</v>
      </c>
      <c r="B107" s="3">
        <v>46275.6380812037</v>
      </c>
      <c r="C107" s="2" t="s">
        <v>618</v>
      </c>
      <c r="D107" s="2" t="s">
        <v>301</v>
      </c>
      <c r="E107" s="2" t="s">
        <v>302</v>
      </c>
      <c r="F107" s="4">
        <v>10.0</v>
      </c>
      <c r="H107" s="2" t="s">
        <v>36</v>
      </c>
      <c r="J107" s="2" t="s">
        <v>26</v>
      </c>
    </row>
    <row r="108">
      <c r="A108" s="2" t="s">
        <v>840</v>
      </c>
      <c r="B108" s="3">
        <v>46275.645238136574</v>
      </c>
      <c r="C108" s="2" t="s">
        <v>792</v>
      </c>
      <c r="D108" s="2" t="s">
        <v>523</v>
      </c>
      <c r="E108" s="2" t="s">
        <v>528</v>
      </c>
      <c r="F108" s="4">
        <v>5.0</v>
      </c>
      <c r="H108" s="2" t="s">
        <v>36</v>
      </c>
      <c r="J108" s="2" t="s">
        <v>26</v>
      </c>
    </row>
    <row r="109">
      <c r="A109" s="2" t="s">
        <v>845</v>
      </c>
      <c r="B109" s="3">
        <v>46275.64552987269</v>
      </c>
      <c r="C109" s="2" t="s">
        <v>848</v>
      </c>
      <c r="D109" s="2" t="s">
        <v>523</v>
      </c>
      <c r="E109" s="2" t="s">
        <v>528</v>
      </c>
      <c r="F109" s="4">
        <v>5.0</v>
      </c>
      <c r="H109" s="2" t="s">
        <v>36</v>
      </c>
      <c r="J109" s="2" t="s">
        <v>26</v>
      </c>
    </row>
    <row r="110">
      <c r="A110" s="2" t="s">
        <v>851</v>
      </c>
      <c r="B110" s="3">
        <v>46276.45613652778</v>
      </c>
      <c r="C110" s="2" t="s">
        <v>853</v>
      </c>
      <c r="D110" s="2" t="s">
        <v>854</v>
      </c>
      <c r="E110" s="2" t="s">
        <v>855</v>
      </c>
      <c r="F110" s="4">
        <v>2500.0</v>
      </c>
      <c r="G110" s="2" t="s">
        <v>858</v>
      </c>
      <c r="H110" s="2" t="s">
        <v>24</v>
      </c>
      <c r="I110" s="2" t="s">
        <v>860</v>
      </c>
      <c r="J110" s="2" t="s">
        <v>26</v>
      </c>
    </row>
    <row r="111">
      <c r="A111" s="2" t="s">
        <v>862</v>
      </c>
      <c r="B111" s="3">
        <v>46276.456215</v>
      </c>
      <c r="C111" s="2" t="s">
        <v>864</v>
      </c>
      <c r="D111" s="2" t="s">
        <v>61</v>
      </c>
      <c r="E111" s="2" t="s">
        <v>62</v>
      </c>
      <c r="F111" s="4">
        <v>1100.0</v>
      </c>
      <c r="G111" s="2" t="s">
        <v>64</v>
      </c>
      <c r="H111" s="2" t="s">
        <v>24</v>
      </c>
      <c r="J111" s="2" t="s">
        <v>26</v>
      </c>
    </row>
    <row r="112">
      <c r="A112" s="2" t="s">
        <v>870</v>
      </c>
      <c r="B112" s="3">
        <v>46276.45629178241</v>
      </c>
      <c r="C112" s="2" t="s">
        <v>871</v>
      </c>
      <c r="D112" s="2" t="s">
        <v>872</v>
      </c>
      <c r="E112" s="2" t="s">
        <v>873</v>
      </c>
      <c r="F112" s="4">
        <v>900.0</v>
      </c>
      <c r="G112" s="2" t="s">
        <v>875</v>
      </c>
      <c r="H112" s="2" t="s">
        <v>24</v>
      </c>
      <c r="J112" s="2" t="s">
        <v>26</v>
      </c>
    </row>
    <row r="113">
      <c r="A113" s="2" t="s">
        <v>881</v>
      </c>
      <c r="B113" s="3">
        <v>46276.456396064816</v>
      </c>
      <c r="C113" s="2" t="s">
        <v>882</v>
      </c>
      <c r="D113" s="2" t="s">
        <v>883</v>
      </c>
      <c r="E113" s="2" t="s">
        <v>884</v>
      </c>
      <c r="F113" s="4">
        <v>800.0</v>
      </c>
      <c r="G113" s="2" t="s">
        <v>886</v>
      </c>
      <c r="H113" s="2" t="s">
        <v>24</v>
      </c>
      <c r="J113" s="2" t="s">
        <v>26</v>
      </c>
    </row>
    <row r="114">
      <c r="A114" s="2" t="s">
        <v>890</v>
      </c>
      <c r="B114" s="3">
        <v>46280.666568761575</v>
      </c>
      <c r="C114" s="2" t="s">
        <v>603</v>
      </c>
      <c r="D114" s="2" t="s">
        <v>41</v>
      </c>
      <c r="E114" s="2" t="s">
        <v>42</v>
      </c>
      <c r="F114" s="4">
        <v>700.0</v>
      </c>
      <c r="G114" s="2" t="s">
        <v>606</v>
      </c>
      <c r="H114" s="2" t="s">
        <v>24</v>
      </c>
      <c r="J114" s="2" t="s">
        <v>26</v>
      </c>
    </row>
    <row r="115">
      <c r="A115" s="2" t="s">
        <v>894</v>
      </c>
      <c r="B115" s="3">
        <v>46281.5338249537</v>
      </c>
      <c r="C115" s="2" t="s">
        <v>895</v>
      </c>
      <c r="D115" s="2" t="s">
        <v>128</v>
      </c>
      <c r="E115" s="2" t="s">
        <v>130</v>
      </c>
      <c r="F115" s="4">
        <v>400.0</v>
      </c>
      <c r="G115" s="2" t="s">
        <v>897</v>
      </c>
      <c r="H115" s="2" t="s">
        <v>24</v>
      </c>
      <c r="J115" s="2" t="s">
        <v>26</v>
      </c>
    </row>
    <row r="116">
      <c r="A116" s="2" t="s">
        <v>903</v>
      </c>
      <c r="B116" s="3">
        <v>46281.53393013889</v>
      </c>
      <c r="C116" s="2" t="s">
        <v>905</v>
      </c>
      <c r="D116" s="2" t="s">
        <v>123</v>
      </c>
      <c r="E116" s="2" t="s">
        <v>124</v>
      </c>
      <c r="F116" s="4">
        <v>700.0</v>
      </c>
      <c r="G116" s="2" t="s">
        <v>909</v>
      </c>
      <c r="H116" s="2" t="s">
        <v>24</v>
      </c>
      <c r="J116" s="2" t="s">
        <v>26</v>
      </c>
    </row>
    <row r="117">
      <c r="A117" s="2" t="s">
        <v>911</v>
      </c>
      <c r="B117" s="3">
        <v>46281.53402211805</v>
      </c>
      <c r="C117" s="2" t="s">
        <v>912</v>
      </c>
      <c r="D117" s="2" t="s">
        <v>913</v>
      </c>
      <c r="E117" s="2" t="s">
        <v>915</v>
      </c>
      <c r="F117" s="4">
        <v>700.0</v>
      </c>
      <c r="G117" s="2" t="s">
        <v>917</v>
      </c>
      <c r="H117" s="2" t="s">
        <v>24</v>
      </c>
      <c r="J117" s="2" t="s">
        <v>26</v>
      </c>
    </row>
    <row r="118">
      <c r="A118" s="2" t="s">
        <v>920</v>
      </c>
      <c r="B118" s="3">
        <v>46281.53413858796</v>
      </c>
      <c r="C118" s="2" t="s">
        <v>921</v>
      </c>
      <c r="D118" s="2" t="s">
        <v>105</v>
      </c>
      <c r="E118" s="2" t="s">
        <v>107</v>
      </c>
      <c r="F118" s="4">
        <v>1200.0</v>
      </c>
      <c r="G118" s="2" t="s">
        <v>926</v>
      </c>
      <c r="H118" s="2" t="s">
        <v>24</v>
      </c>
      <c r="J118" s="2" t="s">
        <v>26</v>
      </c>
    </row>
    <row r="119">
      <c r="A119" s="2" t="s">
        <v>927</v>
      </c>
      <c r="B119" s="3">
        <v>46281.5342175</v>
      </c>
      <c r="C119" s="2" t="s">
        <v>929</v>
      </c>
      <c r="D119" s="2" t="s">
        <v>128</v>
      </c>
      <c r="E119" s="2" t="s">
        <v>130</v>
      </c>
      <c r="F119" s="4">
        <v>2700.0</v>
      </c>
      <c r="G119" s="2" t="s">
        <v>934</v>
      </c>
      <c r="H119" s="2" t="s">
        <v>24</v>
      </c>
      <c r="J119" s="2" t="s">
        <v>26</v>
      </c>
    </row>
    <row r="120">
      <c r="A120" s="2" t="s">
        <v>935</v>
      </c>
      <c r="B120" s="3">
        <v>46281.727957627314</v>
      </c>
      <c r="C120" s="2" t="s">
        <v>848</v>
      </c>
      <c r="D120" s="2" t="s">
        <v>523</v>
      </c>
      <c r="E120" s="2" t="s">
        <v>528</v>
      </c>
      <c r="F120" s="4">
        <v>5.0</v>
      </c>
      <c r="H120" s="2" t="s">
        <v>24</v>
      </c>
      <c r="J120" s="2" t="s">
        <v>26</v>
      </c>
    </row>
    <row r="121">
      <c r="A121" s="2" t="s">
        <v>941</v>
      </c>
      <c r="B121" s="3">
        <v>46281.729509895835</v>
      </c>
      <c r="C121" s="2" t="s">
        <v>629</v>
      </c>
      <c r="D121" s="2" t="s">
        <v>21</v>
      </c>
      <c r="E121" s="2" t="s">
        <v>23</v>
      </c>
      <c r="F121" s="4">
        <v>20.0</v>
      </c>
      <c r="H121" s="2" t="s">
        <v>24</v>
      </c>
      <c r="J121" s="2" t="s">
        <v>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9.25"/>
    <col customWidth="1" min="3" max="3" width="7.13"/>
    <col customWidth="1" min="4" max="4" width="4.0"/>
    <col customWidth="1" min="5" max="5" width="21.38"/>
    <col customWidth="1" min="6" max="6" width="10.38"/>
    <col customWidth="1" min="7" max="7" width="6.38"/>
    <col customWidth="1" min="8" max="8" width="6.63"/>
    <col customWidth="1" min="9" max="9" width="8.88"/>
  </cols>
  <sheetData>
    <row r="1">
      <c r="A1" s="1" t="s">
        <v>557</v>
      </c>
      <c r="B1" s="1" t="s">
        <v>3</v>
      </c>
      <c r="C1" s="1" t="s">
        <v>0</v>
      </c>
      <c r="D1" s="1" t="s">
        <v>4</v>
      </c>
      <c r="E1" s="1" t="s">
        <v>5</v>
      </c>
      <c r="F1" s="1" t="s">
        <v>564</v>
      </c>
      <c r="G1" s="1" t="s">
        <v>565</v>
      </c>
      <c r="H1" s="1" t="s">
        <v>13</v>
      </c>
      <c r="I1" s="1" t="s">
        <v>14</v>
      </c>
    </row>
    <row r="2">
      <c r="A2" s="2" t="s">
        <v>595</v>
      </c>
      <c r="B2" s="3">
        <v>46240.49118642361</v>
      </c>
      <c r="C2" s="2" t="s">
        <v>599</v>
      </c>
      <c r="D2" s="2" t="s">
        <v>598</v>
      </c>
      <c r="E2" s="2" t="s">
        <v>604</v>
      </c>
      <c r="F2" s="4">
        <v>-10.0</v>
      </c>
      <c r="G2" s="2" t="s">
        <v>619</v>
      </c>
      <c r="H2" s="2" t="s">
        <v>620</v>
      </c>
      <c r="I2" s="2" t="s">
        <v>26</v>
      </c>
    </row>
    <row r="3">
      <c r="A3" s="2" t="s">
        <v>624</v>
      </c>
      <c r="B3" s="3">
        <v>46241.46213366898</v>
      </c>
      <c r="C3" s="2" t="s">
        <v>592</v>
      </c>
      <c r="D3" s="2" t="s">
        <v>32</v>
      </c>
      <c r="E3" s="2" t="s">
        <v>34</v>
      </c>
      <c r="F3" s="4">
        <v>-4.0</v>
      </c>
      <c r="G3" s="2" t="s">
        <v>619</v>
      </c>
      <c r="I3" s="2" t="s">
        <v>26</v>
      </c>
    </row>
    <row r="4">
      <c r="A4" s="2" t="s">
        <v>633</v>
      </c>
      <c r="B4" s="3">
        <v>46241.46385136574</v>
      </c>
      <c r="C4" s="2" t="s">
        <v>635</v>
      </c>
      <c r="D4" s="2" t="s">
        <v>484</v>
      </c>
      <c r="E4" s="2" t="s">
        <v>636</v>
      </c>
      <c r="F4" s="4">
        <v>20.0</v>
      </c>
      <c r="G4" s="2" t="s">
        <v>619</v>
      </c>
      <c r="I4" s="2" t="s">
        <v>26</v>
      </c>
    </row>
    <row r="5">
      <c r="A5" s="2" t="s">
        <v>639</v>
      </c>
      <c r="B5" s="3">
        <v>46254.76835247685</v>
      </c>
      <c r="C5" s="2" t="s">
        <v>289</v>
      </c>
      <c r="D5" s="2" t="s">
        <v>32</v>
      </c>
      <c r="E5" s="2" t="s">
        <v>34</v>
      </c>
      <c r="F5" s="4">
        <v>7.0</v>
      </c>
      <c r="G5" s="2" t="s">
        <v>619</v>
      </c>
      <c r="H5" s="2" t="s">
        <v>645</v>
      </c>
      <c r="I5" s="2" t="s">
        <v>26</v>
      </c>
    </row>
    <row r="6">
      <c r="A6" s="2" t="s">
        <v>649</v>
      </c>
      <c r="B6" s="3">
        <v>46254.768718182866</v>
      </c>
      <c r="C6" s="2" t="s">
        <v>652</v>
      </c>
      <c r="D6" s="2" t="s">
        <v>278</v>
      </c>
      <c r="E6" s="2" t="s">
        <v>279</v>
      </c>
      <c r="F6" s="4">
        <v>4.0</v>
      </c>
      <c r="G6" s="2" t="s">
        <v>619</v>
      </c>
      <c r="H6" s="2" t="s">
        <v>645</v>
      </c>
      <c r="I6" s="2" t="s">
        <v>26</v>
      </c>
    </row>
    <row r="7">
      <c r="A7" s="2" t="s">
        <v>662</v>
      </c>
      <c r="B7" s="3">
        <v>46254.76908622685</v>
      </c>
      <c r="C7" s="2" t="s">
        <v>663</v>
      </c>
      <c r="D7" s="2" t="s">
        <v>664</v>
      </c>
      <c r="E7" s="2" t="s">
        <v>665</v>
      </c>
      <c r="F7" s="4">
        <v>-5.0</v>
      </c>
      <c r="G7" s="2" t="s">
        <v>619</v>
      </c>
      <c r="I7" s="2" t="s">
        <v>26</v>
      </c>
    </row>
    <row r="8">
      <c r="A8" s="2" t="s">
        <v>669</v>
      </c>
      <c r="B8" s="3">
        <v>46254.76942420139</v>
      </c>
      <c r="C8" s="2" t="s">
        <v>671</v>
      </c>
      <c r="D8" s="2" t="s">
        <v>672</v>
      </c>
      <c r="E8" s="2" t="s">
        <v>673</v>
      </c>
      <c r="F8" s="4">
        <v>5.0</v>
      </c>
      <c r="G8" s="2" t="s">
        <v>619</v>
      </c>
      <c r="H8" s="2" t="s">
        <v>645</v>
      </c>
      <c r="I8" s="2" t="s">
        <v>26</v>
      </c>
    </row>
    <row r="9">
      <c r="A9" s="2" t="s">
        <v>678</v>
      </c>
      <c r="B9" s="3">
        <v>46254.76971263889</v>
      </c>
      <c r="C9" s="2" t="s">
        <v>679</v>
      </c>
      <c r="D9" s="2" t="s">
        <v>269</v>
      </c>
      <c r="E9" s="2" t="s">
        <v>270</v>
      </c>
      <c r="F9" s="4">
        <v>5.0</v>
      </c>
      <c r="G9" s="2" t="s">
        <v>619</v>
      </c>
      <c r="I9" s="2" t="s">
        <v>26</v>
      </c>
    </row>
    <row r="10">
      <c r="A10" s="2" t="s">
        <v>685</v>
      </c>
      <c r="B10" s="3">
        <v>46254.77112795139</v>
      </c>
      <c r="C10" s="2" t="s">
        <v>686</v>
      </c>
      <c r="D10" s="2" t="s">
        <v>687</v>
      </c>
      <c r="E10" s="2" t="s">
        <v>689</v>
      </c>
      <c r="F10" s="4">
        <v>2.0</v>
      </c>
      <c r="G10" s="2" t="s">
        <v>619</v>
      </c>
      <c r="I10" s="2" t="s">
        <v>26</v>
      </c>
    </row>
    <row r="11">
      <c r="A11" s="2" t="s">
        <v>695</v>
      </c>
      <c r="B11" s="3">
        <v>46254.77338313658</v>
      </c>
      <c r="C11" s="2" t="s">
        <v>345</v>
      </c>
      <c r="D11" s="2" t="s">
        <v>348</v>
      </c>
      <c r="E11" s="2" t="s">
        <v>350</v>
      </c>
      <c r="F11" s="4">
        <v>-3.0</v>
      </c>
      <c r="G11" s="2" t="s">
        <v>619</v>
      </c>
      <c r="I11" s="2" t="s">
        <v>26</v>
      </c>
    </row>
    <row r="12">
      <c r="A12" s="2" t="s">
        <v>698</v>
      </c>
      <c r="B12" s="3">
        <v>46254.77355888889</v>
      </c>
      <c r="C12" s="2" t="s">
        <v>353</v>
      </c>
      <c r="D12" s="2" t="s">
        <v>355</v>
      </c>
      <c r="E12" s="2" t="s">
        <v>357</v>
      </c>
      <c r="F12" s="4">
        <v>-2.0</v>
      </c>
      <c r="G12" s="2" t="s">
        <v>619</v>
      </c>
      <c r="I12" s="2" t="s">
        <v>26</v>
      </c>
    </row>
    <row r="13">
      <c r="A13" s="2" t="s">
        <v>705</v>
      </c>
      <c r="B13" s="3">
        <v>46254.77385090278</v>
      </c>
      <c r="C13" s="2" t="s">
        <v>362</v>
      </c>
      <c r="D13" s="2" t="s">
        <v>364</v>
      </c>
      <c r="E13" s="2" t="s">
        <v>366</v>
      </c>
      <c r="F13" s="4">
        <v>-2.0</v>
      </c>
      <c r="G13" s="2" t="s">
        <v>619</v>
      </c>
      <c r="I13" s="2" t="s">
        <v>26</v>
      </c>
    </row>
    <row r="14">
      <c r="A14" s="2" t="s">
        <v>709</v>
      </c>
      <c r="B14" s="3">
        <v>46256.428738055554</v>
      </c>
      <c r="C14" s="2" t="s">
        <v>300</v>
      </c>
      <c r="D14" s="2" t="s">
        <v>301</v>
      </c>
      <c r="E14" s="2" t="s">
        <v>302</v>
      </c>
      <c r="F14" s="4">
        <v>-1084.0</v>
      </c>
      <c r="G14" s="2" t="s">
        <v>619</v>
      </c>
      <c r="H14" s="2" t="s">
        <v>714</v>
      </c>
      <c r="I14" s="2" t="s">
        <v>26</v>
      </c>
    </row>
    <row r="15">
      <c r="A15" s="2" t="s">
        <v>717</v>
      </c>
      <c r="B15" s="3">
        <v>46256.429110324076</v>
      </c>
      <c r="C15" s="2" t="s">
        <v>720</v>
      </c>
      <c r="D15" s="2" t="s">
        <v>21</v>
      </c>
      <c r="E15" s="2" t="s">
        <v>23</v>
      </c>
      <c r="F15" s="4">
        <v>-40.0</v>
      </c>
      <c r="G15" s="2" t="s">
        <v>619</v>
      </c>
      <c r="I15" s="2" t="s">
        <v>26</v>
      </c>
    </row>
    <row r="16">
      <c r="A16" s="2" t="s">
        <v>724</v>
      </c>
      <c r="B16" s="3">
        <v>46258.695663136576</v>
      </c>
      <c r="C16" s="2" t="s">
        <v>726</v>
      </c>
      <c r="D16" s="2" t="s">
        <v>728</v>
      </c>
      <c r="E16" s="2" t="s">
        <v>729</v>
      </c>
      <c r="F16" s="4">
        <v>-5.0</v>
      </c>
      <c r="G16" s="2" t="s">
        <v>619</v>
      </c>
      <c r="I16" s="2" t="s">
        <v>26</v>
      </c>
    </row>
    <row r="17">
      <c r="A17" s="2" t="s">
        <v>735</v>
      </c>
      <c r="B17" s="3">
        <v>46266.581386875</v>
      </c>
      <c r="C17" s="2" t="s">
        <v>289</v>
      </c>
      <c r="D17" s="2" t="s">
        <v>32</v>
      </c>
      <c r="E17" s="2" t="s">
        <v>34</v>
      </c>
      <c r="F17" s="4">
        <v>-1.0</v>
      </c>
      <c r="G17" s="2" t="s">
        <v>619</v>
      </c>
      <c r="I17" s="2" t="s">
        <v>26</v>
      </c>
    </row>
    <row r="18">
      <c r="A18" s="2" t="s">
        <v>741</v>
      </c>
      <c r="B18" s="3">
        <v>46266.581386875</v>
      </c>
      <c r="C18" s="2" t="s">
        <v>743</v>
      </c>
      <c r="D18" s="2" t="s">
        <v>32</v>
      </c>
      <c r="E18" s="2" t="s">
        <v>34</v>
      </c>
      <c r="F18" s="4">
        <v>-4.0</v>
      </c>
      <c r="G18" s="2" t="s">
        <v>619</v>
      </c>
      <c r="I18" s="2" t="s">
        <v>26</v>
      </c>
    </row>
    <row r="19">
      <c r="A19" s="2" t="s">
        <v>746</v>
      </c>
      <c r="B19" s="3">
        <v>46266.581386875</v>
      </c>
      <c r="C19" s="2" t="s">
        <v>524</v>
      </c>
      <c r="D19" s="2" t="s">
        <v>32</v>
      </c>
      <c r="E19" s="2" t="s">
        <v>34</v>
      </c>
      <c r="F19" s="4">
        <v>-1.0</v>
      </c>
      <c r="G19" s="2" t="s">
        <v>619</v>
      </c>
      <c r="I19" s="2" t="s">
        <v>26</v>
      </c>
    </row>
    <row r="20">
      <c r="A20" s="2" t="s">
        <v>751</v>
      </c>
      <c r="B20" s="3">
        <v>46266.59196871528</v>
      </c>
      <c r="C20" s="2" t="s">
        <v>752</v>
      </c>
      <c r="D20" s="2" t="s">
        <v>753</v>
      </c>
      <c r="E20" s="2" t="s">
        <v>755</v>
      </c>
      <c r="F20" s="4">
        <v>-25.0</v>
      </c>
      <c r="G20" s="2" t="s">
        <v>619</v>
      </c>
      <c r="I20" s="2" t="s">
        <v>26</v>
      </c>
    </row>
    <row r="21">
      <c r="A21" s="2" t="s">
        <v>758</v>
      </c>
      <c r="B21" s="3">
        <v>46266.66120483796</v>
      </c>
      <c r="C21" s="2" t="s">
        <v>759</v>
      </c>
      <c r="D21" s="2" t="s">
        <v>760</v>
      </c>
      <c r="E21" s="2" t="s">
        <v>762</v>
      </c>
      <c r="F21" s="4">
        <v>-2500.0</v>
      </c>
      <c r="G21" s="2" t="s">
        <v>619</v>
      </c>
      <c r="I21" s="2" t="s">
        <v>26</v>
      </c>
    </row>
    <row r="22">
      <c r="A22" s="2" t="s">
        <v>766</v>
      </c>
      <c r="B22" s="3">
        <v>46267.5421784375</v>
      </c>
      <c r="C22" s="2" t="s">
        <v>285</v>
      </c>
      <c r="D22" s="2" t="s">
        <v>287</v>
      </c>
      <c r="E22" s="2" t="s">
        <v>288</v>
      </c>
      <c r="F22" s="4">
        <v>-6.0</v>
      </c>
      <c r="G22" s="2" t="s">
        <v>619</v>
      </c>
      <c r="I22" s="2" t="s">
        <v>26</v>
      </c>
    </row>
    <row r="23">
      <c r="A23" s="2" t="s">
        <v>783</v>
      </c>
      <c r="B23" s="3">
        <v>46267.542656875</v>
      </c>
      <c r="C23" s="2" t="s">
        <v>303</v>
      </c>
      <c r="D23" s="2" t="s">
        <v>304</v>
      </c>
      <c r="E23" s="2" t="s">
        <v>306</v>
      </c>
      <c r="F23" s="4">
        <v>-4.0</v>
      </c>
      <c r="G23" s="2" t="s">
        <v>619</v>
      </c>
      <c r="I23" s="2" t="s">
        <v>26</v>
      </c>
    </row>
    <row r="24">
      <c r="A24" s="2" t="s">
        <v>793</v>
      </c>
      <c r="B24" s="3">
        <v>46267.552989895834</v>
      </c>
      <c r="C24" s="2" t="s">
        <v>296</v>
      </c>
      <c r="D24" s="2" t="s">
        <v>297</v>
      </c>
      <c r="E24" s="2" t="s">
        <v>298</v>
      </c>
      <c r="F24" s="4">
        <v>-8.0</v>
      </c>
      <c r="G24" s="2" t="s">
        <v>619</v>
      </c>
      <c r="I24" s="2" t="s">
        <v>26</v>
      </c>
    </row>
    <row r="25">
      <c r="A25" s="2" t="s">
        <v>802</v>
      </c>
      <c r="B25" s="3">
        <v>46267.55395502315</v>
      </c>
      <c r="C25" s="2" t="s">
        <v>291</v>
      </c>
      <c r="D25" s="2" t="s">
        <v>292</v>
      </c>
      <c r="E25" s="2" t="s">
        <v>294</v>
      </c>
      <c r="F25" s="4">
        <v>-6.0</v>
      </c>
      <c r="G25" s="2" t="s">
        <v>619</v>
      </c>
      <c r="I25" s="2" t="s">
        <v>26</v>
      </c>
    </row>
    <row r="26">
      <c r="A26" s="2" t="s">
        <v>808</v>
      </c>
      <c r="B26" s="3">
        <v>46267.55777452546</v>
      </c>
      <c r="C26" s="2" t="s">
        <v>275</v>
      </c>
      <c r="D26" s="2" t="s">
        <v>278</v>
      </c>
      <c r="E26" s="2" t="s">
        <v>279</v>
      </c>
      <c r="F26" s="4">
        <v>1.0</v>
      </c>
      <c r="G26" s="2" t="s">
        <v>619</v>
      </c>
      <c r="I26" s="2" t="s">
        <v>26</v>
      </c>
    </row>
    <row r="27">
      <c r="A27" s="2" t="s">
        <v>817</v>
      </c>
      <c r="B27" s="3">
        <v>46267.558145937495</v>
      </c>
      <c r="C27" s="2" t="s">
        <v>822</v>
      </c>
      <c r="D27" s="2" t="s">
        <v>664</v>
      </c>
      <c r="E27" s="2" t="s">
        <v>665</v>
      </c>
      <c r="F27" s="4">
        <v>-2.0</v>
      </c>
      <c r="G27" s="2" t="s">
        <v>619</v>
      </c>
      <c r="I27" s="2" t="s">
        <v>26</v>
      </c>
    </row>
    <row r="28">
      <c r="A28" s="2" t="s">
        <v>827</v>
      </c>
      <c r="B28" s="3">
        <v>46267.55842833333</v>
      </c>
      <c r="C28" s="2" t="s">
        <v>679</v>
      </c>
      <c r="D28" s="2" t="s">
        <v>269</v>
      </c>
      <c r="E28" s="2" t="s">
        <v>270</v>
      </c>
      <c r="F28" s="4">
        <v>-1.0</v>
      </c>
      <c r="G28" s="2" t="s">
        <v>619</v>
      </c>
      <c r="I28" s="2" t="s">
        <v>26</v>
      </c>
    </row>
    <row r="29">
      <c r="A29" s="2" t="s">
        <v>832</v>
      </c>
      <c r="B29" s="3">
        <v>46267.55877246527</v>
      </c>
      <c r="C29" s="2" t="s">
        <v>834</v>
      </c>
      <c r="D29" s="2" t="s">
        <v>687</v>
      </c>
      <c r="E29" s="2" t="s">
        <v>689</v>
      </c>
      <c r="F29" s="4">
        <v>1.0</v>
      </c>
      <c r="G29" s="2" t="s">
        <v>619</v>
      </c>
      <c r="I29" s="2" t="s">
        <v>26</v>
      </c>
    </row>
    <row r="30">
      <c r="A30" s="2" t="s">
        <v>839</v>
      </c>
      <c r="B30" s="3">
        <v>46267.55970194444</v>
      </c>
      <c r="C30" s="2" t="s">
        <v>337</v>
      </c>
      <c r="D30" s="2" t="s">
        <v>338</v>
      </c>
      <c r="E30" s="2" t="s">
        <v>340</v>
      </c>
      <c r="F30" s="4">
        <v>-1.0</v>
      </c>
      <c r="G30" s="2" t="s">
        <v>619</v>
      </c>
      <c r="I30" s="2" t="s">
        <v>26</v>
      </c>
    </row>
    <row r="31">
      <c r="A31" s="2" t="s">
        <v>846</v>
      </c>
      <c r="B31" s="3">
        <v>46267.60849381944</v>
      </c>
      <c r="C31" s="2" t="s">
        <v>850</v>
      </c>
      <c r="D31" s="2" t="s">
        <v>654</v>
      </c>
      <c r="E31" s="2" t="s">
        <v>655</v>
      </c>
      <c r="F31" s="4">
        <v>5.0</v>
      </c>
      <c r="G31" s="2" t="s">
        <v>619</v>
      </c>
      <c r="I31" s="2" t="s">
        <v>26</v>
      </c>
    </row>
    <row r="32">
      <c r="A32" s="2" t="s">
        <v>852</v>
      </c>
      <c r="B32" s="3">
        <v>46267.609229027774</v>
      </c>
      <c r="C32" s="2" t="s">
        <v>599</v>
      </c>
      <c r="D32" s="2" t="s">
        <v>598</v>
      </c>
      <c r="E32" s="2" t="s">
        <v>604</v>
      </c>
      <c r="F32" s="4">
        <v>-5.0</v>
      </c>
      <c r="G32" s="2" t="s">
        <v>619</v>
      </c>
      <c r="I32" s="2" t="s">
        <v>26</v>
      </c>
    </row>
    <row r="33">
      <c r="A33" s="2" t="s">
        <v>861</v>
      </c>
      <c r="B33" s="3">
        <v>46267.609229027774</v>
      </c>
      <c r="C33" s="2" t="s">
        <v>634</v>
      </c>
      <c r="D33" s="2" t="s">
        <v>598</v>
      </c>
      <c r="E33" s="2" t="s">
        <v>604</v>
      </c>
      <c r="F33" s="4">
        <v>-15.0</v>
      </c>
      <c r="G33" s="2" t="s">
        <v>619</v>
      </c>
      <c r="I33" s="2" t="s">
        <v>26</v>
      </c>
    </row>
    <row r="34">
      <c r="A34" s="2" t="s">
        <v>867</v>
      </c>
      <c r="B34" s="3">
        <v>46267.60948491898</v>
      </c>
      <c r="C34" s="2" t="s">
        <v>869</v>
      </c>
      <c r="D34" s="2" t="s">
        <v>728</v>
      </c>
      <c r="E34" s="2" t="s">
        <v>729</v>
      </c>
      <c r="F34" s="4">
        <v>5.0</v>
      </c>
      <c r="G34" s="2" t="s">
        <v>619</v>
      </c>
      <c r="I34" s="2" t="s">
        <v>26</v>
      </c>
    </row>
    <row r="35">
      <c r="A35" s="2" t="s">
        <v>877</v>
      </c>
      <c r="B35" s="3">
        <v>46267.60984445602</v>
      </c>
      <c r="C35" s="2" t="s">
        <v>880</v>
      </c>
      <c r="D35" s="2" t="s">
        <v>733</v>
      </c>
      <c r="E35" s="2" t="s">
        <v>739</v>
      </c>
      <c r="F35" s="4">
        <v>1.0</v>
      </c>
      <c r="G35" s="2" t="s">
        <v>619</v>
      </c>
      <c r="I35" s="2" t="s">
        <v>26</v>
      </c>
    </row>
    <row r="36">
      <c r="A36" s="2" t="s">
        <v>889</v>
      </c>
      <c r="B36" s="3">
        <v>46267.61073585648</v>
      </c>
      <c r="C36" s="2" t="s">
        <v>891</v>
      </c>
      <c r="D36" s="2" t="s">
        <v>892</v>
      </c>
      <c r="E36" s="2" t="s">
        <v>893</v>
      </c>
      <c r="F36" s="4">
        <v>25.0</v>
      </c>
      <c r="G36" s="2" t="s">
        <v>619</v>
      </c>
      <c r="I36" s="2" t="s">
        <v>26</v>
      </c>
    </row>
    <row r="37">
      <c r="A37" s="2" t="s">
        <v>896</v>
      </c>
      <c r="B37" s="3">
        <v>46267.61196711806</v>
      </c>
      <c r="C37" s="2" t="s">
        <v>899</v>
      </c>
      <c r="D37" s="2" t="s">
        <v>901</v>
      </c>
      <c r="E37" s="2" t="s">
        <v>904</v>
      </c>
      <c r="F37" s="4">
        <v>-20.0</v>
      </c>
      <c r="G37" s="2" t="s">
        <v>619</v>
      </c>
      <c r="I37" s="2" t="s">
        <v>26</v>
      </c>
    </row>
    <row r="38">
      <c r="A38" s="2" t="s">
        <v>907</v>
      </c>
      <c r="B38" s="3">
        <v>46267.61257096065</v>
      </c>
      <c r="C38" s="2" t="s">
        <v>792</v>
      </c>
      <c r="D38" s="2" t="s">
        <v>523</v>
      </c>
      <c r="E38" s="2" t="s">
        <v>528</v>
      </c>
      <c r="F38" s="4">
        <v>-5.0</v>
      </c>
      <c r="G38" s="2" t="s">
        <v>619</v>
      </c>
      <c r="I38" s="2" t="s">
        <v>26</v>
      </c>
    </row>
    <row r="39">
      <c r="A39" s="2" t="s">
        <v>919</v>
      </c>
      <c r="B39" s="3">
        <v>46267.613158692126</v>
      </c>
      <c r="C39" s="2" t="s">
        <v>796</v>
      </c>
      <c r="D39" s="2" t="s">
        <v>562</v>
      </c>
      <c r="E39" s="2" t="s">
        <v>567</v>
      </c>
      <c r="F39" s="4">
        <v>-5.0</v>
      </c>
      <c r="G39" s="2" t="s">
        <v>619</v>
      </c>
      <c r="I39" s="2" t="s">
        <v>26</v>
      </c>
    </row>
    <row r="40">
      <c r="A40" s="2" t="s">
        <v>928</v>
      </c>
      <c r="B40" s="3">
        <v>46267.613158692126</v>
      </c>
      <c r="C40" s="2" t="s">
        <v>931</v>
      </c>
      <c r="D40" s="2" t="s">
        <v>562</v>
      </c>
      <c r="E40" s="2" t="s">
        <v>567</v>
      </c>
      <c r="F40" s="4">
        <v>-2.0</v>
      </c>
      <c r="G40" s="2" t="s">
        <v>619</v>
      </c>
      <c r="I40" s="2" t="s">
        <v>26</v>
      </c>
    </row>
    <row r="41">
      <c r="A41" s="2" t="s">
        <v>937</v>
      </c>
      <c r="B41" s="3">
        <v>46267.71798785879</v>
      </c>
      <c r="C41" s="2" t="s">
        <v>940</v>
      </c>
      <c r="D41" s="2" t="s">
        <v>942</v>
      </c>
      <c r="E41" s="2" t="s">
        <v>943</v>
      </c>
      <c r="F41" s="4">
        <v>-2500.0</v>
      </c>
      <c r="G41" s="2" t="s">
        <v>619</v>
      </c>
      <c r="I41" s="2" t="s">
        <v>26</v>
      </c>
    </row>
    <row r="42">
      <c r="A42" s="2" t="s">
        <v>947</v>
      </c>
      <c r="B42" s="3">
        <v>46267.72045259259</v>
      </c>
      <c r="C42" s="2" t="s">
        <v>102</v>
      </c>
      <c r="D42" s="2" t="s">
        <v>104</v>
      </c>
      <c r="E42" s="2" t="s">
        <v>106</v>
      </c>
      <c r="F42" s="4">
        <v>-1600.0</v>
      </c>
      <c r="G42" s="2" t="s">
        <v>619</v>
      </c>
      <c r="I42" s="2" t="s">
        <v>26</v>
      </c>
    </row>
    <row r="43">
      <c r="A43" s="2" t="s">
        <v>949</v>
      </c>
      <c r="B43" s="3">
        <v>46267.72951038195</v>
      </c>
      <c r="C43" s="2" t="s">
        <v>742</v>
      </c>
      <c r="D43" s="2" t="s">
        <v>359</v>
      </c>
      <c r="E43" s="2" t="s">
        <v>370</v>
      </c>
      <c r="F43" s="4">
        <v>-173.0</v>
      </c>
      <c r="G43" s="2" t="s">
        <v>619</v>
      </c>
      <c r="I43" s="2" t="s">
        <v>26</v>
      </c>
    </row>
    <row r="44">
      <c r="A44" s="2" t="s">
        <v>956</v>
      </c>
      <c r="B44" s="3">
        <v>46268.42108665509</v>
      </c>
      <c r="C44" s="2" t="s">
        <v>300</v>
      </c>
      <c r="D44" s="2" t="s">
        <v>301</v>
      </c>
      <c r="E44" s="2" t="s">
        <v>302</v>
      </c>
      <c r="F44" s="4">
        <v>-34.0</v>
      </c>
      <c r="G44" s="2" t="s">
        <v>619</v>
      </c>
      <c r="I44" s="2" t="s">
        <v>26</v>
      </c>
    </row>
    <row r="45">
      <c r="A45" s="2" t="s">
        <v>960</v>
      </c>
      <c r="B45" s="3">
        <v>46268.42108665509</v>
      </c>
      <c r="C45" s="2" t="s">
        <v>618</v>
      </c>
      <c r="D45" s="2" t="s">
        <v>301</v>
      </c>
      <c r="E45" s="2" t="s">
        <v>302</v>
      </c>
      <c r="F45" s="4">
        <v>-380.0</v>
      </c>
      <c r="G45" s="2" t="s">
        <v>619</v>
      </c>
      <c r="I45" s="2" t="s">
        <v>26</v>
      </c>
    </row>
    <row r="46">
      <c r="A46" s="2" t="s">
        <v>962</v>
      </c>
      <c r="B46" s="3">
        <v>46268.42504959491</v>
      </c>
      <c r="C46" s="2" t="s">
        <v>72</v>
      </c>
      <c r="D46" s="2" t="s">
        <v>74</v>
      </c>
      <c r="E46" s="2" t="s">
        <v>75</v>
      </c>
      <c r="F46" s="4">
        <v>-150.0</v>
      </c>
      <c r="G46" s="2" t="s">
        <v>619</v>
      </c>
      <c r="I46" s="2" t="s">
        <v>26</v>
      </c>
    </row>
    <row r="47">
      <c r="A47" s="2" t="s">
        <v>966</v>
      </c>
      <c r="B47" s="3">
        <v>46268.49071982639</v>
      </c>
      <c r="C47" s="2" t="s">
        <v>637</v>
      </c>
      <c r="D47" s="2" t="s">
        <v>640</v>
      </c>
      <c r="E47" s="2" t="s">
        <v>641</v>
      </c>
      <c r="F47" s="4">
        <v>-4.0</v>
      </c>
      <c r="G47" s="2" t="s">
        <v>619</v>
      </c>
      <c r="I47" s="2" t="s">
        <v>26</v>
      </c>
    </row>
    <row r="48">
      <c r="A48" s="2" t="s">
        <v>973</v>
      </c>
      <c r="B48" s="3">
        <v>46270.72850694445</v>
      </c>
      <c r="C48" s="2" t="s">
        <v>974</v>
      </c>
      <c r="D48" s="2" t="s">
        <v>975</v>
      </c>
      <c r="E48" s="2" t="s">
        <v>976</v>
      </c>
      <c r="F48" s="4">
        <v>-45.0</v>
      </c>
      <c r="G48" s="2" t="s">
        <v>619</v>
      </c>
      <c r="I48" s="2" t="s">
        <v>26</v>
      </c>
    </row>
    <row r="49">
      <c r="A49" s="2" t="s">
        <v>981</v>
      </c>
      <c r="B49" s="3">
        <v>46270.77496407407</v>
      </c>
      <c r="C49" s="2" t="s">
        <v>508</v>
      </c>
      <c r="D49" s="2" t="s">
        <v>509</v>
      </c>
      <c r="E49" s="2" t="s">
        <v>510</v>
      </c>
      <c r="F49" s="4">
        <v>-2.0</v>
      </c>
      <c r="G49" s="2" t="s">
        <v>619</v>
      </c>
      <c r="I49" s="2" t="s">
        <v>26</v>
      </c>
    </row>
    <row r="50">
      <c r="A50" s="2" t="s">
        <v>985</v>
      </c>
      <c r="B50" s="3">
        <v>46270.775250590275</v>
      </c>
      <c r="C50" s="2" t="s">
        <v>987</v>
      </c>
      <c r="D50" s="2" t="s">
        <v>989</v>
      </c>
      <c r="E50" s="2" t="s">
        <v>991</v>
      </c>
      <c r="F50" s="4">
        <v>-2.0</v>
      </c>
      <c r="G50" s="2" t="s">
        <v>619</v>
      </c>
      <c r="I50" s="2" t="s">
        <v>26</v>
      </c>
    </row>
    <row r="51">
      <c r="A51" s="2" t="s">
        <v>992</v>
      </c>
      <c r="B51" s="3">
        <v>46270.77599372686</v>
      </c>
      <c r="C51" s="2" t="s">
        <v>439</v>
      </c>
      <c r="D51" s="2" t="s">
        <v>441</v>
      </c>
      <c r="E51" s="2" t="s">
        <v>442</v>
      </c>
      <c r="F51" s="4">
        <v>-4.0</v>
      </c>
      <c r="G51" s="2" t="s">
        <v>619</v>
      </c>
      <c r="I51" s="2" t="s">
        <v>26</v>
      </c>
    </row>
    <row r="52">
      <c r="A52" s="2" t="s">
        <v>996</v>
      </c>
      <c r="B52" s="3">
        <v>46270.77629405093</v>
      </c>
      <c r="C52" s="2" t="s">
        <v>436</v>
      </c>
      <c r="D52" s="2" t="s">
        <v>437</v>
      </c>
      <c r="E52" s="2" t="s">
        <v>438</v>
      </c>
      <c r="F52" s="4">
        <v>-5.0</v>
      </c>
      <c r="G52" s="2" t="s">
        <v>619</v>
      </c>
      <c r="I52" s="2" t="s">
        <v>26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9.38"/>
    <col customWidth="1" min="3" max="3" width="27.75"/>
    <col customWidth="1" min="4" max="4" width="15.88"/>
    <col customWidth="1" min="5" max="5" width="70.75"/>
    <col customWidth="1" min="6" max="6" width="6.63"/>
    <col customWidth="1" min="7" max="7" width="8.88"/>
  </cols>
  <sheetData>
    <row r="1">
      <c r="A1" s="1" t="s">
        <v>15</v>
      </c>
      <c r="B1" s="1" t="s">
        <v>1140</v>
      </c>
      <c r="C1" s="1" t="s">
        <v>1142</v>
      </c>
      <c r="D1" s="1" t="s">
        <v>1144</v>
      </c>
      <c r="E1" s="1" t="s">
        <v>1145</v>
      </c>
      <c r="F1" s="1" t="s">
        <v>13</v>
      </c>
      <c r="G1" s="1" t="s">
        <v>14</v>
      </c>
    </row>
    <row r="2">
      <c r="A2" s="2" t="s">
        <v>1146</v>
      </c>
      <c r="B2" s="3">
        <v>46237.0</v>
      </c>
      <c r="C2" s="2" t="s">
        <v>1148</v>
      </c>
      <c r="D2" s="2">
        <v>3158.0</v>
      </c>
      <c r="E2" s="15" t="s">
        <v>1149</v>
      </c>
      <c r="G2" s="2" t="s">
        <v>26</v>
      </c>
    </row>
    <row r="3">
      <c r="A3" s="2" t="s">
        <v>1165</v>
      </c>
      <c r="B3" s="3">
        <v>46240.0</v>
      </c>
      <c r="C3" s="2" t="s">
        <v>1166</v>
      </c>
      <c r="D3" s="2" t="s">
        <v>1167</v>
      </c>
      <c r="G3" s="2" t="s">
        <v>26</v>
      </c>
    </row>
    <row r="4">
      <c r="A4" s="2" t="s">
        <v>1168</v>
      </c>
      <c r="B4" s="3">
        <v>46241.0</v>
      </c>
      <c r="C4" s="2" t="s">
        <v>1166</v>
      </c>
      <c r="D4" s="2" t="s">
        <v>1171</v>
      </c>
      <c r="G4" s="2" t="s">
        <v>26</v>
      </c>
    </row>
    <row r="5">
      <c r="A5" s="2" t="s">
        <v>1173</v>
      </c>
      <c r="B5" s="3">
        <v>46241.0</v>
      </c>
      <c r="C5" s="2" t="s">
        <v>1166</v>
      </c>
      <c r="D5" s="2" t="s">
        <v>1174</v>
      </c>
      <c r="G5" s="2" t="s">
        <v>26</v>
      </c>
    </row>
    <row r="6">
      <c r="A6" s="2" t="s">
        <v>1175</v>
      </c>
      <c r="B6" s="3">
        <v>46247.0</v>
      </c>
      <c r="C6" s="2" t="s">
        <v>1177</v>
      </c>
      <c r="D6" s="2">
        <v>386.0</v>
      </c>
      <c r="E6" s="15" t="s">
        <v>1179</v>
      </c>
      <c r="G6" s="2" t="s">
        <v>26</v>
      </c>
    </row>
    <row r="7">
      <c r="A7" s="2" t="s">
        <v>1187</v>
      </c>
      <c r="B7" s="3">
        <v>46247.0</v>
      </c>
      <c r="C7" s="2" t="s">
        <v>1188</v>
      </c>
      <c r="D7" s="2">
        <v>3401.0</v>
      </c>
      <c r="E7" s="15" t="s">
        <v>1189</v>
      </c>
      <c r="G7" s="2" t="s">
        <v>26</v>
      </c>
    </row>
    <row r="8">
      <c r="A8" s="2" t="s">
        <v>1206</v>
      </c>
      <c r="B8" s="3">
        <v>46246.0</v>
      </c>
      <c r="C8" s="2" t="s">
        <v>1177</v>
      </c>
      <c r="D8" s="2">
        <v>3394.0</v>
      </c>
      <c r="E8" s="15" t="s">
        <v>1209</v>
      </c>
      <c r="G8" s="2" t="s">
        <v>26</v>
      </c>
    </row>
    <row r="9">
      <c r="A9" s="2" t="s">
        <v>1217</v>
      </c>
      <c r="B9" s="3">
        <v>46245.0</v>
      </c>
      <c r="C9" s="2" t="s">
        <v>1218</v>
      </c>
      <c r="D9" s="2">
        <v>4387.0</v>
      </c>
      <c r="E9" s="15" t="s">
        <v>1220</v>
      </c>
      <c r="G9" s="2" t="s">
        <v>26</v>
      </c>
    </row>
    <row r="10">
      <c r="A10" s="2" t="s">
        <v>1232</v>
      </c>
      <c r="B10" s="3">
        <v>46248.0</v>
      </c>
      <c r="C10" s="2" t="s">
        <v>1177</v>
      </c>
      <c r="D10" s="2">
        <v>3358.0</v>
      </c>
      <c r="E10" s="15" t="s">
        <v>1234</v>
      </c>
      <c r="G10" s="2" t="s">
        <v>26</v>
      </c>
    </row>
    <row r="11">
      <c r="A11" s="2" t="s">
        <v>1246</v>
      </c>
      <c r="B11" s="3">
        <v>46242.0</v>
      </c>
      <c r="C11" s="2" t="s">
        <v>1177</v>
      </c>
      <c r="D11" s="2">
        <v>3293.0</v>
      </c>
      <c r="E11" s="15" t="s">
        <v>1248</v>
      </c>
      <c r="G11" s="2" t="s">
        <v>26</v>
      </c>
    </row>
    <row r="12">
      <c r="A12" s="2" t="s">
        <v>1263</v>
      </c>
      <c r="B12" s="3">
        <v>46239.0</v>
      </c>
      <c r="C12" s="2" t="s">
        <v>1177</v>
      </c>
      <c r="D12" s="2">
        <v>3213.0</v>
      </c>
      <c r="E12" s="15" t="s">
        <v>1267</v>
      </c>
      <c r="G12" s="2" t="s">
        <v>26</v>
      </c>
    </row>
    <row r="13">
      <c r="A13" s="2" t="s">
        <v>1287</v>
      </c>
      <c r="B13" s="3">
        <v>46248.0</v>
      </c>
      <c r="C13" s="2" t="s">
        <v>1177</v>
      </c>
      <c r="D13" s="2">
        <v>3457.0</v>
      </c>
      <c r="E13" s="15" t="s">
        <v>1289</v>
      </c>
      <c r="G13" s="2" t="s">
        <v>26</v>
      </c>
    </row>
    <row r="14">
      <c r="A14" s="2" t="s">
        <v>1304</v>
      </c>
      <c r="B14" s="3">
        <v>46253.0</v>
      </c>
      <c r="C14" s="2" t="s">
        <v>1177</v>
      </c>
      <c r="D14" s="2">
        <v>3514.0</v>
      </c>
      <c r="E14" s="15" t="s">
        <v>1308</v>
      </c>
      <c r="G14" s="2" t="s">
        <v>26</v>
      </c>
    </row>
    <row r="15">
      <c r="A15" s="2" t="s">
        <v>1322</v>
      </c>
      <c r="B15" s="3">
        <v>46254.0</v>
      </c>
      <c r="C15" s="2" t="s">
        <v>1323</v>
      </c>
      <c r="D15" s="2" t="s">
        <v>1324</v>
      </c>
      <c r="E15" s="15" t="s">
        <v>1325</v>
      </c>
      <c r="G15" s="2" t="s">
        <v>26</v>
      </c>
    </row>
    <row r="16">
      <c r="A16" s="2" t="s">
        <v>1327</v>
      </c>
      <c r="B16" s="3">
        <v>46254.0</v>
      </c>
      <c r="C16" s="2" t="s">
        <v>1328</v>
      </c>
      <c r="D16" s="2" t="s">
        <v>1329</v>
      </c>
      <c r="G16" s="2" t="s">
        <v>26</v>
      </c>
    </row>
    <row r="17">
      <c r="A17" s="2" t="s">
        <v>1330</v>
      </c>
      <c r="B17" s="3">
        <v>46254.0</v>
      </c>
      <c r="C17" s="2" t="s">
        <v>1177</v>
      </c>
      <c r="D17" s="2">
        <v>3572.0</v>
      </c>
      <c r="E17" s="15" t="s">
        <v>1331</v>
      </c>
      <c r="G17" s="2" t="s">
        <v>26</v>
      </c>
    </row>
    <row r="18">
      <c r="A18" s="2" t="s">
        <v>1334</v>
      </c>
      <c r="B18" s="3">
        <v>46254.0</v>
      </c>
      <c r="C18" s="2" t="s">
        <v>1177</v>
      </c>
      <c r="D18" s="2">
        <v>3570.0</v>
      </c>
      <c r="E18" s="15" t="s">
        <v>1336</v>
      </c>
      <c r="G18" s="2" t="s">
        <v>26</v>
      </c>
    </row>
    <row r="19">
      <c r="A19" s="2" t="s">
        <v>1337</v>
      </c>
      <c r="B19" s="3">
        <v>46258.0</v>
      </c>
      <c r="C19" s="2" t="s">
        <v>1338</v>
      </c>
      <c r="D19" s="2" t="s">
        <v>1339</v>
      </c>
      <c r="G19" s="2" t="s">
        <v>26</v>
      </c>
    </row>
    <row r="20">
      <c r="A20" s="2" t="s">
        <v>1340</v>
      </c>
      <c r="B20" s="3">
        <v>46258.0</v>
      </c>
      <c r="C20" s="2" t="s">
        <v>1341</v>
      </c>
      <c r="D20" s="2" t="s">
        <v>1342</v>
      </c>
      <c r="G20" s="2" t="s">
        <v>26</v>
      </c>
    </row>
    <row r="21">
      <c r="A21" s="2" t="s">
        <v>1343</v>
      </c>
      <c r="B21" s="3">
        <v>46255.0</v>
      </c>
      <c r="C21" s="2" t="s">
        <v>1218</v>
      </c>
      <c r="D21" s="2">
        <v>4217.0</v>
      </c>
      <c r="E21" s="15" t="s">
        <v>1345</v>
      </c>
      <c r="G21" s="2" t="s">
        <v>26</v>
      </c>
    </row>
    <row r="22">
      <c r="A22" s="2" t="s">
        <v>1350</v>
      </c>
      <c r="B22" s="3">
        <v>46258.0</v>
      </c>
      <c r="C22" s="2" t="s">
        <v>1351</v>
      </c>
      <c r="D22" s="2">
        <v>4842.0</v>
      </c>
      <c r="E22" s="15" t="s">
        <v>1352</v>
      </c>
      <c r="G22" s="2" t="s">
        <v>26</v>
      </c>
    </row>
    <row r="23">
      <c r="A23" s="2" t="s">
        <v>1354</v>
      </c>
      <c r="B23" s="3">
        <v>46251.0</v>
      </c>
      <c r="C23" s="2" t="s">
        <v>1166</v>
      </c>
      <c r="D23" s="2">
        <v>1111.0</v>
      </c>
      <c r="E23" s="15" t="s">
        <v>1355</v>
      </c>
      <c r="G23" s="2" t="s">
        <v>26</v>
      </c>
    </row>
    <row r="24">
      <c r="A24" s="2" t="s">
        <v>1357</v>
      </c>
      <c r="B24" s="3">
        <v>46260.0</v>
      </c>
      <c r="C24" s="2" t="s">
        <v>1177</v>
      </c>
      <c r="D24" s="2">
        <v>3702.0</v>
      </c>
      <c r="E24" s="15" t="s">
        <v>1358</v>
      </c>
      <c r="G24" s="2" t="s">
        <v>26</v>
      </c>
    </row>
    <row r="25">
      <c r="A25" s="2" t="s">
        <v>1361</v>
      </c>
      <c r="B25" s="3">
        <v>46260.0</v>
      </c>
      <c r="C25" s="2" t="s">
        <v>1177</v>
      </c>
      <c r="D25" s="2">
        <v>3699.0</v>
      </c>
      <c r="E25" s="15" t="s">
        <v>1362</v>
      </c>
      <c r="G25" s="2" t="s">
        <v>26</v>
      </c>
    </row>
    <row r="26">
      <c r="A26" s="2" t="s">
        <v>1364</v>
      </c>
      <c r="B26" s="3">
        <v>46260.0</v>
      </c>
      <c r="C26" s="2" t="s">
        <v>1218</v>
      </c>
      <c r="D26" s="2">
        <v>1142.0</v>
      </c>
      <c r="G26" s="2" t="s">
        <v>26</v>
      </c>
    </row>
    <row r="27">
      <c r="A27" s="2" t="s">
        <v>1367</v>
      </c>
      <c r="B27" s="3">
        <v>46259.0</v>
      </c>
      <c r="C27" s="2" t="s">
        <v>1368</v>
      </c>
      <c r="D27" s="2" t="s">
        <v>1369</v>
      </c>
      <c r="E27" s="15" t="s">
        <v>1370</v>
      </c>
      <c r="G27" s="2" t="s">
        <v>26</v>
      </c>
    </row>
    <row r="28">
      <c r="A28" s="2" t="s">
        <v>1373</v>
      </c>
      <c r="B28" s="3">
        <v>46259.0</v>
      </c>
      <c r="C28" s="2" t="s">
        <v>1177</v>
      </c>
      <c r="D28" s="2">
        <v>3643.0</v>
      </c>
      <c r="E28" s="15" t="s">
        <v>1374</v>
      </c>
      <c r="G28" s="2" t="s">
        <v>26</v>
      </c>
    </row>
    <row r="29">
      <c r="A29" s="2" t="s">
        <v>1379</v>
      </c>
      <c r="B29" s="3">
        <v>46261.0</v>
      </c>
      <c r="C29" s="2" t="s">
        <v>1368</v>
      </c>
      <c r="D29" s="2" t="s">
        <v>1380</v>
      </c>
      <c r="E29" s="15" t="s">
        <v>1381</v>
      </c>
      <c r="G29" s="2" t="s">
        <v>26</v>
      </c>
    </row>
    <row r="30">
      <c r="A30" s="2" t="s">
        <v>1385</v>
      </c>
      <c r="B30" s="3">
        <v>46265.0</v>
      </c>
      <c r="C30" s="2" t="s">
        <v>1386</v>
      </c>
      <c r="D30" s="2" t="s">
        <v>1387</v>
      </c>
      <c r="E30" s="15" t="s">
        <v>1388</v>
      </c>
      <c r="G30" s="2" t="s">
        <v>26</v>
      </c>
    </row>
    <row r="31">
      <c r="A31" s="2" t="s">
        <v>1392</v>
      </c>
      <c r="B31" s="3">
        <v>46266.0</v>
      </c>
      <c r="C31" s="2" t="s">
        <v>1395</v>
      </c>
      <c r="D31" s="2" t="s">
        <v>1396</v>
      </c>
      <c r="E31" s="15" t="s">
        <v>1397</v>
      </c>
      <c r="G31" s="2" t="s">
        <v>26</v>
      </c>
    </row>
    <row r="32">
      <c r="A32" s="2" t="s">
        <v>1402</v>
      </c>
      <c r="B32" s="3">
        <v>46265.0</v>
      </c>
      <c r="C32" s="2" t="s">
        <v>1218</v>
      </c>
      <c r="D32" s="2">
        <v>4237.0</v>
      </c>
      <c r="E32" s="15" t="s">
        <v>1403</v>
      </c>
      <c r="G32" s="2" t="s">
        <v>26</v>
      </c>
    </row>
    <row r="33">
      <c r="A33" s="2" t="s">
        <v>1412</v>
      </c>
      <c r="B33" s="3">
        <v>46266.0</v>
      </c>
      <c r="C33" s="2" t="s">
        <v>1177</v>
      </c>
      <c r="D33" s="2">
        <v>3811.0</v>
      </c>
      <c r="E33" s="15" t="s">
        <v>1413</v>
      </c>
      <c r="G33" s="2" t="s">
        <v>26</v>
      </c>
    </row>
    <row r="34">
      <c r="A34" s="2" t="s">
        <v>1417</v>
      </c>
      <c r="B34" s="3">
        <v>46265.0</v>
      </c>
      <c r="C34" s="2" t="s">
        <v>1177</v>
      </c>
      <c r="D34" s="2">
        <v>3794.0</v>
      </c>
      <c r="E34" s="15" t="s">
        <v>1419</v>
      </c>
      <c r="G34" s="2" t="s">
        <v>26</v>
      </c>
    </row>
    <row r="35">
      <c r="A35" s="2" t="s">
        <v>1423</v>
      </c>
      <c r="B35" s="3">
        <v>46255.0</v>
      </c>
      <c r="C35" s="2" t="s">
        <v>1424</v>
      </c>
      <c r="D35" s="2" t="s">
        <v>1425</v>
      </c>
      <c r="E35" s="15" t="s">
        <v>1427</v>
      </c>
      <c r="G35" s="2" t="s">
        <v>26</v>
      </c>
    </row>
    <row r="36">
      <c r="A36" s="2" t="s">
        <v>1430</v>
      </c>
      <c r="B36" s="3">
        <v>46267.0</v>
      </c>
      <c r="C36" s="2" t="s">
        <v>1431</v>
      </c>
      <c r="D36" s="2">
        <v>50.0</v>
      </c>
      <c r="E36" s="15" t="s">
        <v>1432</v>
      </c>
      <c r="G36" s="2" t="s">
        <v>26</v>
      </c>
    </row>
    <row r="37">
      <c r="A37" s="2" t="s">
        <v>1436</v>
      </c>
      <c r="B37" s="3">
        <v>46267.0</v>
      </c>
      <c r="C37" s="2" t="s">
        <v>1437</v>
      </c>
      <c r="D37" s="2">
        <v>29699.0</v>
      </c>
      <c r="E37" s="15" t="s">
        <v>1439</v>
      </c>
      <c r="G37" s="2" t="s">
        <v>26</v>
      </c>
    </row>
    <row r="38">
      <c r="A38" s="2" t="s">
        <v>1441</v>
      </c>
      <c r="B38" s="3">
        <v>46269.0</v>
      </c>
      <c r="C38" s="2" t="s">
        <v>1442</v>
      </c>
      <c r="D38" s="2">
        <v>3872.0</v>
      </c>
      <c r="E38" s="15" t="s">
        <v>1443</v>
      </c>
      <c r="G38" s="2" t="s">
        <v>26</v>
      </c>
    </row>
    <row r="39">
      <c r="A39" s="2" t="s">
        <v>1452</v>
      </c>
      <c r="B39" s="3">
        <v>46270.0</v>
      </c>
      <c r="C39" s="2" t="s">
        <v>1453</v>
      </c>
      <c r="D39" s="2" t="s">
        <v>1454</v>
      </c>
      <c r="G39" s="2" t="s">
        <v>26</v>
      </c>
    </row>
    <row r="40">
      <c r="A40" s="2" t="s">
        <v>1456</v>
      </c>
      <c r="B40" s="3">
        <v>46270.0</v>
      </c>
      <c r="C40" s="2" t="s">
        <v>1457</v>
      </c>
      <c r="D40" s="2" t="s">
        <v>1329</v>
      </c>
      <c r="G40" s="2" t="s">
        <v>26</v>
      </c>
    </row>
    <row r="41">
      <c r="A41" s="2" t="s">
        <v>1458</v>
      </c>
      <c r="B41" s="3">
        <v>46270.0</v>
      </c>
      <c r="C41" s="2" t="s">
        <v>1459</v>
      </c>
      <c r="D41" s="2">
        <v>417.0</v>
      </c>
      <c r="E41" s="15" t="s">
        <v>1460</v>
      </c>
      <c r="G41" s="2" t="s">
        <v>26</v>
      </c>
    </row>
    <row r="42">
      <c r="A42" s="2" t="s">
        <v>1467</v>
      </c>
      <c r="B42" s="3">
        <v>46270.0</v>
      </c>
      <c r="C42" s="2" t="s">
        <v>1218</v>
      </c>
      <c r="D42" s="2">
        <v>4251.0</v>
      </c>
      <c r="E42" s="15" t="s">
        <v>1469</v>
      </c>
      <c r="G42" s="2" t="s">
        <v>26</v>
      </c>
    </row>
    <row r="43">
      <c r="A43" s="2" t="s">
        <v>1474</v>
      </c>
      <c r="B43" s="3">
        <v>46270.0</v>
      </c>
      <c r="C43" s="2" t="s">
        <v>1475</v>
      </c>
      <c r="D43" s="2">
        <v>786.0</v>
      </c>
      <c r="E43" s="15" t="s">
        <v>1476</v>
      </c>
      <c r="G43" s="2" t="s">
        <v>26</v>
      </c>
    </row>
    <row r="44">
      <c r="A44" s="2" t="s">
        <v>1481</v>
      </c>
      <c r="B44" s="3">
        <v>46270.0</v>
      </c>
      <c r="C44" s="2" t="s">
        <v>1177</v>
      </c>
      <c r="D44" s="2">
        <v>3888.0</v>
      </c>
      <c r="E44" s="15" t="s">
        <v>1482</v>
      </c>
      <c r="G44" s="2" t="s">
        <v>26</v>
      </c>
    </row>
    <row r="45">
      <c r="A45" s="2" t="s">
        <v>1484</v>
      </c>
      <c r="B45" s="3">
        <v>46272.0</v>
      </c>
      <c r="C45" s="2" t="s">
        <v>1177</v>
      </c>
      <c r="D45" s="2">
        <v>3931.0</v>
      </c>
      <c r="E45" s="15" t="s">
        <v>1491</v>
      </c>
      <c r="G45" s="2" t="s">
        <v>26</v>
      </c>
    </row>
    <row r="46">
      <c r="A46" s="2" t="s">
        <v>1488</v>
      </c>
      <c r="B46" s="3">
        <v>46273.0</v>
      </c>
      <c r="C46" s="2" t="s">
        <v>1177</v>
      </c>
      <c r="D46" s="2">
        <v>3957.0</v>
      </c>
      <c r="E46" s="15" t="s">
        <v>1494</v>
      </c>
      <c r="G46" s="2" t="s">
        <v>26</v>
      </c>
    </row>
    <row r="47">
      <c r="A47" s="2" t="s">
        <v>1492</v>
      </c>
      <c r="B47" s="3">
        <v>46273.0</v>
      </c>
      <c r="C47" s="2" t="s">
        <v>1218</v>
      </c>
      <c r="D47" s="2">
        <v>4258.0</v>
      </c>
      <c r="E47" s="15" t="s">
        <v>1500</v>
      </c>
      <c r="G47" s="2" t="s">
        <v>26</v>
      </c>
    </row>
    <row r="48">
      <c r="A48" s="2" t="s">
        <v>1493</v>
      </c>
      <c r="B48" s="3">
        <v>46274.0</v>
      </c>
      <c r="C48" s="2" t="s">
        <v>1511</v>
      </c>
      <c r="D48" s="2">
        <v>111.0</v>
      </c>
      <c r="G48" s="2" t="s">
        <v>26</v>
      </c>
    </row>
    <row r="49">
      <c r="A49" s="2" t="s">
        <v>1495</v>
      </c>
      <c r="B49" s="3">
        <v>46274.0</v>
      </c>
      <c r="C49" s="2" t="s">
        <v>1166</v>
      </c>
      <c r="D49" s="2" t="s">
        <v>1512</v>
      </c>
      <c r="E49" s="15" t="s">
        <v>1513</v>
      </c>
      <c r="G49" s="2" t="s">
        <v>26</v>
      </c>
    </row>
    <row r="50">
      <c r="A50" s="2" t="s">
        <v>1496</v>
      </c>
      <c r="B50" s="3">
        <v>46275.0</v>
      </c>
      <c r="C50" s="2" t="s">
        <v>1527</v>
      </c>
      <c r="D50" s="2" t="s">
        <v>1529</v>
      </c>
      <c r="E50" s="15" t="s">
        <v>1530</v>
      </c>
      <c r="G50" s="2" t="s">
        <v>26</v>
      </c>
    </row>
    <row r="51">
      <c r="A51" s="2" t="s">
        <v>1532</v>
      </c>
      <c r="B51" s="3">
        <v>46275.0</v>
      </c>
      <c r="C51" s="2" t="s">
        <v>1177</v>
      </c>
      <c r="D51" s="2">
        <v>4036.0</v>
      </c>
      <c r="E51" s="15" t="s">
        <v>1534</v>
      </c>
      <c r="G51" s="2" t="s">
        <v>26</v>
      </c>
    </row>
    <row r="52">
      <c r="A52" s="2" t="s">
        <v>1501</v>
      </c>
      <c r="B52" s="3">
        <v>46275.0</v>
      </c>
      <c r="C52" s="2" t="s">
        <v>1395</v>
      </c>
      <c r="D52" s="2" t="s">
        <v>1545</v>
      </c>
      <c r="E52" s="15" t="s">
        <v>1546</v>
      </c>
      <c r="G52" s="2" t="s">
        <v>26</v>
      </c>
    </row>
    <row r="53">
      <c r="A53" s="2" t="s">
        <v>1507</v>
      </c>
      <c r="B53" s="3">
        <v>46274.0</v>
      </c>
      <c r="C53" s="2" t="s">
        <v>1395</v>
      </c>
      <c r="D53" s="2" t="s">
        <v>1547</v>
      </c>
      <c r="E53" s="15" t="s">
        <v>1548</v>
      </c>
      <c r="G53" s="2" t="s">
        <v>26</v>
      </c>
    </row>
    <row r="54">
      <c r="A54" s="2" t="s">
        <v>1514</v>
      </c>
      <c r="B54" s="3">
        <v>46275.0</v>
      </c>
      <c r="C54" s="2" t="s">
        <v>1177</v>
      </c>
      <c r="D54" s="2">
        <v>4036.0</v>
      </c>
      <c r="E54" s="15" t="s">
        <v>1549</v>
      </c>
      <c r="G54" s="2" t="s">
        <v>26</v>
      </c>
    </row>
    <row r="55">
      <c r="A55" s="2" t="s">
        <v>1525</v>
      </c>
      <c r="B55" s="3">
        <v>46276.0</v>
      </c>
      <c r="C55" s="2" t="s">
        <v>1177</v>
      </c>
      <c r="D55" s="2">
        <v>4068.0</v>
      </c>
      <c r="E55" s="15" t="s">
        <v>1550</v>
      </c>
      <c r="G55" s="2" t="s">
        <v>26</v>
      </c>
    </row>
    <row r="56">
      <c r="A56" s="2" t="s">
        <v>1531</v>
      </c>
      <c r="B56" s="3">
        <v>46279.0</v>
      </c>
      <c r="C56" s="2" t="s">
        <v>1177</v>
      </c>
      <c r="D56" s="2">
        <v>4123.0</v>
      </c>
      <c r="E56" s="15" t="s">
        <v>1551</v>
      </c>
      <c r="G56" s="2" t="s">
        <v>26</v>
      </c>
    </row>
    <row r="57">
      <c r="A57" s="2" t="s">
        <v>1537</v>
      </c>
      <c r="B57" s="3">
        <v>46279.0</v>
      </c>
      <c r="C57" s="2" t="s">
        <v>1351</v>
      </c>
      <c r="D57" s="2">
        <v>5586.0</v>
      </c>
      <c r="E57" s="15" t="s">
        <v>1552</v>
      </c>
      <c r="G57" s="2" t="s">
        <v>26</v>
      </c>
    </row>
    <row r="58">
      <c r="A58" s="2" t="s">
        <v>1542</v>
      </c>
      <c r="B58" s="3">
        <v>46280.0</v>
      </c>
      <c r="C58" s="2" t="s">
        <v>1177</v>
      </c>
      <c r="D58" s="2">
        <v>4166.0</v>
      </c>
      <c r="E58" s="15" t="s">
        <v>1553</v>
      </c>
      <c r="G58" s="2" t="s">
        <v>26</v>
      </c>
    </row>
  </sheetData>
  <hyperlinks>
    <hyperlink r:id="rId1" ref="E2"/>
    <hyperlink r:id="rId2" ref="E6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7"/>
    <hyperlink r:id="rId13" ref="E18"/>
    <hyperlink r:id="rId14" ref="E21"/>
    <hyperlink r:id="rId15" ref="E22"/>
    <hyperlink r:id="rId16" ref="E23"/>
    <hyperlink r:id="rId17" ref="E24"/>
    <hyperlink r:id="rId18" ref="E25"/>
    <hyperlink r:id="rId19" ref="E27"/>
    <hyperlink r:id="rId20" ref="E28"/>
    <hyperlink r:id="rId21" ref="E29"/>
    <hyperlink r:id="rId22" ref="E30"/>
    <hyperlink r:id="rId23" ref="E31"/>
    <hyperlink r:id="rId24" ref="E32"/>
    <hyperlink r:id="rId25" ref="E33"/>
    <hyperlink r:id="rId26" ref="E34"/>
    <hyperlink r:id="rId27" ref="E35"/>
    <hyperlink r:id="rId28" ref="E36"/>
    <hyperlink r:id="rId29" ref="E37"/>
    <hyperlink r:id="rId30" ref="E38"/>
    <hyperlink r:id="rId31" ref="E41"/>
    <hyperlink r:id="rId32" ref="E42"/>
    <hyperlink r:id="rId33" ref="E43"/>
    <hyperlink r:id="rId34" ref="E44"/>
    <hyperlink r:id="rId35" ref="E45"/>
    <hyperlink r:id="rId36" ref="E46"/>
    <hyperlink r:id="rId37" ref="E47"/>
    <hyperlink r:id="rId38" ref="E49"/>
    <hyperlink r:id="rId39" ref="E50"/>
    <hyperlink r:id="rId40" ref="E51"/>
    <hyperlink r:id="rId41" ref="E52"/>
    <hyperlink r:id="rId42" ref="E53"/>
    <hyperlink r:id="rId43" ref="E54"/>
    <hyperlink r:id="rId44" ref="E55"/>
    <hyperlink r:id="rId45" ref="E56"/>
    <hyperlink r:id="rId46" ref="E57"/>
    <hyperlink r:id="rId47" ref="E58"/>
  </hyperlinks>
  <drawing r:id="rId4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35.25"/>
    <col customWidth="1" min="3" max="3" width="11.5"/>
    <col customWidth="1" min="4" max="4" width="15.5"/>
    <col customWidth="1" min="8" max="8" width="26.25"/>
  </cols>
  <sheetData>
    <row r="1">
      <c r="A1" s="16" t="s">
        <v>1185</v>
      </c>
      <c r="B1" s="17" t="s">
        <v>1194</v>
      </c>
      <c r="C1" s="18" t="s">
        <v>1198</v>
      </c>
      <c r="D1" s="17" t="s">
        <v>1202</v>
      </c>
      <c r="E1" s="17" t="s">
        <v>1203</v>
      </c>
      <c r="F1" s="17" t="s">
        <v>1204</v>
      </c>
      <c r="G1" s="17" t="s">
        <v>1205</v>
      </c>
    </row>
    <row r="2">
      <c r="A2" s="19"/>
      <c r="B2" s="2" t="s">
        <v>1225</v>
      </c>
      <c r="C2" s="20"/>
      <c r="D2" s="2" t="s">
        <v>585</v>
      </c>
      <c r="G2" s="2"/>
    </row>
    <row r="3">
      <c r="A3" s="21"/>
    </row>
    <row r="6">
      <c r="A6" s="22" t="str">
        <f>IFERROR(__xludf.DUMMYFUNCTION("IFERROR(
  QUERY(
    'Item List'!A:I,
    ""select I, A, B, C, D, E, F, G, H where 1=1""
    &amp; IF(B2&lt;&gt;"""","" and B = '""&amp;B2&amp;""'"","""")
    &amp; IF(C2&lt;&gt;"""","" and C = '""&amp;C2&amp;""'"","""")
    &amp; IF(D2&lt;&gt;"""","" and D = '""&amp;D2&amp;""'"","""")
    &amp; IF(E2&lt;&gt;"""","" "&amp;"and E = '""&amp;E2&amp;""'"","""")
    &amp; IF(F2&lt;&gt;"""","" and F = '""&amp;F2&amp;""'"","""")
    &amp; IF(G2&lt;&gt;"""","" and G = '""&amp;G2&amp;""'"","""")
  ,1),
""❌ No matching record found""
)"),"SKU CODE")</f>
        <v>SKU CODE</v>
      </c>
      <c r="B6" s="22" t="str">
        <f>IFERROR(__xludf.DUMMYFUNCTION("""COMPUTED_VALUE"""),"Item Name ")</f>
        <v>Item Name </v>
      </c>
      <c r="C6" s="22" t="str">
        <f>IFERROR(__xludf.DUMMYFUNCTION("""COMPUTED_VALUE"""),"Category")</f>
        <v>Category</v>
      </c>
      <c r="D6" s="22" t="str">
        <f>IFERROR(__xludf.DUMMYFUNCTION("""COMPUTED_VALUE"""),"Material")</f>
        <v>Material</v>
      </c>
      <c r="E6" s="22" t="str">
        <f>IFERROR(__xludf.DUMMYFUNCTION("""COMPUTED_VALUE"""),"Size")</f>
        <v>Size</v>
      </c>
      <c r="F6" s="23" t="str">
        <f>IFERROR(__xludf.DUMMYFUNCTION("""COMPUTED_VALUE"""),"Gsm/Mic")</f>
        <v>Gsm/Mic</v>
      </c>
      <c r="G6" s="23" t="str">
        <f>IFERROR(__xludf.DUMMYFUNCTION("""COMPUTED_VALUE"""),"Color")</f>
        <v>Color</v>
      </c>
      <c r="H6" s="23" t="str">
        <f>IFERROR(__xludf.DUMMYFUNCTION("""COMPUTED_VALUE"""),"Finish/Extra")</f>
        <v>Finish/Extra</v>
      </c>
      <c r="I6" s="23" t="str">
        <f>IFERROR(__xludf.DUMMYFUNCTION("""COMPUTED_VALUE"""),"Unit")</f>
        <v>Unit</v>
      </c>
      <c r="J6" s="24" t="s">
        <v>1283</v>
      </c>
    </row>
    <row r="7">
      <c r="A7" s="25" t="str">
        <f>IFERROR(__xludf.DUMMYFUNCTION("""COMPUTED_VALUE"""),"P-SBS-417")</f>
        <v>P-SBS-417</v>
      </c>
      <c r="B7" s="25" t="str">
        <f>IFERROR(__xludf.DUMMYFUNCTION("""COMPUTED_VALUE"""),"20X32")</f>
        <v>20X32</v>
      </c>
      <c r="C7" s="25" t="str">
        <f>IFERROR(__xludf.DUMMYFUNCTION("""COMPUTED_VALUE"""),"Paper")</f>
        <v>Paper</v>
      </c>
      <c r="D7" s="25" t="str">
        <f>IFERROR(__xludf.DUMMYFUNCTION("""COMPUTED_VALUE"""),"Sbs Paper")</f>
        <v>Sbs Paper</v>
      </c>
      <c r="E7" s="25" t="str">
        <f>IFERROR(__xludf.DUMMYFUNCTION("""COMPUTED_VALUE"""),"20X32")</f>
        <v>20X32</v>
      </c>
      <c r="F7" s="25" t="str">
        <f>IFERROR(__xludf.DUMMYFUNCTION("""COMPUTED_VALUE"""),"330Gsm")</f>
        <v>330Gsm</v>
      </c>
      <c r="G7" s="25" t="str">
        <f>IFERROR(__xludf.DUMMYFUNCTION("""COMPUTED_VALUE"""),"–")</f>
        <v>–</v>
      </c>
      <c r="H7" s="25" t="str">
        <f>IFERROR(__xludf.DUMMYFUNCTION("""COMPUTED_VALUE"""),"–")</f>
        <v>–</v>
      </c>
      <c r="I7" s="25" t="str">
        <f>IFERROR(__xludf.DUMMYFUNCTION("""COMPUTED_VALUE"""),"Sheet")</f>
        <v>Sheet</v>
      </c>
      <c r="J7" s="25">
        <f t="array" ref="J7:J1000">if(A7:A1000&lt;&gt;"",VLOOKUP(A7:A1000,IMS!$A$2:$E$999,5,0),"")</f>
        <v>0</v>
      </c>
    </row>
    <row r="8">
      <c r="B8" s="26"/>
      <c r="J8" s="25" t="s">
        <v>1333</v>
      </c>
    </row>
    <row r="9">
      <c r="J9" s="25" t="s">
        <v>1333</v>
      </c>
    </row>
    <row r="10">
      <c r="J10" s="25" t="s">
        <v>1333</v>
      </c>
    </row>
    <row r="11">
      <c r="J11" s="25" t="s">
        <v>1333</v>
      </c>
    </row>
    <row r="12">
      <c r="J12" s="25" t="s">
        <v>1333</v>
      </c>
    </row>
    <row r="13">
      <c r="J13" s="25" t="s">
        <v>1333</v>
      </c>
    </row>
    <row r="14">
      <c r="J14" s="25" t="s">
        <v>1333</v>
      </c>
    </row>
    <row r="15">
      <c r="J15" s="25" t="s">
        <v>1333</v>
      </c>
    </row>
    <row r="16">
      <c r="J16" s="25" t="s">
        <v>1333</v>
      </c>
    </row>
    <row r="17">
      <c r="J17" s="25" t="s">
        <v>1333</v>
      </c>
    </row>
    <row r="18">
      <c r="J18" s="25" t="s">
        <v>1333</v>
      </c>
    </row>
    <row r="19">
      <c r="A19" s="27"/>
      <c r="J19" s="25" t="s">
        <v>1333</v>
      </c>
    </row>
    <row r="20">
      <c r="J20" s="25" t="s">
        <v>1333</v>
      </c>
    </row>
    <row r="21">
      <c r="J21" s="25" t="s">
        <v>1333</v>
      </c>
    </row>
    <row r="22">
      <c r="J22" s="25" t="s">
        <v>1333</v>
      </c>
    </row>
    <row r="23">
      <c r="J23" s="25" t="s">
        <v>1333</v>
      </c>
    </row>
    <row r="24">
      <c r="J24" s="25" t="s">
        <v>1333</v>
      </c>
    </row>
    <row r="25">
      <c r="J25" s="25" t="s">
        <v>1333</v>
      </c>
    </row>
    <row r="26">
      <c r="J26" s="25" t="s">
        <v>1333</v>
      </c>
    </row>
    <row r="27">
      <c r="J27" s="25" t="s">
        <v>1333</v>
      </c>
    </row>
    <row r="28">
      <c r="J28" s="25" t="s">
        <v>1333</v>
      </c>
    </row>
    <row r="29">
      <c r="J29" s="25" t="s">
        <v>1333</v>
      </c>
    </row>
    <row r="30">
      <c r="J30" s="25" t="s">
        <v>1333</v>
      </c>
    </row>
    <row r="31">
      <c r="J31" s="25" t="s">
        <v>1333</v>
      </c>
    </row>
    <row r="32">
      <c r="J32" s="25" t="s">
        <v>1333</v>
      </c>
    </row>
    <row r="33">
      <c r="J33" s="25" t="s">
        <v>1333</v>
      </c>
    </row>
    <row r="34">
      <c r="J34" s="25" t="s">
        <v>1333</v>
      </c>
    </row>
    <row r="35">
      <c r="J35" s="25" t="s">
        <v>1333</v>
      </c>
    </row>
    <row r="36">
      <c r="J36" s="25" t="s">
        <v>1333</v>
      </c>
    </row>
    <row r="37">
      <c r="J37" s="25" t="s">
        <v>1333</v>
      </c>
    </row>
    <row r="38">
      <c r="J38" s="25" t="s">
        <v>1333</v>
      </c>
    </row>
    <row r="39">
      <c r="J39" s="25" t="s">
        <v>1333</v>
      </c>
    </row>
    <row r="40">
      <c r="J40" s="25" t="s">
        <v>1333</v>
      </c>
    </row>
    <row r="41">
      <c r="J41" s="25" t="s">
        <v>1333</v>
      </c>
    </row>
    <row r="42">
      <c r="J42" s="25" t="s">
        <v>1333</v>
      </c>
    </row>
    <row r="43">
      <c r="J43" s="25" t="s">
        <v>1333</v>
      </c>
    </row>
    <row r="44">
      <c r="J44" s="25" t="s">
        <v>1333</v>
      </c>
    </row>
    <row r="45">
      <c r="J45" s="25" t="s">
        <v>1333</v>
      </c>
    </row>
    <row r="46">
      <c r="J46" s="25" t="s">
        <v>1333</v>
      </c>
    </row>
    <row r="47">
      <c r="J47" s="25" t="s">
        <v>1333</v>
      </c>
    </row>
    <row r="48">
      <c r="J48" s="25" t="s">
        <v>1333</v>
      </c>
    </row>
    <row r="49">
      <c r="J49" s="25" t="s">
        <v>1333</v>
      </c>
    </row>
    <row r="50">
      <c r="J50" s="25" t="s">
        <v>1333</v>
      </c>
    </row>
    <row r="51">
      <c r="J51" s="25" t="s">
        <v>1333</v>
      </c>
    </row>
    <row r="52">
      <c r="J52" s="25" t="s">
        <v>1333</v>
      </c>
    </row>
    <row r="53">
      <c r="J53" s="25" t="s">
        <v>1333</v>
      </c>
    </row>
    <row r="54">
      <c r="J54" s="25" t="s">
        <v>1333</v>
      </c>
    </row>
    <row r="55">
      <c r="J55" s="25" t="s">
        <v>1333</v>
      </c>
    </row>
    <row r="56">
      <c r="J56" s="25" t="s">
        <v>1333</v>
      </c>
    </row>
    <row r="57">
      <c r="J57" s="25" t="s">
        <v>1333</v>
      </c>
    </row>
    <row r="58">
      <c r="J58" s="25" t="s">
        <v>1333</v>
      </c>
    </row>
    <row r="59">
      <c r="J59" s="25" t="s">
        <v>1333</v>
      </c>
    </row>
    <row r="60">
      <c r="J60" s="25" t="s">
        <v>1333</v>
      </c>
    </row>
    <row r="61">
      <c r="J61" s="25" t="s">
        <v>1333</v>
      </c>
    </row>
    <row r="62">
      <c r="J62" s="25" t="s">
        <v>1333</v>
      </c>
    </row>
    <row r="63">
      <c r="J63" s="25" t="s">
        <v>1333</v>
      </c>
    </row>
    <row r="64">
      <c r="J64" s="25" t="s">
        <v>1333</v>
      </c>
    </row>
    <row r="65">
      <c r="J65" s="25" t="s">
        <v>1333</v>
      </c>
    </row>
    <row r="66">
      <c r="J66" s="25" t="s">
        <v>1333</v>
      </c>
    </row>
    <row r="67">
      <c r="J67" s="25" t="s">
        <v>1333</v>
      </c>
    </row>
    <row r="68">
      <c r="J68" s="25" t="s">
        <v>1333</v>
      </c>
    </row>
    <row r="69">
      <c r="J69" s="25" t="s">
        <v>1333</v>
      </c>
    </row>
    <row r="70">
      <c r="J70" s="25" t="s">
        <v>1333</v>
      </c>
    </row>
    <row r="71">
      <c r="J71" s="25" t="s">
        <v>1333</v>
      </c>
    </row>
    <row r="72">
      <c r="J72" s="25" t="s">
        <v>1333</v>
      </c>
    </row>
    <row r="73">
      <c r="J73" s="25" t="s">
        <v>1333</v>
      </c>
    </row>
    <row r="74">
      <c r="J74" s="25" t="s">
        <v>1333</v>
      </c>
    </row>
    <row r="75">
      <c r="J75" s="25" t="s">
        <v>1333</v>
      </c>
    </row>
    <row r="76">
      <c r="J76" s="25" t="s">
        <v>1333</v>
      </c>
    </row>
    <row r="77">
      <c r="J77" s="25" t="s">
        <v>1333</v>
      </c>
    </row>
    <row r="78">
      <c r="J78" s="25" t="s">
        <v>1333</v>
      </c>
    </row>
    <row r="79">
      <c r="J79" s="25" t="s">
        <v>1333</v>
      </c>
    </row>
    <row r="80">
      <c r="J80" s="25" t="s">
        <v>1333</v>
      </c>
    </row>
    <row r="81">
      <c r="J81" s="25" t="s">
        <v>1333</v>
      </c>
    </row>
    <row r="82">
      <c r="J82" s="25" t="s">
        <v>1333</v>
      </c>
    </row>
    <row r="83">
      <c r="J83" s="25" t="s">
        <v>1333</v>
      </c>
    </row>
    <row r="84">
      <c r="J84" s="25" t="s">
        <v>1333</v>
      </c>
    </row>
    <row r="85">
      <c r="J85" s="25" t="s">
        <v>1333</v>
      </c>
    </row>
    <row r="86">
      <c r="J86" s="25" t="s">
        <v>1333</v>
      </c>
    </row>
    <row r="87">
      <c r="J87" s="25" t="s">
        <v>1333</v>
      </c>
    </row>
    <row r="88">
      <c r="J88" s="25" t="s">
        <v>1333</v>
      </c>
    </row>
    <row r="89">
      <c r="J89" s="25" t="s">
        <v>1333</v>
      </c>
    </row>
    <row r="90">
      <c r="J90" s="25" t="s">
        <v>1333</v>
      </c>
    </row>
    <row r="91">
      <c r="J91" s="25" t="s">
        <v>1333</v>
      </c>
    </row>
    <row r="92">
      <c r="J92" s="25" t="s">
        <v>1333</v>
      </c>
    </row>
    <row r="93">
      <c r="J93" s="25" t="s">
        <v>1333</v>
      </c>
    </row>
    <row r="94">
      <c r="J94" s="25" t="s">
        <v>1333</v>
      </c>
    </row>
    <row r="95">
      <c r="J95" s="25" t="s">
        <v>1333</v>
      </c>
    </row>
    <row r="96">
      <c r="J96" s="25" t="s">
        <v>1333</v>
      </c>
    </row>
    <row r="97">
      <c r="J97" s="25" t="s">
        <v>1333</v>
      </c>
    </row>
    <row r="98">
      <c r="J98" s="25" t="s">
        <v>1333</v>
      </c>
    </row>
    <row r="99">
      <c r="J99" s="25" t="s">
        <v>1333</v>
      </c>
    </row>
    <row r="100">
      <c r="J100" s="25" t="s">
        <v>1333</v>
      </c>
    </row>
    <row r="101">
      <c r="J101" s="25" t="s">
        <v>1333</v>
      </c>
    </row>
    <row r="102">
      <c r="J102" s="25" t="s">
        <v>1333</v>
      </c>
    </row>
    <row r="103">
      <c r="J103" s="25" t="s">
        <v>1333</v>
      </c>
    </row>
    <row r="104">
      <c r="J104" s="25" t="s">
        <v>1333</v>
      </c>
    </row>
    <row r="105">
      <c r="J105" s="25" t="s">
        <v>1333</v>
      </c>
    </row>
    <row r="106">
      <c r="J106" s="25" t="s">
        <v>1333</v>
      </c>
    </row>
    <row r="107">
      <c r="J107" s="25" t="s">
        <v>1333</v>
      </c>
    </row>
    <row r="108">
      <c r="J108" s="25" t="s">
        <v>1333</v>
      </c>
    </row>
    <row r="109">
      <c r="J109" s="25" t="s">
        <v>1333</v>
      </c>
    </row>
    <row r="110">
      <c r="J110" s="25" t="s">
        <v>1333</v>
      </c>
    </row>
    <row r="111">
      <c r="J111" s="25" t="s">
        <v>1333</v>
      </c>
    </row>
    <row r="112">
      <c r="J112" s="25" t="s">
        <v>1333</v>
      </c>
    </row>
    <row r="113">
      <c r="J113" s="25" t="s">
        <v>1333</v>
      </c>
    </row>
    <row r="114">
      <c r="J114" s="25" t="s">
        <v>1333</v>
      </c>
    </row>
    <row r="115">
      <c r="J115" s="25" t="s">
        <v>1333</v>
      </c>
    </row>
    <row r="116">
      <c r="J116" s="25" t="s">
        <v>1333</v>
      </c>
    </row>
    <row r="117">
      <c r="J117" s="25" t="s">
        <v>1333</v>
      </c>
    </row>
    <row r="118">
      <c r="J118" s="25" t="s">
        <v>1333</v>
      </c>
    </row>
    <row r="119">
      <c r="J119" s="25" t="s">
        <v>1333</v>
      </c>
    </row>
    <row r="120">
      <c r="J120" s="25" t="s">
        <v>1333</v>
      </c>
    </row>
    <row r="121">
      <c r="J121" s="25" t="s">
        <v>1333</v>
      </c>
    </row>
    <row r="122">
      <c r="J122" s="25" t="s">
        <v>1333</v>
      </c>
    </row>
    <row r="123">
      <c r="J123" s="25" t="s">
        <v>1333</v>
      </c>
    </row>
    <row r="124">
      <c r="J124" s="25" t="s">
        <v>1333</v>
      </c>
    </row>
    <row r="125">
      <c r="J125" s="25" t="s">
        <v>1333</v>
      </c>
    </row>
    <row r="126">
      <c r="J126" s="25" t="s">
        <v>1333</v>
      </c>
    </row>
    <row r="127">
      <c r="J127" s="25" t="s">
        <v>1333</v>
      </c>
    </row>
    <row r="128">
      <c r="J128" s="25" t="s">
        <v>1333</v>
      </c>
    </row>
    <row r="129">
      <c r="J129" s="25" t="s">
        <v>1333</v>
      </c>
    </row>
    <row r="130">
      <c r="J130" s="25" t="s">
        <v>1333</v>
      </c>
    </row>
    <row r="131">
      <c r="J131" s="25" t="s">
        <v>1333</v>
      </c>
    </row>
    <row r="132">
      <c r="J132" s="25" t="s">
        <v>1333</v>
      </c>
    </row>
    <row r="133">
      <c r="J133" s="25" t="s">
        <v>1333</v>
      </c>
    </row>
    <row r="134">
      <c r="J134" s="25" t="s">
        <v>1333</v>
      </c>
    </row>
    <row r="135">
      <c r="J135" s="25" t="s">
        <v>1333</v>
      </c>
    </row>
    <row r="136">
      <c r="J136" s="25" t="s">
        <v>1333</v>
      </c>
    </row>
    <row r="137">
      <c r="J137" s="25" t="s">
        <v>1333</v>
      </c>
    </row>
    <row r="138">
      <c r="J138" s="25" t="s">
        <v>1333</v>
      </c>
    </row>
    <row r="139">
      <c r="J139" s="25" t="s">
        <v>1333</v>
      </c>
    </row>
    <row r="140">
      <c r="J140" s="25" t="s">
        <v>1333</v>
      </c>
    </row>
    <row r="141">
      <c r="J141" s="25" t="s">
        <v>1333</v>
      </c>
    </row>
    <row r="142">
      <c r="J142" s="25" t="s">
        <v>1333</v>
      </c>
    </row>
    <row r="143">
      <c r="J143" s="25" t="s">
        <v>1333</v>
      </c>
    </row>
    <row r="144">
      <c r="J144" s="25" t="s">
        <v>1333</v>
      </c>
    </row>
    <row r="145">
      <c r="J145" s="25" t="s">
        <v>1333</v>
      </c>
    </row>
    <row r="146">
      <c r="J146" s="25" t="s">
        <v>1333</v>
      </c>
    </row>
    <row r="147">
      <c r="J147" s="25" t="s">
        <v>1333</v>
      </c>
    </row>
    <row r="148">
      <c r="J148" s="25" t="s">
        <v>1333</v>
      </c>
    </row>
    <row r="149">
      <c r="J149" s="25" t="s">
        <v>1333</v>
      </c>
    </row>
    <row r="150">
      <c r="J150" s="25" t="s">
        <v>1333</v>
      </c>
    </row>
    <row r="151">
      <c r="J151" s="25" t="s">
        <v>1333</v>
      </c>
    </row>
    <row r="152">
      <c r="J152" s="25" t="s">
        <v>1333</v>
      </c>
    </row>
    <row r="153">
      <c r="J153" s="25" t="s">
        <v>1333</v>
      </c>
    </row>
    <row r="154">
      <c r="J154" s="25" t="s">
        <v>1333</v>
      </c>
    </row>
    <row r="155">
      <c r="J155" s="25" t="s">
        <v>1333</v>
      </c>
    </row>
    <row r="156">
      <c r="J156" s="25" t="s">
        <v>1333</v>
      </c>
    </row>
    <row r="157">
      <c r="J157" s="25" t="s">
        <v>1333</v>
      </c>
    </row>
    <row r="158">
      <c r="J158" s="25" t="s">
        <v>1333</v>
      </c>
    </row>
    <row r="159">
      <c r="J159" s="25" t="s">
        <v>1333</v>
      </c>
    </row>
    <row r="160">
      <c r="J160" s="25" t="s">
        <v>1333</v>
      </c>
    </row>
    <row r="161">
      <c r="J161" s="25" t="s">
        <v>1333</v>
      </c>
    </row>
    <row r="162">
      <c r="J162" s="25" t="s">
        <v>1333</v>
      </c>
    </row>
    <row r="163">
      <c r="J163" s="25" t="s">
        <v>1333</v>
      </c>
    </row>
    <row r="164">
      <c r="J164" s="25" t="s">
        <v>1333</v>
      </c>
    </row>
    <row r="165">
      <c r="J165" s="25" t="s">
        <v>1333</v>
      </c>
    </row>
    <row r="166">
      <c r="J166" s="25" t="s">
        <v>1333</v>
      </c>
    </row>
    <row r="167">
      <c r="J167" s="25" t="s">
        <v>1333</v>
      </c>
    </row>
    <row r="168">
      <c r="J168" s="25" t="s">
        <v>1333</v>
      </c>
    </row>
    <row r="169">
      <c r="J169" s="25" t="s">
        <v>1333</v>
      </c>
    </row>
    <row r="170">
      <c r="J170" s="25" t="s">
        <v>1333</v>
      </c>
    </row>
    <row r="171">
      <c r="J171" s="25" t="s">
        <v>1333</v>
      </c>
    </row>
    <row r="172">
      <c r="J172" s="25" t="s">
        <v>1333</v>
      </c>
    </row>
    <row r="173">
      <c r="J173" s="25" t="s">
        <v>1333</v>
      </c>
    </row>
    <row r="174">
      <c r="J174" s="25" t="s">
        <v>1333</v>
      </c>
    </row>
    <row r="175">
      <c r="J175" s="25" t="s">
        <v>1333</v>
      </c>
    </row>
    <row r="176">
      <c r="J176" s="25" t="s">
        <v>1333</v>
      </c>
    </row>
    <row r="177">
      <c r="J177" s="25" t="s">
        <v>1333</v>
      </c>
    </row>
    <row r="178">
      <c r="J178" s="25" t="s">
        <v>1333</v>
      </c>
    </row>
    <row r="179">
      <c r="J179" s="25" t="s">
        <v>1333</v>
      </c>
    </row>
    <row r="180">
      <c r="J180" s="25" t="s">
        <v>1333</v>
      </c>
    </row>
    <row r="181">
      <c r="J181" s="25" t="s">
        <v>1333</v>
      </c>
    </row>
    <row r="182">
      <c r="J182" s="25" t="s">
        <v>1333</v>
      </c>
    </row>
    <row r="183">
      <c r="J183" s="25" t="s">
        <v>1333</v>
      </c>
    </row>
    <row r="184">
      <c r="J184" s="25" t="s">
        <v>1333</v>
      </c>
    </row>
    <row r="185">
      <c r="J185" s="25" t="s">
        <v>1333</v>
      </c>
    </row>
    <row r="186">
      <c r="J186" s="25" t="s">
        <v>1333</v>
      </c>
    </row>
    <row r="187">
      <c r="J187" s="25" t="s">
        <v>1333</v>
      </c>
    </row>
    <row r="188">
      <c r="J188" s="25" t="s">
        <v>1333</v>
      </c>
    </row>
    <row r="189">
      <c r="J189" s="25" t="s">
        <v>1333</v>
      </c>
    </row>
    <row r="190">
      <c r="J190" s="25" t="s">
        <v>1333</v>
      </c>
    </row>
    <row r="191">
      <c r="J191" s="25" t="s">
        <v>1333</v>
      </c>
    </row>
    <row r="192">
      <c r="J192" s="25" t="s">
        <v>1333</v>
      </c>
    </row>
    <row r="193">
      <c r="J193" s="25" t="s">
        <v>1333</v>
      </c>
    </row>
    <row r="194">
      <c r="J194" s="25" t="s">
        <v>1333</v>
      </c>
    </row>
    <row r="195">
      <c r="J195" s="25" t="s">
        <v>1333</v>
      </c>
    </row>
    <row r="196">
      <c r="J196" s="25" t="s">
        <v>1333</v>
      </c>
    </row>
    <row r="197">
      <c r="J197" s="25" t="s">
        <v>1333</v>
      </c>
    </row>
    <row r="198">
      <c r="J198" s="25" t="s">
        <v>1333</v>
      </c>
    </row>
    <row r="199">
      <c r="J199" s="25" t="s">
        <v>1333</v>
      </c>
    </row>
    <row r="200">
      <c r="J200" s="25" t="s">
        <v>1333</v>
      </c>
    </row>
    <row r="201">
      <c r="J201" s="25" t="s">
        <v>1333</v>
      </c>
    </row>
    <row r="202">
      <c r="J202" s="25" t="s">
        <v>1333</v>
      </c>
    </row>
    <row r="203">
      <c r="J203" s="25" t="s">
        <v>1333</v>
      </c>
    </row>
    <row r="204">
      <c r="J204" s="25" t="s">
        <v>1333</v>
      </c>
    </row>
    <row r="205">
      <c r="J205" s="25" t="s">
        <v>1333</v>
      </c>
    </row>
    <row r="206">
      <c r="J206" s="25" t="s">
        <v>1333</v>
      </c>
    </row>
    <row r="207">
      <c r="J207" s="25" t="s">
        <v>1333</v>
      </c>
    </row>
    <row r="208">
      <c r="J208" s="25" t="s">
        <v>1333</v>
      </c>
    </row>
    <row r="209">
      <c r="J209" s="25" t="s">
        <v>1333</v>
      </c>
    </row>
    <row r="210">
      <c r="J210" s="25" t="s">
        <v>1333</v>
      </c>
    </row>
    <row r="211">
      <c r="J211" s="25" t="s">
        <v>1333</v>
      </c>
    </row>
    <row r="212">
      <c r="J212" s="25" t="s">
        <v>1333</v>
      </c>
    </row>
    <row r="213">
      <c r="J213" s="25" t="s">
        <v>1333</v>
      </c>
    </row>
    <row r="214">
      <c r="J214" s="25" t="s">
        <v>1333</v>
      </c>
    </row>
    <row r="215">
      <c r="J215" s="25" t="s">
        <v>1333</v>
      </c>
    </row>
    <row r="216">
      <c r="J216" s="25" t="s">
        <v>1333</v>
      </c>
    </row>
    <row r="217">
      <c r="J217" s="25" t="s">
        <v>1333</v>
      </c>
    </row>
    <row r="218">
      <c r="J218" s="25" t="s">
        <v>1333</v>
      </c>
    </row>
    <row r="219">
      <c r="J219" s="25" t="s">
        <v>1333</v>
      </c>
    </row>
    <row r="220">
      <c r="J220" s="25" t="s">
        <v>1333</v>
      </c>
    </row>
    <row r="221">
      <c r="J221" s="25" t="s">
        <v>1333</v>
      </c>
    </row>
    <row r="222">
      <c r="J222" s="25" t="s">
        <v>1333</v>
      </c>
    </row>
    <row r="223">
      <c r="J223" s="25" t="s">
        <v>1333</v>
      </c>
    </row>
    <row r="224">
      <c r="J224" s="25" t="s">
        <v>1333</v>
      </c>
    </row>
    <row r="225">
      <c r="J225" s="25" t="s">
        <v>1333</v>
      </c>
    </row>
    <row r="226">
      <c r="J226" s="25" t="s">
        <v>1333</v>
      </c>
    </row>
    <row r="227">
      <c r="J227" s="25" t="s">
        <v>1333</v>
      </c>
    </row>
    <row r="228">
      <c r="J228" s="25" t="s">
        <v>1333</v>
      </c>
    </row>
    <row r="229">
      <c r="J229" s="25" t="s">
        <v>1333</v>
      </c>
    </row>
    <row r="230">
      <c r="J230" s="25" t="s">
        <v>1333</v>
      </c>
    </row>
    <row r="231">
      <c r="J231" s="25" t="s">
        <v>1333</v>
      </c>
    </row>
    <row r="232">
      <c r="J232" s="25" t="s">
        <v>1333</v>
      </c>
    </row>
    <row r="233">
      <c r="J233" s="25" t="s">
        <v>1333</v>
      </c>
    </row>
    <row r="234">
      <c r="J234" s="25" t="s">
        <v>1333</v>
      </c>
    </row>
    <row r="235">
      <c r="J235" s="25" t="s">
        <v>1333</v>
      </c>
    </row>
    <row r="236">
      <c r="J236" s="25" t="s">
        <v>1333</v>
      </c>
    </row>
    <row r="237">
      <c r="J237" s="25" t="s">
        <v>1333</v>
      </c>
    </row>
    <row r="238">
      <c r="J238" s="25" t="s">
        <v>1333</v>
      </c>
    </row>
    <row r="239">
      <c r="J239" s="25" t="s">
        <v>1333</v>
      </c>
    </row>
    <row r="240">
      <c r="J240" s="25" t="s">
        <v>1333</v>
      </c>
    </row>
    <row r="241">
      <c r="J241" s="25" t="s">
        <v>1333</v>
      </c>
    </row>
    <row r="242">
      <c r="J242" s="25" t="s">
        <v>1333</v>
      </c>
    </row>
    <row r="243">
      <c r="J243" s="25" t="s">
        <v>1333</v>
      </c>
    </row>
    <row r="244">
      <c r="J244" s="25" t="s">
        <v>1333</v>
      </c>
    </row>
    <row r="245">
      <c r="J245" s="25" t="s">
        <v>1333</v>
      </c>
    </row>
    <row r="246">
      <c r="J246" s="25" t="s">
        <v>1333</v>
      </c>
    </row>
    <row r="247">
      <c r="J247" s="25" t="s">
        <v>1333</v>
      </c>
    </row>
    <row r="248">
      <c r="J248" s="25" t="s">
        <v>1333</v>
      </c>
    </row>
    <row r="249">
      <c r="J249" s="25" t="s">
        <v>1333</v>
      </c>
    </row>
    <row r="250">
      <c r="J250" s="25" t="s">
        <v>1333</v>
      </c>
    </row>
    <row r="251">
      <c r="J251" s="25" t="s">
        <v>1333</v>
      </c>
    </row>
    <row r="252">
      <c r="J252" s="25" t="s">
        <v>1333</v>
      </c>
    </row>
    <row r="253">
      <c r="J253" s="25" t="s">
        <v>1333</v>
      </c>
    </row>
    <row r="254">
      <c r="J254" s="25" t="s">
        <v>1333</v>
      </c>
    </row>
    <row r="255">
      <c r="J255" s="25" t="s">
        <v>1333</v>
      </c>
    </row>
    <row r="256">
      <c r="J256" s="25" t="s">
        <v>1333</v>
      </c>
    </row>
    <row r="257">
      <c r="J257" s="25" t="s">
        <v>1333</v>
      </c>
    </row>
    <row r="258">
      <c r="J258" s="25" t="s">
        <v>1333</v>
      </c>
    </row>
    <row r="259">
      <c r="J259" s="25" t="s">
        <v>1333</v>
      </c>
    </row>
    <row r="260">
      <c r="J260" s="25" t="s">
        <v>1333</v>
      </c>
    </row>
    <row r="261">
      <c r="J261" s="25" t="s">
        <v>1333</v>
      </c>
    </row>
    <row r="262">
      <c r="J262" s="25" t="s">
        <v>1333</v>
      </c>
    </row>
    <row r="263">
      <c r="J263" s="25" t="s">
        <v>1333</v>
      </c>
    </row>
    <row r="264">
      <c r="J264" s="25" t="s">
        <v>1333</v>
      </c>
    </row>
    <row r="265">
      <c r="J265" s="25" t="s">
        <v>1333</v>
      </c>
    </row>
    <row r="266">
      <c r="J266" s="25" t="s">
        <v>1333</v>
      </c>
    </row>
    <row r="267">
      <c r="J267" s="25" t="s">
        <v>1333</v>
      </c>
    </row>
    <row r="268">
      <c r="J268" s="25" t="s">
        <v>1333</v>
      </c>
    </row>
    <row r="269">
      <c r="J269" s="25" t="s">
        <v>1333</v>
      </c>
    </row>
    <row r="270">
      <c r="J270" s="25" t="s">
        <v>1333</v>
      </c>
    </row>
    <row r="271">
      <c r="J271" s="25" t="s">
        <v>1333</v>
      </c>
    </row>
    <row r="272">
      <c r="J272" s="25" t="s">
        <v>1333</v>
      </c>
    </row>
    <row r="273">
      <c r="J273" s="25" t="s">
        <v>1333</v>
      </c>
    </row>
    <row r="274">
      <c r="J274" s="25" t="s">
        <v>1333</v>
      </c>
    </row>
    <row r="275">
      <c r="J275" s="25" t="s">
        <v>1333</v>
      </c>
    </row>
    <row r="276">
      <c r="J276" s="25" t="s">
        <v>1333</v>
      </c>
    </row>
    <row r="277">
      <c r="J277" s="25" t="s">
        <v>1333</v>
      </c>
    </row>
    <row r="278">
      <c r="J278" s="25" t="s">
        <v>1333</v>
      </c>
    </row>
    <row r="279">
      <c r="J279" s="25" t="s">
        <v>1333</v>
      </c>
    </row>
    <row r="280">
      <c r="J280" s="25" t="s">
        <v>1333</v>
      </c>
    </row>
    <row r="281">
      <c r="J281" s="25" t="s">
        <v>1333</v>
      </c>
    </row>
    <row r="282">
      <c r="J282" s="25" t="s">
        <v>1333</v>
      </c>
    </row>
    <row r="283">
      <c r="J283" s="25" t="s">
        <v>1333</v>
      </c>
    </row>
    <row r="284">
      <c r="J284" s="25" t="s">
        <v>1333</v>
      </c>
    </row>
    <row r="285">
      <c r="J285" s="25" t="s">
        <v>1333</v>
      </c>
    </row>
    <row r="286">
      <c r="J286" s="25" t="s">
        <v>1333</v>
      </c>
    </row>
    <row r="287">
      <c r="J287" s="25" t="s">
        <v>1333</v>
      </c>
    </row>
    <row r="288">
      <c r="J288" s="25" t="s">
        <v>1333</v>
      </c>
    </row>
    <row r="289">
      <c r="J289" s="25" t="s">
        <v>1333</v>
      </c>
    </row>
    <row r="290">
      <c r="J290" s="25" t="s">
        <v>1333</v>
      </c>
    </row>
    <row r="291">
      <c r="J291" s="25" t="s">
        <v>1333</v>
      </c>
    </row>
    <row r="292">
      <c r="J292" s="25" t="s">
        <v>1333</v>
      </c>
    </row>
    <row r="293">
      <c r="J293" s="25" t="s">
        <v>1333</v>
      </c>
    </row>
    <row r="294">
      <c r="J294" s="25" t="s">
        <v>1333</v>
      </c>
    </row>
    <row r="295">
      <c r="J295" s="25" t="s">
        <v>1333</v>
      </c>
    </row>
    <row r="296">
      <c r="J296" s="25" t="s">
        <v>1333</v>
      </c>
    </row>
    <row r="297">
      <c r="J297" s="25" t="s">
        <v>1333</v>
      </c>
    </row>
    <row r="298">
      <c r="J298" s="25" t="s">
        <v>1333</v>
      </c>
    </row>
    <row r="299">
      <c r="J299" s="25" t="s">
        <v>1333</v>
      </c>
    </row>
    <row r="300">
      <c r="J300" s="25" t="s">
        <v>1333</v>
      </c>
    </row>
    <row r="301">
      <c r="J301" s="25" t="s">
        <v>1333</v>
      </c>
    </row>
    <row r="302">
      <c r="J302" s="25" t="s">
        <v>1333</v>
      </c>
    </row>
    <row r="303">
      <c r="J303" s="25" t="s">
        <v>1333</v>
      </c>
    </row>
    <row r="304">
      <c r="J304" s="25" t="s">
        <v>1333</v>
      </c>
    </row>
    <row r="305">
      <c r="J305" s="25" t="s">
        <v>1333</v>
      </c>
    </row>
    <row r="306">
      <c r="J306" s="25" t="s">
        <v>1333</v>
      </c>
    </row>
    <row r="307">
      <c r="J307" s="25" t="s">
        <v>1333</v>
      </c>
    </row>
    <row r="308">
      <c r="J308" s="25" t="s">
        <v>1333</v>
      </c>
    </row>
    <row r="309">
      <c r="J309" s="25" t="s">
        <v>1333</v>
      </c>
    </row>
    <row r="310">
      <c r="J310" s="25" t="s">
        <v>1333</v>
      </c>
    </row>
    <row r="311">
      <c r="J311" s="25" t="s">
        <v>1333</v>
      </c>
    </row>
    <row r="312">
      <c r="J312" s="25" t="s">
        <v>1333</v>
      </c>
    </row>
    <row r="313">
      <c r="J313" s="25" t="s">
        <v>1333</v>
      </c>
    </row>
    <row r="314">
      <c r="J314" s="25" t="s">
        <v>1333</v>
      </c>
    </row>
    <row r="315">
      <c r="J315" s="25" t="s">
        <v>1333</v>
      </c>
    </row>
    <row r="316">
      <c r="J316" s="25" t="s">
        <v>1333</v>
      </c>
    </row>
    <row r="317">
      <c r="J317" s="25" t="s">
        <v>1333</v>
      </c>
    </row>
    <row r="318">
      <c r="J318" s="25" t="s">
        <v>1333</v>
      </c>
    </row>
    <row r="319">
      <c r="J319" s="25" t="s">
        <v>1333</v>
      </c>
    </row>
    <row r="320">
      <c r="J320" s="25" t="s">
        <v>1333</v>
      </c>
    </row>
    <row r="321">
      <c r="J321" s="25" t="s">
        <v>1333</v>
      </c>
    </row>
    <row r="322">
      <c r="J322" s="25" t="s">
        <v>1333</v>
      </c>
    </row>
    <row r="323">
      <c r="J323" s="25" t="s">
        <v>1333</v>
      </c>
    </row>
    <row r="324">
      <c r="J324" s="25" t="s">
        <v>1333</v>
      </c>
    </row>
    <row r="325">
      <c r="J325" s="25" t="s">
        <v>1333</v>
      </c>
    </row>
    <row r="326">
      <c r="J326" s="25" t="s">
        <v>1333</v>
      </c>
    </row>
    <row r="327">
      <c r="J327" s="25" t="s">
        <v>1333</v>
      </c>
    </row>
    <row r="328">
      <c r="J328" s="25" t="s">
        <v>1333</v>
      </c>
    </row>
    <row r="329">
      <c r="J329" s="25" t="s">
        <v>1333</v>
      </c>
    </row>
    <row r="330">
      <c r="J330" s="25" t="s">
        <v>1333</v>
      </c>
    </row>
    <row r="331">
      <c r="J331" s="25" t="s">
        <v>1333</v>
      </c>
    </row>
    <row r="332">
      <c r="J332" s="25" t="s">
        <v>1333</v>
      </c>
    </row>
    <row r="333">
      <c r="J333" s="25" t="s">
        <v>1333</v>
      </c>
    </row>
    <row r="334">
      <c r="J334" s="25" t="s">
        <v>1333</v>
      </c>
    </row>
    <row r="335">
      <c r="J335" s="25" t="s">
        <v>1333</v>
      </c>
    </row>
    <row r="336">
      <c r="J336" s="25" t="s">
        <v>1333</v>
      </c>
    </row>
    <row r="337">
      <c r="J337" s="25" t="s">
        <v>1333</v>
      </c>
    </row>
    <row r="338">
      <c r="J338" s="25" t="s">
        <v>1333</v>
      </c>
    </row>
    <row r="339">
      <c r="J339" s="25" t="s">
        <v>1333</v>
      </c>
    </row>
    <row r="340">
      <c r="J340" s="25" t="s">
        <v>1333</v>
      </c>
    </row>
    <row r="341">
      <c r="J341" s="25" t="s">
        <v>1333</v>
      </c>
    </row>
    <row r="342">
      <c r="J342" s="25" t="s">
        <v>1333</v>
      </c>
    </row>
    <row r="343">
      <c r="J343" s="25" t="s">
        <v>1333</v>
      </c>
    </row>
    <row r="344">
      <c r="J344" s="25" t="s">
        <v>1333</v>
      </c>
    </row>
    <row r="345">
      <c r="J345" s="25" t="s">
        <v>1333</v>
      </c>
    </row>
    <row r="346">
      <c r="J346" s="25" t="s">
        <v>1333</v>
      </c>
    </row>
    <row r="347">
      <c r="J347" s="25" t="s">
        <v>1333</v>
      </c>
    </row>
    <row r="348">
      <c r="J348" s="25" t="s">
        <v>1333</v>
      </c>
    </row>
    <row r="349">
      <c r="J349" s="25" t="s">
        <v>1333</v>
      </c>
    </row>
    <row r="350">
      <c r="J350" s="25" t="s">
        <v>1333</v>
      </c>
    </row>
    <row r="351">
      <c r="J351" s="25" t="s">
        <v>1333</v>
      </c>
    </row>
    <row r="352">
      <c r="J352" s="25" t="s">
        <v>1333</v>
      </c>
    </row>
    <row r="353">
      <c r="J353" s="25" t="s">
        <v>1333</v>
      </c>
    </row>
    <row r="354">
      <c r="J354" s="25" t="s">
        <v>1333</v>
      </c>
    </row>
    <row r="355">
      <c r="J355" s="25" t="s">
        <v>1333</v>
      </c>
    </row>
    <row r="356">
      <c r="J356" s="25" t="s">
        <v>1333</v>
      </c>
    </row>
    <row r="357">
      <c r="J357" s="25" t="s">
        <v>1333</v>
      </c>
    </row>
    <row r="358">
      <c r="J358" s="25" t="s">
        <v>1333</v>
      </c>
    </row>
    <row r="359">
      <c r="J359" s="25" t="s">
        <v>1333</v>
      </c>
    </row>
    <row r="360">
      <c r="J360" s="25" t="s">
        <v>1333</v>
      </c>
    </row>
    <row r="361">
      <c r="J361" s="25" t="s">
        <v>1333</v>
      </c>
    </row>
    <row r="362">
      <c r="J362" s="25" t="s">
        <v>1333</v>
      </c>
    </row>
    <row r="363">
      <c r="J363" s="25" t="s">
        <v>1333</v>
      </c>
    </row>
    <row r="364">
      <c r="J364" s="25" t="s">
        <v>1333</v>
      </c>
    </row>
    <row r="365">
      <c r="J365" s="25" t="s">
        <v>1333</v>
      </c>
    </row>
    <row r="366">
      <c r="J366" s="25" t="s">
        <v>1333</v>
      </c>
    </row>
    <row r="367">
      <c r="J367" s="25" t="s">
        <v>1333</v>
      </c>
    </row>
    <row r="368">
      <c r="J368" s="25" t="s">
        <v>1333</v>
      </c>
    </row>
    <row r="369">
      <c r="J369" s="25" t="s">
        <v>1333</v>
      </c>
    </row>
    <row r="370">
      <c r="J370" s="25" t="s">
        <v>1333</v>
      </c>
    </row>
    <row r="371">
      <c r="J371" s="25" t="s">
        <v>1333</v>
      </c>
    </row>
    <row r="372">
      <c r="J372" s="25" t="s">
        <v>1333</v>
      </c>
    </row>
    <row r="373">
      <c r="J373" s="25" t="s">
        <v>1333</v>
      </c>
    </row>
    <row r="374">
      <c r="J374" s="25" t="s">
        <v>1333</v>
      </c>
    </row>
    <row r="375">
      <c r="J375" s="25" t="s">
        <v>1333</v>
      </c>
    </row>
    <row r="376">
      <c r="J376" s="25" t="s">
        <v>1333</v>
      </c>
    </row>
    <row r="377">
      <c r="J377" s="25" t="s">
        <v>1333</v>
      </c>
    </row>
    <row r="378">
      <c r="J378" s="25" t="s">
        <v>1333</v>
      </c>
    </row>
    <row r="379">
      <c r="J379" s="25" t="s">
        <v>1333</v>
      </c>
    </row>
    <row r="380">
      <c r="J380" s="25" t="s">
        <v>1333</v>
      </c>
    </row>
    <row r="381">
      <c r="J381" s="25" t="s">
        <v>1333</v>
      </c>
    </row>
    <row r="382">
      <c r="J382" s="25" t="s">
        <v>1333</v>
      </c>
    </row>
    <row r="383">
      <c r="J383" s="25" t="s">
        <v>1333</v>
      </c>
    </row>
    <row r="384">
      <c r="J384" s="25" t="s">
        <v>1333</v>
      </c>
    </row>
    <row r="385">
      <c r="J385" s="25" t="s">
        <v>1333</v>
      </c>
    </row>
    <row r="386">
      <c r="J386" s="25" t="s">
        <v>1333</v>
      </c>
    </row>
    <row r="387">
      <c r="J387" s="25" t="s">
        <v>1333</v>
      </c>
    </row>
    <row r="388">
      <c r="J388" s="25" t="s">
        <v>1333</v>
      </c>
    </row>
    <row r="389">
      <c r="J389" s="25" t="s">
        <v>1333</v>
      </c>
    </row>
    <row r="390">
      <c r="J390" s="25" t="s">
        <v>1333</v>
      </c>
    </row>
    <row r="391">
      <c r="J391" s="25" t="s">
        <v>1333</v>
      </c>
    </row>
    <row r="392">
      <c r="J392" s="25" t="s">
        <v>1333</v>
      </c>
    </row>
    <row r="393">
      <c r="J393" s="25" t="s">
        <v>1333</v>
      </c>
    </row>
    <row r="394">
      <c r="J394" s="25" t="s">
        <v>1333</v>
      </c>
    </row>
    <row r="395">
      <c r="J395" s="25" t="s">
        <v>1333</v>
      </c>
    </row>
    <row r="396">
      <c r="J396" s="25" t="s">
        <v>1333</v>
      </c>
    </row>
    <row r="397">
      <c r="J397" s="25" t="s">
        <v>1333</v>
      </c>
    </row>
    <row r="398">
      <c r="J398" s="25" t="s">
        <v>1333</v>
      </c>
    </row>
    <row r="399">
      <c r="J399" s="25" t="s">
        <v>1333</v>
      </c>
    </row>
    <row r="400">
      <c r="J400" s="25" t="s">
        <v>1333</v>
      </c>
    </row>
    <row r="401">
      <c r="J401" s="25" t="s">
        <v>1333</v>
      </c>
    </row>
    <row r="402">
      <c r="J402" s="25" t="s">
        <v>1333</v>
      </c>
    </row>
    <row r="403">
      <c r="J403" s="25" t="s">
        <v>1333</v>
      </c>
    </row>
    <row r="404">
      <c r="J404" s="25" t="s">
        <v>1333</v>
      </c>
    </row>
    <row r="405">
      <c r="J405" s="25" t="s">
        <v>1333</v>
      </c>
    </row>
    <row r="406">
      <c r="J406" s="25" t="s">
        <v>1333</v>
      </c>
    </row>
    <row r="407">
      <c r="J407" s="25" t="s">
        <v>1333</v>
      </c>
    </row>
    <row r="408">
      <c r="J408" s="25" t="s">
        <v>1333</v>
      </c>
    </row>
    <row r="409">
      <c r="J409" s="25" t="s">
        <v>1333</v>
      </c>
    </row>
    <row r="410">
      <c r="J410" s="25" t="s">
        <v>1333</v>
      </c>
    </row>
    <row r="411">
      <c r="J411" s="25" t="s">
        <v>1333</v>
      </c>
    </row>
    <row r="412">
      <c r="J412" s="25" t="s">
        <v>1333</v>
      </c>
    </row>
    <row r="413">
      <c r="J413" s="25" t="s">
        <v>1333</v>
      </c>
    </row>
    <row r="414">
      <c r="J414" s="25" t="s">
        <v>1333</v>
      </c>
    </row>
    <row r="415">
      <c r="J415" s="25" t="s">
        <v>1333</v>
      </c>
    </row>
    <row r="416">
      <c r="J416" s="25" t="s">
        <v>1333</v>
      </c>
    </row>
    <row r="417">
      <c r="J417" s="25" t="s">
        <v>1333</v>
      </c>
    </row>
    <row r="418">
      <c r="J418" s="25" t="s">
        <v>1333</v>
      </c>
    </row>
    <row r="419">
      <c r="J419" s="25" t="s">
        <v>1333</v>
      </c>
    </row>
    <row r="420">
      <c r="J420" s="25" t="s">
        <v>1333</v>
      </c>
    </row>
    <row r="421">
      <c r="J421" s="25" t="s">
        <v>1333</v>
      </c>
    </row>
    <row r="422">
      <c r="J422" s="25" t="s">
        <v>1333</v>
      </c>
    </row>
    <row r="423">
      <c r="J423" s="25" t="s">
        <v>1333</v>
      </c>
    </row>
    <row r="424">
      <c r="J424" s="25" t="s">
        <v>1333</v>
      </c>
    </row>
    <row r="425">
      <c r="J425" s="25" t="s">
        <v>1333</v>
      </c>
    </row>
    <row r="426">
      <c r="J426" s="25" t="s">
        <v>1333</v>
      </c>
    </row>
    <row r="427">
      <c r="J427" s="25" t="s">
        <v>1333</v>
      </c>
    </row>
    <row r="428">
      <c r="J428" s="25" t="s">
        <v>1333</v>
      </c>
    </row>
    <row r="429">
      <c r="J429" s="25" t="s">
        <v>1333</v>
      </c>
    </row>
    <row r="430">
      <c r="J430" s="25" t="s">
        <v>1333</v>
      </c>
    </row>
    <row r="431">
      <c r="J431" s="25" t="s">
        <v>1333</v>
      </c>
    </row>
    <row r="432">
      <c r="J432" s="25" t="s">
        <v>1333</v>
      </c>
    </row>
    <row r="433">
      <c r="J433" s="25" t="s">
        <v>1333</v>
      </c>
    </row>
    <row r="434">
      <c r="J434" s="25" t="s">
        <v>1333</v>
      </c>
    </row>
    <row r="435">
      <c r="J435" s="25" t="s">
        <v>1333</v>
      </c>
    </row>
    <row r="436">
      <c r="J436" s="25" t="s">
        <v>1333</v>
      </c>
    </row>
    <row r="437">
      <c r="J437" s="25" t="s">
        <v>1333</v>
      </c>
    </row>
    <row r="438">
      <c r="J438" s="25" t="s">
        <v>1333</v>
      </c>
    </row>
    <row r="439">
      <c r="J439" s="25" t="s">
        <v>1333</v>
      </c>
    </row>
    <row r="440">
      <c r="J440" s="25" t="s">
        <v>1333</v>
      </c>
    </row>
    <row r="441">
      <c r="J441" s="25" t="s">
        <v>1333</v>
      </c>
    </row>
    <row r="442">
      <c r="J442" s="25" t="s">
        <v>1333</v>
      </c>
    </row>
    <row r="443">
      <c r="J443" s="25" t="s">
        <v>1333</v>
      </c>
    </row>
    <row r="444">
      <c r="J444" s="25" t="s">
        <v>1333</v>
      </c>
    </row>
    <row r="445">
      <c r="J445" s="25" t="s">
        <v>1333</v>
      </c>
    </row>
    <row r="446">
      <c r="J446" s="25" t="s">
        <v>1333</v>
      </c>
    </row>
    <row r="447">
      <c r="J447" s="25" t="s">
        <v>1333</v>
      </c>
    </row>
    <row r="448">
      <c r="J448" s="25" t="s">
        <v>1333</v>
      </c>
    </row>
    <row r="449">
      <c r="J449" s="25" t="s">
        <v>1333</v>
      </c>
    </row>
    <row r="450">
      <c r="J450" s="25" t="s">
        <v>1333</v>
      </c>
    </row>
    <row r="451">
      <c r="J451" s="25" t="s">
        <v>1333</v>
      </c>
    </row>
    <row r="452">
      <c r="J452" s="25" t="s">
        <v>1333</v>
      </c>
    </row>
    <row r="453">
      <c r="J453" s="25" t="s">
        <v>1333</v>
      </c>
    </row>
    <row r="454">
      <c r="J454" s="25" t="s">
        <v>1333</v>
      </c>
    </row>
    <row r="455">
      <c r="J455" s="25" t="s">
        <v>1333</v>
      </c>
    </row>
    <row r="456">
      <c r="J456" s="25" t="s">
        <v>1333</v>
      </c>
    </row>
    <row r="457">
      <c r="J457" s="25" t="s">
        <v>1333</v>
      </c>
    </row>
    <row r="458">
      <c r="J458" s="25" t="s">
        <v>1333</v>
      </c>
    </row>
    <row r="459">
      <c r="J459" s="25" t="s">
        <v>1333</v>
      </c>
    </row>
    <row r="460">
      <c r="J460" s="25" t="s">
        <v>1333</v>
      </c>
    </row>
    <row r="461">
      <c r="J461" s="25" t="s">
        <v>1333</v>
      </c>
    </row>
    <row r="462">
      <c r="J462" s="25" t="s">
        <v>1333</v>
      </c>
    </row>
    <row r="463">
      <c r="J463" s="25" t="s">
        <v>1333</v>
      </c>
    </row>
    <row r="464">
      <c r="J464" s="25" t="s">
        <v>1333</v>
      </c>
    </row>
    <row r="465">
      <c r="J465" s="25" t="s">
        <v>1333</v>
      </c>
    </row>
    <row r="466">
      <c r="J466" s="25" t="s">
        <v>1333</v>
      </c>
    </row>
    <row r="467">
      <c r="J467" s="25" t="s">
        <v>1333</v>
      </c>
    </row>
    <row r="468">
      <c r="J468" s="25" t="s">
        <v>1333</v>
      </c>
    </row>
    <row r="469">
      <c r="J469" s="25" t="s">
        <v>1333</v>
      </c>
    </row>
    <row r="470">
      <c r="J470" s="25" t="s">
        <v>1333</v>
      </c>
    </row>
    <row r="471">
      <c r="J471" s="25" t="s">
        <v>1333</v>
      </c>
    </row>
    <row r="472">
      <c r="J472" s="25" t="s">
        <v>1333</v>
      </c>
    </row>
    <row r="473">
      <c r="J473" s="25" t="s">
        <v>1333</v>
      </c>
    </row>
    <row r="474">
      <c r="J474" s="25" t="s">
        <v>1333</v>
      </c>
    </row>
    <row r="475">
      <c r="J475" s="25" t="s">
        <v>1333</v>
      </c>
    </row>
    <row r="476">
      <c r="J476" s="25" t="s">
        <v>1333</v>
      </c>
    </row>
    <row r="477">
      <c r="J477" s="25" t="s">
        <v>1333</v>
      </c>
    </row>
    <row r="478">
      <c r="J478" s="25" t="s">
        <v>1333</v>
      </c>
    </row>
    <row r="479">
      <c r="J479" s="25" t="s">
        <v>1333</v>
      </c>
    </row>
    <row r="480">
      <c r="J480" s="25" t="s">
        <v>1333</v>
      </c>
    </row>
    <row r="481">
      <c r="J481" s="25" t="s">
        <v>1333</v>
      </c>
    </row>
    <row r="482">
      <c r="J482" s="25" t="s">
        <v>1333</v>
      </c>
    </row>
    <row r="483">
      <c r="J483" s="25" t="s">
        <v>1333</v>
      </c>
    </row>
    <row r="484">
      <c r="J484" s="25" t="s">
        <v>1333</v>
      </c>
    </row>
    <row r="485">
      <c r="J485" s="25" t="s">
        <v>1333</v>
      </c>
    </row>
    <row r="486">
      <c r="J486" s="25" t="s">
        <v>1333</v>
      </c>
    </row>
    <row r="487">
      <c r="J487" s="25" t="s">
        <v>1333</v>
      </c>
    </row>
    <row r="488">
      <c r="J488" s="25" t="s">
        <v>1333</v>
      </c>
    </row>
    <row r="489">
      <c r="J489" s="25" t="s">
        <v>1333</v>
      </c>
    </row>
    <row r="490">
      <c r="J490" s="25" t="s">
        <v>1333</v>
      </c>
    </row>
    <row r="491">
      <c r="J491" s="25" t="s">
        <v>1333</v>
      </c>
    </row>
    <row r="492">
      <c r="J492" s="25" t="s">
        <v>1333</v>
      </c>
    </row>
    <row r="493">
      <c r="J493" s="25" t="s">
        <v>1333</v>
      </c>
    </row>
    <row r="494">
      <c r="J494" s="25" t="s">
        <v>1333</v>
      </c>
    </row>
    <row r="495">
      <c r="J495" s="25" t="s">
        <v>1333</v>
      </c>
    </row>
    <row r="496">
      <c r="J496" s="25" t="s">
        <v>1333</v>
      </c>
    </row>
    <row r="497">
      <c r="J497" s="25" t="s">
        <v>1333</v>
      </c>
    </row>
    <row r="498">
      <c r="J498" s="25" t="s">
        <v>1333</v>
      </c>
    </row>
    <row r="499">
      <c r="J499" s="25" t="s">
        <v>1333</v>
      </c>
    </row>
    <row r="500">
      <c r="J500" s="25" t="s">
        <v>1333</v>
      </c>
    </row>
    <row r="501">
      <c r="J501" s="25" t="s">
        <v>1333</v>
      </c>
    </row>
    <row r="502">
      <c r="J502" s="25" t="s">
        <v>1333</v>
      </c>
    </row>
    <row r="503">
      <c r="J503" s="25" t="s">
        <v>1333</v>
      </c>
    </row>
    <row r="504">
      <c r="J504" s="25" t="s">
        <v>1333</v>
      </c>
    </row>
    <row r="505">
      <c r="J505" s="25" t="s">
        <v>1333</v>
      </c>
    </row>
    <row r="506">
      <c r="J506" s="25" t="s">
        <v>1333</v>
      </c>
    </row>
    <row r="507">
      <c r="J507" s="25" t="s">
        <v>1333</v>
      </c>
    </row>
    <row r="508">
      <c r="J508" s="25" t="s">
        <v>1333</v>
      </c>
    </row>
    <row r="509">
      <c r="J509" s="25" t="s">
        <v>1333</v>
      </c>
    </row>
    <row r="510">
      <c r="J510" s="25" t="s">
        <v>1333</v>
      </c>
    </row>
    <row r="511">
      <c r="J511" s="25" t="s">
        <v>1333</v>
      </c>
    </row>
    <row r="512">
      <c r="J512" s="25" t="s">
        <v>1333</v>
      </c>
    </row>
    <row r="513">
      <c r="J513" s="25" t="s">
        <v>1333</v>
      </c>
    </row>
    <row r="514">
      <c r="J514" s="25" t="s">
        <v>1333</v>
      </c>
    </row>
    <row r="515">
      <c r="J515" s="25" t="s">
        <v>1333</v>
      </c>
    </row>
    <row r="516">
      <c r="J516" s="25" t="s">
        <v>1333</v>
      </c>
    </row>
    <row r="517">
      <c r="J517" s="25" t="s">
        <v>1333</v>
      </c>
    </row>
    <row r="518">
      <c r="J518" s="25" t="s">
        <v>1333</v>
      </c>
    </row>
    <row r="519">
      <c r="J519" s="25" t="s">
        <v>1333</v>
      </c>
    </row>
    <row r="520">
      <c r="J520" s="25" t="s">
        <v>1333</v>
      </c>
    </row>
    <row r="521">
      <c r="J521" s="25" t="s">
        <v>1333</v>
      </c>
    </row>
    <row r="522">
      <c r="J522" s="25" t="s">
        <v>1333</v>
      </c>
    </row>
    <row r="523">
      <c r="J523" s="25" t="s">
        <v>1333</v>
      </c>
    </row>
    <row r="524">
      <c r="J524" s="25" t="s">
        <v>1333</v>
      </c>
    </row>
    <row r="525">
      <c r="J525" s="25" t="s">
        <v>1333</v>
      </c>
    </row>
    <row r="526">
      <c r="J526" s="25" t="s">
        <v>1333</v>
      </c>
    </row>
    <row r="527">
      <c r="J527" s="25" t="s">
        <v>1333</v>
      </c>
    </row>
    <row r="528">
      <c r="J528" s="25" t="s">
        <v>1333</v>
      </c>
    </row>
    <row r="529">
      <c r="J529" s="25" t="s">
        <v>1333</v>
      </c>
    </row>
    <row r="530">
      <c r="J530" s="25" t="s">
        <v>1333</v>
      </c>
    </row>
    <row r="531">
      <c r="J531" s="25" t="s">
        <v>1333</v>
      </c>
    </row>
    <row r="532">
      <c r="J532" s="25" t="s">
        <v>1333</v>
      </c>
    </row>
    <row r="533">
      <c r="J533" s="25" t="s">
        <v>1333</v>
      </c>
    </row>
    <row r="534">
      <c r="J534" s="25" t="s">
        <v>1333</v>
      </c>
    </row>
    <row r="535">
      <c r="J535" s="25" t="s">
        <v>1333</v>
      </c>
    </row>
    <row r="536">
      <c r="J536" s="25" t="s">
        <v>1333</v>
      </c>
    </row>
    <row r="537">
      <c r="J537" s="25" t="s">
        <v>1333</v>
      </c>
    </row>
    <row r="538">
      <c r="J538" s="25" t="s">
        <v>1333</v>
      </c>
    </row>
    <row r="539">
      <c r="J539" s="25" t="s">
        <v>1333</v>
      </c>
    </row>
    <row r="540">
      <c r="J540" s="25" t="s">
        <v>1333</v>
      </c>
    </row>
    <row r="541">
      <c r="J541" s="25" t="s">
        <v>1333</v>
      </c>
    </row>
    <row r="542">
      <c r="J542" s="25" t="s">
        <v>1333</v>
      </c>
    </row>
    <row r="543">
      <c r="J543" s="25" t="s">
        <v>1333</v>
      </c>
    </row>
    <row r="544">
      <c r="J544" s="25" t="s">
        <v>1333</v>
      </c>
    </row>
    <row r="545">
      <c r="J545" s="25" t="s">
        <v>1333</v>
      </c>
    </row>
    <row r="546">
      <c r="J546" s="25" t="s">
        <v>1333</v>
      </c>
    </row>
    <row r="547">
      <c r="J547" s="25" t="s">
        <v>1333</v>
      </c>
    </row>
    <row r="548">
      <c r="J548" s="25" t="s">
        <v>1333</v>
      </c>
    </row>
    <row r="549">
      <c r="J549" s="25" t="s">
        <v>1333</v>
      </c>
    </row>
    <row r="550">
      <c r="J550" s="25" t="s">
        <v>1333</v>
      </c>
    </row>
    <row r="551">
      <c r="J551" s="25" t="s">
        <v>1333</v>
      </c>
    </row>
    <row r="552">
      <c r="J552" s="25" t="s">
        <v>1333</v>
      </c>
    </row>
    <row r="553">
      <c r="J553" s="25" t="s">
        <v>1333</v>
      </c>
    </row>
    <row r="554">
      <c r="J554" s="25" t="s">
        <v>1333</v>
      </c>
    </row>
    <row r="555">
      <c r="J555" s="25" t="s">
        <v>1333</v>
      </c>
    </row>
    <row r="556">
      <c r="J556" s="25" t="s">
        <v>1333</v>
      </c>
    </row>
    <row r="557">
      <c r="J557" s="25" t="s">
        <v>1333</v>
      </c>
    </row>
    <row r="558">
      <c r="J558" s="25" t="s">
        <v>1333</v>
      </c>
    </row>
    <row r="559">
      <c r="J559" s="25" t="s">
        <v>1333</v>
      </c>
    </row>
    <row r="560">
      <c r="J560" s="25" t="s">
        <v>1333</v>
      </c>
    </row>
    <row r="561">
      <c r="J561" s="25" t="s">
        <v>1333</v>
      </c>
    </row>
    <row r="562">
      <c r="J562" s="25" t="s">
        <v>1333</v>
      </c>
    </row>
    <row r="563">
      <c r="J563" s="25" t="s">
        <v>1333</v>
      </c>
    </row>
    <row r="564">
      <c r="J564" s="25" t="s">
        <v>1333</v>
      </c>
    </row>
    <row r="565">
      <c r="J565" s="25" t="s">
        <v>1333</v>
      </c>
    </row>
    <row r="566">
      <c r="J566" s="25" t="s">
        <v>1333</v>
      </c>
    </row>
    <row r="567">
      <c r="J567" s="25" t="s">
        <v>1333</v>
      </c>
    </row>
    <row r="568">
      <c r="J568" s="25" t="s">
        <v>1333</v>
      </c>
    </row>
    <row r="569">
      <c r="J569" s="25" t="s">
        <v>1333</v>
      </c>
    </row>
    <row r="570">
      <c r="J570" s="25" t="s">
        <v>1333</v>
      </c>
    </row>
    <row r="571">
      <c r="J571" s="25" t="s">
        <v>1333</v>
      </c>
    </row>
    <row r="572">
      <c r="J572" s="25" t="s">
        <v>1333</v>
      </c>
    </row>
    <row r="573">
      <c r="J573" s="25" t="s">
        <v>1333</v>
      </c>
    </row>
    <row r="574">
      <c r="J574" s="25" t="s">
        <v>1333</v>
      </c>
    </row>
    <row r="575">
      <c r="J575" s="25" t="s">
        <v>1333</v>
      </c>
    </row>
    <row r="576">
      <c r="J576" s="25" t="s">
        <v>1333</v>
      </c>
    </row>
    <row r="577">
      <c r="J577" s="25" t="s">
        <v>1333</v>
      </c>
    </row>
    <row r="578">
      <c r="J578" s="25" t="s">
        <v>1333</v>
      </c>
    </row>
    <row r="579">
      <c r="J579" s="25" t="s">
        <v>1333</v>
      </c>
    </row>
    <row r="580">
      <c r="J580" s="25" t="s">
        <v>1333</v>
      </c>
    </row>
    <row r="581">
      <c r="J581" s="25" t="s">
        <v>1333</v>
      </c>
    </row>
    <row r="582">
      <c r="J582" s="25" t="s">
        <v>1333</v>
      </c>
    </row>
    <row r="583">
      <c r="J583" s="25" t="s">
        <v>1333</v>
      </c>
    </row>
    <row r="584">
      <c r="J584" s="25" t="s">
        <v>1333</v>
      </c>
    </row>
    <row r="585">
      <c r="J585" s="25" t="s">
        <v>1333</v>
      </c>
    </row>
    <row r="586">
      <c r="J586" s="25" t="s">
        <v>1333</v>
      </c>
    </row>
    <row r="587">
      <c r="J587" s="25" t="s">
        <v>1333</v>
      </c>
    </row>
    <row r="588">
      <c r="J588" s="25" t="s">
        <v>1333</v>
      </c>
    </row>
    <row r="589">
      <c r="J589" s="25" t="s">
        <v>1333</v>
      </c>
    </row>
    <row r="590">
      <c r="J590" s="25" t="s">
        <v>1333</v>
      </c>
    </row>
    <row r="591">
      <c r="J591" s="25" t="s">
        <v>1333</v>
      </c>
    </row>
    <row r="592">
      <c r="J592" s="25" t="s">
        <v>1333</v>
      </c>
    </row>
    <row r="593">
      <c r="J593" s="25" t="s">
        <v>1333</v>
      </c>
    </row>
    <row r="594">
      <c r="J594" s="25" t="s">
        <v>1333</v>
      </c>
    </row>
    <row r="595">
      <c r="J595" s="25" t="s">
        <v>1333</v>
      </c>
    </row>
    <row r="596">
      <c r="J596" s="25" t="s">
        <v>1333</v>
      </c>
    </row>
    <row r="597">
      <c r="J597" s="25" t="s">
        <v>1333</v>
      </c>
    </row>
    <row r="598">
      <c r="J598" s="25" t="s">
        <v>1333</v>
      </c>
    </row>
    <row r="599">
      <c r="J599" s="25" t="s">
        <v>1333</v>
      </c>
    </row>
    <row r="600">
      <c r="J600" s="25" t="s">
        <v>1333</v>
      </c>
    </row>
    <row r="601">
      <c r="J601" s="25" t="s">
        <v>1333</v>
      </c>
    </row>
    <row r="602">
      <c r="J602" s="25" t="s">
        <v>1333</v>
      </c>
    </row>
    <row r="603">
      <c r="J603" s="25" t="s">
        <v>1333</v>
      </c>
    </row>
    <row r="604">
      <c r="J604" s="25" t="s">
        <v>1333</v>
      </c>
    </row>
    <row r="605">
      <c r="J605" s="25" t="s">
        <v>1333</v>
      </c>
    </row>
    <row r="606">
      <c r="J606" s="25" t="s">
        <v>1333</v>
      </c>
    </row>
    <row r="607">
      <c r="J607" s="25" t="s">
        <v>1333</v>
      </c>
    </row>
    <row r="608">
      <c r="J608" s="25" t="s">
        <v>1333</v>
      </c>
    </row>
    <row r="609">
      <c r="J609" s="25" t="s">
        <v>1333</v>
      </c>
    </row>
    <row r="610">
      <c r="J610" s="25" t="s">
        <v>1333</v>
      </c>
    </row>
    <row r="611">
      <c r="J611" s="25" t="s">
        <v>1333</v>
      </c>
    </row>
    <row r="612">
      <c r="J612" s="25" t="s">
        <v>1333</v>
      </c>
    </row>
    <row r="613">
      <c r="J613" s="25" t="s">
        <v>1333</v>
      </c>
    </row>
    <row r="614">
      <c r="J614" s="25" t="s">
        <v>1333</v>
      </c>
    </row>
    <row r="615">
      <c r="J615" s="25" t="s">
        <v>1333</v>
      </c>
    </row>
    <row r="616">
      <c r="J616" s="25" t="s">
        <v>1333</v>
      </c>
    </row>
    <row r="617">
      <c r="J617" s="25" t="s">
        <v>1333</v>
      </c>
    </row>
    <row r="618">
      <c r="J618" s="25" t="s">
        <v>1333</v>
      </c>
    </row>
    <row r="619">
      <c r="J619" s="25" t="s">
        <v>1333</v>
      </c>
    </row>
    <row r="620">
      <c r="J620" s="25" t="s">
        <v>1333</v>
      </c>
    </row>
    <row r="621">
      <c r="J621" s="25" t="s">
        <v>1333</v>
      </c>
    </row>
    <row r="622">
      <c r="J622" s="25" t="s">
        <v>1333</v>
      </c>
    </row>
    <row r="623">
      <c r="J623" s="25" t="s">
        <v>1333</v>
      </c>
    </row>
    <row r="624">
      <c r="J624" s="25" t="s">
        <v>1333</v>
      </c>
    </row>
    <row r="625">
      <c r="J625" s="25" t="s">
        <v>1333</v>
      </c>
    </row>
    <row r="626">
      <c r="J626" s="25" t="s">
        <v>1333</v>
      </c>
    </row>
    <row r="627">
      <c r="J627" s="25" t="s">
        <v>1333</v>
      </c>
    </row>
    <row r="628">
      <c r="J628" s="25" t="s">
        <v>1333</v>
      </c>
    </row>
    <row r="629">
      <c r="J629" s="25" t="s">
        <v>1333</v>
      </c>
    </row>
    <row r="630">
      <c r="J630" s="25" t="s">
        <v>1333</v>
      </c>
    </row>
    <row r="631">
      <c r="J631" s="25" t="s">
        <v>1333</v>
      </c>
    </row>
    <row r="632">
      <c r="J632" s="25" t="s">
        <v>1333</v>
      </c>
    </row>
    <row r="633">
      <c r="J633" s="25" t="s">
        <v>1333</v>
      </c>
    </row>
    <row r="634">
      <c r="J634" s="25" t="s">
        <v>1333</v>
      </c>
    </row>
    <row r="635">
      <c r="J635" s="25" t="s">
        <v>1333</v>
      </c>
    </row>
    <row r="636">
      <c r="J636" s="25" t="s">
        <v>1333</v>
      </c>
    </row>
    <row r="637">
      <c r="J637" s="25" t="s">
        <v>1333</v>
      </c>
    </row>
    <row r="638">
      <c r="J638" s="25" t="s">
        <v>1333</v>
      </c>
    </row>
    <row r="639">
      <c r="J639" s="25" t="s">
        <v>1333</v>
      </c>
    </row>
    <row r="640">
      <c r="J640" s="25" t="s">
        <v>1333</v>
      </c>
    </row>
    <row r="641">
      <c r="J641" s="25" t="s">
        <v>1333</v>
      </c>
    </row>
    <row r="642">
      <c r="J642" s="25" t="s">
        <v>1333</v>
      </c>
    </row>
    <row r="643">
      <c r="J643" s="25" t="s">
        <v>1333</v>
      </c>
    </row>
    <row r="644">
      <c r="J644" s="25" t="s">
        <v>1333</v>
      </c>
    </row>
    <row r="645">
      <c r="J645" s="25" t="s">
        <v>1333</v>
      </c>
    </row>
    <row r="646">
      <c r="J646" s="25" t="s">
        <v>1333</v>
      </c>
    </row>
    <row r="647">
      <c r="J647" s="25" t="s">
        <v>1333</v>
      </c>
    </row>
    <row r="648">
      <c r="J648" s="25" t="s">
        <v>1333</v>
      </c>
    </row>
    <row r="649">
      <c r="J649" s="25" t="s">
        <v>1333</v>
      </c>
    </row>
    <row r="650">
      <c r="J650" s="25" t="s">
        <v>1333</v>
      </c>
    </row>
    <row r="651">
      <c r="J651" s="25" t="s">
        <v>1333</v>
      </c>
    </row>
    <row r="652">
      <c r="J652" s="25" t="s">
        <v>1333</v>
      </c>
    </row>
    <row r="653">
      <c r="J653" s="25" t="s">
        <v>1333</v>
      </c>
    </row>
    <row r="654">
      <c r="J654" s="25" t="s">
        <v>1333</v>
      </c>
    </row>
    <row r="655">
      <c r="J655" s="25" t="s">
        <v>1333</v>
      </c>
    </row>
    <row r="656">
      <c r="J656" s="25" t="s">
        <v>1333</v>
      </c>
    </row>
    <row r="657">
      <c r="J657" s="25" t="s">
        <v>1333</v>
      </c>
    </row>
    <row r="658">
      <c r="J658" s="25" t="s">
        <v>1333</v>
      </c>
    </row>
    <row r="659">
      <c r="J659" s="25" t="s">
        <v>1333</v>
      </c>
    </row>
    <row r="660">
      <c r="J660" s="25" t="s">
        <v>1333</v>
      </c>
    </row>
    <row r="661">
      <c r="J661" s="25" t="s">
        <v>1333</v>
      </c>
    </row>
    <row r="662">
      <c r="J662" s="25" t="s">
        <v>1333</v>
      </c>
    </row>
    <row r="663">
      <c r="J663" s="25" t="s">
        <v>1333</v>
      </c>
    </row>
    <row r="664">
      <c r="J664" s="25" t="s">
        <v>1333</v>
      </c>
    </row>
    <row r="665">
      <c r="J665" s="25" t="s">
        <v>1333</v>
      </c>
    </row>
    <row r="666">
      <c r="J666" s="25" t="s">
        <v>1333</v>
      </c>
    </row>
    <row r="667">
      <c r="J667" s="25" t="s">
        <v>1333</v>
      </c>
    </row>
    <row r="668">
      <c r="J668" s="25" t="s">
        <v>1333</v>
      </c>
    </row>
    <row r="669">
      <c r="J669" s="25" t="s">
        <v>1333</v>
      </c>
    </row>
    <row r="670">
      <c r="J670" s="25" t="s">
        <v>1333</v>
      </c>
    </row>
    <row r="671">
      <c r="J671" s="25" t="s">
        <v>1333</v>
      </c>
    </row>
    <row r="672">
      <c r="J672" s="25" t="s">
        <v>1333</v>
      </c>
    </row>
    <row r="673">
      <c r="J673" s="25" t="s">
        <v>1333</v>
      </c>
    </row>
    <row r="674">
      <c r="J674" s="25" t="s">
        <v>1333</v>
      </c>
    </row>
    <row r="675">
      <c r="J675" s="25" t="s">
        <v>1333</v>
      </c>
    </row>
    <row r="676">
      <c r="J676" s="25" t="s">
        <v>1333</v>
      </c>
    </row>
    <row r="677">
      <c r="J677" s="25" t="s">
        <v>1333</v>
      </c>
    </row>
    <row r="678">
      <c r="J678" s="25" t="s">
        <v>1333</v>
      </c>
    </row>
    <row r="679">
      <c r="J679" s="25" t="s">
        <v>1333</v>
      </c>
    </row>
    <row r="680">
      <c r="J680" s="25" t="s">
        <v>1333</v>
      </c>
    </row>
    <row r="681">
      <c r="J681" s="25" t="s">
        <v>1333</v>
      </c>
    </row>
    <row r="682">
      <c r="J682" s="25" t="s">
        <v>1333</v>
      </c>
    </row>
    <row r="683">
      <c r="J683" s="25" t="s">
        <v>1333</v>
      </c>
    </row>
    <row r="684">
      <c r="J684" s="25" t="s">
        <v>1333</v>
      </c>
    </row>
    <row r="685">
      <c r="J685" s="25" t="s">
        <v>1333</v>
      </c>
    </row>
    <row r="686">
      <c r="J686" s="25" t="s">
        <v>1333</v>
      </c>
    </row>
    <row r="687">
      <c r="J687" s="25" t="s">
        <v>1333</v>
      </c>
    </row>
    <row r="688">
      <c r="J688" s="25" t="s">
        <v>1333</v>
      </c>
    </row>
    <row r="689">
      <c r="J689" s="25" t="s">
        <v>1333</v>
      </c>
    </row>
    <row r="690">
      <c r="J690" s="25" t="s">
        <v>1333</v>
      </c>
    </row>
    <row r="691">
      <c r="J691" s="25" t="s">
        <v>1333</v>
      </c>
    </row>
    <row r="692">
      <c r="J692" s="25" t="s">
        <v>1333</v>
      </c>
    </row>
    <row r="693">
      <c r="J693" s="25" t="s">
        <v>1333</v>
      </c>
    </row>
    <row r="694">
      <c r="J694" s="25" t="s">
        <v>1333</v>
      </c>
    </row>
    <row r="695">
      <c r="J695" s="25" t="s">
        <v>1333</v>
      </c>
    </row>
    <row r="696">
      <c r="J696" s="25" t="s">
        <v>1333</v>
      </c>
    </row>
    <row r="697">
      <c r="J697" s="25" t="s">
        <v>1333</v>
      </c>
    </row>
    <row r="698">
      <c r="J698" s="25" t="s">
        <v>1333</v>
      </c>
    </row>
    <row r="699">
      <c r="J699" s="25" t="s">
        <v>1333</v>
      </c>
    </row>
    <row r="700">
      <c r="J700" s="25" t="s">
        <v>1333</v>
      </c>
    </row>
    <row r="701">
      <c r="J701" s="25" t="s">
        <v>1333</v>
      </c>
    </row>
    <row r="702">
      <c r="J702" s="25" t="s">
        <v>1333</v>
      </c>
    </row>
    <row r="703">
      <c r="J703" s="25" t="s">
        <v>1333</v>
      </c>
    </row>
    <row r="704">
      <c r="J704" s="25" t="s">
        <v>1333</v>
      </c>
    </row>
    <row r="705">
      <c r="J705" s="25" t="s">
        <v>1333</v>
      </c>
    </row>
    <row r="706">
      <c r="J706" s="25" t="s">
        <v>1333</v>
      </c>
    </row>
    <row r="707">
      <c r="J707" s="25" t="s">
        <v>1333</v>
      </c>
    </row>
    <row r="708">
      <c r="J708" s="25" t="s">
        <v>1333</v>
      </c>
    </row>
    <row r="709">
      <c r="J709" s="25" t="s">
        <v>1333</v>
      </c>
    </row>
    <row r="710">
      <c r="J710" s="25" t="s">
        <v>1333</v>
      </c>
    </row>
    <row r="711">
      <c r="J711" s="25" t="s">
        <v>1333</v>
      </c>
    </row>
    <row r="712">
      <c r="J712" s="25" t="s">
        <v>1333</v>
      </c>
    </row>
    <row r="713">
      <c r="J713" s="25" t="s">
        <v>1333</v>
      </c>
    </row>
    <row r="714">
      <c r="J714" s="25" t="s">
        <v>1333</v>
      </c>
    </row>
    <row r="715">
      <c r="J715" s="25" t="s">
        <v>1333</v>
      </c>
    </row>
    <row r="716">
      <c r="J716" s="25" t="s">
        <v>1333</v>
      </c>
    </row>
    <row r="717">
      <c r="J717" s="25" t="s">
        <v>1333</v>
      </c>
    </row>
    <row r="718">
      <c r="J718" s="25" t="s">
        <v>1333</v>
      </c>
    </row>
    <row r="719">
      <c r="J719" s="25" t="s">
        <v>1333</v>
      </c>
    </row>
    <row r="720">
      <c r="J720" s="25" t="s">
        <v>1333</v>
      </c>
    </row>
    <row r="721">
      <c r="J721" s="25" t="s">
        <v>1333</v>
      </c>
    </row>
    <row r="722">
      <c r="J722" s="25" t="s">
        <v>1333</v>
      </c>
    </row>
    <row r="723">
      <c r="J723" s="25" t="s">
        <v>1333</v>
      </c>
    </row>
    <row r="724">
      <c r="J724" s="25" t="s">
        <v>1333</v>
      </c>
    </row>
    <row r="725">
      <c r="J725" s="25" t="s">
        <v>1333</v>
      </c>
    </row>
    <row r="726">
      <c r="J726" s="25" t="s">
        <v>1333</v>
      </c>
    </row>
    <row r="727">
      <c r="J727" s="25" t="s">
        <v>1333</v>
      </c>
    </row>
    <row r="728">
      <c r="J728" s="25" t="s">
        <v>1333</v>
      </c>
    </row>
    <row r="729">
      <c r="J729" s="25" t="s">
        <v>1333</v>
      </c>
    </row>
    <row r="730">
      <c r="J730" s="25" t="s">
        <v>1333</v>
      </c>
    </row>
    <row r="731">
      <c r="J731" s="25" t="s">
        <v>1333</v>
      </c>
    </row>
    <row r="732">
      <c r="J732" s="25" t="s">
        <v>1333</v>
      </c>
    </row>
    <row r="733">
      <c r="J733" s="25" t="s">
        <v>1333</v>
      </c>
    </row>
    <row r="734">
      <c r="J734" s="25" t="s">
        <v>1333</v>
      </c>
    </row>
    <row r="735">
      <c r="J735" s="25" t="s">
        <v>1333</v>
      </c>
    </row>
    <row r="736">
      <c r="J736" s="25" t="s">
        <v>1333</v>
      </c>
    </row>
    <row r="737">
      <c r="J737" s="25" t="s">
        <v>1333</v>
      </c>
    </row>
    <row r="738">
      <c r="J738" s="25" t="s">
        <v>1333</v>
      </c>
    </row>
    <row r="739">
      <c r="J739" s="25" t="s">
        <v>1333</v>
      </c>
    </row>
    <row r="740">
      <c r="J740" s="25" t="s">
        <v>1333</v>
      </c>
    </row>
    <row r="741">
      <c r="J741" s="25" t="s">
        <v>1333</v>
      </c>
    </row>
    <row r="742">
      <c r="J742" s="25" t="s">
        <v>1333</v>
      </c>
    </row>
    <row r="743">
      <c r="J743" s="25" t="s">
        <v>1333</v>
      </c>
    </row>
    <row r="744">
      <c r="J744" s="25" t="s">
        <v>1333</v>
      </c>
    </row>
    <row r="745">
      <c r="J745" s="25" t="s">
        <v>1333</v>
      </c>
    </row>
    <row r="746">
      <c r="J746" s="25" t="s">
        <v>1333</v>
      </c>
    </row>
    <row r="747">
      <c r="J747" s="25" t="s">
        <v>1333</v>
      </c>
    </row>
    <row r="748">
      <c r="J748" s="25" t="s">
        <v>1333</v>
      </c>
    </row>
    <row r="749">
      <c r="J749" s="25" t="s">
        <v>1333</v>
      </c>
    </row>
    <row r="750">
      <c r="J750" s="25" t="s">
        <v>1333</v>
      </c>
    </row>
    <row r="751">
      <c r="J751" s="25" t="s">
        <v>1333</v>
      </c>
    </row>
    <row r="752">
      <c r="J752" s="25" t="s">
        <v>1333</v>
      </c>
    </row>
    <row r="753">
      <c r="J753" s="25" t="s">
        <v>1333</v>
      </c>
    </row>
    <row r="754">
      <c r="J754" s="25" t="s">
        <v>1333</v>
      </c>
    </row>
    <row r="755">
      <c r="J755" s="25" t="s">
        <v>1333</v>
      </c>
    </row>
    <row r="756">
      <c r="J756" s="25" t="s">
        <v>1333</v>
      </c>
    </row>
    <row r="757">
      <c r="J757" s="25" t="s">
        <v>1333</v>
      </c>
    </row>
    <row r="758">
      <c r="J758" s="25" t="s">
        <v>1333</v>
      </c>
    </row>
    <row r="759">
      <c r="J759" s="25" t="s">
        <v>1333</v>
      </c>
    </row>
    <row r="760">
      <c r="J760" s="25" t="s">
        <v>1333</v>
      </c>
    </row>
    <row r="761">
      <c r="J761" s="25" t="s">
        <v>1333</v>
      </c>
    </row>
    <row r="762">
      <c r="J762" s="25" t="s">
        <v>1333</v>
      </c>
    </row>
    <row r="763">
      <c r="J763" s="25" t="s">
        <v>1333</v>
      </c>
    </row>
    <row r="764">
      <c r="J764" s="25" t="s">
        <v>1333</v>
      </c>
    </row>
    <row r="765">
      <c r="J765" s="25" t="s">
        <v>1333</v>
      </c>
    </row>
    <row r="766">
      <c r="J766" s="25" t="s">
        <v>1333</v>
      </c>
    </row>
    <row r="767">
      <c r="J767" s="25" t="s">
        <v>1333</v>
      </c>
    </row>
    <row r="768">
      <c r="J768" s="25" t="s">
        <v>1333</v>
      </c>
    </row>
    <row r="769">
      <c r="J769" s="25" t="s">
        <v>1333</v>
      </c>
    </row>
    <row r="770">
      <c r="J770" s="25" t="s">
        <v>1333</v>
      </c>
    </row>
    <row r="771">
      <c r="J771" s="25" t="s">
        <v>1333</v>
      </c>
    </row>
    <row r="772">
      <c r="J772" s="25" t="s">
        <v>1333</v>
      </c>
    </row>
    <row r="773">
      <c r="J773" s="25" t="s">
        <v>1333</v>
      </c>
    </row>
    <row r="774">
      <c r="J774" s="25" t="s">
        <v>1333</v>
      </c>
    </row>
    <row r="775">
      <c r="J775" s="25" t="s">
        <v>1333</v>
      </c>
    </row>
    <row r="776">
      <c r="J776" s="25" t="s">
        <v>1333</v>
      </c>
    </row>
    <row r="777">
      <c r="J777" s="25" t="s">
        <v>1333</v>
      </c>
    </row>
    <row r="778">
      <c r="J778" s="25" t="s">
        <v>1333</v>
      </c>
    </row>
    <row r="779">
      <c r="J779" s="25" t="s">
        <v>1333</v>
      </c>
    </row>
    <row r="780">
      <c r="J780" s="25" t="s">
        <v>1333</v>
      </c>
    </row>
    <row r="781">
      <c r="J781" s="25" t="s">
        <v>1333</v>
      </c>
    </row>
    <row r="782">
      <c r="J782" s="25" t="s">
        <v>1333</v>
      </c>
    </row>
    <row r="783">
      <c r="J783" s="25" t="s">
        <v>1333</v>
      </c>
    </row>
    <row r="784">
      <c r="J784" s="25" t="s">
        <v>1333</v>
      </c>
    </row>
    <row r="785">
      <c r="J785" s="25" t="s">
        <v>1333</v>
      </c>
    </row>
    <row r="786">
      <c r="J786" s="25" t="s">
        <v>1333</v>
      </c>
    </row>
    <row r="787">
      <c r="J787" s="25" t="s">
        <v>1333</v>
      </c>
    </row>
    <row r="788">
      <c r="J788" s="25" t="s">
        <v>1333</v>
      </c>
    </row>
    <row r="789">
      <c r="J789" s="25" t="s">
        <v>1333</v>
      </c>
    </row>
    <row r="790">
      <c r="J790" s="25" t="s">
        <v>1333</v>
      </c>
    </row>
    <row r="791">
      <c r="J791" s="25" t="s">
        <v>1333</v>
      </c>
    </row>
    <row r="792">
      <c r="J792" s="25" t="s">
        <v>1333</v>
      </c>
    </row>
    <row r="793">
      <c r="J793" s="25" t="s">
        <v>1333</v>
      </c>
    </row>
    <row r="794">
      <c r="J794" s="25" t="s">
        <v>1333</v>
      </c>
    </row>
    <row r="795">
      <c r="J795" s="25" t="s">
        <v>1333</v>
      </c>
    </row>
    <row r="796">
      <c r="J796" s="25" t="s">
        <v>1333</v>
      </c>
    </row>
    <row r="797">
      <c r="J797" s="25" t="s">
        <v>1333</v>
      </c>
    </row>
    <row r="798">
      <c r="J798" s="25" t="s">
        <v>1333</v>
      </c>
    </row>
    <row r="799">
      <c r="J799" s="25" t="s">
        <v>1333</v>
      </c>
    </row>
    <row r="800">
      <c r="J800" s="25" t="s">
        <v>1333</v>
      </c>
    </row>
    <row r="801">
      <c r="J801" s="25" t="s">
        <v>1333</v>
      </c>
    </row>
    <row r="802">
      <c r="J802" s="25" t="s">
        <v>1333</v>
      </c>
    </row>
    <row r="803">
      <c r="J803" s="25" t="s">
        <v>1333</v>
      </c>
    </row>
    <row r="804">
      <c r="J804" s="25" t="s">
        <v>1333</v>
      </c>
    </row>
    <row r="805">
      <c r="J805" s="25" t="s">
        <v>1333</v>
      </c>
    </row>
    <row r="806">
      <c r="J806" s="25" t="s">
        <v>1333</v>
      </c>
    </row>
    <row r="807">
      <c r="J807" s="25" t="s">
        <v>1333</v>
      </c>
    </row>
    <row r="808">
      <c r="J808" s="25" t="s">
        <v>1333</v>
      </c>
    </row>
    <row r="809">
      <c r="J809" s="25" t="s">
        <v>1333</v>
      </c>
    </row>
    <row r="810">
      <c r="J810" s="25" t="s">
        <v>1333</v>
      </c>
    </row>
    <row r="811">
      <c r="J811" s="25" t="s">
        <v>1333</v>
      </c>
    </row>
    <row r="812">
      <c r="J812" s="25" t="s">
        <v>1333</v>
      </c>
    </row>
    <row r="813">
      <c r="J813" s="25" t="s">
        <v>1333</v>
      </c>
    </row>
    <row r="814">
      <c r="J814" s="25" t="s">
        <v>1333</v>
      </c>
    </row>
    <row r="815">
      <c r="J815" s="25" t="s">
        <v>1333</v>
      </c>
    </row>
    <row r="816">
      <c r="J816" s="25" t="s">
        <v>1333</v>
      </c>
    </row>
    <row r="817">
      <c r="J817" s="25" t="s">
        <v>1333</v>
      </c>
    </row>
    <row r="818">
      <c r="J818" s="25" t="s">
        <v>1333</v>
      </c>
    </row>
    <row r="819">
      <c r="J819" s="25" t="s">
        <v>1333</v>
      </c>
    </row>
    <row r="820">
      <c r="J820" s="25" t="s">
        <v>1333</v>
      </c>
    </row>
    <row r="821">
      <c r="J821" s="25" t="s">
        <v>1333</v>
      </c>
    </row>
    <row r="822">
      <c r="J822" s="25" t="s">
        <v>1333</v>
      </c>
    </row>
    <row r="823">
      <c r="J823" s="25" t="s">
        <v>1333</v>
      </c>
    </row>
    <row r="824">
      <c r="J824" s="25" t="s">
        <v>1333</v>
      </c>
    </row>
    <row r="825">
      <c r="J825" s="25" t="s">
        <v>1333</v>
      </c>
    </row>
    <row r="826">
      <c r="J826" s="25" t="s">
        <v>1333</v>
      </c>
    </row>
    <row r="827">
      <c r="J827" s="25" t="s">
        <v>1333</v>
      </c>
    </row>
    <row r="828">
      <c r="J828" s="25" t="s">
        <v>1333</v>
      </c>
    </row>
    <row r="829">
      <c r="J829" s="25" t="s">
        <v>1333</v>
      </c>
    </row>
    <row r="830">
      <c r="J830" s="25" t="s">
        <v>1333</v>
      </c>
    </row>
    <row r="831">
      <c r="J831" s="25" t="s">
        <v>1333</v>
      </c>
    </row>
    <row r="832">
      <c r="J832" s="25" t="s">
        <v>1333</v>
      </c>
    </row>
    <row r="833">
      <c r="J833" s="25" t="s">
        <v>1333</v>
      </c>
    </row>
    <row r="834">
      <c r="J834" s="25" t="s">
        <v>1333</v>
      </c>
    </row>
    <row r="835">
      <c r="J835" s="25" t="s">
        <v>1333</v>
      </c>
    </row>
    <row r="836">
      <c r="J836" s="25" t="s">
        <v>1333</v>
      </c>
    </row>
    <row r="837">
      <c r="J837" s="25" t="s">
        <v>1333</v>
      </c>
    </row>
    <row r="838">
      <c r="J838" s="25" t="s">
        <v>1333</v>
      </c>
    </row>
    <row r="839">
      <c r="J839" s="25" t="s">
        <v>1333</v>
      </c>
    </row>
    <row r="840">
      <c r="J840" s="25" t="s">
        <v>1333</v>
      </c>
    </row>
    <row r="841">
      <c r="J841" s="25" t="s">
        <v>1333</v>
      </c>
    </row>
    <row r="842">
      <c r="J842" s="25" t="s">
        <v>1333</v>
      </c>
    </row>
    <row r="843">
      <c r="J843" s="25" t="s">
        <v>1333</v>
      </c>
    </row>
    <row r="844">
      <c r="J844" s="25" t="s">
        <v>1333</v>
      </c>
    </row>
    <row r="845">
      <c r="J845" s="25" t="s">
        <v>1333</v>
      </c>
    </row>
    <row r="846">
      <c r="J846" s="25" t="s">
        <v>1333</v>
      </c>
    </row>
    <row r="847">
      <c r="J847" s="25" t="s">
        <v>1333</v>
      </c>
    </row>
    <row r="848">
      <c r="J848" s="25" t="s">
        <v>1333</v>
      </c>
    </row>
    <row r="849">
      <c r="J849" s="25" t="s">
        <v>1333</v>
      </c>
    </row>
    <row r="850">
      <c r="J850" s="25" t="s">
        <v>1333</v>
      </c>
    </row>
    <row r="851">
      <c r="J851" s="25" t="s">
        <v>1333</v>
      </c>
    </row>
    <row r="852">
      <c r="J852" s="25" t="s">
        <v>1333</v>
      </c>
    </row>
    <row r="853">
      <c r="J853" s="25" t="s">
        <v>1333</v>
      </c>
    </row>
    <row r="854">
      <c r="J854" s="25" t="s">
        <v>1333</v>
      </c>
    </row>
    <row r="855">
      <c r="J855" s="25" t="s">
        <v>1333</v>
      </c>
    </row>
    <row r="856">
      <c r="J856" s="25" t="s">
        <v>1333</v>
      </c>
    </row>
    <row r="857">
      <c r="J857" s="25" t="s">
        <v>1333</v>
      </c>
    </row>
    <row r="858">
      <c r="J858" s="25" t="s">
        <v>1333</v>
      </c>
    </row>
    <row r="859">
      <c r="J859" s="25" t="s">
        <v>1333</v>
      </c>
    </row>
    <row r="860">
      <c r="J860" s="25" t="s">
        <v>1333</v>
      </c>
    </row>
    <row r="861">
      <c r="J861" s="25" t="s">
        <v>1333</v>
      </c>
    </row>
    <row r="862">
      <c r="J862" s="25" t="s">
        <v>1333</v>
      </c>
    </row>
    <row r="863">
      <c r="J863" s="25" t="s">
        <v>1333</v>
      </c>
    </row>
    <row r="864">
      <c r="J864" s="25" t="s">
        <v>1333</v>
      </c>
    </row>
    <row r="865">
      <c r="J865" s="25" t="s">
        <v>1333</v>
      </c>
    </row>
    <row r="866">
      <c r="J866" s="25" t="s">
        <v>1333</v>
      </c>
    </row>
    <row r="867">
      <c r="J867" s="25" t="s">
        <v>1333</v>
      </c>
    </row>
    <row r="868">
      <c r="J868" s="25" t="s">
        <v>1333</v>
      </c>
    </row>
    <row r="869">
      <c r="J869" s="25" t="s">
        <v>1333</v>
      </c>
    </row>
    <row r="870">
      <c r="J870" s="25" t="s">
        <v>1333</v>
      </c>
    </row>
    <row r="871">
      <c r="J871" s="25" t="s">
        <v>1333</v>
      </c>
    </row>
    <row r="872">
      <c r="J872" s="25" t="s">
        <v>1333</v>
      </c>
    </row>
    <row r="873">
      <c r="J873" s="25" t="s">
        <v>1333</v>
      </c>
    </row>
    <row r="874">
      <c r="J874" s="25" t="s">
        <v>1333</v>
      </c>
    </row>
    <row r="875">
      <c r="J875" s="25" t="s">
        <v>1333</v>
      </c>
    </row>
    <row r="876">
      <c r="J876" s="25" t="s">
        <v>1333</v>
      </c>
    </row>
    <row r="877">
      <c r="J877" s="25" t="s">
        <v>1333</v>
      </c>
    </row>
    <row r="878">
      <c r="J878" s="25" t="s">
        <v>1333</v>
      </c>
    </row>
    <row r="879">
      <c r="J879" s="25" t="s">
        <v>1333</v>
      </c>
    </row>
    <row r="880">
      <c r="J880" s="25" t="s">
        <v>1333</v>
      </c>
    </row>
    <row r="881">
      <c r="J881" s="25" t="s">
        <v>1333</v>
      </c>
    </row>
    <row r="882">
      <c r="J882" s="25" t="s">
        <v>1333</v>
      </c>
    </row>
    <row r="883">
      <c r="J883" s="25" t="s">
        <v>1333</v>
      </c>
    </row>
    <row r="884">
      <c r="J884" s="25" t="s">
        <v>1333</v>
      </c>
    </row>
    <row r="885">
      <c r="J885" s="25" t="s">
        <v>1333</v>
      </c>
    </row>
    <row r="886">
      <c r="J886" s="25" t="s">
        <v>1333</v>
      </c>
    </row>
    <row r="887">
      <c r="J887" s="25" t="s">
        <v>1333</v>
      </c>
    </row>
    <row r="888">
      <c r="J888" s="25" t="s">
        <v>1333</v>
      </c>
    </row>
    <row r="889">
      <c r="J889" s="25" t="s">
        <v>1333</v>
      </c>
    </row>
    <row r="890">
      <c r="J890" s="25" t="s">
        <v>1333</v>
      </c>
    </row>
    <row r="891">
      <c r="J891" s="25" t="s">
        <v>1333</v>
      </c>
    </row>
    <row r="892">
      <c r="J892" s="25" t="s">
        <v>1333</v>
      </c>
    </row>
    <row r="893">
      <c r="J893" s="25" t="s">
        <v>1333</v>
      </c>
    </row>
    <row r="894">
      <c r="J894" s="25" t="s">
        <v>1333</v>
      </c>
    </row>
    <row r="895">
      <c r="J895" s="25" t="s">
        <v>1333</v>
      </c>
    </row>
    <row r="896">
      <c r="J896" s="25" t="s">
        <v>1333</v>
      </c>
    </row>
    <row r="897">
      <c r="J897" s="25" t="s">
        <v>1333</v>
      </c>
    </row>
    <row r="898">
      <c r="J898" s="25" t="s">
        <v>1333</v>
      </c>
    </row>
    <row r="899">
      <c r="J899" s="25" t="s">
        <v>1333</v>
      </c>
    </row>
    <row r="900">
      <c r="J900" s="25" t="s">
        <v>1333</v>
      </c>
    </row>
    <row r="901">
      <c r="J901" s="25" t="s">
        <v>1333</v>
      </c>
    </row>
    <row r="902">
      <c r="J902" s="25" t="s">
        <v>1333</v>
      </c>
    </row>
    <row r="903">
      <c r="J903" s="25" t="s">
        <v>1333</v>
      </c>
    </row>
    <row r="904">
      <c r="J904" s="25" t="s">
        <v>1333</v>
      </c>
    </row>
    <row r="905">
      <c r="J905" s="25" t="s">
        <v>1333</v>
      </c>
    </row>
    <row r="906">
      <c r="J906" s="25" t="s">
        <v>1333</v>
      </c>
    </row>
    <row r="907">
      <c r="J907" s="25" t="s">
        <v>1333</v>
      </c>
    </row>
    <row r="908">
      <c r="J908" s="25" t="s">
        <v>1333</v>
      </c>
    </row>
    <row r="909">
      <c r="J909" s="25" t="s">
        <v>1333</v>
      </c>
    </row>
    <row r="910">
      <c r="J910" s="25" t="s">
        <v>1333</v>
      </c>
    </row>
    <row r="911">
      <c r="J911" s="25" t="s">
        <v>1333</v>
      </c>
    </row>
    <row r="912">
      <c r="J912" s="25" t="s">
        <v>1333</v>
      </c>
    </row>
    <row r="913">
      <c r="J913" s="25" t="s">
        <v>1333</v>
      </c>
    </row>
    <row r="914">
      <c r="J914" s="25" t="s">
        <v>1333</v>
      </c>
    </row>
    <row r="915">
      <c r="J915" s="25" t="s">
        <v>1333</v>
      </c>
    </row>
    <row r="916">
      <c r="J916" s="25" t="s">
        <v>1333</v>
      </c>
    </row>
    <row r="917">
      <c r="J917" s="25" t="s">
        <v>1333</v>
      </c>
    </row>
    <row r="918">
      <c r="J918" s="25" t="s">
        <v>1333</v>
      </c>
    </row>
    <row r="919">
      <c r="J919" s="25" t="s">
        <v>1333</v>
      </c>
    </row>
    <row r="920">
      <c r="J920" s="25" t="s">
        <v>1333</v>
      </c>
    </row>
    <row r="921">
      <c r="J921" s="25" t="s">
        <v>1333</v>
      </c>
    </row>
    <row r="922">
      <c r="J922" s="25" t="s">
        <v>1333</v>
      </c>
    </row>
    <row r="923">
      <c r="J923" s="25" t="s">
        <v>1333</v>
      </c>
    </row>
    <row r="924">
      <c r="J924" s="25" t="s">
        <v>1333</v>
      </c>
    </row>
    <row r="925">
      <c r="J925" s="25" t="s">
        <v>1333</v>
      </c>
    </row>
    <row r="926">
      <c r="J926" s="25" t="s">
        <v>1333</v>
      </c>
    </row>
    <row r="927">
      <c r="J927" s="25" t="s">
        <v>1333</v>
      </c>
    </row>
    <row r="928">
      <c r="J928" s="25" t="s">
        <v>1333</v>
      </c>
    </row>
    <row r="929">
      <c r="J929" s="25" t="s">
        <v>1333</v>
      </c>
    </row>
    <row r="930">
      <c r="J930" s="25" t="s">
        <v>1333</v>
      </c>
    </row>
    <row r="931">
      <c r="J931" s="25" t="s">
        <v>1333</v>
      </c>
    </row>
    <row r="932">
      <c r="J932" s="25" t="s">
        <v>1333</v>
      </c>
    </row>
    <row r="933">
      <c r="J933" s="25" t="s">
        <v>1333</v>
      </c>
    </row>
    <row r="934">
      <c r="J934" s="25" t="s">
        <v>1333</v>
      </c>
    </row>
    <row r="935">
      <c r="J935" s="25" t="s">
        <v>1333</v>
      </c>
    </row>
    <row r="936">
      <c r="J936" s="25" t="s">
        <v>1333</v>
      </c>
    </row>
    <row r="937">
      <c r="J937" s="25" t="s">
        <v>1333</v>
      </c>
    </row>
    <row r="938">
      <c r="J938" s="25" t="s">
        <v>1333</v>
      </c>
    </row>
    <row r="939">
      <c r="J939" s="25" t="s">
        <v>1333</v>
      </c>
    </row>
    <row r="940">
      <c r="J940" s="25" t="s">
        <v>1333</v>
      </c>
    </row>
    <row r="941">
      <c r="J941" s="25" t="s">
        <v>1333</v>
      </c>
    </row>
    <row r="942">
      <c r="J942" s="25" t="s">
        <v>1333</v>
      </c>
    </row>
    <row r="943">
      <c r="J943" s="25" t="s">
        <v>1333</v>
      </c>
    </row>
    <row r="944">
      <c r="J944" s="25" t="s">
        <v>1333</v>
      </c>
    </row>
    <row r="945">
      <c r="J945" s="25" t="s">
        <v>1333</v>
      </c>
    </row>
    <row r="946">
      <c r="J946" s="25" t="s">
        <v>1333</v>
      </c>
    </row>
    <row r="947">
      <c r="J947" s="25" t="s">
        <v>1333</v>
      </c>
    </row>
    <row r="948">
      <c r="J948" s="25" t="s">
        <v>1333</v>
      </c>
    </row>
    <row r="949">
      <c r="J949" s="25" t="s">
        <v>1333</v>
      </c>
    </row>
    <row r="950">
      <c r="J950" s="25" t="s">
        <v>1333</v>
      </c>
    </row>
    <row r="951">
      <c r="J951" s="25" t="s">
        <v>1333</v>
      </c>
    </row>
    <row r="952">
      <c r="J952" s="25" t="s">
        <v>1333</v>
      </c>
    </row>
    <row r="953">
      <c r="J953" s="25" t="s">
        <v>1333</v>
      </c>
    </row>
    <row r="954">
      <c r="J954" s="25" t="s">
        <v>1333</v>
      </c>
    </row>
    <row r="955">
      <c r="J955" s="25" t="s">
        <v>1333</v>
      </c>
    </row>
    <row r="956">
      <c r="J956" s="25" t="s">
        <v>1333</v>
      </c>
    </row>
    <row r="957">
      <c r="J957" s="25" t="s">
        <v>1333</v>
      </c>
    </row>
    <row r="958">
      <c r="J958" s="25" t="s">
        <v>1333</v>
      </c>
    </row>
    <row r="959">
      <c r="J959" s="25" t="s">
        <v>1333</v>
      </c>
    </row>
    <row r="960">
      <c r="J960" s="25" t="s">
        <v>1333</v>
      </c>
    </row>
    <row r="961">
      <c r="J961" s="25" t="s">
        <v>1333</v>
      </c>
    </row>
    <row r="962">
      <c r="J962" s="25" t="s">
        <v>1333</v>
      </c>
    </row>
    <row r="963">
      <c r="J963" s="25" t="s">
        <v>1333</v>
      </c>
    </row>
    <row r="964">
      <c r="J964" s="25" t="s">
        <v>1333</v>
      </c>
    </row>
    <row r="965">
      <c r="J965" s="25" t="s">
        <v>1333</v>
      </c>
    </row>
    <row r="966">
      <c r="J966" s="25" t="s">
        <v>1333</v>
      </c>
    </row>
    <row r="967">
      <c r="J967" s="25" t="s">
        <v>1333</v>
      </c>
    </row>
    <row r="968">
      <c r="J968" s="25" t="s">
        <v>1333</v>
      </c>
    </row>
    <row r="969">
      <c r="J969" s="25" t="s">
        <v>1333</v>
      </c>
    </row>
    <row r="970">
      <c r="J970" s="25" t="s">
        <v>1333</v>
      </c>
    </row>
    <row r="971">
      <c r="J971" s="25" t="s">
        <v>1333</v>
      </c>
    </row>
    <row r="972">
      <c r="J972" s="25" t="s">
        <v>1333</v>
      </c>
    </row>
    <row r="973">
      <c r="J973" s="25" t="s">
        <v>1333</v>
      </c>
    </row>
    <row r="974">
      <c r="J974" s="25" t="s">
        <v>1333</v>
      </c>
    </row>
    <row r="975">
      <c r="J975" s="25" t="s">
        <v>1333</v>
      </c>
    </row>
    <row r="976">
      <c r="J976" s="25" t="s">
        <v>1333</v>
      </c>
    </row>
    <row r="977">
      <c r="J977" s="25" t="s">
        <v>1333</v>
      </c>
    </row>
    <row r="978">
      <c r="J978" s="25" t="s">
        <v>1333</v>
      </c>
    </row>
    <row r="979">
      <c r="J979" s="25" t="s">
        <v>1333</v>
      </c>
    </row>
    <row r="980">
      <c r="J980" s="25" t="s">
        <v>1333</v>
      </c>
    </row>
    <row r="981">
      <c r="J981" s="25" t="s">
        <v>1333</v>
      </c>
    </row>
    <row r="982">
      <c r="J982" s="25" t="s">
        <v>1333</v>
      </c>
    </row>
    <row r="983">
      <c r="J983" s="25" t="s">
        <v>1333</v>
      </c>
    </row>
    <row r="984">
      <c r="J984" s="25" t="s">
        <v>1333</v>
      </c>
    </row>
    <row r="985">
      <c r="J985" s="25" t="s">
        <v>1333</v>
      </c>
    </row>
    <row r="986">
      <c r="J986" s="25" t="s">
        <v>1333</v>
      </c>
    </row>
    <row r="987">
      <c r="J987" s="25" t="s">
        <v>1333</v>
      </c>
    </row>
    <row r="988">
      <c r="J988" s="25" t="s">
        <v>1333</v>
      </c>
    </row>
    <row r="989">
      <c r="J989" s="25" t="s">
        <v>1333</v>
      </c>
    </row>
    <row r="990">
      <c r="J990" s="25" t="s">
        <v>1333</v>
      </c>
    </row>
    <row r="991">
      <c r="J991" s="25" t="s">
        <v>1333</v>
      </c>
    </row>
    <row r="992">
      <c r="J992" s="25" t="s">
        <v>1333</v>
      </c>
    </row>
    <row r="993">
      <c r="J993" s="25" t="s">
        <v>1333</v>
      </c>
    </row>
    <row r="994">
      <c r="J994" s="25" t="s">
        <v>1333</v>
      </c>
    </row>
    <row r="995">
      <c r="J995" s="25" t="s">
        <v>1333</v>
      </c>
    </row>
    <row r="996">
      <c r="J996" s="25" t="s">
        <v>1333</v>
      </c>
    </row>
    <row r="997">
      <c r="J997" s="25" t="s">
        <v>1333</v>
      </c>
    </row>
    <row r="998">
      <c r="J998" s="25" t="s">
        <v>1333</v>
      </c>
    </row>
    <row r="999">
      <c r="J999" s="25" t="s">
        <v>1333</v>
      </c>
    </row>
    <row r="1000">
      <c r="J1000" s="25" t="s">
        <v>1333</v>
      </c>
    </row>
  </sheetData>
  <mergeCells count="1">
    <mergeCell ref="A1:A3"/>
  </mergeCells>
  <dataValidations>
    <dataValidation type="list" allowBlank="1" showErrorMessage="1" sqref="B2">
      <formula1>Catagory[Category]</formula1>
    </dataValidation>
    <dataValidation type="list" allowBlank="1" showErrorMessage="1" sqref="C2">
      <formula1>Material[Material]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4.13"/>
    <col customWidth="1" min="3" max="3" width="11.88"/>
    <col customWidth="1" min="4" max="4" width="12.0"/>
    <col customWidth="1" min="5" max="5" width="8.63"/>
    <col customWidth="1" min="6" max="6" width="18.0"/>
    <col customWidth="1" min="7" max="7" width="10.88"/>
    <col customWidth="1" min="8" max="8" width="17.5"/>
    <col customWidth="1" min="9" max="9" width="28.63"/>
    <col customWidth="1" min="10" max="10" width="8.88"/>
    <col customWidth="1" min="11" max="11" width="9.75"/>
    <col customWidth="1" min="12" max="12" width="8.63"/>
    <col customWidth="1" min="13" max="13" width="9.0"/>
    <col customWidth="1" min="14" max="14" width="6.5"/>
    <col customWidth="1" min="15" max="15" width="17.63"/>
    <col customWidth="1" min="16" max="16" width="6.75"/>
  </cols>
  <sheetData>
    <row r="1" ht="17.25" customHeight="1">
      <c r="A1" s="28" t="s">
        <v>3</v>
      </c>
      <c r="B1" s="29" t="s">
        <v>109</v>
      </c>
      <c r="C1" s="30" t="s">
        <v>1554</v>
      </c>
      <c r="D1" s="31" t="s">
        <v>1140</v>
      </c>
      <c r="E1" s="32" t="s">
        <v>1555</v>
      </c>
      <c r="F1" s="32" t="s">
        <v>11</v>
      </c>
      <c r="G1" s="32" t="s">
        <v>13</v>
      </c>
      <c r="H1" s="33" t="s">
        <v>1556</v>
      </c>
      <c r="I1" s="34" t="s">
        <v>1557</v>
      </c>
      <c r="J1" s="34" t="s">
        <v>1194</v>
      </c>
      <c r="K1" s="34" t="s">
        <v>1198</v>
      </c>
      <c r="L1" s="34" t="s">
        <v>1202</v>
      </c>
      <c r="M1" s="34" t="s">
        <v>1203</v>
      </c>
      <c r="N1" s="34" t="s">
        <v>1204</v>
      </c>
      <c r="O1" s="34" t="s">
        <v>1205</v>
      </c>
      <c r="P1" s="34" t="s">
        <v>6</v>
      </c>
      <c r="Q1" s="34" t="s">
        <v>1558</v>
      </c>
    </row>
    <row r="2" ht="17.25" customHeight="1">
      <c r="A2" s="35">
        <v>46053.760462962964</v>
      </c>
      <c r="B2" s="23" t="s">
        <v>1559</v>
      </c>
      <c r="C2" s="24" t="s">
        <v>1560</v>
      </c>
      <c r="D2" s="36">
        <v>46050.0</v>
      </c>
      <c r="E2" s="27">
        <v>2300.0</v>
      </c>
      <c r="F2" s="37" t="s">
        <v>1561</v>
      </c>
      <c r="G2" s="26"/>
      <c r="H2" s="26"/>
      <c r="I2" s="26" t="str">
        <f t="array" ref="I2:P3074">BYROW(
 B2:B3074,
 LAMBDA(sku,
  IF(
   sku="","",
   _xlfn.XLOOKUP(
    sku,
    'Item List'!I:I,
    'Item List'!A:H,
    ""
   )
  )
 )
)</f>
        <v>Sbs Paper 23X36 330Gsm White</v>
      </c>
      <c r="J2" s="26" t="s">
        <v>1225</v>
      </c>
      <c r="K2" s="26" t="s">
        <v>1562</v>
      </c>
      <c r="L2" s="26" t="s">
        <v>1563</v>
      </c>
      <c r="M2" s="26" t="s">
        <v>1564</v>
      </c>
      <c r="N2" s="26" t="s">
        <v>1565</v>
      </c>
      <c r="O2" s="26" t="s">
        <v>1566</v>
      </c>
      <c r="P2" s="26" t="s">
        <v>22</v>
      </c>
      <c r="Q2" s="26">
        <f t="array" ref="Q2:Q3074">if(B2:B3074&lt;&gt;"",VLOOKUP(B2:B3074,IMS!$A$2:$E$999,5,0),"")</f>
        <v>0</v>
      </c>
    </row>
    <row r="3" ht="17.25" customHeight="1">
      <c r="A3" s="35">
        <v>46053.760462962964</v>
      </c>
      <c r="B3" s="23" t="s">
        <v>1569</v>
      </c>
      <c r="C3" s="24" t="s">
        <v>1560</v>
      </c>
      <c r="D3" s="36">
        <v>46050.0</v>
      </c>
      <c r="E3" s="39">
        <v>1000.0</v>
      </c>
      <c r="F3" s="37" t="s">
        <v>1561</v>
      </c>
      <c r="G3" s="26"/>
      <c r="H3" s="26"/>
      <c r="I3" s="26" t="s">
        <v>1570</v>
      </c>
      <c r="J3" s="26" t="s">
        <v>1225</v>
      </c>
      <c r="K3" s="26" t="s">
        <v>1562</v>
      </c>
      <c r="L3" s="26" t="s">
        <v>1563</v>
      </c>
      <c r="M3" s="26" t="s">
        <v>1564</v>
      </c>
      <c r="N3" s="26" t="s">
        <v>1571</v>
      </c>
      <c r="O3" s="26" t="s">
        <v>1566</v>
      </c>
      <c r="P3" s="26" t="s">
        <v>22</v>
      </c>
      <c r="Q3" s="26">
        <v>0.0</v>
      </c>
    </row>
    <row r="4" ht="17.25" customHeight="1">
      <c r="A4" s="35">
        <v>46053.760462962964</v>
      </c>
      <c r="B4" s="23" t="s">
        <v>18</v>
      </c>
      <c r="C4" s="24" t="s">
        <v>1560</v>
      </c>
      <c r="D4" s="36">
        <v>46050.0</v>
      </c>
      <c r="E4" s="27">
        <v>3300.0</v>
      </c>
      <c r="F4" s="37" t="s">
        <v>1561</v>
      </c>
      <c r="G4" s="26"/>
      <c r="H4" s="26"/>
      <c r="I4" s="26" t="s">
        <v>20</v>
      </c>
      <c r="J4" s="26" t="s">
        <v>1225</v>
      </c>
      <c r="K4" s="26" t="s">
        <v>1562</v>
      </c>
      <c r="L4" s="26" t="s">
        <v>1563</v>
      </c>
      <c r="M4" s="26" t="s">
        <v>1572</v>
      </c>
      <c r="N4" s="26" t="s">
        <v>1565</v>
      </c>
      <c r="O4" s="26" t="s">
        <v>1566</v>
      </c>
      <c r="P4" s="26" t="s">
        <v>22</v>
      </c>
      <c r="Q4" s="26">
        <v>400.0</v>
      </c>
    </row>
    <row r="5" ht="17.25" customHeight="1">
      <c r="A5" s="35">
        <v>46053.760462962964</v>
      </c>
      <c r="B5" s="23" t="s">
        <v>201</v>
      </c>
      <c r="C5" s="24" t="s">
        <v>1560</v>
      </c>
      <c r="D5" s="36">
        <v>46050.0</v>
      </c>
      <c r="E5" s="27">
        <v>500.0</v>
      </c>
      <c r="F5" s="37" t="s">
        <v>1561</v>
      </c>
      <c r="G5" s="26"/>
      <c r="H5" s="26"/>
      <c r="I5" s="26" t="s">
        <v>202</v>
      </c>
      <c r="J5" s="26" t="s">
        <v>1225</v>
      </c>
      <c r="K5" s="26" t="s">
        <v>1562</v>
      </c>
      <c r="L5" s="26" t="s">
        <v>1573</v>
      </c>
      <c r="M5" s="26" t="s">
        <v>1574</v>
      </c>
      <c r="N5" s="26" t="s">
        <v>1566</v>
      </c>
      <c r="O5" s="26" t="s">
        <v>1566</v>
      </c>
      <c r="P5" s="26" t="s">
        <v>22</v>
      </c>
      <c r="Q5" s="26">
        <v>600.0</v>
      </c>
    </row>
    <row r="6" ht="17.25" customHeight="1">
      <c r="A6" s="35">
        <v>46053.760462962964</v>
      </c>
      <c r="B6" s="23" t="s">
        <v>33</v>
      </c>
      <c r="C6" s="24" t="s">
        <v>1560</v>
      </c>
      <c r="D6" s="36">
        <v>46050.0</v>
      </c>
      <c r="E6" s="39">
        <v>300.0</v>
      </c>
      <c r="F6" s="37" t="s">
        <v>1561</v>
      </c>
      <c r="G6" s="26"/>
      <c r="H6" s="26"/>
      <c r="I6" s="26" t="s">
        <v>35</v>
      </c>
      <c r="J6" s="26" t="s">
        <v>1225</v>
      </c>
      <c r="K6" s="26" t="s">
        <v>1562</v>
      </c>
      <c r="L6" s="26" t="s">
        <v>1573</v>
      </c>
      <c r="M6" s="26" t="s">
        <v>1575</v>
      </c>
      <c r="N6" s="26" t="s">
        <v>1566</v>
      </c>
      <c r="O6" s="26" t="s">
        <v>1566</v>
      </c>
      <c r="P6" s="26" t="s">
        <v>22</v>
      </c>
      <c r="Q6" s="26">
        <v>2600.0</v>
      </c>
    </row>
    <row r="7" ht="17.25" customHeight="1">
      <c r="A7" s="35">
        <v>46053.760462962964</v>
      </c>
      <c r="B7" s="23" t="s">
        <v>1522</v>
      </c>
      <c r="C7" s="24" t="s">
        <v>1560</v>
      </c>
      <c r="D7" s="36">
        <v>46050.0</v>
      </c>
      <c r="E7" s="39">
        <v>1100.0</v>
      </c>
      <c r="F7" s="37" t="s">
        <v>1561</v>
      </c>
      <c r="G7" s="26"/>
      <c r="H7" s="26"/>
      <c r="I7" s="26" t="s">
        <v>1523</v>
      </c>
      <c r="J7" s="26" t="s">
        <v>1225</v>
      </c>
      <c r="K7" s="26" t="s">
        <v>1562</v>
      </c>
      <c r="L7" s="26" t="s">
        <v>1563</v>
      </c>
      <c r="M7" s="26" t="s">
        <v>1572</v>
      </c>
      <c r="N7" s="26" t="s">
        <v>1571</v>
      </c>
      <c r="O7" s="26" t="s">
        <v>1566</v>
      </c>
      <c r="P7" s="26" t="s">
        <v>22</v>
      </c>
      <c r="Q7" s="26">
        <v>800.0</v>
      </c>
    </row>
    <row r="8" ht="17.25" customHeight="1">
      <c r="A8" s="35">
        <v>46053.760462962964</v>
      </c>
      <c r="B8" s="23" t="s">
        <v>41</v>
      </c>
      <c r="C8" s="24" t="s">
        <v>1560</v>
      </c>
      <c r="D8" s="36">
        <v>46050.0</v>
      </c>
      <c r="E8" s="27">
        <v>1700.0</v>
      </c>
      <c r="F8" s="37" t="s">
        <v>1561</v>
      </c>
      <c r="G8" s="26"/>
      <c r="H8" s="26"/>
      <c r="I8" s="26" t="s">
        <v>42</v>
      </c>
      <c r="J8" s="26" t="s">
        <v>1225</v>
      </c>
      <c r="K8" s="26" t="s">
        <v>1562</v>
      </c>
      <c r="L8" s="26" t="s">
        <v>1576</v>
      </c>
      <c r="M8" s="26" t="s">
        <v>1575</v>
      </c>
      <c r="N8" s="26" t="s">
        <v>1571</v>
      </c>
      <c r="O8" s="26" t="s">
        <v>1566</v>
      </c>
      <c r="P8" s="26" t="s">
        <v>22</v>
      </c>
      <c r="Q8" s="26">
        <v>200.0</v>
      </c>
    </row>
    <row r="9" ht="17.25" customHeight="1">
      <c r="A9" s="35">
        <v>46053.760462962964</v>
      </c>
      <c r="B9" s="23" t="s">
        <v>1577</v>
      </c>
      <c r="C9" s="24" t="s">
        <v>1560</v>
      </c>
      <c r="D9" s="36">
        <v>46050.0</v>
      </c>
      <c r="E9" s="27">
        <v>150.0</v>
      </c>
      <c r="F9" s="37" t="s">
        <v>1561</v>
      </c>
      <c r="G9" s="26"/>
      <c r="H9" s="26"/>
      <c r="I9" s="26" t="s">
        <v>1579</v>
      </c>
      <c r="J9" s="26" t="s">
        <v>1225</v>
      </c>
      <c r="K9" s="26" t="s">
        <v>1562</v>
      </c>
      <c r="L9" s="26" t="s">
        <v>1576</v>
      </c>
      <c r="M9" s="26" t="s">
        <v>1575</v>
      </c>
      <c r="N9" s="26" t="s">
        <v>1565</v>
      </c>
      <c r="O9" s="26" t="s">
        <v>1566</v>
      </c>
      <c r="P9" s="26" t="s">
        <v>22</v>
      </c>
      <c r="Q9" s="26">
        <v>0.0</v>
      </c>
    </row>
    <row r="10" ht="17.25" customHeight="1">
      <c r="A10" s="35">
        <v>46053.760462962964</v>
      </c>
      <c r="B10" s="23" t="s">
        <v>48</v>
      </c>
      <c r="C10" s="24" t="s">
        <v>1560</v>
      </c>
      <c r="D10" s="36">
        <v>46050.0</v>
      </c>
      <c r="E10" s="27">
        <v>1200.0</v>
      </c>
      <c r="F10" s="37" t="s">
        <v>1561</v>
      </c>
      <c r="G10" s="26"/>
      <c r="H10" s="26"/>
      <c r="I10" s="26" t="s">
        <v>49</v>
      </c>
      <c r="J10" s="26" t="s">
        <v>1225</v>
      </c>
      <c r="K10" s="26" t="s">
        <v>1562</v>
      </c>
      <c r="L10" s="26" t="s">
        <v>1582</v>
      </c>
      <c r="M10" s="26" t="s">
        <v>1574</v>
      </c>
      <c r="N10" s="26" t="s">
        <v>1571</v>
      </c>
      <c r="O10" s="26" t="s">
        <v>1566</v>
      </c>
      <c r="P10" s="26" t="s">
        <v>22</v>
      </c>
      <c r="Q10" s="26">
        <v>30.0</v>
      </c>
    </row>
    <row r="11" ht="17.25" customHeight="1">
      <c r="A11" s="35">
        <v>46053.760462962964</v>
      </c>
      <c r="B11" s="23" t="s">
        <v>57</v>
      </c>
      <c r="C11" s="24" t="s">
        <v>1560</v>
      </c>
      <c r="D11" s="36">
        <v>46050.0</v>
      </c>
      <c r="E11" s="39">
        <v>1400.0</v>
      </c>
      <c r="F11" s="37" t="s">
        <v>1561</v>
      </c>
      <c r="G11" s="26"/>
      <c r="H11" s="26"/>
      <c r="I11" s="26" t="s">
        <v>58</v>
      </c>
      <c r="J11" s="26" t="s">
        <v>1225</v>
      </c>
      <c r="K11" s="26" t="s">
        <v>1562</v>
      </c>
      <c r="L11" s="26" t="s">
        <v>1584</v>
      </c>
      <c r="M11" s="26" t="s">
        <v>1586</v>
      </c>
      <c r="N11" s="26" t="s">
        <v>1571</v>
      </c>
      <c r="O11" s="26" t="s">
        <v>1566</v>
      </c>
      <c r="P11" s="26" t="s">
        <v>22</v>
      </c>
      <c r="Q11" s="26">
        <v>400.0</v>
      </c>
    </row>
    <row r="12" ht="17.25" customHeight="1">
      <c r="A12" s="35">
        <v>46053.760462962964</v>
      </c>
      <c r="B12" s="23" t="s">
        <v>573</v>
      </c>
      <c r="C12" s="24" t="s">
        <v>1560</v>
      </c>
      <c r="D12" s="36">
        <v>46050.0</v>
      </c>
      <c r="E12" s="27">
        <v>1500.0</v>
      </c>
      <c r="F12" s="37" t="s">
        <v>1561</v>
      </c>
      <c r="G12" s="26"/>
      <c r="H12" s="26"/>
      <c r="I12" s="26" t="s">
        <v>575</v>
      </c>
      <c r="J12" s="26" t="s">
        <v>1225</v>
      </c>
      <c r="K12" s="26" t="s">
        <v>1562</v>
      </c>
      <c r="L12" s="26" t="s">
        <v>1587</v>
      </c>
      <c r="M12" s="26" t="s">
        <v>1564</v>
      </c>
      <c r="N12" s="26" t="s">
        <v>1571</v>
      </c>
      <c r="O12" s="26" t="s">
        <v>1566</v>
      </c>
      <c r="P12" s="26" t="s">
        <v>22</v>
      </c>
      <c r="Q12" s="26">
        <v>0.0</v>
      </c>
    </row>
    <row r="13" ht="17.25" customHeight="1">
      <c r="A13" s="35">
        <v>46053.760462962964</v>
      </c>
      <c r="B13" s="23" t="s">
        <v>65</v>
      </c>
      <c r="C13" s="24" t="s">
        <v>1560</v>
      </c>
      <c r="D13" s="36">
        <v>46050.0</v>
      </c>
      <c r="E13" s="27">
        <v>600.0</v>
      </c>
      <c r="F13" s="37" t="s">
        <v>1561</v>
      </c>
      <c r="G13" s="26"/>
      <c r="H13" s="26"/>
      <c r="I13" s="26" t="s">
        <v>67</v>
      </c>
      <c r="J13" s="26" t="s">
        <v>1225</v>
      </c>
      <c r="K13" s="26" t="s">
        <v>1562</v>
      </c>
      <c r="L13" s="26" t="s">
        <v>1587</v>
      </c>
      <c r="M13" s="26" t="s">
        <v>1572</v>
      </c>
      <c r="N13" s="26" t="s">
        <v>1571</v>
      </c>
      <c r="O13" s="26" t="s">
        <v>1566</v>
      </c>
      <c r="P13" s="26" t="s">
        <v>22</v>
      </c>
      <c r="Q13" s="26">
        <v>1000.0</v>
      </c>
    </row>
    <row r="14" ht="17.25" customHeight="1">
      <c r="A14" s="35">
        <v>46053.760462962964</v>
      </c>
      <c r="B14" s="23" t="s">
        <v>347</v>
      </c>
      <c r="C14" s="24" t="s">
        <v>1560</v>
      </c>
      <c r="D14" s="36">
        <v>46050.0</v>
      </c>
      <c r="E14" s="27">
        <v>5400.0</v>
      </c>
      <c r="F14" s="37" t="s">
        <v>1561</v>
      </c>
      <c r="G14" s="26"/>
      <c r="H14" s="26"/>
      <c r="I14" s="26" t="s">
        <v>349</v>
      </c>
      <c r="J14" s="26" t="s">
        <v>1225</v>
      </c>
      <c r="K14" s="26" t="s">
        <v>1562</v>
      </c>
      <c r="L14" s="26" t="s">
        <v>1591</v>
      </c>
      <c r="M14" s="26" t="s">
        <v>1564</v>
      </c>
      <c r="N14" s="26" t="s">
        <v>1565</v>
      </c>
      <c r="O14" s="26" t="s">
        <v>1566</v>
      </c>
      <c r="P14" s="26" t="s">
        <v>22</v>
      </c>
      <c r="Q14" s="26">
        <v>1800.0</v>
      </c>
    </row>
    <row r="15" ht="17.25" customHeight="1">
      <c r="A15" s="35">
        <v>46053.760462962964</v>
      </c>
      <c r="B15" s="23" t="s">
        <v>1592</v>
      </c>
      <c r="C15" s="24" t="s">
        <v>1560</v>
      </c>
      <c r="D15" s="36">
        <v>46050.0</v>
      </c>
      <c r="E15" s="27">
        <v>700.0</v>
      </c>
      <c r="F15" s="37" t="s">
        <v>1561</v>
      </c>
      <c r="G15" s="26"/>
      <c r="H15" s="26"/>
      <c r="I15" s="26" t="s">
        <v>1594</v>
      </c>
      <c r="J15" s="26" t="s">
        <v>1225</v>
      </c>
      <c r="K15" s="26" t="s">
        <v>1562</v>
      </c>
      <c r="L15" s="26" t="s">
        <v>1591</v>
      </c>
      <c r="M15" s="26" t="s">
        <v>1595</v>
      </c>
      <c r="N15" s="26" t="s">
        <v>1571</v>
      </c>
      <c r="O15" s="26" t="s">
        <v>1566</v>
      </c>
      <c r="P15" s="26" t="s">
        <v>22</v>
      </c>
      <c r="Q15" s="26">
        <v>0.0</v>
      </c>
    </row>
    <row r="16" ht="17.25" customHeight="1">
      <c r="A16" s="35">
        <v>46053.760462962964</v>
      </c>
      <c r="B16" s="23" t="s">
        <v>74</v>
      </c>
      <c r="C16" s="24" t="s">
        <v>1560</v>
      </c>
      <c r="D16" s="36">
        <v>46051.0</v>
      </c>
      <c r="E16" s="27">
        <v>900.0</v>
      </c>
      <c r="F16" s="37" t="s">
        <v>1561</v>
      </c>
      <c r="G16" s="26"/>
      <c r="H16" s="26"/>
      <c r="I16" s="26" t="s">
        <v>75</v>
      </c>
      <c r="J16" s="26" t="s">
        <v>1225</v>
      </c>
      <c r="K16" s="26" t="s">
        <v>1562</v>
      </c>
      <c r="L16" s="26" t="s">
        <v>1591</v>
      </c>
      <c r="M16" s="26" t="s">
        <v>1597</v>
      </c>
      <c r="N16" s="26" t="s">
        <v>1566</v>
      </c>
      <c r="O16" s="26" t="s">
        <v>1566</v>
      </c>
      <c r="P16" s="26" t="s">
        <v>22</v>
      </c>
      <c r="Q16" s="26">
        <v>0.0</v>
      </c>
    </row>
    <row r="17" ht="17.25" customHeight="1">
      <c r="A17" s="35">
        <v>46053.760462962964</v>
      </c>
      <c r="B17" s="23" t="s">
        <v>83</v>
      </c>
      <c r="C17" s="24" t="s">
        <v>1560</v>
      </c>
      <c r="D17" s="36">
        <v>46051.0</v>
      </c>
      <c r="E17" s="27">
        <v>2400.0</v>
      </c>
      <c r="F17" s="37" t="s">
        <v>1561</v>
      </c>
      <c r="G17" s="26"/>
      <c r="H17" s="26"/>
      <c r="I17" s="26" t="s">
        <v>84</v>
      </c>
      <c r="J17" s="26" t="s">
        <v>1225</v>
      </c>
      <c r="K17" s="26" t="s">
        <v>1562</v>
      </c>
      <c r="L17" s="26" t="s">
        <v>1600</v>
      </c>
      <c r="M17" s="26" t="s">
        <v>1597</v>
      </c>
      <c r="N17" s="26" t="s">
        <v>1571</v>
      </c>
      <c r="O17" s="26" t="s">
        <v>1566</v>
      </c>
      <c r="P17" s="26" t="s">
        <v>22</v>
      </c>
      <c r="Q17" s="26">
        <v>2000.0</v>
      </c>
    </row>
    <row r="18" ht="17.25" customHeight="1">
      <c r="A18" s="35">
        <v>46053.760462962964</v>
      </c>
      <c r="B18" s="23" t="s">
        <v>1601</v>
      </c>
      <c r="C18" s="24" t="s">
        <v>1560</v>
      </c>
      <c r="D18" s="36">
        <v>46051.0</v>
      </c>
      <c r="E18" s="27">
        <v>2500.0</v>
      </c>
      <c r="F18" s="37" t="s">
        <v>1561</v>
      </c>
      <c r="G18" s="26"/>
      <c r="H18" s="26"/>
      <c r="I18" s="26" t="s">
        <v>1602</v>
      </c>
      <c r="J18" s="26" t="s">
        <v>1225</v>
      </c>
      <c r="K18" s="26" t="s">
        <v>1562</v>
      </c>
      <c r="L18" s="26" t="s">
        <v>1603</v>
      </c>
      <c r="M18" s="26" t="s">
        <v>1604</v>
      </c>
      <c r="N18" s="26" t="s">
        <v>1571</v>
      </c>
      <c r="O18" s="26" t="s">
        <v>1566</v>
      </c>
      <c r="P18" s="26" t="s">
        <v>22</v>
      </c>
      <c r="Q18" s="26">
        <v>0.0</v>
      </c>
    </row>
    <row r="19" ht="17.25" customHeight="1">
      <c r="A19" s="35">
        <v>46053.760462962964</v>
      </c>
      <c r="B19" s="23" t="s">
        <v>91</v>
      </c>
      <c r="C19" s="24" t="s">
        <v>1560</v>
      </c>
      <c r="D19" s="36">
        <v>46051.0</v>
      </c>
      <c r="E19" s="27">
        <v>800.0</v>
      </c>
      <c r="F19" s="37" t="s">
        <v>1561</v>
      </c>
      <c r="G19" s="26"/>
      <c r="H19" s="26"/>
      <c r="I19" s="26" t="s">
        <v>92</v>
      </c>
      <c r="J19" s="26" t="s">
        <v>1225</v>
      </c>
      <c r="K19" s="26" t="s">
        <v>1562</v>
      </c>
      <c r="L19" s="26" t="s">
        <v>1576</v>
      </c>
      <c r="M19" s="26" t="s">
        <v>1572</v>
      </c>
      <c r="N19" s="26" t="s">
        <v>1566</v>
      </c>
      <c r="O19" s="26" t="s">
        <v>1566</v>
      </c>
      <c r="P19" s="26" t="s">
        <v>22</v>
      </c>
      <c r="Q19" s="26">
        <v>1400.0</v>
      </c>
    </row>
    <row r="20" ht="17.25" customHeight="1">
      <c r="A20" s="35">
        <v>46053.760462962964</v>
      </c>
      <c r="B20" s="23" t="s">
        <v>98</v>
      </c>
      <c r="C20" s="24" t="s">
        <v>1560</v>
      </c>
      <c r="D20" s="36">
        <v>46051.0</v>
      </c>
      <c r="E20" s="39">
        <v>600.0</v>
      </c>
      <c r="F20" s="37" t="s">
        <v>1561</v>
      </c>
      <c r="G20" s="26"/>
      <c r="H20" s="26"/>
      <c r="I20" s="26" t="s">
        <v>99</v>
      </c>
      <c r="J20" s="26" t="s">
        <v>1225</v>
      </c>
      <c r="K20" s="26" t="s">
        <v>1562</v>
      </c>
      <c r="L20" s="26" t="s">
        <v>1606</v>
      </c>
      <c r="M20" s="26" t="s">
        <v>1572</v>
      </c>
      <c r="N20" s="26" t="s">
        <v>1565</v>
      </c>
      <c r="O20" s="26" t="s">
        <v>1566</v>
      </c>
      <c r="P20" s="26" t="s">
        <v>22</v>
      </c>
      <c r="Q20" s="26">
        <v>600.0</v>
      </c>
    </row>
    <row r="21" ht="17.25" customHeight="1">
      <c r="A21" s="35">
        <v>46053.760462962964</v>
      </c>
      <c r="B21" s="23" t="s">
        <v>104</v>
      </c>
      <c r="C21" s="24" t="s">
        <v>1560</v>
      </c>
      <c r="D21" s="36">
        <v>46051.0</v>
      </c>
      <c r="E21" s="39">
        <v>800.0</v>
      </c>
      <c r="F21" s="37" t="s">
        <v>1561</v>
      </c>
      <c r="G21" s="26"/>
      <c r="H21" s="26"/>
      <c r="I21" s="26" t="s">
        <v>106</v>
      </c>
      <c r="J21" s="26" t="s">
        <v>1225</v>
      </c>
      <c r="K21" s="26" t="s">
        <v>1562</v>
      </c>
      <c r="L21" s="26" t="s">
        <v>1582</v>
      </c>
      <c r="M21" s="26" t="s">
        <v>1607</v>
      </c>
      <c r="N21" s="26" t="s">
        <v>1571</v>
      </c>
      <c r="O21" s="26" t="s">
        <v>1566</v>
      </c>
      <c r="P21" s="26" t="s">
        <v>22</v>
      </c>
      <c r="Q21" s="26">
        <v>1000.0</v>
      </c>
    </row>
    <row r="22" ht="17.25" customHeight="1">
      <c r="A22" s="35">
        <v>46053.760462962964</v>
      </c>
      <c r="B22" s="23" t="s">
        <v>113</v>
      </c>
      <c r="C22" s="24" t="s">
        <v>1560</v>
      </c>
      <c r="D22" s="36">
        <v>46051.0</v>
      </c>
      <c r="E22" s="27">
        <v>600.0</v>
      </c>
      <c r="F22" s="37" t="s">
        <v>1561</v>
      </c>
      <c r="G22" s="26"/>
      <c r="H22" s="26"/>
      <c r="I22" s="26" t="s">
        <v>115</v>
      </c>
      <c r="J22" s="26" t="s">
        <v>1225</v>
      </c>
      <c r="K22" s="26" t="s">
        <v>1562</v>
      </c>
      <c r="L22" s="26" t="s">
        <v>1608</v>
      </c>
      <c r="M22" s="26" t="s">
        <v>1564</v>
      </c>
      <c r="N22" s="26" t="s">
        <v>1565</v>
      </c>
      <c r="O22" s="26" t="s">
        <v>1566</v>
      </c>
      <c r="P22" s="26" t="s">
        <v>22</v>
      </c>
      <c r="Q22" s="26">
        <v>600.0</v>
      </c>
    </row>
    <row r="23" ht="17.25" customHeight="1">
      <c r="A23" s="35">
        <v>46053.760462962964</v>
      </c>
      <c r="B23" s="23" t="s">
        <v>1610</v>
      </c>
      <c r="C23" s="24" t="s">
        <v>1560</v>
      </c>
      <c r="D23" s="36">
        <v>46051.0</v>
      </c>
      <c r="E23" s="27">
        <v>400.0</v>
      </c>
      <c r="F23" s="37" t="s">
        <v>1561</v>
      </c>
      <c r="G23" s="26"/>
      <c r="H23" s="26"/>
      <c r="I23" s="26" t="s">
        <v>1612</v>
      </c>
      <c r="J23" s="26" t="s">
        <v>1225</v>
      </c>
      <c r="K23" s="26" t="s">
        <v>1562</v>
      </c>
      <c r="L23" s="26" t="s">
        <v>1613</v>
      </c>
      <c r="M23" s="26" t="s">
        <v>1564</v>
      </c>
      <c r="N23" s="26" t="s">
        <v>1565</v>
      </c>
      <c r="O23" s="26" t="s">
        <v>1566</v>
      </c>
      <c r="P23" s="26" t="s">
        <v>22</v>
      </c>
      <c r="Q23" s="26">
        <v>0.0</v>
      </c>
    </row>
    <row r="24" ht="17.25" customHeight="1">
      <c r="A24" s="35">
        <v>46053.760462962964</v>
      </c>
      <c r="B24" s="23" t="s">
        <v>120</v>
      </c>
      <c r="C24" s="24" t="s">
        <v>1560</v>
      </c>
      <c r="D24" s="36">
        <v>46051.0</v>
      </c>
      <c r="E24" s="27">
        <v>1200.0</v>
      </c>
      <c r="F24" s="37" t="s">
        <v>1561</v>
      </c>
      <c r="G24" s="26"/>
      <c r="H24" s="26"/>
      <c r="I24" s="26" t="s">
        <v>121</v>
      </c>
      <c r="J24" s="26" t="s">
        <v>1225</v>
      </c>
      <c r="K24" s="26" t="s">
        <v>1562</v>
      </c>
      <c r="L24" s="26" t="s">
        <v>1613</v>
      </c>
      <c r="M24" s="26" t="s">
        <v>1604</v>
      </c>
      <c r="N24" s="26" t="s">
        <v>1571</v>
      </c>
      <c r="O24" s="26" t="s">
        <v>1566</v>
      </c>
      <c r="P24" s="26" t="s">
        <v>22</v>
      </c>
      <c r="Q24" s="26">
        <v>200.0</v>
      </c>
    </row>
    <row r="25" ht="17.25" customHeight="1">
      <c r="A25" s="35">
        <v>46053.760462962964</v>
      </c>
      <c r="B25" s="23" t="s">
        <v>128</v>
      </c>
      <c r="C25" s="24" t="s">
        <v>1560</v>
      </c>
      <c r="D25" s="36">
        <v>46051.0</v>
      </c>
      <c r="E25" s="27">
        <v>2000.0</v>
      </c>
      <c r="F25" s="37" t="s">
        <v>1561</v>
      </c>
      <c r="G25" s="26"/>
      <c r="H25" s="26"/>
      <c r="I25" s="26" t="s">
        <v>130</v>
      </c>
      <c r="J25" s="26" t="s">
        <v>1225</v>
      </c>
      <c r="K25" s="26" t="s">
        <v>1562</v>
      </c>
      <c r="L25" s="26" t="s">
        <v>1615</v>
      </c>
      <c r="M25" s="26" t="s">
        <v>1575</v>
      </c>
      <c r="N25" s="26" t="s">
        <v>1571</v>
      </c>
      <c r="O25" s="26" t="s">
        <v>1566</v>
      </c>
      <c r="P25" s="26" t="s">
        <v>22</v>
      </c>
      <c r="Q25" s="26">
        <v>500.0</v>
      </c>
    </row>
    <row r="26" ht="17.25" customHeight="1">
      <c r="A26" s="35">
        <v>46053.760462962964</v>
      </c>
      <c r="B26" s="23" t="s">
        <v>135</v>
      </c>
      <c r="C26" s="24" t="s">
        <v>1560</v>
      </c>
      <c r="D26" s="36">
        <v>46051.0</v>
      </c>
      <c r="E26" s="27">
        <v>2000.0</v>
      </c>
      <c r="F26" s="37" t="s">
        <v>1561</v>
      </c>
      <c r="G26" s="26"/>
      <c r="H26" s="26"/>
      <c r="I26" s="26" t="s">
        <v>136</v>
      </c>
      <c r="J26" s="26" t="s">
        <v>1225</v>
      </c>
      <c r="K26" s="26" t="s">
        <v>1562</v>
      </c>
      <c r="L26" s="26" t="s">
        <v>1616</v>
      </c>
      <c r="M26" s="26" t="s">
        <v>1597</v>
      </c>
      <c r="N26" s="26" t="s">
        <v>1571</v>
      </c>
      <c r="O26" s="26" t="s">
        <v>1566</v>
      </c>
      <c r="P26" s="26" t="s">
        <v>22</v>
      </c>
      <c r="Q26" s="26">
        <v>600.0</v>
      </c>
    </row>
    <row r="27" ht="17.25" customHeight="1">
      <c r="A27" s="35">
        <v>46053.760462962964</v>
      </c>
      <c r="B27" s="23" t="s">
        <v>143</v>
      </c>
      <c r="C27" s="24" t="s">
        <v>1560</v>
      </c>
      <c r="D27" s="36">
        <v>46051.0</v>
      </c>
      <c r="E27" s="27">
        <v>1600.0</v>
      </c>
      <c r="F27" s="37" t="s">
        <v>1561</v>
      </c>
      <c r="G27" s="26"/>
      <c r="H27" s="26"/>
      <c r="I27" s="26" t="s">
        <v>144</v>
      </c>
      <c r="J27" s="26" t="s">
        <v>1225</v>
      </c>
      <c r="K27" s="26" t="s">
        <v>1562</v>
      </c>
      <c r="L27" s="26" t="s">
        <v>1617</v>
      </c>
      <c r="M27" s="26" t="s">
        <v>1618</v>
      </c>
      <c r="N27" s="26" t="s">
        <v>1565</v>
      </c>
      <c r="O27" s="26" t="s">
        <v>1566</v>
      </c>
      <c r="P27" s="26" t="s">
        <v>22</v>
      </c>
      <c r="Q27" s="26">
        <v>1600.0</v>
      </c>
    </row>
    <row r="28" ht="17.25" customHeight="1">
      <c r="A28" s="35">
        <v>46053.760462962964</v>
      </c>
      <c r="B28" s="23" t="s">
        <v>546</v>
      </c>
      <c r="C28" s="24" t="s">
        <v>1560</v>
      </c>
      <c r="D28" s="36">
        <v>46051.0</v>
      </c>
      <c r="E28" s="27">
        <v>900.0</v>
      </c>
      <c r="F28" s="37" t="s">
        <v>1561</v>
      </c>
      <c r="G28" s="26"/>
      <c r="H28" s="26"/>
      <c r="I28" s="26" t="s">
        <v>547</v>
      </c>
      <c r="J28" s="26" t="s">
        <v>1225</v>
      </c>
      <c r="K28" s="26" t="s">
        <v>1562</v>
      </c>
      <c r="L28" s="26" t="s">
        <v>1619</v>
      </c>
      <c r="M28" s="26" t="s">
        <v>1564</v>
      </c>
      <c r="N28" s="26" t="s">
        <v>1571</v>
      </c>
      <c r="O28" s="26" t="s">
        <v>1566</v>
      </c>
      <c r="P28" s="26" t="s">
        <v>22</v>
      </c>
      <c r="Q28" s="26">
        <v>2400.0</v>
      </c>
    </row>
    <row r="29" ht="17.25" customHeight="1">
      <c r="A29" s="35">
        <v>46053.760462962964</v>
      </c>
      <c r="B29" s="23" t="s">
        <v>1611</v>
      </c>
      <c r="C29" s="24" t="s">
        <v>1560</v>
      </c>
      <c r="D29" s="36">
        <v>46051.0</v>
      </c>
      <c r="E29" s="27">
        <v>800.0</v>
      </c>
      <c r="F29" s="37" t="s">
        <v>1561</v>
      </c>
      <c r="G29" s="26"/>
      <c r="H29" s="26"/>
      <c r="I29" s="26" t="s">
        <v>1620</v>
      </c>
      <c r="J29" s="26" t="s">
        <v>1225</v>
      </c>
      <c r="K29" s="26" t="s">
        <v>1562</v>
      </c>
      <c r="L29" s="26" t="s">
        <v>1621</v>
      </c>
      <c r="M29" s="26" t="s">
        <v>1622</v>
      </c>
      <c r="N29" s="26" t="s">
        <v>1571</v>
      </c>
      <c r="O29" s="26" t="s">
        <v>1566</v>
      </c>
      <c r="P29" s="26" t="s">
        <v>22</v>
      </c>
      <c r="Q29" s="26">
        <v>0.0</v>
      </c>
    </row>
    <row r="30" ht="17.25" customHeight="1">
      <c r="A30" s="35">
        <v>46053.770833333336</v>
      </c>
      <c r="B30" s="23" t="s">
        <v>1623</v>
      </c>
      <c r="C30" s="24" t="s">
        <v>1560</v>
      </c>
      <c r="D30" s="36">
        <v>46051.0</v>
      </c>
      <c r="E30" s="27">
        <v>800.0</v>
      </c>
      <c r="F30" s="37" t="s">
        <v>1561</v>
      </c>
      <c r="G30" s="26"/>
      <c r="H30" s="26"/>
      <c r="I30" s="26" t="s">
        <v>1624</v>
      </c>
      <c r="J30" s="26" t="s">
        <v>1225</v>
      </c>
      <c r="K30" s="26" t="s">
        <v>1562</v>
      </c>
      <c r="L30" s="26" t="s">
        <v>1625</v>
      </c>
      <c r="M30" s="26" t="s">
        <v>1626</v>
      </c>
      <c r="N30" s="26" t="s">
        <v>1571</v>
      </c>
      <c r="O30" s="26" t="s">
        <v>1566</v>
      </c>
      <c r="P30" s="26" t="s">
        <v>22</v>
      </c>
      <c r="Q30" s="26">
        <v>0.0</v>
      </c>
    </row>
    <row r="31" ht="17.25" customHeight="1">
      <c r="A31" s="35">
        <v>46053.770833333336</v>
      </c>
      <c r="B31" s="23" t="s">
        <v>152</v>
      </c>
      <c r="C31" s="24" t="s">
        <v>1560</v>
      </c>
      <c r="D31" s="36">
        <v>46051.0</v>
      </c>
      <c r="E31" s="27">
        <v>2500.0</v>
      </c>
      <c r="F31" s="37" t="s">
        <v>1561</v>
      </c>
      <c r="G31" s="26"/>
      <c r="H31" s="26"/>
      <c r="I31" s="26" t="s">
        <v>154</v>
      </c>
      <c r="J31" s="26" t="s">
        <v>1225</v>
      </c>
      <c r="K31" s="26" t="s">
        <v>1562</v>
      </c>
      <c r="L31" s="26" t="s">
        <v>1627</v>
      </c>
      <c r="M31" s="26" t="s">
        <v>1628</v>
      </c>
      <c r="N31" s="26" t="s">
        <v>1571</v>
      </c>
      <c r="O31" s="26" t="s">
        <v>1566</v>
      </c>
      <c r="P31" s="26" t="s">
        <v>22</v>
      </c>
      <c r="Q31" s="26">
        <v>2500.0</v>
      </c>
    </row>
    <row r="32" ht="17.25" customHeight="1">
      <c r="A32" s="35">
        <v>46053.770833333336</v>
      </c>
      <c r="B32" s="23" t="s">
        <v>159</v>
      </c>
      <c r="C32" s="24" t="s">
        <v>1560</v>
      </c>
      <c r="D32" s="36">
        <v>46051.0</v>
      </c>
      <c r="E32" s="27">
        <v>600.0</v>
      </c>
      <c r="F32" s="37" t="s">
        <v>1561</v>
      </c>
      <c r="G32" s="26"/>
      <c r="H32" s="26"/>
      <c r="I32" s="26" t="s">
        <v>161</v>
      </c>
      <c r="J32" s="26" t="s">
        <v>1225</v>
      </c>
      <c r="K32" s="26" t="s">
        <v>1562</v>
      </c>
      <c r="L32" s="26" t="s">
        <v>1629</v>
      </c>
      <c r="M32" s="26" t="s">
        <v>1574</v>
      </c>
      <c r="N32" s="26" t="s">
        <v>1571</v>
      </c>
      <c r="O32" s="26" t="s">
        <v>1566</v>
      </c>
      <c r="P32" s="26" t="s">
        <v>22</v>
      </c>
      <c r="Q32" s="26">
        <v>700.0</v>
      </c>
    </row>
    <row r="33" ht="17.25" customHeight="1">
      <c r="A33" s="35">
        <v>46053.770833333336</v>
      </c>
      <c r="B33" s="23" t="s">
        <v>1605</v>
      </c>
      <c r="C33" s="24" t="s">
        <v>1560</v>
      </c>
      <c r="D33" s="36">
        <v>46051.0</v>
      </c>
      <c r="E33" s="27">
        <v>1000.0</v>
      </c>
      <c r="F33" s="37" t="s">
        <v>1561</v>
      </c>
      <c r="G33" s="26"/>
      <c r="H33" s="26"/>
      <c r="I33" s="26" t="s">
        <v>1630</v>
      </c>
      <c r="J33" s="26" t="s">
        <v>1225</v>
      </c>
      <c r="K33" s="26" t="s">
        <v>1562</v>
      </c>
      <c r="L33" s="26" t="s">
        <v>1631</v>
      </c>
      <c r="M33" s="26" t="s">
        <v>1564</v>
      </c>
      <c r="N33" s="26" t="s">
        <v>1571</v>
      </c>
      <c r="O33" s="26" t="s">
        <v>1566</v>
      </c>
      <c r="P33" s="26" t="s">
        <v>22</v>
      </c>
      <c r="Q33" s="26">
        <v>0.0</v>
      </c>
    </row>
    <row r="34" ht="17.25" customHeight="1">
      <c r="A34" s="35">
        <v>46053.770833333336</v>
      </c>
      <c r="B34" s="23" t="s">
        <v>167</v>
      </c>
      <c r="C34" s="24" t="s">
        <v>1560</v>
      </c>
      <c r="D34" s="36">
        <v>46051.0</v>
      </c>
      <c r="E34" s="27">
        <v>1900.0</v>
      </c>
      <c r="F34" s="37" t="s">
        <v>1561</v>
      </c>
      <c r="G34" s="26"/>
      <c r="H34" s="26"/>
      <c r="I34" s="26" t="s">
        <v>168</v>
      </c>
      <c r="J34" s="26" t="s">
        <v>1225</v>
      </c>
      <c r="K34" s="26" t="s">
        <v>1562</v>
      </c>
      <c r="L34" s="26" t="s">
        <v>1632</v>
      </c>
      <c r="M34" s="26" t="s">
        <v>1564</v>
      </c>
      <c r="N34" s="26" t="s">
        <v>1571</v>
      </c>
      <c r="O34" s="26" t="s">
        <v>1566</v>
      </c>
      <c r="P34" s="26" t="s">
        <v>22</v>
      </c>
      <c r="Q34" s="26">
        <v>1900.0</v>
      </c>
    </row>
    <row r="35" ht="17.25" customHeight="1">
      <c r="A35" s="35">
        <v>46053.770833333336</v>
      </c>
      <c r="B35" s="23" t="s">
        <v>175</v>
      </c>
      <c r="C35" s="24" t="s">
        <v>1560</v>
      </c>
      <c r="D35" s="36">
        <v>46051.0</v>
      </c>
      <c r="E35" s="27">
        <v>1300.0</v>
      </c>
      <c r="F35" s="37" t="s">
        <v>1561</v>
      </c>
      <c r="G35" s="26"/>
      <c r="H35" s="26"/>
      <c r="I35" s="26" t="s">
        <v>176</v>
      </c>
      <c r="J35" s="26" t="s">
        <v>1225</v>
      </c>
      <c r="K35" s="26" t="s">
        <v>1562</v>
      </c>
      <c r="L35" s="26" t="s">
        <v>1633</v>
      </c>
      <c r="M35" s="26" t="s">
        <v>1634</v>
      </c>
      <c r="N35" s="26" t="s">
        <v>1571</v>
      </c>
      <c r="O35" s="26" t="s">
        <v>1566</v>
      </c>
      <c r="P35" s="26" t="s">
        <v>22</v>
      </c>
      <c r="Q35" s="26">
        <v>2100.0</v>
      </c>
    </row>
    <row r="36" ht="17.25" customHeight="1">
      <c r="A36" s="35">
        <v>46053.770833333336</v>
      </c>
      <c r="B36" s="23" t="s">
        <v>1635</v>
      </c>
      <c r="C36" s="24" t="s">
        <v>1560</v>
      </c>
      <c r="D36" s="36">
        <v>46051.0</v>
      </c>
      <c r="E36" s="39">
        <v>900.0</v>
      </c>
      <c r="F36" s="37" t="s">
        <v>1561</v>
      </c>
      <c r="G36" s="26"/>
      <c r="H36" s="26"/>
      <c r="I36" s="26" t="s">
        <v>1636</v>
      </c>
      <c r="J36" s="26" t="s">
        <v>1225</v>
      </c>
      <c r="K36" s="26" t="s">
        <v>1562</v>
      </c>
      <c r="L36" s="26" t="s">
        <v>1633</v>
      </c>
      <c r="M36" s="26" t="s">
        <v>1604</v>
      </c>
      <c r="N36" s="26" t="s">
        <v>1571</v>
      </c>
      <c r="O36" s="26" t="s">
        <v>1566</v>
      </c>
      <c r="P36" s="26" t="s">
        <v>22</v>
      </c>
      <c r="Q36" s="26">
        <v>0.0</v>
      </c>
    </row>
    <row r="37" ht="17.25" customHeight="1">
      <c r="A37" s="35">
        <v>46053.770833333336</v>
      </c>
      <c r="B37" s="23" t="s">
        <v>183</v>
      </c>
      <c r="C37" s="24" t="s">
        <v>1560</v>
      </c>
      <c r="D37" s="36">
        <v>46051.0</v>
      </c>
      <c r="E37" s="27">
        <v>800.0</v>
      </c>
      <c r="F37" s="37" t="s">
        <v>1561</v>
      </c>
      <c r="G37" s="26"/>
      <c r="H37" s="26"/>
      <c r="I37" s="26" t="s">
        <v>184</v>
      </c>
      <c r="J37" s="26" t="s">
        <v>1225</v>
      </c>
      <c r="K37" s="26" t="s">
        <v>1562</v>
      </c>
      <c r="L37" s="26" t="s">
        <v>1637</v>
      </c>
      <c r="M37" s="26" t="s">
        <v>1604</v>
      </c>
      <c r="N37" s="26" t="s">
        <v>1571</v>
      </c>
      <c r="O37" s="26" t="s">
        <v>1566</v>
      </c>
      <c r="P37" s="26" t="s">
        <v>22</v>
      </c>
      <c r="Q37" s="26">
        <v>200.0</v>
      </c>
    </row>
    <row r="38" ht="17.25" customHeight="1">
      <c r="A38" s="35">
        <v>46053.770833333336</v>
      </c>
      <c r="B38" s="23" t="s">
        <v>105</v>
      </c>
      <c r="C38" s="24" t="s">
        <v>1560</v>
      </c>
      <c r="D38" s="36">
        <v>46049.0</v>
      </c>
      <c r="E38" s="39">
        <v>300.0</v>
      </c>
      <c r="F38" s="37" t="s">
        <v>1561</v>
      </c>
      <c r="G38" s="26"/>
      <c r="H38" s="26"/>
      <c r="I38" s="26" t="s">
        <v>107</v>
      </c>
      <c r="J38" s="26" t="s">
        <v>1225</v>
      </c>
      <c r="K38" s="26" t="s">
        <v>1562</v>
      </c>
      <c r="L38" s="26" t="s">
        <v>1603</v>
      </c>
      <c r="M38" s="26" t="s">
        <v>1575</v>
      </c>
      <c r="N38" s="26" t="s">
        <v>1571</v>
      </c>
      <c r="O38" s="26" t="s">
        <v>1566</v>
      </c>
      <c r="P38" s="26" t="s">
        <v>22</v>
      </c>
      <c r="Q38" s="26">
        <v>1200.0</v>
      </c>
    </row>
    <row r="39" ht="17.25" customHeight="1">
      <c r="A39" s="35">
        <v>46053.770833333336</v>
      </c>
      <c r="B39" s="23" t="s">
        <v>1638</v>
      </c>
      <c r="C39" s="24" t="s">
        <v>1560</v>
      </c>
      <c r="D39" s="36">
        <v>46049.0</v>
      </c>
      <c r="E39" s="27">
        <v>400.0</v>
      </c>
      <c r="F39" s="37" t="s">
        <v>1561</v>
      </c>
      <c r="G39" s="26"/>
      <c r="H39" s="26"/>
      <c r="I39" s="26" t="s">
        <v>1639</v>
      </c>
      <c r="J39" s="26" t="s">
        <v>1225</v>
      </c>
      <c r="K39" s="26" t="s">
        <v>1640</v>
      </c>
      <c r="L39" s="26" t="s">
        <v>1563</v>
      </c>
      <c r="M39" s="26" t="s">
        <v>1574</v>
      </c>
      <c r="N39" s="26" t="s">
        <v>1566</v>
      </c>
      <c r="O39" s="26" t="s">
        <v>1566</v>
      </c>
      <c r="P39" s="26" t="s">
        <v>22</v>
      </c>
      <c r="Q39" s="26">
        <v>0.0</v>
      </c>
    </row>
    <row r="40" ht="17.25" customHeight="1">
      <c r="A40" s="35">
        <v>46053.770833333336</v>
      </c>
      <c r="B40" s="23" t="s">
        <v>191</v>
      </c>
      <c r="C40" s="24" t="s">
        <v>1560</v>
      </c>
      <c r="D40" s="36">
        <v>46049.0</v>
      </c>
      <c r="E40" s="27">
        <v>500.0</v>
      </c>
      <c r="F40" s="37" t="s">
        <v>1561</v>
      </c>
      <c r="G40" s="26"/>
      <c r="H40" s="26"/>
      <c r="I40" s="26" t="s">
        <v>192</v>
      </c>
      <c r="J40" s="26" t="s">
        <v>1225</v>
      </c>
      <c r="K40" s="26" t="s">
        <v>1640</v>
      </c>
      <c r="L40" s="26" t="s">
        <v>1584</v>
      </c>
      <c r="M40" s="26" t="s">
        <v>1572</v>
      </c>
      <c r="N40" s="26" t="s">
        <v>1566</v>
      </c>
      <c r="O40" s="26" t="s">
        <v>1566</v>
      </c>
      <c r="P40" s="26" t="s">
        <v>22</v>
      </c>
      <c r="Q40" s="26">
        <v>500.0</v>
      </c>
    </row>
    <row r="41" ht="17.25" customHeight="1">
      <c r="A41" s="35">
        <v>46053.770833333336</v>
      </c>
      <c r="B41" s="23" t="s">
        <v>197</v>
      </c>
      <c r="C41" s="24" t="s">
        <v>1560</v>
      </c>
      <c r="D41" s="36">
        <v>46049.0</v>
      </c>
      <c r="E41" s="27">
        <v>200.0</v>
      </c>
      <c r="F41" s="37" t="s">
        <v>1561</v>
      </c>
      <c r="G41" s="26"/>
      <c r="H41" s="26"/>
      <c r="I41" s="26" t="s">
        <v>198</v>
      </c>
      <c r="J41" s="26" t="s">
        <v>1225</v>
      </c>
      <c r="K41" s="26" t="s">
        <v>1562</v>
      </c>
      <c r="L41" s="26" t="s">
        <v>1641</v>
      </c>
      <c r="M41" s="26" t="s">
        <v>1574</v>
      </c>
      <c r="N41" s="26" t="s">
        <v>1571</v>
      </c>
      <c r="O41" s="26" t="s">
        <v>1566</v>
      </c>
      <c r="P41" s="26" t="s">
        <v>22</v>
      </c>
      <c r="Q41" s="26">
        <v>500.0</v>
      </c>
    </row>
    <row r="42" ht="17.25" customHeight="1">
      <c r="A42" s="35">
        <v>46053.770833333336</v>
      </c>
      <c r="B42" s="24" t="s">
        <v>205</v>
      </c>
      <c r="C42" s="24" t="s">
        <v>1560</v>
      </c>
      <c r="D42" s="36">
        <v>46049.0</v>
      </c>
      <c r="E42" s="27">
        <v>600.0</v>
      </c>
      <c r="F42" s="37" t="s">
        <v>1561</v>
      </c>
      <c r="G42" s="26"/>
      <c r="H42" s="26"/>
      <c r="I42" s="26" t="s">
        <v>206</v>
      </c>
      <c r="J42" s="26" t="s">
        <v>1225</v>
      </c>
      <c r="K42" s="26" t="s">
        <v>1642</v>
      </c>
      <c r="L42" s="26" t="s">
        <v>1576</v>
      </c>
      <c r="M42" s="26" t="s">
        <v>1572</v>
      </c>
      <c r="N42" s="26" t="s">
        <v>1566</v>
      </c>
      <c r="O42" s="26" t="s">
        <v>1566</v>
      </c>
      <c r="P42" s="26" t="s">
        <v>22</v>
      </c>
      <c r="Q42" s="26">
        <v>600.0</v>
      </c>
    </row>
    <row r="43" ht="17.25" customHeight="1">
      <c r="A43" s="35">
        <v>46053.770833333336</v>
      </c>
      <c r="B43" s="23" t="s">
        <v>1643</v>
      </c>
      <c r="C43" s="24" t="s">
        <v>1560</v>
      </c>
      <c r="D43" s="36">
        <v>46049.0</v>
      </c>
      <c r="E43" s="27">
        <v>1750.0</v>
      </c>
      <c r="F43" s="37" t="s">
        <v>1561</v>
      </c>
      <c r="G43" s="26"/>
      <c r="H43" s="26"/>
      <c r="I43" s="26" t="s">
        <v>1644</v>
      </c>
      <c r="J43" s="26" t="s">
        <v>1225</v>
      </c>
      <c r="K43" s="26" t="s">
        <v>1640</v>
      </c>
      <c r="L43" s="26" t="s">
        <v>1576</v>
      </c>
      <c r="M43" s="26" t="s">
        <v>1645</v>
      </c>
      <c r="N43" s="26" t="s">
        <v>1566</v>
      </c>
      <c r="O43" s="26" t="s">
        <v>1566</v>
      </c>
      <c r="P43" s="26" t="s">
        <v>22</v>
      </c>
      <c r="Q43" s="26">
        <v>0.0</v>
      </c>
    </row>
    <row r="44" ht="17.25" customHeight="1">
      <c r="A44" s="35">
        <v>46053.770833333336</v>
      </c>
      <c r="B44" s="23" t="s">
        <v>791</v>
      </c>
      <c r="C44" s="24" t="s">
        <v>1560</v>
      </c>
      <c r="D44" s="36">
        <v>46049.0</v>
      </c>
      <c r="E44" s="27">
        <v>250.0</v>
      </c>
      <c r="F44" s="37" t="s">
        <v>1561</v>
      </c>
      <c r="G44" s="26"/>
      <c r="H44" s="26"/>
      <c r="I44" s="26" t="s">
        <v>794</v>
      </c>
      <c r="J44" s="26" t="s">
        <v>1225</v>
      </c>
      <c r="K44" s="26" t="s">
        <v>1646</v>
      </c>
      <c r="L44" s="26" t="s">
        <v>1576</v>
      </c>
      <c r="M44" s="26" t="s">
        <v>1645</v>
      </c>
      <c r="N44" s="26" t="s">
        <v>1566</v>
      </c>
      <c r="O44" s="26" t="s">
        <v>1566</v>
      </c>
      <c r="P44" s="26" t="s">
        <v>22</v>
      </c>
      <c r="Q44" s="26">
        <v>0.0</v>
      </c>
    </row>
    <row r="45" ht="17.25" customHeight="1">
      <c r="A45" s="35">
        <v>46053.770833333336</v>
      </c>
      <c r="B45" s="23" t="s">
        <v>211</v>
      </c>
      <c r="C45" s="24" t="s">
        <v>1560</v>
      </c>
      <c r="D45" s="36">
        <v>46049.0</v>
      </c>
      <c r="E45" s="27">
        <v>250.0</v>
      </c>
      <c r="F45" s="37" t="s">
        <v>1561</v>
      </c>
      <c r="G45" s="26"/>
      <c r="H45" s="26"/>
      <c r="I45" s="26" t="s">
        <v>212</v>
      </c>
      <c r="J45" s="26" t="s">
        <v>1225</v>
      </c>
      <c r="K45" s="26" t="s">
        <v>1646</v>
      </c>
      <c r="L45" s="26" t="s">
        <v>1647</v>
      </c>
      <c r="M45" s="26" t="s">
        <v>1645</v>
      </c>
      <c r="N45" s="26" t="s">
        <v>1566</v>
      </c>
      <c r="O45" s="26" t="s">
        <v>1566</v>
      </c>
      <c r="P45" s="26" t="s">
        <v>22</v>
      </c>
      <c r="Q45" s="26">
        <v>450.0</v>
      </c>
    </row>
    <row r="46" ht="17.25" customHeight="1">
      <c r="A46" s="35">
        <v>46053.770833333336</v>
      </c>
      <c r="B46" s="23" t="s">
        <v>218</v>
      </c>
      <c r="C46" s="24" t="s">
        <v>1560</v>
      </c>
      <c r="D46" s="36">
        <v>46049.0</v>
      </c>
      <c r="E46" s="27">
        <v>1750.0</v>
      </c>
      <c r="F46" s="37" t="s">
        <v>1561</v>
      </c>
      <c r="G46" s="26"/>
      <c r="H46" s="26"/>
      <c r="I46" s="26" t="s">
        <v>219</v>
      </c>
      <c r="J46" s="26" t="s">
        <v>1225</v>
      </c>
      <c r="K46" s="26" t="s">
        <v>1646</v>
      </c>
      <c r="L46" s="26" t="s">
        <v>1625</v>
      </c>
      <c r="M46" s="26" t="s">
        <v>1648</v>
      </c>
      <c r="N46" s="26" t="s">
        <v>1566</v>
      </c>
      <c r="O46" s="26" t="s">
        <v>1566</v>
      </c>
      <c r="P46" s="26" t="s">
        <v>22</v>
      </c>
      <c r="Q46" s="26">
        <v>1300.0</v>
      </c>
    </row>
    <row r="47" ht="17.25" customHeight="1">
      <c r="A47" s="35">
        <v>46053.770833333336</v>
      </c>
      <c r="B47" s="23" t="s">
        <v>1649</v>
      </c>
      <c r="C47" s="24" t="s">
        <v>1560</v>
      </c>
      <c r="D47" s="36">
        <v>46049.0</v>
      </c>
      <c r="E47" s="27">
        <v>200.0</v>
      </c>
      <c r="F47" s="37" t="s">
        <v>1561</v>
      </c>
      <c r="G47" s="26"/>
      <c r="H47" s="26"/>
      <c r="I47" s="26" t="s">
        <v>1650</v>
      </c>
      <c r="J47" s="26" t="s">
        <v>1225</v>
      </c>
      <c r="K47" s="26" t="s">
        <v>1640</v>
      </c>
      <c r="L47" s="26" t="s">
        <v>1563</v>
      </c>
      <c r="M47" s="26" t="s">
        <v>1572</v>
      </c>
      <c r="N47" s="26" t="s">
        <v>1566</v>
      </c>
      <c r="O47" s="26" t="s">
        <v>1566</v>
      </c>
      <c r="P47" s="26" t="s">
        <v>22</v>
      </c>
      <c r="Q47" s="26">
        <v>0.0</v>
      </c>
    </row>
    <row r="48" ht="17.25" customHeight="1">
      <c r="A48" s="35">
        <v>46053.770833333336</v>
      </c>
      <c r="B48" s="23" t="s">
        <v>227</v>
      </c>
      <c r="C48" s="24" t="s">
        <v>1560</v>
      </c>
      <c r="D48" s="36">
        <v>46049.0</v>
      </c>
      <c r="E48" s="27">
        <v>500.0</v>
      </c>
      <c r="F48" s="37" t="s">
        <v>1561</v>
      </c>
      <c r="G48" s="26"/>
      <c r="H48" s="26"/>
      <c r="I48" s="26" t="s">
        <v>228</v>
      </c>
      <c r="J48" s="26" t="s">
        <v>1225</v>
      </c>
      <c r="K48" s="26" t="s">
        <v>1651</v>
      </c>
      <c r="L48" s="26" t="s">
        <v>1633</v>
      </c>
      <c r="M48" s="26" t="s">
        <v>1652</v>
      </c>
      <c r="N48" s="26" t="s">
        <v>1566</v>
      </c>
      <c r="O48" s="26" t="s">
        <v>1566</v>
      </c>
      <c r="P48" s="26" t="s">
        <v>22</v>
      </c>
      <c r="Q48" s="26">
        <v>45.0</v>
      </c>
    </row>
    <row r="49" ht="17.25" customHeight="1">
      <c r="A49" s="35">
        <v>46053.770833333336</v>
      </c>
      <c r="B49" s="23" t="s">
        <v>234</v>
      </c>
      <c r="C49" s="24" t="s">
        <v>1560</v>
      </c>
      <c r="D49" s="36">
        <v>46049.0</v>
      </c>
      <c r="E49" s="27">
        <v>2736.0</v>
      </c>
      <c r="F49" s="37" t="s">
        <v>1561</v>
      </c>
      <c r="G49" s="26"/>
      <c r="H49" s="26"/>
      <c r="I49" s="26" t="s">
        <v>235</v>
      </c>
      <c r="J49" s="26" t="s">
        <v>1225</v>
      </c>
      <c r="K49" s="26" t="s">
        <v>1653</v>
      </c>
      <c r="L49" s="26" t="s">
        <v>1641</v>
      </c>
      <c r="M49" s="26" t="s">
        <v>1572</v>
      </c>
      <c r="N49" s="26" t="s">
        <v>1654</v>
      </c>
      <c r="O49" s="26" t="s">
        <v>1566</v>
      </c>
      <c r="P49" s="26" t="s">
        <v>22</v>
      </c>
      <c r="Q49" s="26">
        <v>1008.0</v>
      </c>
    </row>
    <row r="50" ht="17.25" customHeight="1">
      <c r="A50" s="35">
        <v>46053.770833333336</v>
      </c>
      <c r="B50" s="23" t="s">
        <v>240</v>
      </c>
      <c r="C50" s="24" t="s">
        <v>1560</v>
      </c>
      <c r="D50" s="36">
        <v>46049.0</v>
      </c>
      <c r="E50" s="27">
        <v>1008.0</v>
      </c>
      <c r="F50" s="37" t="s">
        <v>1561</v>
      </c>
      <c r="G50" s="26"/>
      <c r="H50" s="26"/>
      <c r="I50" s="26" t="s">
        <v>241</v>
      </c>
      <c r="J50" s="26" t="s">
        <v>1225</v>
      </c>
      <c r="K50" s="26" t="s">
        <v>1653</v>
      </c>
      <c r="L50" s="26" t="s">
        <v>1641</v>
      </c>
      <c r="M50" s="26" t="s">
        <v>1574</v>
      </c>
      <c r="N50" s="26" t="s">
        <v>1654</v>
      </c>
      <c r="O50" s="26" t="s">
        <v>1566</v>
      </c>
      <c r="P50" s="26" t="s">
        <v>22</v>
      </c>
      <c r="Q50" s="26">
        <v>1008.0</v>
      </c>
    </row>
    <row r="51" ht="17.25" customHeight="1">
      <c r="A51" s="35">
        <v>46053.770833333336</v>
      </c>
      <c r="B51" s="23" t="s">
        <v>1609</v>
      </c>
      <c r="C51" s="24" t="s">
        <v>1560</v>
      </c>
      <c r="D51" s="36">
        <v>46049.0</v>
      </c>
      <c r="E51" s="27">
        <v>1728.0</v>
      </c>
      <c r="F51" s="37" t="s">
        <v>1561</v>
      </c>
      <c r="G51" s="26"/>
      <c r="H51" s="26"/>
      <c r="I51" s="26" t="s">
        <v>1655</v>
      </c>
      <c r="J51" s="26" t="s">
        <v>1225</v>
      </c>
      <c r="K51" s="26" t="s">
        <v>1653</v>
      </c>
      <c r="L51" s="26" t="s">
        <v>1656</v>
      </c>
      <c r="M51" s="26" t="s">
        <v>1572</v>
      </c>
      <c r="N51" s="26" t="s">
        <v>1654</v>
      </c>
      <c r="O51" s="26" t="s">
        <v>1566</v>
      </c>
      <c r="P51" s="26" t="s">
        <v>22</v>
      </c>
      <c r="Q51" s="26">
        <v>0.0</v>
      </c>
    </row>
    <row r="52" ht="17.25" customHeight="1">
      <c r="A52" s="35">
        <v>46053.770833333336</v>
      </c>
      <c r="B52" s="23" t="s">
        <v>245</v>
      </c>
      <c r="C52" s="24" t="s">
        <v>1560</v>
      </c>
      <c r="D52" s="36">
        <v>46049.0</v>
      </c>
      <c r="E52" s="27">
        <v>648.0</v>
      </c>
      <c r="F52" s="37" t="s">
        <v>1561</v>
      </c>
      <c r="G52" s="26"/>
      <c r="H52" s="26"/>
      <c r="I52" s="26" t="s">
        <v>246</v>
      </c>
      <c r="J52" s="26" t="s">
        <v>1225</v>
      </c>
      <c r="K52" s="26" t="s">
        <v>1653</v>
      </c>
      <c r="L52" s="26" t="s">
        <v>1658</v>
      </c>
      <c r="M52" s="26" t="s">
        <v>1572</v>
      </c>
      <c r="N52" s="26" t="s">
        <v>1654</v>
      </c>
      <c r="O52" s="26" t="s">
        <v>1566</v>
      </c>
      <c r="P52" s="26" t="s">
        <v>22</v>
      </c>
      <c r="Q52" s="26">
        <v>648.0</v>
      </c>
    </row>
    <row r="53" ht="17.25" customHeight="1">
      <c r="A53" s="35">
        <v>46053.770833333336</v>
      </c>
      <c r="B53" s="23" t="s">
        <v>250</v>
      </c>
      <c r="C53" s="24" t="s">
        <v>1560</v>
      </c>
      <c r="D53" s="36">
        <v>46049.0</v>
      </c>
      <c r="E53" s="27">
        <v>432.0</v>
      </c>
      <c r="F53" s="37" t="s">
        <v>1561</v>
      </c>
      <c r="G53" s="26"/>
      <c r="H53" s="26"/>
      <c r="I53" s="26" t="s">
        <v>252</v>
      </c>
      <c r="J53" s="26" t="s">
        <v>1225</v>
      </c>
      <c r="K53" s="26" t="s">
        <v>1653</v>
      </c>
      <c r="L53" s="26" t="s">
        <v>1656</v>
      </c>
      <c r="M53" s="26" t="s">
        <v>1574</v>
      </c>
      <c r="N53" s="26" t="s">
        <v>1661</v>
      </c>
      <c r="O53" s="26" t="s">
        <v>1566</v>
      </c>
      <c r="P53" s="26" t="s">
        <v>22</v>
      </c>
      <c r="Q53" s="26">
        <v>432.0</v>
      </c>
    </row>
    <row r="54" ht="17.25" customHeight="1">
      <c r="A54" s="35">
        <v>46053.770833333336</v>
      </c>
      <c r="B54" s="23" t="s">
        <v>256</v>
      </c>
      <c r="C54" s="24" t="s">
        <v>1560</v>
      </c>
      <c r="D54" s="36">
        <v>46049.0</v>
      </c>
      <c r="E54" s="27">
        <v>576.0</v>
      </c>
      <c r="F54" s="37" t="s">
        <v>1561</v>
      </c>
      <c r="G54" s="26"/>
      <c r="H54" s="26"/>
      <c r="I54" s="26" t="s">
        <v>257</v>
      </c>
      <c r="J54" s="26" t="s">
        <v>1225</v>
      </c>
      <c r="K54" s="26" t="s">
        <v>1653</v>
      </c>
      <c r="L54" s="26" t="s">
        <v>1633</v>
      </c>
      <c r="M54" s="26" t="s">
        <v>1572</v>
      </c>
      <c r="N54" s="26" t="s">
        <v>1661</v>
      </c>
      <c r="O54" s="26" t="s">
        <v>1566</v>
      </c>
      <c r="P54" s="26" t="s">
        <v>22</v>
      </c>
      <c r="Q54" s="26">
        <v>576.0</v>
      </c>
    </row>
    <row r="55" ht="17.25" customHeight="1">
      <c r="A55" s="35">
        <v>46053.770833333336</v>
      </c>
      <c r="B55" s="23" t="s">
        <v>365</v>
      </c>
      <c r="C55" s="24" t="s">
        <v>1560</v>
      </c>
      <c r="D55" s="36">
        <v>46049.0</v>
      </c>
      <c r="E55" s="27">
        <v>720.0</v>
      </c>
      <c r="F55" s="37" t="s">
        <v>1561</v>
      </c>
      <c r="G55" s="26"/>
      <c r="H55" s="26"/>
      <c r="I55" s="26" t="s">
        <v>367</v>
      </c>
      <c r="J55" s="26" t="s">
        <v>1225</v>
      </c>
      <c r="K55" s="26" t="s">
        <v>1653</v>
      </c>
      <c r="L55" s="26" t="s">
        <v>1584</v>
      </c>
      <c r="M55" s="26" t="s">
        <v>1572</v>
      </c>
      <c r="N55" s="26" t="s">
        <v>1654</v>
      </c>
      <c r="O55" s="26" t="s">
        <v>1566</v>
      </c>
      <c r="P55" s="26" t="s">
        <v>22</v>
      </c>
      <c r="Q55" s="26">
        <v>0.0</v>
      </c>
    </row>
    <row r="56" ht="17.25" customHeight="1">
      <c r="A56" s="35">
        <v>46053.770833333336</v>
      </c>
      <c r="B56" s="23" t="s">
        <v>179</v>
      </c>
      <c r="C56" s="24" t="s">
        <v>1560</v>
      </c>
      <c r="D56" s="36">
        <v>46049.0</v>
      </c>
      <c r="E56" s="27">
        <v>576.0</v>
      </c>
      <c r="F56" s="37" t="s">
        <v>1561</v>
      </c>
      <c r="G56" s="26"/>
      <c r="H56" s="26"/>
      <c r="I56" s="26" t="s">
        <v>180</v>
      </c>
      <c r="J56" s="26" t="s">
        <v>1225</v>
      </c>
      <c r="K56" s="26" t="s">
        <v>1653</v>
      </c>
      <c r="L56" s="26" t="s">
        <v>1563</v>
      </c>
      <c r="M56" s="26" t="s">
        <v>1572</v>
      </c>
      <c r="N56" s="26" t="s">
        <v>1654</v>
      </c>
      <c r="O56" s="26" t="s">
        <v>1566</v>
      </c>
      <c r="P56" s="26" t="s">
        <v>22</v>
      </c>
      <c r="Q56" s="26">
        <v>0.0</v>
      </c>
    </row>
    <row r="57" ht="17.25" customHeight="1">
      <c r="A57" s="35">
        <v>46053.770833333336</v>
      </c>
      <c r="B57" s="23" t="s">
        <v>261</v>
      </c>
      <c r="C57" s="24" t="s">
        <v>1560</v>
      </c>
      <c r="D57" s="36">
        <v>46049.0</v>
      </c>
      <c r="E57" s="27">
        <v>864.0</v>
      </c>
      <c r="F57" s="37" t="s">
        <v>1561</v>
      </c>
      <c r="G57" s="26"/>
      <c r="H57" s="26"/>
      <c r="I57" s="26" t="s">
        <v>262</v>
      </c>
      <c r="J57" s="26" t="s">
        <v>1225</v>
      </c>
      <c r="K57" s="26" t="s">
        <v>1653</v>
      </c>
      <c r="L57" s="26" t="s">
        <v>1587</v>
      </c>
      <c r="M57" s="26" t="s">
        <v>1572</v>
      </c>
      <c r="N57" s="26" t="s">
        <v>1661</v>
      </c>
      <c r="O57" s="26" t="s">
        <v>1566</v>
      </c>
      <c r="P57" s="26" t="s">
        <v>22</v>
      </c>
      <c r="Q57" s="26">
        <v>1296.0</v>
      </c>
    </row>
    <row r="58" ht="17.25" customHeight="1">
      <c r="A58" s="35">
        <v>46053.770833333336</v>
      </c>
      <c r="B58" s="23" t="s">
        <v>266</v>
      </c>
      <c r="C58" s="24" t="s">
        <v>1560</v>
      </c>
      <c r="D58" s="36">
        <v>46049.0</v>
      </c>
      <c r="E58" s="27">
        <v>432.0</v>
      </c>
      <c r="F58" s="37" t="s">
        <v>1561</v>
      </c>
      <c r="G58" s="26"/>
      <c r="H58" s="26"/>
      <c r="I58" s="26" t="s">
        <v>268</v>
      </c>
      <c r="J58" s="26" t="s">
        <v>1225</v>
      </c>
      <c r="K58" s="26" t="s">
        <v>1653</v>
      </c>
      <c r="L58" s="26" t="s">
        <v>1563</v>
      </c>
      <c r="M58" s="26" t="s">
        <v>1662</v>
      </c>
      <c r="N58" s="26" t="s">
        <v>1654</v>
      </c>
      <c r="O58" s="26" t="s">
        <v>1566</v>
      </c>
      <c r="P58" s="26" t="s">
        <v>22</v>
      </c>
      <c r="Q58" s="26">
        <v>432.0</v>
      </c>
    </row>
    <row r="59" ht="17.25" customHeight="1">
      <c r="A59" s="35">
        <v>46053.770833333336</v>
      </c>
      <c r="B59" s="23" t="s">
        <v>274</v>
      </c>
      <c r="C59" s="24" t="s">
        <v>1560</v>
      </c>
      <c r="D59" s="36">
        <v>46049.0</v>
      </c>
      <c r="E59" s="27">
        <v>600.0</v>
      </c>
      <c r="F59" s="37" t="s">
        <v>1561</v>
      </c>
      <c r="G59" s="26"/>
      <c r="H59" s="26"/>
      <c r="I59" s="26" t="s">
        <v>276</v>
      </c>
      <c r="J59" s="26" t="s">
        <v>1225</v>
      </c>
      <c r="K59" s="26" t="s">
        <v>1562</v>
      </c>
      <c r="L59" s="26" t="s">
        <v>1663</v>
      </c>
      <c r="M59" s="26" t="s">
        <v>1564</v>
      </c>
      <c r="N59" s="26" t="s">
        <v>1571</v>
      </c>
      <c r="O59" s="26" t="s">
        <v>1566</v>
      </c>
      <c r="P59" s="26" t="s">
        <v>22</v>
      </c>
      <c r="Q59" s="26">
        <v>600.0</v>
      </c>
    </row>
    <row r="60" ht="17.25" customHeight="1">
      <c r="A60" s="35">
        <v>46053.770833333336</v>
      </c>
      <c r="B60" s="23" t="s">
        <v>1664</v>
      </c>
      <c r="C60" s="24" t="s">
        <v>1560</v>
      </c>
      <c r="D60" s="36">
        <v>46049.0</v>
      </c>
      <c r="E60" s="27">
        <v>1008.0</v>
      </c>
      <c r="F60" s="37" t="s">
        <v>1561</v>
      </c>
      <c r="G60" s="26"/>
      <c r="H60" s="26"/>
      <c r="I60" s="26" t="s">
        <v>1665</v>
      </c>
      <c r="J60" s="26" t="s">
        <v>1225</v>
      </c>
      <c r="K60" s="26" t="s">
        <v>1653</v>
      </c>
      <c r="L60" s="26" t="s">
        <v>1667</v>
      </c>
      <c r="M60" s="26" t="s">
        <v>1572</v>
      </c>
      <c r="N60" s="26" t="s">
        <v>1654</v>
      </c>
      <c r="O60" s="26" t="s">
        <v>1566</v>
      </c>
      <c r="P60" s="26" t="s">
        <v>22</v>
      </c>
      <c r="Q60" s="26">
        <v>0.0</v>
      </c>
    </row>
    <row r="61" ht="17.25" customHeight="1">
      <c r="A61" s="35">
        <v>46053.770833333336</v>
      </c>
      <c r="B61" s="23" t="s">
        <v>283</v>
      </c>
      <c r="C61" s="24" t="s">
        <v>1560</v>
      </c>
      <c r="D61" s="36">
        <v>46049.0</v>
      </c>
      <c r="E61" s="27">
        <v>200.0</v>
      </c>
      <c r="F61" s="37" t="s">
        <v>1561</v>
      </c>
      <c r="G61" s="26"/>
      <c r="H61" s="26"/>
      <c r="I61" s="26" t="s">
        <v>284</v>
      </c>
      <c r="J61" s="26" t="s">
        <v>1225</v>
      </c>
      <c r="K61" s="26" t="s">
        <v>1562</v>
      </c>
      <c r="L61" s="26" t="s">
        <v>1633</v>
      </c>
      <c r="M61" s="26" t="s">
        <v>1671</v>
      </c>
      <c r="N61" s="26" t="s">
        <v>1571</v>
      </c>
      <c r="O61" s="26" t="s">
        <v>1566</v>
      </c>
      <c r="P61" s="26" t="s">
        <v>22</v>
      </c>
      <c r="Q61" s="26">
        <v>200.0</v>
      </c>
    </row>
    <row r="62" ht="17.25" customHeight="1">
      <c r="A62" s="35">
        <v>46053.770833333336</v>
      </c>
      <c r="B62" s="23" t="s">
        <v>287</v>
      </c>
      <c r="C62" s="24" t="s">
        <v>1560</v>
      </c>
      <c r="D62" s="36">
        <v>46049.0</v>
      </c>
      <c r="E62" s="27">
        <v>12.0</v>
      </c>
      <c r="F62" s="24" t="s">
        <v>1673</v>
      </c>
      <c r="G62" s="26"/>
      <c r="H62" s="26"/>
      <c r="I62" s="26" t="s">
        <v>288</v>
      </c>
      <c r="J62" s="26" t="s">
        <v>1674</v>
      </c>
      <c r="K62" s="26" t="s">
        <v>1675</v>
      </c>
      <c r="L62" s="26" t="s">
        <v>1566</v>
      </c>
      <c r="M62" s="26" t="s">
        <v>1566</v>
      </c>
      <c r="N62" s="26" t="s">
        <v>1676</v>
      </c>
      <c r="O62" s="26" t="s">
        <v>1677</v>
      </c>
      <c r="P62" s="26" t="s">
        <v>290</v>
      </c>
      <c r="Q62" s="26">
        <v>16.0</v>
      </c>
    </row>
    <row r="63" ht="17.25" customHeight="1">
      <c r="A63" s="35">
        <v>46053.770833333336</v>
      </c>
      <c r="B63" s="23" t="s">
        <v>292</v>
      </c>
      <c r="C63" s="24" t="s">
        <v>1560</v>
      </c>
      <c r="D63" s="36">
        <v>46049.0</v>
      </c>
      <c r="E63" s="27">
        <v>16.0</v>
      </c>
      <c r="F63" s="24" t="s">
        <v>1673</v>
      </c>
      <c r="G63" s="26"/>
      <c r="H63" s="26"/>
      <c r="I63" s="26" t="s">
        <v>294</v>
      </c>
      <c r="J63" s="26" t="s">
        <v>1674</v>
      </c>
      <c r="K63" s="26" t="s">
        <v>1675</v>
      </c>
      <c r="L63" s="26" t="s">
        <v>1566</v>
      </c>
      <c r="M63" s="26" t="s">
        <v>1566</v>
      </c>
      <c r="N63" s="26" t="s">
        <v>1678</v>
      </c>
      <c r="O63" s="26" t="s">
        <v>1677</v>
      </c>
      <c r="P63" s="26" t="s">
        <v>290</v>
      </c>
      <c r="Q63" s="26">
        <v>10.0</v>
      </c>
    </row>
    <row r="64" ht="17.25" customHeight="1">
      <c r="A64" s="35">
        <v>46053.770833333336</v>
      </c>
      <c r="B64" s="23" t="s">
        <v>297</v>
      </c>
      <c r="C64" s="24" t="s">
        <v>1560</v>
      </c>
      <c r="D64" s="36">
        <v>46049.0</v>
      </c>
      <c r="E64" s="27">
        <v>4.0</v>
      </c>
      <c r="F64" s="24" t="s">
        <v>1673</v>
      </c>
      <c r="G64" s="26"/>
      <c r="H64" s="26"/>
      <c r="I64" s="26" t="s">
        <v>298</v>
      </c>
      <c r="J64" s="26" t="s">
        <v>1674</v>
      </c>
      <c r="K64" s="26" t="s">
        <v>1675</v>
      </c>
      <c r="L64" s="26" t="s">
        <v>1566</v>
      </c>
      <c r="M64" s="26" t="s">
        <v>1566</v>
      </c>
      <c r="N64" s="26" t="s">
        <v>1680</v>
      </c>
      <c r="O64" s="26" t="s">
        <v>1677</v>
      </c>
      <c r="P64" s="26" t="s">
        <v>290</v>
      </c>
      <c r="Q64" s="26">
        <v>10.0</v>
      </c>
    </row>
    <row r="65" ht="17.25" customHeight="1">
      <c r="A65" s="35">
        <v>46053.770833333336</v>
      </c>
      <c r="B65" s="23" t="s">
        <v>304</v>
      </c>
      <c r="C65" s="24" t="s">
        <v>1560</v>
      </c>
      <c r="D65" s="36">
        <v>46049.0</v>
      </c>
      <c r="E65" s="27">
        <v>4.0</v>
      </c>
      <c r="F65" s="24" t="s">
        <v>1673</v>
      </c>
      <c r="G65" s="26"/>
      <c r="H65" s="26"/>
      <c r="I65" s="26" t="s">
        <v>306</v>
      </c>
      <c r="J65" s="26" t="s">
        <v>1674</v>
      </c>
      <c r="K65" s="26" t="s">
        <v>1675</v>
      </c>
      <c r="L65" s="26" t="s">
        <v>1566</v>
      </c>
      <c r="M65" s="26" t="s">
        <v>1566</v>
      </c>
      <c r="N65" s="26" t="s">
        <v>1682</v>
      </c>
      <c r="O65" s="26" t="s">
        <v>1677</v>
      </c>
      <c r="P65" s="26" t="s">
        <v>290</v>
      </c>
      <c r="Q65" s="26">
        <v>6.0</v>
      </c>
    </row>
    <row r="66" ht="17.25" customHeight="1">
      <c r="A66" s="35">
        <v>46053.770833333336</v>
      </c>
      <c r="B66" s="23" t="s">
        <v>1683</v>
      </c>
      <c r="C66" s="24" t="s">
        <v>1560</v>
      </c>
      <c r="D66" s="36">
        <v>46049.0</v>
      </c>
      <c r="E66" s="27">
        <v>2.0</v>
      </c>
      <c r="F66" s="24" t="s">
        <v>1673</v>
      </c>
      <c r="G66" s="26"/>
      <c r="H66" s="26"/>
      <c r="I66" s="26" t="s">
        <v>1684</v>
      </c>
      <c r="J66" s="26" t="s">
        <v>1674</v>
      </c>
      <c r="K66" s="26" t="s">
        <v>1675</v>
      </c>
      <c r="L66" s="26" t="s">
        <v>1566</v>
      </c>
      <c r="M66" s="26" t="s">
        <v>1566</v>
      </c>
      <c r="N66" s="26" t="s">
        <v>1676</v>
      </c>
      <c r="O66" s="26" t="s">
        <v>1685</v>
      </c>
      <c r="P66" s="26" t="s">
        <v>290</v>
      </c>
      <c r="Q66" s="26">
        <v>0.0</v>
      </c>
    </row>
    <row r="67" ht="17.25" customHeight="1">
      <c r="A67" s="35">
        <v>46053.770833333336</v>
      </c>
      <c r="B67" s="23" t="s">
        <v>1686</v>
      </c>
      <c r="C67" s="24" t="s">
        <v>1560</v>
      </c>
      <c r="D67" s="36">
        <v>46049.0</v>
      </c>
      <c r="E67" s="27">
        <v>5.0</v>
      </c>
      <c r="F67" s="24" t="s">
        <v>1673</v>
      </c>
      <c r="G67" s="26"/>
      <c r="H67" s="26"/>
      <c r="I67" s="26" t="s">
        <v>1687</v>
      </c>
      <c r="J67" s="26" t="s">
        <v>1674</v>
      </c>
      <c r="K67" s="26" t="s">
        <v>1675</v>
      </c>
      <c r="L67" s="26" t="s">
        <v>1566</v>
      </c>
      <c r="M67" s="26" t="s">
        <v>1566</v>
      </c>
      <c r="N67" s="26" t="s">
        <v>1565</v>
      </c>
      <c r="O67" s="26" t="s">
        <v>1685</v>
      </c>
      <c r="P67" s="26" t="s">
        <v>290</v>
      </c>
      <c r="Q67" s="26">
        <v>0.0</v>
      </c>
    </row>
    <row r="68" ht="17.25" customHeight="1">
      <c r="A68" s="35">
        <v>46053.770833333336</v>
      </c>
      <c r="B68" s="23" t="s">
        <v>314</v>
      </c>
      <c r="C68" s="24" t="s">
        <v>1560</v>
      </c>
      <c r="D68" s="36">
        <v>46049.0</v>
      </c>
      <c r="E68" s="27">
        <v>1.0</v>
      </c>
      <c r="F68" s="24" t="s">
        <v>1673</v>
      </c>
      <c r="G68" s="26"/>
      <c r="H68" s="26"/>
      <c r="I68" s="26" t="s">
        <v>315</v>
      </c>
      <c r="J68" s="26" t="s">
        <v>1674</v>
      </c>
      <c r="K68" s="26" t="s">
        <v>1675</v>
      </c>
      <c r="L68" s="26" t="s">
        <v>1566</v>
      </c>
      <c r="M68" s="26" t="s">
        <v>1566</v>
      </c>
      <c r="N68" s="26" t="s">
        <v>1680</v>
      </c>
      <c r="O68" s="26" t="s">
        <v>1685</v>
      </c>
      <c r="P68" s="26" t="s">
        <v>290</v>
      </c>
      <c r="Q68" s="26">
        <v>1.0</v>
      </c>
    </row>
    <row r="69" ht="17.25" customHeight="1">
      <c r="A69" s="35">
        <v>46053.770833333336</v>
      </c>
      <c r="B69" s="23" t="s">
        <v>323</v>
      </c>
      <c r="C69" s="24" t="s">
        <v>1560</v>
      </c>
      <c r="D69" s="36">
        <v>46049.0</v>
      </c>
      <c r="E69" s="27">
        <v>1.0</v>
      </c>
      <c r="F69" s="24" t="s">
        <v>1673</v>
      </c>
      <c r="G69" s="26"/>
      <c r="H69" s="26"/>
      <c r="I69" s="26" t="s">
        <v>325</v>
      </c>
      <c r="J69" s="26" t="s">
        <v>1674</v>
      </c>
      <c r="K69" s="26" t="s">
        <v>1675</v>
      </c>
      <c r="L69" s="26" t="s">
        <v>1566</v>
      </c>
      <c r="M69" s="26" t="s">
        <v>1566</v>
      </c>
      <c r="N69" s="26" t="s">
        <v>1682</v>
      </c>
      <c r="O69" s="26" t="s">
        <v>1685</v>
      </c>
      <c r="P69" s="26" t="s">
        <v>290</v>
      </c>
      <c r="Q69" s="26">
        <v>1.0</v>
      </c>
    </row>
    <row r="70" ht="17.25" customHeight="1">
      <c r="A70" s="35">
        <v>46053.770833333336</v>
      </c>
      <c r="B70" s="23" t="s">
        <v>332</v>
      </c>
      <c r="C70" s="24" t="s">
        <v>1560</v>
      </c>
      <c r="D70" s="36">
        <v>46049.0</v>
      </c>
      <c r="E70" s="27">
        <v>1.0</v>
      </c>
      <c r="F70" s="24" t="s">
        <v>1673</v>
      </c>
      <c r="G70" s="26"/>
      <c r="H70" s="26"/>
      <c r="I70" s="26" t="s">
        <v>333</v>
      </c>
      <c r="J70" s="26" t="s">
        <v>1674</v>
      </c>
      <c r="K70" s="26" t="s">
        <v>1675</v>
      </c>
      <c r="L70" s="26" t="s">
        <v>1566</v>
      </c>
      <c r="M70" s="26" t="s">
        <v>1566</v>
      </c>
      <c r="N70" s="26" t="s">
        <v>1678</v>
      </c>
      <c r="O70" s="26" t="s">
        <v>1685</v>
      </c>
      <c r="P70" s="26" t="s">
        <v>290</v>
      </c>
      <c r="Q70" s="26">
        <v>1.0</v>
      </c>
    </row>
    <row r="71" ht="17.25" customHeight="1">
      <c r="A71" s="35">
        <v>46053.770833333336</v>
      </c>
      <c r="B71" s="23" t="s">
        <v>338</v>
      </c>
      <c r="C71" s="24" t="s">
        <v>1560</v>
      </c>
      <c r="D71" s="36">
        <v>46049.0</v>
      </c>
      <c r="E71" s="27">
        <v>4.0</v>
      </c>
      <c r="F71" s="24" t="s">
        <v>1673</v>
      </c>
      <c r="G71" s="26"/>
      <c r="H71" s="26"/>
      <c r="I71" s="26" t="s">
        <v>340</v>
      </c>
      <c r="J71" s="26" t="s">
        <v>1674</v>
      </c>
      <c r="K71" s="26" t="s">
        <v>1675</v>
      </c>
      <c r="L71" s="26" t="s">
        <v>1566</v>
      </c>
      <c r="M71" s="26" t="s">
        <v>1566</v>
      </c>
      <c r="N71" s="26" t="s">
        <v>1678</v>
      </c>
      <c r="O71" s="26" t="s">
        <v>1690</v>
      </c>
      <c r="P71" s="26" t="s">
        <v>290</v>
      </c>
      <c r="Q71" s="26">
        <v>3.0</v>
      </c>
    </row>
    <row r="72" ht="17.25" customHeight="1">
      <c r="A72" s="35">
        <v>46053.770833333336</v>
      </c>
      <c r="B72" s="23" t="s">
        <v>348</v>
      </c>
      <c r="C72" s="24" t="s">
        <v>1560</v>
      </c>
      <c r="D72" s="36">
        <v>46049.0</v>
      </c>
      <c r="E72" s="27">
        <v>3.0</v>
      </c>
      <c r="F72" s="24" t="s">
        <v>1673</v>
      </c>
      <c r="G72" s="26"/>
      <c r="H72" s="26"/>
      <c r="I72" s="26" t="s">
        <v>350</v>
      </c>
      <c r="J72" s="26" t="s">
        <v>1674</v>
      </c>
      <c r="K72" s="26" t="s">
        <v>1675</v>
      </c>
      <c r="L72" s="26" t="s">
        <v>1566</v>
      </c>
      <c r="M72" s="26" t="s">
        <v>1566</v>
      </c>
      <c r="N72" s="26" t="s">
        <v>1680</v>
      </c>
      <c r="O72" s="26" t="s">
        <v>1690</v>
      </c>
      <c r="P72" s="26" t="s">
        <v>290</v>
      </c>
      <c r="Q72" s="26">
        <v>0.0</v>
      </c>
    </row>
    <row r="73" ht="17.25" customHeight="1">
      <c r="A73" s="35">
        <v>46053.770833333336</v>
      </c>
      <c r="B73" s="23" t="s">
        <v>355</v>
      </c>
      <c r="C73" s="24" t="s">
        <v>1560</v>
      </c>
      <c r="D73" s="36">
        <v>46049.0</v>
      </c>
      <c r="E73" s="27">
        <v>6.0</v>
      </c>
      <c r="F73" s="24" t="s">
        <v>1673</v>
      </c>
      <c r="G73" s="26"/>
      <c r="H73" s="26"/>
      <c r="I73" s="26" t="s">
        <v>357</v>
      </c>
      <c r="J73" s="26" t="s">
        <v>1674</v>
      </c>
      <c r="K73" s="26" t="s">
        <v>1675</v>
      </c>
      <c r="L73" s="26" t="s">
        <v>1566</v>
      </c>
      <c r="M73" s="26" t="s">
        <v>1566</v>
      </c>
      <c r="N73" s="26" t="s">
        <v>1682</v>
      </c>
      <c r="O73" s="26" t="s">
        <v>1690</v>
      </c>
      <c r="P73" s="26" t="s">
        <v>290</v>
      </c>
      <c r="Q73" s="26">
        <v>0.0</v>
      </c>
    </row>
    <row r="74" ht="17.25" customHeight="1">
      <c r="A74" s="35">
        <v>46053.770833333336</v>
      </c>
      <c r="B74" s="23" t="s">
        <v>364</v>
      </c>
      <c r="C74" s="24" t="s">
        <v>1560</v>
      </c>
      <c r="D74" s="36">
        <v>46049.0</v>
      </c>
      <c r="E74" s="27">
        <v>5.0</v>
      </c>
      <c r="F74" s="24" t="s">
        <v>1673</v>
      </c>
      <c r="G74" s="26"/>
      <c r="H74" s="26"/>
      <c r="I74" s="26" t="s">
        <v>366</v>
      </c>
      <c r="J74" s="26" t="s">
        <v>1674</v>
      </c>
      <c r="K74" s="26" t="s">
        <v>1675</v>
      </c>
      <c r="L74" s="26" t="s">
        <v>1566</v>
      </c>
      <c r="M74" s="26" t="s">
        <v>1566</v>
      </c>
      <c r="N74" s="26" t="s">
        <v>1676</v>
      </c>
      <c r="O74" s="26" t="s">
        <v>1690</v>
      </c>
      <c r="P74" s="26" t="s">
        <v>290</v>
      </c>
      <c r="Q74" s="26">
        <v>0.0</v>
      </c>
    </row>
    <row r="75" ht="17.25" customHeight="1">
      <c r="A75" s="35">
        <v>46053.770833333336</v>
      </c>
      <c r="B75" s="23" t="s">
        <v>373</v>
      </c>
      <c r="C75" s="24" t="s">
        <v>1560</v>
      </c>
      <c r="D75" s="36">
        <v>46049.0</v>
      </c>
      <c r="E75" s="27">
        <v>2.0</v>
      </c>
      <c r="F75" s="24" t="s">
        <v>1673</v>
      </c>
      <c r="G75" s="26"/>
      <c r="H75" s="26"/>
      <c r="I75" s="26" t="s">
        <v>375</v>
      </c>
      <c r="J75" s="26" t="s">
        <v>1674</v>
      </c>
      <c r="K75" s="26" t="s">
        <v>1691</v>
      </c>
      <c r="L75" s="26" t="s">
        <v>1566</v>
      </c>
      <c r="M75" s="26" t="s">
        <v>1566</v>
      </c>
      <c r="N75" s="26" t="s">
        <v>1692</v>
      </c>
      <c r="O75" s="26" t="s">
        <v>1677</v>
      </c>
      <c r="P75" s="26" t="s">
        <v>290</v>
      </c>
      <c r="Q75" s="26">
        <v>2.0</v>
      </c>
    </row>
    <row r="76" ht="17.25" customHeight="1">
      <c r="A76" s="35">
        <v>46053.770833333336</v>
      </c>
      <c r="B76" s="23" t="s">
        <v>381</v>
      </c>
      <c r="C76" s="24" t="s">
        <v>1560</v>
      </c>
      <c r="D76" s="36">
        <v>46049.0</v>
      </c>
      <c r="E76" s="27">
        <v>1.0</v>
      </c>
      <c r="F76" s="24" t="s">
        <v>1673</v>
      </c>
      <c r="G76" s="26"/>
      <c r="H76" s="26"/>
      <c r="I76" s="26" t="s">
        <v>382</v>
      </c>
      <c r="J76" s="26" t="s">
        <v>1674</v>
      </c>
      <c r="K76" s="26" t="s">
        <v>1691</v>
      </c>
      <c r="L76" s="26" t="s">
        <v>1566</v>
      </c>
      <c r="M76" s="26" t="s">
        <v>1566</v>
      </c>
      <c r="N76" s="26" t="s">
        <v>1693</v>
      </c>
      <c r="O76" s="26" t="s">
        <v>1677</v>
      </c>
      <c r="P76" s="26" t="s">
        <v>290</v>
      </c>
      <c r="Q76" s="26">
        <v>1.0</v>
      </c>
    </row>
    <row r="77" ht="17.25" customHeight="1">
      <c r="A77" s="35">
        <v>46053.770833333336</v>
      </c>
      <c r="B77" s="23" t="s">
        <v>387</v>
      </c>
      <c r="C77" s="24" t="s">
        <v>1560</v>
      </c>
      <c r="D77" s="36">
        <v>46050.0</v>
      </c>
      <c r="E77" s="66">
        <v>8.0</v>
      </c>
      <c r="F77" s="24" t="s">
        <v>1673</v>
      </c>
      <c r="G77" s="26"/>
      <c r="H77" s="26"/>
      <c r="I77" s="26" t="s">
        <v>388</v>
      </c>
      <c r="J77" s="26" t="s">
        <v>1674</v>
      </c>
      <c r="K77" s="26" t="s">
        <v>1691</v>
      </c>
      <c r="L77" s="26" t="s">
        <v>1566</v>
      </c>
      <c r="M77" s="26" t="s">
        <v>1566</v>
      </c>
      <c r="N77" s="26" t="s">
        <v>1696</v>
      </c>
      <c r="O77" s="26" t="s">
        <v>1677</v>
      </c>
      <c r="P77" s="26" t="s">
        <v>290</v>
      </c>
      <c r="Q77" s="26">
        <v>8.0</v>
      </c>
    </row>
    <row r="78" ht="17.25" customHeight="1">
      <c r="A78" s="35">
        <v>46053.770833333336</v>
      </c>
      <c r="B78" s="23" t="s">
        <v>390</v>
      </c>
      <c r="C78" s="24" t="s">
        <v>1560</v>
      </c>
      <c r="D78" s="36">
        <v>46050.0</v>
      </c>
      <c r="E78" s="27">
        <v>1.0</v>
      </c>
      <c r="F78" s="24" t="s">
        <v>1673</v>
      </c>
      <c r="G78" s="26"/>
      <c r="H78" s="26"/>
      <c r="I78" s="26" t="s">
        <v>391</v>
      </c>
      <c r="J78" s="26" t="s">
        <v>1674</v>
      </c>
      <c r="K78" s="26" t="s">
        <v>1691</v>
      </c>
      <c r="L78" s="26" t="s">
        <v>1566</v>
      </c>
      <c r="M78" s="26" t="s">
        <v>1566</v>
      </c>
      <c r="N78" s="26" t="s">
        <v>1697</v>
      </c>
      <c r="O78" s="26" t="s">
        <v>1677</v>
      </c>
      <c r="P78" s="26" t="s">
        <v>290</v>
      </c>
      <c r="Q78" s="26">
        <v>1.0</v>
      </c>
    </row>
    <row r="79" ht="17.25" customHeight="1">
      <c r="A79" s="35">
        <v>46053.770833333336</v>
      </c>
      <c r="B79" s="23" t="s">
        <v>396</v>
      </c>
      <c r="C79" s="24" t="s">
        <v>1560</v>
      </c>
      <c r="D79" s="36">
        <v>46050.0</v>
      </c>
      <c r="E79" s="27">
        <v>1.0</v>
      </c>
      <c r="F79" s="24" t="s">
        <v>1673</v>
      </c>
      <c r="G79" s="26"/>
      <c r="H79" s="26"/>
      <c r="I79" s="26" t="s">
        <v>398</v>
      </c>
      <c r="J79" s="26" t="s">
        <v>1674</v>
      </c>
      <c r="K79" s="26" t="s">
        <v>1691</v>
      </c>
      <c r="L79" s="26" t="s">
        <v>1566</v>
      </c>
      <c r="M79" s="26" t="s">
        <v>1566</v>
      </c>
      <c r="N79" s="26" t="s">
        <v>1698</v>
      </c>
      <c r="O79" s="26" t="s">
        <v>1677</v>
      </c>
      <c r="P79" s="26" t="s">
        <v>290</v>
      </c>
      <c r="Q79" s="26">
        <v>1.0</v>
      </c>
    </row>
    <row r="80" ht="17.25" customHeight="1">
      <c r="A80" s="35">
        <v>46053.770833333336</v>
      </c>
      <c r="B80" s="23" t="s">
        <v>402</v>
      </c>
      <c r="C80" s="24" t="s">
        <v>1560</v>
      </c>
      <c r="D80" s="36">
        <v>46050.0</v>
      </c>
      <c r="E80" s="27">
        <v>1.0</v>
      </c>
      <c r="F80" s="24" t="s">
        <v>1673</v>
      </c>
      <c r="G80" s="26"/>
      <c r="H80" s="26"/>
      <c r="I80" s="26" t="s">
        <v>404</v>
      </c>
      <c r="J80" s="26" t="s">
        <v>1674</v>
      </c>
      <c r="K80" s="26" t="s">
        <v>1691</v>
      </c>
      <c r="L80" s="26" t="s">
        <v>1566</v>
      </c>
      <c r="M80" s="26" t="s">
        <v>1566</v>
      </c>
      <c r="N80" s="26" t="s">
        <v>1705</v>
      </c>
      <c r="O80" s="26" t="s">
        <v>1677</v>
      </c>
      <c r="P80" s="26" t="s">
        <v>290</v>
      </c>
      <c r="Q80" s="26">
        <v>1.0</v>
      </c>
    </row>
    <row r="81" ht="17.25" customHeight="1">
      <c r="A81" s="35">
        <v>46053.770833333336</v>
      </c>
      <c r="B81" s="23" t="s">
        <v>419</v>
      </c>
      <c r="C81" s="24" t="s">
        <v>1560</v>
      </c>
      <c r="D81" s="36">
        <v>46050.0</v>
      </c>
      <c r="E81" s="27">
        <v>2.0</v>
      </c>
      <c r="F81" s="24" t="s">
        <v>1673</v>
      </c>
      <c r="G81" s="26"/>
      <c r="H81" s="26"/>
      <c r="I81" s="26" t="s">
        <v>421</v>
      </c>
      <c r="J81" s="26" t="s">
        <v>1674</v>
      </c>
      <c r="K81" s="26" t="s">
        <v>1691</v>
      </c>
      <c r="L81" s="26" t="s">
        <v>1566</v>
      </c>
      <c r="M81" s="26" t="s">
        <v>1566</v>
      </c>
      <c r="N81" s="26" t="s">
        <v>1712</v>
      </c>
      <c r="O81" s="26" t="s">
        <v>1677</v>
      </c>
      <c r="P81" s="26" t="s">
        <v>290</v>
      </c>
      <c r="Q81" s="26">
        <v>2.0</v>
      </c>
    </row>
    <row r="82" ht="17.25" customHeight="1">
      <c r="A82" s="35">
        <v>46053.770833333336</v>
      </c>
      <c r="B82" s="23" t="s">
        <v>428</v>
      </c>
      <c r="C82" s="24" t="s">
        <v>1560</v>
      </c>
      <c r="D82" s="36">
        <v>46050.0</v>
      </c>
      <c r="E82" s="27">
        <v>2.0</v>
      </c>
      <c r="F82" s="24" t="s">
        <v>1673</v>
      </c>
      <c r="G82" s="26"/>
      <c r="H82" s="26"/>
      <c r="I82" s="26" t="s">
        <v>430</v>
      </c>
      <c r="J82" s="26" t="s">
        <v>1674</v>
      </c>
      <c r="K82" s="26" t="s">
        <v>1691</v>
      </c>
      <c r="L82" s="26" t="s">
        <v>1566</v>
      </c>
      <c r="M82" s="26" t="s">
        <v>1566</v>
      </c>
      <c r="N82" s="26" t="s">
        <v>1698</v>
      </c>
      <c r="O82" s="26" t="s">
        <v>1677</v>
      </c>
      <c r="P82" s="26" t="s">
        <v>290</v>
      </c>
      <c r="Q82" s="26">
        <v>2.0</v>
      </c>
    </row>
    <row r="83" ht="17.25" customHeight="1">
      <c r="A83" s="35">
        <v>46053.770833333336</v>
      </c>
      <c r="B83" s="23" t="s">
        <v>433</v>
      </c>
      <c r="C83" s="24" t="s">
        <v>1560</v>
      </c>
      <c r="D83" s="36">
        <v>46050.0</v>
      </c>
      <c r="E83" s="27">
        <v>1.0</v>
      </c>
      <c r="F83" s="24" t="s">
        <v>1673</v>
      </c>
      <c r="G83" s="26"/>
      <c r="H83" s="26"/>
      <c r="I83" s="26" t="s">
        <v>434</v>
      </c>
      <c r="J83" s="26" t="s">
        <v>1674</v>
      </c>
      <c r="K83" s="26" t="s">
        <v>1691</v>
      </c>
      <c r="L83" s="26" t="s">
        <v>1566</v>
      </c>
      <c r="M83" s="26" t="s">
        <v>1566</v>
      </c>
      <c r="N83" s="26" t="s">
        <v>1698</v>
      </c>
      <c r="O83" s="26" t="s">
        <v>1677</v>
      </c>
      <c r="P83" s="26" t="s">
        <v>290</v>
      </c>
      <c r="Q83" s="26">
        <v>1.0</v>
      </c>
    </row>
    <row r="84" ht="17.25" customHeight="1">
      <c r="A84" s="35">
        <v>46053.770833333336</v>
      </c>
      <c r="B84" s="23" t="s">
        <v>437</v>
      </c>
      <c r="C84" s="24" t="s">
        <v>1560</v>
      </c>
      <c r="D84" s="36">
        <v>46050.0</v>
      </c>
      <c r="E84" s="27">
        <v>6.0</v>
      </c>
      <c r="F84" s="24" t="s">
        <v>1673</v>
      </c>
      <c r="G84" s="26"/>
      <c r="H84" s="26"/>
      <c r="I84" s="26" t="s">
        <v>438</v>
      </c>
      <c r="J84" s="26" t="s">
        <v>1674</v>
      </c>
      <c r="K84" s="26" t="s">
        <v>1691</v>
      </c>
      <c r="L84" s="26" t="s">
        <v>1566</v>
      </c>
      <c r="M84" s="26" t="s">
        <v>1566</v>
      </c>
      <c r="N84" s="26" t="s">
        <v>1721</v>
      </c>
      <c r="O84" s="26" t="s">
        <v>1677</v>
      </c>
      <c r="P84" s="26" t="s">
        <v>290</v>
      </c>
      <c r="Q84" s="26">
        <v>5.0</v>
      </c>
    </row>
    <row r="85" ht="17.25" customHeight="1">
      <c r="A85" s="35">
        <v>46053.770833333336</v>
      </c>
      <c r="B85" s="23" t="s">
        <v>441</v>
      </c>
      <c r="C85" s="24" t="s">
        <v>1560</v>
      </c>
      <c r="D85" s="36">
        <v>46050.0</v>
      </c>
      <c r="E85" s="27">
        <v>6.0</v>
      </c>
      <c r="F85" s="24" t="s">
        <v>1673</v>
      </c>
      <c r="G85" s="26"/>
      <c r="H85" s="26"/>
      <c r="I85" s="26" t="s">
        <v>688</v>
      </c>
      <c r="J85" s="26" t="s">
        <v>1674</v>
      </c>
      <c r="K85" s="26" t="s">
        <v>1691</v>
      </c>
      <c r="L85" s="26" t="s">
        <v>1566</v>
      </c>
      <c r="M85" s="26" t="s">
        <v>1566</v>
      </c>
      <c r="N85" s="26" t="s">
        <v>1721</v>
      </c>
      <c r="O85" s="26" t="s">
        <v>1677</v>
      </c>
      <c r="P85" s="26" t="s">
        <v>290</v>
      </c>
      <c r="Q85" s="26">
        <v>0.0</v>
      </c>
    </row>
    <row r="86" ht="17.25" customHeight="1">
      <c r="A86" s="35">
        <v>46053.770833333336</v>
      </c>
      <c r="B86" s="23" t="s">
        <v>449</v>
      </c>
      <c r="C86" s="24" t="s">
        <v>1560</v>
      </c>
      <c r="D86" s="36">
        <v>46050.0</v>
      </c>
      <c r="E86" s="27">
        <v>3.0</v>
      </c>
      <c r="F86" s="24" t="s">
        <v>1673</v>
      </c>
      <c r="G86" s="26"/>
      <c r="H86" s="26"/>
      <c r="I86" s="26" t="s">
        <v>450</v>
      </c>
      <c r="J86" s="26" t="s">
        <v>1674</v>
      </c>
      <c r="K86" s="26" t="s">
        <v>1691</v>
      </c>
      <c r="L86" s="26" t="s">
        <v>1566</v>
      </c>
      <c r="M86" s="26" t="s">
        <v>1566</v>
      </c>
      <c r="N86" s="26" t="s">
        <v>1693</v>
      </c>
      <c r="O86" s="26" t="s">
        <v>1677</v>
      </c>
      <c r="P86" s="26" t="s">
        <v>290</v>
      </c>
      <c r="Q86" s="26">
        <v>3.0</v>
      </c>
    </row>
    <row r="87" ht="17.25" customHeight="1">
      <c r="A87" s="35">
        <v>46053.770833333336</v>
      </c>
      <c r="B87" s="23" t="s">
        <v>456</v>
      </c>
      <c r="C87" s="24" t="s">
        <v>1560</v>
      </c>
      <c r="D87" s="36">
        <v>46050.0</v>
      </c>
      <c r="E87" s="27">
        <v>1.0</v>
      </c>
      <c r="F87" s="24" t="s">
        <v>1673</v>
      </c>
      <c r="G87" s="26"/>
      <c r="H87" s="26"/>
      <c r="I87" s="26" t="s">
        <v>457</v>
      </c>
      <c r="J87" s="26" t="s">
        <v>1674</v>
      </c>
      <c r="K87" s="26" t="s">
        <v>1691</v>
      </c>
      <c r="L87" s="26" t="s">
        <v>1566</v>
      </c>
      <c r="M87" s="26" t="s">
        <v>1566</v>
      </c>
      <c r="N87" s="26" t="s">
        <v>1698</v>
      </c>
      <c r="O87" s="26" t="s">
        <v>1730</v>
      </c>
      <c r="P87" s="26" t="s">
        <v>290</v>
      </c>
      <c r="Q87" s="26">
        <v>1.0</v>
      </c>
    </row>
    <row r="88" ht="17.25" customHeight="1">
      <c r="A88" s="35">
        <v>46053.770833333336</v>
      </c>
      <c r="B88" s="23" t="s">
        <v>461</v>
      </c>
      <c r="C88" s="24" t="s">
        <v>1560</v>
      </c>
      <c r="D88" s="36">
        <v>46050.0</v>
      </c>
      <c r="E88" s="27">
        <v>1.0</v>
      </c>
      <c r="F88" s="24" t="s">
        <v>1673</v>
      </c>
      <c r="G88" s="26"/>
      <c r="H88" s="26"/>
      <c r="I88" s="26" t="s">
        <v>462</v>
      </c>
      <c r="J88" s="26" t="s">
        <v>1674</v>
      </c>
      <c r="K88" s="26" t="s">
        <v>1691</v>
      </c>
      <c r="L88" s="26" t="s">
        <v>1566</v>
      </c>
      <c r="M88" s="26" t="s">
        <v>1566</v>
      </c>
      <c r="N88" s="26" t="s">
        <v>1705</v>
      </c>
      <c r="O88" s="26" t="s">
        <v>1731</v>
      </c>
      <c r="P88" s="26" t="s">
        <v>290</v>
      </c>
      <c r="Q88" s="26">
        <v>1.0</v>
      </c>
    </row>
    <row r="89" ht="17.25" customHeight="1">
      <c r="A89" s="35">
        <v>46053.770833333336</v>
      </c>
      <c r="B89" s="23" t="s">
        <v>467</v>
      </c>
      <c r="C89" s="24" t="s">
        <v>1560</v>
      </c>
      <c r="D89" s="36">
        <v>46050.0</v>
      </c>
      <c r="E89" s="27">
        <v>1.0</v>
      </c>
      <c r="F89" s="24" t="s">
        <v>1673</v>
      </c>
      <c r="G89" s="26"/>
      <c r="H89" s="26"/>
      <c r="I89" s="26" t="s">
        <v>421</v>
      </c>
      <c r="J89" s="26" t="s">
        <v>1674</v>
      </c>
      <c r="K89" s="26" t="s">
        <v>1691</v>
      </c>
      <c r="L89" s="26" t="s">
        <v>1566</v>
      </c>
      <c r="M89" s="26" t="s">
        <v>1566</v>
      </c>
      <c r="N89" s="26" t="s">
        <v>1693</v>
      </c>
      <c r="O89" s="26" t="s">
        <v>1734</v>
      </c>
      <c r="P89" s="26" t="s">
        <v>290</v>
      </c>
      <c r="Q89" s="26">
        <v>1.0</v>
      </c>
    </row>
    <row r="90" ht="17.25" customHeight="1">
      <c r="A90" s="35">
        <v>46053.770833333336</v>
      </c>
      <c r="B90" s="23" t="s">
        <v>473</v>
      </c>
      <c r="C90" s="24" t="s">
        <v>1560</v>
      </c>
      <c r="D90" s="36">
        <v>46050.0</v>
      </c>
      <c r="E90" s="27">
        <v>1.0</v>
      </c>
      <c r="F90" s="24" t="s">
        <v>1673</v>
      </c>
      <c r="G90" s="26"/>
      <c r="H90" s="26"/>
      <c r="I90" s="26" t="s">
        <v>474</v>
      </c>
      <c r="J90" s="26" t="s">
        <v>1674</v>
      </c>
      <c r="K90" s="26" t="s">
        <v>1691</v>
      </c>
      <c r="L90" s="26" t="s">
        <v>1566</v>
      </c>
      <c r="M90" s="26" t="s">
        <v>1566</v>
      </c>
      <c r="N90" s="26" t="s">
        <v>1735</v>
      </c>
      <c r="O90" s="26" t="s">
        <v>1736</v>
      </c>
      <c r="P90" s="26" t="s">
        <v>290</v>
      </c>
      <c r="Q90" s="26">
        <v>1.0</v>
      </c>
    </row>
    <row r="91" ht="17.25" customHeight="1">
      <c r="A91" s="35">
        <v>46053.770833333336</v>
      </c>
      <c r="B91" s="23" t="s">
        <v>480</v>
      </c>
      <c r="C91" s="24" t="s">
        <v>1560</v>
      </c>
      <c r="D91" s="36">
        <v>46052.0</v>
      </c>
      <c r="E91" s="27">
        <v>1.0</v>
      </c>
      <c r="F91" s="24" t="s">
        <v>1673</v>
      </c>
      <c r="G91" s="26"/>
      <c r="H91" s="26"/>
      <c r="I91" s="26" t="s">
        <v>482</v>
      </c>
      <c r="J91" s="26" t="s">
        <v>1674</v>
      </c>
      <c r="K91" s="26" t="s">
        <v>1691</v>
      </c>
      <c r="L91" s="26" t="s">
        <v>1566</v>
      </c>
      <c r="M91" s="26" t="s">
        <v>1566</v>
      </c>
      <c r="N91" s="26" t="s">
        <v>482</v>
      </c>
      <c r="O91" s="26" t="s">
        <v>1738</v>
      </c>
      <c r="P91" s="26" t="s">
        <v>290</v>
      </c>
      <c r="Q91" s="26">
        <v>1.0</v>
      </c>
    </row>
    <row r="92" ht="17.25" customHeight="1">
      <c r="A92" s="35">
        <v>46053.770833333336</v>
      </c>
      <c r="B92" s="23" t="s">
        <v>488</v>
      </c>
      <c r="C92" s="24" t="s">
        <v>1560</v>
      </c>
      <c r="D92" s="36">
        <v>46052.0</v>
      </c>
      <c r="E92" s="27">
        <v>1.0</v>
      </c>
      <c r="F92" s="24" t="s">
        <v>1673</v>
      </c>
      <c r="G92" s="26"/>
      <c r="H92" s="26"/>
      <c r="I92" s="26" t="s">
        <v>490</v>
      </c>
      <c r="J92" s="26" t="s">
        <v>1674</v>
      </c>
      <c r="K92" s="26" t="s">
        <v>1691</v>
      </c>
      <c r="L92" s="26" t="s">
        <v>1566</v>
      </c>
      <c r="M92" s="26" t="s">
        <v>1566</v>
      </c>
      <c r="N92" s="26" t="s">
        <v>1705</v>
      </c>
      <c r="O92" s="26" t="s">
        <v>1745</v>
      </c>
      <c r="P92" s="26" t="s">
        <v>290</v>
      </c>
      <c r="Q92" s="26">
        <v>1.0</v>
      </c>
    </row>
    <row r="93" ht="17.25" customHeight="1">
      <c r="A93" s="35">
        <v>46053.770833333336</v>
      </c>
      <c r="B93" s="23" t="s">
        <v>497</v>
      </c>
      <c r="C93" s="24" t="s">
        <v>1560</v>
      </c>
      <c r="D93" s="36">
        <v>46052.0</v>
      </c>
      <c r="E93" s="27">
        <v>2.0</v>
      </c>
      <c r="F93" s="24" t="s">
        <v>1673</v>
      </c>
      <c r="G93" s="26"/>
      <c r="H93" s="26"/>
      <c r="I93" s="26" t="s">
        <v>499</v>
      </c>
      <c r="J93" s="26" t="s">
        <v>1674</v>
      </c>
      <c r="K93" s="26" t="s">
        <v>1691</v>
      </c>
      <c r="L93" s="26" t="s">
        <v>1566</v>
      </c>
      <c r="M93" s="26" t="s">
        <v>1566</v>
      </c>
      <c r="N93" s="26" t="s">
        <v>1748</v>
      </c>
      <c r="O93" s="26" t="s">
        <v>1750</v>
      </c>
      <c r="P93" s="26" t="s">
        <v>290</v>
      </c>
      <c r="Q93" s="26">
        <v>2.0</v>
      </c>
    </row>
    <row r="94" ht="17.25" customHeight="1">
      <c r="A94" s="35">
        <v>46053.770833333336</v>
      </c>
      <c r="B94" s="23" t="s">
        <v>505</v>
      </c>
      <c r="C94" s="24" t="s">
        <v>1560</v>
      </c>
      <c r="D94" s="36">
        <v>46052.0</v>
      </c>
      <c r="E94" s="27">
        <v>6.0</v>
      </c>
      <c r="F94" s="24" t="s">
        <v>1673</v>
      </c>
      <c r="G94" s="26"/>
      <c r="H94" s="26"/>
      <c r="I94" s="26" t="s">
        <v>506</v>
      </c>
      <c r="J94" s="26" t="s">
        <v>1674</v>
      </c>
      <c r="K94" s="26" t="s">
        <v>1691</v>
      </c>
      <c r="L94" s="26" t="s">
        <v>1566</v>
      </c>
      <c r="M94" s="26" t="s">
        <v>1566</v>
      </c>
      <c r="N94" s="26" t="s">
        <v>1756</v>
      </c>
      <c r="O94" s="26" t="s">
        <v>1757</v>
      </c>
      <c r="P94" s="26" t="s">
        <v>290</v>
      </c>
      <c r="Q94" s="26">
        <v>6.0</v>
      </c>
    </row>
    <row r="95" ht="17.25" customHeight="1">
      <c r="A95" s="35">
        <v>46053.770833333336</v>
      </c>
      <c r="B95" s="23" t="s">
        <v>1758</v>
      </c>
      <c r="C95" s="24" t="s">
        <v>1560</v>
      </c>
      <c r="D95" s="36">
        <v>46052.0</v>
      </c>
      <c r="E95" s="27">
        <v>2.0</v>
      </c>
      <c r="F95" s="24" t="s">
        <v>1673</v>
      </c>
      <c r="G95" s="26"/>
      <c r="H95" s="26"/>
      <c r="I95" s="26" t="s">
        <v>1759</v>
      </c>
      <c r="J95" s="26" t="s">
        <v>1674</v>
      </c>
      <c r="K95" s="26" t="s">
        <v>1691</v>
      </c>
      <c r="L95" s="26" t="s">
        <v>1566</v>
      </c>
      <c r="M95" s="26" t="s">
        <v>1566</v>
      </c>
      <c r="N95" s="26" t="s">
        <v>1760</v>
      </c>
      <c r="O95" s="26" t="s">
        <v>1761</v>
      </c>
      <c r="P95" s="26" t="s">
        <v>290</v>
      </c>
      <c r="Q95" s="26">
        <v>0.0</v>
      </c>
    </row>
    <row r="96" ht="17.25" customHeight="1">
      <c r="A96" s="35">
        <v>46053.770833333336</v>
      </c>
      <c r="B96" s="23" t="s">
        <v>509</v>
      </c>
      <c r="C96" s="24" t="s">
        <v>1560</v>
      </c>
      <c r="D96" s="36">
        <v>46052.0</v>
      </c>
      <c r="E96" s="39">
        <v>2.0</v>
      </c>
      <c r="F96" s="24" t="s">
        <v>1673</v>
      </c>
      <c r="G96" s="26"/>
      <c r="H96" s="26"/>
      <c r="I96" s="26" t="s">
        <v>510</v>
      </c>
      <c r="J96" s="26" t="s">
        <v>1674</v>
      </c>
      <c r="K96" s="26" t="s">
        <v>1691</v>
      </c>
      <c r="L96" s="26" t="s">
        <v>1566</v>
      </c>
      <c r="M96" s="26" t="s">
        <v>1566</v>
      </c>
      <c r="N96" s="26" t="s">
        <v>1768</v>
      </c>
      <c r="O96" s="26" t="s">
        <v>1769</v>
      </c>
      <c r="P96" s="26" t="s">
        <v>290</v>
      </c>
      <c r="Q96" s="26">
        <v>1.0</v>
      </c>
    </row>
    <row r="97" ht="17.25" customHeight="1">
      <c r="A97" s="35">
        <v>46053.770833333336</v>
      </c>
      <c r="B97" s="23" t="s">
        <v>1772</v>
      </c>
      <c r="C97" s="24" t="s">
        <v>1560</v>
      </c>
      <c r="D97" s="36">
        <v>46052.0</v>
      </c>
      <c r="E97" s="27">
        <v>2.0</v>
      </c>
      <c r="F97" s="24" t="s">
        <v>1673</v>
      </c>
      <c r="G97" s="26"/>
      <c r="H97" s="26"/>
      <c r="I97" s="26" t="s">
        <v>1777</v>
      </c>
      <c r="J97" s="26" t="s">
        <v>1674</v>
      </c>
      <c r="K97" s="26" t="s">
        <v>1691</v>
      </c>
      <c r="L97" s="26" t="s">
        <v>1566</v>
      </c>
      <c r="M97" s="26" t="s">
        <v>1566</v>
      </c>
      <c r="N97" s="26" t="s">
        <v>1682</v>
      </c>
      <c r="O97" s="26" t="s">
        <v>1778</v>
      </c>
      <c r="P97" s="26" t="s">
        <v>290</v>
      </c>
      <c r="Q97" s="26">
        <v>0.0</v>
      </c>
    </row>
    <row r="98" ht="17.25" customHeight="1">
      <c r="A98" s="35">
        <v>46053.770833333336</v>
      </c>
      <c r="B98" s="23" t="s">
        <v>513</v>
      </c>
      <c r="C98" s="24" t="s">
        <v>1560</v>
      </c>
      <c r="D98" s="36">
        <v>46052.0</v>
      </c>
      <c r="E98" s="27">
        <v>2.0</v>
      </c>
      <c r="F98" s="24" t="s">
        <v>1673</v>
      </c>
      <c r="G98" s="26"/>
      <c r="H98" s="26"/>
      <c r="I98" s="26" t="s">
        <v>515</v>
      </c>
      <c r="J98" s="26" t="s">
        <v>1674</v>
      </c>
      <c r="K98" s="26" t="s">
        <v>1691</v>
      </c>
      <c r="L98" s="26" t="s">
        <v>1566</v>
      </c>
      <c r="M98" s="26" t="s">
        <v>1566</v>
      </c>
      <c r="N98" s="26" t="s">
        <v>1780</v>
      </c>
      <c r="O98" s="26" t="s">
        <v>1781</v>
      </c>
      <c r="P98" s="26" t="s">
        <v>290</v>
      </c>
      <c r="Q98" s="26">
        <v>2.0</v>
      </c>
    </row>
    <row r="99" ht="17.25" customHeight="1">
      <c r="A99" s="35">
        <v>46053.770833333336</v>
      </c>
      <c r="B99" s="23" t="s">
        <v>520</v>
      </c>
      <c r="C99" s="24" t="s">
        <v>1560</v>
      </c>
      <c r="D99" s="36">
        <v>46052.0</v>
      </c>
      <c r="E99" s="27">
        <v>2.0</v>
      </c>
      <c r="F99" s="24" t="s">
        <v>1673</v>
      </c>
      <c r="G99" s="90"/>
      <c r="H99" s="26"/>
      <c r="I99" s="26" t="s">
        <v>521</v>
      </c>
      <c r="J99" s="26" t="s">
        <v>1674</v>
      </c>
      <c r="K99" s="26" t="s">
        <v>1691</v>
      </c>
      <c r="L99" s="26" t="s">
        <v>1566</v>
      </c>
      <c r="M99" s="26" t="s">
        <v>1566</v>
      </c>
      <c r="N99" s="26" t="s">
        <v>1721</v>
      </c>
      <c r="O99" s="26" t="s">
        <v>1785</v>
      </c>
      <c r="P99" s="26" t="s">
        <v>290</v>
      </c>
      <c r="Q99" s="26">
        <v>2.0</v>
      </c>
    </row>
    <row r="100" ht="17.25" customHeight="1">
      <c r="A100" s="35">
        <v>46053.770833333336</v>
      </c>
      <c r="B100" s="23" t="s">
        <v>1788</v>
      </c>
      <c r="C100" s="24" t="s">
        <v>1560</v>
      </c>
      <c r="D100" s="36">
        <v>46052.0</v>
      </c>
      <c r="E100" s="27">
        <v>0.0</v>
      </c>
      <c r="F100" s="24" t="s">
        <v>1673</v>
      </c>
      <c r="G100" s="90"/>
      <c r="H100" s="26"/>
      <c r="I100" s="26" t="s">
        <v>1790</v>
      </c>
      <c r="J100" s="26" t="s">
        <v>1674</v>
      </c>
      <c r="K100" s="26" t="s">
        <v>1691</v>
      </c>
      <c r="L100" s="26" t="s">
        <v>1566</v>
      </c>
      <c r="M100" s="26" t="s">
        <v>1566</v>
      </c>
      <c r="N100" s="26" t="s">
        <v>1697</v>
      </c>
      <c r="O100" s="26" t="s">
        <v>1791</v>
      </c>
      <c r="P100" s="26" t="s">
        <v>290</v>
      </c>
      <c r="Q100" s="26">
        <v>0.0</v>
      </c>
    </row>
    <row r="101" ht="17.25" customHeight="1">
      <c r="A101" s="35">
        <v>46053.770833333336</v>
      </c>
      <c r="B101" s="23" t="s">
        <v>526</v>
      </c>
      <c r="C101" s="24" t="s">
        <v>1560</v>
      </c>
      <c r="D101" s="36">
        <v>46052.0</v>
      </c>
      <c r="E101" s="66">
        <v>4.0</v>
      </c>
      <c r="F101" s="24" t="s">
        <v>1673</v>
      </c>
      <c r="G101" s="90"/>
      <c r="H101" s="26"/>
      <c r="I101" s="26" t="s">
        <v>527</v>
      </c>
      <c r="J101" s="26" t="s">
        <v>1674</v>
      </c>
      <c r="K101" s="26" t="s">
        <v>1691</v>
      </c>
      <c r="L101" s="26" t="s">
        <v>1566</v>
      </c>
      <c r="M101" s="26" t="s">
        <v>1566</v>
      </c>
      <c r="N101" s="26" t="s">
        <v>1693</v>
      </c>
      <c r="O101" s="26" t="s">
        <v>1797</v>
      </c>
      <c r="P101" s="26" t="s">
        <v>290</v>
      </c>
      <c r="Q101" s="26">
        <v>4.0</v>
      </c>
    </row>
    <row r="102" ht="17.25" customHeight="1">
      <c r="A102" s="35">
        <v>46053.770833333336</v>
      </c>
      <c r="B102" s="23" t="s">
        <v>534</v>
      </c>
      <c r="C102" s="24" t="s">
        <v>1560</v>
      </c>
      <c r="D102" s="36">
        <v>46052.0</v>
      </c>
      <c r="E102" s="27">
        <v>1.0</v>
      </c>
      <c r="F102" s="24" t="s">
        <v>1673</v>
      </c>
      <c r="G102" s="90"/>
      <c r="H102" s="26"/>
      <c r="I102" s="26" t="s">
        <v>535</v>
      </c>
      <c r="J102" s="26" t="s">
        <v>1674</v>
      </c>
      <c r="K102" s="26" t="s">
        <v>1691</v>
      </c>
      <c r="L102" s="26" t="s">
        <v>1566</v>
      </c>
      <c r="M102" s="26" t="s">
        <v>1566</v>
      </c>
      <c r="N102" s="26" t="s">
        <v>1798</v>
      </c>
      <c r="O102" s="26" t="s">
        <v>1799</v>
      </c>
      <c r="P102" s="26" t="s">
        <v>290</v>
      </c>
      <c r="Q102" s="26">
        <v>1.0</v>
      </c>
    </row>
    <row r="103" ht="17.25" customHeight="1">
      <c r="A103" s="35">
        <v>46053.770833333336</v>
      </c>
      <c r="B103" s="23" t="s">
        <v>542</v>
      </c>
      <c r="C103" s="24" t="s">
        <v>1560</v>
      </c>
      <c r="D103" s="36">
        <v>46052.0</v>
      </c>
      <c r="E103" s="27">
        <v>1.0</v>
      </c>
      <c r="F103" s="24" t="s">
        <v>1673</v>
      </c>
      <c r="G103" s="90"/>
      <c r="H103" s="26"/>
      <c r="I103" s="26" t="s">
        <v>543</v>
      </c>
      <c r="J103" s="26" t="s">
        <v>1674</v>
      </c>
      <c r="K103" s="26" t="s">
        <v>1691</v>
      </c>
      <c r="L103" s="26" t="s">
        <v>1566</v>
      </c>
      <c r="M103" s="26" t="s">
        <v>1566</v>
      </c>
      <c r="N103" s="26" t="s">
        <v>1697</v>
      </c>
      <c r="O103" s="26" t="s">
        <v>1800</v>
      </c>
      <c r="P103" s="26" t="s">
        <v>290</v>
      </c>
      <c r="Q103" s="26">
        <v>1.0</v>
      </c>
    </row>
    <row r="104" ht="17.25" customHeight="1">
      <c r="A104" s="35">
        <v>46053.770833333336</v>
      </c>
      <c r="B104" s="23" t="s">
        <v>550</v>
      </c>
      <c r="C104" s="24" t="s">
        <v>1560</v>
      </c>
      <c r="D104" s="36">
        <v>46052.0</v>
      </c>
      <c r="E104" s="27">
        <v>1.0</v>
      </c>
      <c r="F104" s="24" t="s">
        <v>1673</v>
      </c>
      <c r="G104" s="90"/>
      <c r="H104" s="26"/>
      <c r="I104" s="26" t="s">
        <v>551</v>
      </c>
      <c r="J104" s="26" t="s">
        <v>1674</v>
      </c>
      <c r="K104" s="26" t="s">
        <v>1691</v>
      </c>
      <c r="L104" s="26" t="s">
        <v>1566</v>
      </c>
      <c r="M104" s="26" t="s">
        <v>1566</v>
      </c>
      <c r="N104" s="26" t="s">
        <v>1801</v>
      </c>
      <c r="O104" s="26" t="s">
        <v>1802</v>
      </c>
      <c r="P104" s="26" t="s">
        <v>290</v>
      </c>
      <c r="Q104" s="26">
        <v>1.0</v>
      </c>
    </row>
    <row r="105" ht="17.25" customHeight="1">
      <c r="A105" s="35">
        <v>46053.770833333336</v>
      </c>
      <c r="B105" s="23" t="s">
        <v>555</v>
      </c>
      <c r="C105" s="24" t="s">
        <v>1560</v>
      </c>
      <c r="D105" s="36">
        <v>46052.0</v>
      </c>
      <c r="E105" s="27">
        <v>1.0</v>
      </c>
      <c r="F105" s="24" t="s">
        <v>1673</v>
      </c>
      <c r="G105" s="90"/>
      <c r="H105" s="26"/>
      <c r="I105" s="26" t="s">
        <v>556</v>
      </c>
      <c r="J105" s="26" t="s">
        <v>1674</v>
      </c>
      <c r="K105" s="26" t="s">
        <v>1691</v>
      </c>
      <c r="L105" s="26" t="s">
        <v>1566</v>
      </c>
      <c r="M105" s="26" t="s">
        <v>1566</v>
      </c>
      <c r="N105" s="26" t="s">
        <v>1803</v>
      </c>
      <c r="O105" s="26" t="s">
        <v>1804</v>
      </c>
      <c r="P105" s="26" t="s">
        <v>290</v>
      </c>
      <c r="Q105" s="26">
        <v>1.0</v>
      </c>
    </row>
    <row r="106" ht="17.25" customHeight="1">
      <c r="A106" s="35">
        <v>46053.770833333336</v>
      </c>
      <c r="B106" s="23" t="s">
        <v>560</v>
      </c>
      <c r="C106" s="24" t="s">
        <v>1560</v>
      </c>
      <c r="D106" s="36">
        <v>46052.0</v>
      </c>
      <c r="E106" s="27">
        <v>1.0</v>
      </c>
      <c r="F106" s="24" t="s">
        <v>1673</v>
      </c>
      <c r="G106" s="90"/>
      <c r="H106" s="26"/>
      <c r="I106" s="26" t="s">
        <v>561</v>
      </c>
      <c r="J106" s="26" t="s">
        <v>1674</v>
      </c>
      <c r="K106" s="26" t="s">
        <v>1691</v>
      </c>
      <c r="L106" s="26" t="s">
        <v>1566</v>
      </c>
      <c r="M106" s="26" t="s">
        <v>1566</v>
      </c>
      <c r="N106" s="26" t="s">
        <v>1805</v>
      </c>
      <c r="O106" s="26" t="s">
        <v>1806</v>
      </c>
      <c r="P106" s="26" t="s">
        <v>290</v>
      </c>
      <c r="Q106" s="26">
        <v>1.0</v>
      </c>
    </row>
    <row r="107" ht="17.25" customHeight="1">
      <c r="A107" s="35">
        <v>46053.770833333336</v>
      </c>
      <c r="B107" s="23" t="s">
        <v>568</v>
      </c>
      <c r="C107" s="24" t="s">
        <v>1560</v>
      </c>
      <c r="D107" s="36">
        <v>46052.0</v>
      </c>
      <c r="E107" s="27">
        <v>2.0</v>
      </c>
      <c r="F107" s="24" t="s">
        <v>1673</v>
      </c>
      <c r="G107" s="90"/>
      <c r="H107" s="26"/>
      <c r="I107" s="26" t="s">
        <v>569</v>
      </c>
      <c r="J107" s="26" t="s">
        <v>1807</v>
      </c>
      <c r="K107" s="26" t="s">
        <v>1807</v>
      </c>
      <c r="L107" s="26" t="s">
        <v>1566</v>
      </c>
      <c r="M107" s="26" t="s">
        <v>1566</v>
      </c>
      <c r="N107" s="26" t="s">
        <v>1566</v>
      </c>
      <c r="O107" s="26" t="s">
        <v>1808</v>
      </c>
      <c r="P107" s="26" t="s">
        <v>290</v>
      </c>
      <c r="Q107" s="26">
        <v>2.0</v>
      </c>
    </row>
    <row r="108" ht="17.25" customHeight="1">
      <c r="A108" s="35">
        <v>46053.770833333336</v>
      </c>
      <c r="B108" s="23" t="s">
        <v>576</v>
      </c>
      <c r="C108" s="24" t="s">
        <v>1560</v>
      </c>
      <c r="D108" s="36">
        <v>46052.0</v>
      </c>
      <c r="E108" s="27">
        <v>1.0</v>
      </c>
      <c r="F108" s="24" t="s">
        <v>1673</v>
      </c>
      <c r="G108" s="90"/>
      <c r="H108" s="26"/>
      <c r="I108" s="26" t="s">
        <v>577</v>
      </c>
      <c r="J108" s="26" t="s">
        <v>1807</v>
      </c>
      <c r="K108" s="26" t="s">
        <v>1807</v>
      </c>
      <c r="L108" s="26" t="s">
        <v>1566</v>
      </c>
      <c r="M108" s="26" t="s">
        <v>1566</v>
      </c>
      <c r="N108" s="26" t="s">
        <v>1566</v>
      </c>
      <c r="O108" s="26" t="s">
        <v>1809</v>
      </c>
      <c r="P108" s="26" t="s">
        <v>290</v>
      </c>
      <c r="Q108" s="26">
        <v>1.0</v>
      </c>
    </row>
    <row r="109" ht="17.25" customHeight="1">
      <c r="A109" s="35">
        <v>46053.770833333336</v>
      </c>
      <c r="B109" s="23" t="s">
        <v>580</v>
      </c>
      <c r="C109" s="24" t="s">
        <v>1560</v>
      </c>
      <c r="D109" s="36">
        <v>46052.0</v>
      </c>
      <c r="E109" s="27">
        <v>20.0</v>
      </c>
      <c r="F109" s="24" t="s">
        <v>1673</v>
      </c>
      <c r="G109" s="90"/>
      <c r="H109" s="26"/>
      <c r="I109" s="26" t="s">
        <v>582</v>
      </c>
      <c r="J109" s="26" t="s">
        <v>1807</v>
      </c>
      <c r="K109" s="26" t="s">
        <v>1807</v>
      </c>
      <c r="L109" s="26" t="s">
        <v>1566</v>
      </c>
      <c r="M109" s="26" t="s">
        <v>1566</v>
      </c>
      <c r="N109" s="26" t="s">
        <v>1566</v>
      </c>
      <c r="O109" s="26" t="s">
        <v>1810</v>
      </c>
      <c r="P109" s="26" t="s">
        <v>290</v>
      </c>
      <c r="Q109" s="26">
        <v>20.0</v>
      </c>
    </row>
    <row r="110" ht="17.25" customHeight="1">
      <c r="A110" s="35">
        <v>46053.770833333336</v>
      </c>
      <c r="B110" s="23" t="s">
        <v>588</v>
      </c>
      <c r="C110" s="24" t="s">
        <v>1560</v>
      </c>
      <c r="D110" s="36">
        <v>46052.0</v>
      </c>
      <c r="E110" s="27">
        <v>1.0</v>
      </c>
      <c r="F110" s="24" t="s">
        <v>1673</v>
      </c>
      <c r="G110" s="90"/>
      <c r="H110" s="26"/>
      <c r="I110" s="26" t="s">
        <v>589</v>
      </c>
      <c r="J110" s="26" t="s">
        <v>1807</v>
      </c>
      <c r="K110" s="26" t="s">
        <v>1807</v>
      </c>
      <c r="L110" s="26" t="s">
        <v>1566</v>
      </c>
      <c r="M110" s="26" t="s">
        <v>1566</v>
      </c>
      <c r="N110" s="26" t="s">
        <v>1682</v>
      </c>
      <c r="O110" s="26" t="s">
        <v>1811</v>
      </c>
      <c r="P110" s="26" t="s">
        <v>290</v>
      </c>
      <c r="Q110" s="26">
        <v>1.0</v>
      </c>
    </row>
    <row r="111" ht="17.25" customHeight="1">
      <c r="A111" s="35">
        <v>46053.770833333336</v>
      </c>
      <c r="B111" s="23" t="s">
        <v>32</v>
      </c>
      <c r="C111" s="24" t="s">
        <v>1560</v>
      </c>
      <c r="D111" s="36">
        <v>46052.0</v>
      </c>
      <c r="E111" s="27">
        <v>5.0</v>
      </c>
      <c r="F111" s="24" t="s">
        <v>1673</v>
      </c>
      <c r="G111" s="90"/>
      <c r="H111" s="26"/>
      <c r="I111" s="26" t="s">
        <v>34</v>
      </c>
      <c r="J111" s="26" t="s">
        <v>1807</v>
      </c>
      <c r="K111" s="26" t="s">
        <v>1807</v>
      </c>
      <c r="L111" s="26" t="s">
        <v>1566</v>
      </c>
      <c r="M111" s="26" t="s">
        <v>1566</v>
      </c>
      <c r="N111" s="26" t="s">
        <v>1566</v>
      </c>
      <c r="O111" s="26" t="s">
        <v>1808</v>
      </c>
      <c r="P111" s="26" t="s">
        <v>290</v>
      </c>
      <c r="Q111" s="26">
        <v>7.0</v>
      </c>
    </row>
    <row r="112" ht="17.25" customHeight="1">
      <c r="A112" s="35">
        <v>46053.770833333336</v>
      </c>
      <c r="B112" s="23" t="s">
        <v>601</v>
      </c>
      <c r="C112" s="24" t="s">
        <v>1560</v>
      </c>
      <c r="D112" s="36">
        <v>46052.0</v>
      </c>
      <c r="E112" s="27">
        <v>2.0</v>
      </c>
      <c r="F112" s="24" t="s">
        <v>1673</v>
      </c>
      <c r="G112" s="90"/>
      <c r="H112" s="26"/>
      <c r="I112" s="26" t="s">
        <v>602</v>
      </c>
      <c r="J112" s="26" t="s">
        <v>1674</v>
      </c>
      <c r="K112" s="26" t="s">
        <v>1691</v>
      </c>
      <c r="L112" s="26" t="s">
        <v>1566</v>
      </c>
      <c r="M112" s="26" t="s">
        <v>1566</v>
      </c>
      <c r="N112" s="26" t="s">
        <v>1748</v>
      </c>
      <c r="O112" s="26" t="s">
        <v>1677</v>
      </c>
      <c r="P112" s="26" t="s">
        <v>290</v>
      </c>
      <c r="Q112" s="26">
        <v>2.0</v>
      </c>
    </row>
    <row r="113" ht="17.25" customHeight="1">
      <c r="A113" s="35">
        <v>46053.770833333336</v>
      </c>
      <c r="B113" s="24" t="s">
        <v>607</v>
      </c>
      <c r="C113" s="24" t="s">
        <v>1560</v>
      </c>
      <c r="D113" s="36">
        <v>46052.0</v>
      </c>
      <c r="E113" s="27">
        <v>3.0</v>
      </c>
      <c r="F113" s="24" t="s">
        <v>1673</v>
      </c>
      <c r="G113" s="90"/>
      <c r="H113" s="26"/>
      <c r="I113" s="26" t="s">
        <v>608</v>
      </c>
      <c r="J113" s="26" t="s">
        <v>1812</v>
      </c>
      <c r="K113" s="26" t="s">
        <v>1813</v>
      </c>
      <c r="L113" s="26" t="s">
        <v>1566</v>
      </c>
      <c r="M113" s="26" t="s">
        <v>1566</v>
      </c>
      <c r="N113" s="26" t="s">
        <v>1566</v>
      </c>
      <c r="O113" s="26" t="s">
        <v>1814</v>
      </c>
      <c r="P113" s="26" t="s">
        <v>290</v>
      </c>
      <c r="Q113" s="26">
        <v>3.0</v>
      </c>
    </row>
    <row r="114" ht="17.25" customHeight="1">
      <c r="A114" s="35">
        <v>46053.770833333336</v>
      </c>
      <c r="B114" s="23" t="s">
        <v>614</v>
      </c>
      <c r="C114" s="24" t="s">
        <v>1560</v>
      </c>
      <c r="D114" s="36">
        <v>46052.0</v>
      </c>
      <c r="E114" s="27">
        <v>5.0</v>
      </c>
      <c r="F114" s="24" t="s">
        <v>1673</v>
      </c>
      <c r="G114" s="90"/>
      <c r="H114" s="26"/>
      <c r="I114" s="26" t="s">
        <v>615</v>
      </c>
      <c r="J114" s="26" t="s">
        <v>1812</v>
      </c>
      <c r="K114" s="26" t="s">
        <v>1815</v>
      </c>
      <c r="L114" s="26" t="s">
        <v>1566</v>
      </c>
      <c r="M114" s="26" t="s">
        <v>1566</v>
      </c>
      <c r="N114" s="26" t="s">
        <v>1566</v>
      </c>
      <c r="O114" s="26" t="s">
        <v>1816</v>
      </c>
      <c r="P114" s="26" t="s">
        <v>616</v>
      </c>
      <c r="Q114" s="26">
        <v>5.0</v>
      </c>
    </row>
    <row r="115" ht="17.25" customHeight="1">
      <c r="A115" s="35">
        <v>46053.770833333336</v>
      </c>
      <c r="B115" s="23" t="s">
        <v>622</v>
      </c>
      <c r="C115" s="24" t="s">
        <v>1560</v>
      </c>
      <c r="D115" s="36">
        <v>46052.0</v>
      </c>
      <c r="E115" s="27">
        <v>25.0</v>
      </c>
      <c r="F115" s="24" t="s">
        <v>1673</v>
      </c>
      <c r="G115" s="90"/>
      <c r="H115" s="26"/>
      <c r="I115" s="26" t="s">
        <v>623</v>
      </c>
      <c r="J115" s="26" t="s">
        <v>1812</v>
      </c>
      <c r="K115" s="26" t="s">
        <v>1815</v>
      </c>
      <c r="L115" s="26" t="s">
        <v>1566</v>
      </c>
      <c r="M115" s="26" t="s">
        <v>1566</v>
      </c>
      <c r="N115" s="26" t="s">
        <v>1566</v>
      </c>
      <c r="O115" s="26" t="s">
        <v>1817</v>
      </c>
      <c r="P115" s="26" t="s">
        <v>616</v>
      </c>
      <c r="Q115" s="26">
        <v>20.0</v>
      </c>
    </row>
    <row r="116" ht="17.25" customHeight="1">
      <c r="A116" s="35">
        <v>46053.770833333336</v>
      </c>
      <c r="B116" s="23" t="s">
        <v>626</v>
      </c>
      <c r="C116" s="24" t="s">
        <v>1560</v>
      </c>
      <c r="D116" s="36">
        <v>46052.0</v>
      </c>
      <c r="E116" s="27">
        <v>2.5</v>
      </c>
      <c r="F116" s="24" t="s">
        <v>1673</v>
      </c>
      <c r="G116" s="90"/>
      <c r="H116" s="26"/>
      <c r="I116" s="26" t="s">
        <v>627</v>
      </c>
      <c r="J116" s="26" t="s">
        <v>1812</v>
      </c>
      <c r="K116" s="26" t="s">
        <v>1815</v>
      </c>
      <c r="L116" s="26" t="s">
        <v>1566</v>
      </c>
      <c r="M116" s="26" t="s">
        <v>1566</v>
      </c>
      <c r="N116" s="26" t="s">
        <v>1566</v>
      </c>
      <c r="O116" s="26" t="s">
        <v>1815</v>
      </c>
      <c r="P116" s="26" t="s">
        <v>616</v>
      </c>
      <c r="Q116" s="26">
        <v>2.5</v>
      </c>
    </row>
    <row r="117" ht="17.25" customHeight="1">
      <c r="A117" s="35">
        <v>46053.770833333336</v>
      </c>
      <c r="B117" s="23" t="s">
        <v>21</v>
      </c>
      <c r="C117" s="24" t="s">
        <v>1560</v>
      </c>
      <c r="D117" s="36">
        <v>46052.0</v>
      </c>
      <c r="E117" s="27">
        <v>40.0</v>
      </c>
      <c r="F117" s="24" t="s">
        <v>1673</v>
      </c>
      <c r="G117" s="90"/>
      <c r="H117" s="26"/>
      <c r="I117" s="26" t="s">
        <v>23</v>
      </c>
      <c r="J117" s="26" t="s">
        <v>1812</v>
      </c>
      <c r="K117" s="26" t="s">
        <v>1815</v>
      </c>
      <c r="L117" s="26" t="s">
        <v>1566</v>
      </c>
      <c r="M117" s="26" t="s">
        <v>1566</v>
      </c>
      <c r="N117" s="26" t="s">
        <v>1566</v>
      </c>
      <c r="O117" s="26" t="s">
        <v>1818</v>
      </c>
      <c r="P117" s="26" t="s">
        <v>616</v>
      </c>
      <c r="Q117" s="26">
        <v>20.0</v>
      </c>
    </row>
    <row r="118" ht="17.25" customHeight="1">
      <c r="A118" s="35">
        <v>46053.770833333336</v>
      </c>
      <c r="B118" s="23" t="s">
        <v>1819</v>
      </c>
      <c r="C118" s="24" t="s">
        <v>1560</v>
      </c>
      <c r="D118" s="36">
        <v>46052.0</v>
      </c>
      <c r="E118" s="27">
        <v>1.0</v>
      </c>
      <c r="F118" s="24" t="s">
        <v>1673</v>
      </c>
      <c r="G118" s="90"/>
      <c r="H118" s="26"/>
      <c r="I118" s="26" t="s">
        <v>1820</v>
      </c>
      <c r="J118" s="26" t="s">
        <v>1812</v>
      </c>
      <c r="K118" s="26" t="s">
        <v>1815</v>
      </c>
      <c r="L118" s="26" t="s">
        <v>1566</v>
      </c>
      <c r="M118" s="26" t="s">
        <v>1566</v>
      </c>
      <c r="N118" s="26" t="s">
        <v>1566</v>
      </c>
      <c r="O118" s="26" t="s">
        <v>1566</v>
      </c>
      <c r="P118" s="26" t="s">
        <v>290</v>
      </c>
      <c r="Q118" s="26">
        <v>0.0</v>
      </c>
    </row>
    <row r="119" ht="17.25" customHeight="1">
      <c r="A119" s="35">
        <v>46053.770833333336</v>
      </c>
      <c r="B119" s="23" t="s">
        <v>640</v>
      </c>
      <c r="C119" s="24" t="s">
        <v>1560</v>
      </c>
      <c r="D119" s="36">
        <v>46052.0</v>
      </c>
      <c r="E119" s="27">
        <v>5.0</v>
      </c>
      <c r="F119" s="24" t="s">
        <v>1673</v>
      </c>
      <c r="G119" s="90"/>
      <c r="H119" s="26"/>
      <c r="I119" s="26" t="s">
        <v>641</v>
      </c>
      <c r="J119" s="26" t="s">
        <v>1812</v>
      </c>
      <c r="K119" s="26" t="s">
        <v>1815</v>
      </c>
      <c r="L119" s="26" t="s">
        <v>1566</v>
      </c>
      <c r="M119" s="26" t="s">
        <v>1566</v>
      </c>
      <c r="N119" s="26" t="s">
        <v>1566</v>
      </c>
      <c r="O119" s="26" t="s">
        <v>1566</v>
      </c>
      <c r="P119" s="26" t="s">
        <v>643</v>
      </c>
      <c r="Q119" s="26">
        <v>3.0</v>
      </c>
    </row>
    <row r="120" ht="17.25" customHeight="1">
      <c r="A120" s="35">
        <v>46053.770833333336</v>
      </c>
      <c r="B120" s="23" t="s">
        <v>647</v>
      </c>
      <c r="C120" s="24" t="s">
        <v>1560</v>
      </c>
      <c r="D120" s="36">
        <v>46052.0</v>
      </c>
      <c r="E120" s="27">
        <v>1.0</v>
      </c>
      <c r="F120" s="24" t="s">
        <v>1673</v>
      </c>
      <c r="G120" s="90"/>
      <c r="H120" s="26"/>
      <c r="I120" s="26" t="s">
        <v>648</v>
      </c>
      <c r="J120" s="26" t="s">
        <v>1821</v>
      </c>
      <c r="K120" s="26" t="s">
        <v>1821</v>
      </c>
      <c r="L120" s="26" t="s">
        <v>1566</v>
      </c>
      <c r="M120" s="26" t="s">
        <v>1566</v>
      </c>
      <c r="N120" s="26" t="s">
        <v>1566</v>
      </c>
      <c r="O120" s="26" t="s">
        <v>1566</v>
      </c>
      <c r="P120" s="26" t="s">
        <v>290</v>
      </c>
      <c r="Q120" s="26">
        <v>2.0</v>
      </c>
    </row>
    <row r="121" ht="17.25" customHeight="1">
      <c r="A121" s="35">
        <v>46053.770833333336</v>
      </c>
      <c r="B121" s="23" t="s">
        <v>658</v>
      </c>
      <c r="C121" s="24" t="s">
        <v>1560</v>
      </c>
      <c r="D121" s="36">
        <v>46052.0</v>
      </c>
      <c r="E121" s="27">
        <v>11.0</v>
      </c>
      <c r="F121" s="24" t="s">
        <v>1673</v>
      </c>
      <c r="G121" s="90"/>
      <c r="H121" s="26"/>
      <c r="I121" s="26" t="s">
        <v>659</v>
      </c>
      <c r="J121" s="26" t="s">
        <v>1821</v>
      </c>
      <c r="K121" s="26" t="s">
        <v>1822</v>
      </c>
      <c r="L121" s="26" t="s">
        <v>1823</v>
      </c>
      <c r="M121" s="26" t="s">
        <v>1566</v>
      </c>
      <c r="N121" s="26" t="s">
        <v>1566</v>
      </c>
      <c r="O121" s="26" t="s">
        <v>1566</v>
      </c>
      <c r="P121" s="26" t="s">
        <v>661</v>
      </c>
      <c r="Q121" s="26">
        <v>6.0</v>
      </c>
    </row>
    <row r="122" ht="17.25" customHeight="1">
      <c r="A122" s="35">
        <v>46053.770833333336</v>
      </c>
      <c r="B122" s="23" t="s">
        <v>667</v>
      </c>
      <c r="C122" s="24" t="s">
        <v>1560</v>
      </c>
      <c r="D122" s="36">
        <v>46052.0</v>
      </c>
      <c r="E122" s="27">
        <v>4.0</v>
      </c>
      <c r="F122" s="24" t="s">
        <v>1673</v>
      </c>
      <c r="G122" s="90"/>
      <c r="H122" s="26"/>
      <c r="I122" s="26" t="s">
        <v>668</v>
      </c>
      <c r="J122" s="26" t="s">
        <v>1821</v>
      </c>
      <c r="K122" s="26" t="s">
        <v>1822</v>
      </c>
      <c r="L122" s="26" t="s">
        <v>1824</v>
      </c>
      <c r="M122" s="26" t="s">
        <v>1566</v>
      </c>
      <c r="N122" s="26" t="s">
        <v>1566</v>
      </c>
      <c r="O122" s="26" t="s">
        <v>1566</v>
      </c>
      <c r="P122" s="26" t="s">
        <v>661</v>
      </c>
      <c r="Q122" s="26">
        <v>8.0</v>
      </c>
    </row>
    <row r="123" ht="17.25" customHeight="1">
      <c r="A123" s="35">
        <v>46053.770833333336</v>
      </c>
      <c r="B123" s="23" t="s">
        <v>675</v>
      </c>
      <c r="C123" s="24" t="s">
        <v>1560</v>
      </c>
      <c r="D123" s="36">
        <v>46052.0</v>
      </c>
      <c r="E123" s="27">
        <v>10.0</v>
      </c>
      <c r="F123" s="24" t="s">
        <v>1673</v>
      </c>
      <c r="G123" s="90"/>
      <c r="H123" s="26"/>
      <c r="I123" s="26" t="s">
        <v>676</v>
      </c>
      <c r="J123" s="26" t="s">
        <v>1821</v>
      </c>
      <c r="K123" s="26" t="s">
        <v>1822</v>
      </c>
      <c r="L123" s="26" t="s">
        <v>1825</v>
      </c>
      <c r="M123" s="26" t="s">
        <v>1566</v>
      </c>
      <c r="N123" s="26" t="s">
        <v>1566</v>
      </c>
      <c r="O123" s="26" t="s">
        <v>1566</v>
      </c>
      <c r="P123" s="26" t="s">
        <v>661</v>
      </c>
      <c r="Q123" s="26">
        <v>30.0</v>
      </c>
    </row>
    <row r="124" ht="17.25" customHeight="1">
      <c r="A124" s="35">
        <v>46053.770833333336</v>
      </c>
      <c r="B124" s="23" t="s">
        <v>681</v>
      </c>
      <c r="C124" s="24" t="s">
        <v>1560</v>
      </c>
      <c r="D124" s="36">
        <v>46052.0</v>
      </c>
      <c r="E124" s="27">
        <v>8.0</v>
      </c>
      <c r="F124" s="24" t="s">
        <v>1673</v>
      </c>
      <c r="G124" s="90"/>
      <c r="H124" s="26"/>
      <c r="I124" s="26" t="s">
        <v>683</v>
      </c>
      <c r="J124" s="26" t="s">
        <v>1821</v>
      </c>
      <c r="K124" s="26" t="s">
        <v>1822</v>
      </c>
      <c r="L124" s="26" t="s">
        <v>1826</v>
      </c>
      <c r="M124" s="26" t="s">
        <v>1566</v>
      </c>
      <c r="N124" s="26" t="s">
        <v>1566</v>
      </c>
      <c r="O124" s="26" t="s">
        <v>1566</v>
      </c>
      <c r="P124" s="26" t="s">
        <v>661</v>
      </c>
      <c r="Q124" s="26">
        <v>8.0</v>
      </c>
    </row>
    <row r="125" ht="17.25" customHeight="1">
      <c r="A125" s="35">
        <v>46053.770833333336</v>
      </c>
      <c r="B125" s="23" t="s">
        <v>692</v>
      </c>
      <c r="C125" s="24" t="s">
        <v>1560</v>
      </c>
      <c r="D125" s="36">
        <v>46052.0</v>
      </c>
      <c r="E125" s="27">
        <v>2.0</v>
      </c>
      <c r="F125" s="24" t="s">
        <v>1673</v>
      </c>
      <c r="G125" s="90"/>
      <c r="H125" s="26"/>
      <c r="I125" s="26" t="s">
        <v>693</v>
      </c>
      <c r="J125" s="26" t="s">
        <v>1821</v>
      </c>
      <c r="K125" s="26" t="s">
        <v>1822</v>
      </c>
      <c r="L125" s="26" t="s">
        <v>1827</v>
      </c>
      <c r="M125" s="26" t="s">
        <v>1566</v>
      </c>
      <c r="N125" s="26" t="s">
        <v>1566</v>
      </c>
      <c r="O125" s="26" t="s">
        <v>1566</v>
      </c>
      <c r="P125" s="26" t="s">
        <v>661</v>
      </c>
      <c r="Q125" s="26">
        <v>1.0</v>
      </c>
    </row>
    <row r="126" ht="17.25" customHeight="1">
      <c r="A126" s="35">
        <v>46053.770833333336</v>
      </c>
      <c r="B126" s="23" t="s">
        <v>654</v>
      </c>
      <c r="C126" s="24" t="s">
        <v>1560</v>
      </c>
      <c r="D126" s="36">
        <v>46052.0</v>
      </c>
      <c r="E126" s="27">
        <v>5.0</v>
      </c>
      <c r="F126" s="24" t="s">
        <v>1673</v>
      </c>
      <c r="G126" s="90"/>
      <c r="H126" s="26"/>
      <c r="I126" s="26" t="s">
        <v>655</v>
      </c>
      <c r="J126" s="26" t="s">
        <v>1821</v>
      </c>
      <c r="K126" s="26" t="s">
        <v>1822</v>
      </c>
      <c r="L126" s="26" t="s">
        <v>1566</v>
      </c>
      <c r="M126" s="26" t="s">
        <v>1566</v>
      </c>
      <c r="N126" s="26" t="s">
        <v>1566</v>
      </c>
      <c r="O126" s="26" t="s">
        <v>1566</v>
      </c>
      <c r="P126" s="26" t="s">
        <v>290</v>
      </c>
      <c r="Q126" s="26">
        <v>5.0</v>
      </c>
    </row>
    <row r="127" ht="17.25" customHeight="1">
      <c r="A127" s="35">
        <v>46053.770833333336</v>
      </c>
      <c r="B127" s="23" t="s">
        <v>271</v>
      </c>
      <c r="C127" s="24" t="s">
        <v>1560</v>
      </c>
      <c r="D127" s="36">
        <v>46052.0</v>
      </c>
      <c r="E127" s="39">
        <v>9.0</v>
      </c>
      <c r="F127" s="24" t="s">
        <v>1673</v>
      </c>
      <c r="G127" s="90"/>
      <c r="H127" s="26"/>
      <c r="I127" s="26" t="s">
        <v>277</v>
      </c>
      <c r="J127" s="26" t="s">
        <v>1821</v>
      </c>
      <c r="K127" s="26" t="s">
        <v>1822</v>
      </c>
      <c r="L127" s="26" t="s">
        <v>1824</v>
      </c>
      <c r="M127" s="26" t="s">
        <v>1566</v>
      </c>
      <c r="N127" s="26" t="s">
        <v>1566</v>
      </c>
      <c r="O127" s="26" t="s">
        <v>1566</v>
      </c>
      <c r="P127" s="26" t="s">
        <v>661</v>
      </c>
      <c r="Q127" s="26">
        <v>45.0</v>
      </c>
    </row>
    <row r="128" ht="17.25" customHeight="1">
      <c r="A128" s="35">
        <v>46053.770833333336</v>
      </c>
      <c r="B128" s="23" t="s">
        <v>710</v>
      </c>
      <c r="C128" s="24" t="s">
        <v>1560</v>
      </c>
      <c r="D128" s="36">
        <v>46052.0</v>
      </c>
      <c r="E128" s="27">
        <v>50.0</v>
      </c>
      <c r="F128" s="24" t="s">
        <v>1673</v>
      </c>
      <c r="G128" s="90"/>
      <c r="H128" s="26"/>
      <c r="I128" s="26" t="s">
        <v>711</v>
      </c>
      <c r="J128" s="26" t="s">
        <v>1821</v>
      </c>
      <c r="K128" s="26" t="s">
        <v>1821</v>
      </c>
      <c r="L128" s="26" t="s">
        <v>1566</v>
      </c>
      <c r="M128" s="26" t="s">
        <v>1566</v>
      </c>
      <c r="N128" s="26" t="s">
        <v>1566</v>
      </c>
      <c r="O128" s="26" t="s">
        <v>1566</v>
      </c>
      <c r="P128" s="26" t="s">
        <v>290</v>
      </c>
      <c r="Q128" s="26">
        <v>50.0</v>
      </c>
    </row>
    <row r="129" ht="17.25" customHeight="1">
      <c r="A129" s="35">
        <v>46053.770833333336</v>
      </c>
      <c r="B129" s="23" t="s">
        <v>716</v>
      </c>
      <c r="C129" s="24" t="s">
        <v>1560</v>
      </c>
      <c r="D129" s="36">
        <v>46052.0</v>
      </c>
      <c r="E129" s="27">
        <v>50.0</v>
      </c>
      <c r="F129" s="24" t="s">
        <v>1673</v>
      </c>
      <c r="G129" s="90"/>
      <c r="H129" s="26"/>
      <c r="I129" s="26" t="s">
        <v>718</v>
      </c>
      <c r="J129" s="26" t="s">
        <v>1821</v>
      </c>
      <c r="K129" s="26" t="s">
        <v>1821</v>
      </c>
      <c r="L129" s="26" t="s">
        <v>1566</v>
      </c>
      <c r="M129" s="26" t="s">
        <v>1566</v>
      </c>
      <c r="N129" s="26" t="s">
        <v>1566</v>
      </c>
      <c r="O129" s="26" t="s">
        <v>1566</v>
      </c>
      <c r="P129" s="26" t="s">
        <v>290</v>
      </c>
      <c r="Q129" s="26">
        <v>50.0</v>
      </c>
    </row>
    <row r="130" ht="17.25" customHeight="1">
      <c r="A130" s="35">
        <v>46053.770833333336</v>
      </c>
      <c r="B130" s="23" t="s">
        <v>222</v>
      </c>
      <c r="C130" s="24" t="s">
        <v>1560</v>
      </c>
      <c r="D130" s="36">
        <v>46052.0</v>
      </c>
      <c r="E130" s="39">
        <v>69.0</v>
      </c>
      <c r="F130" s="24" t="s">
        <v>1673</v>
      </c>
      <c r="G130" s="90"/>
      <c r="H130" s="26"/>
      <c r="I130" s="26" t="s">
        <v>230</v>
      </c>
      <c r="J130" s="26" t="s">
        <v>1821</v>
      </c>
      <c r="K130" s="26" t="s">
        <v>1822</v>
      </c>
      <c r="L130" s="26" t="s">
        <v>1828</v>
      </c>
      <c r="M130" s="26" t="s">
        <v>1590</v>
      </c>
      <c r="N130" s="26" t="s">
        <v>1566</v>
      </c>
      <c r="O130" s="26" t="s">
        <v>1566</v>
      </c>
      <c r="P130" s="26" t="s">
        <v>661</v>
      </c>
      <c r="Q130" s="26">
        <v>60.0</v>
      </c>
    </row>
    <row r="131" ht="17.25" customHeight="1">
      <c r="A131" s="35">
        <v>46053.770833333336</v>
      </c>
      <c r="B131" s="23" t="s">
        <v>312</v>
      </c>
      <c r="C131" s="24" t="s">
        <v>1560</v>
      </c>
      <c r="D131" s="36">
        <v>46052.0</v>
      </c>
      <c r="E131" s="27">
        <v>6.0</v>
      </c>
      <c r="F131" s="24" t="s">
        <v>1673</v>
      </c>
      <c r="G131" s="90"/>
      <c r="H131" s="26"/>
      <c r="I131" s="26" t="s">
        <v>319</v>
      </c>
      <c r="J131" s="26" t="s">
        <v>1821</v>
      </c>
      <c r="K131" s="26" t="s">
        <v>1822</v>
      </c>
      <c r="L131" s="26" t="s">
        <v>1566</v>
      </c>
      <c r="M131" s="26" t="s">
        <v>1566</v>
      </c>
      <c r="N131" s="26" t="s">
        <v>1566</v>
      </c>
      <c r="O131" s="26" t="s">
        <v>1829</v>
      </c>
      <c r="P131" s="26" t="s">
        <v>661</v>
      </c>
      <c r="Q131" s="26">
        <v>17.0</v>
      </c>
    </row>
    <row r="132" ht="17.25" customHeight="1">
      <c r="A132" s="35">
        <v>46053.770833333336</v>
      </c>
      <c r="B132" s="23" t="s">
        <v>359</v>
      </c>
      <c r="C132" s="24" t="s">
        <v>1560</v>
      </c>
      <c r="D132" s="36">
        <v>46052.0</v>
      </c>
      <c r="E132" s="39">
        <v>80.0</v>
      </c>
      <c r="F132" s="24" t="s">
        <v>1673</v>
      </c>
      <c r="G132" s="90"/>
      <c r="H132" s="26"/>
      <c r="I132" s="26" t="s">
        <v>370</v>
      </c>
      <c r="J132" s="26" t="s">
        <v>370</v>
      </c>
      <c r="K132" s="26" t="s">
        <v>370</v>
      </c>
      <c r="L132" s="26" t="s">
        <v>1566</v>
      </c>
      <c r="M132" s="26" t="s">
        <v>1566</v>
      </c>
      <c r="N132" s="26" t="s">
        <v>1566</v>
      </c>
      <c r="O132" s="26" t="s">
        <v>1566</v>
      </c>
      <c r="P132" s="26" t="s">
        <v>661</v>
      </c>
      <c r="Q132" s="26">
        <v>100.0</v>
      </c>
    </row>
    <row r="133" ht="17.25" customHeight="1">
      <c r="A133" s="35">
        <v>46053.770833333336</v>
      </c>
      <c r="B133" s="23" t="s">
        <v>748</v>
      </c>
      <c r="C133" s="24" t="s">
        <v>1560</v>
      </c>
      <c r="D133" s="36">
        <v>46052.0</v>
      </c>
      <c r="E133" s="27">
        <v>3.0</v>
      </c>
      <c r="F133" s="24" t="s">
        <v>1673</v>
      </c>
      <c r="G133" s="90"/>
      <c r="H133" s="26"/>
      <c r="I133" s="26" t="s">
        <v>749</v>
      </c>
      <c r="J133" s="26" t="s">
        <v>1821</v>
      </c>
      <c r="K133" s="26" t="s">
        <v>1822</v>
      </c>
      <c r="L133" s="26" t="s">
        <v>1566</v>
      </c>
      <c r="M133" s="26" t="s">
        <v>1566</v>
      </c>
      <c r="N133" s="26" t="s">
        <v>1566</v>
      </c>
      <c r="O133" s="26" t="s">
        <v>1566</v>
      </c>
      <c r="P133" s="26" t="s">
        <v>661</v>
      </c>
      <c r="Q133" s="26">
        <v>1.0</v>
      </c>
    </row>
    <row r="134" ht="17.25" customHeight="1">
      <c r="A134" s="35">
        <v>46053.770833333336</v>
      </c>
      <c r="B134" s="23" t="s">
        <v>756</v>
      </c>
      <c r="C134" s="24" t="s">
        <v>1560</v>
      </c>
      <c r="D134" s="36">
        <v>46048.0</v>
      </c>
      <c r="E134" s="27">
        <v>2.0</v>
      </c>
      <c r="F134" s="24" t="s">
        <v>1673</v>
      </c>
      <c r="G134" s="90"/>
      <c r="H134" s="26"/>
      <c r="I134" s="26" t="s">
        <v>757</v>
      </c>
      <c r="J134" s="26" t="s">
        <v>1830</v>
      </c>
      <c r="K134" s="26" t="s">
        <v>1830</v>
      </c>
      <c r="L134" s="26" t="s">
        <v>1566</v>
      </c>
      <c r="M134" s="26" t="s">
        <v>1566</v>
      </c>
      <c r="N134" s="26" t="s">
        <v>1566</v>
      </c>
      <c r="O134" s="26" t="s">
        <v>1566</v>
      </c>
      <c r="P134" s="26" t="s">
        <v>643</v>
      </c>
      <c r="Q134" s="26">
        <v>2.0</v>
      </c>
    </row>
    <row r="135" ht="17.25" customHeight="1">
      <c r="A135" s="35">
        <v>46053.770833333336</v>
      </c>
      <c r="B135" s="23" t="s">
        <v>892</v>
      </c>
      <c r="C135" s="24" t="s">
        <v>1560</v>
      </c>
      <c r="D135" s="36">
        <v>46048.0</v>
      </c>
      <c r="E135" s="39">
        <v>20.0</v>
      </c>
      <c r="F135" s="24" t="s">
        <v>1673</v>
      </c>
      <c r="G135" s="90"/>
      <c r="H135" s="26"/>
      <c r="I135" s="26" t="s">
        <v>893</v>
      </c>
      <c r="J135" s="26" t="s">
        <v>1812</v>
      </c>
      <c r="K135" s="26" t="s">
        <v>1813</v>
      </c>
      <c r="L135" s="26" t="s">
        <v>1566</v>
      </c>
      <c r="M135" s="26" t="s">
        <v>1566</v>
      </c>
      <c r="N135" s="26" t="s">
        <v>1566</v>
      </c>
      <c r="O135" s="26" t="s">
        <v>1809</v>
      </c>
      <c r="P135" s="26" t="s">
        <v>290</v>
      </c>
      <c r="Q135" s="26">
        <v>20.0</v>
      </c>
    </row>
    <row r="136" ht="17.25" customHeight="1">
      <c r="A136" s="35">
        <v>46053.770833333336</v>
      </c>
      <c r="B136" s="23" t="s">
        <v>406</v>
      </c>
      <c r="C136" s="24" t="s">
        <v>1560</v>
      </c>
      <c r="D136" s="36">
        <v>46048.0</v>
      </c>
      <c r="E136" s="27">
        <v>5.0</v>
      </c>
      <c r="F136" s="24" t="s">
        <v>1673</v>
      </c>
      <c r="G136" s="90"/>
      <c r="H136" s="26"/>
      <c r="I136" s="26" t="s">
        <v>409</v>
      </c>
      <c r="J136" s="26" t="s">
        <v>1812</v>
      </c>
      <c r="K136" s="26" t="s">
        <v>1831</v>
      </c>
      <c r="L136" s="26" t="s">
        <v>1566</v>
      </c>
      <c r="M136" s="26" t="s">
        <v>1566</v>
      </c>
      <c r="N136" s="26" t="s">
        <v>1566</v>
      </c>
      <c r="O136" s="26" t="s">
        <v>1566</v>
      </c>
      <c r="P136" s="26" t="s">
        <v>616</v>
      </c>
      <c r="Q136" s="26">
        <v>0.0</v>
      </c>
    </row>
    <row r="137" ht="17.25" customHeight="1">
      <c r="A137" s="35">
        <v>46053.770833333336</v>
      </c>
      <c r="B137" s="23" t="s">
        <v>763</v>
      </c>
      <c r="C137" s="24" t="s">
        <v>1560</v>
      </c>
      <c r="D137" s="36">
        <v>46048.0</v>
      </c>
      <c r="E137" s="27">
        <v>10.0</v>
      </c>
      <c r="F137" s="24" t="s">
        <v>1673</v>
      </c>
      <c r="G137" s="90"/>
      <c r="H137" s="26"/>
      <c r="I137" s="26" t="s">
        <v>765</v>
      </c>
      <c r="J137" s="26" t="s">
        <v>1812</v>
      </c>
      <c r="K137" s="26" t="s">
        <v>1815</v>
      </c>
      <c r="L137" s="26" t="s">
        <v>1566</v>
      </c>
      <c r="M137" s="26" t="s">
        <v>1566</v>
      </c>
      <c r="N137" s="26" t="s">
        <v>1566</v>
      </c>
      <c r="O137" s="26" t="s">
        <v>1566</v>
      </c>
      <c r="P137" s="26" t="s">
        <v>616</v>
      </c>
      <c r="Q137" s="26">
        <v>10.0</v>
      </c>
    </row>
    <row r="138" ht="17.25" customHeight="1">
      <c r="A138" s="35">
        <v>46053.770833333336</v>
      </c>
      <c r="B138" s="23" t="s">
        <v>770</v>
      </c>
      <c r="C138" s="24" t="s">
        <v>1560</v>
      </c>
      <c r="D138" s="36">
        <v>46048.0</v>
      </c>
      <c r="E138" s="27">
        <v>0.2</v>
      </c>
      <c r="F138" s="24" t="s">
        <v>1673</v>
      </c>
      <c r="G138" s="90"/>
      <c r="H138" s="26"/>
      <c r="I138" s="26" t="s">
        <v>771</v>
      </c>
      <c r="J138" s="26" t="s">
        <v>1812</v>
      </c>
      <c r="K138" s="26" t="s">
        <v>1815</v>
      </c>
      <c r="L138" s="26" t="s">
        <v>1566</v>
      </c>
      <c r="M138" s="26" t="s">
        <v>1566</v>
      </c>
      <c r="N138" s="26" t="s">
        <v>1566</v>
      </c>
      <c r="O138" s="26" t="s">
        <v>1832</v>
      </c>
      <c r="P138" s="26" t="s">
        <v>616</v>
      </c>
      <c r="Q138" s="26">
        <v>0.2</v>
      </c>
    </row>
    <row r="139" ht="17.25" customHeight="1">
      <c r="A139" s="35">
        <v>46053.770833333336</v>
      </c>
      <c r="B139" s="23" t="s">
        <v>776</v>
      </c>
      <c r="C139" s="24" t="s">
        <v>1560</v>
      </c>
      <c r="D139" s="36">
        <v>46048.0</v>
      </c>
      <c r="E139" s="27">
        <v>1.5</v>
      </c>
      <c r="F139" s="24" t="s">
        <v>1673</v>
      </c>
      <c r="G139" s="90"/>
      <c r="H139" s="26"/>
      <c r="I139" s="26" t="s">
        <v>777</v>
      </c>
      <c r="J139" s="26" t="s">
        <v>1812</v>
      </c>
      <c r="K139" s="26" t="s">
        <v>1833</v>
      </c>
      <c r="L139" s="26" t="s">
        <v>1566</v>
      </c>
      <c r="M139" s="26" t="s">
        <v>1566</v>
      </c>
      <c r="N139" s="26" t="s">
        <v>1566</v>
      </c>
      <c r="O139" s="26" t="s">
        <v>1834</v>
      </c>
      <c r="P139" s="26" t="s">
        <v>290</v>
      </c>
      <c r="Q139" s="26">
        <v>1.5</v>
      </c>
    </row>
    <row r="140" ht="17.25" customHeight="1">
      <c r="A140" s="35">
        <v>46053.770833333336</v>
      </c>
      <c r="B140" s="23" t="s">
        <v>443</v>
      </c>
      <c r="C140" s="24" t="s">
        <v>1560</v>
      </c>
      <c r="D140" s="36">
        <v>46048.0</v>
      </c>
      <c r="E140" s="27">
        <v>1.0</v>
      </c>
      <c r="F140" s="24" t="s">
        <v>1673</v>
      </c>
      <c r="G140" s="90"/>
      <c r="H140" s="26"/>
      <c r="I140" s="26" t="s">
        <v>446</v>
      </c>
      <c r="J140" s="26" t="s">
        <v>1812</v>
      </c>
      <c r="K140" s="26" t="s">
        <v>1821</v>
      </c>
      <c r="L140" s="26" t="s">
        <v>1566</v>
      </c>
      <c r="M140" s="26" t="s">
        <v>1566</v>
      </c>
      <c r="N140" s="26" t="s">
        <v>1566</v>
      </c>
      <c r="O140" s="26" t="s">
        <v>1835</v>
      </c>
      <c r="P140" s="26" t="s">
        <v>661</v>
      </c>
      <c r="Q140" s="26">
        <v>4.0</v>
      </c>
    </row>
    <row r="141" ht="17.25" customHeight="1">
      <c r="A141" s="35">
        <v>46053.770833333336</v>
      </c>
      <c r="B141" s="23" t="s">
        <v>787</v>
      </c>
      <c r="C141" s="24" t="s">
        <v>1560</v>
      </c>
      <c r="D141" s="36">
        <v>46048.0</v>
      </c>
      <c r="E141" s="27">
        <v>0.5</v>
      </c>
      <c r="F141" s="24" t="s">
        <v>1673</v>
      </c>
      <c r="G141" s="90"/>
      <c r="H141" s="26"/>
      <c r="I141" s="26" t="s">
        <v>788</v>
      </c>
      <c r="J141" s="26" t="s">
        <v>1812</v>
      </c>
      <c r="K141" s="26" t="s">
        <v>1815</v>
      </c>
      <c r="L141" s="26" t="s">
        <v>1566</v>
      </c>
      <c r="M141" s="26" t="s">
        <v>1566</v>
      </c>
      <c r="N141" s="26" t="s">
        <v>1566</v>
      </c>
      <c r="O141" s="26" t="s">
        <v>1566</v>
      </c>
      <c r="P141" s="26" t="s">
        <v>290</v>
      </c>
      <c r="Q141" s="26">
        <v>0.5</v>
      </c>
    </row>
    <row r="142" ht="17.25" customHeight="1">
      <c r="A142" s="35">
        <v>46053.770833333336</v>
      </c>
      <c r="B142" s="23" t="s">
        <v>484</v>
      </c>
      <c r="C142" s="24" t="s">
        <v>1560</v>
      </c>
      <c r="D142" s="36">
        <v>46048.0</v>
      </c>
      <c r="E142" s="27">
        <v>20.0</v>
      </c>
      <c r="F142" s="24" t="s">
        <v>1673</v>
      </c>
      <c r="G142" s="90"/>
      <c r="H142" s="26"/>
      <c r="I142" s="26" t="s">
        <v>636</v>
      </c>
      <c r="J142" s="26" t="s">
        <v>1812</v>
      </c>
      <c r="K142" s="26" t="s">
        <v>1813</v>
      </c>
      <c r="L142" s="26" t="s">
        <v>1566</v>
      </c>
      <c r="M142" s="26" t="s">
        <v>1566</v>
      </c>
      <c r="N142" s="26" t="s">
        <v>1566</v>
      </c>
      <c r="O142" s="26" t="s">
        <v>1836</v>
      </c>
      <c r="P142" s="26" t="s">
        <v>290</v>
      </c>
      <c r="Q142" s="26">
        <v>20.0</v>
      </c>
    </row>
    <row r="143" ht="17.25" customHeight="1">
      <c r="A143" s="35">
        <v>46053.770833333336</v>
      </c>
      <c r="B143" s="23" t="s">
        <v>523</v>
      </c>
      <c r="C143" s="24" t="s">
        <v>1560</v>
      </c>
      <c r="D143" s="36">
        <v>46048.0</v>
      </c>
      <c r="E143" s="27">
        <v>20.0</v>
      </c>
      <c r="F143" s="24" t="s">
        <v>1673</v>
      </c>
      <c r="G143" s="90"/>
      <c r="H143" s="26"/>
      <c r="I143" s="26" t="s">
        <v>528</v>
      </c>
      <c r="J143" s="26" t="s">
        <v>1812</v>
      </c>
      <c r="K143" s="26" t="s">
        <v>1815</v>
      </c>
      <c r="L143" s="26" t="s">
        <v>1566</v>
      </c>
      <c r="M143" s="26" t="s">
        <v>1566</v>
      </c>
      <c r="N143" s="26" t="s">
        <v>1566</v>
      </c>
      <c r="O143" s="26" t="s">
        <v>1837</v>
      </c>
      <c r="P143" s="26" t="s">
        <v>616</v>
      </c>
      <c r="Q143" s="26">
        <v>15.0</v>
      </c>
    </row>
    <row r="144" ht="17.25" customHeight="1">
      <c r="A144" s="35">
        <v>46053.770833333336</v>
      </c>
      <c r="B144" s="23" t="s">
        <v>562</v>
      </c>
      <c r="C144" s="24" t="s">
        <v>1560</v>
      </c>
      <c r="D144" s="36">
        <v>46048.0</v>
      </c>
      <c r="E144" s="27">
        <v>5.0</v>
      </c>
      <c r="F144" s="24" t="s">
        <v>1673</v>
      </c>
      <c r="G144" s="90"/>
      <c r="H144" s="26"/>
      <c r="I144" s="26" t="s">
        <v>567</v>
      </c>
      <c r="J144" s="26" t="s">
        <v>1812</v>
      </c>
      <c r="K144" s="26" t="s">
        <v>1815</v>
      </c>
      <c r="L144" s="26" t="s">
        <v>1566</v>
      </c>
      <c r="M144" s="26" t="s">
        <v>1566</v>
      </c>
      <c r="N144" s="26" t="s">
        <v>1566</v>
      </c>
      <c r="O144" s="26" t="s">
        <v>1838</v>
      </c>
      <c r="P144" s="26" t="s">
        <v>616</v>
      </c>
      <c r="Q144" s="26">
        <v>4.0</v>
      </c>
    </row>
    <row r="145" ht="17.25" customHeight="1">
      <c r="A145" s="35">
        <v>46053.770833333336</v>
      </c>
      <c r="B145" s="23" t="s">
        <v>598</v>
      </c>
      <c r="C145" s="24" t="s">
        <v>1560</v>
      </c>
      <c r="D145" s="36">
        <v>46048.0</v>
      </c>
      <c r="E145" s="27">
        <v>15.0</v>
      </c>
      <c r="F145" s="24" t="s">
        <v>1673</v>
      </c>
      <c r="G145" s="90"/>
      <c r="H145" s="26"/>
      <c r="I145" s="26" t="s">
        <v>604</v>
      </c>
      <c r="J145" s="26" t="s">
        <v>1812</v>
      </c>
      <c r="K145" s="26" t="s">
        <v>1815</v>
      </c>
      <c r="L145" s="26" t="s">
        <v>1566</v>
      </c>
      <c r="M145" s="26" t="s">
        <v>1566</v>
      </c>
      <c r="N145" s="26" t="s">
        <v>1566</v>
      </c>
      <c r="O145" s="26" t="s">
        <v>1812</v>
      </c>
      <c r="P145" s="26" t="s">
        <v>616</v>
      </c>
      <c r="Q145" s="26">
        <v>15.0</v>
      </c>
    </row>
    <row r="146" ht="17.25" customHeight="1">
      <c r="A146" s="35">
        <v>46053.770833333336</v>
      </c>
      <c r="B146" s="23" t="s">
        <v>682</v>
      </c>
      <c r="C146" s="24" t="s">
        <v>1560</v>
      </c>
      <c r="D146" s="36">
        <v>46048.0</v>
      </c>
      <c r="E146" s="27">
        <v>5.0</v>
      </c>
      <c r="F146" s="24" t="s">
        <v>1673</v>
      </c>
      <c r="G146" s="90"/>
      <c r="H146" s="26"/>
      <c r="I146" s="26" t="s">
        <v>690</v>
      </c>
      <c r="J146" s="26" t="s">
        <v>1830</v>
      </c>
      <c r="K146" s="26" t="s">
        <v>1830</v>
      </c>
      <c r="L146" s="26" t="s">
        <v>1566</v>
      </c>
      <c r="M146" s="26" t="s">
        <v>1566</v>
      </c>
      <c r="N146" s="26" t="s">
        <v>1566</v>
      </c>
      <c r="O146" s="26" t="s">
        <v>1566</v>
      </c>
      <c r="P146" s="26" t="s">
        <v>661</v>
      </c>
      <c r="Q146" s="26">
        <v>14.0</v>
      </c>
    </row>
    <row r="147" ht="17.25" customHeight="1">
      <c r="A147" s="35">
        <v>46053.770833333336</v>
      </c>
      <c r="B147" s="23" t="s">
        <v>812</v>
      </c>
      <c r="C147" s="24" t="s">
        <v>1560</v>
      </c>
      <c r="D147" s="36">
        <v>46048.0</v>
      </c>
      <c r="E147" s="27">
        <v>160.0</v>
      </c>
      <c r="F147" s="24" t="s">
        <v>1673</v>
      </c>
      <c r="G147" s="90"/>
      <c r="H147" s="26"/>
      <c r="I147" s="26" t="s">
        <v>813</v>
      </c>
      <c r="J147" s="26" t="s">
        <v>1830</v>
      </c>
      <c r="K147" s="26" t="s">
        <v>1839</v>
      </c>
      <c r="L147" s="26" t="s">
        <v>1566</v>
      </c>
      <c r="M147" s="26" t="s">
        <v>1566</v>
      </c>
      <c r="N147" s="26" t="s">
        <v>1566</v>
      </c>
      <c r="O147" s="26" t="s">
        <v>1566</v>
      </c>
      <c r="P147" s="26" t="s">
        <v>661</v>
      </c>
      <c r="Q147" s="26">
        <v>100.0</v>
      </c>
    </row>
    <row r="148" ht="17.25" customHeight="1">
      <c r="A148" s="35">
        <v>46053.770833333336</v>
      </c>
      <c r="B148" s="23" t="s">
        <v>819</v>
      </c>
      <c r="C148" s="24" t="s">
        <v>1560</v>
      </c>
      <c r="D148" s="36">
        <v>46048.0</v>
      </c>
      <c r="E148" s="27">
        <v>1.0</v>
      </c>
      <c r="F148" s="24" t="s">
        <v>1673</v>
      </c>
      <c r="G148" s="90"/>
      <c r="H148" s="26"/>
      <c r="I148" s="26" t="s">
        <v>820</v>
      </c>
      <c r="J148" s="26" t="s">
        <v>1674</v>
      </c>
      <c r="K148" s="26" t="s">
        <v>1691</v>
      </c>
      <c r="L148" s="26" t="s">
        <v>1566</v>
      </c>
      <c r="M148" s="26" t="s">
        <v>1566</v>
      </c>
      <c r="N148" s="26" t="s">
        <v>1566</v>
      </c>
      <c r="O148" s="26" t="s">
        <v>1677</v>
      </c>
      <c r="P148" s="26" t="s">
        <v>290</v>
      </c>
      <c r="Q148" s="26">
        <v>1.0</v>
      </c>
    </row>
    <row r="149" ht="17.25" customHeight="1">
      <c r="A149" s="35">
        <v>46053.770833333336</v>
      </c>
      <c r="B149" s="23" t="s">
        <v>826</v>
      </c>
      <c r="C149" s="24" t="s">
        <v>1560</v>
      </c>
      <c r="D149" s="36">
        <v>46048.0</v>
      </c>
      <c r="E149" s="27">
        <v>1.0</v>
      </c>
      <c r="F149" s="24" t="s">
        <v>1673</v>
      </c>
      <c r="G149" s="90"/>
      <c r="H149" s="26"/>
      <c r="I149" s="26" t="s">
        <v>828</v>
      </c>
      <c r="J149" s="26" t="s">
        <v>1674</v>
      </c>
      <c r="K149" s="26" t="s">
        <v>1691</v>
      </c>
      <c r="L149" s="26" t="s">
        <v>1566</v>
      </c>
      <c r="M149" s="26" t="s">
        <v>1566</v>
      </c>
      <c r="N149" s="26" t="s">
        <v>1566</v>
      </c>
      <c r="O149" s="26" t="s">
        <v>1677</v>
      </c>
      <c r="P149" s="26" t="s">
        <v>290</v>
      </c>
      <c r="Q149" s="26">
        <v>1.0</v>
      </c>
    </row>
    <row r="150" ht="17.25" customHeight="1">
      <c r="A150" s="35">
        <v>46053.770833333336</v>
      </c>
      <c r="B150" s="23" t="s">
        <v>831</v>
      </c>
      <c r="C150" s="24" t="s">
        <v>1560</v>
      </c>
      <c r="D150" s="36">
        <v>46048.0</v>
      </c>
      <c r="E150" s="27">
        <v>1.0</v>
      </c>
      <c r="F150" s="24" t="s">
        <v>1673</v>
      </c>
      <c r="G150" s="90"/>
      <c r="H150" s="26"/>
      <c r="I150" s="26" t="s">
        <v>828</v>
      </c>
      <c r="J150" s="26" t="s">
        <v>1674</v>
      </c>
      <c r="K150" s="26" t="s">
        <v>1691</v>
      </c>
      <c r="L150" s="26" t="s">
        <v>1566</v>
      </c>
      <c r="M150" s="26" t="s">
        <v>1566</v>
      </c>
      <c r="N150" s="26" t="s">
        <v>1566</v>
      </c>
      <c r="O150" s="26" t="s">
        <v>1677</v>
      </c>
      <c r="P150" s="26" t="s">
        <v>290</v>
      </c>
      <c r="Q150" s="26">
        <v>1.0</v>
      </c>
    </row>
    <row r="151" ht="17.25" customHeight="1">
      <c r="A151" s="35">
        <v>46053.770833333336</v>
      </c>
      <c r="B151" s="23" t="s">
        <v>1840</v>
      </c>
      <c r="C151" s="24" t="s">
        <v>1560</v>
      </c>
      <c r="D151" s="36">
        <v>46048.0</v>
      </c>
      <c r="E151" s="27">
        <v>25.0</v>
      </c>
      <c r="F151" s="24" t="s">
        <v>1673</v>
      </c>
      <c r="G151" s="90"/>
      <c r="H151" s="26"/>
      <c r="I151" s="26" t="s">
        <v>1841</v>
      </c>
      <c r="J151" s="26" t="s">
        <v>1812</v>
      </c>
      <c r="K151" s="26" t="s">
        <v>1815</v>
      </c>
      <c r="L151" s="26" t="s">
        <v>1566</v>
      </c>
      <c r="M151" s="26" t="s">
        <v>1566</v>
      </c>
      <c r="N151" s="26" t="s">
        <v>1566</v>
      </c>
      <c r="O151" s="26" t="s">
        <v>1842</v>
      </c>
      <c r="P151" s="26" t="s">
        <v>616</v>
      </c>
      <c r="Q151" s="26">
        <v>0.0</v>
      </c>
    </row>
    <row r="152" ht="17.25" customHeight="1">
      <c r="A152" s="35">
        <v>46053.770833333336</v>
      </c>
      <c r="B152" s="23" t="s">
        <v>1843</v>
      </c>
      <c r="C152" s="24" t="s">
        <v>1560</v>
      </c>
      <c r="D152" s="36">
        <v>46048.0</v>
      </c>
      <c r="E152" s="27">
        <v>1.0</v>
      </c>
      <c r="F152" s="95" t="s">
        <v>1844</v>
      </c>
      <c r="G152" s="96"/>
      <c r="H152" s="26"/>
      <c r="I152" s="26" t="s">
        <v>1845</v>
      </c>
      <c r="J152" s="26" t="s">
        <v>1844</v>
      </c>
      <c r="K152" s="26" t="s">
        <v>1846</v>
      </c>
      <c r="L152" s="26" t="s">
        <v>1847</v>
      </c>
      <c r="M152" s="26" t="s">
        <v>1566</v>
      </c>
      <c r="N152" s="26" t="s">
        <v>1566</v>
      </c>
      <c r="O152" s="26" t="s">
        <v>1848</v>
      </c>
      <c r="P152" s="26" t="s">
        <v>661</v>
      </c>
      <c r="Q152" s="26">
        <v>0.0</v>
      </c>
    </row>
    <row r="153" ht="17.25" customHeight="1">
      <c r="A153" s="35">
        <v>46053.770833333336</v>
      </c>
      <c r="B153" s="23" t="s">
        <v>836</v>
      </c>
      <c r="C153" s="24" t="s">
        <v>1560</v>
      </c>
      <c r="D153" s="36">
        <v>46048.0</v>
      </c>
      <c r="E153" s="66">
        <v>1.0</v>
      </c>
      <c r="F153" s="95" t="s">
        <v>1844</v>
      </c>
      <c r="G153" s="96"/>
      <c r="H153" s="26"/>
      <c r="I153" s="26" t="s">
        <v>837</v>
      </c>
      <c r="J153" s="26" t="s">
        <v>1844</v>
      </c>
      <c r="K153" s="26" t="s">
        <v>1846</v>
      </c>
      <c r="L153" s="26" t="s">
        <v>1849</v>
      </c>
      <c r="M153" s="26" t="s">
        <v>1566</v>
      </c>
      <c r="N153" s="26" t="s">
        <v>1566</v>
      </c>
      <c r="O153" s="26" t="s">
        <v>1848</v>
      </c>
      <c r="P153" s="26" t="s">
        <v>661</v>
      </c>
      <c r="Q153" s="26">
        <v>1.0</v>
      </c>
    </row>
    <row r="154" ht="17.25" customHeight="1">
      <c r="A154" s="35">
        <v>46053.770833333336</v>
      </c>
      <c r="B154" s="23" t="s">
        <v>842</v>
      </c>
      <c r="C154" s="39" t="s">
        <v>1560</v>
      </c>
      <c r="D154" s="36">
        <v>46048.0</v>
      </c>
      <c r="E154" s="66">
        <v>1.0</v>
      </c>
      <c r="F154" s="95" t="s">
        <v>1844</v>
      </c>
      <c r="G154" s="96"/>
      <c r="H154" s="26"/>
      <c r="I154" s="26" t="s">
        <v>843</v>
      </c>
      <c r="J154" s="26" t="s">
        <v>1844</v>
      </c>
      <c r="K154" s="26" t="s">
        <v>1846</v>
      </c>
      <c r="L154" s="26" t="s">
        <v>1850</v>
      </c>
      <c r="M154" s="26" t="s">
        <v>1566</v>
      </c>
      <c r="N154" s="26" t="s">
        <v>1566</v>
      </c>
      <c r="O154" s="26" t="s">
        <v>1848</v>
      </c>
      <c r="P154" s="26" t="s">
        <v>661</v>
      </c>
      <c r="Q154" s="26">
        <v>1.0</v>
      </c>
    </row>
    <row r="155" ht="17.25" customHeight="1">
      <c r="A155" s="35">
        <v>46053.770833333336</v>
      </c>
      <c r="B155" s="23" t="s">
        <v>1855</v>
      </c>
      <c r="C155" s="39" t="s">
        <v>1560</v>
      </c>
      <c r="D155" s="36">
        <v>46048.0</v>
      </c>
      <c r="E155" s="66">
        <v>1.0</v>
      </c>
      <c r="F155" s="95" t="s">
        <v>1844</v>
      </c>
      <c r="G155" s="96"/>
      <c r="H155" s="26"/>
      <c r="I155" s="26" t="s">
        <v>1858</v>
      </c>
      <c r="J155" s="26" t="s">
        <v>1844</v>
      </c>
      <c r="K155" s="26" t="s">
        <v>1846</v>
      </c>
      <c r="L155" s="26" t="s">
        <v>1860</v>
      </c>
      <c r="M155" s="26" t="s">
        <v>1566</v>
      </c>
      <c r="N155" s="26" t="s">
        <v>1566</v>
      </c>
      <c r="O155" s="26" t="s">
        <v>1808</v>
      </c>
      <c r="P155" s="26" t="s">
        <v>661</v>
      </c>
      <c r="Q155" s="26">
        <v>0.0</v>
      </c>
    </row>
    <row r="156" ht="17.25" customHeight="1">
      <c r="A156" s="35">
        <v>46053.770833333336</v>
      </c>
      <c r="B156" s="23" t="s">
        <v>1862</v>
      </c>
      <c r="C156" s="24" t="s">
        <v>1560</v>
      </c>
      <c r="D156" s="36">
        <v>46048.0</v>
      </c>
      <c r="E156" s="66">
        <v>1.0</v>
      </c>
      <c r="F156" s="95" t="s">
        <v>1844</v>
      </c>
      <c r="G156" s="96"/>
      <c r="H156" s="26"/>
      <c r="I156" s="26" t="s">
        <v>1864</v>
      </c>
      <c r="J156" s="26" t="s">
        <v>1844</v>
      </c>
      <c r="K156" s="26" t="s">
        <v>1846</v>
      </c>
      <c r="L156" s="26" t="s">
        <v>1865</v>
      </c>
      <c r="M156" s="26" t="s">
        <v>1566</v>
      </c>
      <c r="N156" s="26" t="s">
        <v>1566</v>
      </c>
      <c r="O156" s="26" t="s">
        <v>1848</v>
      </c>
      <c r="P156" s="26" t="s">
        <v>661</v>
      </c>
      <c r="Q156" s="26">
        <v>0.0</v>
      </c>
    </row>
    <row r="157" ht="17.25" customHeight="1">
      <c r="A157" s="35">
        <v>46053.770833333336</v>
      </c>
      <c r="B157" s="23" t="s">
        <v>1867</v>
      </c>
      <c r="C157" s="24" t="s">
        <v>1560</v>
      </c>
      <c r="D157" s="36">
        <v>46048.0</v>
      </c>
      <c r="E157" s="66">
        <v>1.0</v>
      </c>
      <c r="F157" s="95" t="s">
        <v>1844</v>
      </c>
      <c r="G157" s="96"/>
      <c r="H157" s="26"/>
      <c r="I157" s="26" t="s">
        <v>1868</v>
      </c>
      <c r="J157" s="26" t="s">
        <v>1844</v>
      </c>
      <c r="K157" s="26" t="s">
        <v>1846</v>
      </c>
      <c r="L157" s="26" t="s">
        <v>1869</v>
      </c>
      <c r="M157" s="26" t="s">
        <v>1566</v>
      </c>
      <c r="N157" s="26" t="s">
        <v>1566</v>
      </c>
      <c r="O157" s="26" t="s">
        <v>1808</v>
      </c>
      <c r="P157" s="26" t="s">
        <v>661</v>
      </c>
      <c r="Q157" s="26">
        <v>0.0</v>
      </c>
    </row>
    <row r="158" ht="17.25" customHeight="1">
      <c r="A158" s="35">
        <v>46053.770833333336</v>
      </c>
      <c r="B158" s="23" t="s">
        <v>847</v>
      </c>
      <c r="C158" s="24" t="s">
        <v>1560</v>
      </c>
      <c r="D158" s="103">
        <v>46052.0</v>
      </c>
      <c r="E158" s="66">
        <v>1.0</v>
      </c>
      <c r="F158" s="95" t="s">
        <v>1844</v>
      </c>
      <c r="G158" s="96"/>
      <c r="H158" s="26"/>
      <c r="I158" s="26" t="s">
        <v>849</v>
      </c>
      <c r="J158" s="26" t="s">
        <v>1844</v>
      </c>
      <c r="K158" s="26" t="s">
        <v>1846</v>
      </c>
      <c r="L158" s="26" t="s">
        <v>1870</v>
      </c>
      <c r="M158" s="26" t="s">
        <v>1566</v>
      </c>
      <c r="N158" s="26" t="s">
        <v>1566</v>
      </c>
      <c r="O158" s="26" t="s">
        <v>1808</v>
      </c>
      <c r="P158" s="26" t="s">
        <v>661</v>
      </c>
      <c r="Q158" s="26">
        <v>1.0</v>
      </c>
    </row>
    <row r="159" ht="17.25" customHeight="1">
      <c r="A159" s="35">
        <v>46053.770833333336</v>
      </c>
      <c r="B159" s="23" t="s">
        <v>857</v>
      </c>
      <c r="C159" s="24" t="s">
        <v>1560</v>
      </c>
      <c r="D159" s="103">
        <v>46052.0</v>
      </c>
      <c r="E159" s="66">
        <v>1.0</v>
      </c>
      <c r="F159" s="95" t="s">
        <v>1844</v>
      </c>
      <c r="G159" s="96"/>
      <c r="H159" s="26"/>
      <c r="I159" s="26" t="s">
        <v>859</v>
      </c>
      <c r="J159" s="26" t="s">
        <v>1844</v>
      </c>
      <c r="K159" s="26" t="s">
        <v>1846</v>
      </c>
      <c r="L159" s="26" t="s">
        <v>1871</v>
      </c>
      <c r="M159" s="26" t="s">
        <v>1566</v>
      </c>
      <c r="N159" s="26" t="s">
        <v>1566</v>
      </c>
      <c r="O159" s="26" t="s">
        <v>1808</v>
      </c>
      <c r="P159" s="26" t="s">
        <v>661</v>
      </c>
      <c r="Q159" s="26">
        <v>1.0</v>
      </c>
    </row>
    <row r="160" ht="17.25" customHeight="1">
      <c r="A160" s="35">
        <v>46053.770833333336</v>
      </c>
      <c r="B160" s="23" t="s">
        <v>865</v>
      </c>
      <c r="C160" s="24" t="s">
        <v>1560</v>
      </c>
      <c r="D160" s="103">
        <v>46052.0</v>
      </c>
      <c r="E160" s="66">
        <v>1.0</v>
      </c>
      <c r="F160" s="95" t="s">
        <v>1844</v>
      </c>
      <c r="G160" s="96"/>
      <c r="H160" s="26"/>
      <c r="I160" s="26" t="s">
        <v>866</v>
      </c>
      <c r="J160" s="26" t="s">
        <v>1844</v>
      </c>
      <c r="K160" s="26" t="s">
        <v>1872</v>
      </c>
      <c r="L160" s="26" t="s">
        <v>1566</v>
      </c>
      <c r="M160" s="26" t="s">
        <v>1566</v>
      </c>
      <c r="N160" s="26" t="s">
        <v>1566</v>
      </c>
      <c r="O160" s="26" t="s">
        <v>1566</v>
      </c>
      <c r="P160" s="26" t="s">
        <v>661</v>
      </c>
      <c r="Q160" s="26">
        <v>1.0</v>
      </c>
    </row>
    <row r="161" ht="17.25" customHeight="1">
      <c r="A161" s="35">
        <v>46053.770833333336</v>
      </c>
      <c r="B161" s="23" t="s">
        <v>638</v>
      </c>
      <c r="C161" s="24" t="s">
        <v>1560</v>
      </c>
      <c r="D161" s="103">
        <v>46052.0</v>
      </c>
      <c r="E161" s="66">
        <v>2.0</v>
      </c>
      <c r="F161" s="95" t="s">
        <v>1673</v>
      </c>
      <c r="G161" s="96"/>
      <c r="H161" s="26"/>
      <c r="I161" s="26" t="s">
        <v>644</v>
      </c>
      <c r="J161" s="26" t="s">
        <v>1821</v>
      </c>
      <c r="K161" s="26" t="s">
        <v>1873</v>
      </c>
      <c r="L161" s="26" t="s">
        <v>1566</v>
      </c>
      <c r="M161" s="26" t="s">
        <v>1566</v>
      </c>
      <c r="N161" s="26" t="s">
        <v>1566</v>
      </c>
      <c r="O161" s="26" t="s">
        <v>1566</v>
      </c>
      <c r="P161" s="26" t="s">
        <v>290</v>
      </c>
      <c r="Q161" s="26">
        <v>9.0</v>
      </c>
    </row>
    <row r="162" ht="17.25" customHeight="1">
      <c r="A162" s="35">
        <v>46053.770833333336</v>
      </c>
      <c r="B162" s="23" t="s">
        <v>1874</v>
      </c>
      <c r="C162" s="24" t="s">
        <v>1560</v>
      </c>
      <c r="D162" s="103">
        <v>46052.0</v>
      </c>
      <c r="E162" s="66">
        <v>1.0</v>
      </c>
      <c r="F162" s="95" t="s">
        <v>1673</v>
      </c>
      <c r="G162" s="96"/>
      <c r="H162" s="26"/>
      <c r="I162" s="26" t="s">
        <v>1875</v>
      </c>
      <c r="J162" s="26" t="s">
        <v>1844</v>
      </c>
      <c r="K162" s="26" t="s">
        <v>1872</v>
      </c>
      <c r="L162" s="26" t="s">
        <v>1566</v>
      </c>
      <c r="M162" s="26" t="s">
        <v>1566</v>
      </c>
      <c r="N162" s="26" t="s">
        <v>1876</v>
      </c>
      <c r="O162" s="26" t="s">
        <v>1566</v>
      </c>
      <c r="P162" s="26" t="s">
        <v>661</v>
      </c>
      <c r="Q162" s="26">
        <v>0.0</v>
      </c>
    </row>
    <row r="163" ht="17.25" customHeight="1">
      <c r="A163" s="35">
        <v>46053.770833333336</v>
      </c>
      <c r="B163" s="23" t="s">
        <v>1877</v>
      </c>
      <c r="C163" s="24" t="s">
        <v>1560</v>
      </c>
      <c r="D163" s="103">
        <v>46052.0</v>
      </c>
      <c r="E163" s="39">
        <v>0.0</v>
      </c>
      <c r="F163" s="95" t="s">
        <v>1673</v>
      </c>
      <c r="G163" s="96"/>
      <c r="H163" s="26"/>
      <c r="I163" s="26" t="s">
        <v>1878</v>
      </c>
      <c r="J163" s="26" t="s">
        <v>1833</v>
      </c>
      <c r="K163" s="26" t="s">
        <v>1833</v>
      </c>
      <c r="L163" s="26" t="s">
        <v>1566</v>
      </c>
      <c r="M163" s="26" t="s">
        <v>1566</v>
      </c>
      <c r="N163" s="26" t="s">
        <v>1566</v>
      </c>
      <c r="O163" s="26" t="s">
        <v>1566</v>
      </c>
      <c r="P163" s="26" t="s">
        <v>290</v>
      </c>
      <c r="Q163" s="26">
        <v>0.0</v>
      </c>
    </row>
    <row r="164" ht="17.25" customHeight="1">
      <c r="A164" s="35">
        <v>46053.770833333336</v>
      </c>
      <c r="B164" s="23" t="s">
        <v>876</v>
      </c>
      <c r="C164" s="24" t="s">
        <v>1560</v>
      </c>
      <c r="D164" s="103">
        <v>46052.0</v>
      </c>
      <c r="E164" s="39">
        <v>80.0</v>
      </c>
      <c r="F164" s="95" t="s">
        <v>1673</v>
      </c>
      <c r="G164" s="96"/>
      <c r="H164" s="26"/>
      <c r="I164" s="26" t="s">
        <v>878</v>
      </c>
      <c r="J164" s="26" t="s">
        <v>1830</v>
      </c>
      <c r="K164" s="26" t="s">
        <v>1879</v>
      </c>
      <c r="L164" s="26" t="s">
        <v>1566</v>
      </c>
      <c r="M164" s="26" t="s">
        <v>1566</v>
      </c>
      <c r="N164" s="26" t="s">
        <v>1566</v>
      </c>
      <c r="O164" s="26" t="s">
        <v>1566</v>
      </c>
      <c r="P164" s="26" t="s">
        <v>643</v>
      </c>
      <c r="Q164" s="26">
        <v>34.0</v>
      </c>
    </row>
    <row r="165" ht="17.25" customHeight="1">
      <c r="A165" s="35">
        <v>46053.770833333336</v>
      </c>
      <c r="B165" s="23" t="s">
        <v>887</v>
      </c>
      <c r="C165" s="24" t="s">
        <v>1560</v>
      </c>
      <c r="D165" s="103">
        <v>46052.0</v>
      </c>
      <c r="E165" s="104">
        <v>1.0</v>
      </c>
      <c r="F165" s="95" t="s">
        <v>1673</v>
      </c>
      <c r="G165" s="96"/>
      <c r="H165" s="26"/>
      <c r="I165" s="26" t="s">
        <v>888</v>
      </c>
      <c r="J165" s="26" t="s">
        <v>1830</v>
      </c>
      <c r="K165" s="26" t="s">
        <v>1830</v>
      </c>
      <c r="L165" s="26" t="s">
        <v>1566</v>
      </c>
      <c r="M165" s="26" t="s">
        <v>1566</v>
      </c>
      <c r="N165" s="26" t="s">
        <v>1566</v>
      </c>
      <c r="O165" s="26" t="s">
        <v>1566</v>
      </c>
      <c r="P165" s="26" t="s">
        <v>290</v>
      </c>
      <c r="Q165" s="26">
        <v>6.0</v>
      </c>
    </row>
    <row r="166" ht="17.25" customHeight="1">
      <c r="A166" s="35">
        <v>46053.770833333336</v>
      </c>
      <c r="B166" s="23" t="s">
        <v>301</v>
      </c>
      <c r="C166" s="24" t="s">
        <v>1560</v>
      </c>
      <c r="D166" s="103">
        <v>46052.0</v>
      </c>
      <c r="E166" s="39">
        <v>100.0</v>
      </c>
      <c r="F166" s="95" t="s">
        <v>1673</v>
      </c>
      <c r="G166" s="96"/>
      <c r="H166" s="26"/>
      <c r="I166" s="26" t="s">
        <v>302</v>
      </c>
      <c r="J166" s="26" t="s">
        <v>1830</v>
      </c>
      <c r="K166" s="26" t="s">
        <v>302</v>
      </c>
      <c r="L166" s="26" t="s">
        <v>1566</v>
      </c>
      <c r="M166" s="26" t="s">
        <v>1566</v>
      </c>
      <c r="N166" s="26" t="s">
        <v>1566</v>
      </c>
      <c r="O166" s="26" t="s">
        <v>1566</v>
      </c>
      <c r="P166" s="26" t="s">
        <v>661</v>
      </c>
      <c r="Q166" s="26">
        <v>580.0</v>
      </c>
    </row>
    <row r="167" ht="17.25" customHeight="1">
      <c r="A167" s="35">
        <v>46053.770833333336</v>
      </c>
      <c r="B167" s="23" t="s">
        <v>1880</v>
      </c>
      <c r="C167" s="24" t="s">
        <v>1560</v>
      </c>
      <c r="D167" s="103">
        <v>46052.0</v>
      </c>
      <c r="E167" s="39">
        <v>0.0</v>
      </c>
      <c r="F167" s="95" t="s">
        <v>1673</v>
      </c>
      <c r="G167" s="96"/>
      <c r="H167" s="26"/>
      <c r="I167" s="26" t="s">
        <v>1881</v>
      </c>
      <c r="J167" s="26" t="s">
        <v>1830</v>
      </c>
      <c r="K167" s="26" t="s">
        <v>1882</v>
      </c>
      <c r="L167" s="26" t="s">
        <v>1566</v>
      </c>
      <c r="M167" s="26" t="s">
        <v>1566</v>
      </c>
      <c r="N167" s="26" t="s">
        <v>1693</v>
      </c>
      <c r="O167" s="26" t="s">
        <v>1566</v>
      </c>
      <c r="P167" s="26" t="s">
        <v>661</v>
      </c>
      <c r="Q167" s="26">
        <v>0.0</v>
      </c>
    </row>
    <row r="168" ht="17.25" customHeight="1">
      <c r="A168" s="35">
        <v>46053.770833333336</v>
      </c>
      <c r="B168" s="23" t="s">
        <v>1883</v>
      </c>
      <c r="C168" s="24" t="s">
        <v>1560</v>
      </c>
      <c r="D168" s="103">
        <v>46052.0</v>
      </c>
      <c r="E168" s="39">
        <v>0.0</v>
      </c>
      <c r="F168" s="95" t="s">
        <v>1673</v>
      </c>
      <c r="G168" s="96"/>
      <c r="H168" s="26"/>
      <c r="I168" s="26" t="s">
        <v>1884</v>
      </c>
      <c r="J168" s="26" t="s">
        <v>1830</v>
      </c>
      <c r="K168" s="26" t="s">
        <v>1882</v>
      </c>
      <c r="L168" s="26" t="s">
        <v>1566</v>
      </c>
      <c r="M168" s="26" t="s">
        <v>1566</v>
      </c>
      <c r="N168" s="26" t="s">
        <v>1885</v>
      </c>
      <c r="O168" s="26" t="s">
        <v>1566</v>
      </c>
      <c r="P168" s="26" t="s">
        <v>661</v>
      </c>
      <c r="Q168" s="26">
        <v>0.0</v>
      </c>
    </row>
    <row r="169" ht="17.25" customHeight="1">
      <c r="A169" s="35">
        <v>46053.770833333336</v>
      </c>
      <c r="B169" s="23" t="s">
        <v>1886</v>
      </c>
      <c r="C169" s="24" t="s">
        <v>1560</v>
      </c>
      <c r="D169" s="103">
        <v>46052.0</v>
      </c>
      <c r="E169" s="39">
        <v>0.0</v>
      </c>
      <c r="F169" s="95" t="s">
        <v>1673</v>
      </c>
      <c r="G169" s="96"/>
      <c r="H169" s="26"/>
      <c r="I169" s="26" t="s">
        <v>1887</v>
      </c>
      <c r="J169" s="26" t="s">
        <v>1830</v>
      </c>
      <c r="K169" s="26" t="s">
        <v>1882</v>
      </c>
      <c r="L169" s="26" t="s">
        <v>1566</v>
      </c>
      <c r="M169" s="26" t="s">
        <v>1566</v>
      </c>
      <c r="N169" s="26" t="s">
        <v>1566</v>
      </c>
      <c r="O169" s="26" t="s">
        <v>1566</v>
      </c>
      <c r="P169" s="26" t="s">
        <v>661</v>
      </c>
      <c r="Q169" s="26">
        <v>0.0</v>
      </c>
    </row>
    <row r="170" ht="17.25" customHeight="1">
      <c r="A170" s="35">
        <v>46053.770833333336</v>
      </c>
      <c r="B170" s="23" t="s">
        <v>900</v>
      </c>
      <c r="C170" s="24" t="s">
        <v>1560</v>
      </c>
      <c r="D170" s="103">
        <v>46052.0</v>
      </c>
      <c r="E170" s="39">
        <v>10.0</v>
      </c>
      <c r="F170" s="95" t="s">
        <v>1673</v>
      </c>
      <c r="G170" s="96"/>
      <c r="H170" s="26"/>
      <c r="I170" s="26" t="s">
        <v>902</v>
      </c>
      <c r="J170" s="26" t="s">
        <v>1830</v>
      </c>
      <c r="K170" s="26" t="s">
        <v>1888</v>
      </c>
      <c r="L170" s="26" t="s">
        <v>1566</v>
      </c>
      <c r="M170" s="26" t="s">
        <v>1566</v>
      </c>
      <c r="N170" s="26" t="s">
        <v>1566</v>
      </c>
      <c r="O170" s="26" t="s">
        <v>1566</v>
      </c>
      <c r="P170" s="26" t="s">
        <v>661</v>
      </c>
      <c r="Q170" s="26">
        <v>9.0</v>
      </c>
    </row>
    <row r="171" ht="17.25" customHeight="1">
      <c r="A171" s="35">
        <v>46053.770833333336</v>
      </c>
      <c r="B171" s="23" t="s">
        <v>908</v>
      </c>
      <c r="C171" s="24" t="s">
        <v>1560</v>
      </c>
      <c r="D171" s="103">
        <v>46052.0</v>
      </c>
      <c r="E171" s="66">
        <v>1.0</v>
      </c>
      <c r="F171" s="95" t="s">
        <v>1673</v>
      </c>
      <c r="G171" s="96"/>
      <c r="H171" s="26"/>
      <c r="I171" s="26" t="s">
        <v>910</v>
      </c>
      <c r="J171" s="26" t="s">
        <v>1830</v>
      </c>
      <c r="K171" s="26" t="s">
        <v>1830</v>
      </c>
      <c r="L171" s="26" t="s">
        <v>1566</v>
      </c>
      <c r="M171" s="26" t="s">
        <v>1566</v>
      </c>
      <c r="N171" s="26" t="s">
        <v>1566</v>
      </c>
      <c r="O171" s="26" t="s">
        <v>1566</v>
      </c>
      <c r="P171" s="26" t="s">
        <v>643</v>
      </c>
      <c r="Q171" s="26">
        <v>16.0</v>
      </c>
    </row>
    <row r="172" ht="17.25" customHeight="1">
      <c r="A172" s="35">
        <v>46053.770833333336</v>
      </c>
      <c r="B172" s="23" t="s">
        <v>916</v>
      </c>
      <c r="C172" s="24" t="s">
        <v>1560</v>
      </c>
      <c r="D172" s="103">
        <v>46052.0</v>
      </c>
      <c r="E172" s="66">
        <v>3.0</v>
      </c>
      <c r="F172" s="95" t="s">
        <v>1673</v>
      </c>
      <c r="G172" s="96"/>
      <c r="H172" s="26"/>
      <c r="I172" s="26" t="s">
        <v>918</v>
      </c>
      <c r="J172" s="26" t="s">
        <v>1807</v>
      </c>
      <c r="K172" s="26" t="s">
        <v>1889</v>
      </c>
      <c r="L172" s="26" t="s">
        <v>1566</v>
      </c>
      <c r="M172" s="26" t="s">
        <v>1566</v>
      </c>
      <c r="N172" s="26" t="s">
        <v>1566</v>
      </c>
      <c r="O172" s="26" t="s">
        <v>1890</v>
      </c>
      <c r="P172" s="26" t="s">
        <v>290</v>
      </c>
      <c r="Q172" s="26">
        <v>3.0</v>
      </c>
    </row>
    <row r="173" ht="17.25" customHeight="1">
      <c r="A173" s="35">
        <v>46053.770833333336</v>
      </c>
      <c r="B173" s="23" t="s">
        <v>924</v>
      </c>
      <c r="C173" s="24" t="s">
        <v>1560</v>
      </c>
      <c r="D173" s="103">
        <v>46052.0</v>
      </c>
      <c r="E173" s="66">
        <v>3.0</v>
      </c>
      <c r="F173" s="95" t="s">
        <v>1673</v>
      </c>
      <c r="G173" s="96"/>
      <c r="H173" s="26"/>
      <c r="I173" s="26" t="s">
        <v>925</v>
      </c>
      <c r="J173" s="26" t="s">
        <v>1807</v>
      </c>
      <c r="K173" s="26" t="s">
        <v>1889</v>
      </c>
      <c r="L173" s="26" t="s">
        <v>1566</v>
      </c>
      <c r="M173" s="26" t="s">
        <v>1566</v>
      </c>
      <c r="N173" s="26" t="s">
        <v>1566</v>
      </c>
      <c r="O173" s="26" t="s">
        <v>1891</v>
      </c>
      <c r="P173" s="26" t="s">
        <v>290</v>
      </c>
      <c r="Q173" s="26">
        <v>3.0</v>
      </c>
    </row>
    <row r="174" ht="17.25" customHeight="1">
      <c r="A174" s="35">
        <v>46053.770833333336</v>
      </c>
      <c r="B174" s="23" t="s">
        <v>301</v>
      </c>
      <c r="C174" s="24" t="s">
        <v>1892</v>
      </c>
      <c r="D174" s="103">
        <v>46052.0</v>
      </c>
      <c r="E174" s="39">
        <v>5.0</v>
      </c>
      <c r="F174" s="106"/>
      <c r="G174" s="96"/>
      <c r="H174" s="26"/>
      <c r="I174" s="26" t="s">
        <v>302</v>
      </c>
      <c r="J174" s="26" t="s">
        <v>1830</v>
      </c>
      <c r="K174" s="26" t="s">
        <v>302</v>
      </c>
      <c r="L174" s="26" t="s">
        <v>1566</v>
      </c>
      <c r="M174" s="26" t="s">
        <v>1566</v>
      </c>
      <c r="N174" s="26" t="s">
        <v>1566</v>
      </c>
      <c r="O174" s="26" t="s">
        <v>1566</v>
      </c>
      <c r="P174" s="26" t="s">
        <v>661</v>
      </c>
      <c r="Q174" s="26">
        <v>580.0</v>
      </c>
    </row>
    <row r="175" ht="17.25" customHeight="1">
      <c r="A175" s="35">
        <v>46053.770833333336</v>
      </c>
      <c r="B175" s="23" t="s">
        <v>658</v>
      </c>
      <c r="C175" s="24" t="s">
        <v>1892</v>
      </c>
      <c r="D175" s="103">
        <v>46052.0</v>
      </c>
      <c r="E175" s="107">
        <v>1.0</v>
      </c>
      <c r="F175" s="108"/>
      <c r="G175" s="109"/>
      <c r="H175" s="26"/>
      <c r="I175" s="26" t="s">
        <v>659</v>
      </c>
      <c r="J175" s="26" t="s">
        <v>1821</v>
      </c>
      <c r="K175" s="26" t="s">
        <v>1822</v>
      </c>
      <c r="L175" s="26" t="s">
        <v>1823</v>
      </c>
      <c r="M175" s="26" t="s">
        <v>1566</v>
      </c>
      <c r="N175" s="26" t="s">
        <v>1566</v>
      </c>
      <c r="O175" s="26" t="s">
        <v>1566</v>
      </c>
      <c r="P175" s="26" t="s">
        <v>661</v>
      </c>
      <c r="Q175" s="26">
        <v>6.0</v>
      </c>
    </row>
    <row r="176" ht="17.25" customHeight="1">
      <c r="A176" s="35">
        <v>46053.770833333336</v>
      </c>
      <c r="B176" s="23" t="s">
        <v>301</v>
      </c>
      <c r="C176" s="24" t="s">
        <v>1892</v>
      </c>
      <c r="D176" s="103">
        <v>46053.0</v>
      </c>
      <c r="E176" s="107">
        <v>10.0</v>
      </c>
      <c r="F176" s="110" t="s">
        <v>1893</v>
      </c>
      <c r="G176" s="109"/>
      <c r="H176" s="26"/>
      <c r="I176" s="26" t="s">
        <v>302</v>
      </c>
      <c r="J176" s="26" t="s">
        <v>1830</v>
      </c>
      <c r="K176" s="26" t="s">
        <v>302</v>
      </c>
      <c r="L176" s="26" t="s">
        <v>1566</v>
      </c>
      <c r="M176" s="26" t="s">
        <v>1566</v>
      </c>
      <c r="N176" s="26" t="s">
        <v>1566</v>
      </c>
      <c r="O176" s="26" t="s">
        <v>1566</v>
      </c>
      <c r="P176" s="26" t="s">
        <v>661</v>
      </c>
      <c r="Q176" s="26">
        <v>580.0</v>
      </c>
    </row>
    <row r="177" ht="17.25" customHeight="1">
      <c r="A177" s="35">
        <v>46053.770833333336</v>
      </c>
      <c r="B177" s="23" t="s">
        <v>301</v>
      </c>
      <c r="C177" s="24" t="s">
        <v>1892</v>
      </c>
      <c r="D177" s="103">
        <v>46053.0</v>
      </c>
      <c r="E177" s="107">
        <v>10.0</v>
      </c>
      <c r="F177" s="110" t="s">
        <v>1894</v>
      </c>
      <c r="G177" s="109"/>
      <c r="H177" s="26"/>
      <c r="I177" s="26" t="s">
        <v>302</v>
      </c>
      <c r="J177" s="26" t="s">
        <v>1830</v>
      </c>
      <c r="K177" s="26" t="s">
        <v>302</v>
      </c>
      <c r="L177" s="26" t="s">
        <v>1566</v>
      </c>
      <c r="M177" s="26" t="s">
        <v>1566</v>
      </c>
      <c r="N177" s="26" t="s">
        <v>1566</v>
      </c>
      <c r="O177" s="26" t="s">
        <v>1566</v>
      </c>
      <c r="P177" s="26" t="s">
        <v>661</v>
      </c>
      <c r="Q177" s="26">
        <v>580.0</v>
      </c>
    </row>
    <row r="178" ht="17.25" customHeight="1">
      <c r="A178" s="35">
        <v>46053.770833333336</v>
      </c>
      <c r="B178" s="23" t="s">
        <v>640</v>
      </c>
      <c r="C178" s="24" t="s">
        <v>1892</v>
      </c>
      <c r="D178" s="103">
        <v>46053.0</v>
      </c>
      <c r="E178" s="107">
        <v>1.0</v>
      </c>
      <c r="F178" s="110" t="s">
        <v>1893</v>
      </c>
      <c r="G178" s="109"/>
      <c r="H178" s="26"/>
      <c r="I178" s="26" t="s">
        <v>641</v>
      </c>
      <c r="J178" s="26" t="s">
        <v>1812</v>
      </c>
      <c r="K178" s="26" t="s">
        <v>1815</v>
      </c>
      <c r="L178" s="26" t="s">
        <v>1566</v>
      </c>
      <c r="M178" s="26" t="s">
        <v>1566</v>
      </c>
      <c r="N178" s="26" t="s">
        <v>1566</v>
      </c>
      <c r="O178" s="26" t="s">
        <v>1566</v>
      </c>
      <c r="P178" s="26" t="s">
        <v>643</v>
      </c>
      <c r="Q178" s="26">
        <v>3.0</v>
      </c>
    </row>
    <row r="179" ht="17.25" customHeight="1">
      <c r="A179" s="35">
        <v>46053.770833333336</v>
      </c>
      <c r="B179" s="23" t="s">
        <v>1601</v>
      </c>
      <c r="C179" s="55" t="s">
        <v>1892</v>
      </c>
      <c r="D179" s="111">
        <v>46052.0</v>
      </c>
      <c r="E179" s="52">
        <v>2500.0</v>
      </c>
      <c r="F179" s="37" t="s">
        <v>1561</v>
      </c>
      <c r="G179" s="109"/>
      <c r="H179" s="26"/>
      <c r="I179" s="26" t="s">
        <v>1602</v>
      </c>
      <c r="J179" s="26" t="s">
        <v>1225</v>
      </c>
      <c r="K179" s="26" t="s">
        <v>1562</v>
      </c>
      <c r="L179" s="26" t="s">
        <v>1603</v>
      </c>
      <c r="M179" s="26" t="s">
        <v>1604</v>
      </c>
      <c r="N179" s="26" t="s">
        <v>1571</v>
      </c>
      <c r="O179" s="26" t="s">
        <v>1566</v>
      </c>
      <c r="P179" s="26" t="s">
        <v>22</v>
      </c>
      <c r="Q179" s="26">
        <v>0.0</v>
      </c>
    </row>
    <row r="180" ht="17.25" customHeight="1">
      <c r="A180" s="35">
        <v>46053.770833333336</v>
      </c>
      <c r="B180" s="23" t="s">
        <v>201</v>
      </c>
      <c r="C180" s="55" t="s">
        <v>1892</v>
      </c>
      <c r="D180" s="111">
        <v>46052.0</v>
      </c>
      <c r="E180" s="52">
        <v>500.0</v>
      </c>
      <c r="F180" s="37" t="s">
        <v>1561</v>
      </c>
      <c r="G180" s="109"/>
      <c r="H180" s="26"/>
      <c r="I180" s="26" t="s">
        <v>202</v>
      </c>
      <c r="J180" s="26" t="s">
        <v>1225</v>
      </c>
      <c r="K180" s="26" t="s">
        <v>1562</v>
      </c>
      <c r="L180" s="26" t="s">
        <v>1573</v>
      </c>
      <c r="M180" s="26" t="s">
        <v>1574</v>
      </c>
      <c r="N180" s="26" t="s">
        <v>1566</v>
      </c>
      <c r="O180" s="26" t="s">
        <v>1566</v>
      </c>
      <c r="P180" s="26" t="s">
        <v>22</v>
      </c>
      <c r="Q180" s="26">
        <v>600.0</v>
      </c>
    </row>
    <row r="181" ht="17.25" customHeight="1">
      <c r="A181" s="35">
        <v>46053.770833333336</v>
      </c>
      <c r="B181" s="23" t="s">
        <v>74</v>
      </c>
      <c r="C181" s="55" t="s">
        <v>1892</v>
      </c>
      <c r="D181" s="111">
        <v>46052.0</v>
      </c>
      <c r="E181" s="52">
        <v>700.0</v>
      </c>
      <c r="F181" s="37" t="s">
        <v>1561</v>
      </c>
      <c r="G181" s="109"/>
      <c r="H181" s="26"/>
      <c r="I181" s="26" t="s">
        <v>75</v>
      </c>
      <c r="J181" s="26" t="s">
        <v>1225</v>
      </c>
      <c r="K181" s="26" t="s">
        <v>1562</v>
      </c>
      <c r="L181" s="26" t="s">
        <v>1591</v>
      </c>
      <c r="M181" s="26" t="s">
        <v>1597</v>
      </c>
      <c r="N181" s="26" t="s">
        <v>1566</v>
      </c>
      <c r="O181" s="26" t="s">
        <v>1566</v>
      </c>
      <c r="P181" s="26" t="s">
        <v>22</v>
      </c>
      <c r="Q181" s="26">
        <v>0.0</v>
      </c>
    </row>
    <row r="182" ht="17.25" customHeight="1">
      <c r="A182" s="35">
        <v>46053.770833333336</v>
      </c>
      <c r="B182" s="23" t="s">
        <v>932</v>
      </c>
      <c r="C182" s="55" t="s">
        <v>1560</v>
      </c>
      <c r="D182" s="111">
        <v>46052.0</v>
      </c>
      <c r="E182" s="52">
        <v>3300.0</v>
      </c>
      <c r="F182" s="37" t="s">
        <v>1561</v>
      </c>
      <c r="G182" s="109"/>
      <c r="H182" s="26"/>
      <c r="I182" s="26" t="s">
        <v>933</v>
      </c>
      <c r="J182" s="26" t="s">
        <v>1225</v>
      </c>
      <c r="K182" s="26" t="s">
        <v>1562</v>
      </c>
      <c r="L182" s="26" t="s">
        <v>1600</v>
      </c>
      <c r="M182" s="26" t="s">
        <v>1572</v>
      </c>
      <c r="N182" s="26" t="s">
        <v>1571</v>
      </c>
      <c r="O182" s="26" t="s">
        <v>1566</v>
      </c>
      <c r="P182" s="26" t="s">
        <v>22</v>
      </c>
      <c r="Q182" s="26">
        <v>400.0</v>
      </c>
    </row>
    <row r="183" ht="17.25" customHeight="1">
      <c r="A183" s="113">
        <v>46024.399305555555</v>
      </c>
      <c r="B183" s="114" t="s">
        <v>938</v>
      </c>
      <c r="C183" s="55" t="s">
        <v>1560</v>
      </c>
      <c r="D183" s="111">
        <v>46052.0</v>
      </c>
      <c r="E183" s="52">
        <v>5600.0</v>
      </c>
      <c r="F183" s="37" t="s">
        <v>1561</v>
      </c>
      <c r="G183" s="109"/>
      <c r="H183" s="26"/>
      <c r="I183" s="26" t="s">
        <v>939</v>
      </c>
      <c r="J183" s="26" t="s">
        <v>1225</v>
      </c>
      <c r="K183" s="26" t="s">
        <v>1896</v>
      </c>
      <c r="L183" s="26" t="s">
        <v>1897</v>
      </c>
      <c r="M183" s="26" t="s">
        <v>1597</v>
      </c>
      <c r="N183" s="26" t="s">
        <v>1565</v>
      </c>
      <c r="O183" s="26" t="s">
        <v>1566</v>
      </c>
      <c r="P183" s="26" t="s">
        <v>22</v>
      </c>
      <c r="Q183" s="26">
        <v>35.0</v>
      </c>
    </row>
    <row r="184" ht="17.25" customHeight="1">
      <c r="A184" s="113">
        <v>46024.399305555555</v>
      </c>
      <c r="B184" s="23" t="s">
        <v>913</v>
      </c>
      <c r="C184" s="55" t="s">
        <v>1560</v>
      </c>
      <c r="D184" s="111">
        <v>46052.0</v>
      </c>
      <c r="E184" s="52">
        <v>1500.0</v>
      </c>
      <c r="F184" s="37" t="s">
        <v>1561</v>
      </c>
      <c r="G184" s="109"/>
      <c r="H184" s="26"/>
      <c r="I184" s="26" t="s">
        <v>915</v>
      </c>
      <c r="J184" s="26" t="s">
        <v>1225</v>
      </c>
      <c r="K184" s="26" t="s">
        <v>1562</v>
      </c>
      <c r="L184" s="26" t="s">
        <v>1633</v>
      </c>
      <c r="M184" s="26" t="s">
        <v>1564</v>
      </c>
      <c r="N184" s="26" t="s">
        <v>1571</v>
      </c>
      <c r="O184" s="26" t="s">
        <v>1566</v>
      </c>
      <c r="P184" s="26" t="s">
        <v>22</v>
      </c>
      <c r="Q184" s="26">
        <v>0.0</v>
      </c>
    </row>
    <row r="185" ht="17.25" customHeight="1">
      <c r="A185" s="113">
        <v>46024.399305555555</v>
      </c>
      <c r="B185" s="23" t="s">
        <v>1782</v>
      </c>
      <c r="C185" s="55" t="s">
        <v>1560</v>
      </c>
      <c r="D185" s="111">
        <v>46053.0</v>
      </c>
      <c r="E185" s="52">
        <v>200.0</v>
      </c>
      <c r="F185" s="37" t="s">
        <v>1561</v>
      </c>
      <c r="G185" s="109"/>
      <c r="H185" s="26"/>
      <c r="I185" s="26" t="s">
        <v>1783</v>
      </c>
      <c r="J185" s="26" t="s">
        <v>1225</v>
      </c>
      <c r="K185" s="26" t="s">
        <v>1640</v>
      </c>
      <c r="L185" s="26" t="s">
        <v>1576</v>
      </c>
      <c r="M185" s="26" t="s">
        <v>1572</v>
      </c>
      <c r="N185" s="26" t="s">
        <v>1566</v>
      </c>
      <c r="O185" s="26" t="s">
        <v>1566</v>
      </c>
      <c r="P185" s="26" t="s">
        <v>22</v>
      </c>
      <c r="Q185" s="26">
        <v>0.0</v>
      </c>
    </row>
    <row r="186" ht="17.25" customHeight="1">
      <c r="A186" s="113">
        <v>46024.399305555555</v>
      </c>
      <c r="B186" s="23" t="s">
        <v>1588</v>
      </c>
      <c r="C186" s="55" t="s">
        <v>1560</v>
      </c>
      <c r="D186" s="111">
        <v>46053.0</v>
      </c>
      <c r="E186" s="52">
        <v>700.0</v>
      </c>
      <c r="F186" s="37" t="s">
        <v>1561</v>
      </c>
      <c r="G186" s="109"/>
      <c r="H186" s="26"/>
      <c r="I186" s="26" t="s">
        <v>1784</v>
      </c>
      <c r="J186" s="26" t="s">
        <v>1225</v>
      </c>
      <c r="K186" s="26" t="s">
        <v>1640</v>
      </c>
      <c r="L186" s="26" t="s">
        <v>1647</v>
      </c>
      <c r="M186" s="26" t="s">
        <v>1662</v>
      </c>
      <c r="N186" s="26" t="s">
        <v>1566</v>
      </c>
      <c r="O186" s="26" t="s">
        <v>1566</v>
      </c>
      <c r="P186" s="26" t="s">
        <v>22</v>
      </c>
      <c r="Q186" s="26">
        <v>0.0</v>
      </c>
    </row>
    <row r="187" ht="17.25" customHeight="1">
      <c r="A187" s="115">
        <v>46024.399305555555</v>
      </c>
      <c r="B187" s="23" t="s">
        <v>791</v>
      </c>
      <c r="C187" s="55" t="s">
        <v>1892</v>
      </c>
      <c r="D187" s="111">
        <v>46053.0</v>
      </c>
      <c r="E187" s="52">
        <v>130.0</v>
      </c>
      <c r="F187" s="37" t="s">
        <v>1561</v>
      </c>
      <c r="G187" s="37" t="s">
        <v>1898</v>
      </c>
      <c r="H187" s="26"/>
      <c r="I187" s="26" t="s">
        <v>794</v>
      </c>
      <c r="J187" s="26" t="s">
        <v>1225</v>
      </c>
      <c r="K187" s="26" t="s">
        <v>1646</v>
      </c>
      <c r="L187" s="26" t="s">
        <v>1576</v>
      </c>
      <c r="M187" s="26" t="s">
        <v>1645</v>
      </c>
      <c r="N187" s="26" t="s">
        <v>1566</v>
      </c>
      <c r="O187" s="26" t="s">
        <v>1566</v>
      </c>
      <c r="P187" s="26" t="s">
        <v>22</v>
      </c>
      <c r="Q187" s="26">
        <v>0.0</v>
      </c>
    </row>
    <row r="188" ht="17.25" customHeight="1">
      <c r="A188" s="113">
        <v>46024.399305555555</v>
      </c>
      <c r="B188" s="23" t="s">
        <v>1782</v>
      </c>
      <c r="C188" s="55" t="s">
        <v>1892</v>
      </c>
      <c r="D188" s="111">
        <v>46055.0</v>
      </c>
      <c r="E188" s="52">
        <v>200.0</v>
      </c>
      <c r="F188" s="37" t="s">
        <v>1561</v>
      </c>
      <c r="G188" s="109"/>
      <c r="H188" s="26"/>
      <c r="I188" s="26" t="s">
        <v>1783</v>
      </c>
      <c r="J188" s="26" t="s">
        <v>1225</v>
      </c>
      <c r="K188" s="26" t="s">
        <v>1640</v>
      </c>
      <c r="L188" s="26" t="s">
        <v>1576</v>
      </c>
      <c r="M188" s="26" t="s">
        <v>1572</v>
      </c>
      <c r="N188" s="26" t="s">
        <v>1566</v>
      </c>
      <c r="O188" s="26" t="s">
        <v>1566</v>
      </c>
      <c r="P188" s="26" t="s">
        <v>22</v>
      </c>
      <c r="Q188" s="26">
        <v>0.0</v>
      </c>
    </row>
    <row r="189" ht="17.25" customHeight="1">
      <c r="A189" s="113">
        <v>46024.399305555555</v>
      </c>
      <c r="B189" s="23" t="s">
        <v>1588</v>
      </c>
      <c r="C189" s="55" t="s">
        <v>1892</v>
      </c>
      <c r="D189" s="111">
        <v>46055.0</v>
      </c>
      <c r="E189" s="52">
        <v>700.0</v>
      </c>
      <c r="F189" s="37" t="s">
        <v>1561</v>
      </c>
      <c r="G189" s="109"/>
      <c r="H189" s="26"/>
      <c r="I189" s="26" t="s">
        <v>1784</v>
      </c>
      <c r="J189" s="26" t="s">
        <v>1225</v>
      </c>
      <c r="K189" s="26" t="s">
        <v>1640</v>
      </c>
      <c r="L189" s="26" t="s">
        <v>1647</v>
      </c>
      <c r="M189" s="26" t="s">
        <v>1662</v>
      </c>
      <c r="N189" s="26" t="s">
        <v>1566</v>
      </c>
      <c r="O189" s="26" t="s">
        <v>1566</v>
      </c>
      <c r="P189" s="26" t="s">
        <v>22</v>
      </c>
      <c r="Q189" s="26">
        <v>0.0</v>
      </c>
    </row>
    <row r="190" ht="17.25" customHeight="1">
      <c r="A190" s="113">
        <v>46024.399305555555</v>
      </c>
      <c r="B190" s="23" t="s">
        <v>304</v>
      </c>
      <c r="C190" s="55" t="s">
        <v>1892</v>
      </c>
      <c r="D190" s="111">
        <v>46055.0</v>
      </c>
      <c r="E190" s="52">
        <v>2.0</v>
      </c>
      <c r="F190" s="37" t="s">
        <v>1899</v>
      </c>
      <c r="G190" s="109"/>
      <c r="H190" s="26"/>
      <c r="I190" s="26" t="s">
        <v>306</v>
      </c>
      <c r="J190" s="26" t="s">
        <v>1674</v>
      </c>
      <c r="K190" s="26" t="s">
        <v>1675</v>
      </c>
      <c r="L190" s="26" t="s">
        <v>1566</v>
      </c>
      <c r="M190" s="26" t="s">
        <v>1566</v>
      </c>
      <c r="N190" s="26" t="s">
        <v>1682</v>
      </c>
      <c r="O190" s="26" t="s">
        <v>1677</v>
      </c>
      <c r="P190" s="26" t="s">
        <v>290</v>
      </c>
      <c r="Q190" s="26">
        <v>6.0</v>
      </c>
    </row>
    <row r="191" ht="17.25" customHeight="1">
      <c r="A191" s="113">
        <v>46024.399305555555</v>
      </c>
      <c r="B191" s="23" t="s">
        <v>598</v>
      </c>
      <c r="C191" s="55" t="s">
        <v>1892</v>
      </c>
      <c r="D191" s="111">
        <v>46055.0</v>
      </c>
      <c r="E191" s="52">
        <v>5.0</v>
      </c>
      <c r="F191" s="37" t="s">
        <v>1900</v>
      </c>
      <c r="G191" s="109"/>
      <c r="H191" s="26"/>
      <c r="I191" s="26" t="s">
        <v>604</v>
      </c>
      <c r="J191" s="26" t="s">
        <v>1812</v>
      </c>
      <c r="K191" s="26" t="s">
        <v>1815</v>
      </c>
      <c r="L191" s="26" t="s">
        <v>1566</v>
      </c>
      <c r="M191" s="26" t="s">
        <v>1566</v>
      </c>
      <c r="N191" s="26" t="s">
        <v>1566</v>
      </c>
      <c r="O191" s="26" t="s">
        <v>1812</v>
      </c>
      <c r="P191" s="26" t="s">
        <v>616</v>
      </c>
      <c r="Q191" s="26">
        <v>15.0</v>
      </c>
    </row>
    <row r="192" ht="17.25" customHeight="1">
      <c r="A192" s="113">
        <v>46024.399305555555</v>
      </c>
      <c r="B192" s="23" t="s">
        <v>1583</v>
      </c>
      <c r="C192" s="55" t="s">
        <v>1560</v>
      </c>
      <c r="D192" s="111">
        <v>46055.0</v>
      </c>
      <c r="E192" s="52">
        <v>1000.0</v>
      </c>
      <c r="F192" s="37" t="s">
        <v>1899</v>
      </c>
      <c r="G192" s="109"/>
      <c r="H192" s="26"/>
      <c r="I192" s="26" t="s">
        <v>1901</v>
      </c>
      <c r="J192" s="26" t="s">
        <v>1225</v>
      </c>
      <c r="K192" s="26" t="s">
        <v>1651</v>
      </c>
      <c r="L192" s="26" t="s">
        <v>1563</v>
      </c>
      <c r="M192" s="26" t="s">
        <v>1902</v>
      </c>
      <c r="N192" s="26" t="s">
        <v>1566</v>
      </c>
      <c r="O192" s="26" t="s">
        <v>1566</v>
      </c>
      <c r="P192" s="26" t="s">
        <v>22</v>
      </c>
      <c r="Q192" s="26">
        <v>0.0</v>
      </c>
    </row>
    <row r="193" ht="17.25" customHeight="1">
      <c r="A193" s="113">
        <v>46024.399305555555</v>
      </c>
      <c r="B193" s="23" t="s">
        <v>1583</v>
      </c>
      <c r="C193" s="55" t="s">
        <v>1892</v>
      </c>
      <c r="D193" s="111">
        <v>46055.0</v>
      </c>
      <c r="E193" s="52">
        <v>850.0</v>
      </c>
      <c r="F193" s="37" t="s">
        <v>1899</v>
      </c>
      <c r="G193" s="109"/>
      <c r="H193" s="26"/>
      <c r="I193" s="26" t="s">
        <v>1901</v>
      </c>
      <c r="J193" s="26" t="s">
        <v>1225</v>
      </c>
      <c r="K193" s="26" t="s">
        <v>1651</v>
      </c>
      <c r="L193" s="26" t="s">
        <v>1563</v>
      </c>
      <c r="M193" s="26" t="s">
        <v>1902</v>
      </c>
      <c r="N193" s="26" t="s">
        <v>1566</v>
      </c>
      <c r="O193" s="26" t="s">
        <v>1566</v>
      </c>
      <c r="P193" s="26" t="s">
        <v>22</v>
      </c>
      <c r="Q193" s="26">
        <v>0.0</v>
      </c>
    </row>
    <row r="194" ht="17.25" customHeight="1">
      <c r="A194" s="113">
        <v>46024.399305555555</v>
      </c>
      <c r="B194" s="23" t="s">
        <v>622</v>
      </c>
      <c r="C194" s="55" t="s">
        <v>1892</v>
      </c>
      <c r="D194" s="111">
        <v>46055.0</v>
      </c>
      <c r="E194" s="52">
        <v>25.0</v>
      </c>
      <c r="F194" s="37" t="s">
        <v>1899</v>
      </c>
      <c r="G194" s="109"/>
      <c r="H194" s="26"/>
      <c r="I194" s="26" t="s">
        <v>623</v>
      </c>
      <c r="J194" s="26" t="s">
        <v>1812</v>
      </c>
      <c r="K194" s="26" t="s">
        <v>1815</v>
      </c>
      <c r="L194" s="26" t="s">
        <v>1566</v>
      </c>
      <c r="M194" s="26" t="s">
        <v>1566</v>
      </c>
      <c r="N194" s="26" t="s">
        <v>1566</v>
      </c>
      <c r="O194" s="26" t="s">
        <v>1817</v>
      </c>
      <c r="P194" s="26" t="s">
        <v>616</v>
      </c>
      <c r="Q194" s="26">
        <v>20.0</v>
      </c>
    </row>
    <row r="195" ht="17.25" customHeight="1">
      <c r="A195" s="113">
        <v>46024.399305555555</v>
      </c>
      <c r="B195" s="23" t="s">
        <v>945</v>
      </c>
      <c r="C195" s="55" t="s">
        <v>1560</v>
      </c>
      <c r="D195" s="111">
        <v>46055.0</v>
      </c>
      <c r="E195" s="52">
        <v>25.0</v>
      </c>
      <c r="F195" s="37" t="s">
        <v>1673</v>
      </c>
      <c r="G195" s="109"/>
      <c r="H195" s="26"/>
      <c r="I195" s="26" t="s">
        <v>946</v>
      </c>
      <c r="J195" s="26" t="s">
        <v>1812</v>
      </c>
      <c r="K195" s="26" t="s">
        <v>1815</v>
      </c>
      <c r="L195" s="26" t="s">
        <v>1566</v>
      </c>
      <c r="M195" s="26" t="s">
        <v>1566</v>
      </c>
      <c r="N195" s="26" t="s">
        <v>1566</v>
      </c>
      <c r="O195" s="26" t="s">
        <v>1903</v>
      </c>
      <c r="P195" s="26" t="s">
        <v>616</v>
      </c>
      <c r="Q195" s="26">
        <v>25.0</v>
      </c>
    </row>
    <row r="196" ht="17.25" customHeight="1">
      <c r="A196" s="113">
        <v>46024.399305555555</v>
      </c>
      <c r="B196" s="23" t="s">
        <v>301</v>
      </c>
      <c r="C196" s="55" t="s">
        <v>1892</v>
      </c>
      <c r="D196" s="111">
        <v>46055.0</v>
      </c>
      <c r="E196" s="52">
        <v>5.0</v>
      </c>
      <c r="F196" s="37" t="s">
        <v>1905</v>
      </c>
      <c r="G196" s="109"/>
      <c r="H196" s="26"/>
      <c r="I196" s="26" t="s">
        <v>302</v>
      </c>
      <c r="J196" s="26" t="s">
        <v>1830</v>
      </c>
      <c r="K196" s="26" t="s">
        <v>302</v>
      </c>
      <c r="L196" s="26" t="s">
        <v>1566</v>
      </c>
      <c r="M196" s="26" t="s">
        <v>1566</v>
      </c>
      <c r="N196" s="26" t="s">
        <v>1566</v>
      </c>
      <c r="O196" s="26" t="s">
        <v>1566</v>
      </c>
      <c r="P196" s="26" t="s">
        <v>661</v>
      </c>
      <c r="Q196" s="26">
        <v>580.0</v>
      </c>
    </row>
    <row r="197" ht="17.25" customHeight="1">
      <c r="A197" s="113">
        <v>46024.399305555555</v>
      </c>
      <c r="B197" s="23" t="s">
        <v>1638</v>
      </c>
      <c r="C197" s="55" t="s">
        <v>1892</v>
      </c>
      <c r="D197" s="111">
        <v>46053.0</v>
      </c>
      <c r="E197" s="52">
        <v>400.0</v>
      </c>
      <c r="F197" s="37" t="s">
        <v>1561</v>
      </c>
      <c r="G197" s="109"/>
      <c r="H197" s="26"/>
      <c r="I197" s="26" t="s">
        <v>1639</v>
      </c>
      <c r="J197" s="26" t="s">
        <v>1225</v>
      </c>
      <c r="K197" s="26" t="s">
        <v>1640</v>
      </c>
      <c r="L197" s="26" t="s">
        <v>1563</v>
      </c>
      <c r="M197" s="26" t="s">
        <v>1574</v>
      </c>
      <c r="N197" s="26" t="s">
        <v>1566</v>
      </c>
      <c r="O197" s="26" t="s">
        <v>1566</v>
      </c>
      <c r="P197" s="26" t="s">
        <v>22</v>
      </c>
      <c r="Q197" s="26">
        <v>0.0</v>
      </c>
    </row>
    <row r="198" ht="17.25" customHeight="1">
      <c r="A198" s="113">
        <v>46024.44097222222</v>
      </c>
      <c r="B198" s="23" t="s">
        <v>1649</v>
      </c>
      <c r="C198" s="55" t="s">
        <v>1892</v>
      </c>
      <c r="D198" s="111">
        <v>46053.0</v>
      </c>
      <c r="E198" s="52">
        <v>200.0</v>
      </c>
      <c r="F198" s="37" t="s">
        <v>1561</v>
      </c>
      <c r="G198" s="109"/>
      <c r="H198" s="26"/>
      <c r="I198" s="26" t="s">
        <v>1650</v>
      </c>
      <c r="J198" s="26" t="s">
        <v>1225</v>
      </c>
      <c r="K198" s="26" t="s">
        <v>1640</v>
      </c>
      <c r="L198" s="26" t="s">
        <v>1563</v>
      </c>
      <c r="M198" s="26" t="s">
        <v>1572</v>
      </c>
      <c r="N198" s="26" t="s">
        <v>1566</v>
      </c>
      <c r="O198" s="26" t="s">
        <v>1566</v>
      </c>
      <c r="P198" s="26" t="s">
        <v>22</v>
      </c>
      <c r="Q198" s="26">
        <v>0.0</v>
      </c>
    </row>
    <row r="199" ht="17.25" customHeight="1">
      <c r="A199" s="113">
        <v>46024.44097222222</v>
      </c>
      <c r="B199" s="23" t="s">
        <v>1649</v>
      </c>
      <c r="C199" s="55" t="s">
        <v>1560</v>
      </c>
      <c r="D199" s="111">
        <v>46055.0</v>
      </c>
      <c r="E199" s="52">
        <v>200.0</v>
      </c>
      <c r="F199" s="37" t="s">
        <v>1561</v>
      </c>
      <c r="G199" s="109"/>
      <c r="H199" s="26"/>
      <c r="I199" s="26" t="s">
        <v>1650</v>
      </c>
      <c r="J199" s="26" t="s">
        <v>1225</v>
      </c>
      <c r="K199" s="26" t="s">
        <v>1640</v>
      </c>
      <c r="L199" s="26" t="s">
        <v>1563</v>
      </c>
      <c r="M199" s="26" t="s">
        <v>1572</v>
      </c>
      <c r="N199" s="26" t="s">
        <v>1566</v>
      </c>
      <c r="O199" s="26" t="s">
        <v>1566</v>
      </c>
      <c r="P199" s="26" t="s">
        <v>22</v>
      </c>
      <c r="Q199" s="26">
        <v>0.0</v>
      </c>
    </row>
    <row r="200" ht="17.25" customHeight="1">
      <c r="A200" s="113">
        <v>46024.44097222222</v>
      </c>
      <c r="B200" s="23" t="s">
        <v>1649</v>
      </c>
      <c r="C200" s="55" t="s">
        <v>1892</v>
      </c>
      <c r="D200" s="111">
        <v>46055.0</v>
      </c>
      <c r="E200" s="52">
        <v>200.0</v>
      </c>
      <c r="F200" s="37" t="s">
        <v>1561</v>
      </c>
      <c r="G200" s="109"/>
      <c r="H200" s="26"/>
      <c r="I200" s="26" t="s">
        <v>1650</v>
      </c>
      <c r="J200" s="26" t="s">
        <v>1225</v>
      </c>
      <c r="K200" s="26" t="s">
        <v>1640</v>
      </c>
      <c r="L200" s="26" t="s">
        <v>1563</v>
      </c>
      <c r="M200" s="26" t="s">
        <v>1572</v>
      </c>
      <c r="N200" s="26" t="s">
        <v>1566</v>
      </c>
      <c r="O200" s="26" t="s">
        <v>1566</v>
      </c>
      <c r="P200" s="26" t="s">
        <v>22</v>
      </c>
      <c r="Q200" s="26">
        <v>0.0</v>
      </c>
    </row>
    <row r="201" ht="17.25" customHeight="1">
      <c r="A201" s="113">
        <v>46024.44097222222</v>
      </c>
      <c r="B201" s="47" t="s">
        <v>1585</v>
      </c>
      <c r="C201" s="55" t="s">
        <v>1560</v>
      </c>
      <c r="D201" s="111">
        <v>46055.0</v>
      </c>
      <c r="E201" s="52">
        <v>1800.0</v>
      </c>
      <c r="F201" s="37" t="s">
        <v>1561</v>
      </c>
      <c r="G201" s="109"/>
      <c r="H201" s="26"/>
      <c r="I201" s="26" t="s">
        <v>1694</v>
      </c>
      <c r="J201" s="26" t="s">
        <v>1225</v>
      </c>
      <c r="K201" s="26" t="s">
        <v>1562</v>
      </c>
      <c r="L201" s="26" t="s">
        <v>1656</v>
      </c>
      <c r="M201" s="26" t="s">
        <v>1607</v>
      </c>
      <c r="N201" s="26" t="s">
        <v>1566</v>
      </c>
      <c r="O201" s="26" t="s">
        <v>1566</v>
      </c>
      <c r="P201" s="26" t="s">
        <v>22</v>
      </c>
      <c r="Q201" s="26">
        <v>0.0</v>
      </c>
    </row>
    <row r="202" ht="17.25" customHeight="1">
      <c r="A202" s="113">
        <v>46024.44097222222</v>
      </c>
      <c r="B202" s="47" t="s">
        <v>1585</v>
      </c>
      <c r="C202" s="55" t="s">
        <v>1892</v>
      </c>
      <c r="D202" s="111">
        <v>46055.0</v>
      </c>
      <c r="E202" s="52">
        <v>600.0</v>
      </c>
      <c r="F202" s="37" t="s">
        <v>1561</v>
      </c>
      <c r="G202" s="109"/>
      <c r="H202" s="26"/>
      <c r="I202" s="26" t="s">
        <v>1694</v>
      </c>
      <c r="J202" s="26" t="s">
        <v>1225</v>
      </c>
      <c r="K202" s="26" t="s">
        <v>1562</v>
      </c>
      <c r="L202" s="26" t="s">
        <v>1656</v>
      </c>
      <c r="M202" s="26" t="s">
        <v>1607</v>
      </c>
      <c r="N202" s="26" t="s">
        <v>1566</v>
      </c>
      <c r="O202" s="26" t="s">
        <v>1566</v>
      </c>
      <c r="P202" s="26" t="s">
        <v>22</v>
      </c>
      <c r="Q202" s="26">
        <v>0.0</v>
      </c>
    </row>
    <row r="203" ht="17.25" customHeight="1">
      <c r="A203" s="113">
        <v>46024.44097222222</v>
      </c>
      <c r="B203" s="47" t="s">
        <v>1585</v>
      </c>
      <c r="C203" s="55" t="s">
        <v>1892</v>
      </c>
      <c r="D203" s="111">
        <v>46055.0</v>
      </c>
      <c r="E203" s="52">
        <v>400.0</v>
      </c>
      <c r="F203" s="37" t="s">
        <v>1561</v>
      </c>
      <c r="G203" s="109"/>
      <c r="H203" s="26"/>
      <c r="I203" s="26" t="s">
        <v>1694</v>
      </c>
      <c r="J203" s="26" t="s">
        <v>1225</v>
      </c>
      <c r="K203" s="26" t="s">
        <v>1562</v>
      </c>
      <c r="L203" s="26" t="s">
        <v>1656</v>
      </c>
      <c r="M203" s="26" t="s">
        <v>1607</v>
      </c>
      <c r="N203" s="26" t="s">
        <v>1566</v>
      </c>
      <c r="O203" s="26" t="s">
        <v>1566</v>
      </c>
      <c r="P203" s="26" t="s">
        <v>22</v>
      </c>
      <c r="Q203" s="26">
        <v>0.0</v>
      </c>
    </row>
    <row r="204" ht="17.25" customHeight="1">
      <c r="A204" s="113">
        <v>46024.44097222222</v>
      </c>
      <c r="B204" s="53" t="s">
        <v>1589</v>
      </c>
      <c r="C204" s="55" t="s">
        <v>1560</v>
      </c>
      <c r="D204" s="111">
        <v>46055.0</v>
      </c>
      <c r="E204" s="52">
        <v>1400.0</v>
      </c>
      <c r="F204" s="37" t="s">
        <v>1561</v>
      </c>
      <c r="G204" s="109"/>
      <c r="H204" s="26"/>
      <c r="I204" s="26" t="s">
        <v>1695</v>
      </c>
      <c r="J204" s="26" t="s">
        <v>1225</v>
      </c>
      <c r="K204" s="26" t="s">
        <v>1562</v>
      </c>
      <c r="L204" s="26" t="s">
        <v>1573</v>
      </c>
      <c r="M204" s="26" t="s">
        <v>1604</v>
      </c>
      <c r="N204" s="26" t="s">
        <v>1566</v>
      </c>
      <c r="O204" s="26" t="s">
        <v>1566</v>
      </c>
      <c r="P204" s="26" t="s">
        <v>22</v>
      </c>
      <c r="Q204" s="26">
        <v>0.0</v>
      </c>
    </row>
    <row r="205" ht="17.25" customHeight="1">
      <c r="A205" s="113">
        <v>46024.44097222222</v>
      </c>
      <c r="B205" s="26" t="s">
        <v>33</v>
      </c>
      <c r="C205" s="55" t="s">
        <v>1560</v>
      </c>
      <c r="D205" s="111">
        <v>46055.0</v>
      </c>
      <c r="E205" s="52">
        <v>300.0</v>
      </c>
      <c r="F205" s="37" t="s">
        <v>1561</v>
      </c>
      <c r="G205" s="109"/>
      <c r="H205" s="26"/>
      <c r="I205" s="26" t="s">
        <v>35</v>
      </c>
      <c r="J205" s="26" t="s">
        <v>1225</v>
      </c>
      <c r="K205" s="26" t="s">
        <v>1562</v>
      </c>
      <c r="L205" s="26" t="s">
        <v>1573</v>
      </c>
      <c r="M205" s="26" t="s">
        <v>1575</v>
      </c>
      <c r="N205" s="26" t="s">
        <v>1566</v>
      </c>
      <c r="O205" s="26" t="s">
        <v>1566</v>
      </c>
      <c r="P205" s="26" t="s">
        <v>22</v>
      </c>
      <c r="Q205" s="26">
        <v>2600.0</v>
      </c>
    </row>
    <row r="206" ht="17.25" customHeight="1">
      <c r="A206" s="113">
        <v>46024.44097222222</v>
      </c>
      <c r="B206" s="48" t="s">
        <v>942</v>
      </c>
      <c r="C206" s="55" t="s">
        <v>1560</v>
      </c>
      <c r="D206" s="111">
        <v>46055.0</v>
      </c>
      <c r="E206" s="52">
        <v>500.0</v>
      </c>
      <c r="F206" s="37" t="s">
        <v>1561</v>
      </c>
      <c r="G206" s="109"/>
      <c r="H206" s="26"/>
      <c r="I206" s="26" t="s">
        <v>943</v>
      </c>
      <c r="J206" s="26" t="s">
        <v>1225</v>
      </c>
      <c r="K206" s="26" t="s">
        <v>1562</v>
      </c>
      <c r="L206" s="26" t="s">
        <v>1591</v>
      </c>
      <c r="M206" s="26" t="s">
        <v>1575</v>
      </c>
      <c r="N206" s="26" t="s">
        <v>1566</v>
      </c>
      <c r="O206" s="26" t="s">
        <v>1566</v>
      </c>
      <c r="P206" s="26" t="s">
        <v>22</v>
      </c>
      <c r="Q206" s="26">
        <v>900.0</v>
      </c>
    </row>
    <row r="207" ht="17.25" customHeight="1">
      <c r="A207" s="113">
        <v>46024.44097222222</v>
      </c>
      <c r="B207" s="53" t="s">
        <v>1589</v>
      </c>
      <c r="C207" s="55" t="s">
        <v>1892</v>
      </c>
      <c r="D207" s="111">
        <v>46055.0</v>
      </c>
      <c r="E207" s="52">
        <v>1400.0</v>
      </c>
      <c r="F207" s="37" t="s">
        <v>1561</v>
      </c>
      <c r="G207" s="109"/>
      <c r="H207" s="26"/>
      <c r="I207" s="26" t="s">
        <v>1695</v>
      </c>
      <c r="J207" s="26" t="s">
        <v>1225</v>
      </c>
      <c r="K207" s="26" t="s">
        <v>1562</v>
      </c>
      <c r="L207" s="26" t="s">
        <v>1573</v>
      </c>
      <c r="M207" s="26" t="s">
        <v>1604</v>
      </c>
      <c r="N207" s="26" t="s">
        <v>1566</v>
      </c>
      <c r="O207" s="26" t="s">
        <v>1566</v>
      </c>
      <c r="P207" s="26" t="s">
        <v>22</v>
      </c>
      <c r="Q207" s="26">
        <v>0.0</v>
      </c>
    </row>
    <row r="208" ht="17.25" customHeight="1">
      <c r="A208" s="113">
        <v>46024.44097222222</v>
      </c>
      <c r="B208" s="47" t="s">
        <v>942</v>
      </c>
      <c r="C208" s="55" t="s">
        <v>1892</v>
      </c>
      <c r="D208" s="111">
        <v>46055.0</v>
      </c>
      <c r="E208" s="52">
        <v>500.0</v>
      </c>
      <c r="F208" s="37" t="s">
        <v>1561</v>
      </c>
      <c r="G208" s="109"/>
      <c r="H208" s="26"/>
      <c r="I208" s="26" t="s">
        <v>943</v>
      </c>
      <c r="J208" s="26" t="s">
        <v>1225</v>
      </c>
      <c r="K208" s="26" t="s">
        <v>1562</v>
      </c>
      <c r="L208" s="26" t="s">
        <v>1591</v>
      </c>
      <c r="M208" s="26" t="s">
        <v>1575</v>
      </c>
      <c r="N208" s="26" t="s">
        <v>1566</v>
      </c>
      <c r="O208" s="26" t="s">
        <v>1566</v>
      </c>
      <c r="P208" s="26" t="s">
        <v>22</v>
      </c>
      <c r="Q208" s="26">
        <v>900.0</v>
      </c>
    </row>
    <row r="209" ht="17.25" customHeight="1">
      <c r="A209" s="113">
        <v>46024.44097222222</v>
      </c>
      <c r="B209" s="26" t="s">
        <v>74</v>
      </c>
      <c r="C209" s="55" t="s">
        <v>1892</v>
      </c>
      <c r="D209" s="111">
        <v>46055.0</v>
      </c>
      <c r="E209" s="52">
        <v>200.0</v>
      </c>
      <c r="F209" s="37" t="s">
        <v>1561</v>
      </c>
      <c r="G209" s="109"/>
      <c r="H209" s="26"/>
      <c r="I209" s="26" t="s">
        <v>75</v>
      </c>
      <c r="J209" s="26" t="s">
        <v>1225</v>
      </c>
      <c r="K209" s="26" t="s">
        <v>1562</v>
      </c>
      <c r="L209" s="26" t="s">
        <v>1591</v>
      </c>
      <c r="M209" s="26" t="s">
        <v>1597</v>
      </c>
      <c r="N209" s="26" t="s">
        <v>1566</v>
      </c>
      <c r="O209" s="26" t="s">
        <v>1566</v>
      </c>
      <c r="P209" s="26" t="s">
        <v>22</v>
      </c>
      <c r="Q209" s="26">
        <v>0.0</v>
      </c>
    </row>
    <row r="210" ht="17.25" customHeight="1">
      <c r="A210" s="113">
        <v>46024.44097222222</v>
      </c>
      <c r="B210" s="26" t="s">
        <v>33</v>
      </c>
      <c r="C210" s="55" t="s">
        <v>1892</v>
      </c>
      <c r="D210" s="111">
        <v>46055.0</v>
      </c>
      <c r="E210" s="52">
        <v>600.0</v>
      </c>
      <c r="F210" s="37" t="s">
        <v>1561</v>
      </c>
      <c r="G210" s="109"/>
      <c r="H210" s="26"/>
      <c r="I210" s="26" t="s">
        <v>35</v>
      </c>
      <c r="J210" s="26" t="s">
        <v>1225</v>
      </c>
      <c r="K210" s="26" t="s">
        <v>1562</v>
      </c>
      <c r="L210" s="26" t="s">
        <v>1573</v>
      </c>
      <c r="M210" s="26" t="s">
        <v>1575</v>
      </c>
      <c r="N210" s="26" t="s">
        <v>1566</v>
      </c>
      <c r="O210" s="26" t="s">
        <v>1566</v>
      </c>
      <c r="P210" s="26" t="s">
        <v>22</v>
      </c>
      <c r="Q210" s="26">
        <v>2600.0</v>
      </c>
    </row>
    <row r="211" ht="17.25" customHeight="1">
      <c r="A211" s="113">
        <v>46024.44097222222</v>
      </c>
      <c r="B211" s="53" t="s">
        <v>778</v>
      </c>
      <c r="C211" s="55" t="s">
        <v>1560</v>
      </c>
      <c r="D211" s="111">
        <v>46055.0</v>
      </c>
      <c r="E211" s="52">
        <v>1008.0</v>
      </c>
      <c r="F211" s="37" t="s">
        <v>1561</v>
      </c>
      <c r="G211" s="109"/>
      <c r="H211" s="26"/>
      <c r="I211" s="26" t="s">
        <v>779</v>
      </c>
      <c r="J211" s="26" t="s">
        <v>1225</v>
      </c>
      <c r="K211" s="26" t="s">
        <v>1653</v>
      </c>
      <c r="L211" s="26" t="s">
        <v>1576</v>
      </c>
      <c r="M211" s="26" t="s">
        <v>1572</v>
      </c>
      <c r="N211" s="26" t="s">
        <v>1566</v>
      </c>
      <c r="O211" s="26" t="s">
        <v>1654</v>
      </c>
      <c r="P211" s="26" t="s">
        <v>22</v>
      </c>
      <c r="Q211" s="26">
        <v>0.0</v>
      </c>
    </row>
    <row r="212" ht="17.25" customHeight="1">
      <c r="A212" s="113">
        <v>46055.75900178241</v>
      </c>
      <c r="B212" s="26" t="s">
        <v>179</v>
      </c>
      <c r="C212" s="55" t="s">
        <v>1560</v>
      </c>
      <c r="D212" s="111">
        <v>46055.0</v>
      </c>
      <c r="E212" s="52">
        <v>1440.0</v>
      </c>
      <c r="F212" s="37" t="s">
        <v>1561</v>
      </c>
      <c r="G212" s="109"/>
      <c r="H212" s="26"/>
      <c r="I212" s="26" t="s">
        <v>180</v>
      </c>
      <c r="J212" s="26" t="s">
        <v>1225</v>
      </c>
      <c r="K212" s="26" t="s">
        <v>1653</v>
      </c>
      <c r="L212" s="26" t="s">
        <v>1563</v>
      </c>
      <c r="M212" s="26" t="s">
        <v>1572</v>
      </c>
      <c r="N212" s="26" t="s">
        <v>1654</v>
      </c>
      <c r="O212" s="26" t="s">
        <v>1566</v>
      </c>
      <c r="P212" s="26" t="s">
        <v>22</v>
      </c>
      <c r="Q212" s="26">
        <v>0.0</v>
      </c>
    </row>
    <row r="213" ht="17.25" customHeight="1">
      <c r="A213" s="51">
        <v>46056.413813541665</v>
      </c>
      <c r="B213" s="23" t="s">
        <v>301</v>
      </c>
      <c r="C213" s="55" t="s">
        <v>1892</v>
      </c>
      <c r="D213" s="111">
        <v>46056.0</v>
      </c>
      <c r="E213" s="52">
        <v>10.0</v>
      </c>
      <c r="F213" s="37" t="s">
        <v>1894</v>
      </c>
      <c r="G213" s="109"/>
      <c r="H213" s="26"/>
      <c r="I213" s="26" t="s">
        <v>302</v>
      </c>
      <c r="J213" s="26" t="s">
        <v>1830</v>
      </c>
      <c r="K213" s="26" t="s">
        <v>302</v>
      </c>
      <c r="L213" s="26" t="s">
        <v>1566</v>
      </c>
      <c r="M213" s="26" t="s">
        <v>1566</v>
      </c>
      <c r="N213" s="26" t="s">
        <v>1566</v>
      </c>
      <c r="O213" s="26" t="s">
        <v>1566</v>
      </c>
      <c r="P213" s="26" t="s">
        <v>661</v>
      </c>
      <c r="Q213" s="26">
        <v>580.0</v>
      </c>
    </row>
    <row r="214" ht="17.25" customHeight="1">
      <c r="A214" s="51">
        <v>46056.437990624996</v>
      </c>
      <c r="B214" s="23" t="s">
        <v>301</v>
      </c>
      <c r="C214" s="55" t="s">
        <v>1892</v>
      </c>
      <c r="D214" s="111">
        <v>46056.0</v>
      </c>
      <c r="E214" s="52">
        <v>10.0</v>
      </c>
      <c r="F214" s="37" t="s">
        <v>1899</v>
      </c>
      <c r="G214" s="109"/>
      <c r="H214" s="26"/>
      <c r="I214" s="26" t="s">
        <v>302</v>
      </c>
      <c r="J214" s="26" t="s">
        <v>1830</v>
      </c>
      <c r="K214" s="26" t="s">
        <v>302</v>
      </c>
      <c r="L214" s="26" t="s">
        <v>1566</v>
      </c>
      <c r="M214" s="26" t="s">
        <v>1566</v>
      </c>
      <c r="N214" s="26" t="s">
        <v>1566</v>
      </c>
      <c r="O214" s="26" t="s">
        <v>1566</v>
      </c>
      <c r="P214" s="26" t="s">
        <v>661</v>
      </c>
      <c r="Q214" s="26">
        <v>580.0</v>
      </c>
    </row>
    <row r="215" ht="17.25" customHeight="1">
      <c r="A215" s="51">
        <v>46056.507635138885</v>
      </c>
      <c r="B215" s="26" t="s">
        <v>812</v>
      </c>
      <c r="C215" s="55" t="s">
        <v>1892</v>
      </c>
      <c r="D215" s="111">
        <v>46056.0</v>
      </c>
      <c r="E215" s="52">
        <v>25.0</v>
      </c>
      <c r="F215" s="37" t="s">
        <v>1907</v>
      </c>
      <c r="G215" s="109"/>
      <c r="H215" s="26"/>
      <c r="I215" s="26" t="s">
        <v>813</v>
      </c>
      <c r="J215" s="26" t="s">
        <v>1830</v>
      </c>
      <c r="K215" s="26" t="s">
        <v>1839</v>
      </c>
      <c r="L215" s="26" t="s">
        <v>1566</v>
      </c>
      <c r="M215" s="26" t="s">
        <v>1566</v>
      </c>
      <c r="N215" s="26" t="s">
        <v>1566</v>
      </c>
      <c r="O215" s="26" t="s">
        <v>1566</v>
      </c>
      <c r="P215" s="26" t="s">
        <v>661</v>
      </c>
      <c r="Q215" s="26">
        <v>100.0</v>
      </c>
    </row>
    <row r="216" ht="17.25" customHeight="1">
      <c r="A216" s="51">
        <v>46056.56067914352</v>
      </c>
      <c r="B216" s="23" t="s">
        <v>222</v>
      </c>
      <c r="C216" s="55" t="s">
        <v>1892</v>
      </c>
      <c r="D216" s="111">
        <v>46056.0</v>
      </c>
      <c r="E216" s="52">
        <v>2.0</v>
      </c>
      <c r="F216" s="37" t="s">
        <v>1908</v>
      </c>
      <c r="G216" s="109"/>
      <c r="H216" s="26"/>
      <c r="I216" s="26" t="s">
        <v>230</v>
      </c>
      <c r="J216" s="26" t="s">
        <v>1821</v>
      </c>
      <c r="K216" s="26" t="s">
        <v>1822</v>
      </c>
      <c r="L216" s="26" t="s">
        <v>1828</v>
      </c>
      <c r="M216" s="26" t="s">
        <v>1590</v>
      </c>
      <c r="N216" s="26" t="s">
        <v>1566</v>
      </c>
      <c r="O216" s="26" t="s">
        <v>1566</v>
      </c>
      <c r="P216" s="26" t="s">
        <v>661</v>
      </c>
      <c r="Q216" s="26">
        <v>60.0</v>
      </c>
    </row>
    <row r="217" ht="17.25" customHeight="1">
      <c r="A217" s="51">
        <v>46056.64093677083</v>
      </c>
      <c r="B217" s="26" t="s">
        <v>175</v>
      </c>
      <c r="C217" s="55" t="s">
        <v>1892</v>
      </c>
      <c r="D217" s="111">
        <v>46056.0</v>
      </c>
      <c r="E217" s="52">
        <v>1000.0</v>
      </c>
      <c r="F217" s="37" t="s">
        <v>1561</v>
      </c>
      <c r="G217" s="109"/>
      <c r="H217" s="26"/>
      <c r="I217" s="26" t="s">
        <v>176</v>
      </c>
      <c r="J217" s="26" t="s">
        <v>1225</v>
      </c>
      <c r="K217" s="26" t="s">
        <v>1562</v>
      </c>
      <c r="L217" s="26" t="s">
        <v>1633</v>
      </c>
      <c r="M217" s="26" t="s">
        <v>1634</v>
      </c>
      <c r="N217" s="26" t="s">
        <v>1571</v>
      </c>
      <c r="O217" s="26" t="s">
        <v>1566</v>
      </c>
      <c r="P217" s="26" t="s">
        <v>22</v>
      </c>
      <c r="Q217" s="26">
        <v>2100.0</v>
      </c>
    </row>
    <row r="218" ht="17.25" customHeight="1">
      <c r="A218" s="51">
        <v>46056.70563758102</v>
      </c>
      <c r="B218" s="26" t="s">
        <v>175</v>
      </c>
      <c r="C218" s="55" t="s">
        <v>1560</v>
      </c>
      <c r="D218" s="111">
        <v>46056.0</v>
      </c>
      <c r="E218" s="52">
        <v>5000.0</v>
      </c>
      <c r="F218" s="37" t="s">
        <v>1561</v>
      </c>
      <c r="G218" s="109"/>
      <c r="H218" s="26"/>
      <c r="I218" s="26" t="s">
        <v>176</v>
      </c>
      <c r="J218" s="26" t="s">
        <v>1225</v>
      </c>
      <c r="K218" s="26" t="s">
        <v>1562</v>
      </c>
      <c r="L218" s="26" t="s">
        <v>1633</v>
      </c>
      <c r="M218" s="26" t="s">
        <v>1634</v>
      </c>
      <c r="N218" s="26" t="s">
        <v>1571</v>
      </c>
      <c r="O218" s="26" t="s">
        <v>1566</v>
      </c>
      <c r="P218" s="26" t="s">
        <v>22</v>
      </c>
      <c r="Q218" s="26">
        <v>2100.0</v>
      </c>
    </row>
    <row r="219" ht="17.25" customHeight="1">
      <c r="A219" s="51">
        <v>46056.706809270836</v>
      </c>
      <c r="B219" s="26" t="s">
        <v>175</v>
      </c>
      <c r="C219" s="55" t="s">
        <v>1892</v>
      </c>
      <c r="D219" s="111">
        <v>46056.0</v>
      </c>
      <c r="E219" s="52">
        <v>2500.0</v>
      </c>
      <c r="F219" s="37" t="s">
        <v>1561</v>
      </c>
      <c r="G219" s="37" t="s">
        <v>1909</v>
      </c>
      <c r="H219" s="26"/>
      <c r="I219" s="26" t="s">
        <v>176</v>
      </c>
      <c r="J219" s="26" t="s">
        <v>1225</v>
      </c>
      <c r="K219" s="26" t="s">
        <v>1562</v>
      </c>
      <c r="L219" s="26" t="s">
        <v>1633</v>
      </c>
      <c r="M219" s="26" t="s">
        <v>1634</v>
      </c>
      <c r="N219" s="26" t="s">
        <v>1571</v>
      </c>
      <c r="O219" s="26" t="s">
        <v>1566</v>
      </c>
      <c r="P219" s="26" t="s">
        <v>22</v>
      </c>
      <c r="Q219" s="26">
        <v>2100.0</v>
      </c>
    </row>
    <row r="220" ht="17.25" customHeight="1">
      <c r="A220" s="51">
        <v>46056.75237001157</v>
      </c>
      <c r="B220" s="126" t="s">
        <v>1569</v>
      </c>
      <c r="C220" s="55" t="s">
        <v>1892</v>
      </c>
      <c r="D220" s="127">
        <v>46056.0</v>
      </c>
      <c r="E220" s="52">
        <v>1000.0</v>
      </c>
      <c r="F220" s="37" t="s">
        <v>1561</v>
      </c>
      <c r="G220" s="109"/>
      <c r="H220" s="26"/>
      <c r="I220" s="26" t="s">
        <v>1570</v>
      </c>
      <c r="J220" s="26" t="s">
        <v>1225</v>
      </c>
      <c r="K220" s="26" t="s">
        <v>1562</v>
      </c>
      <c r="L220" s="26" t="s">
        <v>1563</v>
      </c>
      <c r="M220" s="26" t="s">
        <v>1564</v>
      </c>
      <c r="N220" s="26" t="s">
        <v>1571</v>
      </c>
      <c r="O220" s="26" t="s">
        <v>1566</v>
      </c>
      <c r="P220" s="26" t="s">
        <v>22</v>
      </c>
      <c r="Q220" s="26">
        <v>0.0</v>
      </c>
    </row>
    <row r="221" ht="17.25" customHeight="1">
      <c r="A221" s="51">
        <v>46056.754869791665</v>
      </c>
      <c r="B221" s="53" t="s">
        <v>951</v>
      </c>
      <c r="C221" s="55" t="s">
        <v>1560</v>
      </c>
      <c r="D221" s="111">
        <v>46056.0</v>
      </c>
      <c r="E221" s="52">
        <v>9190.0</v>
      </c>
      <c r="F221" s="37" t="s">
        <v>1561</v>
      </c>
      <c r="G221" s="109"/>
      <c r="H221" s="26"/>
      <c r="I221" s="26" t="s">
        <v>953</v>
      </c>
      <c r="J221" s="26" t="s">
        <v>1225</v>
      </c>
      <c r="K221" s="26" t="s">
        <v>1562</v>
      </c>
      <c r="L221" s="26" t="s">
        <v>1910</v>
      </c>
      <c r="M221" s="26" t="s">
        <v>1597</v>
      </c>
      <c r="N221" s="26" t="s">
        <v>1566</v>
      </c>
      <c r="O221" s="26" t="s">
        <v>1566</v>
      </c>
      <c r="P221" s="26" t="s">
        <v>22</v>
      </c>
      <c r="Q221" s="26">
        <v>990.0</v>
      </c>
    </row>
    <row r="222" ht="17.25" customHeight="1">
      <c r="A222" s="51">
        <v>46056.75694466435</v>
      </c>
      <c r="B222" s="53" t="s">
        <v>1516</v>
      </c>
      <c r="C222" s="55" t="s">
        <v>1560</v>
      </c>
      <c r="D222" s="111">
        <v>46056.0</v>
      </c>
      <c r="E222" s="52">
        <v>2860.0</v>
      </c>
      <c r="F222" s="37" t="s">
        <v>1561</v>
      </c>
      <c r="G222" s="109"/>
      <c r="H222" s="26"/>
      <c r="I222" s="26" t="s">
        <v>1517</v>
      </c>
      <c r="J222" s="26" t="s">
        <v>1225</v>
      </c>
      <c r="K222" s="26" t="s">
        <v>1562</v>
      </c>
      <c r="L222" s="26" t="s">
        <v>1563</v>
      </c>
      <c r="M222" s="26" t="s">
        <v>1597</v>
      </c>
      <c r="N222" s="26" t="s">
        <v>1566</v>
      </c>
      <c r="O222" s="26" t="s">
        <v>1566</v>
      </c>
      <c r="P222" s="26" t="s">
        <v>22</v>
      </c>
      <c r="Q222" s="26">
        <v>1100.0</v>
      </c>
    </row>
    <row r="223" ht="17.25" customHeight="1">
      <c r="A223" s="51">
        <v>46057.40908420139</v>
      </c>
      <c r="B223" s="23" t="s">
        <v>301</v>
      </c>
      <c r="C223" s="55" t="s">
        <v>1892</v>
      </c>
      <c r="D223" s="111">
        <v>46057.0</v>
      </c>
      <c r="E223" s="52">
        <v>10.0</v>
      </c>
      <c r="F223" s="37" t="s">
        <v>1894</v>
      </c>
      <c r="G223" s="109"/>
      <c r="H223" s="26"/>
      <c r="I223" s="26" t="s">
        <v>302</v>
      </c>
      <c r="J223" s="26" t="s">
        <v>1830</v>
      </c>
      <c r="K223" s="26" t="s">
        <v>302</v>
      </c>
      <c r="L223" s="26" t="s">
        <v>1566</v>
      </c>
      <c r="M223" s="26" t="s">
        <v>1566</v>
      </c>
      <c r="N223" s="26" t="s">
        <v>1566</v>
      </c>
      <c r="O223" s="26" t="s">
        <v>1566</v>
      </c>
      <c r="P223" s="26" t="s">
        <v>661</v>
      </c>
      <c r="Q223" s="26">
        <v>580.0</v>
      </c>
    </row>
    <row r="224" ht="17.25" customHeight="1">
      <c r="A224" s="51">
        <v>46057.40908479167</v>
      </c>
      <c r="B224" s="23" t="s">
        <v>301</v>
      </c>
      <c r="C224" s="55" t="s">
        <v>1892</v>
      </c>
      <c r="D224" s="111">
        <v>46057.0</v>
      </c>
      <c r="E224" s="52">
        <v>10.0</v>
      </c>
      <c r="F224" s="37" t="s">
        <v>1844</v>
      </c>
      <c r="G224" s="109"/>
      <c r="H224" s="26"/>
      <c r="I224" s="26" t="s">
        <v>302</v>
      </c>
      <c r="J224" s="26" t="s">
        <v>1830</v>
      </c>
      <c r="K224" s="26" t="s">
        <v>302</v>
      </c>
      <c r="L224" s="26" t="s">
        <v>1566</v>
      </c>
      <c r="M224" s="26" t="s">
        <v>1566</v>
      </c>
      <c r="N224" s="26" t="s">
        <v>1566</v>
      </c>
      <c r="O224" s="26" t="s">
        <v>1566</v>
      </c>
      <c r="P224" s="26" t="s">
        <v>661</v>
      </c>
      <c r="Q224" s="26">
        <v>580.0</v>
      </c>
    </row>
    <row r="225" ht="17.25" customHeight="1">
      <c r="A225" s="51">
        <v>46057.42498601852</v>
      </c>
      <c r="B225" s="26" t="s">
        <v>21</v>
      </c>
      <c r="C225" s="55" t="s">
        <v>1892</v>
      </c>
      <c r="D225" s="111">
        <v>46057.0</v>
      </c>
      <c r="E225" s="52">
        <v>20.0</v>
      </c>
      <c r="F225" s="37" t="s">
        <v>1899</v>
      </c>
      <c r="G225" s="109"/>
      <c r="H225" s="26"/>
      <c r="I225" s="26" t="s">
        <v>23</v>
      </c>
      <c r="J225" s="26" t="s">
        <v>1812</v>
      </c>
      <c r="K225" s="26" t="s">
        <v>1815</v>
      </c>
      <c r="L225" s="26" t="s">
        <v>1566</v>
      </c>
      <c r="M225" s="26" t="s">
        <v>1566</v>
      </c>
      <c r="N225" s="26" t="s">
        <v>1566</v>
      </c>
      <c r="O225" s="26" t="s">
        <v>1818</v>
      </c>
      <c r="P225" s="26" t="s">
        <v>616</v>
      </c>
      <c r="Q225" s="26">
        <v>20.0</v>
      </c>
    </row>
    <row r="226" ht="17.25" customHeight="1">
      <c r="A226" s="51">
        <v>46057.514635416665</v>
      </c>
      <c r="B226" s="23" t="s">
        <v>301</v>
      </c>
      <c r="C226" s="55" t="s">
        <v>1892</v>
      </c>
      <c r="D226" s="111">
        <v>46057.0</v>
      </c>
      <c r="E226" s="52">
        <v>10.0</v>
      </c>
      <c r="F226" s="37" t="s">
        <v>1908</v>
      </c>
      <c r="G226" s="109"/>
      <c r="H226" s="26"/>
      <c r="I226" s="26" t="s">
        <v>302</v>
      </c>
      <c r="J226" s="26" t="s">
        <v>1830</v>
      </c>
      <c r="K226" s="26" t="s">
        <v>302</v>
      </c>
      <c r="L226" s="26" t="s">
        <v>1566</v>
      </c>
      <c r="M226" s="26" t="s">
        <v>1566</v>
      </c>
      <c r="N226" s="26" t="s">
        <v>1566</v>
      </c>
      <c r="O226" s="26" t="s">
        <v>1566</v>
      </c>
      <c r="P226" s="26" t="s">
        <v>661</v>
      </c>
      <c r="Q226" s="26">
        <v>580.0</v>
      </c>
    </row>
    <row r="227" ht="17.25" customHeight="1">
      <c r="A227" s="51">
        <v>46182.44391324074</v>
      </c>
      <c r="B227" s="25" t="s">
        <v>359</v>
      </c>
      <c r="C227" s="55" t="s">
        <v>1892</v>
      </c>
      <c r="D227" s="111">
        <v>46057.0</v>
      </c>
      <c r="E227" s="52">
        <v>20.0</v>
      </c>
      <c r="F227" s="37" t="s">
        <v>1912</v>
      </c>
      <c r="G227" s="109"/>
      <c r="H227" s="26"/>
      <c r="I227" s="26" t="s">
        <v>370</v>
      </c>
      <c r="J227" s="26" t="s">
        <v>370</v>
      </c>
      <c r="K227" s="26" t="s">
        <v>370</v>
      </c>
      <c r="L227" s="26" t="s">
        <v>1566</v>
      </c>
      <c r="M227" s="26" t="s">
        <v>1566</v>
      </c>
      <c r="N227" s="26" t="s">
        <v>1566</v>
      </c>
      <c r="O227" s="26" t="s">
        <v>1566</v>
      </c>
      <c r="P227" s="26" t="s">
        <v>661</v>
      </c>
      <c r="Q227" s="26">
        <v>100.0</v>
      </c>
    </row>
    <row r="228" ht="17.25" customHeight="1">
      <c r="A228" s="51">
        <v>46057.65427027778</v>
      </c>
      <c r="B228" s="47" t="s">
        <v>513</v>
      </c>
      <c r="C228" s="55" t="s">
        <v>1892</v>
      </c>
      <c r="D228" s="111">
        <v>46057.0</v>
      </c>
      <c r="E228" s="52">
        <v>2.0</v>
      </c>
      <c r="F228" s="37" t="s">
        <v>1899</v>
      </c>
      <c r="G228" s="109"/>
      <c r="H228" s="26"/>
      <c r="I228" s="26" t="s">
        <v>515</v>
      </c>
      <c r="J228" s="26" t="s">
        <v>1674</v>
      </c>
      <c r="K228" s="26" t="s">
        <v>1691</v>
      </c>
      <c r="L228" s="26" t="s">
        <v>1566</v>
      </c>
      <c r="M228" s="26" t="s">
        <v>1566</v>
      </c>
      <c r="N228" s="26" t="s">
        <v>1780</v>
      </c>
      <c r="O228" s="26" t="s">
        <v>1781</v>
      </c>
      <c r="P228" s="26" t="s">
        <v>290</v>
      </c>
      <c r="Q228" s="26">
        <v>2.0</v>
      </c>
    </row>
    <row r="229" ht="17.25" customHeight="1">
      <c r="A229" s="51">
        <v>46057.73464958333</v>
      </c>
      <c r="B229" s="48" t="s">
        <v>957</v>
      </c>
      <c r="C229" s="55" t="s">
        <v>1560</v>
      </c>
      <c r="D229" s="111">
        <v>46051.0</v>
      </c>
      <c r="E229" s="52">
        <v>3065.0</v>
      </c>
      <c r="F229" s="37" t="s">
        <v>1561</v>
      </c>
      <c r="G229" s="109"/>
      <c r="H229" s="26"/>
      <c r="I229" s="26" t="s">
        <v>958</v>
      </c>
      <c r="J229" s="26" t="s">
        <v>1225</v>
      </c>
      <c r="K229" s="26" t="s">
        <v>1896</v>
      </c>
      <c r="L229" s="26" t="s">
        <v>1916</v>
      </c>
      <c r="M229" s="26" t="s">
        <v>1564</v>
      </c>
      <c r="N229" s="26" t="s">
        <v>1566</v>
      </c>
      <c r="O229" s="26" t="s">
        <v>1654</v>
      </c>
      <c r="P229" s="26" t="s">
        <v>22</v>
      </c>
      <c r="Q229" s="26">
        <v>65.0</v>
      </c>
    </row>
    <row r="230" ht="17.25" customHeight="1">
      <c r="A230" s="51">
        <v>46057.735010578705</v>
      </c>
      <c r="B230" s="48" t="s">
        <v>957</v>
      </c>
      <c r="C230" s="55" t="s">
        <v>1892</v>
      </c>
      <c r="D230" s="111">
        <v>46057.0</v>
      </c>
      <c r="E230" s="52">
        <v>3000.0</v>
      </c>
      <c r="F230" s="37" t="s">
        <v>1561</v>
      </c>
      <c r="G230" s="37">
        <v>518.0</v>
      </c>
      <c r="H230" s="26"/>
      <c r="I230" s="26" t="s">
        <v>958</v>
      </c>
      <c r="J230" s="26" t="s">
        <v>1225</v>
      </c>
      <c r="K230" s="26" t="s">
        <v>1896</v>
      </c>
      <c r="L230" s="26" t="s">
        <v>1916</v>
      </c>
      <c r="M230" s="26" t="s">
        <v>1564</v>
      </c>
      <c r="N230" s="26" t="s">
        <v>1566</v>
      </c>
      <c r="O230" s="26" t="s">
        <v>1654</v>
      </c>
      <c r="P230" s="26" t="s">
        <v>22</v>
      </c>
      <c r="Q230" s="26">
        <v>65.0</v>
      </c>
    </row>
    <row r="231" ht="17.25" customHeight="1">
      <c r="A231" s="51">
        <v>46058.42034509259</v>
      </c>
      <c r="B231" s="26" t="s">
        <v>513</v>
      </c>
      <c r="C231" s="55" t="s">
        <v>1560</v>
      </c>
      <c r="D231" s="111">
        <v>46057.0</v>
      </c>
      <c r="E231" s="52">
        <v>2.0</v>
      </c>
      <c r="F231" s="37" t="s">
        <v>1673</v>
      </c>
      <c r="G231" s="109"/>
      <c r="H231" s="26"/>
      <c r="I231" s="26" t="s">
        <v>515</v>
      </c>
      <c r="J231" s="26" t="s">
        <v>1674</v>
      </c>
      <c r="K231" s="26" t="s">
        <v>1691</v>
      </c>
      <c r="L231" s="26" t="s">
        <v>1566</v>
      </c>
      <c r="M231" s="26" t="s">
        <v>1566</v>
      </c>
      <c r="N231" s="26" t="s">
        <v>1780</v>
      </c>
      <c r="O231" s="26" t="s">
        <v>1781</v>
      </c>
      <c r="P231" s="26" t="s">
        <v>290</v>
      </c>
      <c r="Q231" s="26">
        <v>2.0</v>
      </c>
    </row>
    <row r="232" ht="17.25" customHeight="1">
      <c r="A232" s="51">
        <v>46058.42221078704</v>
      </c>
      <c r="B232" s="26" t="s">
        <v>365</v>
      </c>
      <c r="C232" s="55" t="s">
        <v>1560</v>
      </c>
      <c r="D232" s="111">
        <v>46057.0</v>
      </c>
      <c r="E232" s="52">
        <v>2880.0</v>
      </c>
      <c r="F232" s="37" t="s">
        <v>1561</v>
      </c>
      <c r="G232" s="109"/>
      <c r="H232" s="26"/>
      <c r="I232" s="26" t="s">
        <v>367</v>
      </c>
      <c r="J232" s="26" t="s">
        <v>1225</v>
      </c>
      <c r="K232" s="26" t="s">
        <v>1653</v>
      </c>
      <c r="L232" s="26" t="s">
        <v>1584</v>
      </c>
      <c r="M232" s="26" t="s">
        <v>1572</v>
      </c>
      <c r="N232" s="26" t="s">
        <v>1654</v>
      </c>
      <c r="O232" s="26" t="s">
        <v>1566</v>
      </c>
      <c r="P232" s="26" t="s">
        <v>22</v>
      </c>
      <c r="Q232" s="26">
        <v>0.0</v>
      </c>
    </row>
    <row r="233" ht="17.25" customHeight="1">
      <c r="A233" s="51">
        <v>46058.424886354165</v>
      </c>
      <c r="B233" s="47" t="s">
        <v>32</v>
      </c>
      <c r="C233" s="55" t="s">
        <v>1892</v>
      </c>
      <c r="D233" s="111">
        <v>46058.0</v>
      </c>
      <c r="E233" s="52">
        <v>2.0</v>
      </c>
      <c r="F233" s="37" t="s">
        <v>1919</v>
      </c>
      <c r="G233" s="109"/>
      <c r="H233" s="26"/>
      <c r="I233" s="26" t="s">
        <v>34</v>
      </c>
      <c r="J233" s="26" t="s">
        <v>1807</v>
      </c>
      <c r="K233" s="26" t="s">
        <v>1807</v>
      </c>
      <c r="L233" s="26" t="s">
        <v>1566</v>
      </c>
      <c r="M233" s="26" t="s">
        <v>1566</v>
      </c>
      <c r="N233" s="26" t="s">
        <v>1566</v>
      </c>
      <c r="O233" s="26" t="s">
        <v>1808</v>
      </c>
      <c r="P233" s="26" t="s">
        <v>290</v>
      </c>
      <c r="Q233" s="26">
        <v>7.0</v>
      </c>
    </row>
    <row r="234" ht="17.25" customHeight="1">
      <c r="A234" s="51">
        <v>46058.42534530093</v>
      </c>
      <c r="B234" s="23" t="s">
        <v>301</v>
      </c>
      <c r="C234" s="55" t="s">
        <v>1892</v>
      </c>
      <c r="D234" s="111">
        <v>46058.0</v>
      </c>
      <c r="E234" s="52">
        <v>10.0</v>
      </c>
      <c r="F234" s="37" t="s">
        <v>1919</v>
      </c>
      <c r="G234" s="109"/>
      <c r="H234" s="26"/>
      <c r="I234" s="26" t="s">
        <v>302</v>
      </c>
      <c r="J234" s="26" t="s">
        <v>1830</v>
      </c>
      <c r="K234" s="26" t="s">
        <v>302</v>
      </c>
      <c r="L234" s="26" t="s">
        <v>1566</v>
      </c>
      <c r="M234" s="26" t="s">
        <v>1566</v>
      </c>
      <c r="N234" s="26" t="s">
        <v>1566</v>
      </c>
      <c r="O234" s="26" t="s">
        <v>1566</v>
      </c>
      <c r="P234" s="26" t="s">
        <v>661</v>
      </c>
      <c r="Q234" s="26">
        <v>580.0</v>
      </c>
    </row>
    <row r="235" ht="17.25" customHeight="1">
      <c r="A235" s="51">
        <v>46058.51731546296</v>
      </c>
      <c r="B235" s="23" t="s">
        <v>301</v>
      </c>
      <c r="C235" s="55" t="s">
        <v>1892</v>
      </c>
      <c r="D235" s="111">
        <v>46058.0</v>
      </c>
      <c r="E235" s="52">
        <v>10.0</v>
      </c>
      <c r="F235" s="37" t="s">
        <v>1922</v>
      </c>
      <c r="G235" s="109"/>
      <c r="H235" s="26"/>
      <c r="I235" s="26" t="s">
        <v>302</v>
      </c>
      <c r="J235" s="26" t="s">
        <v>1830</v>
      </c>
      <c r="K235" s="26" t="s">
        <v>302</v>
      </c>
      <c r="L235" s="26" t="s">
        <v>1566</v>
      </c>
      <c r="M235" s="26" t="s">
        <v>1566</v>
      </c>
      <c r="N235" s="26" t="s">
        <v>1566</v>
      </c>
      <c r="O235" s="26" t="s">
        <v>1566</v>
      </c>
      <c r="P235" s="26" t="s">
        <v>661</v>
      </c>
      <c r="Q235" s="26">
        <v>580.0</v>
      </c>
    </row>
    <row r="236" ht="17.25" customHeight="1">
      <c r="A236" s="51">
        <v>46058.62568048611</v>
      </c>
      <c r="B236" s="23" t="s">
        <v>301</v>
      </c>
      <c r="C236" s="55" t="s">
        <v>1892</v>
      </c>
      <c r="D236" s="111">
        <v>46058.0</v>
      </c>
      <c r="E236" s="52">
        <v>10.0</v>
      </c>
      <c r="F236" s="37" t="s">
        <v>1919</v>
      </c>
      <c r="G236" s="109"/>
      <c r="H236" s="26"/>
      <c r="I236" s="26" t="s">
        <v>302</v>
      </c>
      <c r="J236" s="26" t="s">
        <v>1830</v>
      </c>
      <c r="K236" s="26" t="s">
        <v>302</v>
      </c>
      <c r="L236" s="26" t="s">
        <v>1566</v>
      </c>
      <c r="M236" s="26" t="s">
        <v>1566</v>
      </c>
      <c r="N236" s="26" t="s">
        <v>1566</v>
      </c>
      <c r="O236" s="26" t="s">
        <v>1566</v>
      </c>
      <c r="P236" s="26" t="s">
        <v>661</v>
      </c>
      <c r="Q236" s="26">
        <v>580.0</v>
      </c>
    </row>
    <row r="237" ht="17.25" customHeight="1">
      <c r="A237" s="51">
        <v>46058.6278512037</v>
      </c>
      <c r="B237" s="129" t="s">
        <v>1911</v>
      </c>
      <c r="C237" s="55" t="s">
        <v>1560</v>
      </c>
      <c r="D237" s="111">
        <v>46058.0</v>
      </c>
      <c r="E237" s="52">
        <v>5300.0</v>
      </c>
      <c r="F237" s="37" t="s">
        <v>1924</v>
      </c>
      <c r="G237" s="109"/>
      <c r="H237" s="26"/>
      <c r="I237" s="26" t="s">
        <v>1913</v>
      </c>
      <c r="J237" s="26" t="s">
        <v>1225</v>
      </c>
      <c r="K237" s="26" t="s">
        <v>1896</v>
      </c>
      <c r="L237" s="26" t="s">
        <v>1927</v>
      </c>
      <c r="M237" s="26" t="s">
        <v>1564</v>
      </c>
      <c r="N237" s="26" t="s">
        <v>1566</v>
      </c>
      <c r="O237" s="26" t="s">
        <v>1654</v>
      </c>
      <c r="P237" s="26" t="s">
        <v>22</v>
      </c>
      <c r="Q237" s="26">
        <v>0.0</v>
      </c>
    </row>
    <row r="238" ht="17.25" customHeight="1">
      <c r="A238" s="51">
        <v>46058.62931260417</v>
      </c>
      <c r="B238" s="129" t="s">
        <v>1911</v>
      </c>
      <c r="C238" s="55" t="s">
        <v>1892</v>
      </c>
      <c r="D238" s="111">
        <v>46058.0</v>
      </c>
      <c r="E238" s="52">
        <v>5300.0</v>
      </c>
      <c r="F238" s="37" t="s">
        <v>1924</v>
      </c>
      <c r="G238" s="37">
        <v>519.0</v>
      </c>
      <c r="H238" s="26"/>
      <c r="I238" s="26" t="s">
        <v>1913</v>
      </c>
      <c r="J238" s="26" t="s">
        <v>1225</v>
      </c>
      <c r="K238" s="26" t="s">
        <v>1896</v>
      </c>
      <c r="L238" s="26" t="s">
        <v>1927</v>
      </c>
      <c r="M238" s="26" t="s">
        <v>1564</v>
      </c>
      <c r="N238" s="26" t="s">
        <v>1566</v>
      </c>
      <c r="O238" s="26" t="s">
        <v>1654</v>
      </c>
      <c r="P238" s="26" t="s">
        <v>22</v>
      </c>
      <c r="Q238" s="26">
        <v>0.0</v>
      </c>
    </row>
    <row r="239" ht="17.25" customHeight="1">
      <c r="A239" s="51">
        <v>46058.70067078704</v>
      </c>
      <c r="B239" s="129" t="s">
        <v>1914</v>
      </c>
      <c r="C239" s="55" t="s">
        <v>1560</v>
      </c>
      <c r="D239" s="111">
        <v>46055.0</v>
      </c>
      <c r="E239" s="52">
        <v>3670.0</v>
      </c>
      <c r="F239" s="37" t="s">
        <v>1924</v>
      </c>
      <c r="G239" s="109"/>
      <c r="H239" s="26"/>
      <c r="I239" s="26" t="s">
        <v>1915</v>
      </c>
      <c r="J239" s="26" t="s">
        <v>1225</v>
      </c>
      <c r="K239" s="26" t="s">
        <v>1896</v>
      </c>
      <c r="L239" s="26" t="s">
        <v>1930</v>
      </c>
      <c r="M239" s="26" t="s">
        <v>1597</v>
      </c>
      <c r="N239" s="26" t="s">
        <v>1566</v>
      </c>
      <c r="O239" s="26" t="s">
        <v>1654</v>
      </c>
      <c r="P239" s="26" t="s">
        <v>22</v>
      </c>
      <c r="Q239" s="26">
        <v>0.0</v>
      </c>
    </row>
    <row r="240" ht="17.25" customHeight="1">
      <c r="A240" s="51">
        <v>46058.701012627316</v>
      </c>
      <c r="B240" s="129" t="s">
        <v>1914</v>
      </c>
      <c r="C240" s="55" t="s">
        <v>1892</v>
      </c>
      <c r="D240" s="111">
        <v>46058.0</v>
      </c>
      <c r="E240" s="52">
        <v>500.0</v>
      </c>
      <c r="F240" s="37" t="s">
        <v>1924</v>
      </c>
      <c r="G240" s="37">
        <v>520.0</v>
      </c>
      <c r="H240" s="26"/>
      <c r="I240" s="26" t="s">
        <v>1915</v>
      </c>
      <c r="J240" s="26" t="s">
        <v>1225</v>
      </c>
      <c r="K240" s="26" t="s">
        <v>1896</v>
      </c>
      <c r="L240" s="26" t="s">
        <v>1930</v>
      </c>
      <c r="M240" s="26" t="s">
        <v>1597</v>
      </c>
      <c r="N240" s="26" t="s">
        <v>1566</v>
      </c>
      <c r="O240" s="26" t="s">
        <v>1654</v>
      </c>
      <c r="P240" s="26" t="s">
        <v>22</v>
      </c>
      <c r="Q240" s="26">
        <v>0.0</v>
      </c>
    </row>
    <row r="241" ht="17.25" customHeight="1">
      <c r="A241" s="51">
        <v>46058.70535081018</v>
      </c>
      <c r="B241" s="53" t="s">
        <v>341</v>
      </c>
      <c r="C241" s="55" t="s">
        <v>1560</v>
      </c>
      <c r="D241" s="111">
        <v>46057.0</v>
      </c>
      <c r="E241" s="52">
        <v>2700.0</v>
      </c>
      <c r="F241" s="37" t="s">
        <v>1924</v>
      </c>
      <c r="G241" s="109"/>
      <c r="H241" s="26"/>
      <c r="I241" s="26" t="s">
        <v>342</v>
      </c>
      <c r="J241" s="26" t="s">
        <v>1225</v>
      </c>
      <c r="K241" s="26" t="s">
        <v>1562</v>
      </c>
      <c r="L241" s="26" t="s">
        <v>1591</v>
      </c>
      <c r="M241" s="26" t="s">
        <v>1586</v>
      </c>
      <c r="N241" s="26" t="s">
        <v>1566</v>
      </c>
      <c r="O241" s="26" t="s">
        <v>1566</v>
      </c>
      <c r="P241" s="26" t="s">
        <v>22</v>
      </c>
      <c r="Q241" s="26">
        <v>0.0</v>
      </c>
    </row>
    <row r="242" ht="17.25" customHeight="1">
      <c r="A242" s="51">
        <v>46058.75086822917</v>
      </c>
      <c r="B242" s="47" t="s">
        <v>1931</v>
      </c>
      <c r="C242" s="55" t="s">
        <v>1560</v>
      </c>
      <c r="D242" s="111">
        <v>46058.0</v>
      </c>
      <c r="E242" s="52">
        <v>20.0</v>
      </c>
      <c r="F242" s="37" t="s">
        <v>1673</v>
      </c>
      <c r="G242" s="109"/>
      <c r="H242" s="26"/>
      <c r="I242" s="26" t="s">
        <v>1934</v>
      </c>
      <c r="J242" s="26" t="s">
        <v>1812</v>
      </c>
      <c r="K242" s="26" t="s">
        <v>1815</v>
      </c>
      <c r="L242" s="26" t="s">
        <v>1566</v>
      </c>
      <c r="M242" s="26" t="s">
        <v>1566</v>
      </c>
      <c r="N242" s="26" t="s">
        <v>1566</v>
      </c>
      <c r="O242" s="26" t="s">
        <v>1937</v>
      </c>
      <c r="P242" s="26" t="s">
        <v>616</v>
      </c>
      <c r="Q242" s="26">
        <v>0.0</v>
      </c>
    </row>
    <row r="243" ht="17.25" customHeight="1">
      <c r="A243" s="51">
        <v>46059.41029782407</v>
      </c>
      <c r="B243" s="53" t="s">
        <v>139</v>
      </c>
      <c r="C243" s="55" t="s">
        <v>1560</v>
      </c>
      <c r="D243" s="111">
        <v>46058.0</v>
      </c>
      <c r="E243" s="52">
        <v>1100.0</v>
      </c>
      <c r="F243" s="37" t="s">
        <v>1924</v>
      </c>
      <c r="G243" s="109"/>
      <c r="H243" s="26"/>
      <c r="I243" s="26" t="s">
        <v>140</v>
      </c>
      <c r="J243" s="26" t="s">
        <v>1225</v>
      </c>
      <c r="K243" s="26" t="s">
        <v>1562</v>
      </c>
      <c r="L243" s="26" t="s">
        <v>1563</v>
      </c>
      <c r="M243" s="26" t="s">
        <v>1586</v>
      </c>
      <c r="N243" s="26" t="s">
        <v>1566</v>
      </c>
      <c r="O243" s="26" t="s">
        <v>1566</v>
      </c>
      <c r="P243" s="26" t="s">
        <v>22</v>
      </c>
      <c r="Q243" s="26">
        <v>0.0</v>
      </c>
    </row>
    <row r="244" ht="17.25" customHeight="1">
      <c r="A244" s="51">
        <v>46059.410693287035</v>
      </c>
      <c r="B244" s="23" t="s">
        <v>301</v>
      </c>
      <c r="C244" s="55" t="s">
        <v>1892</v>
      </c>
      <c r="D244" s="111">
        <v>46059.0</v>
      </c>
      <c r="E244" s="52">
        <v>5.0</v>
      </c>
      <c r="F244" s="37" t="s">
        <v>1942</v>
      </c>
      <c r="G244" s="109"/>
      <c r="H244" s="26"/>
      <c r="I244" s="26" t="s">
        <v>302</v>
      </c>
      <c r="J244" s="26" t="s">
        <v>1830</v>
      </c>
      <c r="K244" s="26" t="s">
        <v>302</v>
      </c>
      <c r="L244" s="26" t="s">
        <v>1566</v>
      </c>
      <c r="M244" s="26" t="s">
        <v>1566</v>
      </c>
      <c r="N244" s="26" t="s">
        <v>1566</v>
      </c>
      <c r="O244" s="26" t="s">
        <v>1566</v>
      </c>
      <c r="P244" s="26" t="s">
        <v>661</v>
      </c>
      <c r="Q244" s="26">
        <v>580.0</v>
      </c>
    </row>
    <row r="245" ht="17.25" customHeight="1">
      <c r="A245" s="51">
        <v>46059.46891944444</v>
      </c>
      <c r="B245" s="23" t="s">
        <v>301</v>
      </c>
      <c r="C245" s="55" t="s">
        <v>1892</v>
      </c>
      <c r="D245" s="111">
        <v>46059.0</v>
      </c>
      <c r="E245" s="52">
        <v>10.0</v>
      </c>
      <c r="F245" s="37" t="s">
        <v>1943</v>
      </c>
      <c r="G245" s="109"/>
      <c r="H245" s="26"/>
      <c r="I245" s="26" t="s">
        <v>302</v>
      </c>
      <c r="J245" s="26" t="s">
        <v>1830</v>
      </c>
      <c r="K245" s="26" t="s">
        <v>302</v>
      </c>
      <c r="L245" s="26" t="s">
        <v>1566</v>
      </c>
      <c r="M245" s="26" t="s">
        <v>1566</v>
      </c>
      <c r="N245" s="26" t="s">
        <v>1566</v>
      </c>
      <c r="O245" s="26" t="s">
        <v>1566</v>
      </c>
      <c r="P245" s="26" t="s">
        <v>661</v>
      </c>
      <c r="Q245" s="26">
        <v>580.0</v>
      </c>
    </row>
    <row r="246" ht="17.25" customHeight="1">
      <c r="A246" s="51">
        <v>46059.46891989584</v>
      </c>
      <c r="B246" s="23" t="s">
        <v>301</v>
      </c>
      <c r="C246" s="55" t="s">
        <v>1892</v>
      </c>
      <c r="D246" s="111">
        <v>46059.0</v>
      </c>
      <c r="E246" s="52">
        <v>10.0</v>
      </c>
      <c r="F246" s="37" t="s">
        <v>1899</v>
      </c>
      <c r="G246" s="109"/>
      <c r="H246" s="26"/>
      <c r="I246" s="26" t="s">
        <v>302</v>
      </c>
      <c r="J246" s="26" t="s">
        <v>1830</v>
      </c>
      <c r="K246" s="26" t="s">
        <v>302</v>
      </c>
      <c r="L246" s="26" t="s">
        <v>1566</v>
      </c>
      <c r="M246" s="26" t="s">
        <v>1566</v>
      </c>
      <c r="N246" s="26" t="s">
        <v>1566</v>
      </c>
      <c r="O246" s="26" t="s">
        <v>1566</v>
      </c>
      <c r="P246" s="26" t="s">
        <v>661</v>
      </c>
      <c r="Q246" s="26">
        <v>580.0</v>
      </c>
    </row>
    <row r="247" ht="17.25" customHeight="1">
      <c r="A247" s="51">
        <v>46059.69435041667</v>
      </c>
      <c r="B247" s="47" t="s">
        <v>1605</v>
      </c>
      <c r="C247" s="55" t="s">
        <v>1892</v>
      </c>
      <c r="D247" s="111">
        <v>46059.0</v>
      </c>
      <c r="E247" s="52">
        <v>1000.0</v>
      </c>
      <c r="F247" s="37" t="s">
        <v>1924</v>
      </c>
      <c r="G247" s="37">
        <v>522.0</v>
      </c>
      <c r="H247" s="26"/>
      <c r="I247" s="26" t="s">
        <v>1630</v>
      </c>
      <c r="J247" s="26" t="s">
        <v>1225</v>
      </c>
      <c r="K247" s="26" t="s">
        <v>1562</v>
      </c>
      <c r="L247" s="26" t="s">
        <v>1631</v>
      </c>
      <c r="M247" s="26" t="s">
        <v>1564</v>
      </c>
      <c r="N247" s="26" t="s">
        <v>1571</v>
      </c>
      <c r="O247" s="26" t="s">
        <v>1566</v>
      </c>
      <c r="P247" s="26" t="s">
        <v>22</v>
      </c>
      <c r="Q247" s="26">
        <v>0.0</v>
      </c>
    </row>
    <row r="248" ht="17.25" customHeight="1">
      <c r="A248" s="51">
        <v>46059.69486819445</v>
      </c>
      <c r="B248" s="47" t="s">
        <v>573</v>
      </c>
      <c r="C248" s="55" t="s">
        <v>1892</v>
      </c>
      <c r="D248" s="111">
        <v>46059.0</v>
      </c>
      <c r="E248" s="52">
        <v>1000.0</v>
      </c>
      <c r="F248" s="37" t="s">
        <v>1924</v>
      </c>
      <c r="G248" s="37">
        <v>522.0</v>
      </c>
      <c r="H248" s="26"/>
      <c r="I248" s="26" t="s">
        <v>575</v>
      </c>
      <c r="J248" s="26" t="s">
        <v>1225</v>
      </c>
      <c r="K248" s="26" t="s">
        <v>1562</v>
      </c>
      <c r="L248" s="26" t="s">
        <v>1587</v>
      </c>
      <c r="M248" s="26" t="s">
        <v>1564</v>
      </c>
      <c r="N248" s="26" t="s">
        <v>1571</v>
      </c>
      <c r="O248" s="26" t="s">
        <v>1566</v>
      </c>
      <c r="P248" s="26" t="s">
        <v>22</v>
      </c>
      <c r="Q248" s="26">
        <v>0.0</v>
      </c>
    </row>
    <row r="249" ht="17.25" customHeight="1">
      <c r="A249" s="51">
        <v>46059.69576120371</v>
      </c>
      <c r="B249" s="27" t="s">
        <v>938</v>
      </c>
      <c r="C249" s="55" t="s">
        <v>1892</v>
      </c>
      <c r="D249" s="111">
        <v>46059.0</v>
      </c>
      <c r="E249" s="52">
        <v>5565.0</v>
      </c>
      <c r="F249" s="37" t="s">
        <v>1924</v>
      </c>
      <c r="G249" s="37">
        <v>521.0</v>
      </c>
      <c r="H249" s="26"/>
      <c r="I249" s="26" t="s">
        <v>939</v>
      </c>
      <c r="J249" s="26" t="s">
        <v>1225</v>
      </c>
      <c r="K249" s="26" t="s">
        <v>1896</v>
      </c>
      <c r="L249" s="26" t="s">
        <v>1897</v>
      </c>
      <c r="M249" s="26" t="s">
        <v>1597</v>
      </c>
      <c r="N249" s="26" t="s">
        <v>1565</v>
      </c>
      <c r="O249" s="26" t="s">
        <v>1566</v>
      </c>
      <c r="P249" s="26" t="s">
        <v>22</v>
      </c>
      <c r="Q249" s="26">
        <v>35.0</v>
      </c>
    </row>
    <row r="250" ht="17.25" customHeight="1">
      <c r="A250" s="51">
        <v>46059.719592187495</v>
      </c>
      <c r="B250" s="47" t="s">
        <v>347</v>
      </c>
      <c r="C250" s="55" t="s">
        <v>1892</v>
      </c>
      <c r="D250" s="111">
        <v>46059.0</v>
      </c>
      <c r="E250" s="52">
        <v>1300.0</v>
      </c>
      <c r="F250" s="37" t="s">
        <v>1924</v>
      </c>
      <c r="G250" s="37">
        <v>523.0</v>
      </c>
      <c r="H250" s="26"/>
      <c r="I250" s="26" t="s">
        <v>349</v>
      </c>
      <c r="J250" s="26" t="s">
        <v>1225</v>
      </c>
      <c r="K250" s="26" t="s">
        <v>1562</v>
      </c>
      <c r="L250" s="26" t="s">
        <v>1591</v>
      </c>
      <c r="M250" s="26" t="s">
        <v>1564</v>
      </c>
      <c r="N250" s="26" t="s">
        <v>1565</v>
      </c>
      <c r="O250" s="26" t="s">
        <v>1566</v>
      </c>
      <c r="P250" s="26" t="s">
        <v>22</v>
      </c>
      <c r="Q250" s="26">
        <v>1800.0</v>
      </c>
    </row>
    <row r="251" ht="17.25" customHeight="1">
      <c r="A251" s="51">
        <v>46059.73573583333</v>
      </c>
      <c r="B251" s="26" t="s">
        <v>1592</v>
      </c>
      <c r="C251" s="55" t="s">
        <v>1892</v>
      </c>
      <c r="D251" s="111">
        <v>46059.0</v>
      </c>
      <c r="E251" s="52">
        <v>700.0</v>
      </c>
      <c r="F251" s="37" t="s">
        <v>1924</v>
      </c>
      <c r="G251" s="37">
        <v>523.0</v>
      </c>
      <c r="H251" s="26"/>
      <c r="I251" s="26" t="s">
        <v>1594</v>
      </c>
      <c r="J251" s="26" t="s">
        <v>1225</v>
      </c>
      <c r="K251" s="26" t="s">
        <v>1562</v>
      </c>
      <c r="L251" s="26" t="s">
        <v>1591</v>
      </c>
      <c r="M251" s="26" t="s">
        <v>1595</v>
      </c>
      <c r="N251" s="26" t="s">
        <v>1571</v>
      </c>
      <c r="O251" s="26" t="s">
        <v>1566</v>
      </c>
      <c r="P251" s="26" t="s">
        <v>22</v>
      </c>
      <c r="Q251" s="26">
        <v>0.0</v>
      </c>
    </row>
    <row r="252" ht="17.25" customHeight="1">
      <c r="A252" s="51">
        <v>46059.78309340277</v>
      </c>
      <c r="B252" s="26" t="s">
        <v>1931</v>
      </c>
      <c r="C252" s="55" t="s">
        <v>1560</v>
      </c>
      <c r="D252" s="111">
        <v>46059.0</v>
      </c>
      <c r="E252" s="52">
        <v>40.0</v>
      </c>
      <c r="F252" s="37" t="s">
        <v>1673</v>
      </c>
      <c r="G252" s="37">
        <v>40.0</v>
      </c>
      <c r="H252" s="26"/>
      <c r="I252" s="26" t="s">
        <v>1934</v>
      </c>
      <c r="J252" s="26" t="s">
        <v>1812</v>
      </c>
      <c r="K252" s="26" t="s">
        <v>1815</v>
      </c>
      <c r="L252" s="26" t="s">
        <v>1566</v>
      </c>
      <c r="M252" s="26" t="s">
        <v>1566</v>
      </c>
      <c r="N252" s="26" t="s">
        <v>1566</v>
      </c>
      <c r="O252" s="26" t="s">
        <v>1937</v>
      </c>
      <c r="P252" s="26" t="s">
        <v>616</v>
      </c>
      <c r="Q252" s="26">
        <v>0.0</v>
      </c>
    </row>
    <row r="253" ht="17.25" customHeight="1">
      <c r="A253" s="51">
        <v>46059.78355253472</v>
      </c>
      <c r="B253" s="26" t="s">
        <v>32</v>
      </c>
      <c r="C253" s="55" t="s">
        <v>1560</v>
      </c>
      <c r="D253" s="111">
        <v>46059.0</v>
      </c>
      <c r="E253" s="52">
        <v>5.0</v>
      </c>
      <c r="F253" s="37" t="s">
        <v>1673</v>
      </c>
      <c r="G253" s="37">
        <v>6.0</v>
      </c>
      <c r="H253" s="26"/>
      <c r="I253" s="26" t="s">
        <v>34</v>
      </c>
      <c r="J253" s="26" t="s">
        <v>1807</v>
      </c>
      <c r="K253" s="26" t="s">
        <v>1807</v>
      </c>
      <c r="L253" s="26" t="s">
        <v>1566</v>
      </c>
      <c r="M253" s="26" t="s">
        <v>1566</v>
      </c>
      <c r="N253" s="26" t="s">
        <v>1566</v>
      </c>
      <c r="O253" s="26" t="s">
        <v>1808</v>
      </c>
      <c r="P253" s="26" t="s">
        <v>290</v>
      </c>
      <c r="Q253" s="26">
        <v>7.0</v>
      </c>
    </row>
    <row r="254" ht="17.25" customHeight="1">
      <c r="A254" s="51">
        <v>46060.4198630787</v>
      </c>
      <c r="B254" s="26" t="s">
        <v>1931</v>
      </c>
      <c r="C254" s="55" t="s">
        <v>1892</v>
      </c>
      <c r="D254" s="111">
        <v>46058.0</v>
      </c>
      <c r="E254" s="52">
        <v>20.0</v>
      </c>
      <c r="F254" s="37" t="s">
        <v>1899</v>
      </c>
      <c r="G254" s="130"/>
      <c r="H254" s="26"/>
      <c r="I254" s="26" t="s">
        <v>1934</v>
      </c>
      <c r="J254" s="26" t="s">
        <v>1812</v>
      </c>
      <c r="K254" s="26" t="s">
        <v>1815</v>
      </c>
      <c r="L254" s="26" t="s">
        <v>1566</v>
      </c>
      <c r="M254" s="26" t="s">
        <v>1566</v>
      </c>
      <c r="N254" s="26" t="s">
        <v>1566</v>
      </c>
      <c r="O254" s="26" t="s">
        <v>1937</v>
      </c>
      <c r="P254" s="26" t="s">
        <v>616</v>
      </c>
      <c r="Q254" s="26">
        <v>0.0</v>
      </c>
    </row>
    <row r="255" ht="17.25" customHeight="1">
      <c r="A255" s="51">
        <v>46060.419862546296</v>
      </c>
      <c r="B255" s="26" t="s">
        <v>32</v>
      </c>
      <c r="C255" s="55" t="s">
        <v>1892</v>
      </c>
      <c r="D255" s="111">
        <v>46058.0</v>
      </c>
      <c r="E255" s="52">
        <v>2.0</v>
      </c>
      <c r="F255" s="37" t="s">
        <v>1899</v>
      </c>
      <c r="G255" s="130"/>
      <c r="H255" s="26"/>
      <c r="I255" s="26" t="s">
        <v>34</v>
      </c>
      <c r="J255" s="26" t="s">
        <v>1807</v>
      </c>
      <c r="K255" s="26" t="s">
        <v>1807</v>
      </c>
      <c r="L255" s="26" t="s">
        <v>1566</v>
      </c>
      <c r="M255" s="26" t="s">
        <v>1566</v>
      </c>
      <c r="N255" s="26" t="s">
        <v>1566</v>
      </c>
      <c r="O255" s="26" t="s">
        <v>1808</v>
      </c>
      <c r="P255" s="26" t="s">
        <v>290</v>
      </c>
      <c r="Q255" s="26">
        <v>7.0</v>
      </c>
    </row>
    <row r="256" ht="17.25" customHeight="1">
      <c r="A256" s="51">
        <v>46060.43602945602</v>
      </c>
      <c r="B256" s="47" t="s">
        <v>304</v>
      </c>
      <c r="C256" s="55" t="s">
        <v>1892</v>
      </c>
      <c r="D256" s="111">
        <v>46060.0</v>
      </c>
      <c r="E256" s="52">
        <v>2.0</v>
      </c>
      <c r="F256" s="37" t="s">
        <v>1964</v>
      </c>
      <c r="G256" s="130"/>
      <c r="H256" s="26"/>
      <c r="I256" s="26" t="s">
        <v>306</v>
      </c>
      <c r="J256" s="26" t="s">
        <v>1674</v>
      </c>
      <c r="K256" s="26" t="s">
        <v>1675</v>
      </c>
      <c r="L256" s="26" t="s">
        <v>1566</v>
      </c>
      <c r="M256" s="26" t="s">
        <v>1566</v>
      </c>
      <c r="N256" s="26" t="s">
        <v>1682</v>
      </c>
      <c r="O256" s="26" t="s">
        <v>1677</v>
      </c>
      <c r="P256" s="26" t="s">
        <v>290</v>
      </c>
      <c r="Q256" s="26">
        <v>6.0</v>
      </c>
    </row>
    <row r="257" ht="17.25" customHeight="1">
      <c r="A257" s="51">
        <v>46060.43646459491</v>
      </c>
      <c r="B257" s="47" t="s">
        <v>297</v>
      </c>
      <c r="C257" s="55" t="s">
        <v>1892</v>
      </c>
      <c r="D257" s="111">
        <v>46060.0</v>
      </c>
      <c r="E257" s="52">
        <v>2.0</v>
      </c>
      <c r="F257" s="37" t="s">
        <v>1964</v>
      </c>
      <c r="G257" s="130"/>
      <c r="H257" s="26"/>
      <c r="I257" s="26" t="s">
        <v>298</v>
      </c>
      <c r="J257" s="26" t="s">
        <v>1674</v>
      </c>
      <c r="K257" s="26" t="s">
        <v>1675</v>
      </c>
      <c r="L257" s="26" t="s">
        <v>1566</v>
      </c>
      <c r="M257" s="26" t="s">
        <v>1566</v>
      </c>
      <c r="N257" s="26" t="s">
        <v>1680</v>
      </c>
      <c r="O257" s="26" t="s">
        <v>1677</v>
      </c>
      <c r="P257" s="26" t="s">
        <v>290</v>
      </c>
      <c r="Q257" s="26">
        <v>10.0</v>
      </c>
    </row>
    <row r="258" ht="17.25" customHeight="1">
      <c r="A258" s="51">
        <v>46060.4369242824</v>
      </c>
      <c r="B258" s="47" t="s">
        <v>437</v>
      </c>
      <c r="C258" s="55" t="s">
        <v>1892</v>
      </c>
      <c r="D258" s="111">
        <v>46060.0</v>
      </c>
      <c r="E258" s="52">
        <v>2.0</v>
      </c>
      <c r="F258" s="37" t="s">
        <v>1964</v>
      </c>
      <c r="G258" s="130"/>
      <c r="H258" s="26"/>
      <c r="I258" s="26" t="s">
        <v>438</v>
      </c>
      <c r="J258" s="26" t="s">
        <v>1674</v>
      </c>
      <c r="K258" s="26" t="s">
        <v>1691</v>
      </c>
      <c r="L258" s="26" t="s">
        <v>1566</v>
      </c>
      <c r="M258" s="26" t="s">
        <v>1566</v>
      </c>
      <c r="N258" s="26" t="s">
        <v>1721</v>
      </c>
      <c r="O258" s="26" t="s">
        <v>1677</v>
      </c>
      <c r="P258" s="26" t="s">
        <v>290</v>
      </c>
      <c r="Q258" s="26">
        <v>5.0</v>
      </c>
    </row>
    <row r="259" ht="17.25" customHeight="1">
      <c r="A259" s="51">
        <v>46060.43701743055</v>
      </c>
      <c r="B259" s="47" t="s">
        <v>441</v>
      </c>
      <c r="C259" s="55" t="s">
        <v>1892</v>
      </c>
      <c r="D259" s="111">
        <v>46060.0</v>
      </c>
      <c r="E259" s="52">
        <v>2.0</v>
      </c>
      <c r="F259" s="37" t="s">
        <v>1964</v>
      </c>
      <c r="G259" s="130"/>
      <c r="H259" s="26"/>
      <c r="I259" s="26" t="s">
        <v>688</v>
      </c>
      <c r="J259" s="26" t="s">
        <v>1674</v>
      </c>
      <c r="K259" s="26" t="s">
        <v>1691</v>
      </c>
      <c r="L259" s="26" t="s">
        <v>1566</v>
      </c>
      <c r="M259" s="26" t="s">
        <v>1566</v>
      </c>
      <c r="N259" s="26" t="s">
        <v>1721</v>
      </c>
      <c r="O259" s="26" t="s">
        <v>1677</v>
      </c>
      <c r="P259" s="26" t="s">
        <v>290</v>
      </c>
      <c r="Q259" s="26">
        <v>0.0</v>
      </c>
    </row>
    <row r="260" ht="17.25" customHeight="1">
      <c r="A260" s="51">
        <v>46060.437537881946</v>
      </c>
      <c r="B260" s="23" t="s">
        <v>301</v>
      </c>
      <c r="C260" s="55" t="s">
        <v>1892</v>
      </c>
      <c r="D260" s="111">
        <v>46060.0</v>
      </c>
      <c r="E260" s="52">
        <v>10.0</v>
      </c>
      <c r="F260" s="37" t="s">
        <v>1964</v>
      </c>
      <c r="G260" s="130"/>
      <c r="H260" s="26"/>
      <c r="I260" s="26" t="s">
        <v>302</v>
      </c>
      <c r="J260" s="26" t="s">
        <v>1830</v>
      </c>
      <c r="K260" s="26" t="s">
        <v>302</v>
      </c>
      <c r="L260" s="26" t="s">
        <v>1566</v>
      </c>
      <c r="M260" s="26" t="s">
        <v>1566</v>
      </c>
      <c r="N260" s="26" t="s">
        <v>1566</v>
      </c>
      <c r="O260" s="26" t="s">
        <v>1566</v>
      </c>
      <c r="P260" s="26" t="s">
        <v>661</v>
      </c>
      <c r="Q260" s="26">
        <v>580.0</v>
      </c>
    </row>
    <row r="261" ht="17.25" customHeight="1">
      <c r="A261" s="51">
        <v>46060.44483392361</v>
      </c>
      <c r="B261" s="26" t="s">
        <v>359</v>
      </c>
      <c r="C261" s="55" t="s">
        <v>1892</v>
      </c>
      <c r="D261" s="111">
        <v>46060.0</v>
      </c>
      <c r="E261" s="52">
        <v>6.0</v>
      </c>
      <c r="F261" s="37" t="s">
        <v>1975</v>
      </c>
      <c r="G261" s="130"/>
      <c r="H261" s="26"/>
      <c r="I261" s="26" t="s">
        <v>370</v>
      </c>
      <c r="J261" s="26" t="s">
        <v>370</v>
      </c>
      <c r="K261" s="26" t="s">
        <v>370</v>
      </c>
      <c r="L261" s="26" t="s">
        <v>1566</v>
      </c>
      <c r="M261" s="26" t="s">
        <v>1566</v>
      </c>
      <c r="N261" s="26" t="s">
        <v>1566</v>
      </c>
      <c r="O261" s="26" t="s">
        <v>1566</v>
      </c>
      <c r="P261" s="26" t="s">
        <v>661</v>
      </c>
      <c r="Q261" s="26">
        <v>100.0</v>
      </c>
    </row>
    <row r="262" ht="17.25" customHeight="1">
      <c r="A262" s="51">
        <v>46060.5397425463</v>
      </c>
      <c r="B262" s="26" t="s">
        <v>1609</v>
      </c>
      <c r="C262" s="55" t="s">
        <v>1892</v>
      </c>
      <c r="D262" s="111">
        <v>46060.0</v>
      </c>
      <c r="E262" s="26">
        <v>1728.0</v>
      </c>
      <c r="F262" s="132" t="s">
        <v>1924</v>
      </c>
      <c r="G262" s="37">
        <v>526.0</v>
      </c>
      <c r="H262" s="26"/>
      <c r="I262" s="26" t="s">
        <v>1655</v>
      </c>
      <c r="J262" s="26" t="s">
        <v>1225</v>
      </c>
      <c r="K262" s="26" t="s">
        <v>1653</v>
      </c>
      <c r="L262" s="26" t="s">
        <v>1656</v>
      </c>
      <c r="M262" s="26" t="s">
        <v>1572</v>
      </c>
      <c r="N262" s="26" t="s">
        <v>1654</v>
      </c>
      <c r="O262" s="26" t="s">
        <v>1566</v>
      </c>
      <c r="P262" s="26" t="s">
        <v>22</v>
      </c>
      <c r="Q262" s="26">
        <v>0.0</v>
      </c>
    </row>
    <row r="263" ht="17.25" customHeight="1">
      <c r="A263" s="51">
        <v>46060.54085675926</v>
      </c>
      <c r="B263" s="53" t="s">
        <v>171</v>
      </c>
      <c r="C263" s="55" t="s">
        <v>1560</v>
      </c>
      <c r="D263" s="111">
        <v>46060.0</v>
      </c>
      <c r="E263" s="55">
        <v>720.0</v>
      </c>
      <c r="F263" s="132" t="s">
        <v>1924</v>
      </c>
      <c r="G263" s="37">
        <v>526.0</v>
      </c>
      <c r="H263" s="26"/>
      <c r="I263" s="26" t="s">
        <v>172</v>
      </c>
      <c r="J263" s="26" t="s">
        <v>1225</v>
      </c>
      <c r="K263" s="26" t="s">
        <v>1653</v>
      </c>
      <c r="L263" s="26" t="s">
        <v>1582</v>
      </c>
      <c r="M263" s="26" t="s">
        <v>1572</v>
      </c>
      <c r="N263" s="26" t="s">
        <v>1566</v>
      </c>
      <c r="O263" s="26" t="s">
        <v>1978</v>
      </c>
      <c r="P263" s="26" t="s">
        <v>22</v>
      </c>
      <c r="Q263" s="26">
        <v>720.0</v>
      </c>
    </row>
    <row r="264" ht="17.25" customHeight="1">
      <c r="A264" s="51">
        <v>46060.6502768287</v>
      </c>
      <c r="B264" s="57" t="s">
        <v>365</v>
      </c>
      <c r="C264" s="55" t="s">
        <v>1892</v>
      </c>
      <c r="D264" s="111">
        <v>46060.0</v>
      </c>
      <c r="E264" s="52">
        <v>576.0</v>
      </c>
      <c r="F264" s="132" t="s">
        <v>1924</v>
      </c>
      <c r="G264" s="37">
        <v>528.0</v>
      </c>
      <c r="H264" s="26"/>
      <c r="I264" s="26" t="s">
        <v>367</v>
      </c>
      <c r="J264" s="26" t="s">
        <v>1225</v>
      </c>
      <c r="K264" s="26" t="s">
        <v>1653</v>
      </c>
      <c r="L264" s="26" t="s">
        <v>1584</v>
      </c>
      <c r="M264" s="26" t="s">
        <v>1572</v>
      </c>
      <c r="N264" s="26" t="s">
        <v>1654</v>
      </c>
      <c r="O264" s="26" t="s">
        <v>1566</v>
      </c>
      <c r="P264" s="26" t="s">
        <v>22</v>
      </c>
      <c r="Q264" s="26">
        <v>0.0</v>
      </c>
    </row>
    <row r="265" ht="17.25" customHeight="1">
      <c r="A265" s="51">
        <v>46060.651324652776</v>
      </c>
      <c r="B265" s="57" t="s">
        <v>778</v>
      </c>
      <c r="C265" s="55" t="s">
        <v>1892</v>
      </c>
      <c r="D265" s="111">
        <v>46060.0</v>
      </c>
      <c r="E265" s="52">
        <v>1008.0</v>
      </c>
      <c r="F265" s="132" t="s">
        <v>1924</v>
      </c>
      <c r="G265" s="37">
        <v>527.0</v>
      </c>
      <c r="H265" s="26"/>
      <c r="I265" s="26" t="s">
        <v>779</v>
      </c>
      <c r="J265" s="26" t="s">
        <v>1225</v>
      </c>
      <c r="K265" s="26" t="s">
        <v>1653</v>
      </c>
      <c r="L265" s="26" t="s">
        <v>1576</v>
      </c>
      <c r="M265" s="26" t="s">
        <v>1572</v>
      </c>
      <c r="N265" s="26" t="s">
        <v>1566</v>
      </c>
      <c r="O265" s="26" t="s">
        <v>1654</v>
      </c>
      <c r="P265" s="26" t="s">
        <v>22</v>
      </c>
      <c r="Q265" s="26">
        <v>0.0</v>
      </c>
    </row>
    <row r="266" ht="17.25" customHeight="1">
      <c r="A266" s="51">
        <v>46060.654397418984</v>
      </c>
      <c r="B266" s="57" t="s">
        <v>932</v>
      </c>
      <c r="C266" s="55" t="s">
        <v>1892</v>
      </c>
      <c r="D266" s="111">
        <v>46060.0</v>
      </c>
      <c r="E266" s="52">
        <v>3200.0</v>
      </c>
      <c r="F266" s="132" t="s">
        <v>1924</v>
      </c>
      <c r="G266" s="37">
        <v>524.0</v>
      </c>
      <c r="H266" s="26"/>
      <c r="I266" s="26" t="s">
        <v>933</v>
      </c>
      <c r="J266" s="26" t="s">
        <v>1225</v>
      </c>
      <c r="K266" s="26" t="s">
        <v>1562</v>
      </c>
      <c r="L266" s="26" t="s">
        <v>1600</v>
      </c>
      <c r="M266" s="26" t="s">
        <v>1572</v>
      </c>
      <c r="N266" s="26" t="s">
        <v>1571</v>
      </c>
      <c r="O266" s="26" t="s">
        <v>1566</v>
      </c>
      <c r="P266" s="26" t="s">
        <v>22</v>
      </c>
      <c r="Q266" s="26">
        <v>400.0</v>
      </c>
    </row>
    <row r="267" ht="17.25" customHeight="1">
      <c r="A267" s="51">
        <v>46060.69283525463</v>
      </c>
      <c r="B267" s="57" t="s">
        <v>341</v>
      </c>
      <c r="C267" s="55" t="s">
        <v>1892</v>
      </c>
      <c r="D267" s="111">
        <v>46060.0</v>
      </c>
      <c r="E267" s="52">
        <v>2700.0</v>
      </c>
      <c r="F267" s="132" t="s">
        <v>1924</v>
      </c>
      <c r="G267" s="37">
        <v>529.0</v>
      </c>
      <c r="H267" s="26"/>
      <c r="I267" s="26" t="s">
        <v>342</v>
      </c>
      <c r="J267" s="26" t="s">
        <v>1225</v>
      </c>
      <c r="K267" s="26" t="s">
        <v>1562</v>
      </c>
      <c r="L267" s="26" t="s">
        <v>1591</v>
      </c>
      <c r="M267" s="26" t="s">
        <v>1586</v>
      </c>
      <c r="N267" s="26" t="s">
        <v>1566</v>
      </c>
      <c r="O267" s="26" t="s">
        <v>1566</v>
      </c>
      <c r="P267" s="26" t="s">
        <v>22</v>
      </c>
      <c r="Q267" s="26">
        <v>0.0</v>
      </c>
    </row>
    <row r="268" ht="17.25" customHeight="1">
      <c r="A268" s="51">
        <v>46060.69524638889</v>
      </c>
      <c r="B268" s="25" t="s">
        <v>175</v>
      </c>
      <c r="C268" s="55" t="s">
        <v>1892</v>
      </c>
      <c r="D268" s="111">
        <v>46060.0</v>
      </c>
      <c r="E268" s="52">
        <v>200.0</v>
      </c>
      <c r="F268" s="132" t="s">
        <v>1924</v>
      </c>
      <c r="G268" s="37">
        <v>517.0</v>
      </c>
      <c r="H268" s="26"/>
      <c r="I268" s="26" t="s">
        <v>176</v>
      </c>
      <c r="J268" s="26" t="s">
        <v>1225</v>
      </c>
      <c r="K268" s="26" t="s">
        <v>1562</v>
      </c>
      <c r="L268" s="26" t="s">
        <v>1633</v>
      </c>
      <c r="M268" s="26" t="s">
        <v>1634</v>
      </c>
      <c r="N268" s="26" t="s">
        <v>1571</v>
      </c>
      <c r="O268" s="26" t="s">
        <v>1566</v>
      </c>
      <c r="P268" s="26" t="s">
        <v>22</v>
      </c>
      <c r="Q268" s="26">
        <v>2100.0</v>
      </c>
    </row>
    <row r="269" ht="17.25" customHeight="1">
      <c r="A269" s="51">
        <v>46062.41460375</v>
      </c>
      <c r="B269" s="26" t="s">
        <v>359</v>
      </c>
      <c r="C269" s="55" t="s">
        <v>1892</v>
      </c>
      <c r="D269" s="111">
        <v>46060.0</v>
      </c>
      <c r="E269" s="52">
        <v>6.0</v>
      </c>
      <c r="F269" s="37" t="s">
        <v>1975</v>
      </c>
      <c r="G269" s="130"/>
      <c r="H269" s="26"/>
      <c r="I269" s="26" t="s">
        <v>370</v>
      </c>
      <c r="J269" s="26" t="s">
        <v>370</v>
      </c>
      <c r="K269" s="26" t="s">
        <v>370</v>
      </c>
      <c r="L269" s="26" t="s">
        <v>1566</v>
      </c>
      <c r="M269" s="26" t="s">
        <v>1566</v>
      </c>
      <c r="N269" s="26" t="s">
        <v>1566</v>
      </c>
      <c r="O269" s="26" t="s">
        <v>1566</v>
      </c>
      <c r="P269" s="26" t="s">
        <v>661</v>
      </c>
      <c r="Q269" s="26">
        <v>100.0</v>
      </c>
    </row>
    <row r="270" ht="17.25" customHeight="1">
      <c r="A270" s="51">
        <v>46062.429808437504</v>
      </c>
      <c r="B270" s="57" t="s">
        <v>640</v>
      </c>
      <c r="C270" s="55" t="s">
        <v>1892</v>
      </c>
      <c r="D270" s="111">
        <v>46062.0</v>
      </c>
      <c r="E270" s="52">
        <v>1.0</v>
      </c>
      <c r="F270" s="37" t="s">
        <v>1899</v>
      </c>
      <c r="G270" s="130"/>
      <c r="H270" s="26"/>
      <c r="I270" s="26" t="s">
        <v>641</v>
      </c>
      <c r="J270" s="26" t="s">
        <v>1812</v>
      </c>
      <c r="K270" s="26" t="s">
        <v>1815</v>
      </c>
      <c r="L270" s="26" t="s">
        <v>1566</v>
      </c>
      <c r="M270" s="26" t="s">
        <v>1566</v>
      </c>
      <c r="N270" s="26" t="s">
        <v>1566</v>
      </c>
      <c r="O270" s="26" t="s">
        <v>1566</v>
      </c>
      <c r="P270" s="26" t="s">
        <v>643</v>
      </c>
      <c r="Q270" s="26">
        <v>3.0</v>
      </c>
    </row>
    <row r="271" ht="17.25" customHeight="1">
      <c r="A271" s="51">
        <v>46062.43010254629</v>
      </c>
      <c r="B271" s="23" t="s">
        <v>301</v>
      </c>
      <c r="C271" s="55" t="s">
        <v>1892</v>
      </c>
      <c r="D271" s="111">
        <v>46062.0</v>
      </c>
      <c r="E271" s="52">
        <v>10.0</v>
      </c>
      <c r="F271" s="37" t="s">
        <v>1899</v>
      </c>
      <c r="G271" s="130"/>
      <c r="H271" s="26"/>
      <c r="I271" s="26" t="s">
        <v>302</v>
      </c>
      <c r="J271" s="26" t="s">
        <v>1830</v>
      </c>
      <c r="K271" s="26" t="s">
        <v>302</v>
      </c>
      <c r="L271" s="26" t="s">
        <v>1566</v>
      </c>
      <c r="M271" s="26" t="s">
        <v>1566</v>
      </c>
      <c r="N271" s="26" t="s">
        <v>1566</v>
      </c>
      <c r="O271" s="26" t="s">
        <v>1566</v>
      </c>
      <c r="P271" s="26" t="s">
        <v>661</v>
      </c>
      <c r="Q271" s="26">
        <v>580.0</v>
      </c>
    </row>
    <row r="272" ht="17.25" customHeight="1">
      <c r="A272" s="51">
        <v>46062.43054541667</v>
      </c>
      <c r="B272" s="25" t="s">
        <v>292</v>
      </c>
      <c r="C272" s="55" t="s">
        <v>1892</v>
      </c>
      <c r="D272" s="111">
        <v>46062.0</v>
      </c>
      <c r="E272" s="52">
        <v>2.0</v>
      </c>
      <c r="F272" s="37" t="s">
        <v>1899</v>
      </c>
      <c r="G272" s="130"/>
      <c r="H272" s="26"/>
      <c r="I272" s="26" t="s">
        <v>294</v>
      </c>
      <c r="J272" s="26" t="s">
        <v>1674</v>
      </c>
      <c r="K272" s="26" t="s">
        <v>1675</v>
      </c>
      <c r="L272" s="26" t="s">
        <v>1566</v>
      </c>
      <c r="M272" s="26" t="s">
        <v>1566</v>
      </c>
      <c r="N272" s="26" t="s">
        <v>1678</v>
      </c>
      <c r="O272" s="26" t="s">
        <v>1677</v>
      </c>
      <c r="P272" s="26" t="s">
        <v>290</v>
      </c>
      <c r="Q272" s="26">
        <v>10.0</v>
      </c>
    </row>
    <row r="273" ht="17.25" customHeight="1">
      <c r="A273" s="51">
        <v>46062.44878881944</v>
      </c>
      <c r="B273" s="25" t="s">
        <v>1611</v>
      </c>
      <c r="C273" s="55" t="s">
        <v>1892</v>
      </c>
      <c r="D273" s="111">
        <v>46062.0</v>
      </c>
      <c r="E273" s="52">
        <v>800.0</v>
      </c>
      <c r="F273" s="37" t="s">
        <v>1561</v>
      </c>
      <c r="G273" s="37">
        <v>530.0</v>
      </c>
      <c r="H273" s="26"/>
      <c r="I273" s="26" t="s">
        <v>1620</v>
      </c>
      <c r="J273" s="26" t="s">
        <v>1225</v>
      </c>
      <c r="K273" s="26" t="s">
        <v>1562</v>
      </c>
      <c r="L273" s="26" t="s">
        <v>1621</v>
      </c>
      <c r="M273" s="26" t="s">
        <v>1622</v>
      </c>
      <c r="N273" s="26" t="s">
        <v>1571</v>
      </c>
      <c r="O273" s="26" t="s">
        <v>1566</v>
      </c>
      <c r="P273" s="26" t="s">
        <v>22</v>
      </c>
      <c r="Q273" s="26">
        <v>0.0</v>
      </c>
    </row>
    <row r="274" ht="17.25" customHeight="1">
      <c r="A274" s="51">
        <v>46062.46274725694</v>
      </c>
      <c r="B274" s="25" t="s">
        <v>964</v>
      </c>
      <c r="C274" s="55" t="s">
        <v>1560</v>
      </c>
      <c r="D274" s="111">
        <v>46060.0</v>
      </c>
      <c r="E274" s="52">
        <v>15.0</v>
      </c>
      <c r="F274" s="37" t="s">
        <v>1673</v>
      </c>
      <c r="G274" s="130"/>
      <c r="H274" s="26"/>
      <c r="I274" s="26" t="s">
        <v>965</v>
      </c>
      <c r="J274" s="26" t="s">
        <v>1833</v>
      </c>
      <c r="K274" s="26" t="s">
        <v>1833</v>
      </c>
      <c r="L274" s="26" t="s">
        <v>1566</v>
      </c>
      <c r="M274" s="26" t="s">
        <v>1566</v>
      </c>
      <c r="N274" s="26" t="s">
        <v>1566</v>
      </c>
      <c r="O274" s="26" t="s">
        <v>1566</v>
      </c>
      <c r="P274" s="26" t="s">
        <v>643</v>
      </c>
      <c r="Q274" s="26">
        <v>25.0</v>
      </c>
    </row>
    <row r="275" ht="17.25" customHeight="1">
      <c r="A275" s="51">
        <v>46062.46432039352</v>
      </c>
      <c r="B275" s="27" t="s">
        <v>968</v>
      </c>
      <c r="C275" s="55" t="s">
        <v>1560</v>
      </c>
      <c r="D275" s="111">
        <v>46060.0</v>
      </c>
      <c r="E275" s="52">
        <v>1.0</v>
      </c>
      <c r="F275" s="37" t="s">
        <v>1673</v>
      </c>
      <c r="G275" s="130"/>
      <c r="H275" s="26"/>
      <c r="I275" s="26" t="s">
        <v>969</v>
      </c>
      <c r="J275" s="26" t="s">
        <v>1807</v>
      </c>
      <c r="K275" s="26" t="s">
        <v>1807</v>
      </c>
      <c r="L275" s="26" t="s">
        <v>1566</v>
      </c>
      <c r="M275" s="26" t="s">
        <v>1566</v>
      </c>
      <c r="N275" s="26" t="s">
        <v>1566</v>
      </c>
      <c r="O275" s="26" t="s">
        <v>1566</v>
      </c>
      <c r="P275" s="26" t="s">
        <v>290</v>
      </c>
      <c r="Q275" s="26">
        <v>2.0</v>
      </c>
    </row>
    <row r="276" ht="17.25" customHeight="1">
      <c r="A276" s="51">
        <v>46062.500366782406</v>
      </c>
      <c r="B276" s="27" t="s">
        <v>971</v>
      </c>
      <c r="C276" s="55" t="s">
        <v>1560</v>
      </c>
      <c r="D276" s="111">
        <v>46062.0</v>
      </c>
      <c r="E276" s="52">
        <v>3.0</v>
      </c>
      <c r="F276" s="37" t="s">
        <v>1673</v>
      </c>
      <c r="G276" s="130"/>
      <c r="H276" s="26"/>
      <c r="I276" s="26" t="s">
        <v>972</v>
      </c>
      <c r="J276" s="26" t="s">
        <v>1821</v>
      </c>
      <c r="K276" s="26" t="s">
        <v>1822</v>
      </c>
      <c r="L276" s="26" t="s">
        <v>1995</v>
      </c>
      <c r="M276" s="26" t="s">
        <v>1566</v>
      </c>
      <c r="N276" s="26" t="s">
        <v>1566</v>
      </c>
      <c r="O276" s="26" t="s">
        <v>1997</v>
      </c>
      <c r="P276" s="26" t="s">
        <v>661</v>
      </c>
      <c r="Q276" s="26">
        <v>6.0</v>
      </c>
    </row>
    <row r="277" ht="17.25" customHeight="1">
      <c r="A277" s="51">
        <v>46062.50059292824</v>
      </c>
      <c r="B277" s="27" t="s">
        <v>971</v>
      </c>
      <c r="C277" s="55" t="s">
        <v>1892</v>
      </c>
      <c r="D277" s="111">
        <v>46062.0</v>
      </c>
      <c r="E277" s="52">
        <v>1.0</v>
      </c>
      <c r="F277" s="130"/>
      <c r="G277" s="130"/>
      <c r="H277" s="26"/>
      <c r="I277" s="26" t="s">
        <v>972</v>
      </c>
      <c r="J277" s="26" t="s">
        <v>1821</v>
      </c>
      <c r="K277" s="26" t="s">
        <v>1822</v>
      </c>
      <c r="L277" s="26" t="s">
        <v>1995</v>
      </c>
      <c r="M277" s="26" t="s">
        <v>1566</v>
      </c>
      <c r="N277" s="26" t="s">
        <v>1566</v>
      </c>
      <c r="O277" s="26" t="s">
        <v>1997</v>
      </c>
      <c r="P277" s="26" t="s">
        <v>661</v>
      </c>
      <c r="Q277" s="26">
        <v>6.0</v>
      </c>
    </row>
    <row r="278" ht="17.25" customHeight="1">
      <c r="A278" s="51">
        <v>46062.501809340276</v>
      </c>
      <c r="B278" s="27" t="s">
        <v>978</v>
      </c>
      <c r="C278" s="55" t="s">
        <v>1560</v>
      </c>
      <c r="D278" s="111">
        <v>46062.0</v>
      </c>
      <c r="E278" s="52">
        <v>20.0</v>
      </c>
      <c r="F278" s="37" t="s">
        <v>1673</v>
      </c>
      <c r="G278" s="130"/>
      <c r="H278" s="26"/>
      <c r="I278" s="26" t="s">
        <v>979</v>
      </c>
      <c r="J278" s="26" t="s">
        <v>1821</v>
      </c>
      <c r="K278" s="26" t="s">
        <v>1822</v>
      </c>
      <c r="L278" s="26" t="s">
        <v>2003</v>
      </c>
      <c r="M278" s="26" t="s">
        <v>1566</v>
      </c>
      <c r="N278" s="26" t="s">
        <v>1566</v>
      </c>
      <c r="O278" s="26" t="s">
        <v>1566</v>
      </c>
      <c r="P278" s="26" t="s">
        <v>661</v>
      </c>
      <c r="Q278" s="26">
        <v>15.0</v>
      </c>
    </row>
    <row r="279" ht="17.25" customHeight="1">
      <c r="A279" s="51">
        <v>46062.50205582176</v>
      </c>
      <c r="B279" s="27" t="s">
        <v>978</v>
      </c>
      <c r="C279" s="55" t="s">
        <v>1892</v>
      </c>
      <c r="D279" s="111">
        <v>46062.0</v>
      </c>
      <c r="E279" s="52">
        <v>8.0</v>
      </c>
      <c r="F279" s="37" t="s">
        <v>1908</v>
      </c>
      <c r="G279" s="130"/>
      <c r="H279" s="26"/>
      <c r="I279" s="26" t="s">
        <v>979</v>
      </c>
      <c r="J279" s="26" t="s">
        <v>1821</v>
      </c>
      <c r="K279" s="26" t="s">
        <v>1822</v>
      </c>
      <c r="L279" s="26" t="s">
        <v>2003</v>
      </c>
      <c r="M279" s="26" t="s">
        <v>1566</v>
      </c>
      <c r="N279" s="26" t="s">
        <v>1566</v>
      </c>
      <c r="O279" s="26" t="s">
        <v>1566</v>
      </c>
      <c r="P279" s="26" t="s">
        <v>661</v>
      </c>
      <c r="Q279" s="26">
        <v>15.0</v>
      </c>
    </row>
    <row r="280" ht="17.25" customHeight="1">
      <c r="A280" s="51">
        <v>46062.50793011574</v>
      </c>
      <c r="B280" s="25" t="s">
        <v>271</v>
      </c>
      <c r="C280" s="55" t="s">
        <v>1560</v>
      </c>
      <c r="D280" s="111">
        <v>46062.0</v>
      </c>
      <c r="E280" s="52">
        <v>8.0</v>
      </c>
      <c r="F280" s="37" t="s">
        <v>1673</v>
      </c>
      <c r="G280" s="130"/>
      <c r="H280" s="26"/>
      <c r="I280" s="26" t="s">
        <v>277</v>
      </c>
      <c r="J280" s="26" t="s">
        <v>1821</v>
      </c>
      <c r="K280" s="26" t="s">
        <v>1822</v>
      </c>
      <c r="L280" s="26" t="s">
        <v>1824</v>
      </c>
      <c r="M280" s="26" t="s">
        <v>1566</v>
      </c>
      <c r="N280" s="26" t="s">
        <v>1566</v>
      </c>
      <c r="O280" s="26" t="s">
        <v>1566</v>
      </c>
      <c r="P280" s="26" t="s">
        <v>661</v>
      </c>
      <c r="Q280" s="26">
        <v>45.0</v>
      </c>
    </row>
    <row r="281" ht="17.25" customHeight="1">
      <c r="A281" s="51">
        <v>46062.50866199074</v>
      </c>
      <c r="B281" s="25" t="s">
        <v>675</v>
      </c>
      <c r="C281" s="55" t="s">
        <v>1560</v>
      </c>
      <c r="D281" s="111">
        <v>46062.0</v>
      </c>
      <c r="E281" s="52">
        <v>20.0</v>
      </c>
      <c r="F281" s="37" t="s">
        <v>1673</v>
      </c>
      <c r="G281" s="130"/>
      <c r="H281" s="26"/>
      <c r="I281" s="26" t="s">
        <v>676</v>
      </c>
      <c r="J281" s="26" t="s">
        <v>1821</v>
      </c>
      <c r="K281" s="26" t="s">
        <v>1822</v>
      </c>
      <c r="L281" s="26" t="s">
        <v>1825</v>
      </c>
      <c r="M281" s="26" t="s">
        <v>1566</v>
      </c>
      <c r="N281" s="26" t="s">
        <v>1566</v>
      </c>
      <c r="O281" s="26" t="s">
        <v>1566</v>
      </c>
      <c r="P281" s="26" t="s">
        <v>661</v>
      </c>
      <c r="Q281" s="26">
        <v>30.0</v>
      </c>
    </row>
    <row r="282" ht="17.25" customHeight="1">
      <c r="A282" s="51">
        <v>46062.51049011574</v>
      </c>
      <c r="B282" s="27" t="s">
        <v>983</v>
      </c>
      <c r="C282" s="55" t="s">
        <v>1560</v>
      </c>
      <c r="D282" s="111">
        <v>46062.0</v>
      </c>
      <c r="E282" s="52">
        <v>3.0</v>
      </c>
      <c r="F282" s="37" t="s">
        <v>2007</v>
      </c>
      <c r="G282" s="130"/>
      <c r="H282" s="26"/>
      <c r="I282" s="26" t="s">
        <v>984</v>
      </c>
      <c r="J282" s="26" t="s">
        <v>1830</v>
      </c>
      <c r="K282" s="26" t="s">
        <v>1830</v>
      </c>
      <c r="L282" s="26" t="s">
        <v>1566</v>
      </c>
      <c r="M282" s="26" t="s">
        <v>1566</v>
      </c>
      <c r="N282" s="26" t="s">
        <v>1566</v>
      </c>
      <c r="O282" s="26" t="s">
        <v>1566</v>
      </c>
      <c r="P282" s="26" t="s">
        <v>661</v>
      </c>
      <c r="Q282" s="26">
        <v>8.0</v>
      </c>
    </row>
    <row r="283" ht="17.25" customHeight="1">
      <c r="A283" s="51">
        <v>46062.51107395833</v>
      </c>
      <c r="B283" s="27" t="s">
        <v>988</v>
      </c>
      <c r="C283" s="55" t="s">
        <v>1560</v>
      </c>
      <c r="D283" s="111">
        <v>46062.0</v>
      </c>
      <c r="E283" s="52">
        <v>1.0</v>
      </c>
      <c r="F283" s="37" t="s">
        <v>1673</v>
      </c>
      <c r="G283" s="130"/>
      <c r="H283" s="26"/>
      <c r="I283" s="26" t="s">
        <v>990</v>
      </c>
      <c r="J283" s="26" t="s">
        <v>1830</v>
      </c>
      <c r="K283" s="26" t="s">
        <v>1830</v>
      </c>
      <c r="L283" s="26" t="s">
        <v>1566</v>
      </c>
      <c r="M283" s="26" t="s">
        <v>1566</v>
      </c>
      <c r="N283" s="26" t="s">
        <v>1566</v>
      </c>
      <c r="O283" s="26" t="s">
        <v>1566</v>
      </c>
      <c r="P283" s="26" t="s">
        <v>661</v>
      </c>
      <c r="Q283" s="26">
        <v>2.0</v>
      </c>
    </row>
    <row r="284" ht="17.25" customHeight="1">
      <c r="A284" s="51">
        <v>46062.5112442824</v>
      </c>
      <c r="B284" s="27" t="s">
        <v>988</v>
      </c>
      <c r="C284" s="55" t="s">
        <v>1892</v>
      </c>
      <c r="D284" s="111">
        <v>46062.0</v>
      </c>
      <c r="E284" s="52">
        <v>1.0</v>
      </c>
      <c r="F284" s="130"/>
      <c r="G284" s="130"/>
      <c r="H284" s="26"/>
      <c r="I284" s="26" t="s">
        <v>990</v>
      </c>
      <c r="J284" s="26" t="s">
        <v>1830</v>
      </c>
      <c r="K284" s="26" t="s">
        <v>1830</v>
      </c>
      <c r="L284" s="26" t="s">
        <v>1566</v>
      </c>
      <c r="M284" s="26" t="s">
        <v>1566</v>
      </c>
      <c r="N284" s="26" t="s">
        <v>1566</v>
      </c>
      <c r="O284" s="26" t="s">
        <v>1566</v>
      </c>
      <c r="P284" s="26" t="s">
        <v>661</v>
      </c>
      <c r="Q284" s="26">
        <v>2.0</v>
      </c>
    </row>
    <row r="285" ht="17.25" customHeight="1">
      <c r="A285" s="51">
        <v>46062.51252283565</v>
      </c>
      <c r="B285" s="25" t="s">
        <v>312</v>
      </c>
      <c r="C285" s="55" t="s">
        <v>1560</v>
      </c>
      <c r="D285" s="111">
        <v>46062.0</v>
      </c>
      <c r="E285" s="52">
        <v>15.0</v>
      </c>
      <c r="F285" s="37" t="s">
        <v>1673</v>
      </c>
      <c r="G285" s="130"/>
      <c r="H285" s="26"/>
      <c r="I285" s="26" t="s">
        <v>319</v>
      </c>
      <c r="J285" s="26" t="s">
        <v>1821</v>
      </c>
      <c r="K285" s="26" t="s">
        <v>1822</v>
      </c>
      <c r="L285" s="26" t="s">
        <v>1566</v>
      </c>
      <c r="M285" s="26" t="s">
        <v>1566</v>
      </c>
      <c r="N285" s="26" t="s">
        <v>1566</v>
      </c>
      <c r="O285" s="26" t="s">
        <v>1829</v>
      </c>
      <c r="P285" s="26" t="s">
        <v>661</v>
      </c>
      <c r="Q285" s="26">
        <v>17.0</v>
      </c>
    </row>
    <row r="286" ht="17.25" customHeight="1">
      <c r="A286" s="51">
        <v>46062.573998101856</v>
      </c>
      <c r="B286" s="25" t="s">
        <v>562</v>
      </c>
      <c r="C286" s="55" t="s">
        <v>1892</v>
      </c>
      <c r="D286" s="111">
        <v>46062.0</v>
      </c>
      <c r="E286" s="52">
        <v>1.0</v>
      </c>
      <c r="F286" s="37" t="s">
        <v>1899</v>
      </c>
      <c r="G286" s="130"/>
      <c r="H286" s="26"/>
      <c r="I286" s="26" t="s">
        <v>567</v>
      </c>
      <c r="J286" s="26" t="s">
        <v>1812</v>
      </c>
      <c r="K286" s="26" t="s">
        <v>1815</v>
      </c>
      <c r="L286" s="26" t="s">
        <v>1566</v>
      </c>
      <c r="M286" s="26" t="s">
        <v>1566</v>
      </c>
      <c r="N286" s="26" t="s">
        <v>1566</v>
      </c>
      <c r="O286" s="26" t="s">
        <v>1838</v>
      </c>
      <c r="P286" s="26" t="s">
        <v>616</v>
      </c>
      <c r="Q286" s="26">
        <v>4.0</v>
      </c>
    </row>
    <row r="287" ht="17.25" customHeight="1">
      <c r="A287" s="51">
        <v>46062.58092199074</v>
      </c>
      <c r="B287" s="27" t="s">
        <v>753</v>
      </c>
      <c r="C287" s="55" t="s">
        <v>1560</v>
      </c>
      <c r="D287" s="111">
        <v>46062.0</v>
      </c>
      <c r="E287" s="52">
        <v>20.0</v>
      </c>
      <c r="F287" s="37" t="s">
        <v>1673</v>
      </c>
      <c r="G287" s="130"/>
      <c r="H287" s="26"/>
      <c r="I287" s="26" t="s">
        <v>755</v>
      </c>
      <c r="J287" s="26" t="s">
        <v>1812</v>
      </c>
      <c r="K287" s="26" t="s">
        <v>1815</v>
      </c>
      <c r="L287" s="26" t="s">
        <v>1566</v>
      </c>
      <c r="M287" s="26" t="s">
        <v>1566</v>
      </c>
      <c r="N287" s="26" t="s">
        <v>1566</v>
      </c>
      <c r="O287" s="26" t="s">
        <v>2014</v>
      </c>
      <c r="P287" s="26" t="s">
        <v>290</v>
      </c>
      <c r="Q287" s="26">
        <v>25.0</v>
      </c>
    </row>
    <row r="288" ht="17.25" customHeight="1">
      <c r="A288" s="51">
        <v>46062.606001064814</v>
      </c>
      <c r="B288" s="25" t="s">
        <v>297</v>
      </c>
      <c r="C288" s="55" t="s">
        <v>1560</v>
      </c>
      <c r="D288" s="111">
        <v>46062.0</v>
      </c>
      <c r="E288" s="52">
        <v>12.0</v>
      </c>
      <c r="F288" s="37" t="s">
        <v>1673</v>
      </c>
      <c r="G288" s="130"/>
      <c r="H288" s="26"/>
      <c r="I288" s="26" t="s">
        <v>298</v>
      </c>
      <c r="J288" s="26" t="s">
        <v>1674</v>
      </c>
      <c r="K288" s="26" t="s">
        <v>1675</v>
      </c>
      <c r="L288" s="26" t="s">
        <v>1566</v>
      </c>
      <c r="M288" s="26" t="s">
        <v>1566</v>
      </c>
      <c r="N288" s="26" t="s">
        <v>1680</v>
      </c>
      <c r="O288" s="26" t="s">
        <v>1677</v>
      </c>
      <c r="P288" s="26" t="s">
        <v>290</v>
      </c>
      <c r="Q288" s="26">
        <v>10.0</v>
      </c>
    </row>
    <row r="289" ht="17.25" customHeight="1">
      <c r="A289" s="51">
        <v>46062.60632535879</v>
      </c>
      <c r="B289" s="25" t="s">
        <v>304</v>
      </c>
      <c r="C289" s="55" t="s">
        <v>1560</v>
      </c>
      <c r="D289" s="111">
        <v>46062.0</v>
      </c>
      <c r="E289" s="52">
        <v>12.0</v>
      </c>
      <c r="F289" s="37" t="s">
        <v>1673</v>
      </c>
      <c r="G289" s="130"/>
      <c r="H289" s="26"/>
      <c r="I289" s="26" t="s">
        <v>306</v>
      </c>
      <c r="J289" s="26" t="s">
        <v>1674</v>
      </c>
      <c r="K289" s="26" t="s">
        <v>1675</v>
      </c>
      <c r="L289" s="26" t="s">
        <v>1566</v>
      </c>
      <c r="M289" s="26" t="s">
        <v>1566</v>
      </c>
      <c r="N289" s="26" t="s">
        <v>1682</v>
      </c>
      <c r="O289" s="26" t="s">
        <v>1677</v>
      </c>
      <c r="P289" s="26" t="s">
        <v>290</v>
      </c>
      <c r="Q289" s="26">
        <v>6.0</v>
      </c>
    </row>
    <row r="290" ht="17.25" customHeight="1">
      <c r="A290" s="51">
        <v>46062.612872858794</v>
      </c>
      <c r="B290" s="23" t="s">
        <v>301</v>
      </c>
      <c r="C290" s="55" t="s">
        <v>1892</v>
      </c>
      <c r="D290" s="111">
        <v>46062.0</v>
      </c>
      <c r="E290" s="52">
        <v>10.0</v>
      </c>
      <c r="F290" s="37" t="s">
        <v>2015</v>
      </c>
      <c r="G290" s="130"/>
      <c r="H290" s="26"/>
      <c r="I290" s="26" t="s">
        <v>302</v>
      </c>
      <c r="J290" s="26" t="s">
        <v>1830</v>
      </c>
      <c r="K290" s="26" t="s">
        <v>302</v>
      </c>
      <c r="L290" s="26" t="s">
        <v>1566</v>
      </c>
      <c r="M290" s="26" t="s">
        <v>1566</v>
      </c>
      <c r="N290" s="26" t="s">
        <v>1566</v>
      </c>
      <c r="O290" s="26" t="s">
        <v>1566</v>
      </c>
      <c r="P290" s="26" t="s">
        <v>661</v>
      </c>
      <c r="Q290" s="26">
        <v>580.0</v>
      </c>
    </row>
    <row r="291" ht="17.25" customHeight="1">
      <c r="A291" s="51">
        <v>46062.61334653935</v>
      </c>
      <c r="B291" s="25" t="s">
        <v>312</v>
      </c>
      <c r="C291" s="55" t="s">
        <v>1892</v>
      </c>
      <c r="D291" s="111">
        <v>46062.0</v>
      </c>
      <c r="E291" s="52">
        <v>2.0</v>
      </c>
      <c r="F291" s="37" t="s">
        <v>1894</v>
      </c>
      <c r="G291" s="130"/>
      <c r="H291" s="26"/>
      <c r="I291" s="26" t="s">
        <v>319</v>
      </c>
      <c r="J291" s="26" t="s">
        <v>1821</v>
      </c>
      <c r="K291" s="26" t="s">
        <v>1822</v>
      </c>
      <c r="L291" s="26" t="s">
        <v>1566</v>
      </c>
      <c r="M291" s="26" t="s">
        <v>1566</v>
      </c>
      <c r="N291" s="26" t="s">
        <v>1566</v>
      </c>
      <c r="O291" s="26" t="s">
        <v>1829</v>
      </c>
      <c r="P291" s="26" t="s">
        <v>661</v>
      </c>
      <c r="Q291" s="26">
        <v>17.0</v>
      </c>
    </row>
    <row r="292" ht="17.25" customHeight="1">
      <c r="A292" s="51">
        <v>46062.70807717592</v>
      </c>
      <c r="B292" s="57" t="s">
        <v>41</v>
      </c>
      <c r="C292" s="55" t="s">
        <v>1892</v>
      </c>
      <c r="D292" s="111">
        <v>46062.0</v>
      </c>
      <c r="E292" s="52">
        <v>600.0</v>
      </c>
      <c r="F292" s="37" t="s">
        <v>2018</v>
      </c>
      <c r="G292" s="37">
        <v>531.0</v>
      </c>
      <c r="H292" s="26"/>
      <c r="I292" s="26" t="s">
        <v>42</v>
      </c>
      <c r="J292" s="26" t="s">
        <v>1225</v>
      </c>
      <c r="K292" s="26" t="s">
        <v>1562</v>
      </c>
      <c r="L292" s="26" t="s">
        <v>1576</v>
      </c>
      <c r="M292" s="26" t="s">
        <v>1575</v>
      </c>
      <c r="N292" s="26" t="s">
        <v>1571</v>
      </c>
      <c r="O292" s="26" t="s">
        <v>1566</v>
      </c>
      <c r="P292" s="26" t="s">
        <v>22</v>
      </c>
      <c r="Q292" s="26">
        <v>200.0</v>
      </c>
    </row>
    <row r="293" ht="17.25" customHeight="1">
      <c r="A293" s="51">
        <v>46062.71377239583</v>
      </c>
      <c r="B293" s="57" t="s">
        <v>1516</v>
      </c>
      <c r="C293" s="55" t="s">
        <v>1892</v>
      </c>
      <c r="D293" s="111">
        <v>46062.0</v>
      </c>
      <c r="E293" s="52">
        <v>660.0</v>
      </c>
      <c r="F293" s="37" t="s">
        <v>2018</v>
      </c>
      <c r="G293" s="37">
        <v>533.0</v>
      </c>
      <c r="H293" s="26"/>
      <c r="I293" s="26" t="s">
        <v>1517</v>
      </c>
      <c r="J293" s="26" t="s">
        <v>1225</v>
      </c>
      <c r="K293" s="26" t="s">
        <v>1562</v>
      </c>
      <c r="L293" s="26" t="s">
        <v>1563</v>
      </c>
      <c r="M293" s="26" t="s">
        <v>1597</v>
      </c>
      <c r="N293" s="26" t="s">
        <v>1566</v>
      </c>
      <c r="O293" s="26" t="s">
        <v>1566</v>
      </c>
      <c r="P293" s="26" t="s">
        <v>22</v>
      </c>
      <c r="Q293" s="26">
        <v>1100.0</v>
      </c>
    </row>
    <row r="294" ht="17.25" customHeight="1">
      <c r="A294" s="51">
        <v>46062.72361366898</v>
      </c>
      <c r="B294" s="25" t="s">
        <v>179</v>
      </c>
      <c r="C294" s="55" t="s">
        <v>1892</v>
      </c>
      <c r="D294" s="111">
        <v>46060.0</v>
      </c>
      <c r="E294" s="52">
        <v>2016.0</v>
      </c>
      <c r="F294" s="37" t="s">
        <v>2018</v>
      </c>
      <c r="G294" s="37">
        <v>525.0</v>
      </c>
      <c r="H294" s="26"/>
      <c r="I294" s="26" t="s">
        <v>180</v>
      </c>
      <c r="J294" s="26" t="s">
        <v>1225</v>
      </c>
      <c r="K294" s="26" t="s">
        <v>1653</v>
      </c>
      <c r="L294" s="26" t="s">
        <v>1563</v>
      </c>
      <c r="M294" s="26" t="s">
        <v>1572</v>
      </c>
      <c r="N294" s="26" t="s">
        <v>1654</v>
      </c>
      <c r="O294" s="26" t="s">
        <v>1566</v>
      </c>
      <c r="P294" s="26" t="s">
        <v>22</v>
      </c>
      <c r="Q294" s="26">
        <v>0.0</v>
      </c>
    </row>
    <row r="295" ht="17.25" customHeight="1">
      <c r="A295" s="51">
        <v>46062.73572697917</v>
      </c>
      <c r="B295" s="23" t="s">
        <v>301</v>
      </c>
      <c r="C295" s="55" t="s">
        <v>1892</v>
      </c>
      <c r="D295" s="111">
        <v>46062.0</v>
      </c>
      <c r="E295" s="52">
        <v>10.0</v>
      </c>
      <c r="F295" s="37" t="s">
        <v>1899</v>
      </c>
      <c r="G295" s="130"/>
      <c r="H295" s="26"/>
      <c r="I295" s="26" t="s">
        <v>302</v>
      </c>
      <c r="J295" s="26" t="s">
        <v>1830</v>
      </c>
      <c r="K295" s="26" t="s">
        <v>302</v>
      </c>
      <c r="L295" s="26" t="s">
        <v>1566</v>
      </c>
      <c r="M295" s="26" t="s">
        <v>1566</v>
      </c>
      <c r="N295" s="26" t="s">
        <v>1566</v>
      </c>
      <c r="O295" s="26" t="s">
        <v>1566</v>
      </c>
      <c r="P295" s="26" t="s">
        <v>661</v>
      </c>
      <c r="Q295" s="26">
        <v>580.0</v>
      </c>
    </row>
    <row r="296" ht="17.25" customHeight="1">
      <c r="A296" s="51">
        <v>46062.736581307865</v>
      </c>
      <c r="B296" s="23" t="s">
        <v>301</v>
      </c>
      <c r="C296" s="55" t="s">
        <v>1560</v>
      </c>
      <c r="D296" s="111">
        <v>46062.0</v>
      </c>
      <c r="E296" s="52">
        <v>500.0</v>
      </c>
      <c r="F296" s="37" t="s">
        <v>2015</v>
      </c>
      <c r="G296" s="130"/>
      <c r="H296" s="26"/>
      <c r="I296" s="26" t="s">
        <v>302</v>
      </c>
      <c r="J296" s="26" t="s">
        <v>1830</v>
      </c>
      <c r="K296" s="26" t="s">
        <v>302</v>
      </c>
      <c r="L296" s="26" t="s">
        <v>1566</v>
      </c>
      <c r="M296" s="26" t="s">
        <v>1566</v>
      </c>
      <c r="N296" s="26" t="s">
        <v>1566</v>
      </c>
      <c r="O296" s="26" t="s">
        <v>1566</v>
      </c>
      <c r="P296" s="26" t="s">
        <v>661</v>
      </c>
      <c r="Q296" s="26">
        <v>580.0</v>
      </c>
    </row>
    <row r="297" ht="17.25" customHeight="1">
      <c r="A297" s="51">
        <v>46063.4270381713</v>
      </c>
      <c r="B297" s="57" t="s">
        <v>21</v>
      </c>
      <c r="C297" s="55" t="s">
        <v>1892</v>
      </c>
      <c r="D297" s="111">
        <v>46063.0</v>
      </c>
      <c r="E297" s="52">
        <v>20.0</v>
      </c>
      <c r="F297" s="37" t="s">
        <v>1900</v>
      </c>
      <c r="G297" s="130"/>
      <c r="H297" s="26"/>
      <c r="I297" s="26" t="s">
        <v>23</v>
      </c>
      <c r="J297" s="26" t="s">
        <v>1812</v>
      </c>
      <c r="K297" s="26" t="s">
        <v>1815</v>
      </c>
      <c r="L297" s="26" t="s">
        <v>1566</v>
      </c>
      <c r="M297" s="26" t="s">
        <v>1566</v>
      </c>
      <c r="N297" s="26" t="s">
        <v>1566</v>
      </c>
      <c r="O297" s="26" t="s">
        <v>1818</v>
      </c>
      <c r="P297" s="26" t="s">
        <v>616</v>
      </c>
      <c r="Q297" s="26">
        <v>20.0</v>
      </c>
    </row>
    <row r="298" ht="17.25" customHeight="1">
      <c r="A298" s="51">
        <v>46063.42899349537</v>
      </c>
      <c r="B298" s="25" t="s">
        <v>562</v>
      </c>
      <c r="C298" s="55" t="s">
        <v>1892</v>
      </c>
      <c r="D298" s="111">
        <v>46063.0</v>
      </c>
      <c r="E298" s="52">
        <v>2.0</v>
      </c>
      <c r="F298" s="37" t="s">
        <v>1900</v>
      </c>
      <c r="G298" s="130"/>
      <c r="H298" s="26"/>
      <c r="I298" s="26" t="s">
        <v>567</v>
      </c>
      <c r="J298" s="26" t="s">
        <v>1812</v>
      </c>
      <c r="K298" s="26" t="s">
        <v>1815</v>
      </c>
      <c r="L298" s="26" t="s">
        <v>1566</v>
      </c>
      <c r="M298" s="26" t="s">
        <v>1566</v>
      </c>
      <c r="N298" s="26" t="s">
        <v>1566</v>
      </c>
      <c r="O298" s="26" t="s">
        <v>1838</v>
      </c>
      <c r="P298" s="26" t="s">
        <v>616</v>
      </c>
      <c r="Q298" s="26">
        <v>4.0</v>
      </c>
    </row>
    <row r="299" ht="17.25" customHeight="1">
      <c r="A299" s="51">
        <v>46090.68463146991</v>
      </c>
      <c r="B299" s="23" t="s">
        <v>222</v>
      </c>
      <c r="C299" s="55" t="s">
        <v>1892</v>
      </c>
      <c r="D299" s="111">
        <v>46063.0</v>
      </c>
      <c r="E299" s="52">
        <v>20.0</v>
      </c>
      <c r="F299" s="37" t="s">
        <v>1908</v>
      </c>
      <c r="G299" s="37" t="s">
        <v>1898</v>
      </c>
      <c r="H299" s="26"/>
      <c r="I299" s="26" t="s">
        <v>230</v>
      </c>
      <c r="J299" s="26" t="s">
        <v>1821</v>
      </c>
      <c r="K299" s="26" t="s">
        <v>1822</v>
      </c>
      <c r="L299" s="26" t="s">
        <v>1828</v>
      </c>
      <c r="M299" s="26" t="s">
        <v>1590</v>
      </c>
      <c r="N299" s="26" t="s">
        <v>1566</v>
      </c>
      <c r="O299" s="26" t="s">
        <v>1566</v>
      </c>
      <c r="P299" s="26" t="s">
        <v>661</v>
      </c>
      <c r="Q299" s="26">
        <v>60.0</v>
      </c>
    </row>
    <row r="300" ht="17.25" customHeight="1">
      <c r="A300" s="51">
        <v>46063.52884090278</v>
      </c>
      <c r="B300" s="25" t="s">
        <v>842</v>
      </c>
      <c r="C300" s="55" t="s">
        <v>1892</v>
      </c>
      <c r="D300" s="111">
        <v>46063.0</v>
      </c>
      <c r="E300" s="52">
        <v>1.0</v>
      </c>
      <c r="F300" s="37" t="s">
        <v>1844</v>
      </c>
      <c r="G300" s="130"/>
      <c r="H300" s="26"/>
      <c r="I300" s="26" t="s">
        <v>843</v>
      </c>
      <c r="J300" s="26" t="s">
        <v>1844</v>
      </c>
      <c r="K300" s="26" t="s">
        <v>1846</v>
      </c>
      <c r="L300" s="26" t="s">
        <v>1850</v>
      </c>
      <c r="M300" s="26" t="s">
        <v>1566</v>
      </c>
      <c r="N300" s="26" t="s">
        <v>1566</v>
      </c>
      <c r="O300" s="26" t="s">
        <v>1848</v>
      </c>
      <c r="P300" s="26" t="s">
        <v>661</v>
      </c>
      <c r="Q300" s="26">
        <v>1.0</v>
      </c>
    </row>
    <row r="301" ht="17.25" customHeight="1">
      <c r="A301" s="51">
        <v>46063.5289234375</v>
      </c>
      <c r="B301" s="25" t="s">
        <v>1843</v>
      </c>
      <c r="C301" s="55" t="s">
        <v>1892</v>
      </c>
      <c r="D301" s="111">
        <v>46063.0</v>
      </c>
      <c r="E301" s="52">
        <v>1.0</v>
      </c>
      <c r="F301" s="37" t="s">
        <v>1844</v>
      </c>
      <c r="G301" s="130"/>
      <c r="H301" s="26"/>
      <c r="I301" s="26" t="s">
        <v>1845</v>
      </c>
      <c r="J301" s="26" t="s">
        <v>1844</v>
      </c>
      <c r="K301" s="26" t="s">
        <v>1846</v>
      </c>
      <c r="L301" s="26" t="s">
        <v>1847</v>
      </c>
      <c r="M301" s="26" t="s">
        <v>1566</v>
      </c>
      <c r="N301" s="26" t="s">
        <v>1566</v>
      </c>
      <c r="O301" s="26" t="s">
        <v>1848</v>
      </c>
      <c r="P301" s="26" t="s">
        <v>661</v>
      </c>
      <c r="Q301" s="26">
        <v>0.0</v>
      </c>
    </row>
    <row r="302" ht="17.25" customHeight="1">
      <c r="A302" s="51">
        <v>46063.7147740162</v>
      </c>
      <c r="B302" s="27" t="s">
        <v>994</v>
      </c>
      <c r="C302" s="55" t="s">
        <v>1560</v>
      </c>
      <c r="D302" s="111">
        <v>46055.0</v>
      </c>
      <c r="E302" s="52">
        <v>11.0</v>
      </c>
      <c r="F302" s="37" t="s">
        <v>1673</v>
      </c>
      <c r="G302" s="130"/>
      <c r="H302" s="26"/>
      <c r="I302" s="26" t="s">
        <v>995</v>
      </c>
      <c r="J302" s="26" t="s">
        <v>1807</v>
      </c>
      <c r="K302" s="26" t="s">
        <v>1889</v>
      </c>
      <c r="L302" s="26" t="s">
        <v>1566</v>
      </c>
      <c r="M302" s="26" t="s">
        <v>1566</v>
      </c>
      <c r="N302" s="26" t="s">
        <v>1566</v>
      </c>
      <c r="O302" s="26" t="s">
        <v>1566</v>
      </c>
      <c r="P302" s="26" t="s">
        <v>661</v>
      </c>
      <c r="Q302" s="26">
        <v>9.0</v>
      </c>
    </row>
    <row r="303" ht="17.25" customHeight="1">
      <c r="A303" s="51">
        <v>46063.71516284722</v>
      </c>
      <c r="B303" s="27" t="s">
        <v>994</v>
      </c>
      <c r="C303" s="55" t="s">
        <v>1892</v>
      </c>
      <c r="D303" s="111">
        <v>46063.0</v>
      </c>
      <c r="E303" s="52">
        <v>1.0</v>
      </c>
      <c r="F303" s="37" t="s">
        <v>1894</v>
      </c>
      <c r="G303" s="130"/>
      <c r="H303" s="26"/>
      <c r="I303" s="26" t="s">
        <v>995</v>
      </c>
      <c r="J303" s="26" t="s">
        <v>1807</v>
      </c>
      <c r="K303" s="26" t="s">
        <v>1889</v>
      </c>
      <c r="L303" s="26" t="s">
        <v>1566</v>
      </c>
      <c r="M303" s="26" t="s">
        <v>1566</v>
      </c>
      <c r="N303" s="26" t="s">
        <v>1566</v>
      </c>
      <c r="O303" s="26" t="s">
        <v>1566</v>
      </c>
      <c r="P303" s="26" t="s">
        <v>661</v>
      </c>
      <c r="Q303" s="26">
        <v>9.0</v>
      </c>
    </row>
    <row r="304" ht="17.25" customHeight="1">
      <c r="A304" s="51">
        <v>46064.40848701389</v>
      </c>
      <c r="B304" s="25" t="s">
        <v>83</v>
      </c>
      <c r="C304" s="55" t="s">
        <v>1892</v>
      </c>
      <c r="D304" s="111">
        <v>46064.0</v>
      </c>
      <c r="E304" s="52">
        <v>600.0</v>
      </c>
      <c r="F304" s="37" t="s">
        <v>2025</v>
      </c>
      <c r="G304" s="130"/>
      <c r="H304" s="26"/>
      <c r="I304" s="26" t="s">
        <v>84</v>
      </c>
      <c r="J304" s="26" t="s">
        <v>1225</v>
      </c>
      <c r="K304" s="26" t="s">
        <v>1562</v>
      </c>
      <c r="L304" s="26" t="s">
        <v>1600</v>
      </c>
      <c r="M304" s="26" t="s">
        <v>1597</v>
      </c>
      <c r="N304" s="26" t="s">
        <v>1571</v>
      </c>
      <c r="O304" s="26" t="s">
        <v>1566</v>
      </c>
      <c r="P304" s="26" t="s">
        <v>22</v>
      </c>
      <c r="Q304" s="26">
        <v>2000.0</v>
      </c>
    </row>
    <row r="305" ht="17.25" customHeight="1">
      <c r="A305" s="51">
        <v>46064.40878074074</v>
      </c>
      <c r="B305" s="23" t="s">
        <v>301</v>
      </c>
      <c r="C305" s="55" t="s">
        <v>1892</v>
      </c>
      <c r="D305" s="111">
        <v>46064.0</v>
      </c>
      <c r="E305" s="52">
        <v>10.0</v>
      </c>
      <c r="F305" s="37" t="s">
        <v>1899</v>
      </c>
      <c r="G305" s="130"/>
      <c r="H305" s="26"/>
      <c r="I305" s="26" t="s">
        <v>302</v>
      </c>
      <c r="J305" s="26" t="s">
        <v>1830</v>
      </c>
      <c r="K305" s="26" t="s">
        <v>302</v>
      </c>
      <c r="L305" s="26" t="s">
        <v>1566</v>
      </c>
      <c r="M305" s="26" t="s">
        <v>1566</v>
      </c>
      <c r="N305" s="26" t="s">
        <v>1566</v>
      </c>
      <c r="O305" s="26" t="s">
        <v>1566</v>
      </c>
      <c r="P305" s="26" t="s">
        <v>661</v>
      </c>
      <c r="Q305" s="26">
        <v>580.0</v>
      </c>
    </row>
    <row r="306" ht="17.25" customHeight="1">
      <c r="A306" s="51">
        <v>46064.42476451389</v>
      </c>
      <c r="B306" s="23" t="s">
        <v>301</v>
      </c>
      <c r="C306" s="55" t="s">
        <v>1892</v>
      </c>
      <c r="D306" s="111">
        <v>46064.0</v>
      </c>
      <c r="E306" s="52">
        <v>10.0</v>
      </c>
      <c r="F306" s="37" t="s">
        <v>2026</v>
      </c>
      <c r="G306" s="130"/>
      <c r="H306" s="26"/>
      <c r="I306" s="26" t="s">
        <v>302</v>
      </c>
      <c r="J306" s="26" t="s">
        <v>1830</v>
      </c>
      <c r="K306" s="26" t="s">
        <v>302</v>
      </c>
      <c r="L306" s="26" t="s">
        <v>1566</v>
      </c>
      <c r="M306" s="26" t="s">
        <v>1566</v>
      </c>
      <c r="N306" s="26" t="s">
        <v>1566</v>
      </c>
      <c r="O306" s="26" t="s">
        <v>1566</v>
      </c>
      <c r="P306" s="26" t="s">
        <v>661</v>
      </c>
      <c r="Q306" s="26">
        <v>580.0</v>
      </c>
    </row>
    <row r="307" ht="17.25" customHeight="1">
      <c r="A307" s="51">
        <v>46064.658674652776</v>
      </c>
      <c r="B307" s="26" t="s">
        <v>32</v>
      </c>
      <c r="C307" s="55" t="s">
        <v>1892</v>
      </c>
      <c r="D307" s="111">
        <v>46064.0</v>
      </c>
      <c r="E307" s="52">
        <v>1.0</v>
      </c>
      <c r="F307" s="37" t="s">
        <v>2027</v>
      </c>
      <c r="G307" s="130"/>
      <c r="H307" s="26"/>
      <c r="I307" s="26" t="s">
        <v>34</v>
      </c>
      <c r="J307" s="26" t="s">
        <v>1807</v>
      </c>
      <c r="K307" s="26" t="s">
        <v>1807</v>
      </c>
      <c r="L307" s="26" t="s">
        <v>1566</v>
      </c>
      <c r="M307" s="26" t="s">
        <v>1566</v>
      </c>
      <c r="N307" s="26" t="s">
        <v>1566</v>
      </c>
      <c r="O307" s="26" t="s">
        <v>1808</v>
      </c>
      <c r="P307" s="26" t="s">
        <v>290</v>
      </c>
      <c r="Q307" s="26">
        <v>7.0</v>
      </c>
    </row>
    <row r="308" ht="17.25" customHeight="1">
      <c r="A308" s="51">
        <v>46064.65938976852</v>
      </c>
      <c r="B308" s="25" t="s">
        <v>562</v>
      </c>
      <c r="C308" s="55" t="s">
        <v>1892</v>
      </c>
      <c r="D308" s="111">
        <v>46064.0</v>
      </c>
      <c r="E308" s="52">
        <v>1.0</v>
      </c>
      <c r="F308" s="37" t="s">
        <v>2027</v>
      </c>
      <c r="G308" s="130"/>
      <c r="H308" s="26"/>
      <c r="I308" s="26" t="s">
        <v>567</v>
      </c>
      <c r="J308" s="26" t="s">
        <v>1812</v>
      </c>
      <c r="K308" s="26" t="s">
        <v>1815</v>
      </c>
      <c r="L308" s="26" t="s">
        <v>1566</v>
      </c>
      <c r="M308" s="26" t="s">
        <v>1566</v>
      </c>
      <c r="N308" s="26" t="s">
        <v>1566</v>
      </c>
      <c r="O308" s="26" t="s">
        <v>1838</v>
      </c>
      <c r="P308" s="26" t="s">
        <v>616</v>
      </c>
      <c r="Q308" s="26">
        <v>4.0</v>
      </c>
    </row>
    <row r="309" ht="17.25" customHeight="1">
      <c r="A309" s="51">
        <v>46064.65976045139</v>
      </c>
      <c r="B309" s="23" t="s">
        <v>301</v>
      </c>
      <c r="C309" s="55" t="s">
        <v>1892</v>
      </c>
      <c r="D309" s="111">
        <v>46064.0</v>
      </c>
      <c r="E309" s="52">
        <v>10.0</v>
      </c>
      <c r="F309" s="37" t="s">
        <v>2028</v>
      </c>
      <c r="G309" s="130"/>
      <c r="H309" s="26"/>
      <c r="I309" s="26" t="s">
        <v>302</v>
      </c>
      <c r="J309" s="26" t="s">
        <v>1830</v>
      </c>
      <c r="K309" s="26" t="s">
        <v>302</v>
      </c>
      <c r="L309" s="26" t="s">
        <v>1566</v>
      </c>
      <c r="M309" s="26" t="s">
        <v>1566</v>
      </c>
      <c r="N309" s="26" t="s">
        <v>1566</v>
      </c>
      <c r="O309" s="26" t="s">
        <v>1566</v>
      </c>
      <c r="P309" s="26" t="s">
        <v>661</v>
      </c>
      <c r="Q309" s="26">
        <v>580.0</v>
      </c>
    </row>
    <row r="310" ht="17.25" customHeight="1">
      <c r="A310" s="51">
        <v>46065.43101354167</v>
      </c>
      <c r="B310" s="25" t="s">
        <v>1614</v>
      </c>
      <c r="C310" s="55" t="s">
        <v>1560</v>
      </c>
      <c r="D310" s="111">
        <v>46064.0</v>
      </c>
      <c r="E310" s="52">
        <v>300.0</v>
      </c>
      <c r="F310" s="37" t="s">
        <v>2018</v>
      </c>
      <c r="G310" s="130"/>
      <c r="H310" s="26"/>
      <c r="I310" s="26" t="s">
        <v>1792</v>
      </c>
      <c r="J310" s="26" t="s">
        <v>1225</v>
      </c>
      <c r="K310" s="26" t="s">
        <v>1642</v>
      </c>
      <c r="L310" s="26" t="s">
        <v>1647</v>
      </c>
      <c r="M310" s="26" t="s">
        <v>2032</v>
      </c>
      <c r="N310" s="26" t="s">
        <v>1566</v>
      </c>
      <c r="O310" s="26" t="s">
        <v>1566</v>
      </c>
      <c r="P310" s="26" t="s">
        <v>22</v>
      </c>
      <c r="Q310" s="26">
        <v>0.0</v>
      </c>
    </row>
    <row r="311" ht="17.25" customHeight="1">
      <c r="A311" s="51">
        <v>46065.4313350463</v>
      </c>
      <c r="B311" s="25" t="s">
        <v>1614</v>
      </c>
      <c r="C311" s="55" t="s">
        <v>1892</v>
      </c>
      <c r="D311" s="111">
        <v>46064.0</v>
      </c>
      <c r="E311" s="52">
        <v>300.0</v>
      </c>
      <c r="F311" s="37" t="s">
        <v>1561</v>
      </c>
      <c r="G311" s="130"/>
      <c r="H311" s="26"/>
      <c r="I311" s="26" t="s">
        <v>1792</v>
      </c>
      <c r="J311" s="26" t="s">
        <v>1225</v>
      </c>
      <c r="K311" s="26" t="s">
        <v>1642</v>
      </c>
      <c r="L311" s="26" t="s">
        <v>1647</v>
      </c>
      <c r="M311" s="26" t="s">
        <v>2032</v>
      </c>
      <c r="N311" s="26" t="s">
        <v>1566</v>
      </c>
      <c r="O311" s="26" t="s">
        <v>1566</v>
      </c>
      <c r="P311" s="26" t="s">
        <v>22</v>
      </c>
      <c r="Q311" s="26">
        <v>0.0</v>
      </c>
    </row>
    <row r="312" ht="17.25" customHeight="1">
      <c r="A312" s="51">
        <v>46065.46464532407</v>
      </c>
      <c r="B312" s="25" t="s">
        <v>978</v>
      </c>
      <c r="C312" s="55" t="s">
        <v>1892</v>
      </c>
      <c r="D312" s="111">
        <v>46065.0</v>
      </c>
      <c r="E312" s="52">
        <v>4.0</v>
      </c>
      <c r="F312" s="37" t="s">
        <v>2034</v>
      </c>
      <c r="G312" s="130"/>
      <c r="H312" s="26"/>
      <c r="I312" s="26" t="s">
        <v>979</v>
      </c>
      <c r="J312" s="26" t="s">
        <v>1821</v>
      </c>
      <c r="K312" s="26" t="s">
        <v>1822</v>
      </c>
      <c r="L312" s="26" t="s">
        <v>2003</v>
      </c>
      <c r="M312" s="26" t="s">
        <v>1566</v>
      </c>
      <c r="N312" s="26" t="s">
        <v>1566</v>
      </c>
      <c r="O312" s="26" t="s">
        <v>1566</v>
      </c>
      <c r="P312" s="26" t="s">
        <v>661</v>
      </c>
      <c r="Q312" s="26">
        <v>15.0</v>
      </c>
    </row>
    <row r="313" ht="17.25" customHeight="1">
      <c r="A313" s="51">
        <v>46065.46497973379</v>
      </c>
      <c r="B313" s="25" t="s">
        <v>978</v>
      </c>
      <c r="C313" s="55" t="s">
        <v>1560</v>
      </c>
      <c r="D313" s="111">
        <v>46064.0</v>
      </c>
      <c r="E313" s="52">
        <v>10.0</v>
      </c>
      <c r="F313" s="37" t="s">
        <v>2015</v>
      </c>
      <c r="G313" s="130"/>
      <c r="H313" s="26"/>
      <c r="I313" s="26" t="s">
        <v>979</v>
      </c>
      <c r="J313" s="26" t="s">
        <v>1821</v>
      </c>
      <c r="K313" s="26" t="s">
        <v>1822</v>
      </c>
      <c r="L313" s="26" t="s">
        <v>2003</v>
      </c>
      <c r="M313" s="26" t="s">
        <v>1566</v>
      </c>
      <c r="N313" s="26" t="s">
        <v>1566</v>
      </c>
      <c r="O313" s="26" t="s">
        <v>1566</v>
      </c>
      <c r="P313" s="26" t="s">
        <v>661</v>
      </c>
      <c r="Q313" s="26">
        <v>15.0</v>
      </c>
    </row>
    <row r="314" ht="17.25" customHeight="1">
      <c r="A314" s="51">
        <v>46065.549656180556</v>
      </c>
      <c r="B314" s="25" t="s">
        <v>876</v>
      </c>
      <c r="C314" s="55" t="s">
        <v>1892</v>
      </c>
      <c r="D314" s="111">
        <v>46065.0</v>
      </c>
      <c r="E314" s="52">
        <v>4.0</v>
      </c>
      <c r="F314" s="37" t="s">
        <v>1907</v>
      </c>
      <c r="G314" s="130"/>
      <c r="H314" s="26"/>
      <c r="I314" s="26" t="s">
        <v>878</v>
      </c>
      <c r="J314" s="26" t="s">
        <v>1830</v>
      </c>
      <c r="K314" s="26" t="s">
        <v>1879</v>
      </c>
      <c r="L314" s="26" t="s">
        <v>1566</v>
      </c>
      <c r="M314" s="26" t="s">
        <v>1566</v>
      </c>
      <c r="N314" s="26" t="s">
        <v>1566</v>
      </c>
      <c r="O314" s="26" t="s">
        <v>1566</v>
      </c>
      <c r="P314" s="26" t="s">
        <v>643</v>
      </c>
      <c r="Q314" s="26">
        <v>34.0</v>
      </c>
    </row>
    <row r="315" ht="17.25" customHeight="1">
      <c r="A315" s="51">
        <v>46065.60419783565</v>
      </c>
      <c r="B315" s="23" t="s">
        <v>301</v>
      </c>
      <c r="C315" s="55" t="s">
        <v>1892</v>
      </c>
      <c r="D315" s="111">
        <v>46065.0</v>
      </c>
      <c r="E315" s="52">
        <v>20.0</v>
      </c>
      <c r="F315" s="37" t="s">
        <v>1900</v>
      </c>
      <c r="G315" s="130"/>
      <c r="H315" s="26"/>
      <c r="I315" s="26" t="s">
        <v>302</v>
      </c>
      <c r="J315" s="26" t="s">
        <v>1830</v>
      </c>
      <c r="K315" s="26" t="s">
        <v>302</v>
      </c>
      <c r="L315" s="26" t="s">
        <v>1566</v>
      </c>
      <c r="M315" s="26" t="s">
        <v>1566</v>
      </c>
      <c r="N315" s="26" t="s">
        <v>1566</v>
      </c>
      <c r="O315" s="26" t="s">
        <v>1566</v>
      </c>
      <c r="P315" s="26" t="s">
        <v>661</v>
      </c>
      <c r="Q315" s="26">
        <v>580.0</v>
      </c>
    </row>
    <row r="316" ht="17.25" customHeight="1">
      <c r="A316" s="51">
        <v>46065.69836550926</v>
      </c>
      <c r="B316" s="25" t="s">
        <v>1867</v>
      </c>
      <c r="C316" s="55" t="s">
        <v>1892</v>
      </c>
      <c r="D316" s="111">
        <v>46064.0</v>
      </c>
      <c r="E316" s="52">
        <v>1.0</v>
      </c>
      <c r="F316" s="37" t="s">
        <v>1942</v>
      </c>
      <c r="G316" s="130"/>
      <c r="H316" s="26"/>
      <c r="I316" s="26" t="s">
        <v>1868</v>
      </c>
      <c r="J316" s="26" t="s">
        <v>1844</v>
      </c>
      <c r="K316" s="26" t="s">
        <v>1846</v>
      </c>
      <c r="L316" s="26" t="s">
        <v>1869</v>
      </c>
      <c r="M316" s="26" t="s">
        <v>1566</v>
      </c>
      <c r="N316" s="26" t="s">
        <v>1566</v>
      </c>
      <c r="O316" s="26" t="s">
        <v>1808</v>
      </c>
      <c r="P316" s="26" t="s">
        <v>661</v>
      </c>
      <c r="Q316" s="26">
        <v>0.0</v>
      </c>
    </row>
    <row r="317" ht="17.25" customHeight="1">
      <c r="A317" s="51">
        <v>46065.7059145949</v>
      </c>
      <c r="B317" s="25" t="s">
        <v>1867</v>
      </c>
      <c r="C317" s="55" t="s">
        <v>1560</v>
      </c>
      <c r="D317" s="111">
        <v>46065.0</v>
      </c>
      <c r="E317" s="52">
        <v>1.0</v>
      </c>
      <c r="F317" s="37" t="s">
        <v>1942</v>
      </c>
      <c r="G317" s="130"/>
      <c r="H317" s="26"/>
      <c r="I317" s="26" t="s">
        <v>1868</v>
      </c>
      <c r="J317" s="26" t="s">
        <v>1844</v>
      </c>
      <c r="K317" s="26" t="s">
        <v>1846</v>
      </c>
      <c r="L317" s="26" t="s">
        <v>1869</v>
      </c>
      <c r="M317" s="26" t="s">
        <v>1566</v>
      </c>
      <c r="N317" s="26" t="s">
        <v>1566</v>
      </c>
      <c r="O317" s="26" t="s">
        <v>1808</v>
      </c>
      <c r="P317" s="26" t="s">
        <v>661</v>
      </c>
      <c r="Q317" s="26">
        <v>0.0</v>
      </c>
    </row>
    <row r="318" ht="17.25" customHeight="1">
      <c r="A318" s="51">
        <v>46065.720070104166</v>
      </c>
      <c r="B318" s="25" t="s">
        <v>842</v>
      </c>
      <c r="C318" s="55" t="s">
        <v>1560</v>
      </c>
      <c r="D318" s="111">
        <v>46065.0</v>
      </c>
      <c r="E318" s="52">
        <v>1.0</v>
      </c>
      <c r="F318" s="37" t="s">
        <v>1942</v>
      </c>
      <c r="G318" s="130"/>
      <c r="H318" s="26"/>
      <c r="I318" s="26" t="s">
        <v>843</v>
      </c>
      <c r="J318" s="26" t="s">
        <v>1844</v>
      </c>
      <c r="K318" s="26" t="s">
        <v>1846</v>
      </c>
      <c r="L318" s="26" t="s">
        <v>1850</v>
      </c>
      <c r="M318" s="26" t="s">
        <v>1566</v>
      </c>
      <c r="N318" s="26" t="s">
        <v>1566</v>
      </c>
      <c r="O318" s="26" t="s">
        <v>1848</v>
      </c>
      <c r="P318" s="26" t="s">
        <v>661</v>
      </c>
      <c r="Q318" s="26">
        <v>1.0</v>
      </c>
    </row>
    <row r="319" ht="17.25" customHeight="1">
      <c r="A319" s="51">
        <v>46065.72194429398</v>
      </c>
      <c r="B319" s="27" t="s">
        <v>998</v>
      </c>
      <c r="C319" s="55" t="s">
        <v>1560</v>
      </c>
      <c r="D319" s="111">
        <v>46065.0</v>
      </c>
      <c r="E319" s="52">
        <v>1.0</v>
      </c>
      <c r="F319" s="37" t="s">
        <v>1942</v>
      </c>
      <c r="G319" s="130"/>
      <c r="H319" s="26"/>
      <c r="I319" s="26" t="s">
        <v>999</v>
      </c>
      <c r="J319" s="26" t="s">
        <v>1844</v>
      </c>
      <c r="K319" s="26" t="s">
        <v>1846</v>
      </c>
      <c r="L319" s="26" t="s">
        <v>2038</v>
      </c>
      <c r="M319" s="26" t="s">
        <v>1566</v>
      </c>
      <c r="N319" s="26" t="s">
        <v>1566</v>
      </c>
      <c r="O319" s="26" t="s">
        <v>1566</v>
      </c>
      <c r="P319" s="26" t="s">
        <v>661</v>
      </c>
      <c r="Q319" s="26">
        <v>1.0</v>
      </c>
    </row>
    <row r="320" ht="17.25" customHeight="1">
      <c r="A320" s="51">
        <v>46065.72248952546</v>
      </c>
      <c r="B320" s="57" t="s">
        <v>1917</v>
      </c>
      <c r="C320" s="55" t="s">
        <v>1560</v>
      </c>
      <c r="D320" s="111">
        <v>46065.0</v>
      </c>
      <c r="E320" s="52">
        <v>1.0</v>
      </c>
      <c r="F320" s="37" t="s">
        <v>1942</v>
      </c>
      <c r="G320" s="130"/>
      <c r="H320" s="26"/>
      <c r="I320" s="26" t="s">
        <v>1918</v>
      </c>
      <c r="J320" s="26" t="s">
        <v>1844</v>
      </c>
      <c r="K320" s="26" t="s">
        <v>1846</v>
      </c>
      <c r="L320" s="26" t="s">
        <v>2039</v>
      </c>
      <c r="M320" s="26" t="s">
        <v>1566</v>
      </c>
      <c r="N320" s="26" t="s">
        <v>1566</v>
      </c>
      <c r="O320" s="26" t="s">
        <v>1566</v>
      </c>
      <c r="P320" s="26" t="s">
        <v>661</v>
      </c>
      <c r="Q320" s="26">
        <v>0.0</v>
      </c>
    </row>
    <row r="321" ht="17.25" customHeight="1">
      <c r="A321" s="51">
        <v>46065.72554002315</v>
      </c>
      <c r="B321" s="145" t="s">
        <v>1001</v>
      </c>
      <c r="C321" s="55" t="s">
        <v>1560</v>
      </c>
      <c r="D321" s="111">
        <v>46065.0</v>
      </c>
      <c r="E321" s="52">
        <v>3.0</v>
      </c>
      <c r="F321" s="37" t="s">
        <v>1673</v>
      </c>
      <c r="G321" s="130"/>
      <c r="H321" s="26"/>
      <c r="I321" s="26" t="s">
        <v>1002</v>
      </c>
      <c r="J321" s="26" t="s">
        <v>1674</v>
      </c>
      <c r="K321" s="26" t="s">
        <v>1691</v>
      </c>
      <c r="L321" s="26" t="s">
        <v>1566</v>
      </c>
      <c r="M321" s="26" t="s">
        <v>1566</v>
      </c>
      <c r="N321" s="26" t="s">
        <v>1566</v>
      </c>
      <c r="O321" s="26" t="s">
        <v>2040</v>
      </c>
      <c r="P321" s="26" t="s">
        <v>290</v>
      </c>
      <c r="Q321" s="26">
        <v>1.0</v>
      </c>
    </row>
    <row r="322" ht="17.25" customHeight="1">
      <c r="A322" s="51">
        <v>46065.72605465278</v>
      </c>
      <c r="B322" s="25" t="s">
        <v>21</v>
      </c>
      <c r="C322" s="55" t="s">
        <v>1560</v>
      </c>
      <c r="D322" s="111">
        <v>46065.0</v>
      </c>
      <c r="E322" s="52">
        <v>40.0</v>
      </c>
      <c r="F322" s="37" t="s">
        <v>1673</v>
      </c>
      <c r="G322" s="130"/>
      <c r="H322" s="26"/>
      <c r="I322" s="26" t="s">
        <v>23</v>
      </c>
      <c r="J322" s="26" t="s">
        <v>1812</v>
      </c>
      <c r="K322" s="26" t="s">
        <v>1815</v>
      </c>
      <c r="L322" s="26" t="s">
        <v>1566</v>
      </c>
      <c r="M322" s="26" t="s">
        <v>1566</v>
      </c>
      <c r="N322" s="26" t="s">
        <v>1566</v>
      </c>
      <c r="O322" s="26" t="s">
        <v>1818</v>
      </c>
      <c r="P322" s="26" t="s">
        <v>616</v>
      </c>
      <c r="Q322" s="26">
        <v>20.0</v>
      </c>
    </row>
    <row r="323" ht="17.25" customHeight="1">
      <c r="A323" s="51">
        <v>46065.72668574074</v>
      </c>
      <c r="B323" s="25" t="s">
        <v>622</v>
      </c>
      <c r="C323" s="55" t="s">
        <v>1560</v>
      </c>
      <c r="D323" s="111">
        <v>46065.0</v>
      </c>
      <c r="E323" s="52">
        <v>25.0</v>
      </c>
      <c r="F323" s="37" t="s">
        <v>1673</v>
      </c>
      <c r="G323" s="130"/>
      <c r="H323" s="26"/>
      <c r="I323" s="26" t="s">
        <v>623</v>
      </c>
      <c r="J323" s="26" t="s">
        <v>1812</v>
      </c>
      <c r="K323" s="26" t="s">
        <v>1815</v>
      </c>
      <c r="L323" s="26" t="s">
        <v>1566</v>
      </c>
      <c r="M323" s="26" t="s">
        <v>1566</v>
      </c>
      <c r="N323" s="26" t="s">
        <v>1566</v>
      </c>
      <c r="O323" s="26" t="s">
        <v>1817</v>
      </c>
      <c r="P323" s="26" t="s">
        <v>616</v>
      </c>
      <c r="Q323" s="26">
        <v>20.0</v>
      </c>
    </row>
    <row r="324" ht="17.25" customHeight="1">
      <c r="A324" s="51">
        <v>46065.73389325231</v>
      </c>
      <c r="B324" s="25" t="s">
        <v>159</v>
      </c>
      <c r="C324" s="55" t="s">
        <v>1892</v>
      </c>
      <c r="D324" s="111">
        <v>46065.0</v>
      </c>
      <c r="E324" s="52">
        <v>600.0</v>
      </c>
      <c r="F324" s="37" t="s">
        <v>2041</v>
      </c>
      <c r="G324" s="130"/>
      <c r="H324" s="26"/>
      <c r="I324" s="26" t="s">
        <v>161</v>
      </c>
      <c r="J324" s="26" t="s">
        <v>1225</v>
      </c>
      <c r="K324" s="26" t="s">
        <v>1562</v>
      </c>
      <c r="L324" s="26" t="s">
        <v>1629</v>
      </c>
      <c r="M324" s="26" t="s">
        <v>1574</v>
      </c>
      <c r="N324" s="26" t="s">
        <v>1571</v>
      </c>
      <c r="O324" s="26" t="s">
        <v>1566</v>
      </c>
      <c r="P324" s="26" t="s">
        <v>22</v>
      </c>
      <c r="Q324" s="26">
        <v>700.0</v>
      </c>
    </row>
    <row r="325" ht="17.25" customHeight="1">
      <c r="A325" s="51">
        <v>46065.76674021991</v>
      </c>
      <c r="B325" s="25" t="s">
        <v>951</v>
      </c>
      <c r="C325" s="55" t="s">
        <v>1892</v>
      </c>
      <c r="D325" s="111">
        <v>46066.0</v>
      </c>
      <c r="E325" s="52">
        <v>5000.0</v>
      </c>
      <c r="F325" s="37" t="s">
        <v>2041</v>
      </c>
      <c r="G325" s="37">
        <v>538.0</v>
      </c>
      <c r="H325" s="26"/>
      <c r="I325" s="26" t="s">
        <v>953</v>
      </c>
      <c r="J325" s="26" t="s">
        <v>1225</v>
      </c>
      <c r="K325" s="26" t="s">
        <v>1562</v>
      </c>
      <c r="L325" s="26" t="s">
        <v>1910</v>
      </c>
      <c r="M325" s="26" t="s">
        <v>1597</v>
      </c>
      <c r="N325" s="26" t="s">
        <v>1566</v>
      </c>
      <c r="O325" s="26" t="s">
        <v>1566</v>
      </c>
      <c r="P325" s="26" t="s">
        <v>22</v>
      </c>
      <c r="Q325" s="26">
        <v>990.0</v>
      </c>
    </row>
    <row r="326" ht="17.25" customHeight="1">
      <c r="A326" s="51">
        <v>46066.65126396991</v>
      </c>
      <c r="B326" s="25" t="s">
        <v>21</v>
      </c>
      <c r="C326" s="55" t="s">
        <v>1892</v>
      </c>
      <c r="D326" s="111">
        <v>46066.0</v>
      </c>
      <c r="E326" s="52">
        <v>20.0</v>
      </c>
      <c r="F326" s="37" t="s">
        <v>2042</v>
      </c>
      <c r="G326" s="130"/>
      <c r="H326" s="26"/>
      <c r="I326" s="26" t="s">
        <v>23</v>
      </c>
      <c r="J326" s="26" t="s">
        <v>1812</v>
      </c>
      <c r="K326" s="26" t="s">
        <v>1815</v>
      </c>
      <c r="L326" s="26" t="s">
        <v>1566</v>
      </c>
      <c r="M326" s="26" t="s">
        <v>1566</v>
      </c>
      <c r="N326" s="26" t="s">
        <v>1566</v>
      </c>
      <c r="O326" s="26" t="s">
        <v>1818</v>
      </c>
      <c r="P326" s="26" t="s">
        <v>616</v>
      </c>
      <c r="Q326" s="26">
        <v>20.0</v>
      </c>
    </row>
    <row r="327" ht="17.25" customHeight="1">
      <c r="A327" s="51">
        <v>46066.65154032408</v>
      </c>
      <c r="B327" s="23" t="s">
        <v>301</v>
      </c>
      <c r="C327" s="55" t="s">
        <v>1892</v>
      </c>
      <c r="D327" s="111">
        <v>46066.0</v>
      </c>
      <c r="E327" s="52">
        <v>10.0</v>
      </c>
      <c r="F327" s="37" t="s">
        <v>2042</v>
      </c>
      <c r="G327" s="130"/>
      <c r="H327" s="26"/>
      <c r="I327" s="26" t="s">
        <v>302</v>
      </c>
      <c r="J327" s="26" t="s">
        <v>1830</v>
      </c>
      <c r="K327" s="26" t="s">
        <v>302</v>
      </c>
      <c r="L327" s="26" t="s">
        <v>1566</v>
      </c>
      <c r="M327" s="26" t="s">
        <v>1566</v>
      </c>
      <c r="N327" s="26" t="s">
        <v>1566</v>
      </c>
      <c r="O327" s="26" t="s">
        <v>1566</v>
      </c>
      <c r="P327" s="26" t="s">
        <v>661</v>
      </c>
      <c r="Q327" s="26">
        <v>580.0</v>
      </c>
    </row>
    <row r="328" ht="17.25" customHeight="1">
      <c r="A328" s="51">
        <v>46066.65207880787</v>
      </c>
      <c r="B328" s="25" t="s">
        <v>222</v>
      </c>
      <c r="C328" s="55" t="s">
        <v>1892</v>
      </c>
      <c r="D328" s="111">
        <v>46066.0</v>
      </c>
      <c r="E328" s="52">
        <v>2.0</v>
      </c>
      <c r="F328" s="37" t="s">
        <v>2043</v>
      </c>
      <c r="G328" s="130"/>
      <c r="H328" s="26"/>
      <c r="I328" s="26" t="s">
        <v>230</v>
      </c>
      <c r="J328" s="26" t="s">
        <v>1821</v>
      </c>
      <c r="K328" s="26" t="s">
        <v>1822</v>
      </c>
      <c r="L328" s="26" t="s">
        <v>1828</v>
      </c>
      <c r="M328" s="26" t="s">
        <v>1590</v>
      </c>
      <c r="N328" s="26" t="s">
        <v>1566</v>
      </c>
      <c r="O328" s="26" t="s">
        <v>1566</v>
      </c>
      <c r="P328" s="26" t="s">
        <v>661</v>
      </c>
      <c r="Q328" s="26">
        <v>60.0</v>
      </c>
    </row>
    <row r="329" ht="17.25" customHeight="1">
      <c r="A329" s="51">
        <v>46066.652234918976</v>
      </c>
      <c r="B329" s="25" t="s">
        <v>222</v>
      </c>
      <c r="C329" s="55" t="s">
        <v>1892</v>
      </c>
      <c r="D329" s="111">
        <v>46066.0</v>
      </c>
      <c r="E329" s="52">
        <v>2.0</v>
      </c>
      <c r="F329" s="37" t="s">
        <v>1908</v>
      </c>
      <c r="G329" s="130"/>
      <c r="H329" s="26"/>
      <c r="I329" s="26" t="s">
        <v>230</v>
      </c>
      <c r="J329" s="26" t="s">
        <v>1821</v>
      </c>
      <c r="K329" s="26" t="s">
        <v>1822</v>
      </c>
      <c r="L329" s="26" t="s">
        <v>1828</v>
      </c>
      <c r="M329" s="26" t="s">
        <v>1590</v>
      </c>
      <c r="N329" s="26" t="s">
        <v>1566</v>
      </c>
      <c r="O329" s="26" t="s">
        <v>1566</v>
      </c>
      <c r="P329" s="26" t="s">
        <v>661</v>
      </c>
      <c r="Q329" s="26">
        <v>60.0</v>
      </c>
    </row>
    <row r="330" ht="17.25" customHeight="1">
      <c r="A330" s="51">
        <v>46066.65254056713</v>
      </c>
      <c r="B330" s="25" t="s">
        <v>876</v>
      </c>
      <c r="C330" s="55" t="s">
        <v>1892</v>
      </c>
      <c r="D330" s="111">
        <v>46066.0</v>
      </c>
      <c r="E330" s="52">
        <v>4.0</v>
      </c>
      <c r="F330" s="37" t="s">
        <v>2044</v>
      </c>
      <c r="G330" s="130"/>
      <c r="H330" s="26"/>
      <c r="I330" s="26" t="s">
        <v>878</v>
      </c>
      <c r="J330" s="26" t="s">
        <v>1830</v>
      </c>
      <c r="K330" s="26" t="s">
        <v>1879</v>
      </c>
      <c r="L330" s="26" t="s">
        <v>1566</v>
      </c>
      <c r="M330" s="26" t="s">
        <v>1566</v>
      </c>
      <c r="N330" s="26" t="s">
        <v>1566</v>
      </c>
      <c r="O330" s="26" t="s">
        <v>1566</v>
      </c>
      <c r="P330" s="26" t="s">
        <v>643</v>
      </c>
      <c r="Q330" s="26">
        <v>34.0</v>
      </c>
    </row>
    <row r="331" ht="17.25" customHeight="1">
      <c r="A331" s="51">
        <v>46066.652740370366</v>
      </c>
      <c r="B331" s="23" t="s">
        <v>301</v>
      </c>
      <c r="C331" s="55" t="s">
        <v>1892</v>
      </c>
      <c r="D331" s="111">
        <v>46066.0</v>
      </c>
      <c r="E331" s="52">
        <v>5.0</v>
      </c>
      <c r="F331" s="37" t="s">
        <v>1942</v>
      </c>
      <c r="G331" s="130"/>
      <c r="H331" s="26"/>
      <c r="I331" s="26" t="s">
        <v>302</v>
      </c>
      <c r="J331" s="26" t="s">
        <v>1830</v>
      </c>
      <c r="K331" s="26" t="s">
        <v>302</v>
      </c>
      <c r="L331" s="26" t="s">
        <v>1566</v>
      </c>
      <c r="M331" s="26" t="s">
        <v>1566</v>
      </c>
      <c r="N331" s="26" t="s">
        <v>1566</v>
      </c>
      <c r="O331" s="26" t="s">
        <v>1566</v>
      </c>
      <c r="P331" s="26" t="s">
        <v>661</v>
      </c>
      <c r="Q331" s="26">
        <v>580.0</v>
      </c>
    </row>
    <row r="332" ht="17.25" customHeight="1">
      <c r="A332" s="51">
        <v>46066.65339521991</v>
      </c>
      <c r="B332" s="25" t="s">
        <v>1001</v>
      </c>
      <c r="C332" s="55" t="s">
        <v>1892</v>
      </c>
      <c r="D332" s="111">
        <v>46066.0</v>
      </c>
      <c r="E332" s="52">
        <v>1.0</v>
      </c>
      <c r="F332" s="37" t="s">
        <v>2042</v>
      </c>
      <c r="G332" s="130"/>
      <c r="H332" s="26"/>
      <c r="I332" s="26" t="s">
        <v>1002</v>
      </c>
      <c r="J332" s="26" t="s">
        <v>1674</v>
      </c>
      <c r="K332" s="26" t="s">
        <v>1691</v>
      </c>
      <c r="L332" s="26" t="s">
        <v>1566</v>
      </c>
      <c r="M332" s="26" t="s">
        <v>1566</v>
      </c>
      <c r="N332" s="26" t="s">
        <v>1566</v>
      </c>
      <c r="O332" s="26" t="s">
        <v>2040</v>
      </c>
      <c r="P332" s="26" t="s">
        <v>290</v>
      </c>
      <c r="Q332" s="26">
        <v>1.0</v>
      </c>
    </row>
    <row r="333" ht="17.25" customHeight="1">
      <c r="A333" s="51">
        <v>46066.653903576385</v>
      </c>
      <c r="B333" s="25" t="s">
        <v>1772</v>
      </c>
      <c r="C333" s="55" t="s">
        <v>1892</v>
      </c>
      <c r="D333" s="111">
        <v>46066.0</v>
      </c>
      <c r="E333" s="52">
        <v>2.0</v>
      </c>
      <c r="F333" s="37" t="s">
        <v>2042</v>
      </c>
      <c r="G333" s="130"/>
      <c r="H333" s="26"/>
      <c r="I333" s="26" t="s">
        <v>1777</v>
      </c>
      <c r="J333" s="26" t="s">
        <v>1674</v>
      </c>
      <c r="K333" s="26" t="s">
        <v>1691</v>
      </c>
      <c r="L333" s="26" t="s">
        <v>1566</v>
      </c>
      <c r="M333" s="26" t="s">
        <v>1566</v>
      </c>
      <c r="N333" s="26" t="s">
        <v>1682</v>
      </c>
      <c r="O333" s="26" t="s">
        <v>1778</v>
      </c>
      <c r="P333" s="26" t="s">
        <v>290</v>
      </c>
      <c r="Q333" s="26">
        <v>0.0</v>
      </c>
    </row>
    <row r="334" ht="17.25" customHeight="1">
      <c r="A334" s="51">
        <v>46066.674588298614</v>
      </c>
      <c r="B334" s="25" t="s">
        <v>139</v>
      </c>
      <c r="C334" s="55" t="s">
        <v>1892</v>
      </c>
      <c r="D334" s="111">
        <v>46066.0</v>
      </c>
      <c r="E334" s="52">
        <v>1100.0</v>
      </c>
      <c r="F334" s="37" t="s">
        <v>2025</v>
      </c>
      <c r="G334" s="37">
        <v>543.0</v>
      </c>
      <c r="H334" s="26"/>
      <c r="I334" s="26" t="s">
        <v>140</v>
      </c>
      <c r="J334" s="26" t="s">
        <v>1225</v>
      </c>
      <c r="K334" s="26" t="s">
        <v>1562</v>
      </c>
      <c r="L334" s="26" t="s">
        <v>1563</v>
      </c>
      <c r="M334" s="26" t="s">
        <v>1586</v>
      </c>
      <c r="N334" s="26" t="s">
        <v>1566</v>
      </c>
      <c r="O334" s="26" t="s">
        <v>1566</v>
      </c>
      <c r="P334" s="26" t="s">
        <v>22</v>
      </c>
      <c r="Q334" s="26">
        <v>0.0</v>
      </c>
    </row>
    <row r="335" ht="17.25" customHeight="1">
      <c r="A335" s="51">
        <v>46067.590131805555</v>
      </c>
      <c r="B335" s="25" t="s">
        <v>287</v>
      </c>
      <c r="C335" s="55" t="s">
        <v>1892</v>
      </c>
      <c r="D335" s="111">
        <v>46067.0</v>
      </c>
      <c r="E335" s="52">
        <v>2.0</v>
      </c>
      <c r="F335" s="37" t="s">
        <v>2045</v>
      </c>
      <c r="G335" s="130"/>
      <c r="H335" s="26"/>
      <c r="I335" s="26" t="s">
        <v>288</v>
      </c>
      <c r="J335" s="26" t="s">
        <v>1674</v>
      </c>
      <c r="K335" s="26" t="s">
        <v>1675</v>
      </c>
      <c r="L335" s="26" t="s">
        <v>1566</v>
      </c>
      <c r="M335" s="26" t="s">
        <v>1566</v>
      </c>
      <c r="N335" s="26" t="s">
        <v>1676</v>
      </c>
      <c r="O335" s="26" t="s">
        <v>1677</v>
      </c>
      <c r="P335" s="26" t="s">
        <v>290</v>
      </c>
      <c r="Q335" s="26">
        <v>16.0</v>
      </c>
    </row>
    <row r="336" ht="17.25" customHeight="1">
      <c r="A336" s="51">
        <v>46067.590722824076</v>
      </c>
      <c r="B336" s="23" t="s">
        <v>301</v>
      </c>
      <c r="C336" s="55" t="s">
        <v>1892</v>
      </c>
      <c r="D336" s="111">
        <v>46067.0</v>
      </c>
      <c r="E336" s="52">
        <v>15.0</v>
      </c>
      <c r="F336" s="37" t="s">
        <v>2045</v>
      </c>
      <c r="G336" s="130"/>
      <c r="H336" s="26"/>
      <c r="I336" s="26" t="s">
        <v>302</v>
      </c>
      <c r="J336" s="26" t="s">
        <v>1830</v>
      </c>
      <c r="K336" s="26" t="s">
        <v>302</v>
      </c>
      <c r="L336" s="26" t="s">
        <v>1566</v>
      </c>
      <c r="M336" s="26" t="s">
        <v>1566</v>
      </c>
      <c r="N336" s="26" t="s">
        <v>1566</v>
      </c>
      <c r="O336" s="26" t="s">
        <v>1566</v>
      </c>
      <c r="P336" s="26" t="s">
        <v>661</v>
      </c>
      <c r="Q336" s="26">
        <v>580.0</v>
      </c>
    </row>
    <row r="337" ht="17.25" customHeight="1">
      <c r="A337" s="51">
        <v>46067.592568946755</v>
      </c>
      <c r="B337" s="25" t="s">
        <v>523</v>
      </c>
      <c r="C337" s="55" t="s">
        <v>1892</v>
      </c>
      <c r="D337" s="111">
        <v>46067.0</v>
      </c>
      <c r="E337" s="52">
        <v>5.0</v>
      </c>
      <c r="F337" s="37" t="s">
        <v>2045</v>
      </c>
      <c r="G337" s="130"/>
      <c r="H337" s="26"/>
      <c r="I337" s="26" t="s">
        <v>528</v>
      </c>
      <c r="J337" s="26" t="s">
        <v>1812</v>
      </c>
      <c r="K337" s="26" t="s">
        <v>1815</v>
      </c>
      <c r="L337" s="26" t="s">
        <v>1566</v>
      </c>
      <c r="M337" s="26" t="s">
        <v>1566</v>
      </c>
      <c r="N337" s="26" t="s">
        <v>1566</v>
      </c>
      <c r="O337" s="26" t="s">
        <v>1837</v>
      </c>
      <c r="P337" s="26" t="s">
        <v>616</v>
      </c>
      <c r="Q337" s="26">
        <v>15.0</v>
      </c>
    </row>
    <row r="338" ht="17.25" customHeight="1">
      <c r="A338" s="51">
        <v>46067.5928453588</v>
      </c>
      <c r="B338" s="23" t="s">
        <v>359</v>
      </c>
      <c r="C338" s="55" t="s">
        <v>1892</v>
      </c>
      <c r="D338" s="111">
        <v>46067.0</v>
      </c>
      <c r="E338" s="52">
        <v>6.0</v>
      </c>
      <c r="F338" s="37" t="s">
        <v>2046</v>
      </c>
      <c r="G338" s="130"/>
      <c r="H338" s="26"/>
      <c r="I338" s="26" t="s">
        <v>370</v>
      </c>
      <c r="J338" s="26" t="s">
        <v>370</v>
      </c>
      <c r="K338" s="26" t="s">
        <v>370</v>
      </c>
      <c r="L338" s="26" t="s">
        <v>1566</v>
      </c>
      <c r="M338" s="26" t="s">
        <v>1566</v>
      </c>
      <c r="N338" s="26" t="s">
        <v>1566</v>
      </c>
      <c r="O338" s="26" t="s">
        <v>1566</v>
      </c>
      <c r="P338" s="26" t="s">
        <v>661</v>
      </c>
      <c r="Q338" s="26">
        <v>100.0</v>
      </c>
    </row>
    <row r="339" ht="17.25" customHeight="1">
      <c r="A339" s="51">
        <v>46067.59358700231</v>
      </c>
      <c r="B339" s="25" t="s">
        <v>312</v>
      </c>
      <c r="C339" s="55" t="s">
        <v>1892</v>
      </c>
      <c r="D339" s="111">
        <v>46067.0</v>
      </c>
      <c r="E339" s="52">
        <v>2.0</v>
      </c>
      <c r="F339" s="37" t="s">
        <v>2046</v>
      </c>
      <c r="G339" s="130"/>
      <c r="H339" s="26"/>
      <c r="I339" s="26" t="s">
        <v>319</v>
      </c>
      <c r="J339" s="26" t="s">
        <v>1821</v>
      </c>
      <c r="K339" s="26" t="s">
        <v>1822</v>
      </c>
      <c r="L339" s="26" t="s">
        <v>1566</v>
      </c>
      <c r="M339" s="26" t="s">
        <v>1566</v>
      </c>
      <c r="N339" s="26" t="s">
        <v>1566</v>
      </c>
      <c r="O339" s="26" t="s">
        <v>1829</v>
      </c>
      <c r="P339" s="26" t="s">
        <v>661</v>
      </c>
      <c r="Q339" s="26">
        <v>17.0</v>
      </c>
    </row>
    <row r="340" ht="17.25" customHeight="1">
      <c r="A340" s="51">
        <v>46069.408014699075</v>
      </c>
      <c r="B340" s="23" t="s">
        <v>301</v>
      </c>
      <c r="C340" s="55" t="s">
        <v>1892</v>
      </c>
      <c r="D340" s="111">
        <v>46067.0</v>
      </c>
      <c r="E340" s="52">
        <v>10.0</v>
      </c>
      <c r="F340" s="37" t="s">
        <v>2026</v>
      </c>
      <c r="G340" s="130"/>
      <c r="H340" s="26"/>
      <c r="I340" s="26" t="s">
        <v>302</v>
      </c>
      <c r="J340" s="26" t="s">
        <v>1830</v>
      </c>
      <c r="K340" s="26" t="s">
        <v>302</v>
      </c>
      <c r="L340" s="26" t="s">
        <v>1566</v>
      </c>
      <c r="M340" s="26" t="s">
        <v>1566</v>
      </c>
      <c r="N340" s="26" t="s">
        <v>1566</v>
      </c>
      <c r="O340" s="26" t="s">
        <v>1566</v>
      </c>
      <c r="P340" s="26" t="s">
        <v>661</v>
      </c>
      <c r="Q340" s="26">
        <v>580.0</v>
      </c>
    </row>
    <row r="341" ht="17.25" customHeight="1">
      <c r="A341" s="51">
        <v>46069.40820790509</v>
      </c>
      <c r="B341" s="23" t="s">
        <v>301</v>
      </c>
      <c r="C341" s="55" t="s">
        <v>1892</v>
      </c>
      <c r="D341" s="111">
        <v>46069.0</v>
      </c>
      <c r="E341" s="52">
        <v>6.0</v>
      </c>
      <c r="F341" s="37" t="s">
        <v>2046</v>
      </c>
      <c r="G341" s="130"/>
      <c r="H341" s="26"/>
      <c r="I341" s="26" t="s">
        <v>302</v>
      </c>
      <c r="J341" s="26" t="s">
        <v>1830</v>
      </c>
      <c r="K341" s="26" t="s">
        <v>302</v>
      </c>
      <c r="L341" s="26" t="s">
        <v>1566</v>
      </c>
      <c r="M341" s="26" t="s">
        <v>1566</v>
      </c>
      <c r="N341" s="26" t="s">
        <v>1566</v>
      </c>
      <c r="O341" s="26" t="s">
        <v>1566</v>
      </c>
      <c r="P341" s="26" t="s">
        <v>661</v>
      </c>
      <c r="Q341" s="26">
        <v>580.0</v>
      </c>
    </row>
    <row r="342" ht="17.25" customHeight="1">
      <c r="A342" s="51">
        <v>46069.40906287037</v>
      </c>
      <c r="B342" s="25" t="s">
        <v>1782</v>
      </c>
      <c r="C342" s="55" t="s">
        <v>1560</v>
      </c>
      <c r="D342" s="111">
        <v>46067.0</v>
      </c>
      <c r="E342" s="52">
        <v>500.0</v>
      </c>
      <c r="F342" s="37" t="s">
        <v>2025</v>
      </c>
      <c r="G342" s="130"/>
      <c r="H342" s="26"/>
      <c r="I342" s="26" t="s">
        <v>1783</v>
      </c>
      <c r="J342" s="26" t="s">
        <v>1225</v>
      </c>
      <c r="K342" s="26" t="s">
        <v>1640</v>
      </c>
      <c r="L342" s="26" t="s">
        <v>1576</v>
      </c>
      <c r="M342" s="26" t="s">
        <v>1572</v>
      </c>
      <c r="N342" s="26" t="s">
        <v>1566</v>
      </c>
      <c r="O342" s="26" t="s">
        <v>1566</v>
      </c>
      <c r="P342" s="26" t="s">
        <v>22</v>
      </c>
      <c r="Q342" s="26">
        <v>0.0</v>
      </c>
    </row>
    <row r="343" ht="17.25" customHeight="1">
      <c r="A343" s="51">
        <v>46069.41033701389</v>
      </c>
      <c r="B343" s="27" t="s">
        <v>1920</v>
      </c>
      <c r="C343" s="55" t="s">
        <v>1560</v>
      </c>
      <c r="D343" s="111">
        <v>46067.0</v>
      </c>
      <c r="E343" s="52">
        <v>3000.0</v>
      </c>
      <c r="F343" s="37" t="s">
        <v>2025</v>
      </c>
      <c r="G343" s="130"/>
      <c r="H343" s="26"/>
      <c r="I343" s="26" t="s">
        <v>1921</v>
      </c>
      <c r="J343" s="26" t="s">
        <v>1225</v>
      </c>
      <c r="K343" s="26" t="s">
        <v>1646</v>
      </c>
      <c r="L343" s="26" t="s">
        <v>1576</v>
      </c>
      <c r="M343" s="26" t="s">
        <v>2047</v>
      </c>
      <c r="N343" s="26" t="s">
        <v>1566</v>
      </c>
      <c r="O343" s="26" t="s">
        <v>1566</v>
      </c>
      <c r="P343" s="26" t="s">
        <v>22</v>
      </c>
      <c r="Q343" s="26">
        <v>0.0</v>
      </c>
    </row>
    <row r="344" ht="17.25" customHeight="1">
      <c r="A344" s="51">
        <v>46069.41855928241</v>
      </c>
      <c r="B344" s="25" t="s">
        <v>1585</v>
      </c>
      <c r="C344" s="55" t="s">
        <v>1892</v>
      </c>
      <c r="D344" s="111">
        <v>46067.0</v>
      </c>
      <c r="E344" s="52">
        <v>800.0</v>
      </c>
      <c r="F344" s="37" t="s">
        <v>2025</v>
      </c>
      <c r="G344" s="37">
        <v>545.0</v>
      </c>
      <c r="H344" s="26"/>
      <c r="I344" s="26" t="s">
        <v>1694</v>
      </c>
      <c r="J344" s="26" t="s">
        <v>1225</v>
      </c>
      <c r="K344" s="26" t="s">
        <v>1562</v>
      </c>
      <c r="L344" s="26" t="s">
        <v>1656</v>
      </c>
      <c r="M344" s="26" t="s">
        <v>1607</v>
      </c>
      <c r="N344" s="26" t="s">
        <v>1566</v>
      </c>
      <c r="O344" s="26" t="s">
        <v>1566</v>
      </c>
      <c r="P344" s="26" t="s">
        <v>22</v>
      </c>
      <c r="Q344" s="26">
        <v>0.0</v>
      </c>
    </row>
    <row r="345" ht="17.25" customHeight="1">
      <c r="A345" s="51">
        <v>46069.42303909722</v>
      </c>
      <c r="B345" s="25" t="s">
        <v>951</v>
      </c>
      <c r="C345" s="55" t="s">
        <v>1892</v>
      </c>
      <c r="D345" s="111">
        <v>46067.0</v>
      </c>
      <c r="E345" s="52">
        <v>1500.0</v>
      </c>
      <c r="F345" s="37" t="s">
        <v>2025</v>
      </c>
      <c r="G345" s="37">
        <v>544.0</v>
      </c>
      <c r="H345" s="26"/>
      <c r="I345" s="26" t="s">
        <v>953</v>
      </c>
      <c r="J345" s="26" t="s">
        <v>1225</v>
      </c>
      <c r="K345" s="26" t="s">
        <v>1562</v>
      </c>
      <c r="L345" s="26" t="s">
        <v>1910</v>
      </c>
      <c r="M345" s="26" t="s">
        <v>1597</v>
      </c>
      <c r="N345" s="26" t="s">
        <v>1566</v>
      </c>
      <c r="O345" s="26" t="s">
        <v>1566</v>
      </c>
      <c r="P345" s="26" t="s">
        <v>22</v>
      </c>
      <c r="Q345" s="26">
        <v>990.0</v>
      </c>
    </row>
    <row r="346" ht="17.25" customHeight="1">
      <c r="A346" s="51">
        <v>46069.43444914352</v>
      </c>
      <c r="B346" s="25" t="s">
        <v>753</v>
      </c>
      <c r="C346" s="55" t="s">
        <v>1892</v>
      </c>
      <c r="D346" s="111">
        <v>46069.0</v>
      </c>
      <c r="E346" s="52">
        <v>20.0</v>
      </c>
      <c r="F346" s="37" t="s">
        <v>1899</v>
      </c>
      <c r="G346" s="130"/>
      <c r="H346" s="26"/>
      <c r="I346" s="26" t="s">
        <v>755</v>
      </c>
      <c r="J346" s="26" t="s">
        <v>1812</v>
      </c>
      <c r="K346" s="26" t="s">
        <v>1815</v>
      </c>
      <c r="L346" s="26" t="s">
        <v>1566</v>
      </c>
      <c r="M346" s="26" t="s">
        <v>1566</v>
      </c>
      <c r="N346" s="26" t="s">
        <v>1566</v>
      </c>
      <c r="O346" s="26" t="s">
        <v>2014</v>
      </c>
      <c r="P346" s="26" t="s">
        <v>290</v>
      </c>
      <c r="Q346" s="26">
        <v>25.0</v>
      </c>
    </row>
    <row r="347" ht="17.25" customHeight="1">
      <c r="A347" s="51">
        <v>46069.534331863426</v>
      </c>
      <c r="B347" s="25" t="s">
        <v>135</v>
      </c>
      <c r="C347" s="55" t="s">
        <v>1892</v>
      </c>
      <c r="D347" s="111">
        <v>46069.0</v>
      </c>
      <c r="E347" s="52">
        <v>800.0</v>
      </c>
      <c r="F347" s="37" t="s">
        <v>2025</v>
      </c>
      <c r="G347" s="37">
        <v>546.0</v>
      </c>
      <c r="H347" s="26"/>
      <c r="I347" s="26" t="s">
        <v>136</v>
      </c>
      <c r="J347" s="26" t="s">
        <v>1225</v>
      </c>
      <c r="K347" s="26" t="s">
        <v>1562</v>
      </c>
      <c r="L347" s="26" t="s">
        <v>1616</v>
      </c>
      <c r="M347" s="26" t="s">
        <v>1597</v>
      </c>
      <c r="N347" s="26" t="s">
        <v>1571</v>
      </c>
      <c r="O347" s="26" t="s">
        <v>1566</v>
      </c>
      <c r="P347" s="26" t="s">
        <v>22</v>
      </c>
      <c r="Q347" s="26">
        <v>600.0</v>
      </c>
    </row>
    <row r="348" ht="17.25" customHeight="1">
      <c r="A348" s="51">
        <v>46069.53446922454</v>
      </c>
      <c r="B348" s="57" t="s">
        <v>1004</v>
      </c>
      <c r="C348" s="55" t="s">
        <v>1560</v>
      </c>
      <c r="D348" s="111">
        <v>46069.0</v>
      </c>
      <c r="E348" s="52">
        <v>5.0</v>
      </c>
      <c r="F348" s="37" t="s">
        <v>1673</v>
      </c>
      <c r="G348" s="130"/>
      <c r="H348" s="26"/>
      <c r="I348" s="26" t="s">
        <v>1005</v>
      </c>
      <c r="J348" s="26" t="s">
        <v>1844</v>
      </c>
      <c r="K348" s="26" t="s">
        <v>1839</v>
      </c>
      <c r="L348" s="26" t="s">
        <v>2048</v>
      </c>
      <c r="M348" s="26" t="s">
        <v>1566</v>
      </c>
      <c r="N348" s="26" t="s">
        <v>1566</v>
      </c>
      <c r="O348" s="26" t="s">
        <v>1566</v>
      </c>
      <c r="P348" s="26" t="s">
        <v>643</v>
      </c>
      <c r="Q348" s="26">
        <v>5.0</v>
      </c>
    </row>
    <row r="349" ht="17.25" customHeight="1">
      <c r="A349" s="51">
        <v>46069.69173986111</v>
      </c>
      <c r="B349" s="27" t="s">
        <v>443</v>
      </c>
      <c r="C349" s="55" t="s">
        <v>1892</v>
      </c>
      <c r="D349" s="111">
        <v>46069.0</v>
      </c>
      <c r="E349" s="52">
        <v>1.0</v>
      </c>
      <c r="F349" s="37" t="s">
        <v>1899</v>
      </c>
      <c r="G349" s="130"/>
      <c r="H349" s="26"/>
      <c r="I349" s="26" t="s">
        <v>446</v>
      </c>
      <c r="J349" s="26" t="s">
        <v>1812</v>
      </c>
      <c r="K349" s="26" t="s">
        <v>1821</v>
      </c>
      <c r="L349" s="26" t="s">
        <v>1566</v>
      </c>
      <c r="M349" s="26" t="s">
        <v>1566</v>
      </c>
      <c r="N349" s="26" t="s">
        <v>1566</v>
      </c>
      <c r="O349" s="26" t="s">
        <v>1835</v>
      </c>
      <c r="P349" s="26" t="s">
        <v>661</v>
      </c>
      <c r="Q349" s="26">
        <v>4.0</v>
      </c>
    </row>
    <row r="350" ht="17.25" customHeight="1">
      <c r="A350" s="51">
        <v>46069.6922003125</v>
      </c>
      <c r="B350" s="23" t="s">
        <v>359</v>
      </c>
      <c r="C350" s="55" t="s">
        <v>1892</v>
      </c>
      <c r="D350" s="111">
        <v>46069.0</v>
      </c>
      <c r="E350" s="52">
        <v>6.0</v>
      </c>
      <c r="F350" s="37" t="s">
        <v>1894</v>
      </c>
      <c r="G350" s="130"/>
      <c r="H350" s="26"/>
      <c r="I350" s="26" t="s">
        <v>370</v>
      </c>
      <c r="J350" s="26" t="s">
        <v>370</v>
      </c>
      <c r="K350" s="26" t="s">
        <v>370</v>
      </c>
      <c r="L350" s="26" t="s">
        <v>1566</v>
      </c>
      <c r="M350" s="26" t="s">
        <v>1566</v>
      </c>
      <c r="N350" s="26" t="s">
        <v>1566</v>
      </c>
      <c r="O350" s="26" t="s">
        <v>1566</v>
      </c>
      <c r="P350" s="26" t="s">
        <v>661</v>
      </c>
      <c r="Q350" s="26">
        <v>100.0</v>
      </c>
    </row>
    <row r="351" ht="17.25" customHeight="1">
      <c r="A351" s="51">
        <v>46069.69248677083</v>
      </c>
      <c r="B351" s="23" t="s">
        <v>876</v>
      </c>
      <c r="C351" s="55" t="s">
        <v>1892</v>
      </c>
      <c r="D351" s="111">
        <v>46069.0</v>
      </c>
      <c r="E351" s="52">
        <v>4.0</v>
      </c>
      <c r="F351" s="37" t="s">
        <v>1908</v>
      </c>
      <c r="G351" s="130"/>
      <c r="H351" s="26"/>
      <c r="I351" s="26" t="s">
        <v>878</v>
      </c>
      <c r="J351" s="26" t="s">
        <v>1830</v>
      </c>
      <c r="K351" s="26" t="s">
        <v>1879</v>
      </c>
      <c r="L351" s="26" t="s">
        <v>1566</v>
      </c>
      <c r="M351" s="26" t="s">
        <v>1566</v>
      </c>
      <c r="N351" s="26" t="s">
        <v>1566</v>
      </c>
      <c r="O351" s="26" t="s">
        <v>1566</v>
      </c>
      <c r="P351" s="26" t="s">
        <v>643</v>
      </c>
      <c r="Q351" s="26">
        <v>34.0</v>
      </c>
    </row>
    <row r="352" ht="17.25" customHeight="1">
      <c r="A352" s="51">
        <v>46069.69277288194</v>
      </c>
      <c r="B352" s="25" t="s">
        <v>222</v>
      </c>
      <c r="C352" s="55" t="s">
        <v>1892</v>
      </c>
      <c r="D352" s="111">
        <v>46069.0</v>
      </c>
      <c r="E352" s="52">
        <v>1.0</v>
      </c>
      <c r="F352" s="37" t="s">
        <v>1907</v>
      </c>
      <c r="G352" s="130"/>
      <c r="H352" s="26"/>
      <c r="I352" s="26" t="s">
        <v>230</v>
      </c>
      <c r="J352" s="26" t="s">
        <v>1821</v>
      </c>
      <c r="K352" s="26" t="s">
        <v>1822</v>
      </c>
      <c r="L352" s="26" t="s">
        <v>1828</v>
      </c>
      <c r="M352" s="26" t="s">
        <v>1590</v>
      </c>
      <c r="N352" s="26" t="s">
        <v>1566</v>
      </c>
      <c r="O352" s="26" t="s">
        <v>1566</v>
      </c>
      <c r="P352" s="26" t="s">
        <v>661</v>
      </c>
      <c r="Q352" s="26">
        <v>60.0</v>
      </c>
    </row>
    <row r="353" ht="17.25" customHeight="1">
      <c r="A353" s="51">
        <v>46070.46218648148</v>
      </c>
      <c r="B353" s="25" t="s">
        <v>971</v>
      </c>
      <c r="C353" s="55" t="s">
        <v>1892</v>
      </c>
      <c r="D353" s="111">
        <v>46069.0</v>
      </c>
      <c r="E353" s="52">
        <v>1.0</v>
      </c>
      <c r="F353" s="37" t="s">
        <v>1899</v>
      </c>
      <c r="G353" s="130"/>
      <c r="H353" s="26"/>
      <c r="I353" s="26" t="s">
        <v>972</v>
      </c>
      <c r="J353" s="26" t="s">
        <v>1821</v>
      </c>
      <c r="K353" s="26" t="s">
        <v>1822</v>
      </c>
      <c r="L353" s="26" t="s">
        <v>1995</v>
      </c>
      <c r="M353" s="26" t="s">
        <v>1566</v>
      </c>
      <c r="N353" s="26" t="s">
        <v>1566</v>
      </c>
      <c r="O353" s="26" t="s">
        <v>1997</v>
      </c>
      <c r="P353" s="26" t="s">
        <v>661</v>
      </c>
      <c r="Q353" s="26">
        <v>6.0</v>
      </c>
    </row>
    <row r="354" ht="17.25" customHeight="1">
      <c r="A354" s="51">
        <v>46070.46272855324</v>
      </c>
      <c r="B354" s="25" t="s">
        <v>287</v>
      </c>
      <c r="C354" s="55" t="s">
        <v>1892</v>
      </c>
      <c r="D354" s="111">
        <v>46070.0</v>
      </c>
      <c r="E354" s="52">
        <v>2.0</v>
      </c>
      <c r="F354" s="37" t="s">
        <v>1899</v>
      </c>
      <c r="G354" s="130"/>
      <c r="H354" s="26"/>
      <c r="I354" s="26" t="s">
        <v>288</v>
      </c>
      <c r="J354" s="26" t="s">
        <v>1674</v>
      </c>
      <c r="K354" s="26" t="s">
        <v>1675</v>
      </c>
      <c r="L354" s="26" t="s">
        <v>1566</v>
      </c>
      <c r="M354" s="26" t="s">
        <v>1566</v>
      </c>
      <c r="N354" s="26" t="s">
        <v>1676</v>
      </c>
      <c r="O354" s="26" t="s">
        <v>1677</v>
      </c>
      <c r="P354" s="26" t="s">
        <v>290</v>
      </c>
      <c r="Q354" s="26">
        <v>16.0</v>
      </c>
    </row>
    <row r="355" ht="17.25" customHeight="1">
      <c r="A355" s="51">
        <v>46070.462874282406</v>
      </c>
      <c r="B355" s="25" t="s">
        <v>297</v>
      </c>
      <c r="C355" s="55" t="s">
        <v>1892</v>
      </c>
      <c r="D355" s="111">
        <v>46070.0</v>
      </c>
      <c r="E355" s="52">
        <v>2.0</v>
      </c>
      <c r="F355" s="37" t="s">
        <v>1899</v>
      </c>
      <c r="G355" s="130"/>
      <c r="H355" s="26"/>
      <c r="I355" s="26" t="s">
        <v>298</v>
      </c>
      <c r="J355" s="26" t="s">
        <v>1674</v>
      </c>
      <c r="K355" s="26" t="s">
        <v>1675</v>
      </c>
      <c r="L355" s="26" t="s">
        <v>1566</v>
      </c>
      <c r="M355" s="26" t="s">
        <v>1566</v>
      </c>
      <c r="N355" s="26" t="s">
        <v>1680</v>
      </c>
      <c r="O355" s="26" t="s">
        <v>1677</v>
      </c>
      <c r="P355" s="26" t="s">
        <v>290</v>
      </c>
      <c r="Q355" s="26">
        <v>10.0</v>
      </c>
    </row>
    <row r="356" ht="17.25" customHeight="1">
      <c r="A356" s="51">
        <v>46070.46294056713</v>
      </c>
      <c r="B356" s="25" t="s">
        <v>304</v>
      </c>
      <c r="C356" s="55" t="s">
        <v>1892</v>
      </c>
      <c r="D356" s="111">
        <v>46070.0</v>
      </c>
      <c r="E356" s="52">
        <v>2.0</v>
      </c>
      <c r="F356" s="37" t="s">
        <v>1899</v>
      </c>
      <c r="G356" s="130"/>
      <c r="H356" s="26"/>
      <c r="I356" s="26" t="s">
        <v>306</v>
      </c>
      <c r="J356" s="26" t="s">
        <v>1674</v>
      </c>
      <c r="K356" s="26" t="s">
        <v>1675</v>
      </c>
      <c r="L356" s="26" t="s">
        <v>1566</v>
      </c>
      <c r="M356" s="26" t="s">
        <v>1566</v>
      </c>
      <c r="N356" s="26" t="s">
        <v>1682</v>
      </c>
      <c r="O356" s="26" t="s">
        <v>1677</v>
      </c>
      <c r="P356" s="26" t="s">
        <v>290</v>
      </c>
      <c r="Q356" s="26">
        <v>6.0</v>
      </c>
    </row>
    <row r="357" ht="17.25" customHeight="1">
      <c r="A357" s="51">
        <v>46070.46343181713</v>
      </c>
      <c r="B357" s="23" t="s">
        <v>301</v>
      </c>
      <c r="C357" s="55" t="s">
        <v>1892</v>
      </c>
      <c r="D357" s="111">
        <v>46070.0</v>
      </c>
      <c r="E357" s="52">
        <v>10.0</v>
      </c>
      <c r="F357" s="37" t="s">
        <v>1899</v>
      </c>
      <c r="G357" s="130"/>
      <c r="H357" s="26"/>
      <c r="I357" s="26" t="s">
        <v>302</v>
      </c>
      <c r="J357" s="26" t="s">
        <v>1830</v>
      </c>
      <c r="K357" s="26" t="s">
        <v>302</v>
      </c>
      <c r="L357" s="26" t="s">
        <v>1566</v>
      </c>
      <c r="M357" s="26" t="s">
        <v>1566</v>
      </c>
      <c r="N357" s="26" t="s">
        <v>1566</v>
      </c>
      <c r="O357" s="26" t="s">
        <v>1566</v>
      </c>
      <c r="P357" s="26" t="s">
        <v>661</v>
      </c>
      <c r="Q357" s="26">
        <v>580.0</v>
      </c>
    </row>
    <row r="358" ht="17.25" customHeight="1">
      <c r="A358" s="51">
        <v>46070.46460465278</v>
      </c>
      <c r="B358" s="25" t="s">
        <v>523</v>
      </c>
      <c r="C358" s="55" t="s">
        <v>1892</v>
      </c>
      <c r="D358" s="111">
        <v>46070.0</v>
      </c>
      <c r="E358" s="52">
        <v>5.0</v>
      </c>
      <c r="F358" s="37" t="s">
        <v>1899</v>
      </c>
      <c r="G358" s="130"/>
      <c r="H358" s="26"/>
      <c r="I358" s="26" t="s">
        <v>528</v>
      </c>
      <c r="J358" s="26" t="s">
        <v>1812</v>
      </c>
      <c r="K358" s="26" t="s">
        <v>1815</v>
      </c>
      <c r="L358" s="26" t="s">
        <v>1566</v>
      </c>
      <c r="M358" s="26" t="s">
        <v>1566</v>
      </c>
      <c r="N358" s="26" t="s">
        <v>1566</v>
      </c>
      <c r="O358" s="26" t="s">
        <v>1837</v>
      </c>
      <c r="P358" s="26" t="s">
        <v>616</v>
      </c>
      <c r="Q358" s="26">
        <v>15.0</v>
      </c>
    </row>
    <row r="359" ht="17.25" customHeight="1">
      <c r="A359" s="51">
        <v>46070.46484689815</v>
      </c>
      <c r="B359" s="25" t="s">
        <v>598</v>
      </c>
      <c r="C359" s="55" t="s">
        <v>1892</v>
      </c>
      <c r="D359" s="111">
        <v>46070.0</v>
      </c>
      <c r="E359" s="52">
        <v>5.0</v>
      </c>
      <c r="F359" s="37" t="s">
        <v>1899</v>
      </c>
      <c r="G359" s="130"/>
      <c r="H359" s="26"/>
      <c r="I359" s="26" t="s">
        <v>604</v>
      </c>
      <c r="J359" s="26" t="s">
        <v>1812</v>
      </c>
      <c r="K359" s="26" t="s">
        <v>1815</v>
      </c>
      <c r="L359" s="26" t="s">
        <v>1566</v>
      </c>
      <c r="M359" s="26" t="s">
        <v>1566</v>
      </c>
      <c r="N359" s="26" t="s">
        <v>1566</v>
      </c>
      <c r="O359" s="26" t="s">
        <v>1812</v>
      </c>
      <c r="P359" s="26" t="s">
        <v>616</v>
      </c>
      <c r="Q359" s="26">
        <v>15.0</v>
      </c>
    </row>
    <row r="360" ht="17.25" customHeight="1">
      <c r="A360" s="51">
        <v>46070.46484689815</v>
      </c>
      <c r="B360" s="25" t="s">
        <v>994</v>
      </c>
      <c r="C360" s="55" t="s">
        <v>1892</v>
      </c>
      <c r="D360" s="111">
        <v>46070.0</v>
      </c>
      <c r="E360" s="52">
        <v>1.0</v>
      </c>
      <c r="F360" s="37" t="s">
        <v>1894</v>
      </c>
      <c r="G360" s="130"/>
      <c r="H360" s="26"/>
      <c r="I360" s="26" t="s">
        <v>995</v>
      </c>
      <c r="J360" s="26" t="s">
        <v>1807</v>
      </c>
      <c r="K360" s="26" t="s">
        <v>1889</v>
      </c>
      <c r="L360" s="26" t="s">
        <v>1566</v>
      </c>
      <c r="M360" s="26" t="s">
        <v>1566</v>
      </c>
      <c r="N360" s="26" t="s">
        <v>1566</v>
      </c>
      <c r="O360" s="26" t="s">
        <v>1566</v>
      </c>
      <c r="P360" s="26" t="s">
        <v>661</v>
      </c>
      <c r="Q360" s="26">
        <v>9.0</v>
      </c>
    </row>
    <row r="361" ht="17.25" customHeight="1">
      <c r="A361" s="51">
        <v>46070.74307091435</v>
      </c>
      <c r="B361" s="25" t="s">
        <v>175</v>
      </c>
      <c r="C361" s="55" t="s">
        <v>1892</v>
      </c>
      <c r="D361" s="111">
        <v>46070.0</v>
      </c>
      <c r="E361" s="52">
        <v>400.0</v>
      </c>
      <c r="F361" s="37" t="s">
        <v>1561</v>
      </c>
      <c r="G361" s="37">
        <v>550.0</v>
      </c>
      <c r="H361" s="26"/>
      <c r="I361" s="26" t="s">
        <v>176</v>
      </c>
      <c r="J361" s="26" t="s">
        <v>1225</v>
      </c>
      <c r="K361" s="26" t="s">
        <v>1562</v>
      </c>
      <c r="L361" s="26" t="s">
        <v>1633</v>
      </c>
      <c r="M361" s="26" t="s">
        <v>1634</v>
      </c>
      <c r="N361" s="26" t="s">
        <v>1571</v>
      </c>
      <c r="O361" s="26" t="s">
        <v>1566</v>
      </c>
      <c r="P361" s="26" t="s">
        <v>22</v>
      </c>
      <c r="Q361" s="26">
        <v>2100.0</v>
      </c>
    </row>
    <row r="362" ht="17.25" customHeight="1">
      <c r="A362" s="51">
        <v>46070.74362256944</v>
      </c>
      <c r="B362" s="25" t="s">
        <v>135</v>
      </c>
      <c r="C362" s="55" t="s">
        <v>1892</v>
      </c>
      <c r="D362" s="111">
        <v>46070.0</v>
      </c>
      <c r="E362" s="52">
        <v>600.0</v>
      </c>
      <c r="F362" s="37" t="s">
        <v>1561</v>
      </c>
      <c r="G362" s="37">
        <v>549.0</v>
      </c>
      <c r="H362" s="26"/>
      <c r="I362" s="26" t="s">
        <v>136</v>
      </c>
      <c r="J362" s="26" t="s">
        <v>1225</v>
      </c>
      <c r="K362" s="26" t="s">
        <v>1562</v>
      </c>
      <c r="L362" s="26" t="s">
        <v>1616</v>
      </c>
      <c r="M362" s="26" t="s">
        <v>1597</v>
      </c>
      <c r="N362" s="26" t="s">
        <v>1571</v>
      </c>
      <c r="O362" s="26" t="s">
        <v>1566</v>
      </c>
      <c r="P362" s="26" t="s">
        <v>22</v>
      </c>
      <c r="Q362" s="26">
        <v>600.0</v>
      </c>
    </row>
    <row r="363" ht="17.25" customHeight="1">
      <c r="A363" s="51">
        <v>46070.74424001157</v>
      </c>
      <c r="B363" s="57" t="s">
        <v>1516</v>
      </c>
      <c r="C363" s="55" t="s">
        <v>1892</v>
      </c>
      <c r="D363" s="111">
        <v>46070.0</v>
      </c>
      <c r="E363" s="52">
        <v>160.0</v>
      </c>
      <c r="F363" s="37" t="s">
        <v>1561</v>
      </c>
      <c r="G363" s="37">
        <v>548.0</v>
      </c>
      <c r="H363" s="26"/>
      <c r="I363" s="26" t="s">
        <v>1517</v>
      </c>
      <c r="J363" s="26" t="s">
        <v>1225</v>
      </c>
      <c r="K363" s="26" t="s">
        <v>1562</v>
      </c>
      <c r="L363" s="26" t="s">
        <v>1563</v>
      </c>
      <c r="M363" s="26" t="s">
        <v>1597</v>
      </c>
      <c r="N363" s="26" t="s">
        <v>1566</v>
      </c>
      <c r="O363" s="26" t="s">
        <v>1566</v>
      </c>
      <c r="P363" s="26" t="s">
        <v>22</v>
      </c>
      <c r="Q363" s="26">
        <v>1100.0</v>
      </c>
    </row>
    <row r="364" ht="17.25" customHeight="1">
      <c r="A364" s="51">
        <v>46071.43247980324</v>
      </c>
      <c r="B364" s="25" t="s">
        <v>105</v>
      </c>
      <c r="C364" s="55" t="s">
        <v>1560</v>
      </c>
      <c r="D364" s="111">
        <v>46071.0</v>
      </c>
      <c r="E364" s="52">
        <v>1300.0</v>
      </c>
      <c r="F364" s="37" t="s">
        <v>1561</v>
      </c>
      <c r="G364" s="130"/>
      <c r="H364" s="26"/>
      <c r="I364" s="26" t="s">
        <v>107</v>
      </c>
      <c r="J364" s="26" t="s">
        <v>1225</v>
      </c>
      <c r="K364" s="26" t="s">
        <v>1562</v>
      </c>
      <c r="L364" s="26" t="s">
        <v>1603</v>
      </c>
      <c r="M364" s="26" t="s">
        <v>1575</v>
      </c>
      <c r="N364" s="26" t="s">
        <v>1571</v>
      </c>
      <c r="O364" s="26" t="s">
        <v>1566</v>
      </c>
      <c r="P364" s="26" t="s">
        <v>22</v>
      </c>
      <c r="Q364" s="26">
        <v>1200.0</v>
      </c>
    </row>
    <row r="365" ht="17.25" customHeight="1">
      <c r="A365" s="51">
        <v>46071.43445659722</v>
      </c>
      <c r="B365" s="27" t="s">
        <v>1008</v>
      </c>
      <c r="C365" s="55" t="s">
        <v>1560</v>
      </c>
      <c r="D365" s="111">
        <v>46071.0</v>
      </c>
      <c r="E365" s="52">
        <v>1500.0</v>
      </c>
      <c r="F365" s="37" t="s">
        <v>1561</v>
      </c>
      <c r="G365" s="130"/>
      <c r="H365" s="26"/>
      <c r="I365" s="26" t="s">
        <v>1009</v>
      </c>
      <c r="J365" s="26" t="s">
        <v>1225</v>
      </c>
      <c r="K365" s="26" t="s">
        <v>1562</v>
      </c>
      <c r="L365" s="26" t="s">
        <v>1603</v>
      </c>
      <c r="M365" s="26" t="s">
        <v>2049</v>
      </c>
      <c r="N365" s="26" t="s">
        <v>1566</v>
      </c>
      <c r="O365" s="26" t="s">
        <v>1566</v>
      </c>
      <c r="P365" s="26" t="s">
        <v>22</v>
      </c>
      <c r="Q365" s="26">
        <v>200.0</v>
      </c>
    </row>
    <row r="366" ht="17.25" customHeight="1">
      <c r="A366" s="51">
        <v>46071.43496924768</v>
      </c>
      <c r="B366" s="25" t="s">
        <v>104</v>
      </c>
      <c r="C366" s="55" t="s">
        <v>1560</v>
      </c>
      <c r="D366" s="111">
        <v>46071.0</v>
      </c>
      <c r="E366" s="52">
        <v>2000.0</v>
      </c>
      <c r="F366" s="37" t="s">
        <v>1561</v>
      </c>
      <c r="G366" s="130"/>
      <c r="H366" s="26"/>
      <c r="I366" s="26" t="s">
        <v>106</v>
      </c>
      <c r="J366" s="26" t="s">
        <v>1225</v>
      </c>
      <c r="K366" s="26" t="s">
        <v>1562</v>
      </c>
      <c r="L366" s="26" t="s">
        <v>1582</v>
      </c>
      <c r="M366" s="26" t="s">
        <v>1607</v>
      </c>
      <c r="N366" s="26" t="s">
        <v>1571</v>
      </c>
      <c r="O366" s="26" t="s">
        <v>1566</v>
      </c>
      <c r="P366" s="26" t="s">
        <v>22</v>
      </c>
      <c r="Q366" s="26">
        <v>1000.0</v>
      </c>
    </row>
    <row r="367" ht="17.25" customHeight="1">
      <c r="A367" s="51">
        <v>46071.435993032406</v>
      </c>
      <c r="B367" s="27" t="s">
        <v>1011</v>
      </c>
      <c r="C367" s="55" t="s">
        <v>1560</v>
      </c>
      <c r="D367" s="111">
        <v>46071.0</v>
      </c>
      <c r="E367" s="52">
        <v>1000.0</v>
      </c>
      <c r="F367" s="37" t="s">
        <v>1561</v>
      </c>
      <c r="G367" s="130"/>
      <c r="H367" s="26"/>
      <c r="I367" s="26" t="s">
        <v>1012</v>
      </c>
      <c r="J367" s="26" t="s">
        <v>1225</v>
      </c>
      <c r="K367" s="26" t="s">
        <v>1562</v>
      </c>
      <c r="L367" s="26" t="s">
        <v>1582</v>
      </c>
      <c r="M367" s="26" t="s">
        <v>1575</v>
      </c>
      <c r="N367" s="26" t="s">
        <v>1566</v>
      </c>
      <c r="O367" s="26" t="s">
        <v>1566</v>
      </c>
      <c r="P367" s="26" t="s">
        <v>22</v>
      </c>
      <c r="Q367" s="26">
        <v>100.0</v>
      </c>
    </row>
    <row r="368" ht="17.25" customHeight="1">
      <c r="A368" s="51">
        <v>46071.43662432871</v>
      </c>
      <c r="B368" s="25" t="s">
        <v>33</v>
      </c>
      <c r="C368" s="55" t="s">
        <v>1560</v>
      </c>
      <c r="D368" s="111">
        <v>46071.0</v>
      </c>
      <c r="E368" s="52">
        <v>600.0</v>
      </c>
      <c r="F368" s="37" t="s">
        <v>1561</v>
      </c>
      <c r="G368" s="130"/>
      <c r="H368" s="26"/>
      <c r="I368" s="26" t="s">
        <v>35</v>
      </c>
      <c r="J368" s="26" t="s">
        <v>1225</v>
      </c>
      <c r="K368" s="26" t="s">
        <v>1562</v>
      </c>
      <c r="L368" s="26" t="s">
        <v>1573</v>
      </c>
      <c r="M368" s="26" t="s">
        <v>1575</v>
      </c>
      <c r="N368" s="26" t="s">
        <v>1566</v>
      </c>
      <c r="O368" s="26" t="s">
        <v>1566</v>
      </c>
      <c r="P368" s="26" t="s">
        <v>22</v>
      </c>
      <c r="Q368" s="26">
        <v>2600.0</v>
      </c>
    </row>
    <row r="369" ht="17.25" customHeight="1">
      <c r="A369" s="51">
        <v>46071.43840590278</v>
      </c>
      <c r="B369" s="27" t="s">
        <v>1699</v>
      </c>
      <c r="C369" s="55" t="s">
        <v>1560</v>
      </c>
      <c r="D369" s="111">
        <v>46071.0</v>
      </c>
      <c r="E369" s="52">
        <v>1200.0</v>
      </c>
      <c r="F369" s="37" t="s">
        <v>1561</v>
      </c>
      <c r="G369" s="130"/>
      <c r="H369" s="26"/>
      <c r="I369" s="26" t="s">
        <v>1700</v>
      </c>
      <c r="J369" s="26" t="s">
        <v>1225</v>
      </c>
      <c r="K369" s="26" t="s">
        <v>1562</v>
      </c>
      <c r="L369" s="26" t="s">
        <v>1600</v>
      </c>
      <c r="M369" s="26" t="s">
        <v>2049</v>
      </c>
      <c r="N369" s="26" t="s">
        <v>1566</v>
      </c>
      <c r="O369" s="26" t="s">
        <v>1566</v>
      </c>
      <c r="P369" s="26" t="s">
        <v>22</v>
      </c>
      <c r="Q369" s="26">
        <v>0.0</v>
      </c>
    </row>
    <row r="370" ht="17.25" customHeight="1">
      <c r="A370" s="51">
        <v>46071.440118391205</v>
      </c>
      <c r="B370" s="27" t="s">
        <v>1701</v>
      </c>
      <c r="C370" s="55" t="s">
        <v>1560</v>
      </c>
      <c r="D370" s="111">
        <v>46071.0</v>
      </c>
      <c r="E370" s="52">
        <v>600.0</v>
      </c>
      <c r="F370" s="37" t="s">
        <v>1561</v>
      </c>
      <c r="G370" s="130"/>
      <c r="H370" s="26"/>
      <c r="I370" s="26" t="s">
        <v>1702</v>
      </c>
      <c r="J370" s="26" t="s">
        <v>1225</v>
      </c>
      <c r="K370" s="26" t="s">
        <v>1562</v>
      </c>
      <c r="L370" s="26" t="s">
        <v>2055</v>
      </c>
      <c r="M370" s="26" t="s">
        <v>1574</v>
      </c>
      <c r="N370" s="26" t="s">
        <v>1566</v>
      </c>
      <c r="O370" s="26" t="s">
        <v>1566</v>
      </c>
      <c r="P370" s="26" t="s">
        <v>22</v>
      </c>
      <c r="Q370" s="26">
        <v>0.0</v>
      </c>
    </row>
    <row r="371" ht="17.25" customHeight="1">
      <c r="A371" s="51">
        <v>46071.49643140046</v>
      </c>
      <c r="B371" s="57" t="s">
        <v>1014</v>
      </c>
      <c r="C371" s="55" t="s">
        <v>1560</v>
      </c>
      <c r="D371" s="111">
        <v>46071.0</v>
      </c>
      <c r="E371" s="52">
        <v>2210.0</v>
      </c>
      <c r="F371" s="37" t="s">
        <v>1561</v>
      </c>
      <c r="G371" s="130"/>
      <c r="H371" s="26"/>
      <c r="I371" s="26" t="s">
        <v>1015</v>
      </c>
      <c r="J371" s="26" t="s">
        <v>1225</v>
      </c>
      <c r="K371" s="26" t="s">
        <v>1562</v>
      </c>
      <c r="L371" s="26" t="s">
        <v>1573</v>
      </c>
      <c r="M371" s="26" t="s">
        <v>2057</v>
      </c>
      <c r="N371" s="26" t="s">
        <v>1566</v>
      </c>
      <c r="O371" s="26" t="s">
        <v>1566</v>
      </c>
      <c r="P371" s="26" t="s">
        <v>22</v>
      </c>
      <c r="Q371" s="26">
        <v>835.0</v>
      </c>
    </row>
    <row r="372" ht="17.25" customHeight="1">
      <c r="A372" s="51">
        <v>46071.54667952546</v>
      </c>
      <c r="B372" s="57" t="s">
        <v>948</v>
      </c>
      <c r="C372" s="55" t="s">
        <v>1560</v>
      </c>
      <c r="D372" s="111">
        <v>46071.0</v>
      </c>
      <c r="E372" s="52">
        <v>5.0</v>
      </c>
      <c r="F372" s="37" t="s">
        <v>1673</v>
      </c>
      <c r="G372" s="130"/>
      <c r="H372" s="26"/>
      <c r="I372" s="26" t="s">
        <v>952</v>
      </c>
      <c r="J372" s="26" t="s">
        <v>1812</v>
      </c>
      <c r="K372" s="26" t="s">
        <v>1815</v>
      </c>
      <c r="L372" s="26" t="s">
        <v>1566</v>
      </c>
      <c r="M372" s="26" t="s">
        <v>1566</v>
      </c>
      <c r="N372" s="26" t="s">
        <v>1566</v>
      </c>
      <c r="O372" s="26" t="s">
        <v>2060</v>
      </c>
      <c r="P372" s="26" t="s">
        <v>616</v>
      </c>
      <c r="Q372" s="26">
        <v>5.0</v>
      </c>
    </row>
    <row r="373" ht="17.25" customHeight="1">
      <c r="A373" s="51">
        <v>46071.547274282406</v>
      </c>
      <c r="B373" s="25" t="s">
        <v>1683</v>
      </c>
      <c r="C373" s="55" t="s">
        <v>1892</v>
      </c>
      <c r="D373" s="111">
        <v>46071.0</v>
      </c>
      <c r="E373" s="52">
        <v>2.0</v>
      </c>
      <c r="F373" s="37" t="s">
        <v>2062</v>
      </c>
      <c r="G373" s="130"/>
      <c r="H373" s="26"/>
      <c r="I373" s="26" t="s">
        <v>1684</v>
      </c>
      <c r="J373" s="26" t="s">
        <v>1674</v>
      </c>
      <c r="K373" s="26" t="s">
        <v>1675</v>
      </c>
      <c r="L373" s="26" t="s">
        <v>1566</v>
      </c>
      <c r="M373" s="26" t="s">
        <v>1566</v>
      </c>
      <c r="N373" s="26" t="s">
        <v>1676</v>
      </c>
      <c r="O373" s="26" t="s">
        <v>1685</v>
      </c>
      <c r="P373" s="26" t="s">
        <v>290</v>
      </c>
      <c r="Q373" s="26">
        <v>0.0</v>
      </c>
    </row>
    <row r="374" ht="17.25" customHeight="1">
      <c r="A374" s="51">
        <v>46071.54737782407</v>
      </c>
      <c r="B374" s="25" t="s">
        <v>1686</v>
      </c>
      <c r="C374" s="55" t="s">
        <v>1892</v>
      </c>
      <c r="D374" s="111">
        <v>46071.0</v>
      </c>
      <c r="E374" s="52">
        <v>5.0</v>
      </c>
      <c r="F374" s="37" t="s">
        <v>2062</v>
      </c>
      <c r="G374" s="130"/>
      <c r="H374" s="26"/>
      <c r="I374" s="26" t="s">
        <v>1687</v>
      </c>
      <c r="J374" s="26" t="s">
        <v>1674</v>
      </c>
      <c r="K374" s="26" t="s">
        <v>1675</v>
      </c>
      <c r="L374" s="26" t="s">
        <v>1566</v>
      </c>
      <c r="M374" s="26" t="s">
        <v>1566</v>
      </c>
      <c r="N374" s="26" t="s">
        <v>1565</v>
      </c>
      <c r="O374" s="26" t="s">
        <v>1685</v>
      </c>
      <c r="P374" s="26" t="s">
        <v>290</v>
      </c>
      <c r="Q374" s="26">
        <v>0.0</v>
      </c>
    </row>
    <row r="375" ht="17.25" customHeight="1">
      <c r="A375" s="51">
        <v>46071.586902650466</v>
      </c>
      <c r="B375" s="25" t="s">
        <v>638</v>
      </c>
      <c r="C375" s="55" t="s">
        <v>1560</v>
      </c>
      <c r="D375" s="111">
        <v>46071.0</v>
      </c>
      <c r="E375" s="52">
        <v>10.0</v>
      </c>
      <c r="F375" s="37" t="s">
        <v>1673</v>
      </c>
      <c r="G375" s="130"/>
      <c r="H375" s="26"/>
      <c r="I375" s="26" t="s">
        <v>644</v>
      </c>
      <c r="J375" s="26" t="s">
        <v>1821</v>
      </c>
      <c r="K375" s="26" t="s">
        <v>1873</v>
      </c>
      <c r="L375" s="26" t="s">
        <v>1566</v>
      </c>
      <c r="M375" s="26" t="s">
        <v>1566</v>
      </c>
      <c r="N375" s="26" t="s">
        <v>1566</v>
      </c>
      <c r="O375" s="26" t="s">
        <v>1566</v>
      </c>
      <c r="P375" s="26" t="s">
        <v>290</v>
      </c>
      <c r="Q375" s="26">
        <v>9.0</v>
      </c>
    </row>
    <row r="376" ht="17.25" customHeight="1">
      <c r="A376" s="51">
        <v>46071.587120069446</v>
      </c>
      <c r="B376" s="25" t="s">
        <v>638</v>
      </c>
      <c r="C376" s="55" t="s">
        <v>1892</v>
      </c>
      <c r="D376" s="111">
        <v>46071.0</v>
      </c>
      <c r="E376" s="52">
        <v>2.0</v>
      </c>
      <c r="F376" s="37" t="s">
        <v>1892</v>
      </c>
      <c r="G376" s="130"/>
      <c r="H376" s="26"/>
      <c r="I376" s="26" t="s">
        <v>644</v>
      </c>
      <c r="J376" s="26" t="s">
        <v>1821</v>
      </c>
      <c r="K376" s="26" t="s">
        <v>1873</v>
      </c>
      <c r="L376" s="26" t="s">
        <v>1566</v>
      </c>
      <c r="M376" s="26" t="s">
        <v>1566</v>
      </c>
      <c r="N376" s="26" t="s">
        <v>1566</v>
      </c>
      <c r="O376" s="26" t="s">
        <v>1566</v>
      </c>
      <c r="P376" s="26" t="s">
        <v>290</v>
      </c>
      <c r="Q376" s="26">
        <v>9.0</v>
      </c>
    </row>
    <row r="377" ht="17.25" customHeight="1">
      <c r="A377" s="51">
        <v>46071.58752908565</v>
      </c>
      <c r="B377" s="23" t="s">
        <v>301</v>
      </c>
      <c r="C377" s="55" t="s">
        <v>1892</v>
      </c>
      <c r="D377" s="111">
        <v>46071.0</v>
      </c>
      <c r="E377" s="52">
        <v>10.0</v>
      </c>
      <c r="F377" s="37" t="s">
        <v>1894</v>
      </c>
      <c r="G377" s="130"/>
      <c r="H377" s="26"/>
      <c r="I377" s="26" t="s">
        <v>302</v>
      </c>
      <c r="J377" s="26" t="s">
        <v>1830</v>
      </c>
      <c r="K377" s="26" t="s">
        <v>302</v>
      </c>
      <c r="L377" s="26" t="s">
        <v>1566</v>
      </c>
      <c r="M377" s="26" t="s">
        <v>1566</v>
      </c>
      <c r="N377" s="26" t="s">
        <v>1566</v>
      </c>
      <c r="O377" s="26" t="s">
        <v>1566</v>
      </c>
      <c r="P377" s="26" t="s">
        <v>661</v>
      </c>
      <c r="Q377" s="26">
        <v>580.0</v>
      </c>
    </row>
    <row r="378" ht="17.25" customHeight="1">
      <c r="A378" s="51">
        <v>46071.58796260417</v>
      </c>
      <c r="B378" s="25" t="s">
        <v>994</v>
      </c>
      <c r="C378" s="55" t="s">
        <v>1892</v>
      </c>
      <c r="D378" s="111">
        <v>46071.0</v>
      </c>
      <c r="E378" s="52">
        <v>1.0</v>
      </c>
      <c r="F378" s="37" t="s">
        <v>1894</v>
      </c>
      <c r="G378" s="130"/>
      <c r="H378" s="26"/>
      <c r="I378" s="26" t="s">
        <v>995</v>
      </c>
      <c r="J378" s="26" t="s">
        <v>1807</v>
      </c>
      <c r="K378" s="26" t="s">
        <v>1889</v>
      </c>
      <c r="L378" s="26" t="s">
        <v>1566</v>
      </c>
      <c r="M378" s="26" t="s">
        <v>1566</v>
      </c>
      <c r="N378" s="26" t="s">
        <v>1566</v>
      </c>
      <c r="O378" s="26" t="s">
        <v>1566</v>
      </c>
      <c r="P378" s="26" t="s">
        <v>661</v>
      </c>
      <c r="Q378" s="26">
        <v>9.0</v>
      </c>
    </row>
    <row r="379" ht="17.25" customHeight="1">
      <c r="A379" s="51">
        <v>46071.58864076389</v>
      </c>
      <c r="B379" s="27" t="s">
        <v>1018</v>
      </c>
      <c r="C379" s="55" t="s">
        <v>1560</v>
      </c>
      <c r="D379" s="111">
        <v>46071.0</v>
      </c>
      <c r="E379" s="52">
        <v>7.0</v>
      </c>
      <c r="F379" s="37" t="s">
        <v>1673</v>
      </c>
      <c r="G379" s="130"/>
      <c r="H379" s="26"/>
      <c r="I379" s="26" t="s">
        <v>1019</v>
      </c>
      <c r="J379" s="26" t="s">
        <v>1830</v>
      </c>
      <c r="K379" s="26" t="s">
        <v>1830</v>
      </c>
      <c r="L379" s="26" t="s">
        <v>1566</v>
      </c>
      <c r="M379" s="26" t="s">
        <v>1566</v>
      </c>
      <c r="N379" s="26" t="s">
        <v>1566</v>
      </c>
      <c r="O379" s="26" t="s">
        <v>1566</v>
      </c>
      <c r="P379" s="26" t="s">
        <v>661</v>
      </c>
      <c r="Q379" s="26">
        <v>6.0</v>
      </c>
    </row>
    <row r="380" ht="17.25" customHeight="1">
      <c r="A380" s="51">
        <v>46071.58885601852</v>
      </c>
      <c r="B380" s="27" t="s">
        <v>1018</v>
      </c>
      <c r="C380" s="55" t="s">
        <v>1892</v>
      </c>
      <c r="D380" s="111">
        <v>46071.0</v>
      </c>
      <c r="E380" s="52">
        <v>1.0</v>
      </c>
      <c r="F380" s="37" t="s">
        <v>1561</v>
      </c>
      <c r="G380" s="130"/>
      <c r="H380" s="26"/>
      <c r="I380" s="26" t="s">
        <v>1019</v>
      </c>
      <c r="J380" s="26" t="s">
        <v>1830</v>
      </c>
      <c r="K380" s="26" t="s">
        <v>1830</v>
      </c>
      <c r="L380" s="26" t="s">
        <v>1566</v>
      </c>
      <c r="M380" s="26" t="s">
        <v>1566</v>
      </c>
      <c r="N380" s="26" t="s">
        <v>1566</v>
      </c>
      <c r="O380" s="26" t="s">
        <v>1566</v>
      </c>
      <c r="P380" s="26" t="s">
        <v>661</v>
      </c>
      <c r="Q380" s="26">
        <v>6.0</v>
      </c>
    </row>
    <row r="381" ht="17.25" customHeight="1">
      <c r="A381" s="51">
        <v>46071.59111925926</v>
      </c>
      <c r="B381" s="57" t="s">
        <v>297</v>
      </c>
      <c r="C381" s="55" t="s">
        <v>1892</v>
      </c>
      <c r="D381" s="111">
        <v>46071.0</v>
      </c>
      <c r="E381" s="52">
        <v>2.0</v>
      </c>
      <c r="F381" s="37" t="s">
        <v>1899</v>
      </c>
      <c r="G381" s="130"/>
      <c r="H381" s="26"/>
      <c r="I381" s="26" t="s">
        <v>298</v>
      </c>
      <c r="J381" s="26" t="s">
        <v>1674</v>
      </c>
      <c r="K381" s="26" t="s">
        <v>1675</v>
      </c>
      <c r="L381" s="26" t="s">
        <v>1566</v>
      </c>
      <c r="M381" s="26" t="s">
        <v>1566</v>
      </c>
      <c r="N381" s="26" t="s">
        <v>1680</v>
      </c>
      <c r="O381" s="26" t="s">
        <v>1677</v>
      </c>
      <c r="P381" s="26" t="s">
        <v>290</v>
      </c>
      <c r="Q381" s="26">
        <v>10.0</v>
      </c>
    </row>
    <row r="382" ht="17.25" customHeight="1">
      <c r="A382" s="51">
        <v>46071.591412361115</v>
      </c>
      <c r="B382" s="57" t="s">
        <v>948</v>
      </c>
      <c r="C382" s="55" t="s">
        <v>1892</v>
      </c>
      <c r="D382" s="111">
        <v>46071.0</v>
      </c>
      <c r="E382" s="52">
        <v>5.0</v>
      </c>
      <c r="F382" s="37" t="s">
        <v>1899</v>
      </c>
      <c r="G382" s="130"/>
      <c r="H382" s="26"/>
      <c r="I382" s="26" t="s">
        <v>952</v>
      </c>
      <c r="J382" s="26" t="s">
        <v>1812</v>
      </c>
      <c r="K382" s="26" t="s">
        <v>1815</v>
      </c>
      <c r="L382" s="26" t="s">
        <v>1566</v>
      </c>
      <c r="M382" s="26" t="s">
        <v>1566</v>
      </c>
      <c r="N382" s="26" t="s">
        <v>1566</v>
      </c>
      <c r="O382" s="26" t="s">
        <v>2060</v>
      </c>
      <c r="P382" s="26" t="s">
        <v>616</v>
      </c>
      <c r="Q382" s="26">
        <v>5.0</v>
      </c>
    </row>
    <row r="383" ht="17.25" customHeight="1">
      <c r="A383" s="51">
        <v>46071.5921474537</v>
      </c>
      <c r="B383" s="25" t="s">
        <v>437</v>
      </c>
      <c r="C383" s="55" t="s">
        <v>1560</v>
      </c>
      <c r="D383" s="111">
        <v>46071.0</v>
      </c>
      <c r="E383" s="52">
        <v>10.0</v>
      </c>
      <c r="F383" s="37" t="s">
        <v>2015</v>
      </c>
      <c r="G383" s="130"/>
      <c r="H383" s="26"/>
      <c r="I383" s="26" t="s">
        <v>438</v>
      </c>
      <c r="J383" s="26" t="s">
        <v>1674</v>
      </c>
      <c r="K383" s="26" t="s">
        <v>1691</v>
      </c>
      <c r="L383" s="26" t="s">
        <v>1566</v>
      </c>
      <c r="M383" s="26" t="s">
        <v>1566</v>
      </c>
      <c r="N383" s="26" t="s">
        <v>1721</v>
      </c>
      <c r="O383" s="26" t="s">
        <v>1677</v>
      </c>
      <c r="P383" s="26" t="s">
        <v>290</v>
      </c>
      <c r="Q383" s="26">
        <v>5.0</v>
      </c>
    </row>
    <row r="384" ht="17.25" customHeight="1">
      <c r="A384" s="51">
        <v>46071.59245172454</v>
      </c>
      <c r="B384" s="25" t="s">
        <v>638</v>
      </c>
      <c r="C384" s="55" t="s">
        <v>1892</v>
      </c>
      <c r="D384" s="111">
        <v>46071.0</v>
      </c>
      <c r="E384" s="52">
        <v>1.0</v>
      </c>
      <c r="F384" s="37" t="s">
        <v>1908</v>
      </c>
      <c r="G384" s="130"/>
      <c r="H384" s="26"/>
      <c r="I384" s="26" t="s">
        <v>644</v>
      </c>
      <c r="J384" s="26" t="s">
        <v>1821</v>
      </c>
      <c r="K384" s="26" t="s">
        <v>1873</v>
      </c>
      <c r="L384" s="26" t="s">
        <v>1566</v>
      </c>
      <c r="M384" s="26" t="s">
        <v>1566</v>
      </c>
      <c r="N384" s="26" t="s">
        <v>1566</v>
      </c>
      <c r="O384" s="26" t="s">
        <v>1566</v>
      </c>
      <c r="P384" s="26" t="s">
        <v>290</v>
      </c>
      <c r="Q384" s="26">
        <v>9.0</v>
      </c>
    </row>
    <row r="385" ht="17.25" customHeight="1">
      <c r="A385" s="51">
        <v>46071.615973657405</v>
      </c>
      <c r="B385" s="25" t="s">
        <v>175</v>
      </c>
      <c r="C385" s="55" t="s">
        <v>1892</v>
      </c>
      <c r="D385" s="111">
        <v>46071.0</v>
      </c>
      <c r="E385" s="52">
        <v>900.0</v>
      </c>
      <c r="F385" s="37" t="s">
        <v>1561</v>
      </c>
      <c r="G385" s="37">
        <v>552.0</v>
      </c>
      <c r="H385" s="26"/>
      <c r="I385" s="26" t="s">
        <v>176</v>
      </c>
      <c r="J385" s="26" t="s">
        <v>1225</v>
      </c>
      <c r="K385" s="26" t="s">
        <v>1562</v>
      </c>
      <c r="L385" s="26" t="s">
        <v>1633</v>
      </c>
      <c r="M385" s="26" t="s">
        <v>1634</v>
      </c>
      <c r="N385" s="26" t="s">
        <v>1571</v>
      </c>
      <c r="O385" s="26" t="s">
        <v>1566</v>
      </c>
      <c r="P385" s="26" t="s">
        <v>22</v>
      </c>
      <c r="Q385" s="26">
        <v>2100.0</v>
      </c>
    </row>
    <row r="386" ht="17.25" customHeight="1">
      <c r="A386" s="51">
        <v>46071.61781778935</v>
      </c>
      <c r="B386" s="25" t="s">
        <v>105</v>
      </c>
      <c r="C386" s="55" t="s">
        <v>1892</v>
      </c>
      <c r="D386" s="111">
        <v>46071.0</v>
      </c>
      <c r="E386" s="52">
        <v>800.0</v>
      </c>
      <c r="F386" s="37" t="s">
        <v>1561</v>
      </c>
      <c r="G386" s="37">
        <v>553.0</v>
      </c>
      <c r="H386" s="26"/>
      <c r="I386" s="26" t="s">
        <v>107</v>
      </c>
      <c r="J386" s="26" t="s">
        <v>1225</v>
      </c>
      <c r="K386" s="26" t="s">
        <v>1562</v>
      </c>
      <c r="L386" s="26" t="s">
        <v>1603</v>
      </c>
      <c r="M386" s="26" t="s">
        <v>1575</v>
      </c>
      <c r="N386" s="26" t="s">
        <v>1571</v>
      </c>
      <c r="O386" s="26" t="s">
        <v>1566</v>
      </c>
      <c r="P386" s="26" t="s">
        <v>22</v>
      </c>
      <c r="Q386" s="26">
        <v>1200.0</v>
      </c>
    </row>
    <row r="387" ht="17.25" customHeight="1">
      <c r="A387" s="51">
        <v>46071.61954668981</v>
      </c>
      <c r="B387" s="27" t="s">
        <v>1701</v>
      </c>
      <c r="C387" s="55" t="s">
        <v>1892</v>
      </c>
      <c r="D387" s="111">
        <v>46071.0</v>
      </c>
      <c r="E387" s="52">
        <v>600.0</v>
      </c>
      <c r="F387" s="37" t="s">
        <v>1561</v>
      </c>
      <c r="G387" s="37">
        <v>555.0</v>
      </c>
      <c r="H387" s="26"/>
      <c r="I387" s="26" t="s">
        <v>1702</v>
      </c>
      <c r="J387" s="26" t="s">
        <v>1225</v>
      </c>
      <c r="K387" s="26" t="s">
        <v>1562</v>
      </c>
      <c r="L387" s="26" t="s">
        <v>2055</v>
      </c>
      <c r="M387" s="26" t="s">
        <v>1574</v>
      </c>
      <c r="N387" s="26" t="s">
        <v>1566</v>
      </c>
      <c r="O387" s="26" t="s">
        <v>1566</v>
      </c>
      <c r="P387" s="26" t="s">
        <v>22</v>
      </c>
      <c r="Q387" s="26">
        <v>0.0</v>
      </c>
    </row>
    <row r="388" ht="17.25" customHeight="1">
      <c r="A388" s="51">
        <v>46071.6318108912</v>
      </c>
      <c r="B388" s="57" t="s">
        <v>1923</v>
      </c>
      <c r="C388" s="55" t="s">
        <v>1560</v>
      </c>
      <c r="D388" s="111">
        <v>46070.0</v>
      </c>
      <c r="E388" s="52">
        <v>2750.0</v>
      </c>
      <c r="F388" s="37" t="s">
        <v>1561</v>
      </c>
      <c r="G388" s="130"/>
      <c r="H388" s="26"/>
      <c r="I388" s="26" t="s">
        <v>794</v>
      </c>
      <c r="J388" s="26" t="s">
        <v>1225</v>
      </c>
      <c r="K388" s="26" t="s">
        <v>1646</v>
      </c>
      <c r="L388" s="26" t="s">
        <v>1576</v>
      </c>
      <c r="M388" s="26" t="s">
        <v>1645</v>
      </c>
      <c r="N388" s="26" t="s">
        <v>1566</v>
      </c>
      <c r="O388" s="26" t="s">
        <v>1566</v>
      </c>
      <c r="P388" s="26" t="s">
        <v>22</v>
      </c>
      <c r="Q388" s="26">
        <v>0.0</v>
      </c>
    </row>
    <row r="389" ht="17.25" customHeight="1">
      <c r="A389" s="51">
        <v>46071.63208577546</v>
      </c>
      <c r="B389" s="57" t="s">
        <v>1923</v>
      </c>
      <c r="C389" s="55" t="s">
        <v>1892</v>
      </c>
      <c r="D389" s="111">
        <v>46071.0</v>
      </c>
      <c r="E389" s="52">
        <v>2750.0</v>
      </c>
      <c r="F389" s="37" t="s">
        <v>1561</v>
      </c>
      <c r="G389" s="37">
        <v>551.0</v>
      </c>
      <c r="H389" s="26"/>
      <c r="I389" s="26" t="s">
        <v>794</v>
      </c>
      <c r="J389" s="26" t="s">
        <v>1225</v>
      </c>
      <c r="K389" s="26" t="s">
        <v>1646</v>
      </c>
      <c r="L389" s="26" t="s">
        <v>1576</v>
      </c>
      <c r="M389" s="26" t="s">
        <v>1645</v>
      </c>
      <c r="N389" s="26" t="s">
        <v>1566</v>
      </c>
      <c r="O389" s="26" t="s">
        <v>1566</v>
      </c>
      <c r="P389" s="26" t="s">
        <v>22</v>
      </c>
      <c r="Q389" s="26">
        <v>0.0</v>
      </c>
    </row>
    <row r="390" ht="17.25" customHeight="1">
      <c r="A390" s="51">
        <v>46071.71063677083</v>
      </c>
      <c r="B390" s="25" t="s">
        <v>913</v>
      </c>
      <c r="C390" s="55" t="s">
        <v>1892</v>
      </c>
      <c r="D390" s="111">
        <v>46071.0</v>
      </c>
      <c r="E390" s="52">
        <v>200.0</v>
      </c>
      <c r="F390" s="37" t="s">
        <v>1561</v>
      </c>
      <c r="G390" s="37">
        <v>554.0</v>
      </c>
      <c r="H390" s="26"/>
      <c r="I390" s="26" t="s">
        <v>915</v>
      </c>
      <c r="J390" s="26" t="s">
        <v>1225</v>
      </c>
      <c r="K390" s="26" t="s">
        <v>1562</v>
      </c>
      <c r="L390" s="26" t="s">
        <v>1633</v>
      </c>
      <c r="M390" s="26" t="s">
        <v>1564</v>
      </c>
      <c r="N390" s="26" t="s">
        <v>1571</v>
      </c>
      <c r="O390" s="26" t="s">
        <v>1566</v>
      </c>
      <c r="P390" s="26" t="s">
        <v>22</v>
      </c>
      <c r="Q390" s="26">
        <v>0.0</v>
      </c>
    </row>
    <row r="391" ht="17.25" customHeight="1">
      <c r="A391" s="51">
        <v>46071.71122702546</v>
      </c>
      <c r="B391" s="23" t="s">
        <v>301</v>
      </c>
      <c r="C391" s="55" t="s">
        <v>1892</v>
      </c>
      <c r="D391" s="111">
        <v>46071.0</v>
      </c>
      <c r="E391" s="52">
        <v>10.0</v>
      </c>
      <c r="F391" s="37" t="s">
        <v>2026</v>
      </c>
      <c r="G391" s="130"/>
      <c r="H391" s="26"/>
      <c r="I391" s="26" t="s">
        <v>302</v>
      </c>
      <c r="J391" s="26" t="s">
        <v>1830</v>
      </c>
      <c r="K391" s="26" t="s">
        <v>302</v>
      </c>
      <c r="L391" s="26" t="s">
        <v>1566</v>
      </c>
      <c r="M391" s="26" t="s">
        <v>1566</v>
      </c>
      <c r="N391" s="26" t="s">
        <v>1566</v>
      </c>
      <c r="O391" s="26" t="s">
        <v>1566</v>
      </c>
      <c r="P391" s="26" t="s">
        <v>661</v>
      </c>
      <c r="Q391" s="26">
        <v>580.0</v>
      </c>
    </row>
    <row r="392" ht="17.25" customHeight="1">
      <c r="A392" s="51">
        <v>46072.40981496528</v>
      </c>
      <c r="B392" s="25" t="s">
        <v>842</v>
      </c>
      <c r="C392" s="55" t="s">
        <v>1892</v>
      </c>
      <c r="D392" s="111">
        <v>46071.0</v>
      </c>
      <c r="E392" s="52">
        <v>1.0</v>
      </c>
      <c r="F392" s="37" t="s">
        <v>1844</v>
      </c>
      <c r="G392" s="130"/>
      <c r="H392" s="26"/>
      <c r="I392" s="26" t="s">
        <v>843</v>
      </c>
      <c r="J392" s="26" t="s">
        <v>1844</v>
      </c>
      <c r="K392" s="26" t="s">
        <v>1846</v>
      </c>
      <c r="L392" s="26" t="s">
        <v>1850</v>
      </c>
      <c r="M392" s="26" t="s">
        <v>1566</v>
      </c>
      <c r="N392" s="26" t="s">
        <v>1566</v>
      </c>
      <c r="O392" s="26" t="s">
        <v>1848</v>
      </c>
      <c r="P392" s="26" t="s">
        <v>661</v>
      </c>
      <c r="Q392" s="26">
        <v>1.0</v>
      </c>
    </row>
    <row r="393" ht="17.25" customHeight="1">
      <c r="A393" s="51">
        <v>46072.41116962963</v>
      </c>
      <c r="B393" s="25" t="s">
        <v>998</v>
      </c>
      <c r="C393" s="55" t="s">
        <v>1892</v>
      </c>
      <c r="D393" s="111">
        <v>46071.0</v>
      </c>
      <c r="E393" s="52">
        <v>1.0</v>
      </c>
      <c r="F393" s="37" t="s">
        <v>1844</v>
      </c>
      <c r="G393" s="130"/>
      <c r="H393" s="26"/>
      <c r="I393" s="26" t="s">
        <v>999</v>
      </c>
      <c r="J393" s="26" t="s">
        <v>1844</v>
      </c>
      <c r="K393" s="26" t="s">
        <v>1846</v>
      </c>
      <c r="L393" s="26" t="s">
        <v>2038</v>
      </c>
      <c r="M393" s="26" t="s">
        <v>1566</v>
      </c>
      <c r="N393" s="26" t="s">
        <v>1566</v>
      </c>
      <c r="O393" s="26" t="s">
        <v>1566</v>
      </c>
      <c r="P393" s="26" t="s">
        <v>661</v>
      </c>
      <c r="Q393" s="26">
        <v>1.0</v>
      </c>
    </row>
    <row r="394" ht="17.25" customHeight="1">
      <c r="A394" s="51">
        <v>46072.411528553246</v>
      </c>
      <c r="B394" s="25" t="s">
        <v>1867</v>
      </c>
      <c r="C394" s="55" t="s">
        <v>1892</v>
      </c>
      <c r="D394" s="111">
        <v>46071.0</v>
      </c>
      <c r="E394" s="52">
        <v>1.0</v>
      </c>
      <c r="F394" s="37" t="s">
        <v>1844</v>
      </c>
      <c r="G394" s="130"/>
      <c r="H394" s="26"/>
      <c r="I394" s="26" t="s">
        <v>1868</v>
      </c>
      <c r="J394" s="26" t="s">
        <v>1844</v>
      </c>
      <c r="K394" s="26" t="s">
        <v>1846</v>
      </c>
      <c r="L394" s="26" t="s">
        <v>1869</v>
      </c>
      <c r="M394" s="26" t="s">
        <v>1566</v>
      </c>
      <c r="N394" s="26" t="s">
        <v>1566</v>
      </c>
      <c r="O394" s="26" t="s">
        <v>1808</v>
      </c>
      <c r="P394" s="26" t="s">
        <v>661</v>
      </c>
      <c r="Q394" s="26">
        <v>0.0</v>
      </c>
    </row>
    <row r="395" ht="17.25" customHeight="1">
      <c r="A395" s="51">
        <v>46072.43548208333</v>
      </c>
      <c r="B395" s="25" t="s">
        <v>994</v>
      </c>
      <c r="C395" s="55" t="s">
        <v>1892</v>
      </c>
      <c r="D395" s="111">
        <v>46072.0</v>
      </c>
      <c r="E395" s="52">
        <v>1.0</v>
      </c>
      <c r="F395" s="37" t="s">
        <v>1894</v>
      </c>
      <c r="G395" s="130"/>
      <c r="H395" s="26"/>
      <c r="I395" s="26" t="s">
        <v>995</v>
      </c>
      <c r="J395" s="26" t="s">
        <v>1807</v>
      </c>
      <c r="K395" s="26" t="s">
        <v>1889</v>
      </c>
      <c r="L395" s="26" t="s">
        <v>1566</v>
      </c>
      <c r="M395" s="26" t="s">
        <v>1566</v>
      </c>
      <c r="N395" s="26" t="s">
        <v>1566</v>
      </c>
      <c r="O395" s="26" t="s">
        <v>1566</v>
      </c>
      <c r="P395" s="26" t="s">
        <v>661</v>
      </c>
      <c r="Q395" s="26">
        <v>9.0</v>
      </c>
    </row>
    <row r="396" ht="17.25" customHeight="1">
      <c r="A396" s="51">
        <v>46072.43575954861</v>
      </c>
      <c r="B396" s="23" t="s">
        <v>301</v>
      </c>
      <c r="C396" s="55" t="s">
        <v>1892</v>
      </c>
      <c r="D396" s="111">
        <v>46072.0</v>
      </c>
      <c r="E396" s="52">
        <v>10.0</v>
      </c>
      <c r="F396" s="37" t="s">
        <v>1894</v>
      </c>
      <c r="G396" s="130"/>
      <c r="H396" s="26"/>
      <c r="I396" s="26" t="s">
        <v>302</v>
      </c>
      <c r="J396" s="26" t="s">
        <v>1830</v>
      </c>
      <c r="K396" s="26" t="s">
        <v>302</v>
      </c>
      <c r="L396" s="26" t="s">
        <v>1566</v>
      </c>
      <c r="M396" s="26" t="s">
        <v>1566</v>
      </c>
      <c r="N396" s="26" t="s">
        <v>1566</v>
      </c>
      <c r="O396" s="26" t="s">
        <v>1566</v>
      </c>
      <c r="P396" s="26" t="s">
        <v>661</v>
      </c>
      <c r="Q396" s="26">
        <v>580.0</v>
      </c>
    </row>
    <row r="397" ht="17.25" customHeight="1">
      <c r="A397" s="51">
        <v>46072.43655520833</v>
      </c>
      <c r="B397" s="27" t="s">
        <v>1021</v>
      </c>
      <c r="C397" s="55" t="s">
        <v>1560</v>
      </c>
      <c r="D397" s="111">
        <v>46072.0</v>
      </c>
      <c r="E397" s="52">
        <v>4.0</v>
      </c>
      <c r="F397" s="37" t="s">
        <v>1673</v>
      </c>
      <c r="G397" s="130"/>
      <c r="H397" s="26"/>
      <c r="I397" s="26" t="s">
        <v>1022</v>
      </c>
      <c r="J397" s="26" t="s">
        <v>1807</v>
      </c>
      <c r="K397" s="26" t="s">
        <v>1889</v>
      </c>
      <c r="L397" s="26" t="s">
        <v>1566</v>
      </c>
      <c r="M397" s="26" t="s">
        <v>1566</v>
      </c>
      <c r="N397" s="26" t="s">
        <v>1876</v>
      </c>
      <c r="O397" s="26" t="s">
        <v>1566</v>
      </c>
      <c r="P397" s="26" t="s">
        <v>661</v>
      </c>
      <c r="Q397" s="26">
        <v>9.0</v>
      </c>
    </row>
    <row r="398" ht="17.25" customHeight="1">
      <c r="A398" s="51">
        <v>46072.59897160879</v>
      </c>
      <c r="B398" s="25" t="s">
        <v>312</v>
      </c>
      <c r="C398" s="55" t="s">
        <v>1892</v>
      </c>
      <c r="D398" s="111">
        <v>46072.0</v>
      </c>
      <c r="E398" s="52">
        <v>3.0</v>
      </c>
      <c r="F398" s="37" t="s">
        <v>2067</v>
      </c>
      <c r="G398" s="130"/>
      <c r="H398" s="26"/>
      <c r="I398" s="26" t="s">
        <v>319</v>
      </c>
      <c r="J398" s="26" t="s">
        <v>1821</v>
      </c>
      <c r="K398" s="26" t="s">
        <v>1822</v>
      </c>
      <c r="L398" s="26" t="s">
        <v>1566</v>
      </c>
      <c r="M398" s="26" t="s">
        <v>1566</v>
      </c>
      <c r="N398" s="26" t="s">
        <v>1566</v>
      </c>
      <c r="O398" s="26" t="s">
        <v>1829</v>
      </c>
      <c r="P398" s="26" t="s">
        <v>661</v>
      </c>
      <c r="Q398" s="26">
        <v>17.0</v>
      </c>
    </row>
    <row r="399" ht="17.25" customHeight="1">
      <c r="A399" s="51">
        <v>46072.72733403935</v>
      </c>
      <c r="B399" s="25" t="s">
        <v>1782</v>
      </c>
      <c r="C399" s="55" t="s">
        <v>1892</v>
      </c>
      <c r="D399" s="111">
        <v>46072.0</v>
      </c>
      <c r="E399" s="52">
        <v>500.0</v>
      </c>
      <c r="F399" s="37" t="s">
        <v>1561</v>
      </c>
      <c r="G399" s="37">
        <v>560.0</v>
      </c>
      <c r="H399" s="26"/>
      <c r="I399" s="26" t="s">
        <v>1783</v>
      </c>
      <c r="J399" s="26" t="s">
        <v>1225</v>
      </c>
      <c r="K399" s="26" t="s">
        <v>1640</v>
      </c>
      <c r="L399" s="26" t="s">
        <v>1576</v>
      </c>
      <c r="M399" s="26" t="s">
        <v>1572</v>
      </c>
      <c r="N399" s="26" t="s">
        <v>1566</v>
      </c>
      <c r="O399" s="26" t="s">
        <v>1566</v>
      </c>
      <c r="P399" s="26" t="s">
        <v>22</v>
      </c>
      <c r="Q399" s="26">
        <v>0.0</v>
      </c>
    </row>
    <row r="400" ht="17.25" customHeight="1">
      <c r="A400" s="51">
        <v>46072.72987188658</v>
      </c>
      <c r="B400" s="25" t="s">
        <v>1008</v>
      </c>
      <c r="C400" s="55" t="s">
        <v>1892</v>
      </c>
      <c r="D400" s="111">
        <v>46072.0</v>
      </c>
      <c r="E400" s="52">
        <v>600.0</v>
      </c>
      <c r="F400" s="37" t="s">
        <v>1561</v>
      </c>
      <c r="G400" s="37">
        <v>556.0</v>
      </c>
      <c r="H400" s="26"/>
      <c r="I400" s="26" t="s">
        <v>1009</v>
      </c>
      <c r="J400" s="26" t="s">
        <v>1225</v>
      </c>
      <c r="K400" s="26" t="s">
        <v>1562</v>
      </c>
      <c r="L400" s="26" t="s">
        <v>1603</v>
      </c>
      <c r="M400" s="26" t="s">
        <v>2049</v>
      </c>
      <c r="N400" s="26" t="s">
        <v>1566</v>
      </c>
      <c r="O400" s="26" t="s">
        <v>1566</v>
      </c>
      <c r="P400" s="26" t="s">
        <v>22</v>
      </c>
      <c r="Q400" s="26">
        <v>200.0</v>
      </c>
    </row>
    <row r="401" ht="17.25" customHeight="1">
      <c r="A401" s="51">
        <v>46072.72987002315</v>
      </c>
      <c r="B401" s="25" t="s">
        <v>1008</v>
      </c>
      <c r="C401" s="55" t="s">
        <v>1892</v>
      </c>
      <c r="D401" s="111">
        <v>46072.0</v>
      </c>
      <c r="E401" s="52">
        <v>600.0</v>
      </c>
      <c r="F401" s="37" t="s">
        <v>1561</v>
      </c>
      <c r="G401" s="37">
        <v>558.0</v>
      </c>
      <c r="H401" s="26"/>
      <c r="I401" s="26" t="s">
        <v>1009</v>
      </c>
      <c r="J401" s="26" t="s">
        <v>1225</v>
      </c>
      <c r="K401" s="26" t="s">
        <v>1562</v>
      </c>
      <c r="L401" s="26" t="s">
        <v>1603</v>
      </c>
      <c r="M401" s="26" t="s">
        <v>2049</v>
      </c>
      <c r="N401" s="26" t="s">
        <v>1566</v>
      </c>
      <c r="O401" s="26" t="s">
        <v>1566</v>
      </c>
      <c r="P401" s="26" t="s">
        <v>22</v>
      </c>
      <c r="Q401" s="26">
        <v>200.0</v>
      </c>
    </row>
    <row r="402" ht="17.25" customHeight="1">
      <c r="A402" s="51">
        <v>46072.731164282406</v>
      </c>
      <c r="B402" s="25" t="s">
        <v>41</v>
      </c>
      <c r="C402" s="55" t="s">
        <v>1892</v>
      </c>
      <c r="D402" s="111">
        <v>46072.0</v>
      </c>
      <c r="E402" s="52">
        <v>400.0</v>
      </c>
      <c r="F402" s="37" t="s">
        <v>1561</v>
      </c>
      <c r="G402" s="37">
        <v>559.0</v>
      </c>
      <c r="H402" s="26"/>
      <c r="I402" s="26" t="s">
        <v>42</v>
      </c>
      <c r="J402" s="26" t="s">
        <v>1225</v>
      </c>
      <c r="K402" s="26" t="s">
        <v>1562</v>
      </c>
      <c r="L402" s="26" t="s">
        <v>1576</v>
      </c>
      <c r="M402" s="26" t="s">
        <v>1575</v>
      </c>
      <c r="N402" s="26" t="s">
        <v>1571</v>
      </c>
      <c r="O402" s="26" t="s">
        <v>1566</v>
      </c>
      <c r="P402" s="26" t="s">
        <v>22</v>
      </c>
      <c r="Q402" s="26">
        <v>200.0</v>
      </c>
    </row>
    <row r="403" ht="17.25" customHeight="1">
      <c r="A403" s="51">
        <v>46072.73257431713</v>
      </c>
      <c r="B403" s="25" t="s">
        <v>546</v>
      </c>
      <c r="C403" s="55" t="s">
        <v>1892</v>
      </c>
      <c r="D403" s="111">
        <v>46072.0</v>
      </c>
      <c r="E403" s="52">
        <v>900.0</v>
      </c>
      <c r="F403" s="37" t="s">
        <v>1561</v>
      </c>
      <c r="G403" s="37">
        <v>562.0</v>
      </c>
      <c r="H403" s="26"/>
      <c r="I403" s="26" t="s">
        <v>547</v>
      </c>
      <c r="J403" s="26" t="s">
        <v>1225</v>
      </c>
      <c r="K403" s="26" t="s">
        <v>1562</v>
      </c>
      <c r="L403" s="26" t="s">
        <v>1619</v>
      </c>
      <c r="M403" s="26" t="s">
        <v>1564</v>
      </c>
      <c r="N403" s="26" t="s">
        <v>1571</v>
      </c>
      <c r="O403" s="26" t="s">
        <v>1566</v>
      </c>
      <c r="P403" s="26" t="s">
        <v>22</v>
      </c>
      <c r="Q403" s="26">
        <v>2400.0</v>
      </c>
    </row>
    <row r="404" ht="17.25" customHeight="1">
      <c r="A404" s="51">
        <v>46072.73340960648</v>
      </c>
      <c r="B404" s="25" t="s">
        <v>1011</v>
      </c>
      <c r="C404" s="55" t="s">
        <v>1892</v>
      </c>
      <c r="D404" s="111">
        <v>46072.0</v>
      </c>
      <c r="E404" s="52">
        <v>800.0</v>
      </c>
      <c r="F404" s="37" t="s">
        <v>1561</v>
      </c>
      <c r="G404" s="37">
        <v>563.0</v>
      </c>
      <c r="H404" s="26"/>
      <c r="I404" s="26" t="s">
        <v>1012</v>
      </c>
      <c r="J404" s="26" t="s">
        <v>1225</v>
      </c>
      <c r="K404" s="26" t="s">
        <v>1562</v>
      </c>
      <c r="L404" s="26" t="s">
        <v>1582</v>
      </c>
      <c r="M404" s="26" t="s">
        <v>1575</v>
      </c>
      <c r="N404" s="26" t="s">
        <v>1566</v>
      </c>
      <c r="O404" s="26" t="s">
        <v>1566</v>
      </c>
      <c r="P404" s="26" t="s">
        <v>22</v>
      </c>
      <c r="Q404" s="26">
        <v>100.0</v>
      </c>
    </row>
    <row r="405" ht="17.25" customHeight="1">
      <c r="A405" s="51">
        <v>46072.73529886574</v>
      </c>
      <c r="B405" s="57" t="s">
        <v>1024</v>
      </c>
      <c r="C405" s="55" t="s">
        <v>1560</v>
      </c>
      <c r="D405" s="111">
        <v>46072.0</v>
      </c>
      <c r="E405" s="52">
        <v>1296.0</v>
      </c>
      <c r="F405" s="37" t="s">
        <v>1561</v>
      </c>
      <c r="G405" s="37" t="s">
        <v>2068</v>
      </c>
      <c r="H405" s="26"/>
      <c r="I405" s="26" t="s">
        <v>1025</v>
      </c>
      <c r="J405" s="26" t="s">
        <v>1225</v>
      </c>
      <c r="K405" s="26" t="s">
        <v>1653</v>
      </c>
      <c r="L405" s="26" t="s">
        <v>1603</v>
      </c>
      <c r="M405" s="26" t="s">
        <v>1662</v>
      </c>
      <c r="N405" s="26" t="s">
        <v>1566</v>
      </c>
      <c r="O405" s="26" t="s">
        <v>1654</v>
      </c>
      <c r="P405" s="26" t="s">
        <v>22</v>
      </c>
      <c r="Q405" s="26">
        <v>1296.0</v>
      </c>
    </row>
    <row r="406" ht="17.25" customHeight="1">
      <c r="A406" s="51">
        <v>46072.73662038194</v>
      </c>
      <c r="B406" s="25" t="s">
        <v>179</v>
      </c>
      <c r="C406" s="55" t="s">
        <v>1560</v>
      </c>
      <c r="D406" s="111">
        <v>46072.0</v>
      </c>
      <c r="E406" s="165">
        <v>864.0</v>
      </c>
      <c r="F406" s="37" t="s">
        <v>1561</v>
      </c>
      <c r="G406" s="37" t="s">
        <v>2069</v>
      </c>
      <c r="H406" s="26"/>
      <c r="I406" s="26" t="s">
        <v>180</v>
      </c>
      <c r="J406" s="26" t="s">
        <v>1225</v>
      </c>
      <c r="K406" s="26" t="s">
        <v>1653</v>
      </c>
      <c r="L406" s="26" t="s">
        <v>1563</v>
      </c>
      <c r="M406" s="26" t="s">
        <v>1572</v>
      </c>
      <c r="N406" s="26" t="s">
        <v>1654</v>
      </c>
      <c r="O406" s="26" t="s">
        <v>1566</v>
      </c>
      <c r="P406" s="26" t="s">
        <v>22</v>
      </c>
      <c r="Q406" s="26">
        <v>0.0</v>
      </c>
    </row>
    <row r="407" ht="17.25" customHeight="1">
      <c r="A407" s="51">
        <v>46072.73812371527</v>
      </c>
      <c r="B407" s="145" t="s">
        <v>1027</v>
      </c>
      <c r="C407" s="55" t="s">
        <v>1560</v>
      </c>
      <c r="D407" s="111">
        <v>46072.0</v>
      </c>
      <c r="E407" s="166">
        <v>576.0</v>
      </c>
      <c r="F407" s="37" t="s">
        <v>1561</v>
      </c>
      <c r="G407" s="37" t="s">
        <v>2070</v>
      </c>
      <c r="H407" s="26"/>
      <c r="I407" s="26" t="s">
        <v>1028</v>
      </c>
      <c r="J407" s="26" t="s">
        <v>1225</v>
      </c>
      <c r="K407" s="26" t="s">
        <v>1653</v>
      </c>
      <c r="L407" s="26" t="s">
        <v>1573</v>
      </c>
      <c r="M407" s="26" t="s">
        <v>1572</v>
      </c>
      <c r="N407" s="26" t="s">
        <v>1566</v>
      </c>
      <c r="O407" s="26" t="s">
        <v>1654</v>
      </c>
      <c r="P407" s="26" t="s">
        <v>22</v>
      </c>
      <c r="Q407" s="26">
        <v>1872.0</v>
      </c>
    </row>
    <row r="408" ht="17.25" customHeight="1">
      <c r="A408" s="51">
        <v>46072.73889094907</v>
      </c>
      <c r="B408" s="27" t="s">
        <v>171</v>
      </c>
      <c r="C408" s="55" t="s">
        <v>1560</v>
      </c>
      <c r="D408" s="111">
        <v>46072.0</v>
      </c>
      <c r="E408" s="165">
        <v>432.0</v>
      </c>
      <c r="F408" s="37" t="s">
        <v>1561</v>
      </c>
      <c r="G408" s="37" t="s">
        <v>2071</v>
      </c>
      <c r="H408" s="26"/>
      <c r="I408" s="26" t="s">
        <v>172</v>
      </c>
      <c r="J408" s="26" t="s">
        <v>1225</v>
      </c>
      <c r="K408" s="26" t="s">
        <v>1653</v>
      </c>
      <c r="L408" s="26" t="s">
        <v>1582</v>
      </c>
      <c r="M408" s="26" t="s">
        <v>1572</v>
      </c>
      <c r="N408" s="26" t="s">
        <v>1566</v>
      </c>
      <c r="O408" s="26" t="s">
        <v>1978</v>
      </c>
      <c r="P408" s="26" t="s">
        <v>22</v>
      </c>
      <c r="Q408" s="26">
        <v>720.0</v>
      </c>
    </row>
    <row r="409" ht="17.25" customHeight="1">
      <c r="A409" s="51">
        <v>46072.74054141204</v>
      </c>
      <c r="B409" s="57" t="s">
        <v>701</v>
      </c>
      <c r="C409" s="55" t="s">
        <v>1560</v>
      </c>
      <c r="D409" s="111">
        <v>46072.0</v>
      </c>
      <c r="E409" s="165">
        <v>864.0</v>
      </c>
      <c r="F409" s="37" t="s">
        <v>1561</v>
      </c>
      <c r="G409" s="37" t="s">
        <v>2072</v>
      </c>
      <c r="H409" s="26"/>
      <c r="I409" s="26" t="s">
        <v>702</v>
      </c>
      <c r="J409" s="26" t="s">
        <v>1225</v>
      </c>
      <c r="K409" s="26" t="s">
        <v>1653</v>
      </c>
      <c r="L409" s="26" t="s">
        <v>1563</v>
      </c>
      <c r="M409" s="26" t="s">
        <v>1572</v>
      </c>
      <c r="N409" s="26" t="s">
        <v>1566</v>
      </c>
      <c r="O409" s="26" t="s">
        <v>1978</v>
      </c>
      <c r="P409" s="26" t="s">
        <v>22</v>
      </c>
      <c r="Q409" s="26">
        <v>0.0</v>
      </c>
    </row>
    <row r="410" ht="17.25" customHeight="1">
      <c r="A410" s="51">
        <v>46072.749584930556</v>
      </c>
      <c r="B410" s="57" t="s">
        <v>701</v>
      </c>
      <c r="C410" s="55" t="s">
        <v>1892</v>
      </c>
      <c r="D410" s="111">
        <v>46072.0</v>
      </c>
      <c r="E410" s="165">
        <v>864.0</v>
      </c>
      <c r="F410" s="37" t="s">
        <v>1561</v>
      </c>
      <c r="G410" s="37">
        <v>561.0</v>
      </c>
      <c r="H410" s="26"/>
      <c r="I410" s="26" t="s">
        <v>702</v>
      </c>
      <c r="J410" s="26" t="s">
        <v>1225</v>
      </c>
      <c r="K410" s="26" t="s">
        <v>1653</v>
      </c>
      <c r="L410" s="26" t="s">
        <v>1563</v>
      </c>
      <c r="M410" s="26" t="s">
        <v>1572</v>
      </c>
      <c r="N410" s="26" t="s">
        <v>1566</v>
      </c>
      <c r="O410" s="26" t="s">
        <v>1978</v>
      </c>
      <c r="P410" s="26" t="s">
        <v>22</v>
      </c>
      <c r="Q410" s="26">
        <v>0.0</v>
      </c>
    </row>
    <row r="411" ht="17.25" customHeight="1">
      <c r="A411" s="51">
        <v>46073.41689040509</v>
      </c>
      <c r="B411" s="25" t="s">
        <v>437</v>
      </c>
      <c r="C411" s="55" t="s">
        <v>1892</v>
      </c>
      <c r="D411" s="51">
        <v>46073.41689040509</v>
      </c>
      <c r="E411" s="52">
        <v>2.0</v>
      </c>
      <c r="F411" s="37" t="s">
        <v>1899</v>
      </c>
      <c r="G411" s="130"/>
      <c r="H411" s="26"/>
      <c r="I411" s="26" t="s">
        <v>438</v>
      </c>
      <c r="J411" s="26" t="s">
        <v>1674</v>
      </c>
      <c r="K411" s="26" t="s">
        <v>1691</v>
      </c>
      <c r="L411" s="26" t="s">
        <v>1566</v>
      </c>
      <c r="M411" s="26" t="s">
        <v>1566</v>
      </c>
      <c r="N411" s="26" t="s">
        <v>1721</v>
      </c>
      <c r="O411" s="26" t="s">
        <v>1677</v>
      </c>
      <c r="P411" s="26" t="s">
        <v>290</v>
      </c>
      <c r="Q411" s="26">
        <v>5.0</v>
      </c>
    </row>
    <row r="412" ht="17.25" customHeight="1">
      <c r="A412" s="167">
        <v>46073.41739834491</v>
      </c>
      <c r="B412" s="23" t="s">
        <v>301</v>
      </c>
      <c r="C412" s="56" t="s">
        <v>1892</v>
      </c>
      <c r="D412" s="51">
        <v>46073.41689040509</v>
      </c>
      <c r="E412" s="37">
        <v>10.0</v>
      </c>
      <c r="F412" s="37" t="s">
        <v>1899</v>
      </c>
      <c r="G412" s="130"/>
      <c r="H412" s="26"/>
      <c r="I412" s="26" t="s">
        <v>302</v>
      </c>
      <c r="J412" s="26" t="s">
        <v>1830</v>
      </c>
      <c r="K412" s="26" t="s">
        <v>302</v>
      </c>
      <c r="L412" s="26" t="s">
        <v>1566</v>
      </c>
      <c r="M412" s="26" t="s">
        <v>1566</v>
      </c>
      <c r="N412" s="26" t="s">
        <v>1566</v>
      </c>
      <c r="O412" s="26" t="s">
        <v>1566</v>
      </c>
      <c r="P412" s="26" t="s">
        <v>661</v>
      </c>
      <c r="Q412" s="26">
        <v>580.0</v>
      </c>
    </row>
    <row r="413" ht="17.25" customHeight="1">
      <c r="A413" s="51">
        <v>46073.417402534724</v>
      </c>
      <c r="B413" s="23" t="s">
        <v>301</v>
      </c>
      <c r="C413" s="56" t="s">
        <v>1892</v>
      </c>
      <c r="D413" s="51">
        <v>46073.41689040509</v>
      </c>
      <c r="E413" s="52">
        <v>10.0</v>
      </c>
      <c r="F413" s="37" t="s">
        <v>2043</v>
      </c>
      <c r="G413" s="26"/>
      <c r="H413" s="26"/>
      <c r="I413" s="26" t="s">
        <v>302</v>
      </c>
      <c r="J413" s="26" t="s">
        <v>1830</v>
      </c>
      <c r="K413" s="26" t="s">
        <v>302</v>
      </c>
      <c r="L413" s="26" t="s">
        <v>1566</v>
      </c>
      <c r="M413" s="26" t="s">
        <v>1566</v>
      </c>
      <c r="N413" s="26" t="s">
        <v>1566</v>
      </c>
      <c r="O413" s="26" t="s">
        <v>1566</v>
      </c>
      <c r="P413" s="26" t="s">
        <v>661</v>
      </c>
      <c r="Q413" s="26">
        <v>580.0</v>
      </c>
    </row>
    <row r="414" ht="17.25" customHeight="1">
      <c r="A414" s="167">
        <v>46073.417964374996</v>
      </c>
      <c r="B414" s="25" t="s">
        <v>21</v>
      </c>
      <c r="C414" s="56" t="s">
        <v>1892</v>
      </c>
      <c r="D414" s="51">
        <v>46073.41689040509</v>
      </c>
      <c r="E414" s="37">
        <v>20.0</v>
      </c>
      <c r="F414" s="37" t="s">
        <v>1899</v>
      </c>
      <c r="G414" s="26"/>
      <c r="H414" s="26"/>
      <c r="I414" s="26" t="s">
        <v>23</v>
      </c>
      <c r="J414" s="26" t="s">
        <v>1812</v>
      </c>
      <c r="K414" s="26" t="s">
        <v>1815</v>
      </c>
      <c r="L414" s="26" t="s">
        <v>1566</v>
      </c>
      <c r="M414" s="26" t="s">
        <v>1566</v>
      </c>
      <c r="N414" s="26" t="s">
        <v>1566</v>
      </c>
      <c r="O414" s="26" t="s">
        <v>1818</v>
      </c>
      <c r="P414" s="26" t="s">
        <v>616</v>
      </c>
      <c r="Q414" s="26">
        <v>20.0</v>
      </c>
    </row>
    <row r="415" ht="17.25" customHeight="1">
      <c r="A415" s="51">
        <v>46073.418877916665</v>
      </c>
      <c r="B415" s="25" t="s">
        <v>287</v>
      </c>
      <c r="C415" s="55" t="s">
        <v>1892</v>
      </c>
      <c r="D415" s="51">
        <v>46073.41689040509</v>
      </c>
      <c r="E415" s="52">
        <v>2.0</v>
      </c>
      <c r="F415" s="37" t="s">
        <v>1899</v>
      </c>
      <c r="G415" s="26"/>
      <c r="H415" s="26"/>
      <c r="I415" s="26" t="s">
        <v>288</v>
      </c>
      <c r="J415" s="26" t="s">
        <v>1674</v>
      </c>
      <c r="K415" s="26" t="s">
        <v>1675</v>
      </c>
      <c r="L415" s="26" t="s">
        <v>1566</v>
      </c>
      <c r="M415" s="26" t="s">
        <v>1566</v>
      </c>
      <c r="N415" s="26" t="s">
        <v>1676</v>
      </c>
      <c r="O415" s="26" t="s">
        <v>1677</v>
      </c>
      <c r="P415" s="26" t="s">
        <v>290</v>
      </c>
      <c r="Q415" s="26">
        <v>16.0</v>
      </c>
    </row>
    <row r="416" ht="17.25" customHeight="1">
      <c r="A416" s="51">
        <v>46073.418877916665</v>
      </c>
      <c r="B416" s="25" t="s">
        <v>297</v>
      </c>
      <c r="C416" s="55" t="s">
        <v>1892</v>
      </c>
      <c r="D416" s="51">
        <v>46073.41689040509</v>
      </c>
      <c r="E416" s="52">
        <v>2.0</v>
      </c>
      <c r="F416" s="37" t="s">
        <v>1899</v>
      </c>
      <c r="G416" s="26"/>
      <c r="H416" s="26"/>
      <c r="I416" s="26" t="s">
        <v>298</v>
      </c>
      <c r="J416" s="26" t="s">
        <v>1674</v>
      </c>
      <c r="K416" s="26" t="s">
        <v>1675</v>
      </c>
      <c r="L416" s="26" t="s">
        <v>1566</v>
      </c>
      <c r="M416" s="26" t="s">
        <v>1566</v>
      </c>
      <c r="N416" s="26" t="s">
        <v>1680</v>
      </c>
      <c r="O416" s="26" t="s">
        <v>1677</v>
      </c>
      <c r="P416" s="26" t="s">
        <v>290</v>
      </c>
      <c r="Q416" s="26">
        <v>10.0</v>
      </c>
    </row>
    <row r="417" ht="17.25" customHeight="1">
      <c r="A417" s="51">
        <v>46073.418877916665</v>
      </c>
      <c r="B417" s="25" t="s">
        <v>304</v>
      </c>
      <c r="C417" s="55" t="s">
        <v>1892</v>
      </c>
      <c r="D417" s="51">
        <v>46073.41689040509</v>
      </c>
      <c r="E417" s="52">
        <v>2.0</v>
      </c>
      <c r="F417" s="37" t="s">
        <v>1899</v>
      </c>
      <c r="G417" s="26"/>
      <c r="H417" s="26"/>
      <c r="I417" s="26" t="s">
        <v>306</v>
      </c>
      <c r="J417" s="26" t="s">
        <v>1674</v>
      </c>
      <c r="K417" s="26" t="s">
        <v>1675</v>
      </c>
      <c r="L417" s="26" t="s">
        <v>1566</v>
      </c>
      <c r="M417" s="26" t="s">
        <v>1566</v>
      </c>
      <c r="N417" s="26" t="s">
        <v>1682</v>
      </c>
      <c r="O417" s="26" t="s">
        <v>1677</v>
      </c>
      <c r="P417" s="26" t="s">
        <v>290</v>
      </c>
      <c r="Q417" s="26">
        <v>6.0</v>
      </c>
    </row>
    <row r="418" ht="17.25" customHeight="1">
      <c r="A418" s="167">
        <v>46073.4241034838</v>
      </c>
      <c r="B418" s="23" t="s">
        <v>876</v>
      </c>
      <c r="C418" s="56" t="s">
        <v>1892</v>
      </c>
      <c r="D418" s="51">
        <v>46073.41689040509</v>
      </c>
      <c r="E418" s="37">
        <v>4.0</v>
      </c>
      <c r="F418" s="37" t="s">
        <v>1907</v>
      </c>
      <c r="G418" s="26"/>
      <c r="H418" s="26"/>
      <c r="I418" s="26" t="s">
        <v>878</v>
      </c>
      <c r="J418" s="26" t="s">
        <v>1830</v>
      </c>
      <c r="K418" s="26" t="s">
        <v>1879</v>
      </c>
      <c r="L418" s="26" t="s">
        <v>1566</v>
      </c>
      <c r="M418" s="26" t="s">
        <v>1566</v>
      </c>
      <c r="N418" s="26" t="s">
        <v>1566</v>
      </c>
      <c r="O418" s="26" t="s">
        <v>1566</v>
      </c>
      <c r="P418" s="26" t="s">
        <v>643</v>
      </c>
      <c r="Q418" s="26">
        <v>34.0</v>
      </c>
    </row>
    <row r="419" ht="17.25" customHeight="1">
      <c r="A419" s="51">
        <v>46073.424608125</v>
      </c>
      <c r="B419" s="25" t="s">
        <v>222</v>
      </c>
      <c r="C419" s="55" t="s">
        <v>1892</v>
      </c>
      <c r="D419" s="51">
        <v>46073.41689040509</v>
      </c>
      <c r="E419" s="52">
        <v>2.0</v>
      </c>
      <c r="F419" s="37" t="s">
        <v>1907</v>
      </c>
      <c r="G419" s="109"/>
      <c r="H419" s="26"/>
      <c r="I419" s="26" t="s">
        <v>230</v>
      </c>
      <c r="J419" s="26" t="s">
        <v>1821</v>
      </c>
      <c r="K419" s="26" t="s">
        <v>1822</v>
      </c>
      <c r="L419" s="26" t="s">
        <v>1828</v>
      </c>
      <c r="M419" s="26" t="s">
        <v>1590</v>
      </c>
      <c r="N419" s="26" t="s">
        <v>1566</v>
      </c>
      <c r="O419" s="26" t="s">
        <v>1566</v>
      </c>
      <c r="P419" s="26" t="s">
        <v>661</v>
      </c>
      <c r="Q419" s="26">
        <v>60.0</v>
      </c>
    </row>
    <row r="420" ht="17.25" customHeight="1">
      <c r="A420" s="167">
        <v>46073.45953440972</v>
      </c>
      <c r="B420" s="25" t="s">
        <v>33</v>
      </c>
      <c r="C420" s="56" t="s">
        <v>1892</v>
      </c>
      <c r="D420" s="51">
        <v>46073.41689040509</v>
      </c>
      <c r="E420" s="37">
        <v>600.0</v>
      </c>
      <c r="F420" s="37" t="s">
        <v>2018</v>
      </c>
      <c r="G420" s="37">
        <v>557.0</v>
      </c>
      <c r="H420" s="26"/>
      <c r="I420" s="26" t="s">
        <v>35</v>
      </c>
      <c r="J420" s="26" t="s">
        <v>1225</v>
      </c>
      <c r="K420" s="26" t="s">
        <v>1562</v>
      </c>
      <c r="L420" s="26" t="s">
        <v>1573</v>
      </c>
      <c r="M420" s="26" t="s">
        <v>1575</v>
      </c>
      <c r="N420" s="26" t="s">
        <v>1566</v>
      </c>
      <c r="O420" s="26" t="s">
        <v>1566</v>
      </c>
      <c r="P420" s="26" t="s">
        <v>22</v>
      </c>
      <c r="Q420" s="26">
        <v>2600.0</v>
      </c>
    </row>
    <row r="421" ht="17.25" customHeight="1">
      <c r="A421" s="51">
        <v>46073.590555243056</v>
      </c>
      <c r="B421" s="25" t="s">
        <v>913</v>
      </c>
      <c r="C421" s="56" t="s">
        <v>1892</v>
      </c>
      <c r="D421" s="51">
        <v>46073.41689040509</v>
      </c>
      <c r="E421" s="52">
        <v>350.0</v>
      </c>
      <c r="F421" s="37" t="s">
        <v>2018</v>
      </c>
      <c r="G421" s="37">
        <v>565.0</v>
      </c>
      <c r="H421" s="26"/>
      <c r="I421" s="26" t="s">
        <v>915</v>
      </c>
      <c r="J421" s="26" t="s">
        <v>1225</v>
      </c>
      <c r="K421" s="26" t="s">
        <v>1562</v>
      </c>
      <c r="L421" s="26" t="s">
        <v>1633</v>
      </c>
      <c r="M421" s="26" t="s">
        <v>1564</v>
      </c>
      <c r="N421" s="26" t="s">
        <v>1571</v>
      </c>
      <c r="O421" s="26" t="s">
        <v>1566</v>
      </c>
      <c r="P421" s="26" t="s">
        <v>22</v>
      </c>
      <c r="Q421" s="26">
        <v>0.0</v>
      </c>
    </row>
    <row r="422" ht="17.25" customHeight="1">
      <c r="A422" s="167">
        <v>46073.59603747685</v>
      </c>
      <c r="B422" s="25" t="s">
        <v>271</v>
      </c>
      <c r="C422" s="56" t="s">
        <v>1892</v>
      </c>
      <c r="D422" s="51">
        <v>46073.41689040509</v>
      </c>
      <c r="E422" s="37">
        <v>3.0</v>
      </c>
      <c r="F422" s="37" t="s">
        <v>2067</v>
      </c>
      <c r="H422" s="26"/>
      <c r="I422" s="26" t="s">
        <v>277</v>
      </c>
      <c r="J422" s="26" t="s">
        <v>1821</v>
      </c>
      <c r="K422" s="26" t="s">
        <v>1822</v>
      </c>
      <c r="L422" s="26" t="s">
        <v>1824</v>
      </c>
      <c r="M422" s="26" t="s">
        <v>1566</v>
      </c>
      <c r="N422" s="26" t="s">
        <v>1566</v>
      </c>
      <c r="O422" s="26" t="s">
        <v>1566</v>
      </c>
      <c r="P422" s="26" t="s">
        <v>661</v>
      </c>
      <c r="Q422" s="26">
        <v>45.0</v>
      </c>
    </row>
    <row r="423" ht="17.25" customHeight="1">
      <c r="A423" s="51">
        <v>46073.63142016204</v>
      </c>
      <c r="B423" s="23" t="s">
        <v>301</v>
      </c>
      <c r="C423" s="55" t="s">
        <v>1892</v>
      </c>
      <c r="D423" s="51">
        <v>46073.41689040509</v>
      </c>
      <c r="E423" s="52">
        <v>10.0</v>
      </c>
      <c r="F423" s="37" t="s">
        <v>2067</v>
      </c>
      <c r="G423" s="26"/>
      <c r="H423" s="26"/>
      <c r="I423" s="26" t="s">
        <v>302</v>
      </c>
      <c r="J423" s="26" t="s">
        <v>1830</v>
      </c>
      <c r="K423" s="26" t="s">
        <v>302</v>
      </c>
      <c r="L423" s="26" t="s">
        <v>1566</v>
      </c>
      <c r="M423" s="26" t="s">
        <v>1566</v>
      </c>
      <c r="N423" s="26" t="s">
        <v>1566</v>
      </c>
      <c r="O423" s="26" t="s">
        <v>1566</v>
      </c>
      <c r="P423" s="26" t="s">
        <v>661</v>
      </c>
      <c r="Q423" s="26">
        <v>580.0</v>
      </c>
    </row>
    <row r="424" ht="17.25" customHeight="1">
      <c r="A424" s="51">
        <v>46073.63210391204</v>
      </c>
      <c r="B424" s="25" t="s">
        <v>271</v>
      </c>
      <c r="C424" s="55" t="s">
        <v>1892</v>
      </c>
      <c r="D424" s="51">
        <v>46073.41689040509</v>
      </c>
      <c r="E424" s="52">
        <v>3.0</v>
      </c>
      <c r="F424" s="37" t="s">
        <v>2067</v>
      </c>
      <c r="G424" s="26"/>
      <c r="H424" s="26"/>
      <c r="I424" s="26" t="s">
        <v>277</v>
      </c>
      <c r="J424" s="26" t="s">
        <v>1821</v>
      </c>
      <c r="K424" s="26" t="s">
        <v>1822</v>
      </c>
      <c r="L424" s="26" t="s">
        <v>1824</v>
      </c>
      <c r="M424" s="26" t="s">
        <v>1566</v>
      </c>
      <c r="N424" s="26" t="s">
        <v>1566</v>
      </c>
      <c r="O424" s="26" t="s">
        <v>1566</v>
      </c>
      <c r="P424" s="26" t="s">
        <v>661</v>
      </c>
      <c r="Q424" s="26">
        <v>45.0</v>
      </c>
    </row>
    <row r="425" ht="17.25" customHeight="1">
      <c r="A425" s="51">
        <v>46073.63268170139</v>
      </c>
      <c r="B425" s="26" t="s">
        <v>1021</v>
      </c>
      <c r="C425" s="55" t="s">
        <v>1892</v>
      </c>
      <c r="D425" s="51">
        <v>46073.41689040509</v>
      </c>
      <c r="E425" s="52">
        <v>1.0</v>
      </c>
      <c r="F425" s="37" t="s">
        <v>2067</v>
      </c>
      <c r="G425" s="26"/>
      <c r="H425" s="26"/>
      <c r="I425" s="26" t="s">
        <v>1022</v>
      </c>
      <c r="J425" s="26" t="s">
        <v>1807</v>
      </c>
      <c r="K425" s="26" t="s">
        <v>1889</v>
      </c>
      <c r="L425" s="26" t="s">
        <v>1566</v>
      </c>
      <c r="M425" s="26" t="s">
        <v>1566</v>
      </c>
      <c r="N425" s="26" t="s">
        <v>1876</v>
      </c>
      <c r="O425" s="26" t="s">
        <v>1566</v>
      </c>
      <c r="P425" s="26" t="s">
        <v>661</v>
      </c>
      <c r="Q425" s="26">
        <v>9.0</v>
      </c>
    </row>
    <row r="426" ht="17.25" customHeight="1">
      <c r="A426" s="167">
        <v>46073.63295101852</v>
      </c>
      <c r="B426" s="25" t="s">
        <v>271</v>
      </c>
      <c r="C426" s="56" t="s">
        <v>1892</v>
      </c>
      <c r="D426" s="51">
        <v>46073.41689040509</v>
      </c>
      <c r="E426" s="37">
        <v>3.0</v>
      </c>
      <c r="F426" s="37" t="s">
        <v>2067</v>
      </c>
      <c r="G426" s="26"/>
      <c r="H426" s="26"/>
      <c r="I426" s="26" t="s">
        <v>277</v>
      </c>
      <c r="J426" s="26" t="s">
        <v>1821</v>
      </c>
      <c r="K426" s="26" t="s">
        <v>1822</v>
      </c>
      <c r="L426" s="26" t="s">
        <v>1824</v>
      </c>
      <c r="M426" s="26" t="s">
        <v>1566</v>
      </c>
      <c r="N426" s="26" t="s">
        <v>1566</v>
      </c>
      <c r="O426" s="26" t="s">
        <v>1566</v>
      </c>
      <c r="P426" s="26" t="s">
        <v>661</v>
      </c>
      <c r="Q426" s="26">
        <v>45.0</v>
      </c>
    </row>
    <row r="427" ht="17.25" customHeight="1">
      <c r="A427" s="51">
        <v>46073.702617627314</v>
      </c>
      <c r="B427" s="25" t="s">
        <v>1610</v>
      </c>
      <c r="C427" s="55" t="s">
        <v>1892</v>
      </c>
      <c r="D427" s="51">
        <v>46073.41689040509</v>
      </c>
      <c r="E427" s="52">
        <v>400.0</v>
      </c>
      <c r="F427" s="37" t="s">
        <v>1561</v>
      </c>
      <c r="G427" s="37">
        <v>564.0</v>
      </c>
      <c r="H427" s="26"/>
      <c r="I427" s="26" t="s">
        <v>1612</v>
      </c>
      <c r="J427" s="26" t="s">
        <v>1225</v>
      </c>
      <c r="K427" s="26" t="s">
        <v>1562</v>
      </c>
      <c r="L427" s="26" t="s">
        <v>1613</v>
      </c>
      <c r="M427" s="26" t="s">
        <v>1564</v>
      </c>
      <c r="N427" s="26" t="s">
        <v>1565</v>
      </c>
      <c r="O427" s="26" t="s">
        <v>1566</v>
      </c>
      <c r="P427" s="26" t="s">
        <v>22</v>
      </c>
      <c r="Q427" s="26">
        <v>0.0</v>
      </c>
    </row>
    <row r="428" ht="17.25" customHeight="1">
      <c r="A428" s="167">
        <v>46073.70404697917</v>
      </c>
      <c r="B428" s="25" t="s">
        <v>171</v>
      </c>
      <c r="C428" s="56" t="s">
        <v>1892</v>
      </c>
      <c r="D428" s="51">
        <v>46073.41689040509</v>
      </c>
      <c r="E428" s="168">
        <v>432.0</v>
      </c>
      <c r="F428" s="37" t="s">
        <v>1561</v>
      </c>
      <c r="G428" s="37">
        <v>566.0</v>
      </c>
      <c r="H428" s="26"/>
      <c r="I428" s="26" t="s">
        <v>172</v>
      </c>
      <c r="J428" s="26" t="s">
        <v>1225</v>
      </c>
      <c r="K428" s="26" t="s">
        <v>1653</v>
      </c>
      <c r="L428" s="26" t="s">
        <v>1582</v>
      </c>
      <c r="M428" s="26" t="s">
        <v>1572</v>
      </c>
      <c r="N428" s="26" t="s">
        <v>1566</v>
      </c>
      <c r="O428" s="26" t="s">
        <v>1978</v>
      </c>
      <c r="P428" s="26" t="s">
        <v>22</v>
      </c>
      <c r="Q428" s="26">
        <v>720.0</v>
      </c>
    </row>
    <row r="429" ht="17.25" customHeight="1">
      <c r="A429" s="51">
        <v>46086.76413387731</v>
      </c>
      <c r="B429" s="25" t="s">
        <v>1522</v>
      </c>
      <c r="C429" s="55" t="s">
        <v>1560</v>
      </c>
      <c r="D429" s="51">
        <v>46073.41689040509</v>
      </c>
      <c r="E429" s="168">
        <v>700.0</v>
      </c>
      <c r="F429" s="37" t="s">
        <v>1561</v>
      </c>
      <c r="G429" s="109"/>
      <c r="H429" s="26"/>
      <c r="I429" s="26" t="s">
        <v>1523</v>
      </c>
      <c r="J429" s="26" t="s">
        <v>1225</v>
      </c>
      <c r="K429" s="26" t="s">
        <v>1562</v>
      </c>
      <c r="L429" s="26" t="s">
        <v>1563</v>
      </c>
      <c r="M429" s="26" t="s">
        <v>1572</v>
      </c>
      <c r="N429" s="26" t="s">
        <v>1571</v>
      </c>
      <c r="O429" s="26" t="s">
        <v>1566</v>
      </c>
      <c r="P429" s="26" t="s">
        <v>22</v>
      </c>
      <c r="Q429" s="26">
        <v>800.0</v>
      </c>
    </row>
    <row r="430" ht="17.25" customHeight="1">
      <c r="A430" s="167">
        <v>46073.70865528935</v>
      </c>
      <c r="B430" s="25" t="s">
        <v>1027</v>
      </c>
      <c r="C430" s="56" t="s">
        <v>1892</v>
      </c>
      <c r="D430" s="51">
        <v>46073.41689040509</v>
      </c>
      <c r="E430" s="169">
        <v>576.0</v>
      </c>
      <c r="F430" s="37" t="s">
        <v>1561</v>
      </c>
      <c r="G430" s="37">
        <v>568.0</v>
      </c>
      <c r="H430" s="26"/>
      <c r="I430" s="26" t="s">
        <v>1028</v>
      </c>
      <c r="J430" s="26" t="s">
        <v>1225</v>
      </c>
      <c r="K430" s="26" t="s">
        <v>1653</v>
      </c>
      <c r="L430" s="26" t="s">
        <v>1573</v>
      </c>
      <c r="M430" s="26" t="s">
        <v>1572</v>
      </c>
      <c r="N430" s="26" t="s">
        <v>1566</v>
      </c>
      <c r="O430" s="26" t="s">
        <v>1654</v>
      </c>
      <c r="P430" s="26" t="s">
        <v>22</v>
      </c>
      <c r="Q430" s="26">
        <v>1872.0</v>
      </c>
    </row>
    <row r="431" ht="17.25" customHeight="1">
      <c r="A431" s="51">
        <v>46073.70978878472</v>
      </c>
      <c r="B431" s="25" t="s">
        <v>1699</v>
      </c>
      <c r="C431" s="55" t="s">
        <v>1892</v>
      </c>
      <c r="D431" s="51">
        <v>46073.41689040509</v>
      </c>
      <c r="E431" s="52">
        <v>800.0</v>
      </c>
      <c r="F431" s="37" t="s">
        <v>1561</v>
      </c>
      <c r="G431" s="37">
        <v>569.0</v>
      </c>
      <c r="H431" s="26"/>
      <c r="I431" s="26" t="s">
        <v>1700</v>
      </c>
      <c r="J431" s="26" t="s">
        <v>1225</v>
      </c>
      <c r="K431" s="26" t="s">
        <v>1562</v>
      </c>
      <c r="L431" s="26" t="s">
        <v>1600</v>
      </c>
      <c r="M431" s="26" t="s">
        <v>2049</v>
      </c>
      <c r="N431" s="26" t="s">
        <v>1566</v>
      </c>
      <c r="O431" s="26" t="s">
        <v>1566</v>
      </c>
      <c r="P431" s="26" t="s">
        <v>22</v>
      </c>
      <c r="Q431" s="26">
        <v>0.0</v>
      </c>
    </row>
    <row r="432" ht="17.25" customHeight="1">
      <c r="A432" s="167">
        <v>46073.73121298611</v>
      </c>
      <c r="B432" s="27" t="s">
        <v>509</v>
      </c>
      <c r="C432" s="56" t="s">
        <v>1892</v>
      </c>
      <c r="D432" s="51">
        <v>46073.41689040509</v>
      </c>
      <c r="E432" s="37">
        <v>1.0</v>
      </c>
      <c r="F432" s="37" t="s">
        <v>1899</v>
      </c>
      <c r="G432" s="170">
        <v>570.0</v>
      </c>
      <c r="H432" s="26"/>
      <c r="I432" s="26" t="s">
        <v>510</v>
      </c>
      <c r="J432" s="26" t="s">
        <v>1674</v>
      </c>
      <c r="K432" s="26" t="s">
        <v>1691</v>
      </c>
      <c r="L432" s="26" t="s">
        <v>1566</v>
      </c>
      <c r="M432" s="26" t="s">
        <v>1566</v>
      </c>
      <c r="N432" s="26" t="s">
        <v>1768</v>
      </c>
      <c r="O432" s="26" t="s">
        <v>1769</v>
      </c>
      <c r="P432" s="26" t="s">
        <v>290</v>
      </c>
      <c r="Q432" s="26">
        <v>1.0</v>
      </c>
    </row>
    <row r="433" ht="17.25" customHeight="1">
      <c r="A433" s="167">
        <v>46073.74385413194</v>
      </c>
      <c r="B433" s="26" t="s">
        <v>1703</v>
      </c>
      <c r="C433" s="55" t="s">
        <v>1560</v>
      </c>
      <c r="D433" s="111">
        <v>46065.0</v>
      </c>
      <c r="E433" s="52">
        <v>900.0</v>
      </c>
      <c r="F433" s="37" t="s">
        <v>1561</v>
      </c>
      <c r="G433" s="109"/>
      <c r="H433" s="26"/>
      <c r="I433" s="26" t="s">
        <v>1704</v>
      </c>
      <c r="J433" s="26" t="s">
        <v>1225</v>
      </c>
      <c r="K433" s="26" t="s">
        <v>1562</v>
      </c>
      <c r="L433" s="26" t="s">
        <v>2073</v>
      </c>
      <c r="M433" s="26" t="s">
        <v>1564</v>
      </c>
      <c r="N433" s="26" t="s">
        <v>1566</v>
      </c>
      <c r="O433" s="26" t="s">
        <v>1565</v>
      </c>
      <c r="P433" s="26" t="s">
        <v>22</v>
      </c>
      <c r="Q433" s="26">
        <v>0.0</v>
      </c>
    </row>
    <row r="434" ht="17.25" customHeight="1">
      <c r="A434" s="167">
        <v>46073.74401200232</v>
      </c>
      <c r="B434" s="26" t="s">
        <v>1703</v>
      </c>
      <c r="C434" s="56" t="s">
        <v>1892</v>
      </c>
      <c r="D434" s="51">
        <v>46073.41689040509</v>
      </c>
      <c r="E434" s="37">
        <v>100.0</v>
      </c>
      <c r="F434" s="37" t="s">
        <v>1561</v>
      </c>
      <c r="G434" s="37">
        <v>564.0</v>
      </c>
      <c r="H434" s="26"/>
      <c r="I434" s="26" t="s">
        <v>1704</v>
      </c>
      <c r="J434" s="26" t="s">
        <v>1225</v>
      </c>
      <c r="K434" s="26" t="s">
        <v>1562</v>
      </c>
      <c r="L434" s="26" t="s">
        <v>2073</v>
      </c>
      <c r="M434" s="26" t="s">
        <v>1564</v>
      </c>
      <c r="N434" s="26" t="s">
        <v>1566</v>
      </c>
      <c r="O434" s="26" t="s">
        <v>1565</v>
      </c>
      <c r="P434" s="26" t="s">
        <v>22</v>
      </c>
      <c r="Q434" s="26">
        <v>0.0</v>
      </c>
    </row>
    <row r="435" ht="17.25" customHeight="1">
      <c r="A435" s="51">
        <v>46074.489274039355</v>
      </c>
      <c r="B435" s="25" t="s">
        <v>41</v>
      </c>
      <c r="C435" s="55" t="s">
        <v>1892</v>
      </c>
      <c r="D435" s="51">
        <v>46074.0</v>
      </c>
      <c r="E435" s="52">
        <v>600.0</v>
      </c>
      <c r="F435" s="37" t="s">
        <v>1561</v>
      </c>
      <c r="G435" s="37">
        <v>570.0</v>
      </c>
      <c r="H435" s="109"/>
      <c r="I435" s="109" t="s">
        <v>42</v>
      </c>
      <c r="J435" s="26" t="s">
        <v>1225</v>
      </c>
      <c r="K435" s="26" t="s">
        <v>1562</v>
      </c>
      <c r="L435" s="26" t="s">
        <v>1576</v>
      </c>
      <c r="M435" s="26" t="s">
        <v>1575</v>
      </c>
      <c r="N435" s="26" t="s">
        <v>1571</v>
      </c>
      <c r="O435" s="26" t="s">
        <v>1566</v>
      </c>
      <c r="P435" s="26" t="s">
        <v>22</v>
      </c>
      <c r="Q435" s="26">
        <v>200.0</v>
      </c>
    </row>
    <row r="436" ht="17.25" customHeight="1">
      <c r="A436" s="51">
        <v>46074.49185619213</v>
      </c>
      <c r="B436" s="25" t="s">
        <v>1522</v>
      </c>
      <c r="C436" s="55" t="s">
        <v>1892</v>
      </c>
      <c r="D436" s="51">
        <v>46074.0</v>
      </c>
      <c r="E436" s="52">
        <v>100.0</v>
      </c>
      <c r="F436" s="37" t="s">
        <v>1561</v>
      </c>
      <c r="G436" s="37">
        <v>571.0</v>
      </c>
      <c r="H436" s="109"/>
      <c r="I436" s="109" t="s">
        <v>1523</v>
      </c>
      <c r="J436" s="26" t="s">
        <v>1225</v>
      </c>
      <c r="K436" s="26" t="s">
        <v>1562</v>
      </c>
      <c r="L436" s="26" t="s">
        <v>1563</v>
      </c>
      <c r="M436" s="26" t="s">
        <v>1572</v>
      </c>
      <c r="N436" s="26" t="s">
        <v>1571</v>
      </c>
      <c r="O436" s="26" t="s">
        <v>1566</v>
      </c>
      <c r="P436" s="26" t="s">
        <v>22</v>
      </c>
      <c r="Q436" s="26">
        <v>800.0</v>
      </c>
    </row>
    <row r="437" ht="17.25" customHeight="1">
      <c r="A437" s="51">
        <v>46074.59777137732</v>
      </c>
      <c r="B437" s="25" t="s">
        <v>701</v>
      </c>
      <c r="C437" s="55" t="s">
        <v>1560</v>
      </c>
      <c r="D437" s="51">
        <v>46074.0</v>
      </c>
      <c r="E437" s="171">
        <v>1296.0</v>
      </c>
      <c r="F437" s="37" t="s">
        <v>1561</v>
      </c>
      <c r="G437" s="130"/>
      <c r="H437" s="130"/>
      <c r="I437" s="130" t="s">
        <v>702</v>
      </c>
      <c r="J437" s="26" t="s">
        <v>1225</v>
      </c>
      <c r="K437" s="26" t="s">
        <v>1653</v>
      </c>
      <c r="L437" s="26" t="s">
        <v>1563</v>
      </c>
      <c r="M437" s="26" t="s">
        <v>1572</v>
      </c>
      <c r="N437" s="26" t="s">
        <v>1566</v>
      </c>
      <c r="O437" s="26" t="s">
        <v>1978</v>
      </c>
      <c r="P437" s="26" t="s">
        <v>22</v>
      </c>
      <c r="Q437" s="26">
        <v>0.0</v>
      </c>
    </row>
    <row r="438" ht="17.25" customHeight="1">
      <c r="A438" s="51">
        <v>46074.59786358796</v>
      </c>
      <c r="B438" s="25" t="s">
        <v>701</v>
      </c>
      <c r="C438" s="55" t="s">
        <v>1892</v>
      </c>
      <c r="D438" s="51">
        <v>46074.0</v>
      </c>
      <c r="E438" s="52">
        <v>1008.0</v>
      </c>
      <c r="F438" s="37" t="s">
        <v>1561</v>
      </c>
      <c r="G438" s="37">
        <v>572.0</v>
      </c>
      <c r="H438" s="109"/>
      <c r="I438" s="109" t="s">
        <v>702</v>
      </c>
      <c r="J438" s="26" t="s">
        <v>1225</v>
      </c>
      <c r="K438" s="26" t="s">
        <v>1653</v>
      </c>
      <c r="L438" s="26" t="s">
        <v>1563</v>
      </c>
      <c r="M438" s="26" t="s">
        <v>1572</v>
      </c>
      <c r="N438" s="26" t="s">
        <v>1566</v>
      </c>
      <c r="O438" s="26" t="s">
        <v>1978</v>
      </c>
      <c r="P438" s="26" t="s">
        <v>22</v>
      </c>
      <c r="Q438" s="26">
        <v>0.0</v>
      </c>
    </row>
    <row r="439" ht="17.25" customHeight="1">
      <c r="A439" s="51">
        <v>46074.60039578704</v>
      </c>
      <c r="B439" s="25" t="s">
        <v>83</v>
      </c>
      <c r="C439" s="55" t="s">
        <v>1892</v>
      </c>
      <c r="D439" s="51">
        <v>46074.0</v>
      </c>
      <c r="E439" s="52">
        <v>100.0</v>
      </c>
      <c r="F439" s="37" t="s">
        <v>1561</v>
      </c>
      <c r="G439" s="37">
        <v>574.0</v>
      </c>
      <c r="H439" s="109"/>
      <c r="I439" s="109" t="s">
        <v>84</v>
      </c>
      <c r="J439" s="26" t="s">
        <v>1225</v>
      </c>
      <c r="K439" s="26" t="s">
        <v>1562</v>
      </c>
      <c r="L439" s="26" t="s">
        <v>1600</v>
      </c>
      <c r="M439" s="26" t="s">
        <v>1597</v>
      </c>
      <c r="N439" s="26" t="s">
        <v>1571</v>
      </c>
      <c r="O439" s="26" t="s">
        <v>1566</v>
      </c>
      <c r="P439" s="26" t="s">
        <v>22</v>
      </c>
      <c r="Q439" s="26">
        <v>2000.0</v>
      </c>
    </row>
    <row r="440" ht="17.25" customHeight="1">
      <c r="A440" s="51">
        <v>46074.606609375</v>
      </c>
      <c r="B440" s="27" t="s">
        <v>1031</v>
      </c>
      <c r="C440" s="55" t="s">
        <v>1560</v>
      </c>
      <c r="D440" s="111">
        <v>46065.0</v>
      </c>
      <c r="E440" s="52">
        <v>2500.0</v>
      </c>
      <c r="F440" s="37" t="s">
        <v>1561</v>
      </c>
      <c r="G440" s="130"/>
      <c r="H440" s="130"/>
      <c r="I440" s="130" t="s">
        <v>1032</v>
      </c>
      <c r="J440" s="26" t="s">
        <v>1225</v>
      </c>
      <c r="K440" s="26" t="s">
        <v>1640</v>
      </c>
      <c r="L440" s="26" t="s">
        <v>1627</v>
      </c>
      <c r="M440" s="26" t="s">
        <v>1564</v>
      </c>
      <c r="N440" s="26" t="s">
        <v>1566</v>
      </c>
      <c r="O440" s="26" t="s">
        <v>1566</v>
      </c>
      <c r="P440" s="26" t="s">
        <v>22</v>
      </c>
      <c r="Q440" s="26">
        <v>2100.0</v>
      </c>
    </row>
    <row r="441" ht="17.25" customHeight="1">
      <c r="A441" s="51">
        <v>46074.60683267361</v>
      </c>
      <c r="B441" s="27" t="s">
        <v>1031</v>
      </c>
      <c r="C441" s="55" t="s">
        <v>1892</v>
      </c>
      <c r="D441" s="111">
        <v>46074.0</v>
      </c>
      <c r="E441" s="52">
        <v>400.0</v>
      </c>
      <c r="F441" s="37" t="s">
        <v>1561</v>
      </c>
      <c r="G441" s="37">
        <v>573.0</v>
      </c>
      <c r="H441" s="109"/>
      <c r="I441" s="109" t="s">
        <v>1032</v>
      </c>
      <c r="J441" s="26" t="s">
        <v>1225</v>
      </c>
      <c r="K441" s="26" t="s">
        <v>1640</v>
      </c>
      <c r="L441" s="26" t="s">
        <v>1627</v>
      </c>
      <c r="M441" s="26" t="s">
        <v>1564</v>
      </c>
      <c r="N441" s="26" t="s">
        <v>1566</v>
      </c>
      <c r="O441" s="26" t="s">
        <v>1566</v>
      </c>
      <c r="P441" s="26" t="s">
        <v>22</v>
      </c>
      <c r="Q441" s="26">
        <v>2100.0</v>
      </c>
    </row>
    <row r="442" ht="17.25" customHeight="1">
      <c r="A442" s="51">
        <v>46074.60807103009</v>
      </c>
      <c r="B442" s="23" t="s">
        <v>301</v>
      </c>
      <c r="C442" s="55" t="s">
        <v>1892</v>
      </c>
      <c r="D442" s="111">
        <v>46074.0</v>
      </c>
      <c r="E442" s="52">
        <v>10.0</v>
      </c>
      <c r="F442" s="37" t="s">
        <v>1899</v>
      </c>
      <c r="G442" s="130"/>
      <c r="H442" s="130"/>
      <c r="I442" s="130" t="s">
        <v>302</v>
      </c>
      <c r="J442" s="26" t="s">
        <v>1830</v>
      </c>
      <c r="K442" s="26" t="s">
        <v>302</v>
      </c>
      <c r="L442" s="26" t="s">
        <v>1566</v>
      </c>
      <c r="M442" s="26" t="s">
        <v>1566</v>
      </c>
      <c r="N442" s="26" t="s">
        <v>1566</v>
      </c>
      <c r="O442" s="26" t="s">
        <v>1566</v>
      </c>
      <c r="P442" s="26" t="s">
        <v>661</v>
      </c>
      <c r="Q442" s="26">
        <v>580.0</v>
      </c>
    </row>
    <row r="443" ht="17.25" customHeight="1">
      <c r="A443" s="51">
        <v>46074.60858946759</v>
      </c>
      <c r="B443" s="23" t="s">
        <v>876</v>
      </c>
      <c r="C443" s="55" t="s">
        <v>1892</v>
      </c>
      <c r="D443" s="111">
        <v>46074.0</v>
      </c>
      <c r="E443" s="52">
        <v>4.0</v>
      </c>
      <c r="F443" s="37" t="s">
        <v>1907</v>
      </c>
      <c r="G443" s="130"/>
      <c r="H443" s="130"/>
      <c r="I443" s="130" t="s">
        <v>878</v>
      </c>
      <c r="J443" s="26" t="s">
        <v>1830</v>
      </c>
      <c r="K443" s="26" t="s">
        <v>1879</v>
      </c>
      <c r="L443" s="26" t="s">
        <v>1566</v>
      </c>
      <c r="M443" s="26" t="s">
        <v>1566</v>
      </c>
      <c r="N443" s="26" t="s">
        <v>1566</v>
      </c>
      <c r="O443" s="26" t="s">
        <v>1566</v>
      </c>
      <c r="P443" s="26" t="s">
        <v>643</v>
      </c>
      <c r="Q443" s="26">
        <v>34.0</v>
      </c>
    </row>
    <row r="444" ht="17.25" customHeight="1">
      <c r="A444" s="51">
        <v>46074.696297939816</v>
      </c>
      <c r="B444" s="23" t="s">
        <v>301</v>
      </c>
      <c r="C444" s="55" t="s">
        <v>1892</v>
      </c>
      <c r="D444" s="111">
        <v>46074.0</v>
      </c>
      <c r="E444" s="52">
        <v>10.0</v>
      </c>
      <c r="F444" s="37" t="s">
        <v>1908</v>
      </c>
      <c r="G444" s="130"/>
      <c r="H444" s="130"/>
      <c r="I444" s="130" t="s">
        <v>302</v>
      </c>
      <c r="J444" s="26" t="s">
        <v>1830</v>
      </c>
      <c r="K444" s="26" t="s">
        <v>302</v>
      </c>
      <c r="L444" s="26" t="s">
        <v>1566</v>
      </c>
      <c r="M444" s="26" t="s">
        <v>1566</v>
      </c>
      <c r="N444" s="26" t="s">
        <v>1566</v>
      </c>
      <c r="O444" s="26" t="s">
        <v>1566</v>
      </c>
      <c r="P444" s="26" t="s">
        <v>661</v>
      </c>
      <c r="Q444" s="26">
        <v>580.0</v>
      </c>
    </row>
    <row r="445" ht="17.25" customHeight="1">
      <c r="A445" s="51">
        <v>46074.69662690972</v>
      </c>
      <c r="B445" s="23" t="s">
        <v>638</v>
      </c>
      <c r="C445" s="55" t="s">
        <v>1892</v>
      </c>
      <c r="D445" s="111">
        <v>46074.0</v>
      </c>
      <c r="E445" s="52">
        <v>2.0</v>
      </c>
      <c r="F445" s="37" t="s">
        <v>1908</v>
      </c>
      <c r="G445" s="130"/>
      <c r="H445" s="130"/>
      <c r="I445" s="130" t="s">
        <v>644</v>
      </c>
      <c r="J445" s="26" t="s">
        <v>1821</v>
      </c>
      <c r="K445" s="26" t="s">
        <v>1873</v>
      </c>
      <c r="L445" s="26" t="s">
        <v>1566</v>
      </c>
      <c r="M445" s="26" t="s">
        <v>1566</v>
      </c>
      <c r="N445" s="26" t="s">
        <v>1566</v>
      </c>
      <c r="O445" s="26" t="s">
        <v>1566</v>
      </c>
      <c r="P445" s="26" t="s">
        <v>290</v>
      </c>
      <c r="Q445" s="26">
        <v>9.0</v>
      </c>
    </row>
    <row r="446" ht="17.25" customHeight="1">
      <c r="A446" s="51">
        <v>46074.69729034722</v>
      </c>
      <c r="B446" s="27" t="s">
        <v>1925</v>
      </c>
      <c r="C446" s="55" t="s">
        <v>1560</v>
      </c>
      <c r="D446" s="111">
        <v>46074.0</v>
      </c>
      <c r="E446" s="52">
        <v>5.0</v>
      </c>
      <c r="F446" s="37" t="s">
        <v>1673</v>
      </c>
      <c r="G446" s="130"/>
      <c r="H446" s="130"/>
      <c r="I446" s="130" t="s">
        <v>1926</v>
      </c>
      <c r="J446" s="26" t="s">
        <v>1812</v>
      </c>
      <c r="K446" s="26" t="s">
        <v>1815</v>
      </c>
      <c r="L446" s="26" t="s">
        <v>1566</v>
      </c>
      <c r="M446" s="26" t="s">
        <v>1566</v>
      </c>
      <c r="N446" s="26" t="s">
        <v>1566</v>
      </c>
      <c r="O446" s="26" t="s">
        <v>2074</v>
      </c>
      <c r="P446" s="26" t="s">
        <v>290</v>
      </c>
      <c r="Q446" s="26">
        <v>0.0</v>
      </c>
    </row>
    <row r="447" ht="17.25" customHeight="1">
      <c r="A447" s="51">
        <v>46074.69735342593</v>
      </c>
      <c r="B447" s="27" t="s">
        <v>1925</v>
      </c>
      <c r="C447" s="55" t="s">
        <v>1892</v>
      </c>
      <c r="D447" s="111">
        <v>46074.0</v>
      </c>
      <c r="E447" s="52">
        <v>5.0</v>
      </c>
      <c r="F447" s="37" t="s">
        <v>2043</v>
      </c>
      <c r="G447" s="130"/>
      <c r="H447" s="130"/>
      <c r="I447" s="130" t="s">
        <v>1926</v>
      </c>
      <c r="J447" s="26" t="s">
        <v>1812</v>
      </c>
      <c r="K447" s="26" t="s">
        <v>1815</v>
      </c>
      <c r="L447" s="26" t="s">
        <v>1566</v>
      </c>
      <c r="M447" s="26" t="s">
        <v>1566</v>
      </c>
      <c r="N447" s="26" t="s">
        <v>1566</v>
      </c>
      <c r="O447" s="26" t="s">
        <v>2074</v>
      </c>
      <c r="P447" s="26" t="s">
        <v>290</v>
      </c>
      <c r="Q447" s="26">
        <v>0.0</v>
      </c>
    </row>
    <row r="448" ht="17.25" customHeight="1">
      <c r="A448" s="51">
        <v>46074.69838495371</v>
      </c>
      <c r="B448" s="27" t="s">
        <v>968</v>
      </c>
      <c r="C448" s="55" t="s">
        <v>1560</v>
      </c>
      <c r="D448" s="111">
        <v>46074.0</v>
      </c>
      <c r="E448" s="52">
        <v>2.0</v>
      </c>
      <c r="F448" s="37" t="s">
        <v>1673</v>
      </c>
      <c r="G448" s="130"/>
      <c r="H448" s="130"/>
      <c r="I448" s="130" t="s">
        <v>969</v>
      </c>
      <c r="J448" s="26" t="s">
        <v>1807</v>
      </c>
      <c r="K448" s="26" t="s">
        <v>1807</v>
      </c>
      <c r="L448" s="26" t="s">
        <v>1566</v>
      </c>
      <c r="M448" s="26" t="s">
        <v>1566</v>
      </c>
      <c r="N448" s="26" t="s">
        <v>1566</v>
      </c>
      <c r="O448" s="26" t="s">
        <v>1566</v>
      </c>
      <c r="P448" s="26" t="s">
        <v>290</v>
      </c>
      <c r="Q448" s="26">
        <v>2.0</v>
      </c>
    </row>
    <row r="449" ht="17.25" customHeight="1">
      <c r="A449" s="51">
        <v>46074.69878730324</v>
      </c>
      <c r="B449" s="25" t="s">
        <v>964</v>
      </c>
      <c r="C449" s="55" t="s">
        <v>1560</v>
      </c>
      <c r="D449" s="111">
        <v>46074.0</v>
      </c>
      <c r="E449" s="52">
        <v>20.0</v>
      </c>
      <c r="F449" s="37" t="s">
        <v>1673</v>
      </c>
      <c r="G449" s="130"/>
      <c r="H449" s="130"/>
      <c r="I449" s="130" t="s">
        <v>965</v>
      </c>
      <c r="J449" s="26" t="s">
        <v>1833</v>
      </c>
      <c r="K449" s="26" t="s">
        <v>1833</v>
      </c>
      <c r="L449" s="26" t="s">
        <v>1566</v>
      </c>
      <c r="M449" s="26" t="s">
        <v>1566</v>
      </c>
      <c r="N449" s="26" t="s">
        <v>1566</v>
      </c>
      <c r="O449" s="26" t="s">
        <v>1566</v>
      </c>
      <c r="P449" s="26" t="s">
        <v>643</v>
      </c>
      <c r="Q449" s="26">
        <v>25.0</v>
      </c>
    </row>
    <row r="450" ht="17.25" customHeight="1">
      <c r="A450" s="51">
        <v>46074.699154155096</v>
      </c>
      <c r="B450" s="25" t="s">
        <v>964</v>
      </c>
      <c r="C450" s="55" t="s">
        <v>1892</v>
      </c>
      <c r="D450" s="111">
        <v>46063.0</v>
      </c>
      <c r="E450" s="52">
        <v>10.0</v>
      </c>
      <c r="F450" s="37" t="s">
        <v>1590</v>
      </c>
      <c r="G450" s="130"/>
      <c r="H450" s="130"/>
      <c r="I450" s="130" t="s">
        <v>965</v>
      </c>
      <c r="J450" s="26" t="s">
        <v>1833</v>
      </c>
      <c r="K450" s="26" t="s">
        <v>1833</v>
      </c>
      <c r="L450" s="26" t="s">
        <v>1566</v>
      </c>
      <c r="M450" s="26" t="s">
        <v>1566</v>
      </c>
      <c r="N450" s="26" t="s">
        <v>1566</v>
      </c>
      <c r="O450" s="26" t="s">
        <v>1566</v>
      </c>
      <c r="P450" s="26" t="s">
        <v>643</v>
      </c>
      <c r="Q450" s="26">
        <v>25.0</v>
      </c>
    </row>
    <row r="451" ht="17.25" customHeight="1">
      <c r="A451" s="51">
        <v>46074.70190600694</v>
      </c>
      <c r="B451" s="27" t="s">
        <v>968</v>
      </c>
      <c r="C451" s="55" t="s">
        <v>1892</v>
      </c>
      <c r="D451" s="111">
        <v>46063.0</v>
      </c>
      <c r="E451" s="52">
        <v>1.0</v>
      </c>
      <c r="F451" s="37" t="s">
        <v>2075</v>
      </c>
      <c r="G451" s="130"/>
      <c r="H451" s="130"/>
      <c r="I451" s="130" t="s">
        <v>969</v>
      </c>
      <c r="J451" s="26" t="s">
        <v>1807</v>
      </c>
      <c r="K451" s="26" t="s">
        <v>1807</v>
      </c>
      <c r="L451" s="26" t="s">
        <v>1566</v>
      </c>
      <c r="M451" s="26" t="s">
        <v>1566</v>
      </c>
      <c r="N451" s="26" t="s">
        <v>1566</v>
      </c>
      <c r="O451" s="26" t="s">
        <v>1566</v>
      </c>
      <c r="P451" s="26" t="s">
        <v>290</v>
      </c>
      <c r="Q451" s="26">
        <v>2.0</v>
      </c>
    </row>
    <row r="452" ht="17.25" customHeight="1">
      <c r="A452" s="51">
        <v>46076.419335729166</v>
      </c>
      <c r="B452" s="25" t="s">
        <v>222</v>
      </c>
      <c r="C452" s="55" t="s">
        <v>1892</v>
      </c>
      <c r="D452" s="111">
        <v>46074.0</v>
      </c>
      <c r="E452" s="52">
        <v>1.0</v>
      </c>
      <c r="F452" s="37" t="s">
        <v>1894</v>
      </c>
      <c r="G452" s="130"/>
      <c r="H452" s="130"/>
      <c r="I452" s="130" t="s">
        <v>230</v>
      </c>
      <c r="J452" s="26" t="s">
        <v>1821</v>
      </c>
      <c r="K452" s="26" t="s">
        <v>1822</v>
      </c>
      <c r="L452" s="26" t="s">
        <v>1828</v>
      </c>
      <c r="M452" s="26" t="s">
        <v>1590</v>
      </c>
      <c r="N452" s="26" t="s">
        <v>1566</v>
      </c>
      <c r="O452" s="26" t="s">
        <v>1566</v>
      </c>
      <c r="P452" s="26" t="s">
        <v>661</v>
      </c>
      <c r="Q452" s="26">
        <v>60.0</v>
      </c>
    </row>
    <row r="453" ht="17.25" customHeight="1">
      <c r="A453" s="51">
        <v>46076.41961730324</v>
      </c>
      <c r="B453" s="23" t="s">
        <v>301</v>
      </c>
      <c r="C453" s="55" t="s">
        <v>1892</v>
      </c>
      <c r="D453" s="111">
        <v>46074.0</v>
      </c>
      <c r="E453" s="52">
        <v>10.0</v>
      </c>
      <c r="F453" s="37" t="s">
        <v>2026</v>
      </c>
      <c r="G453" s="130"/>
      <c r="H453" s="130"/>
      <c r="I453" s="130" t="s">
        <v>302</v>
      </c>
      <c r="J453" s="26" t="s">
        <v>1830</v>
      </c>
      <c r="K453" s="26" t="s">
        <v>302</v>
      </c>
      <c r="L453" s="26" t="s">
        <v>1566</v>
      </c>
      <c r="M453" s="26" t="s">
        <v>1566</v>
      </c>
      <c r="N453" s="26" t="s">
        <v>1566</v>
      </c>
      <c r="O453" s="26" t="s">
        <v>1566</v>
      </c>
      <c r="P453" s="26" t="s">
        <v>661</v>
      </c>
      <c r="Q453" s="26">
        <v>580.0</v>
      </c>
    </row>
    <row r="454" ht="17.25" customHeight="1">
      <c r="A454" s="51">
        <v>46076.41994127315</v>
      </c>
      <c r="B454" s="25" t="s">
        <v>964</v>
      </c>
      <c r="C454" s="55" t="s">
        <v>1892</v>
      </c>
      <c r="D454" s="111">
        <v>46074.0</v>
      </c>
      <c r="E454" s="52">
        <v>6.0</v>
      </c>
      <c r="F454" s="37" t="s">
        <v>2026</v>
      </c>
      <c r="G454" s="130"/>
      <c r="H454" s="130"/>
      <c r="I454" s="130" t="s">
        <v>965</v>
      </c>
      <c r="J454" s="26" t="s">
        <v>1833</v>
      </c>
      <c r="K454" s="26" t="s">
        <v>1833</v>
      </c>
      <c r="L454" s="26" t="s">
        <v>1566</v>
      </c>
      <c r="M454" s="26" t="s">
        <v>1566</v>
      </c>
      <c r="N454" s="26" t="s">
        <v>1566</v>
      </c>
      <c r="O454" s="26" t="s">
        <v>1566</v>
      </c>
      <c r="P454" s="26" t="s">
        <v>643</v>
      </c>
      <c r="Q454" s="26">
        <v>25.0</v>
      </c>
    </row>
    <row r="455" ht="17.25" customHeight="1">
      <c r="A455" s="51">
        <v>46076.42029645834</v>
      </c>
      <c r="B455" s="27" t="s">
        <v>994</v>
      </c>
      <c r="C455" s="55" t="s">
        <v>1892</v>
      </c>
      <c r="D455" s="111">
        <v>46074.0</v>
      </c>
      <c r="E455" s="52">
        <v>1.0</v>
      </c>
      <c r="F455" s="37" t="s">
        <v>2076</v>
      </c>
      <c r="G455" s="130"/>
      <c r="H455" s="130"/>
      <c r="I455" s="130" t="s">
        <v>995</v>
      </c>
      <c r="J455" s="26" t="s">
        <v>1807</v>
      </c>
      <c r="K455" s="26" t="s">
        <v>1889</v>
      </c>
      <c r="L455" s="26" t="s">
        <v>1566</v>
      </c>
      <c r="M455" s="26" t="s">
        <v>1566</v>
      </c>
      <c r="N455" s="26" t="s">
        <v>1566</v>
      </c>
      <c r="O455" s="26" t="s">
        <v>1566</v>
      </c>
      <c r="P455" s="26" t="s">
        <v>661</v>
      </c>
      <c r="Q455" s="26">
        <v>9.0</v>
      </c>
    </row>
    <row r="456" ht="17.25" customHeight="1">
      <c r="A456" s="51">
        <v>46076.42029645834</v>
      </c>
      <c r="B456" s="25" t="s">
        <v>139</v>
      </c>
      <c r="C456" s="55" t="s">
        <v>1560</v>
      </c>
      <c r="D456" s="111">
        <v>46074.0</v>
      </c>
      <c r="E456" s="52">
        <v>1000.0</v>
      </c>
      <c r="F456" s="37" t="s">
        <v>1561</v>
      </c>
      <c r="G456" s="130"/>
      <c r="H456" s="130"/>
      <c r="I456" s="130" t="s">
        <v>140</v>
      </c>
      <c r="J456" s="26" t="s">
        <v>1225</v>
      </c>
      <c r="K456" s="26" t="s">
        <v>1562</v>
      </c>
      <c r="L456" s="26" t="s">
        <v>1563</v>
      </c>
      <c r="M456" s="26" t="s">
        <v>1586</v>
      </c>
      <c r="N456" s="26" t="s">
        <v>1566</v>
      </c>
      <c r="O456" s="26" t="s">
        <v>1566</v>
      </c>
      <c r="P456" s="26" t="s">
        <v>22</v>
      </c>
      <c r="Q456" s="26">
        <v>0.0</v>
      </c>
    </row>
    <row r="457" ht="17.25" customHeight="1">
      <c r="A457" s="51">
        <v>46076.443079178236</v>
      </c>
      <c r="B457" s="25" t="s">
        <v>287</v>
      </c>
      <c r="C457" s="55" t="s">
        <v>1892</v>
      </c>
      <c r="D457" s="51">
        <v>46076.443331250004</v>
      </c>
      <c r="E457" s="52">
        <v>2.0</v>
      </c>
      <c r="F457" s="37" t="s">
        <v>1899</v>
      </c>
      <c r="G457" s="130"/>
      <c r="H457" s="130"/>
      <c r="I457" s="130" t="s">
        <v>288</v>
      </c>
      <c r="J457" s="26" t="s">
        <v>1674</v>
      </c>
      <c r="K457" s="26" t="s">
        <v>1675</v>
      </c>
      <c r="L457" s="26" t="s">
        <v>1566</v>
      </c>
      <c r="M457" s="26" t="s">
        <v>1566</v>
      </c>
      <c r="N457" s="26" t="s">
        <v>1676</v>
      </c>
      <c r="O457" s="26" t="s">
        <v>1677</v>
      </c>
      <c r="P457" s="26" t="s">
        <v>290</v>
      </c>
      <c r="Q457" s="26">
        <v>16.0</v>
      </c>
    </row>
    <row r="458" ht="17.25" customHeight="1">
      <c r="A458" s="51">
        <v>46076.44324425926</v>
      </c>
      <c r="B458" s="25" t="s">
        <v>297</v>
      </c>
      <c r="C458" s="55" t="s">
        <v>1892</v>
      </c>
      <c r="D458" s="51">
        <v>46076.443331250004</v>
      </c>
      <c r="E458" s="52">
        <v>2.0</v>
      </c>
      <c r="F458" s="37" t="s">
        <v>1899</v>
      </c>
      <c r="G458" s="130"/>
      <c r="H458" s="130"/>
      <c r="I458" s="130" t="s">
        <v>298</v>
      </c>
      <c r="J458" s="26" t="s">
        <v>1674</v>
      </c>
      <c r="K458" s="26" t="s">
        <v>1675</v>
      </c>
      <c r="L458" s="26" t="s">
        <v>1566</v>
      </c>
      <c r="M458" s="26" t="s">
        <v>1566</v>
      </c>
      <c r="N458" s="26" t="s">
        <v>1680</v>
      </c>
      <c r="O458" s="26" t="s">
        <v>1677</v>
      </c>
      <c r="P458" s="26" t="s">
        <v>290</v>
      </c>
      <c r="Q458" s="26">
        <v>10.0</v>
      </c>
    </row>
    <row r="459" ht="17.25" customHeight="1">
      <c r="A459" s="51">
        <v>46076.443331250004</v>
      </c>
      <c r="B459" s="25" t="s">
        <v>304</v>
      </c>
      <c r="C459" s="55" t="s">
        <v>1892</v>
      </c>
      <c r="D459" s="51">
        <v>46076.443331250004</v>
      </c>
      <c r="E459" s="52">
        <v>2.0</v>
      </c>
      <c r="F459" s="37" t="s">
        <v>1899</v>
      </c>
      <c r="G459" s="130"/>
      <c r="H459" s="130"/>
      <c r="I459" s="130" t="s">
        <v>306</v>
      </c>
      <c r="J459" s="26" t="s">
        <v>1674</v>
      </c>
      <c r="K459" s="26" t="s">
        <v>1675</v>
      </c>
      <c r="L459" s="26" t="s">
        <v>1566</v>
      </c>
      <c r="M459" s="26" t="s">
        <v>1566</v>
      </c>
      <c r="N459" s="26" t="s">
        <v>1682</v>
      </c>
      <c r="O459" s="26" t="s">
        <v>1677</v>
      </c>
      <c r="P459" s="26" t="s">
        <v>290</v>
      </c>
      <c r="Q459" s="26">
        <v>6.0</v>
      </c>
    </row>
    <row r="460" ht="17.25" customHeight="1">
      <c r="A460" s="51">
        <v>46076.49642275463</v>
      </c>
      <c r="B460" s="2" t="s">
        <v>1914</v>
      </c>
      <c r="C460" s="55" t="s">
        <v>1892</v>
      </c>
      <c r="D460" s="51">
        <v>46076.443331250004</v>
      </c>
      <c r="E460" s="52">
        <v>1000.0</v>
      </c>
      <c r="F460" s="37" t="s">
        <v>1561</v>
      </c>
      <c r="G460" s="37" t="s">
        <v>2077</v>
      </c>
      <c r="H460" s="130"/>
      <c r="I460" s="130" t="s">
        <v>1915</v>
      </c>
      <c r="J460" s="26" t="s">
        <v>1225</v>
      </c>
      <c r="K460" s="26" t="s">
        <v>1896</v>
      </c>
      <c r="L460" s="26" t="s">
        <v>1930</v>
      </c>
      <c r="M460" s="26" t="s">
        <v>1597</v>
      </c>
      <c r="N460" s="26" t="s">
        <v>1566</v>
      </c>
      <c r="O460" s="26" t="s">
        <v>1654</v>
      </c>
      <c r="P460" s="26" t="s">
        <v>22</v>
      </c>
      <c r="Q460" s="26">
        <v>0.0</v>
      </c>
    </row>
    <row r="461" ht="17.25" customHeight="1">
      <c r="A461" s="51">
        <v>46076.501051053245</v>
      </c>
      <c r="B461" s="26" t="s">
        <v>1034</v>
      </c>
      <c r="C461" s="55" t="s">
        <v>1560</v>
      </c>
      <c r="D461" s="111">
        <v>46074.0</v>
      </c>
      <c r="E461" s="52">
        <v>200.0</v>
      </c>
      <c r="F461" s="37" t="s">
        <v>1561</v>
      </c>
      <c r="G461" s="37" t="s">
        <v>2078</v>
      </c>
      <c r="H461" s="130"/>
      <c r="I461" s="130" t="s">
        <v>1035</v>
      </c>
      <c r="J461" s="26" t="s">
        <v>1225</v>
      </c>
      <c r="K461" s="26" t="s">
        <v>1646</v>
      </c>
      <c r="L461" s="26" t="s">
        <v>1625</v>
      </c>
      <c r="M461" s="26" t="s">
        <v>2047</v>
      </c>
      <c r="N461" s="26" t="s">
        <v>1566</v>
      </c>
      <c r="O461" s="26" t="s">
        <v>1566</v>
      </c>
      <c r="P461" s="26" t="s">
        <v>22</v>
      </c>
      <c r="Q461" s="26">
        <v>90.0</v>
      </c>
    </row>
    <row r="462" ht="17.25" customHeight="1">
      <c r="A462" s="51">
        <v>46076.501307303246</v>
      </c>
      <c r="B462" s="26" t="s">
        <v>1034</v>
      </c>
      <c r="C462" s="55" t="s">
        <v>1892</v>
      </c>
      <c r="D462" s="51">
        <v>46076.443331250004</v>
      </c>
      <c r="E462" s="52">
        <v>200.0</v>
      </c>
      <c r="F462" s="37" t="s">
        <v>1561</v>
      </c>
      <c r="G462" s="37">
        <v>577.0</v>
      </c>
      <c r="H462" s="130"/>
      <c r="I462" s="130" t="s">
        <v>1035</v>
      </c>
      <c r="J462" s="26" t="s">
        <v>1225</v>
      </c>
      <c r="K462" s="26" t="s">
        <v>1646</v>
      </c>
      <c r="L462" s="26" t="s">
        <v>1625</v>
      </c>
      <c r="M462" s="26" t="s">
        <v>2047</v>
      </c>
      <c r="N462" s="26" t="s">
        <v>1566</v>
      </c>
      <c r="O462" s="26" t="s">
        <v>1566</v>
      </c>
      <c r="P462" s="26" t="s">
        <v>22</v>
      </c>
      <c r="Q462" s="26">
        <v>90.0</v>
      </c>
    </row>
    <row r="463" ht="17.25" customHeight="1">
      <c r="A463" s="51">
        <v>46076.51285719908</v>
      </c>
      <c r="B463" s="25" t="s">
        <v>139</v>
      </c>
      <c r="C463" s="55" t="s">
        <v>1892</v>
      </c>
      <c r="D463" s="51">
        <v>46076.443331250004</v>
      </c>
      <c r="E463" s="52">
        <v>1000.0</v>
      </c>
      <c r="F463" s="37" t="s">
        <v>1561</v>
      </c>
      <c r="G463" s="37">
        <v>578.0</v>
      </c>
      <c r="H463" s="130"/>
      <c r="I463" s="130" t="s">
        <v>140</v>
      </c>
      <c r="J463" s="26" t="s">
        <v>1225</v>
      </c>
      <c r="K463" s="26" t="s">
        <v>1562</v>
      </c>
      <c r="L463" s="26" t="s">
        <v>1563</v>
      </c>
      <c r="M463" s="26" t="s">
        <v>1586</v>
      </c>
      <c r="N463" s="26" t="s">
        <v>1566</v>
      </c>
      <c r="O463" s="26" t="s">
        <v>1566</v>
      </c>
      <c r="P463" s="26" t="s">
        <v>22</v>
      </c>
      <c r="Q463" s="26">
        <v>0.0</v>
      </c>
    </row>
    <row r="464" ht="17.25" customHeight="1">
      <c r="A464" s="51">
        <v>46076.56916002315</v>
      </c>
      <c r="B464" s="23" t="s">
        <v>301</v>
      </c>
      <c r="C464" s="55" t="s">
        <v>1892</v>
      </c>
      <c r="D464" s="51">
        <v>46076.443331250004</v>
      </c>
      <c r="E464" s="52">
        <v>10.0</v>
      </c>
      <c r="F464" s="37" t="s">
        <v>1894</v>
      </c>
      <c r="G464" s="130"/>
      <c r="H464" s="130"/>
      <c r="I464" s="130" t="s">
        <v>302</v>
      </c>
      <c r="J464" s="26" t="s">
        <v>1830</v>
      </c>
      <c r="K464" s="26" t="s">
        <v>302</v>
      </c>
      <c r="L464" s="26" t="s">
        <v>1566</v>
      </c>
      <c r="M464" s="26" t="s">
        <v>1566</v>
      </c>
      <c r="N464" s="26" t="s">
        <v>1566</v>
      </c>
      <c r="O464" s="26" t="s">
        <v>1566</v>
      </c>
      <c r="P464" s="26" t="s">
        <v>661</v>
      </c>
      <c r="Q464" s="26">
        <v>580.0</v>
      </c>
    </row>
    <row r="465" ht="17.25" customHeight="1">
      <c r="A465" s="51">
        <v>46076.56957465278</v>
      </c>
      <c r="B465" s="23" t="s">
        <v>312</v>
      </c>
      <c r="C465" s="55" t="s">
        <v>1892</v>
      </c>
      <c r="D465" s="51">
        <v>46076.443331250004</v>
      </c>
      <c r="E465" s="52">
        <v>2.0</v>
      </c>
      <c r="F465" s="37" t="s">
        <v>1894</v>
      </c>
      <c r="G465" s="130"/>
      <c r="H465" s="130"/>
      <c r="I465" s="130" t="s">
        <v>319</v>
      </c>
      <c r="J465" s="26" t="s">
        <v>1821</v>
      </c>
      <c r="K465" s="26" t="s">
        <v>1822</v>
      </c>
      <c r="L465" s="26" t="s">
        <v>1566</v>
      </c>
      <c r="M465" s="26" t="s">
        <v>1566</v>
      </c>
      <c r="N465" s="26" t="s">
        <v>1566</v>
      </c>
      <c r="O465" s="26" t="s">
        <v>1829</v>
      </c>
      <c r="P465" s="26" t="s">
        <v>661</v>
      </c>
      <c r="Q465" s="26">
        <v>17.0</v>
      </c>
    </row>
    <row r="466" ht="17.25" customHeight="1">
      <c r="A466" s="51">
        <v>46076.56986737269</v>
      </c>
      <c r="B466" s="25" t="s">
        <v>222</v>
      </c>
      <c r="C466" s="55" t="s">
        <v>1892</v>
      </c>
      <c r="D466" s="51">
        <v>46076.443331250004</v>
      </c>
      <c r="E466" s="52">
        <v>1.0</v>
      </c>
      <c r="F466" s="37" t="s">
        <v>1894</v>
      </c>
      <c r="G466" s="130"/>
      <c r="H466" s="130"/>
      <c r="I466" s="130" t="s">
        <v>230</v>
      </c>
      <c r="J466" s="26" t="s">
        <v>1821</v>
      </c>
      <c r="K466" s="26" t="s">
        <v>1822</v>
      </c>
      <c r="L466" s="26" t="s">
        <v>1828</v>
      </c>
      <c r="M466" s="26" t="s">
        <v>1590</v>
      </c>
      <c r="N466" s="26" t="s">
        <v>1566</v>
      </c>
      <c r="O466" s="26" t="s">
        <v>1566</v>
      </c>
      <c r="P466" s="26" t="s">
        <v>661</v>
      </c>
      <c r="Q466" s="26">
        <v>60.0</v>
      </c>
    </row>
    <row r="467" ht="17.25" customHeight="1">
      <c r="A467" s="51">
        <v>46076.605901041665</v>
      </c>
      <c r="B467" s="23" t="s">
        <v>876</v>
      </c>
      <c r="C467" s="55" t="s">
        <v>1892</v>
      </c>
      <c r="D467" s="51">
        <v>46076.443331250004</v>
      </c>
      <c r="E467" s="52">
        <v>4.0</v>
      </c>
      <c r="F467" s="37" t="s">
        <v>1908</v>
      </c>
      <c r="G467" s="130"/>
      <c r="H467" s="130"/>
      <c r="I467" s="130" t="s">
        <v>878</v>
      </c>
      <c r="J467" s="26" t="s">
        <v>1830</v>
      </c>
      <c r="K467" s="26" t="s">
        <v>1879</v>
      </c>
      <c r="L467" s="26" t="s">
        <v>1566</v>
      </c>
      <c r="M467" s="26" t="s">
        <v>1566</v>
      </c>
      <c r="N467" s="26" t="s">
        <v>1566</v>
      </c>
      <c r="O467" s="26" t="s">
        <v>1566</v>
      </c>
      <c r="P467" s="26" t="s">
        <v>643</v>
      </c>
      <c r="Q467" s="26">
        <v>34.0</v>
      </c>
    </row>
    <row r="468" ht="17.25" customHeight="1">
      <c r="A468" s="51">
        <v>46077.40421729167</v>
      </c>
      <c r="B468" s="25" t="s">
        <v>932</v>
      </c>
      <c r="C468" s="55" t="s">
        <v>1560</v>
      </c>
      <c r="D468" s="51">
        <v>46076.443331250004</v>
      </c>
      <c r="E468" s="52">
        <v>1000.0</v>
      </c>
      <c r="F468" s="37" t="s">
        <v>1561</v>
      </c>
      <c r="G468" s="130"/>
      <c r="H468" s="130"/>
      <c r="I468" s="130" t="s">
        <v>933</v>
      </c>
      <c r="J468" s="26" t="s">
        <v>1225</v>
      </c>
      <c r="K468" s="26" t="s">
        <v>1562</v>
      </c>
      <c r="L468" s="26" t="s">
        <v>1600</v>
      </c>
      <c r="M468" s="26" t="s">
        <v>1572</v>
      </c>
      <c r="N468" s="26" t="s">
        <v>1571</v>
      </c>
      <c r="O468" s="26" t="s">
        <v>1566</v>
      </c>
      <c r="P468" s="26" t="s">
        <v>22</v>
      </c>
      <c r="Q468" s="26">
        <v>400.0</v>
      </c>
    </row>
    <row r="469" ht="17.25" customHeight="1">
      <c r="A469" s="51">
        <v>46077.404768402776</v>
      </c>
      <c r="B469" s="25" t="s">
        <v>710</v>
      </c>
      <c r="C469" s="55" t="s">
        <v>1892</v>
      </c>
      <c r="D469" s="111">
        <v>46077.0</v>
      </c>
      <c r="E469" s="52">
        <v>50.0</v>
      </c>
      <c r="F469" s="37" t="s">
        <v>1908</v>
      </c>
      <c r="G469" s="130"/>
      <c r="H469" s="130"/>
      <c r="I469" s="130" t="s">
        <v>711</v>
      </c>
      <c r="J469" s="26" t="s">
        <v>1821</v>
      </c>
      <c r="K469" s="26" t="s">
        <v>1821</v>
      </c>
      <c r="L469" s="26" t="s">
        <v>1566</v>
      </c>
      <c r="M469" s="26" t="s">
        <v>1566</v>
      </c>
      <c r="N469" s="26" t="s">
        <v>1566</v>
      </c>
      <c r="O469" s="26" t="s">
        <v>1566</v>
      </c>
      <c r="P469" s="26" t="s">
        <v>290</v>
      </c>
      <c r="Q469" s="26">
        <v>50.0</v>
      </c>
    </row>
    <row r="470" ht="17.25" customHeight="1">
      <c r="A470" s="51">
        <v>46077.42235234954</v>
      </c>
      <c r="B470" s="25" t="s">
        <v>347</v>
      </c>
      <c r="C470" s="55" t="s">
        <v>1892</v>
      </c>
      <c r="D470" s="111">
        <v>46077.0</v>
      </c>
      <c r="E470" s="52">
        <v>500.0</v>
      </c>
      <c r="F470" s="37" t="s">
        <v>1561</v>
      </c>
      <c r="G470" s="37">
        <v>579.0</v>
      </c>
      <c r="H470" s="130"/>
      <c r="I470" s="130" t="s">
        <v>349</v>
      </c>
      <c r="J470" s="26" t="s">
        <v>1225</v>
      </c>
      <c r="K470" s="26" t="s">
        <v>1562</v>
      </c>
      <c r="L470" s="26" t="s">
        <v>1591</v>
      </c>
      <c r="M470" s="26" t="s">
        <v>1564</v>
      </c>
      <c r="N470" s="26" t="s">
        <v>1565</v>
      </c>
      <c r="O470" s="26" t="s">
        <v>1566</v>
      </c>
      <c r="P470" s="26" t="s">
        <v>22</v>
      </c>
      <c r="Q470" s="26">
        <v>1800.0</v>
      </c>
    </row>
    <row r="471" ht="17.25" customHeight="1">
      <c r="A471" s="51">
        <v>46077.439936145835</v>
      </c>
      <c r="B471" s="27" t="s">
        <v>1928</v>
      </c>
      <c r="C471" s="55" t="s">
        <v>1560</v>
      </c>
      <c r="D471" s="111">
        <v>46054.0</v>
      </c>
      <c r="E471" s="52">
        <v>20.0</v>
      </c>
      <c r="F471" s="37" t="s">
        <v>1673</v>
      </c>
      <c r="G471" s="130"/>
      <c r="H471" s="130"/>
      <c r="I471" s="130" t="s">
        <v>1929</v>
      </c>
      <c r="J471" s="26" t="s">
        <v>1812</v>
      </c>
      <c r="K471" s="26" t="s">
        <v>1815</v>
      </c>
      <c r="L471" s="26" t="s">
        <v>1566</v>
      </c>
      <c r="M471" s="26" t="s">
        <v>1566</v>
      </c>
      <c r="N471" s="26" t="s">
        <v>1566</v>
      </c>
      <c r="O471" s="26" t="s">
        <v>2079</v>
      </c>
      <c r="P471" s="26" t="s">
        <v>616</v>
      </c>
      <c r="Q471" s="26">
        <v>0.0</v>
      </c>
    </row>
    <row r="472" ht="17.25" customHeight="1">
      <c r="A472" s="51">
        <v>46077.44020744213</v>
      </c>
      <c r="B472" s="27" t="s">
        <v>1928</v>
      </c>
      <c r="C472" s="55" t="s">
        <v>1892</v>
      </c>
      <c r="D472" s="51">
        <v>46077.44020744213</v>
      </c>
      <c r="E472" s="52">
        <v>20.0</v>
      </c>
      <c r="F472" s="37" t="s">
        <v>1899</v>
      </c>
      <c r="G472" s="130"/>
      <c r="H472" s="130"/>
      <c r="I472" s="130" t="s">
        <v>1929</v>
      </c>
      <c r="J472" s="26" t="s">
        <v>1812</v>
      </c>
      <c r="K472" s="26" t="s">
        <v>1815</v>
      </c>
      <c r="L472" s="26" t="s">
        <v>1566</v>
      </c>
      <c r="M472" s="26" t="s">
        <v>1566</v>
      </c>
      <c r="N472" s="26" t="s">
        <v>1566</v>
      </c>
      <c r="O472" s="26" t="s">
        <v>2079</v>
      </c>
      <c r="P472" s="26" t="s">
        <v>616</v>
      </c>
      <c r="Q472" s="26">
        <v>0.0</v>
      </c>
    </row>
    <row r="473" ht="17.25" customHeight="1">
      <c r="A473" s="51">
        <v>46077.44056739583</v>
      </c>
      <c r="B473" s="25" t="s">
        <v>932</v>
      </c>
      <c r="C473" s="55" t="s">
        <v>1892</v>
      </c>
      <c r="D473" s="51">
        <v>46077.44020744213</v>
      </c>
      <c r="E473" s="52">
        <v>900.0</v>
      </c>
      <c r="F473" s="37" t="s">
        <v>1899</v>
      </c>
      <c r="G473" s="130"/>
      <c r="H473" s="130"/>
      <c r="I473" s="130" t="s">
        <v>933</v>
      </c>
      <c r="J473" s="26" t="s">
        <v>1225</v>
      </c>
      <c r="K473" s="26" t="s">
        <v>1562</v>
      </c>
      <c r="L473" s="26" t="s">
        <v>1600</v>
      </c>
      <c r="M473" s="26" t="s">
        <v>1572</v>
      </c>
      <c r="N473" s="26" t="s">
        <v>1571</v>
      </c>
      <c r="O473" s="26" t="s">
        <v>1566</v>
      </c>
      <c r="P473" s="26" t="s">
        <v>22</v>
      </c>
      <c r="Q473" s="26">
        <v>400.0</v>
      </c>
    </row>
    <row r="474" ht="17.25" customHeight="1">
      <c r="A474" s="51">
        <v>46077.44095297453</v>
      </c>
      <c r="B474" s="25" t="s">
        <v>222</v>
      </c>
      <c r="C474" s="55" t="s">
        <v>1892</v>
      </c>
      <c r="D474" s="51">
        <v>46077.44020744213</v>
      </c>
      <c r="E474" s="52">
        <v>1.0</v>
      </c>
      <c r="F474" s="37" t="s">
        <v>1907</v>
      </c>
      <c r="G474" s="130"/>
      <c r="H474" s="130"/>
      <c r="I474" s="130" t="s">
        <v>230</v>
      </c>
      <c r="J474" s="26" t="s">
        <v>1821</v>
      </c>
      <c r="K474" s="26" t="s">
        <v>1822</v>
      </c>
      <c r="L474" s="26" t="s">
        <v>1828</v>
      </c>
      <c r="M474" s="26" t="s">
        <v>1590</v>
      </c>
      <c r="N474" s="26" t="s">
        <v>1566</v>
      </c>
      <c r="O474" s="26" t="s">
        <v>1566</v>
      </c>
      <c r="P474" s="26" t="s">
        <v>661</v>
      </c>
      <c r="Q474" s="26">
        <v>60.0</v>
      </c>
    </row>
    <row r="475" ht="17.25" customHeight="1">
      <c r="A475" s="51">
        <v>46077.49940987269</v>
      </c>
      <c r="B475" s="26" t="s">
        <v>1793</v>
      </c>
      <c r="C475" s="55" t="s">
        <v>1560</v>
      </c>
      <c r="D475" s="51">
        <v>46077.44020744213</v>
      </c>
      <c r="E475" s="52">
        <v>27.0</v>
      </c>
      <c r="F475" s="37" t="s">
        <v>2080</v>
      </c>
      <c r="H475" s="130"/>
      <c r="I475" s="130" t="s">
        <v>1794</v>
      </c>
      <c r="J475" s="26" t="s">
        <v>1225</v>
      </c>
      <c r="K475" s="26" t="s">
        <v>1642</v>
      </c>
      <c r="L475" s="26" t="s">
        <v>1625</v>
      </c>
      <c r="M475" s="26" t="s">
        <v>1566</v>
      </c>
      <c r="N475" s="26" t="s">
        <v>1566</v>
      </c>
      <c r="O475" s="26" t="s">
        <v>2081</v>
      </c>
      <c r="P475" s="26" t="s">
        <v>22</v>
      </c>
      <c r="Q475" s="26">
        <v>0.0</v>
      </c>
    </row>
    <row r="476" ht="17.25" customHeight="1">
      <c r="A476" s="51">
        <v>46077.52462797453</v>
      </c>
      <c r="B476" s="26" t="s">
        <v>1793</v>
      </c>
      <c r="C476" s="55" t="s">
        <v>1892</v>
      </c>
      <c r="D476" s="51">
        <v>46077.44020744213</v>
      </c>
      <c r="E476" s="52">
        <v>27.0</v>
      </c>
      <c r="F476" s="37" t="s">
        <v>2080</v>
      </c>
      <c r="G476" s="37">
        <v>583.0</v>
      </c>
      <c r="H476" s="130"/>
      <c r="I476" s="130" t="s">
        <v>1794</v>
      </c>
      <c r="J476" s="26" t="s">
        <v>1225</v>
      </c>
      <c r="K476" s="26" t="s">
        <v>1642</v>
      </c>
      <c r="L476" s="26" t="s">
        <v>1625</v>
      </c>
      <c r="M476" s="26" t="s">
        <v>1566</v>
      </c>
      <c r="N476" s="26" t="s">
        <v>1566</v>
      </c>
      <c r="O476" s="26" t="s">
        <v>2081</v>
      </c>
      <c r="P476" s="26" t="s">
        <v>22</v>
      </c>
      <c r="Q476" s="26">
        <v>0.0</v>
      </c>
    </row>
    <row r="477" ht="17.25" customHeight="1">
      <c r="A477" s="51">
        <v>46077.56881409722</v>
      </c>
      <c r="B477" s="25" t="s">
        <v>667</v>
      </c>
      <c r="C477" s="55" t="s">
        <v>1560</v>
      </c>
      <c r="D477" s="51">
        <v>46077.44020744213</v>
      </c>
      <c r="E477" s="52">
        <v>12.0</v>
      </c>
      <c r="F477" s="37" t="s">
        <v>1673</v>
      </c>
      <c r="G477" s="130"/>
      <c r="H477" s="130"/>
      <c r="I477" s="130" t="s">
        <v>668</v>
      </c>
      <c r="J477" s="26" t="s">
        <v>1821</v>
      </c>
      <c r="K477" s="26" t="s">
        <v>1822</v>
      </c>
      <c r="L477" s="26" t="s">
        <v>1824</v>
      </c>
      <c r="M477" s="26" t="s">
        <v>1566</v>
      </c>
      <c r="N477" s="26" t="s">
        <v>1566</v>
      </c>
      <c r="O477" s="26" t="s">
        <v>1566</v>
      </c>
      <c r="P477" s="26" t="s">
        <v>661</v>
      </c>
      <c r="Q477" s="26">
        <v>8.0</v>
      </c>
    </row>
    <row r="478" ht="17.25" customHeight="1">
      <c r="A478" s="51">
        <v>46077.56912163194</v>
      </c>
      <c r="B478" s="25" t="s">
        <v>978</v>
      </c>
      <c r="C478" s="55" t="s">
        <v>1560</v>
      </c>
      <c r="D478" s="51">
        <v>46077.44020744213</v>
      </c>
      <c r="E478" s="52">
        <v>10.0</v>
      </c>
      <c r="F478" s="37" t="s">
        <v>1673</v>
      </c>
      <c r="G478" s="130"/>
      <c r="H478" s="130"/>
      <c r="I478" s="130" t="s">
        <v>979</v>
      </c>
      <c r="J478" s="26" t="s">
        <v>1821</v>
      </c>
      <c r="K478" s="26" t="s">
        <v>1822</v>
      </c>
      <c r="L478" s="26" t="s">
        <v>2003</v>
      </c>
      <c r="M478" s="26" t="s">
        <v>1566</v>
      </c>
      <c r="N478" s="26" t="s">
        <v>1566</v>
      </c>
      <c r="O478" s="26" t="s">
        <v>1566</v>
      </c>
      <c r="P478" s="26" t="s">
        <v>661</v>
      </c>
      <c r="Q478" s="26">
        <v>15.0</v>
      </c>
    </row>
    <row r="479" ht="17.25" customHeight="1">
      <c r="A479" s="51">
        <v>46077.56927649306</v>
      </c>
      <c r="B479" s="25" t="s">
        <v>978</v>
      </c>
      <c r="C479" s="55" t="s">
        <v>1892</v>
      </c>
      <c r="D479" s="51">
        <v>46077.44020744213</v>
      </c>
      <c r="E479" s="52">
        <v>3.0</v>
      </c>
      <c r="F479" s="37" t="s">
        <v>1908</v>
      </c>
      <c r="G479" s="130"/>
      <c r="H479" s="130"/>
      <c r="I479" s="130" t="s">
        <v>979</v>
      </c>
      <c r="J479" s="26" t="s">
        <v>1821</v>
      </c>
      <c r="K479" s="26" t="s">
        <v>1822</v>
      </c>
      <c r="L479" s="26" t="s">
        <v>2003</v>
      </c>
      <c r="M479" s="26" t="s">
        <v>1566</v>
      </c>
      <c r="N479" s="26" t="s">
        <v>1566</v>
      </c>
      <c r="O479" s="26" t="s">
        <v>1566</v>
      </c>
      <c r="P479" s="26" t="s">
        <v>661</v>
      </c>
      <c r="Q479" s="26">
        <v>15.0</v>
      </c>
    </row>
    <row r="480" ht="17.25" customHeight="1">
      <c r="A480" s="51">
        <v>46077.56938141204</v>
      </c>
      <c r="B480" s="25" t="s">
        <v>978</v>
      </c>
      <c r="C480" s="55" t="s">
        <v>1892</v>
      </c>
      <c r="D480" s="111">
        <v>46065.0</v>
      </c>
      <c r="E480" s="52">
        <v>10.0</v>
      </c>
      <c r="F480" s="37" t="s">
        <v>1908</v>
      </c>
      <c r="G480" s="130"/>
      <c r="H480" s="130"/>
      <c r="I480" s="130" t="s">
        <v>979</v>
      </c>
      <c r="J480" s="26" t="s">
        <v>1821</v>
      </c>
      <c r="K480" s="26" t="s">
        <v>1822</v>
      </c>
      <c r="L480" s="26" t="s">
        <v>2003</v>
      </c>
      <c r="M480" s="26" t="s">
        <v>1566</v>
      </c>
      <c r="N480" s="26" t="s">
        <v>1566</v>
      </c>
      <c r="O480" s="26" t="s">
        <v>1566</v>
      </c>
      <c r="P480" s="26" t="s">
        <v>661</v>
      </c>
      <c r="Q480" s="26">
        <v>15.0</v>
      </c>
    </row>
    <row r="481" ht="17.25" customHeight="1">
      <c r="A481" s="167">
        <v>46077.57297138889</v>
      </c>
      <c r="B481" s="172" t="s">
        <v>278</v>
      </c>
      <c r="C481" s="56" t="s">
        <v>1560</v>
      </c>
      <c r="D481" s="51">
        <v>46077.44020744213</v>
      </c>
      <c r="E481" s="37">
        <v>4.0</v>
      </c>
      <c r="F481" s="37" t="s">
        <v>1673</v>
      </c>
      <c r="G481" s="130"/>
      <c r="H481" s="130"/>
      <c r="I481" s="130" t="s">
        <v>279</v>
      </c>
      <c r="J481" s="26" t="s">
        <v>1674</v>
      </c>
      <c r="K481" s="26" t="s">
        <v>1675</v>
      </c>
      <c r="L481" s="26" t="s">
        <v>1566</v>
      </c>
      <c r="M481" s="26" t="s">
        <v>1566</v>
      </c>
      <c r="N481" s="26" t="s">
        <v>1682</v>
      </c>
      <c r="O481" s="26" t="s">
        <v>1566</v>
      </c>
      <c r="P481" s="26" t="s">
        <v>290</v>
      </c>
      <c r="Q481" s="26">
        <v>6.0</v>
      </c>
    </row>
    <row r="482" ht="17.25" customHeight="1">
      <c r="A482" s="167">
        <v>46077.57297138889</v>
      </c>
      <c r="B482" s="172" t="s">
        <v>664</v>
      </c>
      <c r="C482" s="56" t="s">
        <v>1560</v>
      </c>
      <c r="D482" s="51">
        <v>46077.44020744213</v>
      </c>
      <c r="E482" s="37">
        <v>4.0</v>
      </c>
      <c r="F482" s="37" t="s">
        <v>1673</v>
      </c>
      <c r="G482" s="130"/>
      <c r="H482" s="130"/>
      <c r="I482" s="130" t="s">
        <v>665</v>
      </c>
      <c r="J482" s="26" t="s">
        <v>1674</v>
      </c>
      <c r="K482" s="26" t="s">
        <v>1675</v>
      </c>
      <c r="L482" s="26" t="s">
        <v>1566</v>
      </c>
      <c r="M482" s="26" t="s">
        <v>1566</v>
      </c>
      <c r="N482" s="26" t="s">
        <v>1565</v>
      </c>
      <c r="O482" s="26" t="s">
        <v>1566</v>
      </c>
      <c r="P482" s="26" t="s">
        <v>290</v>
      </c>
      <c r="Q482" s="26">
        <v>2.0</v>
      </c>
    </row>
    <row r="483" ht="17.25" customHeight="1">
      <c r="A483" s="167">
        <v>46077.57297138889</v>
      </c>
      <c r="B483" s="172" t="s">
        <v>687</v>
      </c>
      <c r="C483" s="56" t="s">
        <v>1560</v>
      </c>
      <c r="D483" s="51">
        <v>46077.44020744213</v>
      </c>
      <c r="E483" s="37">
        <v>4.0</v>
      </c>
      <c r="F483" s="37" t="s">
        <v>1673</v>
      </c>
      <c r="G483" s="130"/>
      <c r="H483" s="130"/>
      <c r="I483" s="130" t="s">
        <v>689</v>
      </c>
      <c r="J483" s="26" t="s">
        <v>1674</v>
      </c>
      <c r="K483" s="26" t="s">
        <v>1675</v>
      </c>
      <c r="L483" s="26" t="s">
        <v>1566</v>
      </c>
      <c r="M483" s="26" t="s">
        <v>1566</v>
      </c>
      <c r="N483" s="26" t="s">
        <v>1680</v>
      </c>
      <c r="O483" s="26" t="s">
        <v>1566</v>
      </c>
      <c r="P483" s="26" t="s">
        <v>290</v>
      </c>
      <c r="Q483" s="26">
        <v>5.0</v>
      </c>
    </row>
    <row r="484" ht="17.25" customHeight="1">
      <c r="A484" s="167">
        <v>46077.57297138889</v>
      </c>
      <c r="B484" s="172" t="s">
        <v>269</v>
      </c>
      <c r="C484" s="56" t="s">
        <v>1560</v>
      </c>
      <c r="D484" s="51">
        <v>46077.44020744213</v>
      </c>
      <c r="E484" s="37">
        <v>4.0</v>
      </c>
      <c r="F484" s="37" t="s">
        <v>1673</v>
      </c>
      <c r="G484" s="130"/>
      <c r="H484" s="130"/>
      <c r="I484" s="130" t="s">
        <v>270</v>
      </c>
      <c r="J484" s="26" t="s">
        <v>1674</v>
      </c>
      <c r="K484" s="26" t="s">
        <v>1675</v>
      </c>
      <c r="L484" s="26" t="s">
        <v>1566</v>
      </c>
      <c r="M484" s="26" t="s">
        <v>1566</v>
      </c>
      <c r="N484" s="26" t="s">
        <v>1678</v>
      </c>
      <c r="O484" s="26" t="s">
        <v>1566</v>
      </c>
      <c r="P484" s="26" t="s">
        <v>290</v>
      </c>
      <c r="Q484" s="26">
        <v>4.0</v>
      </c>
    </row>
    <row r="485" ht="17.25" customHeight="1">
      <c r="A485" s="167">
        <v>46077.57297138889</v>
      </c>
      <c r="B485" s="172" t="s">
        <v>672</v>
      </c>
      <c r="C485" s="56" t="s">
        <v>1560</v>
      </c>
      <c r="D485" s="51">
        <v>46077.44020744213</v>
      </c>
      <c r="E485" s="37">
        <v>4.0</v>
      </c>
      <c r="F485" s="37" t="s">
        <v>1673</v>
      </c>
      <c r="G485" s="130"/>
      <c r="H485" s="130"/>
      <c r="I485" s="130" t="s">
        <v>673</v>
      </c>
      <c r="J485" s="26" t="s">
        <v>1674</v>
      </c>
      <c r="K485" s="26" t="s">
        <v>1675</v>
      </c>
      <c r="L485" s="26" t="s">
        <v>1566</v>
      </c>
      <c r="M485" s="26" t="s">
        <v>1566</v>
      </c>
      <c r="N485" s="26" t="s">
        <v>1676</v>
      </c>
      <c r="O485" s="26" t="s">
        <v>1566</v>
      </c>
      <c r="P485" s="26" t="s">
        <v>290</v>
      </c>
      <c r="Q485" s="26">
        <v>5.0</v>
      </c>
    </row>
    <row r="486" ht="17.25" customHeight="1">
      <c r="A486" s="167">
        <v>46077.65658200231</v>
      </c>
      <c r="B486" s="25" t="s">
        <v>667</v>
      </c>
      <c r="C486" s="56" t="s">
        <v>1892</v>
      </c>
      <c r="D486" s="51">
        <v>46077.44020744213</v>
      </c>
      <c r="E486" s="37">
        <v>3.0</v>
      </c>
      <c r="F486" s="37" t="s">
        <v>1908</v>
      </c>
      <c r="G486" s="130"/>
      <c r="H486" s="130"/>
      <c r="I486" s="130" t="s">
        <v>668</v>
      </c>
      <c r="J486" s="26" t="s">
        <v>1821</v>
      </c>
      <c r="K486" s="26" t="s">
        <v>1822</v>
      </c>
      <c r="L486" s="26" t="s">
        <v>1824</v>
      </c>
      <c r="M486" s="26" t="s">
        <v>1566</v>
      </c>
      <c r="N486" s="26" t="s">
        <v>1566</v>
      </c>
      <c r="O486" s="26" t="s">
        <v>1566</v>
      </c>
      <c r="P486" s="26" t="s">
        <v>661</v>
      </c>
      <c r="Q486" s="26">
        <v>8.0</v>
      </c>
    </row>
    <row r="487" ht="17.25" customHeight="1">
      <c r="A487" s="167">
        <v>46077.657429756946</v>
      </c>
      <c r="B487" s="23" t="s">
        <v>301</v>
      </c>
      <c r="C487" s="56" t="s">
        <v>1892</v>
      </c>
      <c r="D487" s="51">
        <v>46077.44020744213</v>
      </c>
      <c r="E487" s="37">
        <v>10.0</v>
      </c>
      <c r="F487" s="37" t="s">
        <v>1894</v>
      </c>
      <c r="G487" s="130"/>
      <c r="H487" s="130"/>
      <c r="I487" s="130" t="s">
        <v>302</v>
      </c>
      <c r="J487" s="26" t="s">
        <v>1830</v>
      </c>
      <c r="K487" s="26" t="s">
        <v>302</v>
      </c>
      <c r="L487" s="26" t="s">
        <v>1566</v>
      </c>
      <c r="M487" s="26" t="s">
        <v>1566</v>
      </c>
      <c r="N487" s="26" t="s">
        <v>1566</v>
      </c>
      <c r="O487" s="26" t="s">
        <v>1566</v>
      </c>
      <c r="P487" s="26" t="s">
        <v>661</v>
      </c>
      <c r="Q487" s="26">
        <v>580.0</v>
      </c>
    </row>
    <row r="488" ht="17.25" customHeight="1">
      <c r="A488" s="167">
        <v>46078.47375538194</v>
      </c>
      <c r="B488" s="25" t="s">
        <v>701</v>
      </c>
      <c r="C488" s="56" t="s">
        <v>1560</v>
      </c>
      <c r="D488" s="51">
        <v>46077.44020744213</v>
      </c>
      <c r="E488" s="37">
        <v>864.0</v>
      </c>
      <c r="F488" s="37" t="s">
        <v>1561</v>
      </c>
      <c r="G488" s="130"/>
      <c r="H488" s="130"/>
      <c r="I488" s="130" t="s">
        <v>702</v>
      </c>
      <c r="J488" s="26" t="s">
        <v>1225</v>
      </c>
      <c r="K488" s="26" t="s">
        <v>1653</v>
      </c>
      <c r="L488" s="26" t="s">
        <v>1563</v>
      </c>
      <c r="M488" s="26" t="s">
        <v>1572</v>
      </c>
      <c r="N488" s="26" t="s">
        <v>1566</v>
      </c>
      <c r="O488" s="26" t="s">
        <v>1978</v>
      </c>
      <c r="P488" s="26" t="s">
        <v>22</v>
      </c>
      <c r="Q488" s="26">
        <v>0.0</v>
      </c>
    </row>
    <row r="489" ht="17.25" customHeight="1">
      <c r="A489" s="167">
        <v>46078.47576252314</v>
      </c>
      <c r="B489" s="25" t="s">
        <v>1027</v>
      </c>
      <c r="C489" s="56" t="s">
        <v>1560</v>
      </c>
      <c r="D489" s="51">
        <v>46077.44020744213</v>
      </c>
      <c r="E489" s="37">
        <v>288.0</v>
      </c>
      <c r="F489" s="37" t="s">
        <v>1561</v>
      </c>
      <c r="G489" s="130"/>
      <c r="H489" s="130"/>
      <c r="I489" s="130" t="s">
        <v>1028</v>
      </c>
      <c r="J489" s="26" t="s">
        <v>1225</v>
      </c>
      <c r="K489" s="26" t="s">
        <v>1653</v>
      </c>
      <c r="L489" s="26" t="s">
        <v>1573</v>
      </c>
      <c r="M489" s="26" t="s">
        <v>1572</v>
      </c>
      <c r="N489" s="26" t="s">
        <v>1566</v>
      </c>
      <c r="O489" s="26" t="s">
        <v>1654</v>
      </c>
      <c r="P489" s="26" t="s">
        <v>22</v>
      </c>
      <c r="Q489" s="26">
        <v>1872.0</v>
      </c>
    </row>
    <row r="490" ht="17.25" customHeight="1">
      <c r="A490" s="167">
        <v>46078.475979282404</v>
      </c>
      <c r="B490" s="25" t="s">
        <v>701</v>
      </c>
      <c r="C490" s="56" t="s">
        <v>1892</v>
      </c>
      <c r="D490" s="51">
        <v>46077.44020744213</v>
      </c>
      <c r="E490" s="37">
        <v>864.0</v>
      </c>
      <c r="F490" s="37" t="s">
        <v>1561</v>
      </c>
      <c r="G490" s="37">
        <v>567.0</v>
      </c>
      <c r="H490" s="130"/>
      <c r="I490" s="130" t="s">
        <v>702</v>
      </c>
      <c r="J490" s="26" t="s">
        <v>1225</v>
      </c>
      <c r="K490" s="26" t="s">
        <v>1653</v>
      </c>
      <c r="L490" s="26" t="s">
        <v>1563</v>
      </c>
      <c r="M490" s="26" t="s">
        <v>1572</v>
      </c>
      <c r="N490" s="26" t="s">
        <v>1566</v>
      </c>
      <c r="O490" s="26" t="s">
        <v>1978</v>
      </c>
      <c r="P490" s="26" t="s">
        <v>22</v>
      </c>
      <c r="Q490" s="26">
        <v>0.0</v>
      </c>
    </row>
    <row r="491" ht="17.25" customHeight="1">
      <c r="A491" s="167">
        <v>46078.5371090625</v>
      </c>
      <c r="B491" s="23" t="s">
        <v>301</v>
      </c>
      <c r="C491" s="56" t="s">
        <v>1892</v>
      </c>
      <c r="D491" s="51">
        <v>46077.44020744213</v>
      </c>
      <c r="E491" s="37">
        <v>20.0</v>
      </c>
      <c r="F491" s="37" t="s">
        <v>1899</v>
      </c>
      <c r="G491" s="130"/>
      <c r="H491" s="130"/>
      <c r="I491" s="130" t="s">
        <v>302</v>
      </c>
      <c r="J491" s="26" t="s">
        <v>1830</v>
      </c>
      <c r="K491" s="26" t="s">
        <v>302</v>
      </c>
      <c r="L491" s="26" t="s">
        <v>1566</v>
      </c>
      <c r="M491" s="26" t="s">
        <v>1566</v>
      </c>
      <c r="N491" s="26" t="s">
        <v>1566</v>
      </c>
      <c r="O491" s="26" t="s">
        <v>1566</v>
      </c>
      <c r="P491" s="26" t="s">
        <v>661</v>
      </c>
      <c r="Q491" s="26">
        <v>580.0</v>
      </c>
    </row>
    <row r="492" ht="17.25" customHeight="1">
      <c r="A492" s="167">
        <v>46078.537128854165</v>
      </c>
      <c r="B492" s="23" t="s">
        <v>301</v>
      </c>
      <c r="C492" s="56" t="s">
        <v>1892</v>
      </c>
      <c r="D492" s="167">
        <v>46078.537128854165</v>
      </c>
      <c r="E492" s="37">
        <v>10.0</v>
      </c>
      <c r="F492" s="37" t="s">
        <v>2082</v>
      </c>
      <c r="G492" s="130"/>
      <c r="H492" s="130"/>
      <c r="I492" s="130" t="s">
        <v>302</v>
      </c>
      <c r="J492" s="26" t="s">
        <v>1830</v>
      </c>
      <c r="K492" s="26" t="s">
        <v>302</v>
      </c>
      <c r="L492" s="26" t="s">
        <v>1566</v>
      </c>
      <c r="M492" s="26" t="s">
        <v>1566</v>
      </c>
      <c r="N492" s="26" t="s">
        <v>1566</v>
      </c>
      <c r="O492" s="26" t="s">
        <v>1566</v>
      </c>
      <c r="P492" s="26" t="s">
        <v>661</v>
      </c>
      <c r="Q492" s="26">
        <v>580.0</v>
      </c>
    </row>
    <row r="493" ht="17.25" customHeight="1">
      <c r="A493" s="167">
        <v>46078.53777576389</v>
      </c>
      <c r="B493" s="25" t="s">
        <v>32</v>
      </c>
      <c r="C493" s="56" t="s">
        <v>1892</v>
      </c>
      <c r="D493" s="167">
        <v>46078.537128854165</v>
      </c>
      <c r="E493" s="37">
        <v>2.0</v>
      </c>
      <c r="F493" s="37" t="s">
        <v>1899</v>
      </c>
      <c r="G493" s="130"/>
      <c r="H493" s="130"/>
      <c r="I493" s="130" t="s">
        <v>34</v>
      </c>
      <c r="J493" s="26" t="s">
        <v>1807</v>
      </c>
      <c r="K493" s="26" t="s">
        <v>1807</v>
      </c>
      <c r="L493" s="26" t="s">
        <v>1566</v>
      </c>
      <c r="M493" s="26" t="s">
        <v>1566</v>
      </c>
      <c r="N493" s="26" t="s">
        <v>1566</v>
      </c>
      <c r="O493" s="26" t="s">
        <v>1808</v>
      </c>
      <c r="P493" s="26" t="s">
        <v>290</v>
      </c>
      <c r="Q493" s="26">
        <v>7.0</v>
      </c>
    </row>
    <row r="494" ht="17.25" customHeight="1">
      <c r="A494" s="167">
        <v>46078.538141516205</v>
      </c>
      <c r="B494" s="23" t="s">
        <v>876</v>
      </c>
      <c r="C494" s="56" t="s">
        <v>1892</v>
      </c>
      <c r="D494" s="167">
        <v>46078.537128854165</v>
      </c>
      <c r="E494" s="37">
        <v>4.0</v>
      </c>
      <c r="F494" s="37" t="s">
        <v>1907</v>
      </c>
      <c r="G494" s="130"/>
      <c r="H494" s="130"/>
      <c r="I494" s="130" t="s">
        <v>878</v>
      </c>
      <c r="J494" s="26" t="s">
        <v>1830</v>
      </c>
      <c r="K494" s="26" t="s">
        <v>1879</v>
      </c>
      <c r="L494" s="26" t="s">
        <v>1566</v>
      </c>
      <c r="M494" s="26" t="s">
        <v>1566</v>
      </c>
      <c r="N494" s="26" t="s">
        <v>1566</v>
      </c>
      <c r="O494" s="26" t="s">
        <v>1566</v>
      </c>
      <c r="P494" s="26" t="s">
        <v>643</v>
      </c>
      <c r="Q494" s="26">
        <v>34.0</v>
      </c>
    </row>
    <row r="495" ht="17.25" customHeight="1">
      <c r="A495" s="167">
        <v>46078.63346960648</v>
      </c>
      <c r="B495" s="25" t="s">
        <v>1027</v>
      </c>
      <c r="C495" s="56" t="s">
        <v>1892</v>
      </c>
      <c r="D495" s="167">
        <v>46078.537128854165</v>
      </c>
      <c r="E495" s="37">
        <v>288.0</v>
      </c>
      <c r="F495" s="37" t="s">
        <v>1561</v>
      </c>
      <c r="G495" s="37">
        <v>585.0</v>
      </c>
      <c r="H495" s="130"/>
      <c r="I495" s="130" t="s">
        <v>1028</v>
      </c>
      <c r="J495" s="26" t="s">
        <v>1225</v>
      </c>
      <c r="K495" s="26" t="s">
        <v>1653</v>
      </c>
      <c r="L495" s="26" t="s">
        <v>1573</v>
      </c>
      <c r="M495" s="26" t="s">
        <v>1572</v>
      </c>
      <c r="N495" s="26" t="s">
        <v>1566</v>
      </c>
      <c r="O495" s="26" t="s">
        <v>1654</v>
      </c>
      <c r="P495" s="26" t="s">
        <v>22</v>
      </c>
      <c r="Q495" s="26">
        <v>1872.0</v>
      </c>
    </row>
    <row r="496" ht="17.25" customHeight="1">
      <c r="A496" s="167">
        <v>46078.63471091435</v>
      </c>
      <c r="B496" s="25" t="s">
        <v>1699</v>
      </c>
      <c r="C496" s="56" t="s">
        <v>1892</v>
      </c>
      <c r="D496" s="167">
        <v>46078.537128854165</v>
      </c>
      <c r="E496" s="37">
        <v>400.0</v>
      </c>
      <c r="F496" s="37" t="s">
        <v>1561</v>
      </c>
      <c r="G496" s="37">
        <v>587.0</v>
      </c>
      <c r="H496" s="130"/>
      <c r="I496" s="130" t="s">
        <v>1700</v>
      </c>
      <c r="J496" s="26" t="s">
        <v>1225</v>
      </c>
      <c r="K496" s="26" t="s">
        <v>1562</v>
      </c>
      <c r="L496" s="26" t="s">
        <v>1600</v>
      </c>
      <c r="M496" s="26" t="s">
        <v>2049</v>
      </c>
      <c r="N496" s="26" t="s">
        <v>1566</v>
      </c>
      <c r="O496" s="26" t="s">
        <v>1566</v>
      </c>
      <c r="P496" s="26" t="s">
        <v>22</v>
      </c>
      <c r="Q496" s="26">
        <v>0.0</v>
      </c>
    </row>
    <row r="497" ht="17.25" customHeight="1">
      <c r="A497" s="167">
        <v>46078.73756972222</v>
      </c>
      <c r="B497" s="27" t="s">
        <v>147</v>
      </c>
      <c r="C497" s="56" t="s">
        <v>1560</v>
      </c>
      <c r="D497" s="167">
        <v>46078.537128854165</v>
      </c>
      <c r="E497" s="37">
        <v>1100.0</v>
      </c>
      <c r="F497" s="37" t="s">
        <v>1561</v>
      </c>
      <c r="G497" s="37"/>
      <c r="H497" s="130"/>
      <c r="I497" s="130" t="s">
        <v>148</v>
      </c>
      <c r="J497" s="26" t="s">
        <v>1225</v>
      </c>
      <c r="K497" s="26" t="s">
        <v>1562</v>
      </c>
      <c r="L497" s="26" t="s">
        <v>1633</v>
      </c>
      <c r="M497" s="26" t="s">
        <v>1574</v>
      </c>
      <c r="N497" s="26" t="s">
        <v>1566</v>
      </c>
      <c r="O497" s="26" t="s">
        <v>1566</v>
      </c>
      <c r="P497" s="26" t="s">
        <v>22</v>
      </c>
      <c r="Q497" s="26">
        <v>0.0</v>
      </c>
    </row>
    <row r="498" ht="17.25" customHeight="1">
      <c r="A498" s="167">
        <v>46078.738177418985</v>
      </c>
      <c r="B498" s="25" t="s">
        <v>201</v>
      </c>
      <c r="C498" s="56" t="s">
        <v>1560</v>
      </c>
      <c r="D498" s="167">
        <v>46078.537128854165</v>
      </c>
      <c r="E498" s="37">
        <v>1000.0</v>
      </c>
      <c r="F498" s="37" t="s">
        <v>1561</v>
      </c>
      <c r="G498" s="109"/>
      <c r="H498" s="130"/>
      <c r="I498" s="130" t="s">
        <v>202</v>
      </c>
      <c r="J498" s="26" t="s">
        <v>1225</v>
      </c>
      <c r="K498" s="26" t="s">
        <v>1562</v>
      </c>
      <c r="L498" s="26" t="s">
        <v>1573</v>
      </c>
      <c r="M498" s="26" t="s">
        <v>1574</v>
      </c>
      <c r="N498" s="26" t="s">
        <v>1566</v>
      </c>
      <c r="O498" s="26" t="s">
        <v>1566</v>
      </c>
      <c r="P498" s="26" t="s">
        <v>22</v>
      </c>
      <c r="Q498" s="26">
        <v>600.0</v>
      </c>
    </row>
    <row r="499" ht="17.25" customHeight="1">
      <c r="A499" s="167">
        <v>46078.73945149306</v>
      </c>
      <c r="B499" s="25" t="s">
        <v>74</v>
      </c>
      <c r="C499" s="56" t="s">
        <v>1560</v>
      </c>
      <c r="D499" s="167">
        <v>46078.537128854165</v>
      </c>
      <c r="E499" s="37">
        <v>1000.0</v>
      </c>
      <c r="F499" s="37" t="s">
        <v>1561</v>
      </c>
      <c r="G499" s="109"/>
      <c r="H499" s="130"/>
      <c r="I499" s="130" t="s">
        <v>75</v>
      </c>
      <c r="J499" s="26" t="s">
        <v>1225</v>
      </c>
      <c r="K499" s="26" t="s">
        <v>1562</v>
      </c>
      <c r="L499" s="26" t="s">
        <v>1591</v>
      </c>
      <c r="M499" s="26" t="s">
        <v>1597</v>
      </c>
      <c r="N499" s="26" t="s">
        <v>1566</v>
      </c>
      <c r="O499" s="26" t="s">
        <v>1566</v>
      </c>
      <c r="P499" s="26" t="s">
        <v>22</v>
      </c>
      <c r="Q499" s="26">
        <v>0.0</v>
      </c>
    </row>
    <row r="500" ht="17.25" customHeight="1">
      <c r="A500" s="167">
        <v>46078.74041733796</v>
      </c>
      <c r="B500" s="25" t="s">
        <v>913</v>
      </c>
      <c r="C500" s="56" t="s">
        <v>1892</v>
      </c>
      <c r="D500" s="167">
        <v>46078.537128854165</v>
      </c>
      <c r="E500" s="37">
        <v>300.0</v>
      </c>
      <c r="F500" s="37" t="s">
        <v>1561</v>
      </c>
      <c r="G500" s="37">
        <v>580.0</v>
      </c>
      <c r="H500" s="130"/>
      <c r="I500" s="130" t="s">
        <v>915</v>
      </c>
      <c r="J500" s="26" t="s">
        <v>1225</v>
      </c>
      <c r="K500" s="26" t="s">
        <v>1562</v>
      </c>
      <c r="L500" s="26" t="s">
        <v>1633</v>
      </c>
      <c r="M500" s="26" t="s">
        <v>1564</v>
      </c>
      <c r="N500" s="26" t="s">
        <v>1571</v>
      </c>
      <c r="O500" s="26" t="s">
        <v>1566</v>
      </c>
      <c r="P500" s="26" t="s">
        <v>22</v>
      </c>
      <c r="Q500" s="26">
        <v>0.0</v>
      </c>
    </row>
    <row r="501" ht="17.25" customHeight="1">
      <c r="A501" s="167">
        <v>46078.74248444445</v>
      </c>
      <c r="B501" s="25" t="s">
        <v>74</v>
      </c>
      <c r="C501" s="56" t="s">
        <v>1892</v>
      </c>
      <c r="D501" s="167">
        <v>46078.537128854165</v>
      </c>
      <c r="E501" s="37">
        <v>1000.0</v>
      </c>
      <c r="F501" s="37" t="s">
        <v>1561</v>
      </c>
      <c r="G501" s="37">
        <v>588.0</v>
      </c>
      <c r="H501" s="130"/>
      <c r="I501" s="130" t="s">
        <v>75</v>
      </c>
      <c r="J501" s="26" t="s">
        <v>1225</v>
      </c>
      <c r="K501" s="26" t="s">
        <v>1562</v>
      </c>
      <c r="L501" s="26" t="s">
        <v>1591</v>
      </c>
      <c r="M501" s="26" t="s">
        <v>1597</v>
      </c>
      <c r="N501" s="26" t="s">
        <v>1566</v>
      </c>
      <c r="O501" s="26" t="s">
        <v>1566</v>
      </c>
      <c r="P501" s="26" t="s">
        <v>22</v>
      </c>
      <c r="Q501" s="26">
        <v>0.0</v>
      </c>
    </row>
    <row r="502" ht="17.25" customHeight="1">
      <c r="A502" s="167">
        <v>46079.430068437505</v>
      </c>
      <c r="B502" s="25" t="s">
        <v>32</v>
      </c>
      <c r="C502" s="56" t="s">
        <v>1892</v>
      </c>
      <c r="D502" s="167">
        <v>46078.537128854165</v>
      </c>
      <c r="E502" s="37">
        <v>1.0</v>
      </c>
      <c r="F502" s="37" t="s">
        <v>1900</v>
      </c>
      <c r="G502" s="109"/>
      <c r="H502" s="130"/>
      <c r="I502" s="130" t="s">
        <v>34</v>
      </c>
      <c r="J502" s="26" t="s">
        <v>1807</v>
      </c>
      <c r="K502" s="26" t="s">
        <v>1807</v>
      </c>
      <c r="L502" s="26" t="s">
        <v>1566</v>
      </c>
      <c r="M502" s="26" t="s">
        <v>1566</v>
      </c>
      <c r="N502" s="26" t="s">
        <v>1566</v>
      </c>
      <c r="O502" s="26" t="s">
        <v>1808</v>
      </c>
      <c r="P502" s="26" t="s">
        <v>290</v>
      </c>
      <c r="Q502" s="26">
        <v>7.0</v>
      </c>
    </row>
    <row r="503" ht="17.25" customHeight="1">
      <c r="A503" s="167">
        <v>46079.436691400464</v>
      </c>
      <c r="B503" s="25" t="s">
        <v>1931</v>
      </c>
      <c r="C503" s="56" t="s">
        <v>1892</v>
      </c>
      <c r="D503" s="173">
        <v>46065.0</v>
      </c>
      <c r="E503" s="37">
        <v>40.0</v>
      </c>
      <c r="F503" s="37" t="s">
        <v>1899</v>
      </c>
      <c r="G503" s="37" t="s">
        <v>2083</v>
      </c>
      <c r="H503" s="130"/>
      <c r="I503" s="130" t="s">
        <v>1934</v>
      </c>
      <c r="J503" s="26" t="s">
        <v>1812</v>
      </c>
      <c r="K503" s="26" t="s">
        <v>1815</v>
      </c>
      <c r="L503" s="26" t="s">
        <v>1566</v>
      </c>
      <c r="M503" s="26" t="s">
        <v>1566</v>
      </c>
      <c r="N503" s="26" t="s">
        <v>1566</v>
      </c>
      <c r="O503" s="26" t="s">
        <v>1937</v>
      </c>
      <c r="P503" s="26" t="s">
        <v>616</v>
      </c>
      <c r="Q503" s="26">
        <v>0.0</v>
      </c>
    </row>
    <row r="504" ht="17.25" customHeight="1">
      <c r="A504" s="167">
        <v>46079.438968993054</v>
      </c>
      <c r="B504" s="25" t="s">
        <v>638</v>
      </c>
      <c r="C504" s="56" t="s">
        <v>1892</v>
      </c>
      <c r="D504" s="167">
        <v>46078.537128854165</v>
      </c>
      <c r="E504" s="37">
        <v>4.0</v>
      </c>
      <c r="F504" s="37" t="s">
        <v>1908</v>
      </c>
      <c r="G504" s="109"/>
      <c r="H504" s="130"/>
      <c r="I504" s="130" t="s">
        <v>644</v>
      </c>
      <c r="J504" s="26" t="s">
        <v>1821</v>
      </c>
      <c r="K504" s="26" t="s">
        <v>1873</v>
      </c>
      <c r="L504" s="26" t="s">
        <v>1566</v>
      </c>
      <c r="M504" s="26" t="s">
        <v>1566</v>
      </c>
      <c r="N504" s="26" t="s">
        <v>1566</v>
      </c>
      <c r="O504" s="26" t="s">
        <v>1566</v>
      </c>
      <c r="P504" s="26" t="s">
        <v>290</v>
      </c>
      <c r="Q504" s="26">
        <v>9.0</v>
      </c>
    </row>
    <row r="505" ht="17.25" customHeight="1">
      <c r="A505" s="167">
        <v>46079.439690671294</v>
      </c>
      <c r="B505" s="25" t="s">
        <v>1840</v>
      </c>
      <c r="C505" s="56" t="s">
        <v>1892</v>
      </c>
      <c r="D505" s="173">
        <v>46065.0</v>
      </c>
      <c r="E505" s="37">
        <v>25.0</v>
      </c>
      <c r="F505" s="37" t="s">
        <v>1899</v>
      </c>
      <c r="G505" s="37" t="s">
        <v>2083</v>
      </c>
      <c r="H505" s="130"/>
      <c r="I505" s="130" t="s">
        <v>1841</v>
      </c>
      <c r="J505" s="26" t="s">
        <v>1812</v>
      </c>
      <c r="K505" s="26" t="s">
        <v>1815</v>
      </c>
      <c r="L505" s="26" t="s">
        <v>1566</v>
      </c>
      <c r="M505" s="26" t="s">
        <v>1566</v>
      </c>
      <c r="N505" s="26" t="s">
        <v>1566</v>
      </c>
      <c r="O505" s="26" t="s">
        <v>1842</v>
      </c>
      <c r="P505" s="26" t="s">
        <v>616</v>
      </c>
      <c r="Q505" s="26">
        <v>0.0</v>
      </c>
    </row>
    <row r="506" ht="17.25" customHeight="1">
      <c r="A506" s="167">
        <v>46079.439690671294</v>
      </c>
      <c r="B506" s="25" t="s">
        <v>945</v>
      </c>
      <c r="C506" s="56" t="s">
        <v>1892</v>
      </c>
      <c r="D506" s="173">
        <v>46065.0</v>
      </c>
      <c r="E506" s="37">
        <v>25.0</v>
      </c>
      <c r="F506" s="37" t="s">
        <v>1899</v>
      </c>
      <c r="G506" s="37" t="s">
        <v>2083</v>
      </c>
      <c r="H506" s="130"/>
      <c r="I506" s="130" t="s">
        <v>946</v>
      </c>
      <c r="J506" s="26" t="s">
        <v>1812</v>
      </c>
      <c r="K506" s="26" t="s">
        <v>1815</v>
      </c>
      <c r="L506" s="26" t="s">
        <v>1566</v>
      </c>
      <c r="M506" s="26" t="s">
        <v>1566</v>
      </c>
      <c r="N506" s="26" t="s">
        <v>1566</v>
      </c>
      <c r="O506" s="26" t="s">
        <v>1903</v>
      </c>
      <c r="P506" s="26" t="s">
        <v>616</v>
      </c>
      <c r="Q506" s="26">
        <v>25.0</v>
      </c>
    </row>
    <row r="507" ht="17.25" customHeight="1">
      <c r="A507" s="167">
        <v>46079.44080773148</v>
      </c>
      <c r="B507" s="25" t="s">
        <v>359</v>
      </c>
      <c r="C507" s="56" t="s">
        <v>1892</v>
      </c>
      <c r="D507" s="167">
        <v>46078.537128854165</v>
      </c>
      <c r="E507" s="37">
        <v>4.0</v>
      </c>
      <c r="F507" s="37" t="s">
        <v>1894</v>
      </c>
      <c r="G507" s="109"/>
      <c r="H507" s="130"/>
      <c r="I507" s="130" t="s">
        <v>370</v>
      </c>
      <c r="J507" s="26" t="s">
        <v>370</v>
      </c>
      <c r="K507" s="26" t="s">
        <v>370</v>
      </c>
      <c r="L507" s="26" t="s">
        <v>1566</v>
      </c>
      <c r="M507" s="26" t="s">
        <v>1566</v>
      </c>
      <c r="N507" s="26" t="s">
        <v>1566</v>
      </c>
      <c r="O507" s="26" t="s">
        <v>1566</v>
      </c>
      <c r="P507" s="26" t="s">
        <v>661</v>
      </c>
      <c r="Q507" s="26">
        <v>100.0</v>
      </c>
    </row>
    <row r="508" ht="17.25" customHeight="1">
      <c r="A508" s="167">
        <v>46079.441045555555</v>
      </c>
      <c r="B508" s="25" t="s">
        <v>359</v>
      </c>
      <c r="C508" s="56" t="s">
        <v>1892</v>
      </c>
      <c r="D508" s="173">
        <v>46065.0</v>
      </c>
      <c r="E508" s="37">
        <v>12.0</v>
      </c>
      <c r="F508" s="37" t="s">
        <v>1894</v>
      </c>
      <c r="G508" s="109"/>
      <c r="H508" s="130"/>
      <c r="I508" s="130" t="s">
        <v>370</v>
      </c>
      <c r="J508" s="26" t="s">
        <v>370</v>
      </c>
      <c r="K508" s="26" t="s">
        <v>370</v>
      </c>
      <c r="L508" s="26" t="s">
        <v>1566</v>
      </c>
      <c r="M508" s="26" t="s">
        <v>1566</v>
      </c>
      <c r="N508" s="26" t="s">
        <v>1566</v>
      </c>
      <c r="O508" s="26" t="s">
        <v>1566</v>
      </c>
      <c r="P508" s="26" t="s">
        <v>661</v>
      </c>
      <c r="Q508" s="26">
        <v>100.0</v>
      </c>
    </row>
    <row r="509" ht="17.25" customHeight="1">
      <c r="A509" s="167">
        <v>46079.441271539356</v>
      </c>
      <c r="B509" s="23" t="s">
        <v>301</v>
      </c>
      <c r="C509" s="56" t="s">
        <v>1892</v>
      </c>
      <c r="D509" s="167">
        <v>46078.537128854165</v>
      </c>
      <c r="E509" s="37">
        <v>15.0</v>
      </c>
      <c r="F509" s="37" t="s">
        <v>1899</v>
      </c>
      <c r="G509" s="109"/>
      <c r="H509" s="130"/>
      <c r="I509" s="130" t="s">
        <v>302</v>
      </c>
      <c r="J509" s="26" t="s">
        <v>1830</v>
      </c>
      <c r="K509" s="26" t="s">
        <v>302</v>
      </c>
      <c r="L509" s="26" t="s">
        <v>1566</v>
      </c>
      <c r="M509" s="26" t="s">
        <v>1566</v>
      </c>
      <c r="N509" s="26" t="s">
        <v>1566</v>
      </c>
      <c r="O509" s="26" t="s">
        <v>1566</v>
      </c>
      <c r="P509" s="26" t="s">
        <v>661</v>
      </c>
      <c r="Q509" s="26">
        <v>580.0</v>
      </c>
    </row>
    <row r="510" ht="17.25" customHeight="1">
      <c r="A510" s="167">
        <v>46079.44163915509</v>
      </c>
      <c r="B510" s="25" t="s">
        <v>640</v>
      </c>
      <c r="C510" s="56" t="s">
        <v>1892</v>
      </c>
      <c r="D510" s="167">
        <v>46078.537128854165</v>
      </c>
      <c r="E510" s="37">
        <v>1.0</v>
      </c>
      <c r="F510" s="37" t="s">
        <v>1924</v>
      </c>
      <c r="G510" s="109"/>
      <c r="H510" s="130"/>
      <c r="I510" s="130" t="s">
        <v>641</v>
      </c>
      <c r="J510" s="26" t="s">
        <v>1812</v>
      </c>
      <c r="K510" s="26" t="s">
        <v>1815</v>
      </c>
      <c r="L510" s="26" t="s">
        <v>1566</v>
      </c>
      <c r="M510" s="26" t="s">
        <v>1566</v>
      </c>
      <c r="N510" s="26" t="s">
        <v>1566</v>
      </c>
      <c r="O510" s="26" t="s">
        <v>1566</v>
      </c>
      <c r="P510" s="26" t="s">
        <v>643</v>
      </c>
      <c r="Q510" s="26">
        <v>3.0</v>
      </c>
    </row>
    <row r="511" ht="17.25" customHeight="1">
      <c r="A511" s="167">
        <v>46079.446961863425</v>
      </c>
      <c r="B511" s="25" t="s">
        <v>812</v>
      </c>
      <c r="C511" s="56" t="s">
        <v>1892</v>
      </c>
      <c r="D511" s="167">
        <v>46079.0</v>
      </c>
      <c r="E511" s="37">
        <v>10.0</v>
      </c>
      <c r="F511" s="37" t="s">
        <v>1907</v>
      </c>
      <c r="G511" s="109"/>
      <c r="H511" s="130"/>
      <c r="I511" s="130" t="s">
        <v>813</v>
      </c>
      <c r="J511" s="26" t="s">
        <v>1830</v>
      </c>
      <c r="K511" s="26" t="s">
        <v>1839</v>
      </c>
      <c r="L511" s="26" t="s">
        <v>1566</v>
      </c>
      <c r="M511" s="26" t="s">
        <v>1566</v>
      </c>
      <c r="N511" s="26" t="s">
        <v>1566</v>
      </c>
      <c r="O511" s="26" t="s">
        <v>1566</v>
      </c>
      <c r="P511" s="26" t="s">
        <v>661</v>
      </c>
      <c r="Q511" s="26">
        <v>100.0</v>
      </c>
    </row>
    <row r="512" ht="17.25" customHeight="1">
      <c r="A512" s="167">
        <v>46079.44800790509</v>
      </c>
      <c r="B512" s="27" t="s">
        <v>1039</v>
      </c>
      <c r="C512" s="56" t="s">
        <v>1560</v>
      </c>
      <c r="D512" s="173">
        <v>46078.0</v>
      </c>
      <c r="E512" s="37">
        <v>8.0</v>
      </c>
      <c r="F512" s="37" t="s">
        <v>1673</v>
      </c>
      <c r="G512" s="109"/>
      <c r="H512" s="130"/>
      <c r="I512" s="130" t="s">
        <v>1040</v>
      </c>
      <c r="J512" s="26" t="s">
        <v>1830</v>
      </c>
      <c r="K512" s="26" t="s">
        <v>1833</v>
      </c>
      <c r="L512" s="26" t="s">
        <v>1566</v>
      </c>
      <c r="M512" s="26" t="s">
        <v>1566</v>
      </c>
      <c r="N512" s="26" t="s">
        <v>1566</v>
      </c>
      <c r="O512" s="26" t="s">
        <v>1566</v>
      </c>
      <c r="P512" s="26" t="s">
        <v>643</v>
      </c>
      <c r="Q512" s="26">
        <v>6.0</v>
      </c>
    </row>
    <row r="513" ht="17.25" customHeight="1">
      <c r="A513" s="167">
        <v>46079.44819634259</v>
      </c>
      <c r="B513" s="27" t="s">
        <v>1039</v>
      </c>
      <c r="C513" s="56" t="s">
        <v>1892</v>
      </c>
      <c r="D513" s="173">
        <v>46079.0</v>
      </c>
      <c r="E513" s="37">
        <v>1.0</v>
      </c>
      <c r="F513" s="37"/>
      <c r="G513" s="37"/>
      <c r="H513" s="130"/>
      <c r="I513" s="130" t="s">
        <v>1040</v>
      </c>
      <c r="J513" s="26" t="s">
        <v>1830</v>
      </c>
      <c r="K513" s="26" t="s">
        <v>1833</v>
      </c>
      <c r="L513" s="26" t="s">
        <v>1566</v>
      </c>
      <c r="M513" s="26" t="s">
        <v>1566</v>
      </c>
      <c r="N513" s="26" t="s">
        <v>1566</v>
      </c>
      <c r="O513" s="26" t="s">
        <v>1566</v>
      </c>
      <c r="P513" s="26" t="s">
        <v>643</v>
      </c>
      <c r="Q513" s="26">
        <v>6.0</v>
      </c>
    </row>
    <row r="514" ht="17.25" customHeight="1">
      <c r="A514" s="167">
        <v>46079.46502416667</v>
      </c>
      <c r="B514" s="25" t="s">
        <v>1635</v>
      </c>
      <c r="C514" s="56" t="s">
        <v>1892</v>
      </c>
      <c r="D514" s="173">
        <v>46079.0</v>
      </c>
      <c r="E514" s="2">
        <v>900.0</v>
      </c>
      <c r="F514" s="37" t="s">
        <v>1561</v>
      </c>
      <c r="G514" s="174" t="s">
        <v>2084</v>
      </c>
      <c r="H514" s="130"/>
      <c r="I514" s="130" t="s">
        <v>1636</v>
      </c>
      <c r="J514" s="26" t="s">
        <v>1225</v>
      </c>
      <c r="K514" s="26" t="s">
        <v>1562</v>
      </c>
      <c r="L514" s="26" t="s">
        <v>1633</v>
      </c>
      <c r="M514" s="26" t="s">
        <v>1604</v>
      </c>
      <c r="N514" s="26" t="s">
        <v>1571</v>
      </c>
      <c r="O514" s="26" t="s">
        <v>1566</v>
      </c>
      <c r="P514" s="26" t="s">
        <v>22</v>
      </c>
      <c r="Q514" s="26">
        <v>0.0</v>
      </c>
    </row>
    <row r="515" ht="17.25" customHeight="1">
      <c r="A515" s="167">
        <v>46079.465160011576</v>
      </c>
      <c r="B515" s="25" t="s">
        <v>147</v>
      </c>
      <c r="C515" s="56" t="s">
        <v>1892</v>
      </c>
      <c r="D515" s="173">
        <v>46079.0</v>
      </c>
      <c r="E515" s="37">
        <v>1100.0</v>
      </c>
      <c r="F515" s="109"/>
      <c r="G515" s="2">
        <v>589.0</v>
      </c>
      <c r="H515" s="130"/>
      <c r="I515" s="130" t="s">
        <v>148</v>
      </c>
      <c r="J515" s="26" t="s">
        <v>1225</v>
      </c>
      <c r="K515" s="26" t="s">
        <v>1562</v>
      </c>
      <c r="L515" s="26" t="s">
        <v>1633</v>
      </c>
      <c r="M515" s="26" t="s">
        <v>1574</v>
      </c>
      <c r="N515" s="26" t="s">
        <v>1566</v>
      </c>
      <c r="O515" s="26" t="s">
        <v>1566</v>
      </c>
      <c r="P515" s="26" t="s">
        <v>22</v>
      </c>
      <c r="Q515" s="26">
        <v>0.0</v>
      </c>
    </row>
    <row r="516" ht="17.25" customHeight="1">
      <c r="A516" s="167">
        <v>46079.51296634259</v>
      </c>
      <c r="B516" s="25" t="s">
        <v>201</v>
      </c>
      <c r="C516" s="56" t="s">
        <v>1892</v>
      </c>
      <c r="D516" s="173">
        <v>46079.0</v>
      </c>
      <c r="E516" s="37">
        <v>800.0</v>
      </c>
      <c r="F516" s="37" t="s">
        <v>1561</v>
      </c>
      <c r="G516" s="56">
        <v>592.0</v>
      </c>
      <c r="H516" s="130"/>
      <c r="I516" s="130" t="s">
        <v>202</v>
      </c>
      <c r="J516" s="26" t="s">
        <v>1225</v>
      </c>
      <c r="K516" s="26" t="s">
        <v>1562</v>
      </c>
      <c r="L516" s="26" t="s">
        <v>1573</v>
      </c>
      <c r="M516" s="26" t="s">
        <v>1574</v>
      </c>
      <c r="N516" s="26" t="s">
        <v>1566</v>
      </c>
      <c r="O516" s="26" t="s">
        <v>1566</v>
      </c>
      <c r="P516" s="26" t="s">
        <v>22</v>
      </c>
      <c r="Q516" s="26">
        <v>600.0</v>
      </c>
    </row>
    <row r="517" ht="17.25" customHeight="1">
      <c r="A517" s="167">
        <v>46079.72719427083</v>
      </c>
      <c r="B517" s="26" t="s">
        <v>359</v>
      </c>
      <c r="C517" s="56" t="s">
        <v>1892</v>
      </c>
      <c r="D517" s="173">
        <v>46079.0</v>
      </c>
      <c r="E517" s="37">
        <v>4.0</v>
      </c>
      <c r="F517" s="37" t="s">
        <v>1894</v>
      </c>
      <c r="G517" s="90"/>
      <c r="H517" s="130"/>
      <c r="I517" s="130" t="s">
        <v>370</v>
      </c>
      <c r="J517" s="26" t="s">
        <v>370</v>
      </c>
      <c r="K517" s="26" t="s">
        <v>370</v>
      </c>
      <c r="L517" s="26" t="s">
        <v>1566</v>
      </c>
      <c r="M517" s="26" t="s">
        <v>1566</v>
      </c>
      <c r="N517" s="26" t="s">
        <v>1566</v>
      </c>
      <c r="O517" s="26" t="s">
        <v>1566</v>
      </c>
      <c r="P517" s="26" t="s">
        <v>661</v>
      </c>
      <c r="Q517" s="26">
        <v>100.0</v>
      </c>
    </row>
    <row r="518" ht="17.25" customHeight="1">
      <c r="A518" s="167">
        <v>46079.72768040509</v>
      </c>
      <c r="B518" s="25" t="s">
        <v>441</v>
      </c>
      <c r="C518" s="56" t="s">
        <v>1892</v>
      </c>
      <c r="D518" s="173">
        <v>46079.0</v>
      </c>
      <c r="E518" s="37">
        <v>2.0</v>
      </c>
      <c r="F518" s="37" t="s">
        <v>1899</v>
      </c>
      <c r="G518" s="90"/>
      <c r="H518" s="130"/>
      <c r="I518" s="130" t="s">
        <v>688</v>
      </c>
      <c r="J518" s="26" t="s">
        <v>1674</v>
      </c>
      <c r="K518" s="26" t="s">
        <v>1691</v>
      </c>
      <c r="L518" s="26" t="s">
        <v>1566</v>
      </c>
      <c r="M518" s="26" t="s">
        <v>1566</v>
      </c>
      <c r="N518" s="26" t="s">
        <v>1721</v>
      </c>
      <c r="O518" s="26" t="s">
        <v>1677</v>
      </c>
      <c r="P518" s="26" t="s">
        <v>290</v>
      </c>
      <c r="Q518" s="26">
        <v>0.0</v>
      </c>
    </row>
    <row r="519" ht="17.25" customHeight="1">
      <c r="A519" s="167">
        <v>46079.7289321412</v>
      </c>
      <c r="B519" s="172" t="s">
        <v>1042</v>
      </c>
      <c r="C519" s="56" t="s">
        <v>1560</v>
      </c>
      <c r="D519" s="173">
        <v>46079.0</v>
      </c>
      <c r="E519" s="37">
        <v>500.0</v>
      </c>
      <c r="F519" s="37" t="s">
        <v>1561</v>
      </c>
      <c r="G519" s="56" t="s">
        <v>2085</v>
      </c>
      <c r="H519" s="130"/>
      <c r="I519" s="130" t="s">
        <v>1043</v>
      </c>
      <c r="J519" s="26" t="s">
        <v>1225</v>
      </c>
      <c r="K519" s="26" t="s">
        <v>1651</v>
      </c>
      <c r="L519" s="26" t="s">
        <v>1576</v>
      </c>
      <c r="M519" s="26" t="s">
        <v>2086</v>
      </c>
      <c r="N519" s="26" t="s">
        <v>1566</v>
      </c>
      <c r="O519" s="26" t="s">
        <v>1566</v>
      </c>
      <c r="P519" s="26" t="s">
        <v>22</v>
      </c>
      <c r="Q519" s="26">
        <v>250.0</v>
      </c>
    </row>
    <row r="520" ht="17.25" customHeight="1">
      <c r="A520" s="167">
        <v>46079.782010995375</v>
      </c>
      <c r="B520" s="26" t="s">
        <v>359</v>
      </c>
      <c r="C520" s="56" t="s">
        <v>1892</v>
      </c>
      <c r="D520" s="173">
        <v>46079.0</v>
      </c>
      <c r="E520" s="37">
        <v>5.0</v>
      </c>
      <c r="F520" s="37" t="s">
        <v>1894</v>
      </c>
      <c r="G520" s="90"/>
      <c r="H520" s="130"/>
      <c r="I520" s="130" t="s">
        <v>370</v>
      </c>
      <c r="J520" s="26" t="s">
        <v>370</v>
      </c>
      <c r="K520" s="26" t="s">
        <v>370</v>
      </c>
      <c r="L520" s="26" t="s">
        <v>1566</v>
      </c>
      <c r="M520" s="26" t="s">
        <v>1566</v>
      </c>
      <c r="N520" s="26" t="s">
        <v>1566</v>
      </c>
      <c r="O520" s="26" t="s">
        <v>1566</v>
      </c>
      <c r="P520" s="26" t="s">
        <v>661</v>
      </c>
      <c r="Q520" s="26">
        <v>100.0</v>
      </c>
    </row>
    <row r="521" ht="17.25" customHeight="1">
      <c r="A521" s="167">
        <v>46079.78211368056</v>
      </c>
      <c r="B521" s="172" t="s">
        <v>1042</v>
      </c>
      <c r="C521" s="56" t="s">
        <v>1892</v>
      </c>
      <c r="D521" s="173">
        <v>46079.0</v>
      </c>
      <c r="E521" s="37">
        <v>500.0</v>
      </c>
      <c r="F521" s="37" t="s">
        <v>1561</v>
      </c>
      <c r="G521" s="56">
        <v>593.0</v>
      </c>
      <c r="H521" s="130"/>
      <c r="I521" s="130" t="s">
        <v>1043</v>
      </c>
      <c r="J521" s="26" t="s">
        <v>1225</v>
      </c>
      <c r="K521" s="26" t="s">
        <v>1651</v>
      </c>
      <c r="L521" s="26" t="s">
        <v>1576</v>
      </c>
      <c r="M521" s="26" t="s">
        <v>2086</v>
      </c>
      <c r="N521" s="26" t="s">
        <v>1566</v>
      </c>
      <c r="O521" s="26" t="s">
        <v>1566</v>
      </c>
      <c r="P521" s="26" t="s">
        <v>22</v>
      </c>
      <c r="Q521" s="26">
        <v>250.0</v>
      </c>
    </row>
    <row r="522" ht="17.25" customHeight="1">
      <c r="A522" s="167">
        <v>46079.78666975694</v>
      </c>
      <c r="B522" s="25" t="s">
        <v>139</v>
      </c>
      <c r="C522" s="56" t="s">
        <v>1560</v>
      </c>
      <c r="D522" s="173">
        <v>46079.0</v>
      </c>
      <c r="E522" s="37">
        <v>500.0</v>
      </c>
      <c r="F522" s="37" t="s">
        <v>1561</v>
      </c>
      <c r="G522" s="90"/>
      <c r="H522" s="130"/>
      <c r="I522" s="130" t="s">
        <v>140</v>
      </c>
      <c r="J522" s="26" t="s">
        <v>1225</v>
      </c>
      <c r="K522" s="26" t="s">
        <v>1562</v>
      </c>
      <c r="L522" s="26" t="s">
        <v>1563</v>
      </c>
      <c r="M522" s="26" t="s">
        <v>1586</v>
      </c>
      <c r="N522" s="26" t="s">
        <v>1566</v>
      </c>
      <c r="O522" s="26" t="s">
        <v>1566</v>
      </c>
      <c r="P522" s="26" t="s">
        <v>22</v>
      </c>
      <c r="Q522" s="26">
        <v>0.0</v>
      </c>
    </row>
    <row r="523" ht="17.25" customHeight="1">
      <c r="A523" s="167">
        <v>46079.7867908912</v>
      </c>
      <c r="B523" s="25" t="s">
        <v>139</v>
      </c>
      <c r="C523" s="56" t="s">
        <v>1892</v>
      </c>
      <c r="D523" s="173">
        <v>46079.0</v>
      </c>
      <c r="E523" s="37">
        <v>500.0</v>
      </c>
      <c r="F523" s="37" t="s">
        <v>1561</v>
      </c>
      <c r="G523" s="56">
        <v>591.0</v>
      </c>
      <c r="H523" s="130"/>
      <c r="I523" s="130" t="s">
        <v>140</v>
      </c>
      <c r="J523" s="26" t="s">
        <v>1225</v>
      </c>
      <c r="K523" s="26" t="s">
        <v>1562</v>
      </c>
      <c r="L523" s="26" t="s">
        <v>1563</v>
      </c>
      <c r="M523" s="26" t="s">
        <v>1586</v>
      </c>
      <c r="N523" s="26" t="s">
        <v>1566</v>
      </c>
      <c r="O523" s="26" t="s">
        <v>1566</v>
      </c>
      <c r="P523" s="26" t="s">
        <v>22</v>
      </c>
      <c r="Q523" s="26">
        <v>0.0</v>
      </c>
    </row>
    <row r="524" ht="17.25" customHeight="1">
      <c r="A524" s="167">
        <v>46083.43712530093</v>
      </c>
      <c r="B524" s="25" t="s">
        <v>21</v>
      </c>
      <c r="C524" s="56" t="s">
        <v>1560</v>
      </c>
      <c r="D524" s="173">
        <v>46079.0</v>
      </c>
      <c r="E524" s="37">
        <v>40.0</v>
      </c>
      <c r="F524" s="37" t="s">
        <v>1673</v>
      </c>
      <c r="G524" s="90"/>
      <c r="H524" s="130"/>
      <c r="I524" s="130" t="s">
        <v>23</v>
      </c>
      <c r="J524" s="26" t="s">
        <v>1812</v>
      </c>
      <c r="K524" s="26" t="s">
        <v>1815</v>
      </c>
      <c r="L524" s="26" t="s">
        <v>1566</v>
      </c>
      <c r="M524" s="26" t="s">
        <v>1566</v>
      </c>
      <c r="N524" s="26" t="s">
        <v>1566</v>
      </c>
      <c r="O524" s="26" t="s">
        <v>1818</v>
      </c>
      <c r="P524" s="26" t="s">
        <v>616</v>
      </c>
      <c r="Q524" s="26">
        <v>20.0</v>
      </c>
    </row>
    <row r="525" ht="17.25" customHeight="1">
      <c r="A525" s="167">
        <v>46083.43735122685</v>
      </c>
      <c r="B525" s="25" t="s">
        <v>21</v>
      </c>
      <c r="C525" s="56" t="s">
        <v>1892</v>
      </c>
      <c r="D525" s="173">
        <v>46080.0</v>
      </c>
      <c r="E525" s="37">
        <v>20.0</v>
      </c>
      <c r="F525" s="37" t="s">
        <v>1899</v>
      </c>
      <c r="G525" s="90"/>
      <c r="H525" s="130"/>
      <c r="I525" s="130" t="s">
        <v>23</v>
      </c>
      <c r="J525" s="26" t="s">
        <v>1812</v>
      </c>
      <c r="K525" s="26" t="s">
        <v>1815</v>
      </c>
      <c r="L525" s="26" t="s">
        <v>1566</v>
      </c>
      <c r="M525" s="26" t="s">
        <v>1566</v>
      </c>
      <c r="N525" s="26" t="s">
        <v>1566</v>
      </c>
      <c r="O525" s="26" t="s">
        <v>1818</v>
      </c>
      <c r="P525" s="26" t="s">
        <v>616</v>
      </c>
      <c r="Q525" s="26">
        <v>20.0</v>
      </c>
    </row>
    <row r="526" ht="17.25" customHeight="1">
      <c r="A526" s="167">
        <v>46083.43786104167</v>
      </c>
      <c r="B526" s="23" t="s">
        <v>598</v>
      </c>
      <c r="C526" s="56" t="s">
        <v>1560</v>
      </c>
      <c r="D526" s="173">
        <v>46080.0</v>
      </c>
      <c r="E526" s="37">
        <v>20.0</v>
      </c>
      <c r="F526" s="37" t="s">
        <v>1899</v>
      </c>
      <c r="G526" s="90"/>
      <c r="H526" s="130"/>
      <c r="I526" s="130" t="s">
        <v>604</v>
      </c>
      <c r="J526" s="26" t="s">
        <v>1812</v>
      </c>
      <c r="K526" s="26" t="s">
        <v>1815</v>
      </c>
      <c r="L526" s="26" t="s">
        <v>1566</v>
      </c>
      <c r="M526" s="26" t="s">
        <v>1566</v>
      </c>
      <c r="N526" s="26" t="s">
        <v>1566</v>
      </c>
      <c r="O526" s="26" t="s">
        <v>1812</v>
      </c>
      <c r="P526" s="26" t="s">
        <v>616</v>
      </c>
      <c r="Q526" s="26">
        <v>15.0</v>
      </c>
    </row>
    <row r="527" ht="17.25" customHeight="1">
      <c r="A527" s="167">
        <v>46083.43898939815</v>
      </c>
      <c r="B527" s="25" t="s">
        <v>562</v>
      </c>
      <c r="C527" s="56" t="s">
        <v>1892</v>
      </c>
      <c r="D527" s="173">
        <v>46078.0</v>
      </c>
      <c r="E527" s="37">
        <v>1.0</v>
      </c>
      <c r="F527" s="37" t="s">
        <v>2087</v>
      </c>
      <c r="G527" s="90"/>
      <c r="H527" s="130"/>
      <c r="I527" s="130" t="s">
        <v>567</v>
      </c>
      <c r="J527" s="26" t="s">
        <v>1812</v>
      </c>
      <c r="K527" s="26" t="s">
        <v>1815</v>
      </c>
      <c r="L527" s="26" t="s">
        <v>1566</v>
      </c>
      <c r="M527" s="26" t="s">
        <v>1566</v>
      </c>
      <c r="N527" s="26" t="s">
        <v>1566</v>
      </c>
      <c r="O527" s="26" t="s">
        <v>1838</v>
      </c>
      <c r="P527" s="26" t="s">
        <v>616</v>
      </c>
      <c r="Q527" s="26">
        <v>4.0</v>
      </c>
    </row>
    <row r="528" ht="17.25" customHeight="1">
      <c r="A528" s="167">
        <v>46083.43918351852</v>
      </c>
      <c r="B528" s="25" t="s">
        <v>562</v>
      </c>
      <c r="C528" s="56" t="s">
        <v>1560</v>
      </c>
      <c r="D528" s="173">
        <v>46079.0</v>
      </c>
      <c r="E528" s="37">
        <v>6.0</v>
      </c>
      <c r="F528" s="37" t="s">
        <v>1673</v>
      </c>
      <c r="G528" s="90"/>
      <c r="H528" s="130"/>
      <c r="I528" s="130" t="s">
        <v>567</v>
      </c>
      <c r="J528" s="26" t="s">
        <v>1812</v>
      </c>
      <c r="K528" s="26" t="s">
        <v>1815</v>
      </c>
      <c r="L528" s="26" t="s">
        <v>1566</v>
      </c>
      <c r="M528" s="26" t="s">
        <v>1566</v>
      </c>
      <c r="N528" s="26" t="s">
        <v>1566</v>
      </c>
      <c r="O528" s="26" t="s">
        <v>1838</v>
      </c>
      <c r="P528" s="26" t="s">
        <v>616</v>
      </c>
      <c r="Q528" s="26">
        <v>4.0</v>
      </c>
    </row>
    <row r="529" ht="17.25" customHeight="1">
      <c r="A529" s="167">
        <v>46083.44819833333</v>
      </c>
      <c r="B529" s="27" t="s">
        <v>443</v>
      </c>
      <c r="C529" s="56" t="s">
        <v>1560</v>
      </c>
      <c r="D529" s="173">
        <v>46079.0</v>
      </c>
      <c r="E529" s="37">
        <v>5.0</v>
      </c>
      <c r="F529" s="37" t="s">
        <v>1673</v>
      </c>
      <c r="G529" s="90"/>
      <c r="H529" s="130"/>
      <c r="I529" s="130" t="s">
        <v>446</v>
      </c>
      <c r="J529" s="26" t="s">
        <v>1812</v>
      </c>
      <c r="K529" s="26" t="s">
        <v>1821</v>
      </c>
      <c r="L529" s="26" t="s">
        <v>1566</v>
      </c>
      <c r="M529" s="26" t="s">
        <v>1566</v>
      </c>
      <c r="N529" s="26" t="s">
        <v>1566</v>
      </c>
      <c r="O529" s="26" t="s">
        <v>1835</v>
      </c>
      <c r="P529" s="26" t="s">
        <v>661</v>
      </c>
      <c r="Q529" s="26">
        <v>4.0</v>
      </c>
    </row>
    <row r="530" ht="17.25" customHeight="1">
      <c r="A530" s="167">
        <v>46083.449589675925</v>
      </c>
      <c r="B530" s="25" t="s">
        <v>1819</v>
      </c>
      <c r="C530" s="56" t="s">
        <v>1892</v>
      </c>
      <c r="D530" s="173">
        <v>46073.0</v>
      </c>
      <c r="E530" s="37">
        <v>1.0</v>
      </c>
      <c r="F530" s="37" t="s">
        <v>1899</v>
      </c>
      <c r="G530" s="90"/>
      <c r="H530" s="130"/>
      <c r="I530" s="130" t="s">
        <v>1820</v>
      </c>
      <c r="J530" s="26" t="s">
        <v>1812</v>
      </c>
      <c r="K530" s="26" t="s">
        <v>1815</v>
      </c>
      <c r="L530" s="26" t="s">
        <v>1566</v>
      </c>
      <c r="M530" s="26" t="s">
        <v>1566</v>
      </c>
      <c r="N530" s="26" t="s">
        <v>1566</v>
      </c>
      <c r="O530" s="26" t="s">
        <v>1566</v>
      </c>
      <c r="P530" s="26" t="s">
        <v>290</v>
      </c>
      <c r="Q530" s="26">
        <v>0.0</v>
      </c>
    </row>
    <row r="531" ht="17.25" customHeight="1">
      <c r="A531" s="167">
        <v>46083.45161653935</v>
      </c>
      <c r="B531" s="25" t="s">
        <v>622</v>
      </c>
      <c r="C531" s="56" t="s">
        <v>1892</v>
      </c>
      <c r="D531" s="173">
        <v>46079.0</v>
      </c>
      <c r="E531" s="37">
        <v>25.0</v>
      </c>
      <c r="F531" s="37" t="s">
        <v>1899</v>
      </c>
      <c r="G531" s="90"/>
      <c r="H531" s="130"/>
      <c r="I531" s="130" t="s">
        <v>623</v>
      </c>
      <c r="J531" s="26" t="s">
        <v>1812</v>
      </c>
      <c r="K531" s="26" t="s">
        <v>1815</v>
      </c>
      <c r="L531" s="26" t="s">
        <v>1566</v>
      </c>
      <c r="M531" s="26" t="s">
        <v>1566</v>
      </c>
      <c r="N531" s="26" t="s">
        <v>1566</v>
      </c>
      <c r="O531" s="26" t="s">
        <v>1817</v>
      </c>
      <c r="P531" s="26" t="s">
        <v>616</v>
      </c>
      <c r="Q531" s="26">
        <v>20.0</v>
      </c>
    </row>
    <row r="532" ht="17.25" customHeight="1">
      <c r="A532" s="167">
        <v>46083.452164918985</v>
      </c>
      <c r="B532" s="25" t="s">
        <v>622</v>
      </c>
      <c r="C532" s="56" t="s">
        <v>1560</v>
      </c>
      <c r="D532" s="173">
        <v>46079.0</v>
      </c>
      <c r="E532" s="37">
        <v>25.0</v>
      </c>
      <c r="F532" s="37" t="s">
        <v>1673</v>
      </c>
      <c r="G532" s="90"/>
      <c r="H532" s="130"/>
      <c r="I532" s="130" t="s">
        <v>623</v>
      </c>
      <c r="J532" s="26" t="s">
        <v>1812</v>
      </c>
      <c r="K532" s="26" t="s">
        <v>1815</v>
      </c>
      <c r="L532" s="26" t="s">
        <v>1566</v>
      </c>
      <c r="M532" s="26" t="s">
        <v>1566</v>
      </c>
      <c r="N532" s="26" t="s">
        <v>1566</v>
      </c>
      <c r="O532" s="26" t="s">
        <v>1817</v>
      </c>
      <c r="P532" s="26" t="s">
        <v>616</v>
      </c>
      <c r="Q532" s="26">
        <v>20.0</v>
      </c>
    </row>
    <row r="533" ht="17.25" customHeight="1">
      <c r="A533" s="167">
        <v>46083.45334040509</v>
      </c>
      <c r="B533" s="25" t="s">
        <v>945</v>
      </c>
      <c r="C533" s="56" t="s">
        <v>1560</v>
      </c>
      <c r="D533" s="173">
        <v>46079.0</v>
      </c>
      <c r="E533" s="37">
        <v>25.0</v>
      </c>
      <c r="F533" s="37" t="s">
        <v>1673</v>
      </c>
      <c r="G533" s="90"/>
      <c r="H533" s="130"/>
      <c r="I533" s="130" t="s">
        <v>946</v>
      </c>
      <c r="J533" s="26" t="s">
        <v>1812</v>
      </c>
      <c r="K533" s="26" t="s">
        <v>1815</v>
      </c>
      <c r="L533" s="26" t="s">
        <v>1566</v>
      </c>
      <c r="M533" s="26" t="s">
        <v>1566</v>
      </c>
      <c r="N533" s="26" t="s">
        <v>1566</v>
      </c>
      <c r="O533" s="26" t="s">
        <v>1903</v>
      </c>
      <c r="P533" s="26" t="s">
        <v>616</v>
      </c>
      <c r="Q533" s="26">
        <v>25.0</v>
      </c>
    </row>
    <row r="534" ht="17.25" customHeight="1">
      <c r="A534" s="167">
        <v>46083.45556130787</v>
      </c>
      <c r="B534" s="25" t="s">
        <v>994</v>
      </c>
      <c r="C534" s="56" t="s">
        <v>1892</v>
      </c>
      <c r="D534" s="173">
        <v>46079.0</v>
      </c>
      <c r="E534" s="37">
        <v>2.0</v>
      </c>
      <c r="F534" s="37" t="s">
        <v>1894</v>
      </c>
      <c r="G534" s="90"/>
      <c r="H534" s="130"/>
      <c r="I534" s="130" t="s">
        <v>995</v>
      </c>
      <c r="J534" s="26" t="s">
        <v>1807</v>
      </c>
      <c r="K534" s="26" t="s">
        <v>1889</v>
      </c>
      <c r="L534" s="26" t="s">
        <v>1566</v>
      </c>
      <c r="M534" s="26" t="s">
        <v>1566</v>
      </c>
      <c r="N534" s="26" t="s">
        <v>1566</v>
      </c>
      <c r="O534" s="26" t="s">
        <v>1566</v>
      </c>
      <c r="P534" s="26" t="s">
        <v>661</v>
      </c>
      <c r="Q534" s="26">
        <v>9.0</v>
      </c>
    </row>
    <row r="535" ht="17.25" customHeight="1">
      <c r="A535" s="167">
        <v>46083.460585567125</v>
      </c>
      <c r="B535" s="23" t="s">
        <v>876</v>
      </c>
      <c r="C535" s="56" t="s">
        <v>1892</v>
      </c>
      <c r="D535" s="173">
        <v>46079.0</v>
      </c>
      <c r="E535" s="37">
        <v>6.0</v>
      </c>
      <c r="F535" s="37" t="s">
        <v>1907</v>
      </c>
      <c r="G535" s="90"/>
      <c r="H535" s="130"/>
      <c r="I535" s="130" t="s">
        <v>878</v>
      </c>
      <c r="J535" s="26" t="s">
        <v>1830</v>
      </c>
      <c r="K535" s="26" t="s">
        <v>1879</v>
      </c>
      <c r="L535" s="26" t="s">
        <v>1566</v>
      </c>
      <c r="M535" s="26" t="s">
        <v>1566</v>
      </c>
      <c r="N535" s="26" t="s">
        <v>1566</v>
      </c>
      <c r="O535" s="26" t="s">
        <v>1566</v>
      </c>
      <c r="P535" s="26" t="s">
        <v>643</v>
      </c>
      <c r="Q535" s="26">
        <v>34.0</v>
      </c>
    </row>
    <row r="536" ht="17.25" customHeight="1">
      <c r="A536" s="167">
        <v>46083.4609715625</v>
      </c>
      <c r="B536" s="23" t="s">
        <v>301</v>
      </c>
      <c r="C536" s="56" t="s">
        <v>1892</v>
      </c>
      <c r="D536" s="173">
        <v>46080.0</v>
      </c>
      <c r="E536" s="37">
        <v>10.0</v>
      </c>
      <c r="F536" s="37" t="s">
        <v>1924</v>
      </c>
      <c r="G536" s="90"/>
      <c r="H536" s="130"/>
      <c r="I536" s="130" t="s">
        <v>302</v>
      </c>
      <c r="J536" s="26" t="s">
        <v>1830</v>
      </c>
      <c r="K536" s="26" t="s">
        <v>302</v>
      </c>
      <c r="L536" s="26" t="s">
        <v>1566</v>
      </c>
      <c r="M536" s="26" t="s">
        <v>1566</v>
      </c>
      <c r="N536" s="26" t="s">
        <v>1566</v>
      </c>
      <c r="O536" s="26" t="s">
        <v>1566</v>
      </c>
      <c r="P536" s="26" t="s">
        <v>661</v>
      </c>
      <c r="Q536" s="26">
        <v>580.0</v>
      </c>
    </row>
    <row r="537" ht="17.25" customHeight="1">
      <c r="A537" s="167">
        <v>46083.46110530093</v>
      </c>
      <c r="B537" s="23" t="s">
        <v>301</v>
      </c>
      <c r="C537" s="56" t="s">
        <v>1892</v>
      </c>
      <c r="D537" s="173">
        <v>46083.0</v>
      </c>
      <c r="E537" s="37">
        <v>10.0</v>
      </c>
      <c r="F537" s="37" t="s">
        <v>1894</v>
      </c>
      <c r="G537" s="90"/>
      <c r="H537" s="130"/>
      <c r="I537" s="130" t="s">
        <v>302</v>
      </c>
      <c r="J537" s="26" t="s">
        <v>1830</v>
      </c>
      <c r="K537" s="26" t="s">
        <v>302</v>
      </c>
      <c r="L537" s="26" t="s">
        <v>1566</v>
      </c>
      <c r="M537" s="26" t="s">
        <v>1566</v>
      </c>
      <c r="N537" s="26" t="s">
        <v>1566</v>
      </c>
      <c r="O537" s="26" t="s">
        <v>1566</v>
      </c>
      <c r="P537" s="26" t="s">
        <v>661</v>
      </c>
      <c r="Q537" s="26">
        <v>580.0</v>
      </c>
    </row>
    <row r="538" ht="17.25" customHeight="1">
      <c r="A538" s="167">
        <v>46083.46191142361</v>
      </c>
      <c r="B538" s="23" t="s">
        <v>222</v>
      </c>
      <c r="C538" s="56" t="s">
        <v>1892</v>
      </c>
      <c r="D538" s="173">
        <v>46083.0</v>
      </c>
      <c r="E538" s="37">
        <v>2.0</v>
      </c>
      <c r="F538" s="37" t="s">
        <v>1907</v>
      </c>
      <c r="G538" s="90"/>
      <c r="H538" s="130"/>
      <c r="I538" s="130" t="s">
        <v>230</v>
      </c>
      <c r="J538" s="26" t="s">
        <v>1821</v>
      </c>
      <c r="K538" s="26" t="s">
        <v>1822</v>
      </c>
      <c r="L538" s="26" t="s">
        <v>1828</v>
      </c>
      <c r="M538" s="26" t="s">
        <v>1590</v>
      </c>
      <c r="N538" s="26" t="s">
        <v>1566</v>
      </c>
      <c r="O538" s="26" t="s">
        <v>1566</v>
      </c>
      <c r="P538" s="26" t="s">
        <v>661</v>
      </c>
      <c r="Q538" s="26">
        <v>60.0</v>
      </c>
    </row>
    <row r="539" ht="17.25" customHeight="1">
      <c r="A539" s="167">
        <v>46083.46195125</v>
      </c>
      <c r="B539" s="23" t="s">
        <v>222</v>
      </c>
      <c r="C539" s="56" t="s">
        <v>1892</v>
      </c>
      <c r="D539" s="173">
        <v>46080.0</v>
      </c>
      <c r="E539" s="37">
        <v>2.0</v>
      </c>
      <c r="F539" s="37" t="s">
        <v>1907</v>
      </c>
      <c r="G539" s="90"/>
      <c r="H539" s="130"/>
      <c r="I539" s="130" t="s">
        <v>230</v>
      </c>
      <c r="J539" s="26" t="s">
        <v>1821</v>
      </c>
      <c r="K539" s="26" t="s">
        <v>1822</v>
      </c>
      <c r="L539" s="26" t="s">
        <v>1828</v>
      </c>
      <c r="M539" s="26" t="s">
        <v>1590</v>
      </c>
      <c r="N539" s="26" t="s">
        <v>1566</v>
      </c>
      <c r="O539" s="26" t="s">
        <v>1566</v>
      </c>
      <c r="P539" s="26" t="s">
        <v>661</v>
      </c>
      <c r="Q539" s="26">
        <v>60.0</v>
      </c>
    </row>
    <row r="540" ht="17.25" customHeight="1">
      <c r="A540" s="167">
        <v>46083.46486042824</v>
      </c>
      <c r="B540" s="25" t="s">
        <v>523</v>
      </c>
      <c r="C540" s="56" t="s">
        <v>1892</v>
      </c>
      <c r="D540" s="173">
        <v>46079.0</v>
      </c>
      <c r="E540" s="37">
        <v>10.0</v>
      </c>
      <c r="F540" s="37" t="s">
        <v>1899</v>
      </c>
      <c r="G540" s="90"/>
      <c r="H540" s="130"/>
      <c r="I540" s="130" t="s">
        <v>528</v>
      </c>
      <c r="J540" s="26" t="s">
        <v>1812</v>
      </c>
      <c r="K540" s="26" t="s">
        <v>1815</v>
      </c>
      <c r="L540" s="26" t="s">
        <v>1566</v>
      </c>
      <c r="M540" s="26" t="s">
        <v>1566</v>
      </c>
      <c r="N540" s="26" t="s">
        <v>1566</v>
      </c>
      <c r="O540" s="26" t="s">
        <v>1837</v>
      </c>
      <c r="P540" s="26" t="s">
        <v>616</v>
      </c>
      <c r="Q540" s="26">
        <v>15.0</v>
      </c>
    </row>
    <row r="541" ht="17.25" customHeight="1">
      <c r="A541" s="167">
        <v>46083.46518792824</v>
      </c>
      <c r="B541" s="25" t="s">
        <v>523</v>
      </c>
      <c r="C541" s="56" t="s">
        <v>1560</v>
      </c>
      <c r="D541" s="173">
        <v>46080.0</v>
      </c>
      <c r="E541" s="37">
        <v>30.0</v>
      </c>
      <c r="F541" s="37" t="s">
        <v>2015</v>
      </c>
      <c r="G541" s="90"/>
      <c r="H541" s="130"/>
      <c r="I541" s="130" t="s">
        <v>528</v>
      </c>
      <c r="J541" s="26" t="s">
        <v>1812</v>
      </c>
      <c r="K541" s="26" t="s">
        <v>1815</v>
      </c>
      <c r="L541" s="26" t="s">
        <v>1566</v>
      </c>
      <c r="M541" s="26" t="s">
        <v>1566</v>
      </c>
      <c r="N541" s="26" t="s">
        <v>1566</v>
      </c>
      <c r="O541" s="26" t="s">
        <v>1837</v>
      </c>
      <c r="P541" s="26" t="s">
        <v>616</v>
      </c>
      <c r="Q541" s="26">
        <v>15.0</v>
      </c>
    </row>
    <row r="542" ht="17.25" customHeight="1">
      <c r="A542" s="167">
        <v>46083.466103969906</v>
      </c>
      <c r="B542" s="25" t="s">
        <v>857</v>
      </c>
      <c r="C542" s="56" t="s">
        <v>1892</v>
      </c>
      <c r="D542" s="173">
        <v>46079.0</v>
      </c>
      <c r="E542" s="37">
        <v>1.0</v>
      </c>
      <c r="F542" s="37" t="s">
        <v>1844</v>
      </c>
      <c r="G542" s="90"/>
      <c r="H542" s="130"/>
      <c r="I542" s="130" t="s">
        <v>859</v>
      </c>
      <c r="J542" s="26" t="s">
        <v>1844</v>
      </c>
      <c r="K542" s="26" t="s">
        <v>1846</v>
      </c>
      <c r="L542" s="26" t="s">
        <v>1871</v>
      </c>
      <c r="M542" s="26" t="s">
        <v>1566</v>
      </c>
      <c r="N542" s="26" t="s">
        <v>1566</v>
      </c>
      <c r="O542" s="26" t="s">
        <v>1808</v>
      </c>
      <c r="P542" s="26" t="s">
        <v>661</v>
      </c>
      <c r="Q542" s="26">
        <v>1.0</v>
      </c>
    </row>
    <row r="543" ht="17.25" customHeight="1">
      <c r="A543" s="167">
        <v>46083.46632489584</v>
      </c>
      <c r="B543" s="25" t="s">
        <v>857</v>
      </c>
      <c r="C543" s="56" t="s">
        <v>1560</v>
      </c>
      <c r="D543" s="173">
        <v>46079.0</v>
      </c>
      <c r="E543" s="37">
        <v>1.0</v>
      </c>
      <c r="F543" s="37" t="s">
        <v>1844</v>
      </c>
      <c r="G543" s="90"/>
      <c r="H543" s="130"/>
      <c r="I543" s="130" t="s">
        <v>859</v>
      </c>
      <c r="J543" s="26" t="s">
        <v>1844</v>
      </c>
      <c r="K543" s="26" t="s">
        <v>1846</v>
      </c>
      <c r="L543" s="26" t="s">
        <v>1871</v>
      </c>
      <c r="M543" s="26" t="s">
        <v>1566</v>
      </c>
      <c r="N543" s="26" t="s">
        <v>1566</v>
      </c>
      <c r="O543" s="26" t="s">
        <v>1808</v>
      </c>
      <c r="P543" s="26" t="s">
        <v>661</v>
      </c>
      <c r="Q543" s="26">
        <v>1.0</v>
      </c>
    </row>
    <row r="544" ht="17.25" customHeight="1">
      <c r="A544" s="167">
        <v>46083.466798298614</v>
      </c>
      <c r="B544" s="25" t="s">
        <v>1855</v>
      </c>
      <c r="C544" s="56" t="s">
        <v>1892</v>
      </c>
      <c r="D544" s="173">
        <v>46083.0</v>
      </c>
      <c r="E544" s="37">
        <v>1.0</v>
      </c>
      <c r="F544" s="37" t="s">
        <v>1844</v>
      </c>
      <c r="G544" s="90"/>
      <c r="H544" s="130"/>
      <c r="I544" s="130" t="s">
        <v>1858</v>
      </c>
      <c r="J544" s="26" t="s">
        <v>1844</v>
      </c>
      <c r="K544" s="26" t="s">
        <v>1846</v>
      </c>
      <c r="L544" s="26" t="s">
        <v>1860</v>
      </c>
      <c r="M544" s="26" t="s">
        <v>1566</v>
      </c>
      <c r="N544" s="26" t="s">
        <v>1566</v>
      </c>
      <c r="O544" s="26" t="s">
        <v>1808</v>
      </c>
      <c r="P544" s="26" t="s">
        <v>661</v>
      </c>
      <c r="Q544" s="26">
        <v>0.0</v>
      </c>
    </row>
    <row r="545" ht="17.25" customHeight="1">
      <c r="A545" s="167">
        <v>46083.46717855324</v>
      </c>
      <c r="B545" s="25" t="s">
        <v>1917</v>
      </c>
      <c r="C545" s="56" t="s">
        <v>1892</v>
      </c>
      <c r="D545" s="173">
        <v>46083.0</v>
      </c>
      <c r="E545" s="37">
        <v>1.0</v>
      </c>
      <c r="F545" s="37" t="s">
        <v>1844</v>
      </c>
      <c r="G545" s="90"/>
      <c r="H545" s="130"/>
      <c r="I545" s="130" t="s">
        <v>1918</v>
      </c>
      <c r="J545" s="26" t="s">
        <v>1844</v>
      </c>
      <c r="K545" s="26" t="s">
        <v>1846</v>
      </c>
      <c r="L545" s="26" t="s">
        <v>2039</v>
      </c>
      <c r="M545" s="26" t="s">
        <v>1566</v>
      </c>
      <c r="N545" s="26" t="s">
        <v>1566</v>
      </c>
      <c r="O545" s="26" t="s">
        <v>1566</v>
      </c>
      <c r="P545" s="26" t="s">
        <v>661</v>
      </c>
      <c r="Q545" s="26">
        <v>0.0</v>
      </c>
    </row>
    <row r="546" ht="17.25" customHeight="1">
      <c r="A546" s="167">
        <v>46083.46942090278</v>
      </c>
      <c r="B546" s="27" t="s">
        <v>901</v>
      </c>
      <c r="C546" s="56" t="s">
        <v>1560</v>
      </c>
      <c r="D546" s="173">
        <v>46079.0</v>
      </c>
      <c r="E546" s="37">
        <v>20.0</v>
      </c>
      <c r="F546" s="37" t="s">
        <v>1673</v>
      </c>
      <c r="G546" s="90"/>
      <c r="H546" s="130"/>
      <c r="I546" s="130" t="s">
        <v>904</v>
      </c>
      <c r="J546" s="26" t="s">
        <v>1807</v>
      </c>
      <c r="K546" s="26" t="s">
        <v>1807</v>
      </c>
      <c r="L546" s="26" t="s">
        <v>1566</v>
      </c>
      <c r="M546" s="26" t="s">
        <v>1566</v>
      </c>
      <c r="N546" s="26" t="s">
        <v>1566</v>
      </c>
      <c r="O546" s="26" t="s">
        <v>1808</v>
      </c>
      <c r="P546" s="26" t="s">
        <v>290</v>
      </c>
      <c r="Q546" s="26">
        <v>20.0</v>
      </c>
    </row>
    <row r="547" ht="17.25" customHeight="1">
      <c r="A547" s="167">
        <v>46083.48797699074</v>
      </c>
      <c r="B547" s="25" t="s">
        <v>1920</v>
      </c>
      <c r="C547" s="56" t="s">
        <v>1892</v>
      </c>
      <c r="D547" s="173">
        <v>46080.0</v>
      </c>
      <c r="E547" s="37">
        <v>1200.0</v>
      </c>
      <c r="F547" s="37" t="s">
        <v>1924</v>
      </c>
      <c r="G547" s="56">
        <v>594.0</v>
      </c>
      <c r="H547" s="130"/>
      <c r="I547" s="130" t="s">
        <v>1921</v>
      </c>
      <c r="J547" s="26" t="s">
        <v>1225</v>
      </c>
      <c r="K547" s="26" t="s">
        <v>1646</v>
      </c>
      <c r="L547" s="26" t="s">
        <v>1576</v>
      </c>
      <c r="M547" s="26" t="s">
        <v>2047</v>
      </c>
      <c r="N547" s="26" t="s">
        <v>1566</v>
      </c>
      <c r="O547" s="26" t="s">
        <v>1566</v>
      </c>
      <c r="P547" s="26" t="s">
        <v>22</v>
      </c>
      <c r="Q547" s="26">
        <v>0.0</v>
      </c>
    </row>
    <row r="548" ht="17.25" customHeight="1">
      <c r="A548" s="167">
        <v>46083.48805063657</v>
      </c>
      <c r="B548" s="25" t="s">
        <v>1920</v>
      </c>
      <c r="C548" s="56" t="s">
        <v>1892</v>
      </c>
      <c r="D548" s="173">
        <v>46080.0</v>
      </c>
      <c r="E548" s="37">
        <v>1200.0</v>
      </c>
      <c r="F548" s="37" t="s">
        <v>1924</v>
      </c>
      <c r="G548" s="56">
        <v>595.0</v>
      </c>
      <c r="H548" s="130"/>
      <c r="I548" s="130" t="s">
        <v>1921</v>
      </c>
      <c r="J548" s="26" t="s">
        <v>1225</v>
      </c>
      <c r="K548" s="26" t="s">
        <v>1646</v>
      </c>
      <c r="L548" s="26" t="s">
        <v>1576</v>
      </c>
      <c r="M548" s="26" t="s">
        <v>2047</v>
      </c>
      <c r="N548" s="26" t="s">
        <v>1566</v>
      </c>
      <c r="O548" s="26" t="s">
        <v>1566</v>
      </c>
      <c r="P548" s="26" t="s">
        <v>22</v>
      </c>
      <c r="Q548" s="26">
        <v>0.0</v>
      </c>
    </row>
    <row r="549" ht="17.25" customHeight="1">
      <c r="A549" s="167">
        <v>46083.488071053245</v>
      </c>
      <c r="B549" s="25" t="s">
        <v>1920</v>
      </c>
      <c r="C549" s="56" t="s">
        <v>1892</v>
      </c>
      <c r="D549" s="173">
        <v>46080.0</v>
      </c>
      <c r="E549" s="37">
        <v>600.0</v>
      </c>
      <c r="F549" s="37" t="s">
        <v>1924</v>
      </c>
      <c r="G549" s="56">
        <v>596.0</v>
      </c>
      <c r="H549" s="130"/>
      <c r="I549" s="130" t="s">
        <v>1921</v>
      </c>
      <c r="J549" s="26" t="s">
        <v>1225</v>
      </c>
      <c r="K549" s="26" t="s">
        <v>1646</v>
      </c>
      <c r="L549" s="26" t="s">
        <v>1576</v>
      </c>
      <c r="M549" s="26" t="s">
        <v>2047</v>
      </c>
      <c r="N549" s="26" t="s">
        <v>1566</v>
      </c>
      <c r="O549" s="26" t="s">
        <v>1566</v>
      </c>
      <c r="P549" s="26" t="s">
        <v>22</v>
      </c>
      <c r="Q549" s="26">
        <v>0.0</v>
      </c>
    </row>
    <row r="550" ht="17.25" customHeight="1">
      <c r="A550" s="167">
        <v>46083.489064803245</v>
      </c>
      <c r="B550" s="25" t="s">
        <v>175</v>
      </c>
      <c r="C550" s="56" t="s">
        <v>1892</v>
      </c>
      <c r="D550" s="173">
        <v>46080.0</v>
      </c>
      <c r="E550" s="37">
        <v>900.0</v>
      </c>
      <c r="F550" s="37" t="s">
        <v>1924</v>
      </c>
      <c r="G550" s="56">
        <v>597.0</v>
      </c>
      <c r="H550" s="130"/>
      <c r="I550" s="130" t="s">
        <v>176</v>
      </c>
      <c r="J550" s="26" t="s">
        <v>1225</v>
      </c>
      <c r="K550" s="26" t="s">
        <v>1562</v>
      </c>
      <c r="L550" s="26" t="s">
        <v>1633</v>
      </c>
      <c r="M550" s="26" t="s">
        <v>1634</v>
      </c>
      <c r="N550" s="26" t="s">
        <v>1571</v>
      </c>
      <c r="O550" s="26" t="s">
        <v>1566</v>
      </c>
      <c r="P550" s="26" t="s">
        <v>22</v>
      </c>
      <c r="Q550" s="26">
        <v>2100.0</v>
      </c>
    </row>
    <row r="551" ht="17.25" customHeight="1">
      <c r="A551" s="167">
        <v>46130.46249613426</v>
      </c>
      <c r="B551" s="25" t="s">
        <v>175</v>
      </c>
      <c r="C551" s="56" t="s">
        <v>1892</v>
      </c>
      <c r="D551" s="173">
        <v>46080.0</v>
      </c>
      <c r="E551" s="37">
        <v>400.0</v>
      </c>
      <c r="F551" s="37" t="s">
        <v>1924</v>
      </c>
      <c r="G551" s="56" t="s">
        <v>1898</v>
      </c>
      <c r="H551" s="130"/>
      <c r="I551" s="130" t="s">
        <v>176</v>
      </c>
      <c r="J551" s="26" t="s">
        <v>1225</v>
      </c>
      <c r="K551" s="26" t="s">
        <v>1562</v>
      </c>
      <c r="L551" s="26" t="s">
        <v>1633</v>
      </c>
      <c r="M551" s="26" t="s">
        <v>1634</v>
      </c>
      <c r="N551" s="26" t="s">
        <v>1571</v>
      </c>
      <c r="O551" s="26" t="s">
        <v>1566</v>
      </c>
      <c r="P551" s="26" t="s">
        <v>22</v>
      </c>
      <c r="Q551" s="26">
        <v>2100.0</v>
      </c>
    </row>
    <row r="552" ht="17.25" customHeight="1">
      <c r="A552" s="167">
        <v>46083.489907118055</v>
      </c>
      <c r="B552" s="25" t="s">
        <v>104</v>
      </c>
      <c r="C552" s="56" t="s">
        <v>1892</v>
      </c>
      <c r="D552" s="173">
        <v>46080.0</v>
      </c>
      <c r="E552" s="37">
        <v>700.0</v>
      </c>
      <c r="F552" s="37" t="s">
        <v>1924</v>
      </c>
      <c r="G552" s="56">
        <v>598.0</v>
      </c>
      <c r="H552" s="130"/>
      <c r="I552" s="130" t="s">
        <v>106</v>
      </c>
      <c r="J552" s="26" t="s">
        <v>1225</v>
      </c>
      <c r="K552" s="26" t="s">
        <v>1562</v>
      </c>
      <c r="L552" s="26" t="s">
        <v>1582</v>
      </c>
      <c r="M552" s="26" t="s">
        <v>1607</v>
      </c>
      <c r="N552" s="26" t="s">
        <v>1571</v>
      </c>
      <c r="O552" s="26" t="s">
        <v>1566</v>
      </c>
      <c r="P552" s="26" t="s">
        <v>22</v>
      </c>
      <c r="Q552" s="26">
        <v>1000.0</v>
      </c>
    </row>
    <row r="553" ht="17.25" customHeight="1">
      <c r="A553" s="167">
        <v>46083.49114445602</v>
      </c>
      <c r="B553" s="25" t="s">
        <v>1643</v>
      </c>
      <c r="C553" s="56" t="s">
        <v>1892</v>
      </c>
      <c r="D553" s="173">
        <v>46081.0</v>
      </c>
      <c r="E553" s="37">
        <v>550.0</v>
      </c>
      <c r="F553" s="37" t="s">
        <v>1924</v>
      </c>
      <c r="G553" s="56" t="s">
        <v>2088</v>
      </c>
      <c r="H553" s="130"/>
      <c r="I553" s="130" t="s">
        <v>1644</v>
      </c>
      <c r="J553" s="26" t="s">
        <v>1225</v>
      </c>
      <c r="K553" s="26" t="s">
        <v>1640</v>
      </c>
      <c r="L553" s="26" t="s">
        <v>1576</v>
      </c>
      <c r="M553" s="26" t="s">
        <v>1645</v>
      </c>
      <c r="N553" s="26" t="s">
        <v>1566</v>
      </c>
      <c r="O553" s="26" t="s">
        <v>1566</v>
      </c>
      <c r="P553" s="26" t="s">
        <v>22</v>
      </c>
      <c r="Q553" s="26">
        <v>0.0</v>
      </c>
    </row>
    <row r="554" ht="17.25" customHeight="1">
      <c r="A554" s="167">
        <v>46083.49185961805</v>
      </c>
      <c r="B554" s="25" t="s">
        <v>104</v>
      </c>
      <c r="C554" s="56" t="s">
        <v>1892</v>
      </c>
      <c r="D554" s="173">
        <v>46083.0</v>
      </c>
      <c r="E554" s="37">
        <v>600.0</v>
      </c>
      <c r="F554" s="37" t="s">
        <v>1924</v>
      </c>
      <c r="G554" s="56">
        <v>602.0</v>
      </c>
      <c r="H554" s="130"/>
      <c r="I554" s="130" t="s">
        <v>106</v>
      </c>
      <c r="J554" s="26" t="s">
        <v>1225</v>
      </c>
      <c r="K554" s="26" t="s">
        <v>1562</v>
      </c>
      <c r="L554" s="26" t="s">
        <v>1582</v>
      </c>
      <c r="M554" s="26" t="s">
        <v>1607</v>
      </c>
      <c r="N554" s="26" t="s">
        <v>1571</v>
      </c>
      <c r="O554" s="26" t="s">
        <v>1566</v>
      </c>
      <c r="P554" s="26" t="s">
        <v>22</v>
      </c>
      <c r="Q554" s="26">
        <v>1000.0</v>
      </c>
    </row>
    <row r="555" ht="17.25" customHeight="1">
      <c r="A555" s="167">
        <v>46083.49302229167</v>
      </c>
      <c r="B555" s="25" t="s">
        <v>201</v>
      </c>
      <c r="C555" s="56" t="s">
        <v>1892</v>
      </c>
      <c r="D555" s="173">
        <v>46083.0</v>
      </c>
      <c r="E555" s="37">
        <v>70.0</v>
      </c>
      <c r="F555" s="37" t="s">
        <v>1924</v>
      </c>
      <c r="G555" s="56">
        <v>603.0</v>
      </c>
      <c r="H555" s="130"/>
      <c r="I555" s="130" t="s">
        <v>202</v>
      </c>
      <c r="J555" s="26" t="s">
        <v>1225</v>
      </c>
      <c r="K555" s="26" t="s">
        <v>1562</v>
      </c>
      <c r="L555" s="26" t="s">
        <v>1573</v>
      </c>
      <c r="M555" s="26" t="s">
        <v>1574</v>
      </c>
      <c r="N555" s="26" t="s">
        <v>1566</v>
      </c>
      <c r="O555" s="26" t="s">
        <v>1566</v>
      </c>
      <c r="P555" s="26" t="s">
        <v>22</v>
      </c>
      <c r="Q555" s="26">
        <v>600.0</v>
      </c>
    </row>
    <row r="556" ht="17.25" customHeight="1">
      <c r="A556" s="167">
        <v>46083.53090724537</v>
      </c>
      <c r="B556" s="25" t="s">
        <v>812</v>
      </c>
      <c r="C556" s="56" t="s">
        <v>1892</v>
      </c>
      <c r="D556" s="173">
        <v>46083.0</v>
      </c>
      <c r="E556" s="37">
        <v>10.0</v>
      </c>
      <c r="F556" s="37" t="s">
        <v>2089</v>
      </c>
      <c r="G556" s="90"/>
      <c r="H556" s="130"/>
      <c r="I556" s="130" t="s">
        <v>813</v>
      </c>
      <c r="J556" s="26" t="s">
        <v>1830</v>
      </c>
      <c r="K556" s="26" t="s">
        <v>1839</v>
      </c>
      <c r="L556" s="26" t="s">
        <v>1566</v>
      </c>
      <c r="M556" s="26" t="s">
        <v>1566</v>
      </c>
      <c r="N556" s="26" t="s">
        <v>1566</v>
      </c>
      <c r="O556" s="26" t="s">
        <v>1566</v>
      </c>
      <c r="P556" s="26" t="s">
        <v>661</v>
      </c>
      <c r="Q556" s="26">
        <v>100.0</v>
      </c>
    </row>
    <row r="557" ht="17.25" customHeight="1">
      <c r="A557" s="167">
        <v>46083.53182172454</v>
      </c>
      <c r="B557" s="25" t="s">
        <v>222</v>
      </c>
      <c r="C557" s="56" t="s">
        <v>1892</v>
      </c>
      <c r="D557" s="173">
        <v>46083.0</v>
      </c>
      <c r="E557" s="37">
        <v>2.0</v>
      </c>
      <c r="F557" s="37" t="s">
        <v>2090</v>
      </c>
      <c r="G557" s="90"/>
      <c r="H557" s="130"/>
      <c r="I557" s="130" t="s">
        <v>230</v>
      </c>
      <c r="J557" s="26" t="s">
        <v>1821</v>
      </c>
      <c r="K557" s="26" t="s">
        <v>1822</v>
      </c>
      <c r="L557" s="26" t="s">
        <v>1828</v>
      </c>
      <c r="M557" s="26" t="s">
        <v>1590</v>
      </c>
      <c r="N557" s="26" t="s">
        <v>1566</v>
      </c>
      <c r="O557" s="26" t="s">
        <v>1566</v>
      </c>
      <c r="P557" s="26" t="s">
        <v>661</v>
      </c>
      <c r="Q557" s="26">
        <v>60.0</v>
      </c>
    </row>
    <row r="558" ht="17.25" customHeight="1">
      <c r="A558" s="167">
        <v>46083.53230605324</v>
      </c>
      <c r="B558" s="23" t="s">
        <v>638</v>
      </c>
      <c r="C558" s="56" t="s">
        <v>1892</v>
      </c>
      <c r="D558" s="173">
        <v>46080.0</v>
      </c>
      <c r="E558" s="37">
        <v>2.0</v>
      </c>
      <c r="F558" s="37" t="s">
        <v>1908</v>
      </c>
      <c r="G558" s="90"/>
      <c r="H558" s="130"/>
      <c r="I558" s="130" t="s">
        <v>644</v>
      </c>
      <c r="J558" s="26" t="s">
        <v>1821</v>
      </c>
      <c r="K558" s="26" t="s">
        <v>1873</v>
      </c>
      <c r="L558" s="26" t="s">
        <v>1566</v>
      </c>
      <c r="M558" s="26" t="s">
        <v>1566</v>
      </c>
      <c r="N558" s="26" t="s">
        <v>1566</v>
      </c>
      <c r="O558" s="26" t="s">
        <v>1566</v>
      </c>
      <c r="P558" s="26" t="s">
        <v>290</v>
      </c>
      <c r="Q558" s="26">
        <v>9.0</v>
      </c>
    </row>
    <row r="559" ht="17.25" customHeight="1">
      <c r="A559" s="167">
        <v>46083.601937141204</v>
      </c>
      <c r="B559" s="25" t="s">
        <v>120</v>
      </c>
      <c r="C559" s="56" t="s">
        <v>1892</v>
      </c>
      <c r="D559" s="173">
        <v>46080.0</v>
      </c>
      <c r="E559" s="37">
        <v>1000.0</v>
      </c>
      <c r="F559" s="37" t="s">
        <v>1561</v>
      </c>
      <c r="G559" s="56">
        <v>604.0</v>
      </c>
      <c r="H559" s="130"/>
      <c r="I559" s="130" t="s">
        <v>121</v>
      </c>
      <c r="J559" s="26" t="s">
        <v>1225</v>
      </c>
      <c r="K559" s="26" t="s">
        <v>1562</v>
      </c>
      <c r="L559" s="26" t="s">
        <v>1613</v>
      </c>
      <c r="M559" s="26" t="s">
        <v>1604</v>
      </c>
      <c r="N559" s="26" t="s">
        <v>1571</v>
      </c>
      <c r="O559" s="26" t="s">
        <v>1566</v>
      </c>
      <c r="P559" s="26" t="s">
        <v>22</v>
      </c>
      <c r="Q559" s="26">
        <v>200.0</v>
      </c>
    </row>
    <row r="560" ht="17.25" customHeight="1">
      <c r="A560" s="167">
        <v>46083.60336982639</v>
      </c>
      <c r="B560" s="23" t="s">
        <v>598</v>
      </c>
      <c r="C560" s="56" t="s">
        <v>1892</v>
      </c>
      <c r="D560" s="173">
        <v>46080.0</v>
      </c>
      <c r="E560" s="37">
        <v>5.0</v>
      </c>
      <c r="F560" s="37" t="s">
        <v>1899</v>
      </c>
      <c r="G560" s="90"/>
      <c r="H560" s="130"/>
      <c r="I560" s="130" t="s">
        <v>604</v>
      </c>
      <c r="J560" s="26" t="s">
        <v>1812</v>
      </c>
      <c r="K560" s="26" t="s">
        <v>1815</v>
      </c>
      <c r="L560" s="26" t="s">
        <v>1566</v>
      </c>
      <c r="M560" s="26" t="s">
        <v>1566</v>
      </c>
      <c r="N560" s="26" t="s">
        <v>1566</v>
      </c>
      <c r="O560" s="26" t="s">
        <v>1812</v>
      </c>
      <c r="P560" s="26" t="s">
        <v>616</v>
      </c>
      <c r="Q560" s="26">
        <v>15.0</v>
      </c>
    </row>
    <row r="561" ht="17.25" customHeight="1">
      <c r="A561" s="167">
        <v>46083.65560883102</v>
      </c>
      <c r="B561" s="25" t="s">
        <v>1758</v>
      </c>
      <c r="C561" s="56" t="s">
        <v>1892</v>
      </c>
      <c r="D561" s="173">
        <v>46083.0</v>
      </c>
      <c r="E561" s="37">
        <v>2.0</v>
      </c>
      <c r="F561" s="37" t="s">
        <v>1899</v>
      </c>
      <c r="G561" s="90"/>
      <c r="H561" s="130"/>
      <c r="I561" s="130" t="s">
        <v>1759</v>
      </c>
      <c r="J561" s="26" t="s">
        <v>1674</v>
      </c>
      <c r="K561" s="26" t="s">
        <v>1691</v>
      </c>
      <c r="L561" s="26" t="s">
        <v>1566</v>
      </c>
      <c r="M561" s="26" t="s">
        <v>1566</v>
      </c>
      <c r="N561" s="26" t="s">
        <v>1760</v>
      </c>
      <c r="O561" s="26" t="s">
        <v>1761</v>
      </c>
      <c r="P561" s="26" t="s">
        <v>290</v>
      </c>
      <c r="Q561" s="26">
        <v>0.0</v>
      </c>
    </row>
    <row r="562" ht="17.25" customHeight="1">
      <c r="A562" s="167">
        <v>46083.76812540509</v>
      </c>
      <c r="B562" s="25" t="s">
        <v>1706</v>
      </c>
      <c r="C562" s="56" t="s">
        <v>1560</v>
      </c>
      <c r="D562" s="173">
        <v>46083.0</v>
      </c>
      <c r="E562" s="37">
        <v>2000.0</v>
      </c>
      <c r="F562" s="37" t="s">
        <v>1561</v>
      </c>
      <c r="G562" s="90"/>
      <c r="H562" s="130"/>
      <c r="I562" s="130" t="s">
        <v>1707</v>
      </c>
      <c r="J562" s="26" t="s">
        <v>1225</v>
      </c>
      <c r="K562" s="26" t="s">
        <v>1562</v>
      </c>
      <c r="L562" s="26" t="s">
        <v>2091</v>
      </c>
      <c r="M562" s="26" t="s">
        <v>1566</v>
      </c>
      <c r="N562" s="26" t="s">
        <v>1566</v>
      </c>
      <c r="O562" s="26" t="s">
        <v>1566</v>
      </c>
      <c r="P562" s="26" t="s">
        <v>22</v>
      </c>
      <c r="Q562" s="26">
        <v>0.0</v>
      </c>
    </row>
    <row r="563" ht="17.25" customHeight="1">
      <c r="A563" s="167">
        <v>46083.72289440972</v>
      </c>
      <c r="B563" s="25" t="s">
        <v>65</v>
      </c>
      <c r="C563" s="56" t="s">
        <v>1892</v>
      </c>
      <c r="D563" s="173">
        <v>46083.0</v>
      </c>
      <c r="E563" s="37">
        <v>600.0</v>
      </c>
      <c r="F563" s="2" t="s">
        <v>1561</v>
      </c>
      <c r="G563" s="37">
        <v>601.0</v>
      </c>
      <c r="H563" s="130"/>
      <c r="I563" s="130" t="s">
        <v>67</v>
      </c>
      <c r="J563" s="26" t="s">
        <v>1225</v>
      </c>
      <c r="K563" s="26" t="s">
        <v>1562</v>
      </c>
      <c r="L563" s="26" t="s">
        <v>1587</v>
      </c>
      <c r="M563" s="26" t="s">
        <v>1572</v>
      </c>
      <c r="N563" s="26" t="s">
        <v>1571</v>
      </c>
      <c r="O563" s="26" t="s">
        <v>1566</v>
      </c>
      <c r="P563" s="26" t="s">
        <v>22</v>
      </c>
      <c r="Q563" s="26">
        <v>1000.0</v>
      </c>
    </row>
    <row r="564" ht="17.25" customHeight="1">
      <c r="A564" s="167">
        <v>46083.74644400463</v>
      </c>
      <c r="B564" s="25" t="s">
        <v>812</v>
      </c>
      <c r="C564" s="56" t="s">
        <v>1892</v>
      </c>
      <c r="D564" s="173">
        <v>46083.0</v>
      </c>
      <c r="E564" s="37">
        <v>2.0</v>
      </c>
      <c r="F564" s="56" t="s">
        <v>1907</v>
      </c>
      <c r="G564" s="109"/>
      <c r="H564" s="130"/>
      <c r="I564" s="130" t="s">
        <v>813</v>
      </c>
      <c r="J564" s="26" t="s">
        <v>1830</v>
      </c>
      <c r="K564" s="26" t="s">
        <v>1839</v>
      </c>
      <c r="L564" s="26" t="s">
        <v>1566</v>
      </c>
      <c r="M564" s="26" t="s">
        <v>1566</v>
      </c>
      <c r="N564" s="26" t="s">
        <v>1566</v>
      </c>
      <c r="O564" s="26" t="s">
        <v>1566</v>
      </c>
      <c r="P564" s="26" t="s">
        <v>661</v>
      </c>
      <c r="Q564" s="26">
        <v>100.0</v>
      </c>
    </row>
    <row r="565" ht="17.25" customHeight="1">
      <c r="A565" s="167">
        <v>46083.769759999996</v>
      </c>
      <c r="B565" s="25" t="s">
        <v>1706</v>
      </c>
      <c r="C565" s="56" t="s">
        <v>1892</v>
      </c>
      <c r="D565" s="173">
        <v>46083.0</v>
      </c>
      <c r="E565" s="37">
        <v>2000.0</v>
      </c>
      <c r="F565" s="56" t="s">
        <v>1561</v>
      </c>
      <c r="G565" s="37">
        <v>601.0</v>
      </c>
      <c r="H565" s="130"/>
      <c r="I565" s="130" t="s">
        <v>1707</v>
      </c>
      <c r="J565" s="26" t="s">
        <v>1225</v>
      </c>
      <c r="K565" s="26" t="s">
        <v>1562</v>
      </c>
      <c r="L565" s="26" t="s">
        <v>2091</v>
      </c>
      <c r="M565" s="26" t="s">
        <v>1566</v>
      </c>
      <c r="N565" s="26" t="s">
        <v>1566</v>
      </c>
      <c r="O565" s="26" t="s">
        <v>1566</v>
      </c>
      <c r="P565" s="26" t="s">
        <v>22</v>
      </c>
      <c r="Q565" s="26">
        <v>0.0</v>
      </c>
    </row>
    <row r="566" ht="17.25" customHeight="1">
      <c r="A566" s="167">
        <v>46083.769759999996</v>
      </c>
      <c r="B566" s="25" t="s">
        <v>179</v>
      </c>
      <c r="C566" s="56" t="s">
        <v>1892</v>
      </c>
      <c r="D566" s="173">
        <v>46078.0</v>
      </c>
      <c r="E566" s="37">
        <v>864.0</v>
      </c>
      <c r="F566" s="56" t="s">
        <v>1561</v>
      </c>
      <c r="G566" s="37" t="s">
        <v>2092</v>
      </c>
      <c r="H566" s="130"/>
      <c r="I566" s="130" t="s">
        <v>180</v>
      </c>
      <c r="J566" s="26" t="s">
        <v>1225</v>
      </c>
      <c r="K566" s="26" t="s">
        <v>1653</v>
      </c>
      <c r="L566" s="26" t="s">
        <v>1563</v>
      </c>
      <c r="M566" s="26" t="s">
        <v>1572</v>
      </c>
      <c r="N566" s="26" t="s">
        <v>1654</v>
      </c>
      <c r="O566" s="26" t="s">
        <v>1566</v>
      </c>
      <c r="P566" s="26" t="s">
        <v>22</v>
      </c>
      <c r="Q566" s="26">
        <v>0.0</v>
      </c>
    </row>
    <row r="567" ht="17.25" customHeight="1">
      <c r="A567" s="167">
        <v>46084.40202358796</v>
      </c>
      <c r="B567" s="25" t="s">
        <v>74</v>
      </c>
      <c r="C567" s="56" t="s">
        <v>1560</v>
      </c>
      <c r="D567" s="173">
        <v>46055.0</v>
      </c>
      <c r="E567" s="37">
        <v>1500.0</v>
      </c>
      <c r="F567" s="56" t="s">
        <v>1561</v>
      </c>
      <c r="G567" s="109"/>
      <c r="H567" s="130"/>
      <c r="I567" s="130" t="s">
        <v>75</v>
      </c>
      <c r="J567" s="26" t="s">
        <v>1225</v>
      </c>
      <c r="K567" s="26" t="s">
        <v>1562</v>
      </c>
      <c r="L567" s="26" t="s">
        <v>1591</v>
      </c>
      <c r="M567" s="26" t="s">
        <v>1597</v>
      </c>
      <c r="N567" s="26" t="s">
        <v>1566</v>
      </c>
      <c r="O567" s="26" t="s">
        <v>1566</v>
      </c>
      <c r="P567" s="26" t="s">
        <v>22</v>
      </c>
      <c r="Q567" s="26">
        <v>0.0</v>
      </c>
    </row>
    <row r="568" ht="17.25" customHeight="1">
      <c r="A568" s="167">
        <v>46084.40272201389</v>
      </c>
      <c r="B568" s="25" t="s">
        <v>1045</v>
      </c>
      <c r="C568" s="56" t="s">
        <v>1560</v>
      </c>
      <c r="D568" s="173">
        <v>46055.0</v>
      </c>
      <c r="E568" s="37">
        <v>5000.0</v>
      </c>
      <c r="F568" s="56" t="s">
        <v>1561</v>
      </c>
      <c r="G568" s="109"/>
      <c r="H568" s="130"/>
      <c r="I568" s="130" t="s">
        <v>1046</v>
      </c>
      <c r="J568" s="26" t="s">
        <v>1225</v>
      </c>
      <c r="K568" s="26" t="s">
        <v>1562</v>
      </c>
      <c r="L568" s="26" t="s">
        <v>1633</v>
      </c>
      <c r="M568" s="26" t="s">
        <v>2093</v>
      </c>
      <c r="N568" s="26" t="s">
        <v>1566</v>
      </c>
      <c r="O568" s="26" t="s">
        <v>1566</v>
      </c>
      <c r="P568" s="26" t="s">
        <v>22</v>
      </c>
      <c r="Q568" s="26">
        <v>950.0</v>
      </c>
    </row>
    <row r="569" ht="17.25" customHeight="1">
      <c r="A569" s="167">
        <v>46084.403427592595</v>
      </c>
      <c r="B569" s="25" t="s">
        <v>41</v>
      </c>
      <c r="C569" s="56" t="s">
        <v>1892</v>
      </c>
      <c r="D569" s="173">
        <v>46079.0</v>
      </c>
      <c r="E569" s="37">
        <v>100.0</v>
      </c>
      <c r="F569" s="56" t="s">
        <v>1561</v>
      </c>
      <c r="G569" s="109"/>
      <c r="H569" s="130"/>
      <c r="I569" s="130" t="s">
        <v>42</v>
      </c>
      <c r="J569" s="26" t="s">
        <v>1225</v>
      </c>
      <c r="K569" s="26" t="s">
        <v>1562</v>
      </c>
      <c r="L569" s="26" t="s">
        <v>1576</v>
      </c>
      <c r="M569" s="26" t="s">
        <v>1575</v>
      </c>
      <c r="N569" s="26" t="s">
        <v>1571</v>
      </c>
      <c r="O569" s="26" t="s">
        <v>1566</v>
      </c>
      <c r="P569" s="26" t="s">
        <v>22</v>
      </c>
      <c r="Q569" s="26">
        <v>200.0</v>
      </c>
    </row>
    <row r="570" ht="17.25" customHeight="1">
      <c r="A570" s="167">
        <v>46084.40357201389</v>
      </c>
      <c r="B570" s="25" t="s">
        <v>41</v>
      </c>
      <c r="C570" s="56" t="s">
        <v>1560</v>
      </c>
      <c r="D570" s="173">
        <v>46083.0</v>
      </c>
      <c r="E570" s="37">
        <v>2500.0</v>
      </c>
      <c r="F570" s="56" t="s">
        <v>1561</v>
      </c>
      <c r="G570" s="109"/>
      <c r="H570" s="130"/>
      <c r="I570" s="130" t="s">
        <v>42</v>
      </c>
      <c r="J570" s="26" t="s">
        <v>1225</v>
      </c>
      <c r="K570" s="26" t="s">
        <v>1562</v>
      </c>
      <c r="L570" s="26" t="s">
        <v>1576</v>
      </c>
      <c r="M570" s="26" t="s">
        <v>1575</v>
      </c>
      <c r="N570" s="26" t="s">
        <v>1571</v>
      </c>
      <c r="O570" s="26" t="s">
        <v>1566</v>
      </c>
      <c r="P570" s="26" t="s">
        <v>22</v>
      </c>
      <c r="Q570" s="26">
        <v>200.0</v>
      </c>
    </row>
    <row r="571" ht="17.25" customHeight="1">
      <c r="A571" s="167">
        <v>46084.40406598379</v>
      </c>
      <c r="B571" s="25" t="s">
        <v>1577</v>
      </c>
      <c r="C571" s="56" t="s">
        <v>1892</v>
      </c>
      <c r="D571" s="173">
        <v>46077.0</v>
      </c>
      <c r="E571" s="37">
        <v>150.0</v>
      </c>
      <c r="F571" s="56" t="s">
        <v>1561</v>
      </c>
      <c r="G571" s="109"/>
      <c r="H571" s="130"/>
      <c r="I571" s="130" t="s">
        <v>1579</v>
      </c>
      <c r="J571" s="26" t="s">
        <v>1225</v>
      </c>
      <c r="K571" s="26" t="s">
        <v>1562</v>
      </c>
      <c r="L571" s="26" t="s">
        <v>1576</v>
      </c>
      <c r="M571" s="26" t="s">
        <v>1575</v>
      </c>
      <c r="N571" s="26" t="s">
        <v>1565</v>
      </c>
      <c r="O571" s="26" t="s">
        <v>1566</v>
      </c>
      <c r="P571" s="26" t="s">
        <v>22</v>
      </c>
      <c r="Q571" s="26">
        <v>0.0</v>
      </c>
    </row>
    <row r="572" ht="17.25" customHeight="1">
      <c r="A572" s="167">
        <v>46084.40885796296</v>
      </c>
      <c r="B572" s="23" t="s">
        <v>301</v>
      </c>
      <c r="C572" s="56" t="s">
        <v>1892</v>
      </c>
      <c r="D572" s="173">
        <v>46077.0</v>
      </c>
      <c r="E572" s="37">
        <v>50.0</v>
      </c>
      <c r="F572" s="56" t="s">
        <v>1561</v>
      </c>
      <c r="G572" s="37" t="s">
        <v>2094</v>
      </c>
      <c r="H572" s="130"/>
      <c r="I572" s="130" t="s">
        <v>302</v>
      </c>
      <c r="J572" s="26" t="s">
        <v>1830</v>
      </c>
      <c r="K572" s="26" t="s">
        <v>302</v>
      </c>
      <c r="L572" s="26" t="s">
        <v>1566</v>
      </c>
      <c r="M572" s="26" t="s">
        <v>1566</v>
      </c>
      <c r="N572" s="26" t="s">
        <v>1566</v>
      </c>
      <c r="O572" s="26" t="s">
        <v>1566</v>
      </c>
      <c r="P572" s="26" t="s">
        <v>661</v>
      </c>
      <c r="Q572" s="26">
        <v>580.0</v>
      </c>
    </row>
    <row r="573" ht="17.25" customHeight="1">
      <c r="A573" s="167">
        <v>46084.463076238426</v>
      </c>
      <c r="B573" s="23" t="s">
        <v>301</v>
      </c>
      <c r="C573" s="56" t="s">
        <v>1892</v>
      </c>
      <c r="D573" s="167">
        <v>46084.463076238426</v>
      </c>
      <c r="E573" s="37">
        <v>50.0</v>
      </c>
      <c r="F573" s="56" t="s">
        <v>1899</v>
      </c>
      <c r="G573" s="37" t="s">
        <v>2094</v>
      </c>
      <c r="H573" s="130"/>
      <c r="I573" s="130" t="s">
        <v>302</v>
      </c>
      <c r="J573" s="26" t="s">
        <v>1830</v>
      </c>
      <c r="K573" s="26" t="s">
        <v>302</v>
      </c>
      <c r="L573" s="26" t="s">
        <v>1566</v>
      </c>
      <c r="M573" s="26" t="s">
        <v>1566</v>
      </c>
      <c r="N573" s="26" t="s">
        <v>1566</v>
      </c>
      <c r="O573" s="26" t="s">
        <v>1566</v>
      </c>
      <c r="P573" s="26" t="s">
        <v>661</v>
      </c>
      <c r="Q573" s="26">
        <v>580.0</v>
      </c>
    </row>
    <row r="574" ht="17.25" customHeight="1">
      <c r="A574" s="167">
        <v>46084.463076238426</v>
      </c>
      <c r="B574" s="23" t="s">
        <v>812</v>
      </c>
      <c r="C574" s="56" t="s">
        <v>1892</v>
      </c>
      <c r="D574" s="167">
        <v>46084.463076238426</v>
      </c>
      <c r="E574" s="37">
        <v>10.0</v>
      </c>
      <c r="F574" s="56" t="s">
        <v>1907</v>
      </c>
      <c r="G574" s="109"/>
      <c r="H574" s="130"/>
      <c r="I574" s="130" t="s">
        <v>813</v>
      </c>
      <c r="J574" s="26" t="s">
        <v>1830</v>
      </c>
      <c r="K574" s="26" t="s">
        <v>1839</v>
      </c>
      <c r="L574" s="26" t="s">
        <v>1566</v>
      </c>
      <c r="M574" s="26" t="s">
        <v>1566</v>
      </c>
      <c r="N574" s="26" t="s">
        <v>1566</v>
      </c>
      <c r="O574" s="26" t="s">
        <v>1566</v>
      </c>
      <c r="P574" s="26" t="s">
        <v>661</v>
      </c>
      <c r="Q574" s="26">
        <v>100.0</v>
      </c>
    </row>
    <row r="575" ht="17.25" customHeight="1">
      <c r="A575" s="167">
        <v>46084.604462766205</v>
      </c>
      <c r="B575" s="172" t="s">
        <v>1932</v>
      </c>
      <c r="C575" s="56" t="s">
        <v>1560</v>
      </c>
      <c r="D575" s="167">
        <v>46084.463076238426</v>
      </c>
      <c r="E575" s="37">
        <v>1440.0</v>
      </c>
      <c r="F575" s="56" t="s">
        <v>1561</v>
      </c>
      <c r="G575" s="109"/>
      <c r="H575" s="130"/>
      <c r="I575" s="130" t="s">
        <v>1933</v>
      </c>
      <c r="J575" s="26" t="s">
        <v>1225</v>
      </c>
      <c r="K575" s="26" t="s">
        <v>1653</v>
      </c>
      <c r="L575" s="26" t="s">
        <v>1563</v>
      </c>
      <c r="M575" s="26" t="s">
        <v>1595</v>
      </c>
      <c r="N575" s="26" t="s">
        <v>1566</v>
      </c>
      <c r="O575" s="26" t="s">
        <v>1566</v>
      </c>
      <c r="P575" s="26" t="s">
        <v>22</v>
      </c>
      <c r="Q575" s="26">
        <v>0.0</v>
      </c>
    </row>
    <row r="576" ht="17.25" customHeight="1">
      <c r="A576" s="167">
        <v>46084.665695856485</v>
      </c>
      <c r="B576" s="25" t="s">
        <v>1862</v>
      </c>
      <c r="C576" s="56" t="s">
        <v>1560</v>
      </c>
      <c r="D576" s="167">
        <v>46084.463076238426</v>
      </c>
      <c r="E576" s="37">
        <v>1.0</v>
      </c>
      <c r="F576" s="56" t="s">
        <v>1844</v>
      </c>
      <c r="G576" s="109"/>
      <c r="H576" s="130"/>
      <c r="I576" s="130" t="s">
        <v>1864</v>
      </c>
      <c r="J576" s="26" t="s">
        <v>1844</v>
      </c>
      <c r="K576" s="26" t="s">
        <v>1846</v>
      </c>
      <c r="L576" s="26" t="s">
        <v>1865</v>
      </c>
      <c r="M576" s="26" t="s">
        <v>1566</v>
      </c>
      <c r="N576" s="26" t="s">
        <v>1566</v>
      </c>
      <c r="O576" s="26" t="s">
        <v>1848</v>
      </c>
      <c r="P576" s="26" t="s">
        <v>661</v>
      </c>
      <c r="Q576" s="26">
        <v>0.0</v>
      </c>
    </row>
    <row r="577" ht="17.25" customHeight="1">
      <c r="A577" s="167">
        <v>46084.66601798611</v>
      </c>
      <c r="B577" s="25" t="s">
        <v>836</v>
      </c>
      <c r="C577" s="56" t="s">
        <v>1560</v>
      </c>
      <c r="D577" s="167">
        <v>46084.463076238426</v>
      </c>
      <c r="E577" s="37">
        <v>1.0</v>
      </c>
      <c r="F577" s="56" t="s">
        <v>1844</v>
      </c>
      <c r="G577" s="109"/>
      <c r="H577" s="130"/>
      <c r="I577" s="130" t="s">
        <v>837</v>
      </c>
      <c r="J577" s="26" t="s">
        <v>1844</v>
      </c>
      <c r="K577" s="26" t="s">
        <v>1846</v>
      </c>
      <c r="L577" s="26" t="s">
        <v>1849</v>
      </c>
      <c r="M577" s="26" t="s">
        <v>1566</v>
      </c>
      <c r="N577" s="26" t="s">
        <v>1566</v>
      </c>
      <c r="O577" s="26" t="s">
        <v>1848</v>
      </c>
      <c r="P577" s="26" t="s">
        <v>661</v>
      </c>
      <c r="Q577" s="26">
        <v>1.0</v>
      </c>
    </row>
    <row r="578" ht="17.25" customHeight="1">
      <c r="A578" s="167">
        <v>46084.66618862269</v>
      </c>
      <c r="B578" s="25" t="s">
        <v>1843</v>
      </c>
      <c r="C578" s="56" t="s">
        <v>1560</v>
      </c>
      <c r="D578" s="167">
        <v>46084.463076238426</v>
      </c>
      <c r="E578" s="37">
        <v>1.0</v>
      </c>
      <c r="F578" s="56" t="s">
        <v>1844</v>
      </c>
      <c r="G578" s="109"/>
      <c r="H578" s="130"/>
      <c r="I578" s="130" t="s">
        <v>1845</v>
      </c>
      <c r="J578" s="26" t="s">
        <v>1844</v>
      </c>
      <c r="K578" s="26" t="s">
        <v>1846</v>
      </c>
      <c r="L578" s="26" t="s">
        <v>1847</v>
      </c>
      <c r="M578" s="26" t="s">
        <v>1566</v>
      </c>
      <c r="N578" s="26" t="s">
        <v>1566</v>
      </c>
      <c r="O578" s="26" t="s">
        <v>1848</v>
      </c>
      <c r="P578" s="26" t="s">
        <v>661</v>
      </c>
      <c r="Q578" s="26">
        <v>0.0</v>
      </c>
    </row>
    <row r="579" ht="17.25" customHeight="1">
      <c r="A579" s="167">
        <v>46084.66651930555</v>
      </c>
      <c r="B579" s="25" t="s">
        <v>842</v>
      </c>
      <c r="C579" s="56" t="s">
        <v>1560</v>
      </c>
      <c r="D579" s="167">
        <v>46084.463076238426</v>
      </c>
      <c r="E579" s="37">
        <v>1.0</v>
      </c>
      <c r="F579" s="56" t="s">
        <v>1844</v>
      </c>
      <c r="G579" s="109"/>
      <c r="H579" s="130"/>
      <c r="I579" s="130" t="s">
        <v>843</v>
      </c>
      <c r="J579" s="26" t="s">
        <v>1844</v>
      </c>
      <c r="K579" s="26" t="s">
        <v>1846</v>
      </c>
      <c r="L579" s="26" t="s">
        <v>1850</v>
      </c>
      <c r="M579" s="26" t="s">
        <v>1566</v>
      </c>
      <c r="N579" s="26" t="s">
        <v>1566</v>
      </c>
      <c r="O579" s="26" t="s">
        <v>1848</v>
      </c>
      <c r="P579" s="26" t="s">
        <v>661</v>
      </c>
      <c r="Q579" s="26">
        <v>1.0</v>
      </c>
    </row>
    <row r="580" ht="17.25" customHeight="1">
      <c r="A580" s="167">
        <v>46084.66687446759</v>
      </c>
      <c r="B580" s="25" t="s">
        <v>359</v>
      </c>
      <c r="C580" s="56" t="s">
        <v>1892</v>
      </c>
      <c r="D580" s="167">
        <v>46084.463076238426</v>
      </c>
      <c r="E580" s="37">
        <v>5.0</v>
      </c>
      <c r="F580" s="56" t="s">
        <v>1894</v>
      </c>
      <c r="G580" s="109"/>
      <c r="H580" s="130"/>
      <c r="I580" s="130" t="s">
        <v>370</v>
      </c>
      <c r="J580" s="26" t="s">
        <v>370</v>
      </c>
      <c r="K580" s="26" t="s">
        <v>370</v>
      </c>
      <c r="L580" s="26" t="s">
        <v>1566</v>
      </c>
      <c r="M580" s="26" t="s">
        <v>1566</v>
      </c>
      <c r="N580" s="26" t="s">
        <v>1566</v>
      </c>
      <c r="O580" s="26" t="s">
        <v>1566</v>
      </c>
      <c r="P580" s="26" t="s">
        <v>661</v>
      </c>
      <c r="Q580" s="26">
        <v>100.0</v>
      </c>
    </row>
    <row r="581" ht="17.25" customHeight="1">
      <c r="A581" s="167">
        <v>46084.6673281713</v>
      </c>
      <c r="B581" s="25" t="s">
        <v>74</v>
      </c>
      <c r="C581" s="56" t="s">
        <v>1892</v>
      </c>
      <c r="D581" s="167">
        <v>46084.463076238426</v>
      </c>
      <c r="E581" s="37">
        <v>1500.0</v>
      </c>
      <c r="F581" s="56" t="s">
        <v>1561</v>
      </c>
      <c r="G581" s="37">
        <v>605.0</v>
      </c>
      <c r="H581" s="130"/>
      <c r="I581" s="130" t="s">
        <v>75</v>
      </c>
      <c r="J581" s="26" t="s">
        <v>1225</v>
      </c>
      <c r="K581" s="26" t="s">
        <v>1562</v>
      </c>
      <c r="L581" s="26" t="s">
        <v>1591</v>
      </c>
      <c r="M581" s="26" t="s">
        <v>1597</v>
      </c>
      <c r="N581" s="26" t="s">
        <v>1566</v>
      </c>
      <c r="O581" s="26" t="s">
        <v>1566</v>
      </c>
      <c r="P581" s="26" t="s">
        <v>22</v>
      </c>
      <c r="Q581" s="26">
        <v>0.0</v>
      </c>
    </row>
    <row r="582" ht="17.25" customHeight="1">
      <c r="A582" s="167">
        <v>46084.667683796295</v>
      </c>
      <c r="B582" s="25" t="s">
        <v>74</v>
      </c>
      <c r="C582" s="56" t="s">
        <v>1560</v>
      </c>
      <c r="D582" s="167">
        <v>46084.463076238426</v>
      </c>
      <c r="E582" s="37">
        <v>1500.0</v>
      </c>
      <c r="F582" s="56" t="s">
        <v>1561</v>
      </c>
      <c r="G582" s="109"/>
      <c r="H582" s="130"/>
      <c r="I582" s="130" t="s">
        <v>75</v>
      </c>
      <c r="J582" s="26" t="s">
        <v>1225</v>
      </c>
      <c r="K582" s="26" t="s">
        <v>1562</v>
      </c>
      <c r="L582" s="26" t="s">
        <v>1591</v>
      </c>
      <c r="M582" s="26" t="s">
        <v>1597</v>
      </c>
      <c r="N582" s="26" t="s">
        <v>1566</v>
      </c>
      <c r="O582" s="26" t="s">
        <v>1566</v>
      </c>
      <c r="P582" s="26" t="s">
        <v>22</v>
      </c>
      <c r="Q582" s="26">
        <v>0.0</v>
      </c>
    </row>
    <row r="583" ht="17.25" customHeight="1">
      <c r="A583" s="167">
        <v>46084.66879388889</v>
      </c>
      <c r="B583" s="25" t="s">
        <v>41</v>
      </c>
      <c r="C583" s="56" t="s">
        <v>1892</v>
      </c>
      <c r="D583" s="167">
        <v>46084.463076238426</v>
      </c>
      <c r="E583" s="37">
        <v>2500.0</v>
      </c>
      <c r="F583" s="56" t="s">
        <v>1561</v>
      </c>
      <c r="G583" s="37">
        <v>607.0</v>
      </c>
      <c r="H583" s="130"/>
      <c r="I583" s="130" t="s">
        <v>42</v>
      </c>
      <c r="J583" s="26" t="s">
        <v>1225</v>
      </c>
      <c r="K583" s="26" t="s">
        <v>1562</v>
      </c>
      <c r="L583" s="26" t="s">
        <v>1576</v>
      </c>
      <c r="M583" s="26" t="s">
        <v>1575</v>
      </c>
      <c r="N583" s="26" t="s">
        <v>1571</v>
      </c>
      <c r="O583" s="26" t="s">
        <v>1566</v>
      </c>
      <c r="P583" s="26" t="s">
        <v>22</v>
      </c>
      <c r="Q583" s="26">
        <v>200.0</v>
      </c>
    </row>
    <row r="584" ht="17.25" customHeight="1">
      <c r="A584" s="167">
        <v>46084.67269755787</v>
      </c>
      <c r="B584" s="172" t="s">
        <v>1795</v>
      </c>
      <c r="C584" s="56" t="s">
        <v>1560</v>
      </c>
      <c r="D584" s="167">
        <v>46084.463076238426</v>
      </c>
      <c r="E584" s="37">
        <v>700.0</v>
      </c>
      <c r="F584" s="56" t="s">
        <v>1561</v>
      </c>
      <c r="G584" s="37">
        <v>607.0</v>
      </c>
      <c r="H584" s="130"/>
      <c r="I584" s="130" t="s">
        <v>1796</v>
      </c>
      <c r="J584" s="26" t="s">
        <v>1225</v>
      </c>
      <c r="K584" s="26" t="s">
        <v>1642</v>
      </c>
      <c r="L584" s="26" t="s">
        <v>1600</v>
      </c>
      <c r="M584" s="26" t="s">
        <v>1574</v>
      </c>
      <c r="N584" s="26" t="s">
        <v>1566</v>
      </c>
      <c r="O584" s="26" t="s">
        <v>1566</v>
      </c>
      <c r="P584" s="26" t="s">
        <v>22</v>
      </c>
      <c r="Q584" s="26">
        <v>0.0</v>
      </c>
    </row>
    <row r="585" ht="17.25" customHeight="1">
      <c r="A585" s="167">
        <v>46084.67269755787</v>
      </c>
      <c r="B585" s="172" t="s">
        <v>1935</v>
      </c>
      <c r="C585" s="56" t="s">
        <v>1560</v>
      </c>
      <c r="D585" s="167">
        <v>46084.463076238426</v>
      </c>
      <c r="E585" s="37">
        <v>200.0</v>
      </c>
      <c r="F585" s="56" t="s">
        <v>1561</v>
      </c>
      <c r="G585" s="109"/>
      <c r="H585" s="130"/>
      <c r="I585" s="130" t="s">
        <v>1936</v>
      </c>
      <c r="J585" s="26" t="s">
        <v>1225</v>
      </c>
      <c r="K585" s="26" t="s">
        <v>1642</v>
      </c>
      <c r="L585" s="26" t="s">
        <v>2095</v>
      </c>
      <c r="M585" s="26" t="s">
        <v>1622</v>
      </c>
      <c r="N585" s="26" t="s">
        <v>1566</v>
      </c>
      <c r="O585" s="26" t="s">
        <v>1566</v>
      </c>
      <c r="P585" s="26" t="s">
        <v>22</v>
      </c>
      <c r="Q585" s="26">
        <v>0.0</v>
      </c>
    </row>
    <row r="586" ht="17.25" customHeight="1">
      <c r="A586" s="167">
        <v>46084.67269755787</v>
      </c>
      <c r="B586" s="172" t="s">
        <v>1938</v>
      </c>
      <c r="C586" s="56" t="s">
        <v>1560</v>
      </c>
      <c r="D586" s="167">
        <v>46084.463076238426</v>
      </c>
      <c r="E586" s="37">
        <v>500.0</v>
      </c>
      <c r="F586" s="56" t="s">
        <v>1561</v>
      </c>
      <c r="G586" s="109"/>
      <c r="H586" s="130"/>
      <c r="I586" s="130" t="s">
        <v>1939</v>
      </c>
      <c r="J586" s="26" t="s">
        <v>1225</v>
      </c>
      <c r="K586" s="26" t="s">
        <v>1642</v>
      </c>
      <c r="L586" s="26" t="s">
        <v>1563</v>
      </c>
      <c r="M586" s="26" t="s">
        <v>1622</v>
      </c>
      <c r="N586" s="26" t="s">
        <v>1566</v>
      </c>
      <c r="O586" s="26" t="s">
        <v>1566</v>
      </c>
      <c r="P586" s="26" t="s">
        <v>22</v>
      </c>
      <c r="Q586" s="26">
        <v>0.0</v>
      </c>
    </row>
    <row r="587" ht="17.25" customHeight="1">
      <c r="A587" s="167">
        <v>46086.418066412036</v>
      </c>
      <c r="B587" s="23" t="s">
        <v>301</v>
      </c>
      <c r="C587" s="56" t="s">
        <v>1892</v>
      </c>
      <c r="D587" s="173">
        <v>46065.0</v>
      </c>
      <c r="E587" s="37">
        <v>20.0</v>
      </c>
      <c r="F587" s="56" t="s">
        <v>1899</v>
      </c>
      <c r="G587" s="37" t="s">
        <v>2096</v>
      </c>
      <c r="H587" s="130"/>
      <c r="I587" s="130" t="s">
        <v>302</v>
      </c>
      <c r="J587" s="26" t="s">
        <v>1830</v>
      </c>
      <c r="K587" s="26" t="s">
        <v>302</v>
      </c>
      <c r="L587" s="26" t="s">
        <v>1566</v>
      </c>
      <c r="M587" s="26" t="s">
        <v>1566</v>
      </c>
      <c r="N587" s="26" t="s">
        <v>1566</v>
      </c>
      <c r="O587" s="26" t="s">
        <v>1566</v>
      </c>
      <c r="P587" s="26" t="s">
        <v>661</v>
      </c>
      <c r="Q587" s="26">
        <v>580.0</v>
      </c>
    </row>
    <row r="588" ht="17.25" customHeight="1">
      <c r="A588" s="167">
        <v>46086.41841915509</v>
      </c>
      <c r="B588" s="23" t="s">
        <v>301</v>
      </c>
      <c r="C588" s="56" t="s">
        <v>1892</v>
      </c>
      <c r="D588" s="173">
        <v>46068.0</v>
      </c>
      <c r="E588" s="37">
        <v>20.0</v>
      </c>
      <c r="F588" s="56" t="s">
        <v>1894</v>
      </c>
      <c r="G588" s="37" t="s">
        <v>2096</v>
      </c>
      <c r="H588" s="130"/>
      <c r="I588" s="130" t="s">
        <v>302</v>
      </c>
      <c r="J588" s="26" t="s">
        <v>1830</v>
      </c>
      <c r="K588" s="26" t="s">
        <v>302</v>
      </c>
      <c r="L588" s="26" t="s">
        <v>1566</v>
      </c>
      <c r="M588" s="26" t="s">
        <v>1566</v>
      </c>
      <c r="N588" s="26" t="s">
        <v>1566</v>
      </c>
      <c r="O588" s="26" t="s">
        <v>1566</v>
      </c>
      <c r="P588" s="26" t="s">
        <v>661</v>
      </c>
      <c r="Q588" s="26">
        <v>580.0</v>
      </c>
    </row>
    <row r="589" ht="17.25" customHeight="1">
      <c r="A589" s="167">
        <v>46086.41858917824</v>
      </c>
      <c r="B589" s="23" t="s">
        <v>301</v>
      </c>
      <c r="C589" s="56" t="s">
        <v>1892</v>
      </c>
      <c r="D589" s="173">
        <v>46071.0</v>
      </c>
      <c r="E589" s="37">
        <v>20.0</v>
      </c>
      <c r="F589" s="56" t="s">
        <v>1908</v>
      </c>
      <c r="G589" s="37" t="s">
        <v>2096</v>
      </c>
      <c r="H589" s="130"/>
      <c r="I589" s="130" t="s">
        <v>302</v>
      </c>
      <c r="J589" s="26" t="s">
        <v>1830</v>
      </c>
      <c r="K589" s="26" t="s">
        <v>302</v>
      </c>
      <c r="L589" s="26" t="s">
        <v>1566</v>
      </c>
      <c r="M589" s="26" t="s">
        <v>1566</v>
      </c>
      <c r="N589" s="26" t="s">
        <v>1566</v>
      </c>
      <c r="O589" s="26" t="s">
        <v>1566</v>
      </c>
      <c r="P589" s="26" t="s">
        <v>661</v>
      </c>
      <c r="Q589" s="26">
        <v>580.0</v>
      </c>
    </row>
    <row r="590" ht="17.25" customHeight="1">
      <c r="A590" s="167">
        <v>46086.418754004626</v>
      </c>
      <c r="B590" s="23" t="s">
        <v>301</v>
      </c>
      <c r="C590" s="56" t="s">
        <v>1892</v>
      </c>
      <c r="D590" s="173">
        <v>46073.0</v>
      </c>
      <c r="E590" s="37">
        <v>20.0</v>
      </c>
      <c r="F590" s="56" t="s">
        <v>2026</v>
      </c>
      <c r="G590" s="37" t="s">
        <v>2096</v>
      </c>
      <c r="H590" s="130"/>
      <c r="I590" s="130" t="s">
        <v>302</v>
      </c>
      <c r="J590" s="26" t="s">
        <v>1830</v>
      </c>
      <c r="K590" s="26" t="s">
        <v>302</v>
      </c>
      <c r="L590" s="26" t="s">
        <v>1566</v>
      </c>
      <c r="M590" s="26" t="s">
        <v>1566</v>
      </c>
      <c r="N590" s="26" t="s">
        <v>1566</v>
      </c>
      <c r="O590" s="26" t="s">
        <v>1566</v>
      </c>
      <c r="P590" s="26" t="s">
        <v>661</v>
      </c>
      <c r="Q590" s="26">
        <v>580.0</v>
      </c>
    </row>
    <row r="591" ht="17.25" customHeight="1">
      <c r="A591" s="167">
        <v>46086.41918927083</v>
      </c>
      <c r="B591" s="23" t="s">
        <v>301</v>
      </c>
      <c r="C591" s="56" t="s">
        <v>1892</v>
      </c>
      <c r="D591" s="173">
        <v>46073.0</v>
      </c>
      <c r="E591" s="37">
        <v>10.0</v>
      </c>
      <c r="F591" s="56" t="s">
        <v>1899</v>
      </c>
      <c r="G591" s="37" t="s">
        <v>2096</v>
      </c>
      <c r="H591" s="130"/>
      <c r="I591" s="130" t="s">
        <v>302</v>
      </c>
      <c r="J591" s="26" t="s">
        <v>1830</v>
      </c>
      <c r="K591" s="26" t="s">
        <v>302</v>
      </c>
      <c r="L591" s="26" t="s">
        <v>1566</v>
      </c>
      <c r="M591" s="26" t="s">
        <v>1566</v>
      </c>
      <c r="N591" s="26" t="s">
        <v>1566</v>
      </c>
      <c r="O591" s="26" t="s">
        <v>1566</v>
      </c>
      <c r="P591" s="26" t="s">
        <v>661</v>
      </c>
      <c r="Q591" s="26">
        <v>580.0</v>
      </c>
    </row>
    <row r="592" ht="17.25" customHeight="1">
      <c r="A592" s="167">
        <v>46086.41947231481</v>
      </c>
      <c r="B592" s="23" t="s">
        <v>301</v>
      </c>
      <c r="C592" s="56" t="s">
        <v>1892</v>
      </c>
      <c r="D592" s="173">
        <v>46077.0</v>
      </c>
      <c r="E592" s="37">
        <v>10.0</v>
      </c>
      <c r="F592" s="56" t="s">
        <v>1561</v>
      </c>
      <c r="G592" s="109"/>
      <c r="H592" s="130"/>
      <c r="I592" s="130" t="s">
        <v>302</v>
      </c>
      <c r="J592" s="26" t="s">
        <v>1830</v>
      </c>
      <c r="K592" s="26" t="s">
        <v>302</v>
      </c>
      <c r="L592" s="26" t="s">
        <v>1566</v>
      </c>
      <c r="M592" s="26" t="s">
        <v>1566</v>
      </c>
      <c r="N592" s="26" t="s">
        <v>1566</v>
      </c>
      <c r="O592" s="26" t="s">
        <v>1566</v>
      </c>
      <c r="P592" s="26" t="s">
        <v>661</v>
      </c>
      <c r="Q592" s="26">
        <v>580.0</v>
      </c>
    </row>
    <row r="593" ht="17.25" customHeight="1">
      <c r="A593" s="167">
        <v>46086.419625069444</v>
      </c>
      <c r="B593" s="23" t="s">
        <v>301</v>
      </c>
      <c r="C593" s="56" t="s">
        <v>1892</v>
      </c>
      <c r="D593" s="173">
        <v>46077.0</v>
      </c>
      <c r="E593" s="37">
        <v>10.0</v>
      </c>
      <c r="F593" s="56" t="s">
        <v>1899</v>
      </c>
      <c r="G593" s="109"/>
      <c r="H593" s="130"/>
      <c r="I593" s="130" t="s">
        <v>302</v>
      </c>
      <c r="J593" s="26" t="s">
        <v>1830</v>
      </c>
      <c r="K593" s="26" t="s">
        <v>302</v>
      </c>
      <c r="L593" s="26" t="s">
        <v>1566</v>
      </c>
      <c r="M593" s="26" t="s">
        <v>1566</v>
      </c>
      <c r="N593" s="26" t="s">
        <v>1566</v>
      </c>
      <c r="O593" s="26" t="s">
        <v>1566</v>
      </c>
      <c r="P593" s="26" t="s">
        <v>661</v>
      </c>
      <c r="Q593" s="26">
        <v>580.0</v>
      </c>
    </row>
    <row r="594" ht="17.25" customHeight="1">
      <c r="A594" s="167">
        <v>46086.419716840275</v>
      </c>
      <c r="B594" s="23" t="s">
        <v>301</v>
      </c>
      <c r="C594" s="56" t="s">
        <v>1892</v>
      </c>
      <c r="D594" s="173">
        <v>46079.0</v>
      </c>
      <c r="E594" s="37">
        <v>20.0</v>
      </c>
      <c r="F594" s="56" t="s">
        <v>2026</v>
      </c>
      <c r="G594" s="109"/>
      <c r="H594" s="130"/>
      <c r="I594" s="130" t="s">
        <v>302</v>
      </c>
      <c r="J594" s="26" t="s">
        <v>1830</v>
      </c>
      <c r="K594" s="26" t="s">
        <v>302</v>
      </c>
      <c r="L594" s="26" t="s">
        <v>1566</v>
      </c>
      <c r="M594" s="26" t="s">
        <v>1566</v>
      </c>
      <c r="N594" s="26" t="s">
        <v>1566</v>
      </c>
      <c r="O594" s="26" t="s">
        <v>1566</v>
      </c>
      <c r="P594" s="26" t="s">
        <v>661</v>
      </c>
      <c r="Q594" s="26">
        <v>580.0</v>
      </c>
    </row>
    <row r="595" ht="17.25" customHeight="1">
      <c r="A595" s="167">
        <v>46086.41989072917</v>
      </c>
      <c r="B595" s="23" t="s">
        <v>301</v>
      </c>
      <c r="C595" s="56" t="s">
        <v>1560</v>
      </c>
      <c r="D595" s="173">
        <v>46084.0</v>
      </c>
      <c r="E595" s="37">
        <v>500.0</v>
      </c>
      <c r="F595" s="56" t="s">
        <v>1673</v>
      </c>
      <c r="G595" s="109"/>
      <c r="H595" s="130"/>
      <c r="I595" s="130" t="s">
        <v>302</v>
      </c>
      <c r="J595" s="26" t="s">
        <v>1830</v>
      </c>
      <c r="K595" s="26" t="s">
        <v>302</v>
      </c>
      <c r="L595" s="26" t="s">
        <v>1566</v>
      </c>
      <c r="M595" s="26" t="s">
        <v>1566</v>
      </c>
      <c r="N595" s="26" t="s">
        <v>1566</v>
      </c>
      <c r="O595" s="26" t="s">
        <v>1566</v>
      </c>
      <c r="P595" s="26" t="s">
        <v>661</v>
      </c>
      <c r="Q595" s="26">
        <v>580.0</v>
      </c>
    </row>
    <row r="596" ht="17.25" customHeight="1">
      <c r="A596" s="167">
        <v>46086.42027379629</v>
      </c>
      <c r="B596" s="23" t="s">
        <v>301</v>
      </c>
      <c r="C596" s="56" t="s">
        <v>1892</v>
      </c>
      <c r="D596" s="173">
        <v>46072.0</v>
      </c>
      <c r="E596" s="37">
        <v>10.0</v>
      </c>
      <c r="F596" s="56" t="s">
        <v>2044</v>
      </c>
      <c r="G596" s="109"/>
      <c r="H596" s="130"/>
      <c r="I596" s="130" t="s">
        <v>302</v>
      </c>
      <c r="J596" s="26" t="s">
        <v>1830</v>
      </c>
      <c r="K596" s="26" t="s">
        <v>302</v>
      </c>
      <c r="L596" s="26" t="s">
        <v>1566</v>
      </c>
      <c r="M596" s="26" t="s">
        <v>1566</v>
      </c>
      <c r="N596" s="26" t="s">
        <v>1566</v>
      </c>
      <c r="O596" s="26" t="s">
        <v>1566</v>
      </c>
      <c r="P596" s="26" t="s">
        <v>661</v>
      </c>
      <c r="Q596" s="26">
        <v>580.0</v>
      </c>
    </row>
    <row r="597" ht="17.25" customHeight="1">
      <c r="A597" s="167">
        <v>46086.42049674768</v>
      </c>
      <c r="B597" s="23" t="s">
        <v>301</v>
      </c>
      <c r="C597" s="56" t="s">
        <v>1892</v>
      </c>
      <c r="D597" s="173">
        <v>46080.0</v>
      </c>
      <c r="E597" s="37">
        <v>20.0</v>
      </c>
      <c r="F597" s="56" t="s">
        <v>2044</v>
      </c>
      <c r="G597" s="109"/>
      <c r="H597" s="130"/>
      <c r="I597" s="130" t="s">
        <v>302</v>
      </c>
      <c r="J597" s="26" t="s">
        <v>1830</v>
      </c>
      <c r="K597" s="26" t="s">
        <v>302</v>
      </c>
      <c r="L597" s="26" t="s">
        <v>1566</v>
      </c>
      <c r="M597" s="26" t="s">
        <v>1566</v>
      </c>
      <c r="N597" s="26" t="s">
        <v>1566</v>
      </c>
      <c r="O597" s="26" t="s">
        <v>1566</v>
      </c>
      <c r="P597" s="26" t="s">
        <v>661</v>
      </c>
      <c r="Q597" s="26">
        <v>580.0</v>
      </c>
    </row>
    <row r="598" ht="17.25" customHeight="1">
      <c r="A598" s="167">
        <v>46086.52761009259</v>
      </c>
      <c r="B598" s="25" t="s">
        <v>287</v>
      </c>
      <c r="C598" s="56" t="s">
        <v>1892</v>
      </c>
      <c r="D598" s="167">
        <v>46086.52761009259</v>
      </c>
      <c r="E598" s="37">
        <v>2.0</v>
      </c>
      <c r="F598" s="56" t="s">
        <v>1899</v>
      </c>
      <c r="G598" s="109"/>
      <c r="H598" s="130"/>
      <c r="I598" s="130" t="s">
        <v>288</v>
      </c>
      <c r="J598" s="26" t="s">
        <v>1674</v>
      </c>
      <c r="K598" s="26" t="s">
        <v>1675</v>
      </c>
      <c r="L598" s="26" t="s">
        <v>1566</v>
      </c>
      <c r="M598" s="26" t="s">
        <v>1566</v>
      </c>
      <c r="N598" s="26" t="s">
        <v>1676</v>
      </c>
      <c r="O598" s="26" t="s">
        <v>1677</v>
      </c>
      <c r="P598" s="26" t="s">
        <v>290</v>
      </c>
      <c r="Q598" s="26">
        <v>16.0</v>
      </c>
    </row>
    <row r="599" ht="17.25" customHeight="1">
      <c r="A599" s="167">
        <v>46086.52775622685</v>
      </c>
      <c r="B599" s="25" t="s">
        <v>297</v>
      </c>
      <c r="C599" s="56" t="s">
        <v>1892</v>
      </c>
      <c r="D599" s="167">
        <v>46086.52761009259</v>
      </c>
      <c r="E599" s="37">
        <v>2.0</v>
      </c>
      <c r="F599" s="56" t="s">
        <v>1899</v>
      </c>
      <c r="G599" s="109"/>
      <c r="H599" s="130"/>
      <c r="I599" s="130" t="s">
        <v>298</v>
      </c>
      <c r="J599" s="26" t="s">
        <v>1674</v>
      </c>
      <c r="K599" s="26" t="s">
        <v>1675</v>
      </c>
      <c r="L599" s="26" t="s">
        <v>1566</v>
      </c>
      <c r="M599" s="26" t="s">
        <v>1566</v>
      </c>
      <c r="N599" s="26" t="s">
        <v>1680</v>
      </c>
      <c r="O599" s="26" t="s">
        <v>1677</v>
      </c>
      <c r="P599" s="26" t="s">
        <v>290</v>
      </c>
      <c r="Q599" s="26">
        <v>10.0</v>
      </c>
    </row>
    <row r="600" ht="17.25" customHeight="1">
      <c r="A600" s="167">
        <v>46086.527900925925</v>
      </c>
      <c r="B600" s="25" t="s">
        <v>304</v>
      </c>
      <c r="C600" s="56" t="s">
        <v>1892</v>
      </c>
      <c r="D600" s="167">
        <v>46086.52761009259</v>
      </c>
      <c r="E600" s="37">
        <v>2.0</v>
      </c>
      <c r="F600" s="56" t="s">
        <v>1899</v>
      </c>
      <c r="G600" s="109"/>
      <c r="H600" s="130"/>
      <c r="I600" s="130" t="s">
        <v>306</v>
      </c>
      <c r="J600" s="26" t="s">
        <v>1674</v>
      </c>
      <c r="K600" s="26" t="s">
        <v>1675</v>
      </c>
      <c r="L600" s="26" t="s">
        <v>1566</v>
      </c>
      <c r="M600" s="26" t="s">
        <v>1566</v>
      </c>
      <c r="N600" s="26" t="s">
        <v>1682</v>
      </c>
      <c r="O600" s="26" t="s">
        <v>1677</v>
      </c>
      <c r="P600" s="26" t="s">
        <v>290</v>
      </c>
      <c r="Q600" s="26">
        <v>6.0</v>
      </c>
    </row>
    <row r="601" ht="17.25" customHeight="1">
      <c r="A601" s="167">
        <v>46086.5283009375</v>
      </c>
      <c r="B601" s="23" t="s">
        <v>301</v>
      </c>
      <c r="C601" s="56" t="s">
        <v>1892</v>
      </c>
      <c r="D601" s="167">
        <v>46086.52761009259</v>
      </c>
      <c r="E601" s="37">
        <v>10.0</v>
      </c>
      <c r="F601" s="56" t="s">
        <v>1899</v>
      </c>
      <c r="G601" s="109"/>
      <c r="H601" s="130"/>
      <c r="I601" s="130" t="s">
        <v>302</v>
      </c>
      <c r="J601" s="26" t="s">
        <v>1830</v>
      </c>
      <c r="K601" s="26" t="s">
        <v>302</v>
      </c>
      <c r="L601" s="26" t="s">
        <v>1566</v>
      </c>
      <c r="M601" s="26" t="s">
        <v>1566</v>
      </c>
      <c r="N601" s="26" t="s">
        <v>1566</v>
      </c>
      <c r="O601" s="26" t="s">
        <v>1566</v>
      </c>
      <c r="P601" s="26" t="s">
        <v>661</v>
      </c>
      <c r="Q601" s="26">
        <v>580.0</v>
      </c>
    </row>
    <row r="602" ht="17.25" customHeight="1">
      <c r="A602" s="167">
        <v>46086.5322108449</v>
      </c>
      <c r="B602" s="25" t="s">
        <v>359</v>
      </c>
      <c r="C602" s="56" t="s">
        <v>1560</v>
      </c>
      <c r="D602" s="167">
        <v>46086.52761009259</v>
      </c>
      <c r="E602" s="37">
        <v>250.0</v>
      </c>
      <c r="F602" s="56" t="s">
        <v>1673</v>
      </c>
      <c r="G602" s="109"/>
      <c r="H602" s="130"/>
      <c r="I602" s="130" t="s">
        <v>370</v>
      </c>
      <c r="J602" s="26" t="s">
        <v>370</v>
      </c>
      <c r="K602" s="26" t="s">
        <v>370</v>
      </c>
      <c r="L602" s="26" t="s">
        <v>1566</v>
      </c>
      <c r="M602" s="26" t="s">
        <v>1566</v>
      </c>
      <c r="N602" s="26" t="s">
        <v>1566</v>
      </c>
      <c r="O602" s="26" t="s">
        <v>1566</v>
      </c>
      <c r="P602" s="26" t="s">
        <v>661</v>
      </c>
      <c r="Q602" s="26">
        <v>100.0</v>
      </c>
    </row>
    <row r="603" ht="17.25" customHeight="1">
      <c r="A603" s="167">
        <v>46086.53247251158</v>
      </c>
      <c r="B603" s="25" t="s">
        <v>359</v>
      </c>
      <c r="C603" s="56" t="s">
        <v>1892</v>
      </c>
      <c r="D603" s="173">
        <v>46078.0</v>
      </c>
      <c r="E603" s="37">
        <v>26.0</v>
      </c>
      <c r="F603" s="56" t="s">
        <v>1894</v>
      </c>
      <c r="G603" s="37" t="s">
        <v>2097</v>
      </c>
      <c r="H603" s="130"/>
      <c r="I603" s="130" t="s">
        <v>370</v>
      </c>
      <c r="J603" s="26" t="s">
        <v>370</v>
      </c>
      <c r="K603" s="26" t="s">
        <v>370</v>
      </c>
      <c r="L603" s="26" t="s">
        <v>1566</v>
      </c>
      <c r="M603" s="26" t="s">
        <v>1566</v>
      </c>
      <c r="N603" s="26" t="s">
        <v>1566</v>
      </c>
      <c r="O603" s="26" t="s">
        <v>1566</v>
      </c>
      <c r="P603" s="26" t="s">
        <v>661</v>
      </c>
      <c r="Q603" s="26">
        <v>100.0</v>
      </c>
    </row>
    <row r="604" ht="17.25" customHeight="1">
      <c r="A604" s="167">
        <v>46086.546223067126</v>
      </c>
      <c r="B604" s="25" t="s">
        <v>1843</v>
      </c>
      <c r="C604" s="56" t="s">
        <v>1892</v>
      </c>
      <c r="D604" s="167">
        <v>46086.52761009259</v>
      </c>
      <c r="E604" s="37">
        <v>1.0</v>
      </c>
      <c r="F604" s="56" t="s">
        <v>1844</v>
      </c>
      <c r="G604" s="109"/>
      <c r="H604" s="130"/>
      <c r="I604" s="130" t="s">
        <v>1845</v>
      </c>
      <c r="J604" s="26" t="s">
        <v>1844</v>
      </c>
      <c r="K604" s="26" t="s">
        <v>1846</v>
      </c>
      <c r="L604" s="26" t="s">
        <v>1847</v>
      </c>
      <c r="M604" s="26" t="s">
        <v>1566</v>
      </c>
      <c r="N604" s="26" t="s">
        <v>1566</v>
      </c>
      <c r="O604" s="26" t="s">
        <v>1848</v>
      </c>
      <c r="P604" s="26" t="s">
        <v>661</v>
      </c>
      <c r="Q604" s="26">
        <v>0.0</v>
      </c>
    </row>
    <row r="605" ht="17.25" customHeight="1">
      <c r="A605" s="167">
        <v>46086.551307534726</v>
      </c>
      <c r="B605" s="25" t="s">
        <v>347</v>
      </c>
      <c r="C605" s="56" t="s">
        <v>1892</v>
      </c>
      <c r="D605" s="167">
        <v>46086.52761009259</v>
      </c>
      <c r="E605" s="37">
        <v>1200.0</v>
      </c>
      <c r="F605" s="56" t="s">
        <v>1561</v>
      </c>
      <c r="G605" s="37">
        <v>608.0</v>
      </c>
      <c r="H605" s="130"/>
      <c r="I605" s="130" t="s">
        <v>349</v>
      </c>
      <c r="J605" s="26" t="s">
        <v>1225</v>
      </c>
      <c r="K605" s="26" t="s">
        <v>1562</v>
      </c>
      <c r="L605" s="26" t="s">
        <v>1591</v>
      </c>
      <c r="M605" s="26" t="s">
        <v>1564</v>
      </c>
      <c r="N605" s="26" t="s">
        <v>1565</v>
      </c>
      <c r="O605" s="26" t="s">
        <v>1566</v>
      </c>
      <c r="P605" s="26" t="s">
        <v>22</v>
      </c>
      <c r="Q605" s="26">
        <v>1800.0</v>
      </c>
    </row>
    <row r="606" ht="17.25" customHeight="1">
      <c r="A606" s="167">
        <v>46086.5555903125</v>
      </c>
      <c r="B606" s="25" t="s">
        <v>1795</v>
      </c>
      <c r="C606" s="56" t="s">
        <v>1892</v>
      </c>
      <c r="D606" s="167">
        <v>46086.52761009259</v>
      </c>
      <c r="E606" s="37">
        <v>300.0</v>
      </c>
      <c r="F606" s="56" t="s">
        <v>1561</v>
      </c>
      <c r="G606" s="37">
        <v>609.0</v>
      </c>
      <c r="H606" s="130"/>
      <c r="I606" s="130" t="s">
        <v>1796</v>
      </c>
      <c r="J606" s="26" t="s">
        <v>1225</v>
      </c>
      <c r="K606" s="26" t="s">
        <v>1642</v>
      </c>
      <c r="L606" s="26" t="s">
        <v>1600</v>
      </c>
      <c r="M606" s="26" t="s">
        <v>1574</v>
      </c>
      <c r="N606" s="26" t="s">
        <v>1566</v>
      </c>
      <c r="O606" s="26" t="s">
        <v>1566</v>
      </c>
      <c r="P606" s="26" t="s">
        <v>22</v>
      </c>
      <c r="Q606" s="26">
        <v>0.0</v>
      </c>
    </row>
    <row r="607" ht="17.25" customHeight="1">
      <c r="A607" s="167">
        <v>46086.55622892361</v>
      </c>
      <c r="B607" s="25" t="s">
        <v>1935</v>
      </c>
      <c r="C607" s="56" t="s">
        <v>1892</v>
      </c>
      <c r="D607" s="167">
        <v>46086.52761009259</v>
      </c>
      <c r="E607" s="37">
        <v>200.0</v>
      </c>
      <c r="F607" s="56" t="s">
        <v>1561</v>
      </c>
      <c r="G607" s="37">
        <v>610.0</v>
      </c>
      <c r="H607" s="130"/>
      <c r="I607" s="130" t="s">
        <v>1936</v>
      </c>
      <c r="J607" s="26" t="s">
        <v>1225</v>
      </c>
      <c r="K607" s="26" t="s">
        <v>1642</v>
      </c>
      <c r="L607" s="26" t="s">
        <v>2095</v>
      </c>
      <c r="M607" s="26" t="s">
        <v>1622</v>
      </c>
      <c r="N607" s="26" t="s">
        <v>1566</v>
      </c>
      <c r="O607" s="26" t="s">
        <v>1566</v>
      </c>
      <c r="P607" s="26" t="s">
        <v>22</v>
      </c>
      <c r="Q607" s="26">
        <v>0.0</v>
      </c>
    </row>
    <row r="608" ht="17.25" customHeight="1">
      <c r="A608" s="167">
        <v>46086.72032386574</v>
      </c>
      <c r="B608" s="25" t="s">
        <v>1045</v>
      </c>
      <c r="C608" s="56" t="s">
        <v>1892</v>
      </c>
      <c r="D608" s="167">
        <v>46086.52761009259</v>
      </c>
      <c r="E608" s="37">
        <v>1000.0</v>
      </c>
      <c r="F608" s="56" t="s">
        <v>1561</v>
      </c>
      <c r="G608" s="37">
        <v>611.0</v>
      </c>
      <c r="H608" s="130"/>
      <c r="I608" s="130" t="s">
        <v>1046</v>
      </c>
      <c r="J608" s="26" t="s">
        <v>1225</v>
      </c>
      <c r="K608" s="26" t="s">
        <v>1562</v>
      </c>
      <c r="L608" s="26" t="s">
        <v>1633</v>
      </c>
      <c r="M608" s="26" t="s">
        <v>2093</v>
      </c>
      <c r="N608" s="26" t="s">
        <v>1566</v>
      </c>
      <c r="O608" s="26" t="s">
        <v>1566</v>
      </c>
      <c r="P608" s="26" t="s">
        <v>22</v>
      </c>
      <c r="Q608" s="26">
        <v>950.0</v>
      </c>
    </row>
    <row r="609" ht="17.25" customHeight="1">
      <c r="A609" s="167">
        <v>46086.72068748843</v>
      </c>
      <c r="B609" s="25" t="s">
        <v>1795</v>
      </c>
      <c r="C609" s="56" t="s">
        <v>1892</v>
      </c>
      <c r="D609" s="167">
        <v>46086.52761009259</v>
      </c>
      <c r="E609" s="37">
        <v>400.0</v>
      </c>
      <c r="F609" s="56" t="s">
        <v>1561</v>
      </c>
      <c r="G609" s="37">
        <v>612.0</v>
      </c>
      <c r="H609" s="130"/>
      <c r="I609" s="130" t="s">
        <v>1796</v>
      </c>
      <c r="J609" s="26" t="s">
        <v>1225</v>
      </c>
      <c r="K609" s="26" t="s">
        <v>1642</v>
      </c>
      <c r="L609" s="26" t="s">
        <v>1600</v>
      </c>
      <c r="M609" s="26" t="s">
        <v>1574</v>
      </c>
      <c r="N609" s="26" t="s">
        <v>1566</v>
      </c>
      <c r="O609" s="26" t="s">
        <v>1566</v>
      </c>
      <c r="P609" s="26" t="s">
        <v>22</v>
      </c>
      <c r="Q609" s="26">
        <v>0.0</v>
      </c>
    </row>
    <row r="610" ht="17.25" customHeight="1">
      <c r="A610" s="167">
        <v>46086.721342997684</v>
      </c>
      <c r="B610" s="25" t="s">
        <v>1623</v>
      </c>
      <c r="C610" s="56" t="s">
        <v>1892</v>
      </c>
      <c r="D610" s="167">
        <v>46086.52761009259</v>
      </c>
      <c r="E610" s="37">
        <v>500.0</v>
      </c>
      <c r="F610" s="56" t="s">
        <v>1561</v>
      </c>
      <c r="G610" s="37">
        <v>613.0</v>
      </c>
      <c r="H610" s="130"/>
      <c r="I610" s="130" t="s">
        <v>1624</v>
      </c>
      <c r="J610" s="26" t="s">
        <v>1225</v>
      </c>
      <c r="K610" s="26" t="s">
        <v>1562</v>
      </c>
      <c r="L610" s="26" t="s">
        <v>1625</v>
      </c>
      <c r="M610" s="26" t="s">
        <v>1626</v>
      </c>
      <c r="N610" s="26" t="s">
        <v>1571</v>
      </c>
      <c r="O610" s="26" t="s">
        <v>1566</v>
      </c>
      <c r="P610" s="26" t="s">
        <v>22</v>
      </c>
      <c r="Q610" s="26">
        <v>0.0</v>
      </c>
    </row>
    <row r="611" ht="17.25" customHeight="1">
      <c r="A611" s="167">
        <v>46086.723139062495</v>
      </c>
      <c r="B611" s="25" t="s">
        <v>1862</v>
      </c>
      <c r="C611" s="56" t="s">
        <v>1892</v>
      </c>
      <c r="D611" s="167">
        <v>46086.52761009259</v>
      </c>
      <c r="E611" s="37">
        <v>1.0</v>
      </c>
      <c r="F611" s="56" t="s">
        <v>1844</v>
      </c>
      <c r="G611" s="109"/>
      <c r="H611" s="130"/>
      <c r="I611" s="130" t="s">
        <v>1864</v>
      </c>
      <c r="J611" s="26" t="s">
        <v>1844</v>
      </c>
      <c r="K611" s="26" t="s">
        <v>1846</v>
      </c>
      <c r="L611" s="26" t="s">
        <v>1865</v>
      </c>
      <c r="M611" s="26" t="s">
        <v>1566</v>
      </c>
      <c r="N611" s="26" t="s">
        <v>1566</v>
      </c>
      <c r="O611" s="26" t="s">
        <v>1848</v>
      </c>
      <c r="P611" s="26" t="s">
        <v>661</v>
      </c>
      <c r="Q611" s="26">
        <v>0.0</v>
      </c>
    </row>
    <row r="612" ht="17.25" customHeight="1">
      <c r="A612" s="167">
        <v>46086.76204594907</v>
      </c>
      <c r="B612" s="25" t="s">
        <v>301</v>
      </c>
      <c r="C612" s="56" t="s">
        <v>1560</v>
      </c>
      <c r="D612" s="167">
        <v>46086.52761009259</v>
      </c>
      <c r="E612" s="37">
        <v>5.0</v>
      </c>
      <c r="F612" s="56" t="s">
        <v>2018</v>
      </c>
      <c r="G612" s="37"/>
      <c r="H612" s="130"/>
      <c r="I612" s="130" t="s">
        <v>302</v>
      </c>
      <c r="J612" s="26" t="s">
        <v>1830</v>
      </c>
      <c r="K612" s="26" t="s">
        <v>302</v>
      </c>
      <c r="L612" s="26" t="s">
        <v>1566</v>
      </c>
      <c r="M612" s="26" t="s">
        <v>1566</v>
      </c>
      <c r="N612" s="26" t="s">
        <v>1566</v>
      </c>
      <c r="O612" s="26" t="s">
        <v>1566</v>
      </c>
      <c r="P612" s="26" t="s">
        <v>661</v>
      </c>
      <c r="Q612" s="26">
        <v>580.0</v>
      </c>
    </row>
    <row r="613" ht="17.25" customHeight="1">
      <c r="A613" s="167">
        <v>46086.76232763889</v>
      </c>
      <c r="B613" s="25" t="s">
        <v>1516</v>
      </c>
      <c r="C613" s="56" t="s">
        <v>1892</v>
      </c>
      <c r="D613" s="167">
        <v>46086.52761009259</v>
      </c>
      <c r="E613" s="37">
        <v>2040.0</v>
      </c>
      <c r="F613" s="56" t="s">
        <v>2018</v>
      </c>
      <c r="G613" s="37">
        <v>606.0</v>
      </c>
      <c r="H613" s="130"/>
      <c r="I613" s="130" t="s">
        <v>1517</v>
      </c>
      <c r="J613" s="26" t="s">
        <v>1225</v>
      </c>
      <c r="K613" s="26" t="s">
        <v>1562</v>
      </c>
      <c r="L613" s="26" t="s">
        <v>1563</v>
      </c>
      <c r="M613" s="26" t="s">
        <v>1597</v>
      </c>
      <c r="N613" s="26" t="s">
        <v>1566</v>
      </c>
      <c r="O613" s="26" t="s">
        <v>1566</v>
      </c>
      <c r="P613" s="26" t="s">
        <v>22</v>
      </c>
      <c r="Q613" s="26">
        <v>1100.0</v>
      </c>
    </row>
    <row r="614" ht="17.25" customHeight="1">
      <c r="A614" s="167">
        <v>46086.76262974537</v>
      </c>
      <c r="B614" s="25" t="s">
        <v>1559</v>
      </c>
      <c r="C614" s="56" t="s">
        <v>1892</v>
      </c>
      <c r="D614" s="167">
        <v>46086.52761009259</v>
      </c>
      <c r="E614" s="37">
        <v>300.0</v>
      </c>
      <c r="F614" s="56" t="s">
        <v>2018</v>
      </c>
      <c r="G614" s="37">
        <v>606.0</v>
      </c>
      <c r="H614" s="130"/>
      <c r="I614" s="130" t="s">
        <v>1672</v>
      </c>
      <c r="J614" s="26" t="s">
        <v>1225</v>
      </c>
      <c r="K614" s="26" t="s">
        <v>1562</v>
      </c>
      <c r="L614" s="26" t="s">
        <v>1563</v>
      </c>
      <c r="M614" s="26" t="s">
        <v>1564</v>
      </c>
      <c r="N614" s="26" t="s">
        <v>1565</v>
      </c>
      <c r="O614" s="26" t="s">
        <v>1566</v>
      </c>
      <c r="P614" s="26" t="s">
        <v>22</v>
      </c>
      <c r="Q614" s="26">
        <v>0.0</v>
      </c>
    </row>
    <row r="615" ht="17.25" customHeight="1">
      <c r="A615" s="167">
        <v>46086.762755289354</v>
      </c>
      <c r="B615" s="25" t="s">
        <v>301</v>
      </c>
      <c r="C615" s="56" t="s">
        <v>1892</v>
      </c>
      <c r="D615" s="167">
        <v>46086.52761009259</v>
      </c>
      <c r="E615" s="37">
        <v>10.0</v>
      </c>
      <c r="F615" s="56" t="s">
        <v>2018</v>
      </c>
      <c r="G615" s="37"/>
      <c r="H615" s="130"/>
      <c r="I615" s="130" t="s">
        <v>302</v>
      </c>
      <c r="J615" s="26" t="s">
        <v>1830</v>
      </c>
      <c r="K615" s="26" t="s">
        <v>302</v>
      </c>
      <c r="L615" s="26" t="s">
        <v>1566</v>
      </c>
      <c r="M615" s="26" t="s">
        <v>1566</v>
      </c>
      <c r="N615" s="26" t="s">
        <v>1566</v>
      </c>
      <c r="O615" s="26" t="s">
        <v>1566</v>
      </c>
      <c r="P615" s="26" t="s">
        <v>661</v>
      </c>
      <c r="Q615" s="26">
        <v>580.0</v>
      </c>
    </row>
    <row r="616" ht="17.25" customHeight="1">
      <c r="A616" s="167">
        <v>46087.48007138888</v>
      </c>
      <c r="B616" s="25" t="s">
        <v>1932</v>
      </c>
      <c r="C616" s="56" t="s">
        <v>1892</v>
      </c>
      <c r="D616" s="167">
        <v>46086.52761009259</v>
      </c>
      <c r="E616" s="37">
        <v>720.0</v>
      </c>
      <c r="F616" s="56" t="s">
        <v>2018</v>
      </c>
      <c r="G616" s="37">
        <v>615.0</v>
      </c>
      <c r="H616" s="130"/>
      <c r="I616" s="130" t="s">
        <v>1933</v>
      </c>
      <c r="J616" s="26" t="s">
        <v>1225</v>
      </c>
      <c r="K616" s="26" t="s">
        <v>1653</v>
      </c>
      <c r="L616" s="26" t="s">
        <v>1563</v>
      </c>
      <c r="M616" s="26" t="s">
        <v>1595</v>
      </c>
      <c r="N616" s="26" t="s">
        <v>1566</v>
      </c>
      <c r="O616" s="26" t="s">
        <v>1566</v>
      </c>
      <c r="P616" s="26" t="s">
        <v>22</v>
      </c>
      <c r="Q616" s="26">
        <v>0.0</v>
      </c>
    </row>
    <row r="617" ht="17.25" customHeight="1">
      <c r="A617" s="167">
        <v>46087.480863599536</v>
      </c>
      <c r="B617" s="25" t="s">
        <v>1938</v>
      </c>
      <c r="C617" s="56" t="s">
        <v>1892</v>
      </c>
      <c r="D617" s="167">
        <v>46086.52761009259</v>
      </c>
      <c r="E617" s="37">
        <v>500.0</v>
      </c>
      <c r="F617" s="56" t="s">
        <v>2018</v>
      </c>
      <c r="G617" s="37">
        <v>614.0</v>
      </c>
      <c r="H617" s="130"/>
      <c r="I617" s="130" t="s">
        <v>1939</v>
      </c>
      <c r="J617" s="26" t="s">
        <v>1225</v>
      </c>
      <c r="K617" s="26" t="s">
        <v>1642</v>
      </c>
      <c r="L617" s="26" t="s">
        <v>1563</v>
      </c>
      <c r="M617" s="26" t="s">
        <v>1622</v>
      </c>
      <c r="N617" s="26" t="s">
        <v>1566</v>
      </c>
      <c r="O617" s="26" t="s">
        <v>1566</v>
      </c>
      <c r="P617" s="26" t="s">
        <v>22</v>
      </c>
      <c r="Q617" s="26">
        <v>0.0</v>
      </c>
    </row>
    <row r="618" ht="17.25" customHeight="1">
      <c r="A618" s="167">
        <v>46087.4899892824</v>
      </c>
      <c r="B618" s="25" t="s">
        <v>301</v>
      </c>
      <c r="C618" s="56" t="s">
        <v>1892</v>
      </c>
      <c r="D618" s="167">
        <v>46086.52761009259</v>
      </c>
      <c r="E618" s="37">
        <v>10.0</v>
      </c>
      <c r="F618" s="56" t="s">
        <v>2102</v>
      </c>
      <c r="G618" s="109"/>
      <c r="H618" s="130"/>
      <c r="I618" s="130" t="s">
        <v>302</v>
      </c>
      <c r="J618" s="26" t="s">
        <v>1830</v>
      </c>
      <c r="K618" s="26" t="s">
        <v>302</v>
      </c>
      <c r="L618" s="26" t="s">
        <v>1566</v>
      </c>
      <c r="M618" s="26" t="s">
        <v>1566</v>
      </c>
      <c r="N618" s="26" t="s">
        <v>1566</v>
      </c>
      <c r="O618" s="26" t="s">
        <v>1566</v>
      </c>
      <c r="P618" s="26" t="s">
        <v>661</v>
      </c>
      <c r="Q618" s="26">
        <v>580.0</v>
      </c>
    </row>
    <row r="619" ht="17.25" customHeight="1">
      <c r="A619" s="167">
        <v>46087.49034805555</v>
      </c>
      <c r="B619" s="25" t="s">
        <v>994</v>
      </c>
      <c r="C619" s="56" t="s">
        <v>1892</v>
      </c>
      <c r="D619" s="167">
        <v>46086.52761009259</v>
      </c>
      <c r="E619" s="37">
        <v>1.0</v>
      </c>
      <c r="F619" s="56" t="s">
        <v>1894</v>
      </c>
      <c r="G619" s="109"/>
      <c r="H619" s="130"/>
      <c r="I619" s="130" t="s">
        <v>995</v>
      </c>
      <c r="J619" s="26" t="s">
        <v>1807</v>
      </c>
      <c r="K619" s="26" t="s">
        <v>1889</v>
      </c>
      <c r="L619" s="26" t="s">
        <v>1566</v>
      </c>
      <c r="M619" s="26" t="s">
        <v>1566</v>
      </c>
      <c r="N619" s="26" t="s">
        <v>1566</v>
      </c>
      <c r="O619" s="26" t="s">
        <v>1566</v>
      </c>
      <c r="P619" s="26" t="s">
        <v>661</v>
      </c>
      <c r="Q619" s="26">
        <v>9.0</v>
      </c>
    </row>
    <row r="620" ht="17.25" customHeight="1">
      <c r="A620" s="167">
        <v>46087.49063739584</v>
      </c>
      <c r="B620" s="25" t="s">
        <v>1039</v>
      </c>
      <c r="C620" s="56" t="s">
        <v>1892</v>
      </c>
      <c r="D620" s="167">
        <v>46086.52761009259</v>
      </c>
      <c r="E620" s="37">
        <v>1.0</v>
      </c>
      <c r="F620" s="56" t="s">
        <v>1899</v>
      </c>
      <c r="G620" s="109"/>
      <c r="H620" s="130"/>
      <c r="I620" s="130" t="s">
        <v>1040</v>
      </c>
      <c r="J620" s="26" t="s">
        <v>1830</v>
      </c>
      <c r="K620" s="26" t="s">
        <v>1833</v>
      </c>
      <c r="L620" s="26" t="s">
        <v>1566</v>
      </c>
      <c r="M620" s="26" t="s">
        <v>1566</v>
      </c>
      <c r="N620" s="26" t="s">
        <v>1566</v>
      </c>
      <c r="O620" s="26" t="s">
        <v>1566</v>
      </c>
      <c r="P620" s="26" t="s">
        <v>643</v>
      </c>
      <c r="Q620" s="26">
        <v>6.0</v>
      </c>
    </row>
    <row r="621" ht="17.25" customHeight="1">
      <c r="A621" s="167">
        <v>46087.490962407406</v>
      </c>
      <c r="B621" s="25" t="s">
        <v>301</v>
      </c>
      <c r="C621" s="56" t="s">
        <v>1892</v>
      </c>
      <c r="D621" s="167">
        <v>46086.52761009259</v>
      </c>
      <c r="E621" s="37">
        <v>5.0</v>
      </c>
      <c r="F621" s="56" t="s">
        <v>1894</v>
      </c>
      <c r="G621" s="109"/>
      <c r="H621" s="130"/>
      <c r="I621" s="130" t="s">
        <v>302</v>
      </c>
      <c r="J621" s="26" t="s">
        <v>1830</v>
      </c>
      <c r="K621" s="26" t="s">
        <v>302</v>
      </c>
      <c r="L621" s="26" t="s">
        <v>1566</v>
      </c>
      <c r="M621" s="26" t="s">
        <v>1566</v>
      </c>
      <c r="N621" s="26" t="s">
        <v>1566</v>
      </c>
      <c r="O621" s="26" t="s">
        <v>1566</v>
      </c>
      <c r="P621" s="26" t="s">
        <v>661</v>
      </c>
      <c r="Q621" s="26">
        <v>580.0</v>
      </c>
    </row>
    <row r="622" ht="17.25" customHeight="1">
      <c r="A622" s="167">
        <v>46087.49106645833</v>
      </c>
      <c r="B622" s="25" t="s">
        <v>301</v>
      </c>
      <c r="C622" s="56" t="s">
        <v>1892</v>
      </c>
      <c r="D622" s="167">
        <v>46086.52761009259</v>
      </c>
      <c r="E622" s="37">
        <v>2.0</v>
      </c>
      <c r="F622" s="56" t="s">
        <v>1834</v>
      </c>
      <c r="G622" s="109"/>
      <c r="H622" s="130"/>
      <c r="I622" s="130" t="s">
        <v>302</v>
      </c>
      <c r="J622" s="26" t="s">
        <v>1830</v>
      </c>
      <c r="K622" s="26" t="s">
        <v>302</v>
      </c>
      <c r="L622" s="26" t="s">
        <v>1566</v>
      </c>
      <c r="M622" s="26" t="s">
        <v>1566</v>
      </c>
      <c r="N622" s="26" t="s">
        <v>1566</v>
      </c>
      <c r="O622" s="26" t="s">
        <v>1566</v>
      </c>
      <c r="P622" s="26" t="s">
        <v>661</v>
      </c>
      <c r="Q622" s="26">
        <v>580.0</v>
      </c>
    </row>
    <row r="623" ht="17.25" customHeight="1">
      <c r="A623" s="167">
        <v>46087.49150078704</v>
      </c>
      <c r="B623" s="25" t="s">
        <v>964</v>
      </c>
      <c r="C623" s="56" t="s">
        <v>1892</v>
      </c>
      <c r="D623" s="167">
        <v>46086.52761009259</v>
      </c>
      <c r="E623" s="37">
        <v>4.0</v>
      </c>
      <c r="F623" s="56" t="s">
        <v>2026</v>
      </c>
      <c r="G623" s="109"/>
      <c r="H623" s="130"/>
      <c r="I623" s="130" t="s">
        <v>965</v>
      </c>
      <c r="J623" s="26" t="s">
        <v>1833</v>
      </c>
      <c r="K623" s="26" t="s">
        <v>1833</v>
      </c>
      <c r="L623" s="26" t="s">
        <v>1566</v>
      </c>
      <c r="M623" s="26" t="s">
        <v>1566</v>
      </c>
      <c r="N623" s="26" t="s">
        <v>1566</v>
      </c>
      <c r="O623" s="26" t="s">
        <v>1566</v>
      </c>
      <c r="P623" s="26" t="s">
        <v>643</v>
      </c>
      <c r="Q623" s="26">
        <v>25.0</v>
      </c>
    </row>
    <row r="624" ht="17.25" customHeight="1">
      <c r="A624" s="167">
        <v>46087.71798217593</v>
      </c>
      <c r="B624" s="25" t="s">
        <v>1559</v>
      </c>
      <c r="C624" s="56" t="s">
        <v>1892</v>
      </c>
      <c r="D624" s="167">
        <v>46087.71798217593</v>
      </c>
      <c r="E624" s="37">
        <v>200.0</v>
      </c>
      <c r="F624" s="56" t="s">
        <v>2018</v>
      </c>
      <c r="G624" s="109"/>
      <c r="H624" s="130"/>
      <c r="I624" s="130" t="s">
        <v>1672</v>
      </c>
      <c r="J624" s="26" t="s">
        <v>1225</v>
      </c>
      <c r="K624" s="26" t="s">
        <v>1562</v>
      </c>
      <c r="L624" s="26" t="s">
        <v>1563</v>
      </c>
      <c r="M624" s="26" t="s">
        <v>1564</v>
      </c>
      <c r="N624" s="26" t="s">
        <v>1565</v>
      </c>
      <c r="O624" s="26" t="s">
        <v>1566</v>
      </c>
      <c r="P624" s="26" t="s">
        <v>22</v>
      </c>
      <c r="Q624" s="26">
        <v>0.0</v>
      </c>
    </row>
    <row r="625" ht="17.25" customHeight="1">
      <c r="A625" s="167">
        <v>46087.72282510417</v>
      </c>
      <c r="B625" s="25" t="s">
        <v>892</v>
      </c>
      <c r="C625" s="56" t="s">
        <v>1892</v>
      </c>
      <c r="D625" s="173">
        <v>46075.0</v>
      </c>
      <c r="E625" s="37">
        <v>20.0</v>
      </c>
      <c r="F625" s="56" t="s">
        <v>1899</v>
      </c>
      <c r="G625" s="109"/>
      <c r="H625" s="130"/>
      <c r="I625" s="130" t="s">
        <v>893</v>
      </c>
      <c r="J625" s="26" t="s">
        <v>1812</v>
      </c>
      <c r="K625" s="26" t="s">
        <v>1813</v>
      </c>
      <c r="L625" s="26" t="s">
        <v>1566</v>
      </c>
      <c r="M625" s="26" t="s">
        <v>1566</v>
      </c>
      <c r="N625" s="26" t="s">
        <v>1566</v>
      </c>
      <c r="O625" s="26" t="s">
        <v>1809</v>
      </c>
      <c r="P625" s="26" t="s">
        <v>290</v>
      </c>
      <c r="Q625" s="26">
        <v>20.0</v>
      </c>
    </row>
    <row r="626" ht="17.25" customHeight="1">
      <c r="A626" s="167">
        <v>46087.723102557866</v>
      </c>
      <c r="B626" s="25" t="s">
        <v>892</v>
      </c>
      <c r="C626" s="56" t="s">
        <v>1560</v>
      </c>
      <c r="D626" s="167">
        <v>46087.723102557866</v>
      </c>
      <c r="E626" s="37">
        <v>40.0</v>
      </c>
      <c r="F626" s="56" t="s">
        <v>1673</v>
      </c>
      <c r="G626" s="37" t="s">
        <v>2104</v>
      </c>
      <c r="H626" s="130"/>
      <c r="I626" s="130" t="s">
        <v>893</v>
      </c>
      <c r="J626" s="26" t="s">
        <v>1812</v>
      </c>
      <c r="K626" s="26" t="s">
        <v>1813</v>
      </c>
      <c r="L626" s="26" t="s">
        <v>1566</v>
      </c>
      <c r="M626" s="26" t="s">
        <v>1566</v>
      </c>
      <c r="N626" s="26" t="s">
        <v>1566</v>
      </c>
      <c r="O626" s="26" t="s">
        <v>1809</v>
      </c>
      <c r="P626" s="26" t="s">
        <v>290</v>
      </c>
      <c r="Q626" s="26">
        <v>20.0</v>
      </c>
    </row>
    <row r="627" ht="17.25" customHeight="1">
      <c r="A627" s="167">
        <v>46087.724656192135</v>
      </c>
      <c r="B627" s="25" t="s">
        <v>753</v>
      </c>
      <c r="C627" s="56" t="s">
        <v>1560</v>
      </c>
      <c r="D627" s="167">
        <v>46087.723102557866</v>
      </c>
      <c r="E627" s="37">
        <v>20.0</v>
      </c>
      <c r="F627" s="56" t="s">
        <v>1673</v>
      </c>
      <c r="G627" s="109"/>
      <c r="H627" s="130"/>
      <c r="I627" s="130" t="s">
        <v>755</v>
      </c>
      <c r="J627" s="26" t="s">
        <v>1812</v>
      </c>
      <c r="K627" s="26" t="s">
        <v>1815</v>
      </c>
      <c r="L627" s="26" t="s">
        <v>1566</v>
      </c>
      <c r="M627" s="26" t="s">
        <v>1566</v>
      </c>
      <c r="N627" s="26" t="s">
        <v>1566</v>
      </c>
      <c r="O627" s="26" t="s">
        <v>2014</v>
      </c>
      <c r="P627" s="26" t="s">
        <v>290</v>
      </c>
      <c r="Q627" s="26">
        <v>25.0</v>
      </c>
    </row>
    <row r="628" ht="17.25" customHeight="1">
      <c r="A628" s="167">
        <v>46087.7250827199</v>
      </c>
      <c r="B628" s="25" t="s">
        <v>948</v>
      </c>
      <c r="C628" s="56" t="s">
        <v>1560</v>
      </c>
      <c r="D628" s="167">
        <v>46087.723102557866</v>
      </c>
      <c r="E628" s="37">
        <v>5.0</v>
      </c>
      <c r="F628" s="56" t="s">
        <v>1673</v>
      </c>
      <c r="G628" s="109"/>
      <c r="H628" s="130"/>
      <c r="I628" s="130" t="s">
        <v>952</v>
      </c>
      <c r="J628" s="26" t="s">
        <v>1812</v>
      </c>
      <c r="K628" s="26" t="s">
        <v>1815</v>
      </c>
      <c r="L628" s="26" t="s">
        <v>1566</v>
      </c>
      <c r="M628" s="26" t="s">
        <v>1566</v>
      </c>
      <c r="N628" s="26" t="s">
        <v>1566</v>
      </c>
      <c r="O628" s="26" t="s">
        <v>2060</v>
      </c>
      <c r="P628" s="26" t="s">
        <v>616</v>
      </c>
      <c r="Q628" s="26">
        <v>5.0</v>
      </c>
    </row>
    <row r="629" ht="17.25" customHeight="1">
      <c r="A629" s="167">
        <v>46087.726629467594</v>
      </c>
      <c r="B629" s="27" t="s">
        <v>517</v>
      </c>
      <c r="C629" s="56" t="s">
        <v>1560</v>
      </c>
      <c r="D629" s="167">
        <v>46087.723102557866</v>
      </c>
      <c r="E629" s="37">
        <v>20.0</v>
      </c>
      <c r="F629" s="56" t="s">
        <v>1673</v>
      </c>
      <c r="G629" s="109"/>
      <c r="H629" s="130"/>
      <c r="I629" s="130" t="s">
        <v>518</v>
      </c>
      <c r="J629" s="26" t="s">
        <v>1812</v>
      </c>
      <c r="K629" s="26" t="s">
        <v>1815</v>
      </c>
      <c r="L629" s="26" t="s">
        <v>1566</v>
      </c>
      <c r="M629" s="26" t="s">
        <v>1566</v>
      </c>
      <c r="N629" s="26" t="s">
        <v>1566</v>
      </c>
      <c r="O629" s="26" t="s">
        <v>2098</v>
      </c>
      <c r="P629" s="26" t="s">
        <v>290</v>
      </c>
      <c r="Q629" s="26">
        <v>40.0</v>
      </c>
    </row>
    <row r="630" ht="17.25" customHeight="1">
      <c r="A630" s="167">
        <v>46088.42061179398</v>
      </c>
      <c r="B630" s="25" t="s">
        <v>301</v>
      </c>
      <c r="C630" s="56" t="s">
        <v>1892</v>
      </c>
      <c r="D630" s="167">
        <v>46088.42061179398</v>
      </c>
      <c r="E630" s="37">
        <v>10.0</v>
      </c>
      <c r="F630" s="56" t="s">
        <v>1899</v>
      </c>
      <c r="G630" s="109"/>
      <c r="H630" s="130"/>
      <c r="I630" s="130" t="s">
        <v>302</v>
      </c>
      <c r="J630" s="26" t="s">
        <v>1830</v>
      </c>
      <c r="K630" s="26" t="s">
        <v>302</v>
      </c>
      <c r="L630" s="26" t="s">
        <v>1566</v>
      </c>
      <c r="M630" s="26" t="s">
        <v>1566</v>
      </c>
      <c r="N630" s="26" t="s">
        <v>1566</v>
      </c>
      <c r="O630" s="26" t="s">
        <v>1566</v>
      </c>
      <c r="P630" s="26" t="s">
        <v>661</v>
      </c>
      <c r="Q630" s="26">
        <v>580.0</v>
      </c>
    </row>
    <row r="631" ht="17.25" customHeight="1">
      <c r="A631" s="167">
        <v>46088.42083876157</v>
      </c>
      <c r="B631" s="27" t="s">
        <v>517</v>
      </c>
      <c r="C631" s="56" t="s">
        <v>1892</v>
      </c>
      <c r="D631" s="167">
        <v>46088.42061179398</v>
      </c>
      <c r="E631" s="180">
        <v>20.0</v>
      </c>
      <c r="F631" s="56" t="s">
        <v>1899</v>
      </c>
      <c r="G631" s="109"/>
      <c r="H631" s="130"/>
      <c r="I631" s="130" t="s">
        <v>518</v>
      </c>
      <c r="J631" s="26" t="s">
        <v>1812</v>
      </c>
      <c r="K631" s="26" t="s">
        <v>1815</v>
      </c>
      <c r="L631" s="26" t="s">
        <v>1566</v>
      </c>
      <c r="M631" s="26" t="s">
        <v>1566</v>
      </c>
      <c r="N631" s="26" t="s">
        <v>1566</v>
      </c>
      <c r="O631" s="26" t="s">
        <v>2098</v>
      </c>
      <c r="P631" s="26" t="s">
        <v>290</v>
      </c>
      <c r="Q631" s="26">
        <v>40.0</v>
      </c>
    </row>
    <row r="632" ht="17.25" customHeight="1">
      <c r="A632" s="167">
        <v>46088.42117111111</v>
      </c>
      <c r="B632" s="25" t="s">
        <v>21</v>
      </c>
      <c r="C632" s="56" t="s">
        <v>1892</v>
      </c>
      <c r="D632" s="167">
        <v>46088.42061179398</v>
      </c>
      <c r="E632" s="37">
        <v>20.0</v>
      </c>
      <c r="F632" s="56" t="s">
        <v>1899</v>
      </c>
      <c r="G632" s="109"/>
      <c r="H632" s="130"/>
      <c r="I632" s="130" t="s">
        <v>23</v>
      </c>
      <c r="J632" s="26" t="s">
        <v>1812</v>
      </c>
      <c r="K632" s="26" t="s">
        <v>1815</v>
      </c>
      <c r="L632" s="26" t="s">
        <v>1566</v>
      </c>
      <c r="M632" s="26" t="s">
        <v>1566</v>
      </c>
      <c r="N632" s="26" t="s">
        <v>1566</v>
      </c>
      <c r="O632" s="26" t="s">
        <v>1818</v>
      </c>
      <c r="P632" s="26" t="s">
        <v>616</v>
      </c>
      <c r="Q632" s="26">
        <v>20.0</v>
      </c>
    </row>
    <row r="633" ht="17.25" customHeight="1">
      <c r="A633" s="167">
        <v>46088.533415011574</v>
      </c>
      <c r="B633" s="25" t="s">
        <v>1045</v>
      </c>
      <c r="C633" s="56" t="s">
        <v>1892</v>
      </c>
      <c r="D633" s="167">
        <v>46088.42061179398</v>
      </c>
      <c r="E633" s="37">
        <v>1600.0</v>
      </c>
      <c r="F633" s="56" t="s">
        <v>1561</v>
      </c>
      <c r="G633" s="109"/>
      <c r="H633" s="130"/>
      <c r="I633" s="130" t="s">
        <v>1046</v>
      </c>
      <c r="J633" s="26" t="s">
        <v>1225</v>
      </c>
      <c r="K633" s="26" t="s">
        <v>1562</v>
      </c>
      <c r="L633" s="26" t="s">
        <v>1633</v>
      </c>
      <c r="M633" s="26" t="s">
        <v>2093</v>
      </c>
      <c r="N633" s="26" t="s">
        <v>1566</v>
      </c>
      <c r="O633" s="26" t="s">
        <v>1566</v>
      </c>
      <c r="P633" s="26" t="s">
        <v>22</v>
      </c>
      <c r="Q633" s="26">
        <v>950.0</v>
      </c>
    </row>
    <row r="634" ht="17.25" customHeight="1">
      <c r="A634" s="167">
        <v>46088.54635913194</v>
      </c>
      <c r="B634" s="27" t="s">
        <v>1940</v>
      </c>
      <c r="C634" s="56" t="s">
        <v>1560</v>
      </c>
      <c r="D634" s="167">
        <v>46088.42061179398</v>
      </c>
      <c r="E634" s="37">
        <v>6795.0</v>
      </c>
      <c r="F634" s="56" t="s">
        <v>1561</v>
      </c>
      <c r="G634" s="109"/>
      <c r="H634" s="130"/>
      <c r="I634" s="130" t="s">
        <v>1941</v>
      </c>
      <c r="J634" s="26" t="s">
        <v>1225</v>
      </c>
      <c r="K634" s="26" t="s">
        <v>1653</v>
      </c>
      <c r="L634" s="26" t="s">
        <v>2099</v>
      </c>
      <c r="M634" s="26" t="s">
        <v>1662</v>
      </c>
      <c r="N634" s="26" t="s">
        <v>1566</v>
      </c>
      <c r="O634" s="26" t="s">
        <v>2100</v>
      </c>
      <c r="P634" s="26" t="s">
        <v>22</v>
      </c>
      <c r="Q634" s="26">
        <v>0.0</v>
      </c>
    </row>
    <row r="635" ht="17.25" customHeight="1">
      <c r="A635" s="167">
        <v>46088.546542662036</v>
      </c>
      <c r="B635" s="27" t="s">
        <v>1940</v>
      </c>
      <c r="C635" s="56" t="s">
        <v>1892</v>
      </c>
      <c r="D635" s="167">
        <v>46088.42061179398</v>
      </c>
      <c r="E635" s="37">
        <v>500.0</v>
      </c>
      <c r="F635" s="56" t="s">
        <v>1561</v>
      </c>
      <c r="G635" s="109"/>
      <c r="H635" s="130"/>
      <c r="I635" s="130" t="s">
        <v>1941</v>
      </c>
      <c r="J635" s="26" t="s">
        <v>1225</v>
      </c>
      <c r="K635" s="26" t="s">
        <v>1653</v>
      </c>
      <c r="L635" s="26" t="s">
        <v>2099</v>
      </c>
      <c r="M635" s="26" t="s">
        <v>1662</v>
      </c>
      <c r="N635" s="26" t="s">
        <v>1566</v>
      </c>
      <c r="O635" s="26" t="s">
        <v>2100</v>
      </c>
      <c r="P635" s="26" t="s">
        <v>22</v>
      </c>
      <c r="Q635" s="26">
        <v>0.0</v>
      </c>
    </row>
    <row r="636" ht="17.25" customHeight="1">
      <c r="A636" s="167">
        <v>46088.61058065972</v>
      </c>
      <c r="B636" s="181" t="s">
        <v>1048</v>
      </c>
      <c r="C636" s="56" t="s">
        <v>1560</v>
      </c>
      <c r="D636" s="167">
        <v>46088.42061179398</v>
      </c>
      <c r="E636" s="37">
        <v>275.0</v>
      </c>
      <c r="F636" s="56" t="s">
        <v>1844</v>
      </c>
      <c r="G636" s="37" t="s">
        <v>2108</v>
      </c>
      <c r="H636" s="130"/>
      <c r="I636" s="130" t="s">
        <v>1049</v>
      </c>
      <c r="J636" s="26" t="s">
        <v>1821</v>
      </c>
      <c r="K636" s="26" t="s">
        <v>1821</v>
      </c>
      <c r="L636" s="26" t="s">
        <v>1566</v>
      </c>
      <c r="M636" s="26" t="s">
        <v>1566</v>
      </c>
      <c r="N636" s="26" t="s">
        <v>1566</v>
      </c>
      <c r="O636" s="26" t="s">
        <v>2101</v>
      </c>
      <c r="P636" s="26" t="s">
        <v>290</v>
      </c>
      <c r="Q636" s="26">
        <v>275.0</v>
      </c>
    </row>
    <row r="637" ht="17.25" customHeight="1">
      <c r="A637" s="167">
        <v>46088.63494074074</v>
      </c>
      <c r="B637" s="25" t="s">
        <v>359</v>
      </c>
      <c r="C637" s="56" t="s">
        <v>1892</v>
      </c>
      <c r="D637" s="167">
        <v>46088.42061179398</v>
      </c>
      <c r="E637" s="37">
        <v>15.0</v>
      </c>
      <c r="F637" s="56" t="s">
        <v>1894</v>
      </c>
      <c r="G637" s="109"/>
      <c r="H637" s="130"/>
      <c r="I637" s="130" t="s">
        <v>370</v>
      </c>
      <c r="J637" s="26" t="s">
        <v>370</v>
      </c>
      <c r="K637" s="26" t="s">
        <v>370</v>
      </c>
      <c r="L637" s="26" t="s">
        <v>1566</v>
      </c>
      <c r="M637" s="26" t="s">
        <v>1566</v>
      </c>
      <c r="N637" s="26" t="s">
        <v>1566</v>
      </c>
      <c r="O637" s="26" t="s">
        <v>1566</v>
      </c>
      <c r="P637" s="26" t="s">
        <v>661</v>
      </c>
      <c r="Q637" s="26">
        <v>100.0</v>
      </c>
    </row>
    <row r="638" ht="17.25" customHeight="1">
      <c r="A638" s="167">
        <v>46090.45166806713</v>
      </c>
      <c r="B638" s="25" t="s">
        <v>1021</v>
      </c>
      <c r="C638" s="56" t="s">
        <v>1892</v>
      </c>
      <c r="D638" s="167">
        <v>46088.42061179398</v>
      </c>
      <c r="E638" s="37">
        <v>1.0</v>
      </c>
      <c r="F638" s="56" t="s">
        <v>1894</v>
      </c>
      <c r="G638" s="109"/>
      <c r="H638" s="130"/>
      <c r="I638" s="130" t="s">
        <v>1022</v>
      </c>
      <c r="J638" s="26" t="s">
        <v>1807</v>
      </c>
      <c r="K638" s="26" t="s">
        <v>1889</v>
      </c>
      <c r="L638" s="26" t="s">
        <v>1566</v>
      </c>
      <c r="M638" s="26" t="s">
        <v>1566</v>
      </c>
      <c r="N638" s="26" t="s">
        <v>1876</v>
      </c>
      <c r="O638" s="26" t="s">
        <v>1566</v>
      </c>
      <c r="P638" s="26" t="s">
        <v>661</v>
      </c>
      <c r="Q638" s="26">
        <v>9.0</v>
      </c>
    </row>
    <row r="639" ht="17.25" customHeight="1">
      <c r="A639" s="167">
        <v>46090.45335265047</v>
      </c>
      <c r="B639" s="27" t="s">
        <v>1786</v>
      </c>
      <c r="C639" s="56" t="s">
        <v>1560</v>
      </c>
      <c r="D639" s="167">
        <v>46088.42061179398</v>
      </c>
      <c r="E639" s="37">
        <v>625.0</v>
      </c>
      <c r="F639" s="56" t="s">
        <v>1561</v>
      </c>
      <c r="G639" s="109"/>
      <c r="H639" s="130"/>
      <c r="I639" s="130" t="s">
        <v>1787</v>
      </c>
      <c r="J639" s="26" t="s">
        <v>1225</v>
      </c>
      <c r="K639" s="26" t="s">
        <v>1640</v>
      </c>
      <c r="L639" s="26" t="s">
        <v>1576</v>
      </c>
      <c r="M639" s="26" t="s">
        <v>1662</v>
      </c>
      <c r="N639" s="26" t="s">
        <v>1566</v>
      </c>
      <c r="O639" s="26" t="s">
        <v>1566</v>
      </c>
      <c r="P639" s="26" t="s">
        <v>22</v>
      </c>
      <c r="Q639" s="26">
        <v>0.0</v>
      </c>
    </row>
    <row r="640" ht="17.25" customHeight="1">
      <c r="A640" s="167">
        <v>46090.45389560185</v>
      </c>
      <c r="B640" s="25" t="s">
        <v>292</v>
      </c>
      <c r="C640" s="56" t="s">
        <v>1892</v>
      </c>
      <c r="D640" s="167">
        <v>46090.45389560185</v>
      </c>
      <c r="E640" s="37">
        <v>2.0</v>
      </c>
      <c r="F640" s="56" t="s">
        <v>1899</v>
      </c>
      <c r="G640" s="109"/>
      <c r="H640" s="130"/>
      <c r="I640" s="130" t="s">
        <v>294</v>
      </c>
      <c r="J640" s="26" t="s">
        <v>1674</v>
      </c>
      <c r="K640" s="26" t="s">
        <v>1675</v>
      </c>
      <c r="L640" s="26" t="s">
        <v>1566</v>
      </c>
      <c r="M640" s="26" t="s">
        <v>1566</v>
      </c>
      <c r="N640" s="26" t="s">
        <v>1678</v>
      </c>
      <c r="O640" s="26" t="s">
        <v>1677</v>
      </c>
      <c r="P640" s="26" t="s">
        <v>290</v>
      </c>
      <c r="Q640" s="26">
        <v>10.0</v>
      </c>
    </row>
    <row r="641" ht="17.25" customHeight="1">
      <c r="A641" s="167">
        <v>46090.45391231481</v>
      </c>
      <c r="B641" s="2" t="s">
        <v>297</v>
      </c>
      <c r="C641" s="56" t="s">
        <v>1892</v>
      </c>
      <c r="D641" s="167">
        <v>46090.45389560185</v>
      </c>
      <c r="E641" s="37">
        <v>2.0</v>
      </c>
      <c r="F641" s="56" t="s">
        <v>1899</v>
      </c>
      <c r="G641" s="109"/>
      <c r="H641" s="130"/>
      <c r="I641" s="130" t="s">
        <v>298</v>
      </c>
      <c r="J641" s="26" t="s">
        <v>1674</v>
      </c>
      <c r="K641" s="26" t="s">
        <v>1675</v>
      </c>
      <c r="L641" s="26" t="s">
        <v>1566</v>
      </c>
      <c r="M641" s="26" t="s">
        <v>1566</v>
      </c>
      <c r="N641" s="26" t="s">
        <v>1680</v>
      </c>
      <c r="O641" s="26" t="s">
        <v>1677</v>
      </c>
      <c r="P641" s="26" t="s">
        <v>290</v>
      </c>
      <c r="Q641" s="26">
        <v>10.0</v>
      </c>
    </row>
    <row r="642" ht="17.25" customHeight="1">
      <c r="A642" s="167">
        <v>46090.4539367824</v>
      </c>
      <c r="B642" s="2" t="s">
        <v>304</v>
      </c>
      <c r="C642" s="56" t="s">
        <v>1892</v>
      </c>
      <c r="D642" s="167">
        <v>46090.45389560185</v>
      </c>
      <c r="E642" s="37">
        <v>2.0</v>
      </c>
      <c r="F642" s="56" t="s">
        <v>1899</v>
      </c>
      <c r="G642" s="109"/>
      <c r="H642" s="130"/>
      <c r="I642" s="130" t="s">
        <v>306</v>
      </c>
      <c r="J642" s="26" t="s">
        <v>1674</v>
      </c>
      <c r="K642" s="26" t="s">
        <v>1675</v>
      </c>
      <c r="L642" s="26" t="s">
        <v>1566</v>
      </c>
      <c r="M642" s="26" t="s">
        <v>1566</v>
      </c>
      <c r="N642" s="26" t="s">
        <v>1682</v>
      </c>
      <c r="O642" s="26" t="s">
        <v>1677</v>
      </c>
      <c r="P642" s="26" t="s">
        <v>290</v>
      </c>
      <c r="Q642" s="26">
        <v>6.0</v>
      </c>
    </row>
    <row r="643" ht="17.25" customHeight="1">
      <c r="A643" s="167">
        <v>46090.45419625</v>
      </c>
      <c r="B643" s="25" t="s">
        <v>301</v>
      </c>
      <c r="C643" s="56" t="s">
        <v>1892</v>
      </c>
      <c r="D643" s="167">
        <v>46090.45389560185</v>
      </c>
      <c r="E643" s="37">
        <v>20.0</v>
      </c>
      <c r="F643" s="56" t="s">
        <v>1899</v>
      </c>
      <c r="G643" s="109"/>
      <c r="H643" s="130"/>
      <c r="I643" s="130" t="s">
        <v>302</v>
      </c>
      <c r="J643" s="26" t="s">
        <v>1830</v>
      </c>
      <c r="K643" s="26" t="s">
        <v>302</v>
      </c>
      <c r="L643" s="26" t="s">
        <v>1566</v>
      </c>
      <c r="M643" s="26" t="s">
        <v>1566</v>
      </c>
      <c r="N643" s="26" t="s">
        <v>1566</v>
      </c>
      <c r="O643" s="26" t="s">
        <v>1566</v>
      </c>
      <c r="P643" s="26" t="s">
        <v>661</v>
      </c>
      <c r="Q643" s="26">
        <v>580.0</v>
      </c>
    </row>
    <row r="644" ht="17.25" customHeight="1">
      <c r="A644" s="167">
        <v>46090.67502244213</v>
      </c>
      <c r="B644" s="27" t="s">
        <v>1708</v>
      </c>
      <c r="C644" s="56" t="s">
        <v>1560</v>
      </c>
      <c r="D644" s="167">
        <v>46090.45389560185</v>
      </c>
      <c r="E644" s="37">
        <v>600.0</v>
      </c>
      <c r="F644" s="56" t="s">
        <v>1561</v>
      </c>
      <c r="G644" s="37" t="s">
        <v>2111</v>
      </c>
      <c r="H644" s="130"/>
      <c r="I644" s="130" t="s">
        <v>1709</v>
      </c>
      <c r="J644" s="26" t="s">
        <v>1225</v>
      </c>
      <c r="K644" s="26" t="s">
        <v>1562</v>
      </c>
      <c r="L644" s="26" t="s">
        <v>1582</v>
      </c>
      <c r="M644" s="26" t="s">
        <v>1572</v>
      </c>
      <c r="N644" s="26" t="s">
        <v>1566</v>
      </c>
      <c r="O644" s="26" t="s">
        <v>1566</v>
      </c>
      <c r="P644" s="26" t="s">
        <v>22</v>
      </c>
      <c r="Q644" s="26">
        <v>0.0</v>
      </c>
    </row>
    <row r="645" ht="17.25" customHeight="1">
      <c r="A645" s="167">
        <v>46090.67502244213</v>
      </c>
      <c r="B645" s="27" t="s">
        <v>1708</v>
      </c>
      <c r="C645" s="56" t="s">
        <v>1892</v>
      </c>
      <c r="D645" s="167">
        <v>46090.45389560185</v>
      </c>
      <c r="E645" s="37">
        <v>600.0</v>
      </c>
      <c r="F645" s="56" t="s">
        <v>1561</v>
      </c>
      <c r="G645" s="37">
        <v>620.0</v>
      </c>
      <c r="H645" s="130"/>
      <c r="I645" s="130" t="s">
        <v>1709</v>
      </c>
      <c r="J645" s="26" t="s">
        <v>1225</v>
      </c>
      <c r="K645" s="26" t="s">
        <v>1562</v>
      </c>
      <c r="L645" s="26" t="s">
        <v>1582</v>
      </c>
      <c r="M645" s="26" t="s">
        <v>1572</v>
      </c>
      <c r="N645" s="26" t="s">
        <v>1566</v>
      </c>
      <c r="O645" s="26" t="s">
        <v>1566</v>
      </c>
      <c r="P645" s="26" t="s">
        <v>22</v>
      </c>
      <c r="Q645" s="26">
        <v>0.0</v>
      </c>
    </row>
    <row r="646" ht="17.25" customHeight="1">
      <c r="A646" s="167">
        <v>46090.675664780094</v>
      </c>
      <c r="B646" s="27" t="s">
        <v>1940</v>
      </c>
      <c r="C646" s="56" t="s">
        <v>1560</v>
      </c>
      <c r="D646" s="167">
        <v>46090.45389560185</v>
      </c>
      <c r="E646" s="37">
        <v>24007.0</v>
      </c>
      <c r="F646" s="56" t="s">
        <v>1561</v>
      </c>
      <c r="G646" s="109"/>
      <c r="H646" s="130"/>
      <c r="I646" s="130" t="s">
        <v>1941</v>
      </c>
      <c r="J646" s="26" t="s">
        <v>1225</v>
      </c>
      <c r="K646" s="26" t="s">
        <v>1653</v>
      </c>
      <c r="L646" s="26" t="s">
        <v>2099</v>
      </c>
      <c r="M646" s="26" t="s">
        <v>1662</v>
      </c>
      <c r="N646" s="26" t="s">
        <v>1566</v>
      </c>
      <c r="O646" s="26" t="s">
        <v>2100</v>
      </c>
      <c r="P646" s="26" t="s">
        <v>22</v>
      </c>
      <c r="Q646" s="26">
        <v>0.0</v>
      </c>
    </row>
    <row r="647" ht="17.25" customHeight="1">
      <c r="A647" s="167">
        <v>46090.678476643516</v>
      </c>
      <c r="B647" s="25" t="s">
        <v>1786</v>
      </c>
      <c r="C647" s="56" t="s">
        <v>1892</v>
      </c>
      <c r="D647" s="167">
        <v>46090.678476643516</v>
      </c>
      <c r="E647" s="37">
        <v>625.0</v>
      </c>
      <c r="F647" s="56" t="s">
        <v>1561</v>
      </c>
      <c r="G647" s="37">
        <v>619.0</v>
      </c>
      <c r="H647" s="130"/>
      <c r="I647" s="130" t="s">
        <v>1787</v>
      </c>
      <c r="J647" s="26" t="s">
        <v>1225</v>
      </c>
      <c r="K647" s="26" t="s">
        <v>1640</v>
      </c>
      <c r="L647" s="26" t="s">
        <v>1576</v>
      </c>
      <c r="M647" s="26" t="s">
        <v>1662</v>
      </c>
      <c r="N647" s="26" t="s">
        <v>1566</v>
      </c>
      <c r="O647" s="26" t="s">
        <v>1566</v>
      </c>
      <c r="P647" s="26" t="s">
        <v>22</v>
      </c>
      <c r="Q647" s="26">
        <v>0.0</v>
      </c>
    </row>
    <row r="648" ht="17.25" customHeight="1">
      <c r="A648" s="167">
        <v>46090.68394461805</v>
      </c>
      <c r="B648" s="23" t="s">
        <v>876</v>
      </c>
      <c r="C648" s="56" t="s">
        <v>1892</v>
      </c>
      <c r="D648" s="167">
        <v>46090.45389560185</v>
      </c>
      <c r="E648" s="37">
        <v>4.0</v>
      </c>
      <c r="F648" s="56" t="s">
        <v>1907</v>
      </c>
      <c r="G648" s="109"/>
      <c r="H648" s="130"/>
      <c r="I648" s="130" t="s">
        <v>878</v>
      </c>
      <c r="J648" s="26" t="s">
        <v>1830</v>
      </c>
      <c r="K648" s="26" t="s">
        <v>1879</v>
      </c>
      <c r="L648" s="26" t="s">
        <v>1566</v>
      </c>
      <c r="M648" s="26" t="s">
        <v>1566</v>
      </c>
      <c r="N648" s="26" t="s">
        <v>1566</v>
      </c>
      <c r="O648" s="26" t="s">
        <v>1566</v>
      </c>
      <c r="P648" s="26" t="s">
        <v>643</v>
      </c>
      <c r="Q648" s="26">
        <v>34.0</v>
      </c>
    </row>
    <row r="649" ht="17.25" customHeight="1">
      <c r="A649" s="167">
        <v>46090.68426915509</v>
      </c>
      <c r="B649" s="23" t="s">
        <v>222</v>
      </c>
      <c r="C649" s="56" t="s">
        <v>1892</v>
      </c>
      <c r="D649" s="167">
        <v>46090.45389560185</v>
      </c>
      <c r="E649" s="37">
        <v>2.0</v>
      </c>
      <c r="F649" s="56" t="s">
        <v>1907</v>
      </c>
      <c r="G649" s="109"/>
      <c r="H649" s="130"/>
      <c r="I649" s="130" t="s">
        <v>230</v>
      </c>
      <c r="J649" s="26" t="s">
        <v>1821</v>
      </c>
      <c r="K649" s="26" t="s">
        <v>1822</v>
      </c>
      <c r="L649" s="26" t="s">
        <v>1828</v>
      </c>
      <c r="M649" s="26" t="s">
        <v>1590</v>
      </c>
      <c r="N649" s="26" t="s">
        <v>1566</v>
      </c>
      <c r="O649" s="26" t="s">
        <v>1566</v>
      </c>
      <c r="P649" s="26" t="s">
        <v>661</v>
      </c>
      <c r="Q649" s="26">
        <v>60.0</v>
      </c>
    </row>
    <row r="650" ht="17.25" customHeight="1">
      <c r="A650" s="167">
        <v>46091.52112493056</v>
      </c>
      <c r="B650" s="25" t="s">
        <v>857</v>
      </c>
      <c r="C650" s="56" t="s">
        <v>1892</v>
      </c>
      <c r="D650" s="167">
        <v>46091.52112493056</v>
      </c>
      <c r="E650" s="37">
        <v>1.0</v>
      </c>
      <c r="F650" s="56" t="s">
        <v>1844</v>
      </c>
      <c r="G650" s="109"/>
      <c r="H650" s="130"/>
      <c r="I650" s="130" t="s">
        <v>859</v>
      </c>
      <c r="J650" s="26" t="s">
        <v>1844</v>
      </c>
      <c r="K650" s="26" t="s">
        <v>1846</v>
      </c>
      <c r="L650" s="26" t="s">
        <v>1871</v>
      </c>
      <c r="M650" s="26" t="s">
        <v>1566</v>
      </c>
      <c r="N650" s="26" t="s">
        <v>1566</v>
      </c>
      <c r="O650" s="26" t="s">
        <v>1808</v>
      </c>
      <c r="P650" s="26" t="s">
        <v>661</v>
      </c>
      <c r="Q650" s="26">
        <v>1.0</v>
      </c>
    </row>
    <row r="651" ht="17.25" customHeight="1">
      <c r="A651" s="182">
        <v>46091.5434283912</v>
      </c>
      <c r="B651" s="25" t="s">
        <v>1643</v>
      </c>
      <c r="C651" s="54" t="s">
        <v>1892</v>
      </c>
      <c r="D651" s="182">
        <v>46091.52112493056</v>
      </c>
      <c r="E651" s="183">
        <v>1200.0</v>
      </c>
      <c r="F651" s="54" t="s">
        <v>2096</v>
      </c>
      <c r="G651" s="184"/>
      <c r="H651" s="185"/>
      <c r="I651" s="185" t="s">
        <v>1644</v>
      </c>
      <c r="J651" s="25" t="s">
        <v>1225</v>
      </c>
      <c r="K651" s="25" t="s">
        <v>1640</v>
      </c>
      <c r="L651" s="25" t="s">
        <v>1576</v>
      </c>
      <c r="M651" s="25" t="s">
        <v>1645</v>
      </c>
      <c r="N651" s="25" t="s">
        <v>1566</v>
      </c>
      <c r="O651" s="25" t="s">
        <v>1566</v>
      </c>
      <c r="P651" s="25" t="s">
        <v>22</v>
      </c>
      <c r="Q651" s="25">
        <v>0.0</v>
      </c>
    </row>
    <row r="652" ht="17.25" customHeight="1">
      <c r="A652" s="167">
        <v>46091.68813702546</v>
      </c>
      <c r="B652" s="25" t="s">
        <v>710</v>
      </c>
      <c r="C652" s="56" t="s">
        <v>1560</v>
      </c>
      <c r="D652" s="167">
        <v>46091.52112493056</v>
      </c>
      <c r="E652" s="37">
        <v>100.0</v>
      </c>
      <c r="F652" s="56" t="s">
        <v>2112</v>
      </c>
      <c r="G652" s="109"/>
      <c r="H652" s="130"/>
      <c r="I652" s="130" t="s">
        <v>711</v>
      </c>
      <c r="J652" s="26" t="s">
        <v>1821</v>
      </c>
      <c r="K652" s="26" t="s">
        <v>1821</v>
      </c>
      <c r="L652" s="26" t="s">
        <v>1566</v>
      </c>
      <c r="M652" s="26" t="s">
        <v>1566</v>
      </c>
      <c r="N652" s="26" t="s">
        <v>1566</v>
      </c>
      <c r="O652" s="26" t="s">
        <v>1566</v>
      </c>
      <c r="P652" s="26" t="s">
        <v>290</v>
      </c>
      <c r="Q652" s="26">
        <v>50.0</v>
      </c>
    </row>
    <row r="653" ht="17.25" customHeight="1">
      <c r="A653" s="167">
        <v>46091.688620057874</v>
      </c>
      <c r="B653" s="25" t="s">
        <v>271</v>
      </c>
      <c r="C653" s="56" t="s">
        <v>1560</v>
      </c>
      <c r="D653" s="167">
        <v>46091.52112493056</v>
      </c>
      <c r="E653" s="37">
        <v>6.0</v>
      </c>
      <c r="F653" s="56" t="s">
        <v>2112</v>
      </c>
      <c r="G653" s="109"/>
      <c r="H653" s="130"/>
      <c r="I653" s="130" t="s">
        <v>277</v>
      </c>
      <c r="J653" s="26" t="s">
        <v>1821</v>
      </c>
      <c r="K653" s="26" t="s">
        <v>1822</v>
      </c>
      <c r="L653" s="26" t="s">
        <v>1824</v>
      </c>
      <c r="M653" s="26" t="s">
        <v>1566</v>
      </c>
      <c r="N653" s="26" t="s">
        <v>1566</v>
      </c>
      <c r="O653" s="26" t="s">
        <v>1566</v>
      </c>
      <c r="P653" s="26" t="s">
        <v>661</v>
      </c>
      <c r="Q653" s="26">
        <v>45.0</v>
      </c>
    </row>
    <row r="654" ht="17.25" customHeight="1">
      <c r="A654" s="167">
        <v>46091.68906380787</v>
      </c>
      <c r="B654" s="25" t="s">
        <v>667</v>
      </c>
      <c r="C654" s="56" t="s">
        <v>1892</v>
      </c>
      <c r="D654" s="167">
        <v>46091.52112493056</v>
      </c>
      <c r="E654" s="37">
        <v>12.0</v>
      </c>
      <c r="F654" s="56" t="s">
        <v>1908</v>
      </c>
      <c r="G654" s="109"/>
      <c r="H654" s="130"/>
      <c r="I654" s="130" t="s">
        <v>668</v>
      </c>
      <c r="J654" s="26" t="s">
        <v>1821</v>
      </c>
      <c r="K654" s="26" t="s">
        <v>1822</v>
      </c>
      <c r="L654" s="26" t="s">
        <v>1824</v>
      </c>
      <c r="M654" s="26" t="s">
        <v>1566</v>
      </c>
      <c r="N654" s="26" t="s">
        <v>1566</v>
      </c>
      <c r="O654" s="26" t="s">
        <v>1566</v>
      </c>
      <c r="P654" s="26" t="s">
        <v>661</v>
      </c>
      <c r="Q654" s="26">
        <v>8.0</v>
      </c>
    </row>
    <row r="655" ht="17.25" customHeight="1">
      <c r="A655" s="167">
        <v>46091.68907435185</v>
      </c>
      <c r="B655" s="25" t="s">
        <v>667</v>
      </c>
      <c r="C655" s="56" t="s">
        <v>1560</v>
      </c>
      <c r="D655" s="167">
        <v>46091.52112493056</v>
      </c>
      <c r="E655" s="37">
        <v>6.0</v>
      </c>
      <c r="F655" s="56" t="s">
        <v>2112</v>
      </c>
      <c r="G655" s="109"/>
      <c r="H655" s="130"/>
      <c r="I655" s="130" t="s">
        <v>668</v>
      </c>
      <c r="J655" s="26" t="s">
        <v>1821</v>
      </c>
      <c r="K655" s="26" t="s">
        <v>1822</v>
      </c>
      <c r="L655" s="26" t="s">
        <v>1824</v>
      </c>
      <c r="M655" s="26" t="s">
        <v>1566</v>
      </c>
      <c r="N655" s="26" t="s">
        <v>1566</v>
      </c>
      <c r="O655" s="26" t="s">
        <v>1566</v>
      </c>
      <c r="P655" s="26" t="s">
        <v>661</v>
      </c>
      <c r="Q655" s="26">
        <v>8.0</v>
      </c>
    </row>
    <row r="656" ht="17.25" customHeight="1">
      <c r="A656" s="167">
        <v>46091.69064021991</v>
      </c>
      <c r="B656" s="27" t="s">
        <v>1051</v>
      </c>
      <c r="C656" s="56" t="s">
        <v>1560</v>
      </c>
      <c r="D656" s="167">
        <v>46091.52112493056</v>
      </c>
      <c r="E656" s="37">
        <v>5.0</v>
      </c>
      <c r="F656" s="56" t="s">
        <v>2112</v>
      </c>
      <c r="G656" s="109"/>
      <c r="H656" s="130"/>
      <c r="I656" s="130" t="s">
        <v>1052</v>
      </c>
      <c r="J656" s="26" t="s">
        <v>1830</v>
      </c>
      <c r="K656" s="26" t="s">
        <v>1642</v>
      </c>
      <c r="L656" s="26" t="s">
        <v>1566</v>
      </c>
      <c r="M656" s="26" t="s">
        <v>1566</v>
      </c>
      <c r="N656" s="26" t="s">
        <v>1566</v>
      </c>
      <c r="O656" s="26" t="s">
        <v>1566</v>
      </c>
      <c r="P656" s="26" t="s">
        <v>290</v>
      </c>
      <c r="Q656" s="26">
        <v>17.0</v>
      </c>
    </row>
    <row r="657" ht="17.25" customHeight="1">
      <c r="A657" s="167">
        <v>46091.70284886574</v>
      </c>
      <c r="B657" s="25" t="s">
        <v>598</v>
      </c>
      <c r="C657" s="56" t="s">
        <v>1892</v>
      </c>
      <c r="D657" s="167">
        <v>46091.52112493056</v>
      </c>
      <c r="E657" s="37">
        <v>5.0</v>
      </c>
      <c r="F657" s="56" t="s">
        <v>1899</v>
      </c>
      <c r="G657" s="109"/>
      <c r="H657" s="130"/>
      <c r="I657" s="130" t="s">
        <v>604</v>
      </c>
      <c r="J657" s="26" t="s">
        <v>1812</v>
      </c>
      <c r="K657" s="26" t="s">
        <v>1815</v>
      </c>
      <c r="L657" s="26" t="s">
        <v>1566</v>
      </c>
      <c r="M657" s="26" t="s">
        <v>1566</v>
      </c>
      <c r="N657" s="26" t="s">
        <v>1566</v>
      </c>
      <c r="O657" s="26" t="s">
        <v>1812</v>
      </c>
      <c r="P657" s="26" t="s">
        <v>616</v>
      </c>
      <c r="Q657" s="26">
        <v>15.0</v>
      </c>
    </row>
    <row r="658" ht="17.25" customHeight="1">
      <c r="A658" s="167">
        <v>46091.703211354165</v>
      </c>
      <c r="B658" s="25" t="s">
        <v>622</v>
      </c>
      <c r="C658" s="56" t="s">
        <v>1892</v>
      </c>
      <c r="D658" s="167">
        <v>46091.52112493056</v>
      </c>
      <c r="E658" s="37">
        <v>25.0</v>
      </c>
      <c r="F658" s="56" t="s">
        <v>1899</v>
      </c>
      <c r="G658" s="109"/>
      <c r="H658" s="130"/>
      <c r="I658" s="130" t="s">
        <v>623</v>
      </c>
      <c r="J658" s="26" t="s">
        <v>1812</v>
      </c>
      <c r="K658" s="26" t="s">
        <v>1815</v>
      </c>
      <c r="L658" s="26" t="s">
        <v>1566</v>
      </c>
      <c r="M658" s="26" t="s">
        <v>1566</v>
      </c>
      <c r="N658" s="26" t="s">
        <v>1566</v>
      </c>
      <c r="O658" s="26" t="s">
        <v>1817</v>
      </c>
      <c r="P658" s="26" t="s">
        <v>616</v>
      </c>
      <c r="Q658" s="26">
        <v>20.0</v>
      </c>
    </row>
    <row r="659" ht="17.25" customHeight="1">
      <c r="A659" s="167">
        <v>46091.70522386574</v>
      </c>
      <c r="B659" s="25" t="s">
        <v>523</v>
      </c>
      <c r="C659" s="56" t="s">
        <v>1892</v>
      </c>
      <c r="D659" s="167">
        <v>46091.52112493056</v>
      </c>
      <c r="E659" s="37">
        <v>5.0</v>
      </c>
      <c r="F659" s="56" t="s">
        <v>1899</v>
      </c>
      <c r="G659" s="109"/>
      <c r="H659" s="130"/>
      <c r="I659" s="130" t="s">
        <v>528</v>
      </c>
      <c r="J659" s="26" t="s">
        <v>1812</v>
      </c>
      <c r="K659" s="26" t="s">
        <v>1815</v>
      </c>
      <c r="L659" s="26" t="s">
        <v>1566</v>
      </c>
      <c r="M659" s="26" t="s">
        <v>1566</v>
      </c>
      <c r="N659" s="26" t="s">
        <v>1566</v>
      </c>
      <c r="O659" s="26" t="s">
        <v>1837</v>
      </c>
      <c r="P659" s="26" t="s">
        <v>616</v>
      </c>
      <c r="Q659" s="26">
        <v>15.0</v>
      </c>
    </row>
    <row r="660" ht="17.25" customHeight="1">
      <c r="A660" s="167">
        <v>46091.7062325</v>
      </c>
      <c r="B660" s="25" t="s">
        <v>1638</v>
      </c>
      <c r="C660" s="56" t="s">
        <v>1560</v>
      </c>
      <c r="D660" s="167">
        <v>46091.52112493056</v>
      </c>
      <c r="E660" s="37">
        <v>300.0</v>
      </c>
      <c r="F660" s="56" t="s">
        <v>1561</v>
      </c>
      <c r="G660" s="109"/>
      <c r="H660" s="130"/>
      <c r="I660" s="130" t="s">
        <v>1639</v>
      </c>
      <c r="J660" s="26" t="s">
        <v>1225</v>
      </c>
      <c r="K660" s="26" t="s">
        <v>1640</v>
      </c>
      <c r="L660" s="26" t="s">
        <v>1563</v>
      </c>
      <c r="M660" s="26" t="s">
        <v>1574</v>
      </c>
      <c r="N660" s="26" t="s">
        <v>1566</v>
      </c>
      <c r="O660" s="26" t="s">
        <v>1566</v>
      </c>
      <c r="P660" s="26" t="s">
        <v>22</v>
      </c>
      <c r="Q660" s="26">
        <v>0.0</v>
      </c>
    </row>
    <row r="661" ht="17.25" customHeight="1">
      <c r="A661" s="167">
        <v>46091.70633372685</v>
      </c>
      <c r="B661" s="25" t="s">
        <v>1638</v>
      </c>
      <c r="C661" s="56" t="s">
        <v>1892</v>
      </c>
      <c r="D661" s="167">
        <v>46091.52112493056</v>
      </c>
      <c r="E661" s="37">
        <v>300.0</v>
      </c>
      <c r="F661" s="56" t="s">
        <v>1561</v>
      </c>
      <c r="G661" s="37">
        <v>622.0</v>
      </c>
      <c r="H661" s="130"/>
      <c r="I661" s="130" t="s">
        <v>1639</v>
      </c>
      <c r="J661" s="26" t="s">
        <v>1225</v>
      </c>
      <c r="K661" s="26" t="s">
        <v>1640</v>
      </c>
      <c r="L661" s="26" t="s">
        <v>1563</v>
      </c>
      <c r="M661" s="26" t="s">
        <v>1574</v>
      </c>
      <c r="N661" s="26" t="s">
        <v>1566</v>
      </c>
      <c r="O661" s="26" t="s">
        <v>1566</v>
      </c>
      <c r="P661" s="26" t="s">
        <v>22</v>
      </c>
      <c r="Q661" s="26">
        <v>0.0</v>
      </c>
    </row>
    <row r="662" ht="17.25" customHeight="1">
      <c r="A662" s="167">
        <v>46091.70960494213</v>
      </c>
      <c r="B662" s="25" t="s">
        <v>287</v>
      </c>
      <c r="C662" s="56" t="s">
        <v>1560</v>
      </c>
      <c r="D662" s="167">
        <v>46091.52112493056</v>
      </c>
      <c r="E662" s="37">
        <v>12.0</v>
      </c>
      <c r="F662" s="56" t="s">
        <v>2112</v>
      </c>
      <c r="G662" s="109"/>
      <c r="H662" s="130"/>
      <c r="I662" s="130" t="s">
        <v>288</v>
      </c>
      <c r="J662" s="26" t="s">
        <v>1674</v>
      </c>
      <c r="K662" s="26" t="s">
        <v>1675</v>
      </c>
      <c r="L662" s="26" t="s">
        <v>1566</v>
      </c>
      <c r="M662" s="26" t="s">
        <v>1566</v>
      </c>
      <c r="N662" s="26" t="s">
        <v>1676</v>
      </c>
      <c r="O662" s="26" t="s">
        <v>1677</v>
      </c>
      <c r="P662" s="26" t="s">
        <v>290</v>
      </c>
      <c r="Q662" s="26">
        <v>16.0</v>
      </c>
    </row>
    <row r="663" ht="17.25" customHeight="1">
      <c r="A663" s="167">
        <v>46091.70963997685</v>
      </c>
      <c r="B663" s="2" t="s">
        <v>297</v>
      </c>
      <c r="C663" s="56" t="s">
        <v>1560</v>
      </c>
      <c r="D663" s="167">
        <v>46091.52112493056</v>
      </c>
      <c r="E663" s="37">
        <v>12.0</v>
      </c>
      <c r="F663" s="56" t="s">
        <v>2112</v>
      </c>
      <c r="G663" s="109"/>
      <c r="H663" s="130"/>
      <c r="I663" s="130" t="s">
        <v>298</v>
      </c>
      <c r="J663" s="26" t="s">
        <v>1674</v>
      </c>
      <c r="K663" s="26" t="s">
        <v>1675</v>
      </c>
      <c r="L663" s="26" t="s">
        <v>1566</v>
      </c>
      <c r="M663" s="26" t="s">
        <v>1566</v>
      </c>
      <c r="N663" s="26" t="s">
        <v>1680</v>
      </c>
      <c r="O663" s="26" t="s">
        <v>1677</v>
      </c>
      <c r="P663" s="26" t="s">
        <v>290</v>
      </c>
      <c r="Q663" s="26">
        <v>10.0</v>
      </c>
    </row>
    <row r="664" ht="17.25" customHeight="1">
      <c r="A664" s="167">
        <v>46091.70964151621</v>
      </c>
      <c r="B664" s="2" t="s">
        <v>304</v>
      </c>
      <c r="C664" s="56" t="s">
        <v>1560</v>
      </c>
      <c r="D664" s="167">
        <v>46091.52112493056</v>
      </c>
      <c r="E664" s="37">
        <v>12.0</v>
      </c>
      <c r="F664" s="56" t="s">
        <v>2112</v>
      </c>
      <c r="G664" s="109"/>
      <c r="H664" s="130"/>
      <c r="I664" s="130" t="s">
        <v>306</v>
      </c>
      <c r="J664" s="26" t="s">
        <v>1674</v>
      </c>
      <c r="K664" s="26" t="s">
        <v>1675</v>
      </c>
      <c r="L664" s="26" t="s">
        <v>1566</v>
      </c>
      <c r="M664" s="26" t="s">
        <v>1566</v>
      </c>
      <c r="N664" s="26" t="s">
        <v>1682</v>
      </c>
      <c r="O664" s="26" t="s">
        <v>1677</v>
      </c>
      <c r="P664" s="26" t="s">
        <v>290</v>
      </c>
      <c r="Q664" s="26">
        <v>6.0</v>
      </c>
    </row>
    <row r="665" ht="17.25" customHeight="1">
      <c r="A665" s="167">
        <v>46091.71102462963</v>
      </c>
      <c r="B665" s="25" t="s">
        <v>301</v>
      </c>
      <c r="C665" s="56" t="s">
        <v>1892</v>
      </c>
      <c r="D665" s="167">
        <v>46090.45389560185</v>
      </c>
      <c r="E665" s="37">
        <v>5.0</v>
      </c>
      <c r="F665" s="56"/>
      <c r="G665" s="109"/>
      <c r="H665" s="130"/>
      <c r="I665" s="130" t="s">
        <v>302</v>
      </c>
      <c r="J665" s="26" t="s">
        <v>1830</v>
      </c>
      <c r="K665" s="26" t="s">
        <v>302</v>
      </c>
      <c r="L665" s="26" t="s">
        <v>1566</v>
      </c>
      <c r="M665" s="26" t="s">
        <v>1566</v>
      </c>
      <c r="N665" s="26" t="s">
        <v>1566</v>
      </c>
      <c r="O665" s="26" t="s">
        <v>1566</v>
      </c>
      <c r="P665" s="26" t="s">
        <v>661</v>
      </c>
      <c r="Q665" s="26">
        <v>580.0</v>
      </c>
    </row>
    <row r="666" ht="17.25" customHeight="1">
      <c r="A666" s="167">
        <v>46091.71102462963</v>
      </c>
      <c r="B666" s="25" t="s">
        <v>994</v>
      </c>
      <c r="C666" s="56" t="s">
        <v>1892</v>
      </c>
      <c r="D666" s="167">
        <v>46090.45389560185</v>
      </c>
      <c r="E666" s="37">
        <v>1.0</v>
      </c>
      <c r="F666" s="56" t="s">
        <v>1894</v>
      </c>
      <c r="G666" s="109"/>
      <c r="H666" s="130"/>
      <c r="I666" s="130" t="s">
        <v>995</v>
      </c>
      <c r="J666" s="26" t="s">
        <v>1807</v>
      </c>
      <c r="K666" s="26" t="s">
        <v>1889</v>
      </c>
      <c r="L666" s="26" t="s">
        <v>1566</v>
      </c>
      <c r="M666" s="26" t="s">
        <v>1566</v>
      </c>
      <c r="N666" s="26" t="s">
        <v>1566</v>
      </c>
      <c r="O666" s="26" t="s">
        <v>1566</v>
      </c>
      <c r="P666" s="26" t="s">
        <v>661</v>
      </c>
      <c r="Q666" s="26">
        <v>9.0</v>
      </c>
    </row>
    <row r="667" ht="17.25" customHeight="1">
      <c r="A667" s="167">
        <v>46091.712995486116</v>
      </c>
      <c r="B667" s="25" t="s">
        <v>892</v>
      </c>
      <c r="C667" s="56" t="s">
        <v>1892</v>
      </c>
      <c r="D667" s="167">
        <v>46091.712995486116</v>
      </c>
      <c r="E667" s="37">
        <v>20.0</v>
      </c>
      <c r="F667" s="56" t="s">
        <v>1899</v>
      </c>
      <c r="G667" s="109"/>
      <c r="H667" s="130"/>
      <c r="I667" s="130" t="s">
        <v>893</v>
      </c>
      <c r="J667" s="26" t="s">
        <v>1812</v>
      </c>
      <c r="K667" s="26" t="s">
        <v>1813</v>
      </c>
      <c r="L667" s="26" t="s">
        <v>1566</v>
      </c>
      <c r="M667" s="26" t="s">
        <v>1566</v>
      </c>
      <c r="N667" s="26" t="s">
        <v>1566</v>
      </c>
      <c r="O667" s="26" t="s">
        <v>1809</v>
      </c>
      <c r="P667" s="26" t="s">
        <v>290</v>
      </c>
      <c r="Q667" s="26">
        <v>20.0</v>
      </c>
    </row>
    <row r="668" ht="17.25" customHeight="1">
      <c r="A668" s="167">
        <v>46092.789460451386</v>
      </c>
      <c r="B668" s="23" t="s">
        <v>222</v>
      </c>
      <c r="C668" s="56" t="s">
        <v>1892</v>
      </c>
      <c r="D668" s="167">
        <v>46092.789460451386</v>
      </c>
      <c r="E668" s="37">
        <v>1.0</v>
      </c>
      <c r="F668" s="56" t="s">
        <v>1908</v>
      </c>
      <c r="G668" s="109"/>
      <c r="H668" s="130"/>
      <c r="I668" s="130" t="s">
        <v>230</v>
      </c>
      <c r="J668" s="26" t="s">
        <v>1821</v>
      </c>
      <c r="K668" s="26" t="s">
        <v>1822</v>
      </c>
      <c r="L668" s="26" t="s">
        <v>1828</v>
      </c>
      <c r="M668" s="26" t="s">
        <v>1590</v>
      </c>
      <c r="N668" s="26" t="s">
        <v>1566</v>
      </c>
      <c r="O668" s="26" t="s">
        <v>1566</v>
      </c>
      <c r="P668" s="26" t="s">
        <v>661</v>
      </c>
      <c r="Q668" s="26">
        <v>60.0</v>
      </c>
    </row>
    <row r="669" ht="17.25" customHeight="1">
      <c r="A669" s="167">
        <v>46092.789478715276</v>
      </c>
      <c r="B669" s="23" t="s">
        <v>222</v>
      </c>
      <c r="C669" s="56" t="s">
        <v>1892</v>
      </c>
      <c r="D669" s="167">
        <v>46092.789460451386</v>
      </c>
      <c r="E669" s="37">
        <v>1.0</v>
      </c>
      <c r="F669" s="56" t="s">
        <v>1907</v>
      </c>
      <c r="G669" s="109"/>
      <c r="H669" s="130"/>
      <c r="I669" s="130" t="s">
        <v>230</v>
      </c>
      <c r="J669" s="26" t="s">
        <v>1821</v>
      </c>
      <c r="K669" s="26" t="s">
        <v>1822</v>
      </c>
      <c r="L669" s="26" t="s">
        <v>1828</v>
      </c>
      <c r="M669" s="26" t="s">
        <v>1590</v>
      </c>
      <c r="N669" s="26" t="s">
        <v>1566</v>
      </c>
      <c r="O669" s="26" t="s">
        <v>1566</v>
      </c>
      <c r="P669" s="26" t="s">
        <v>661</v>
      </c>
      <c r="Q669" s="26">
        <v>60.0</v>
      </c>
    </row>
    <row r="670" ht="17.25" customHeight="1">
      <c r="A670" s="167">
        <v>46092.79042763889</v>
      </c>
      <c r="B670" s="25" t="s">
        <v>1940</v>
      </c>
      <c r="C670" s="56" t="s">
        <v>1560</v>
      </c>
      <c r="D670" s="167">
        <v>46092.789460451386</v>
      </c>
      <c r="E670" s="37">
        <v>1270.0</v>
      </c>
      <c r="F670" s="56" t="s">
        <v>1561</v>
      </c>
      <c r="G670" s="109"/>
      <c r="H670" s="130"/>
      <c r="I670" s="130" t="s">
        <v>1941</v>
      </c>
      <c r="J670" s="26" t="s">
        <v>1225</v>
      </c>
      <c r="K670" s="26" t="s">
        <v>1653</v>
      </c>
      <c r="L670" s="26" t="s">
        <v>2099</v>
      </c>
      <c r="M670" s="26" t="s">
        <v>1662</v>
      </c>
      <c r="N670" s="26" t="s">
        <v>1566</v>
      </c>
      <c r="O670" s="26" t="s">
        <v>2100</v>
      </c>
      <c r="P670" s="26" t="s">
        <v>22</v>
      </c>
      <c r="Q670" s="26">
        <v>0.0</v>
      </c>
    </row>
    <row r="671" ht="17.25" customHeight="1">
      <c r="A671" s="167">
        <v>46092.79584362268</v>
      </c>
      <c r="B671" s="25" t="s">
        <v>892</v>
      </c>
      <c r="C671" s="56" t="s">
        <v>1560</v>
      </c>
      <c r="D671" s="167">
        <v>46092.789460451386</v>
      </c>
      <c r="E671" s="37">
        <v>40.0</v>
      </c>
      <c r="F671" s="56" t="s">
        <v>1899</v>
      </c>
      <c r="G671" s="109"/>
      <c r="H671" s="130"/>
      <c r="I671" s="130" t="s">
        <v>893</v>
      </c>
      <c r="J671" s="26" t="s">
        <v>1812</v>
      </c>
      <c r="K671" s="26" t="s">
        <v>1813</v>
      </c>
      <c r="L671" s="26" t="s">
        <v>1566</v>
      </c>
      <c r="M671" s="26" t="s">
        <v>1566</v>
      </c>
      <c r="N671" s="26" t="s">
        <v>1566</v>
      </c>
      <c r="O671" s="26" t="s">
        <v>1809</v>
      </c>
      <c r="P671" s="26" t="s">
        <v>290</v>
      </c>
      <c r="Q671" s="26">
        <v>20.0</v>
      </c>
    </row>
    <row r="672" ht="17.25" customHeight="1">
      <c r="A672" s="167">
        <v>46092.796614074075</v>
      </c>
      <c r="B672" s="25" t="s">
        <v>892</v>
      </c>
      <c r="C672" s="56" t="s">
        <v>1892</v>
      </c>
      <c r="D672" s="167">
        <v>46092.789460451386</v>
      </c>
      <c r="E672" s="37">
        <v>60.0</v>
      </c>
      <c r="F672" s="56" t="s">
        <v>1899</v>
      </c>
      <c r="G672" s="37" t="s">
        <v>2104</v>
      </c>
      <c r="H672" s="130"/>
      <c r="I672" s="130" t="s">
        <v>893</v>
      </c>
      <c r="J672" s="26" t="s">
        <v>1812</v>
      </c>
      <c r="K672" s="26" t="s">
        <v>1813</v>
      </c>
      <c r="L672" s="26" t="s">
        <v>1566</v>
      </c>
      <c r="M672" s="26" t="s">
        <v>1566</v>
      </c>
      <c r="N672" s="26" t="s">
        <v>1566</v>
      </c>
      <c r="O672" s="26" t="s">
        <v>1809</v>
      </c>
      <c r="P672" s="26" t="s">
        <v>290</v>
      </c>
      <c r="Q672" s="26">
        <v>20.0</v>
      </c>
    </row>
    <row r="673" ht="17.25" customHeight="1">
      <c r="A673" s="167">
        <v>46092.79721777778</v>
      </c>
      <c r="B673" s="25" t="s">
        <v>753</v>
      </c>
      <c r="C673" s="56" t="s">
        <v>1892</v>
      </c>
      <c r="D673" s="167">
        <v>46092.789460451386</v>
      </c>
      <c r="E673" s="37">
        <v>20.0</v>
      </c>
      <c r="F673" s="56" t="s">
        <v>1899</v>
      </c>
      <c r="G673" s="109"/>
      <c r="H673" s="130"/>
      <c r="I673" s="130" t="s">
        <v>755</v>
      </c>
      <c r="J673" s="26" t="s">
        <v>1812</v>
      </c>
      <c r="K673" s="26" t="s">
        <v>1815</v>
      </c>
      <c r="L673" s="26" t="s">
        <v>1566</v>
      </c>
      <c r="M673" s="26" t="s">
        <v>1566</v>
      </c>
      <c r="N673" s="26" t="s">
        <v>1566</v>
      </c>
      <c r="O673" s="26" t="s">
        <v>2014</v>
      </c>
      <c r="P673" s="26" t="s">
        <v>290</v>
      </c>
      <c r="Q673" s="26">
        <v>25.0</v>
      </c>
    </row>
    <row r="674" ht="17.25" customHeight="1">
      <c r="A674" s="167">
        <v>46092.797589525464</v>
      </c>
      <c r="B674" s="25" t="s">
        <v>21</v>
      </c>
      <c r="C674" s="56" t="s">
        <v>1560</v>
      </c>
      <c r="D674" s="167">
        <v>46092.789460451386</v>
      </c>
      <c r="E674" s="37">
        <v>20.0</v>
      </c>
      <c r="F674" s="56" t="s">
        <v>1899</v>
      </c>
      <c r="G674" s="109"/>
      <c r="H674" s="130"/>
      <c r="I674" s="130" t="s">
        <v>23</v>
      </c>
      <c r="J674" s="26" t="s">
        <v>1812</v>
      </c>
      <c r="K674" s="26" t="s">
        <v>1815</v>
      </c>
      <c r="L674" s="26" t="s">
        <v>1566</v>
      </c>
      <c r="M674" s="26" t="s">
        <v>1566</v>
      </c>
      <c r="N674" s="26" t="s">
        <v>1566</v>
      </c>
      <c r="O674" s="26" t="s">
        <v>1818</v>
      </c>
      <c r="P674" s="26" t="s">
        <v>616</v>
      </c>
      <c r="Q674" s="26">
        <v>20.0</v>
      </c>
    </row>
    <row r="675" ht="17.25" customHeight="1">
      <c r="A675" s="167">
        <v>46092.798981527776</v>
      </c>
      <c r="B675" s="172" t="s">
        <v>1944</v>
      </c>
      <c r="C675" s="56" t="s">
        <v>1560</v>
      </c>
      <c r="D675" s="167">
        <v>46092.789460451386</v>
      </c>
      <c r="E675" s="37">
        <v>1.0</v>
      </c>
      <c r="F675" s="56" t="s">
        <v>1673</v>
      </c>
      <c r="G675" s="109"/>
      <c r="H675" s="130"/>
      <c r="I675" s="130" t="s">
        <v>1945</v>
      </c>
      <c r="J675" s="26" t="s">
        <v>1674</v>
      </c>
      <c r="K675" s="26" t="s">
        <v>1691</v>
      </c>
      <c r="L675" s="26" t="s">
        <v>1566</v>
      </c>
      <c r="M675" s="26" t="s">
        <v>1566</v>
      </c>
      <c r="N675" s="26" t="s">
        <v>2103</v>
      </c>
      <c r="O675" s="26" t="s">
        <v>1566</v>
      </c>
      <c r="P675" s="26" t="s">
        <v>290</v>
      </c>
      <c r="Q675" s="26">
        <v>0.0</v>
      </c>
    </row>
    <row r="676" ht="17.25" customHeight="1">
      <c r="A676" s="167">
        <v>46092.80994976852</v>
      </c>
      <c r="B676" s="23" t="s">
        <v>301</v>
      </c>
      <c r="C676" s="56" t="s">
        <v>1892</v>
      </c>
      <c r="D676" s="167">
        <v>46092.789460451386</v>
      </c>
      <c r="E676" s="37">
        <v>10.0</v>
      </c>
      <c r="F676" s="56" t="s">
        <v>1899</v>
      </c>
      <c r="G676" s="109"/>
      <c r="H676" s="130"/>
      <c r="I676" s="130" t="s">
        <v>302</v>
      </c>
      <c r="J676" s="26" t="s">
        <v>1830</v>
      </c>
      <c r="K676" s="26" t="s">
        <v>302</v>
      </c>
      <c r="L676" s="26" t="s">
        <v>1566</v>
      </c>
      <c r="M676" s="26" t="s">
        <v>1566</v>
      </c>
      <c r="N676" s="26" t="s">
        <v>1566</v>
      </c>
      <c r="O676" s="26" t="s">
        <v>1566</v>
      </c>
      <c r="P676" s="26" t="s">
        <v>661</v>
      </c>
      <c r="Q676" s="26">
        <v>580.0</v>
      </c>
    </row>
    <row r="677" ht="17.25" customHeight="1">
      <c r="A677" s="167">
        <v>46092.81003199074</v>
      </c>
      <c r="B677" s="23" t="s">
        <v>301</v>
      </c>
      <c r="C677" s="56" t="s">
        <v>1892</v>
      </c>
      <c r="D677" s="167">
        <v>46092.789460451386</v>
      </c>
      <c r="E677" s="37">
        <v>4.0</v>
      </c>
      <c r="F677" s="56" t="s">
        <v>2115</v>
      </c>
      <c r="G677" s="109"/>
      <c r="H677" s="130"/>
      <c r="I677" s="130" t="s">
        <v>302</v>
      </c>
      <c r="J677" s="26" t="s">
        <v>1830</v>
      </c>
      <c r="K677" s="26" t="s">
        <v>302</v>
      </c>
      <c r="L677" s="26" t="s">
        <v>1566</v>
      </c>
      <c r="M677" s="26" t="s">
        <v>1566</v>
      </c>
      <c r="N677" s="26" t="s">
        <v>1566</v>
      </c>
      <c r="O677" s="26" t="s">
        <v>1566</v>
      </c>
      <c r="P677" s="26" t="s">
        <v>661</v>
      </c>
      <c r="Q677" s="26">
        <v>580.0</v>
      </c>
    </row>
    <row r="678" ht="17.25" customHeight="1">
      <c r="A678" s="167">
        <v>46092.812716851855</v>
      </c>
      <c r="B678" s="27" t="s">
        <v>975</v>
      </c>
      <c r="C678" s="56" t="s">
        <v>1560</v>
      </c>
      <c r="D678" s="167">
        <v>46092.789460451386</v>
      </c>
      <c r="E678" s="37">
        <v>50.0</v>
      </c>
      <c r="F678" s="56" t="s">
        <v>1673</v>
      </c>
      <c r="G678" s="109"/>
      <c r="H678" s="130"/>
      <c r="I678" s="130" t="s">
        <v>976</v>
      </c>
      <c r="J678" s="26" t="s">
        <v>1830</v>
      </c>
      <c r="K678" s="26" t="s">
        <v>1642</v>
      </c>
      <c r="L678" s="26" t="s">
        <v>1566</v>
      </c>
      <c r="M678" s="26" t="s">
        <v>1566</v>
      </c>
      <c r="N678" s="26" t="s">
        <v>1566</v>
      </c>
      <c r="O678" s="26" t="s">
        <v>1566</v>
      </c>
      <c r="P678" s="26" t="s">
        <v>661</v>
      </c>
      <c r="Q678" s="26">
        <v>80.0</v>
      </c>
    </row>
    <row r="679" ht="17.25" customHeight="1">
      <c r="A679" s="167">
        <v>46093.44831284722</v>
      </c>
      <c r="B679" s="25" t="s">
        <v>701</v>
      </c>
      <c r="C679" s="56" t="s">
        <v>1892</v>
      </c>
      <c r="D679" s="167">
        <v>46083.0</v>
      </c>
      <c r="E679" s="37">
        <v>288.0</v>
      </c>
      <c r="F679" s="56" t="s">
        <v>1561</v>
      </c>
      <c r="G679" s="37" t="s">
        <v>1898</v>
      </c>
      <c r="H679" s="130"/>
      <c r="I679" s="130" t="s">
        <v>702</v>
      </c>
      <c r="J679" s="26" t="s">
        <v>1225</v>
      </c>
      <c r="K679" s="26" t="s">
        <v>1653</v>
      </c>
      <c r="L679" s="26" t="s">
        <v>1563</v>
      </c>
      <c r="M679" s="26" t="s">
        <v>1572</v>
      </c>
      <c r="N679" s="26" t="s">
        <v>1566</v>
      </c>
      <c r="O679" s="26" t="s">
        <v>1978</v>
      </c>
      <c r="P679" s="26" t="s">
        <v>22</v>
      </c>
      <c r="Q679" s="26">
        <v>0.0</v>
      </c>
    </row>
    <row r="680" ht="17.25" customHeight="1">
      <c r="A680" s="167">
        <v>46093.50648428241</v>
      </c>
      <c r="B680" s="23" t="s">
        <v>359</v>
      </c>
      <c r="C680" s="56" t="s">
        <v>1892</v>
      </c>
      <c r="D680" s="167">
        <v>46093.50648428241</v>
      </c>
      <c r="E680" s="37">
        <v>5.0</v>
      </c>
      <c r="F680" s="56" t="s">
        <v>1894</v>
      </c>
      <c r="G680" s="109"/>
      <c r="H680" s="130"/>
      <c r="I680" s="130" t="s">
        <v>370</v>
      </c>
      <c r="J680" s="26" t="s">
        <v>370</v>
      </c>
      <c r="K680" s="26" t="s">
        <v>370</v>
      </c>
      <c r="L680" s="26" t="s">
        <v>1566</v>
      </c>
      <c r="M680" s="26" t="s">
        <v>1566</v>
      </c>
      <c r="N680" s="26" t="s">
        <v>1566</v>
      </c>
      <c r="O680" s="26" t="s">
        <v>1566</v>
      </c>
      <c r="P680" s="26" t="s">
        <v>661</v>
      </c>
      <c r="Q680" s="26">
        <v>100.0</v>
      </c>
    </row>
    <row r="681" ht="17.25" customHeight="1">
      <c r="A681" s="167">
        <v>46093.72699141204</v>
      </c>
      <c r="B681" s="23" t="s">
        <v>876</v>
      </c>
      <c r="C681" s="56" t="s">
        <v>1892</v>
      </c>
      <c r="D681" s="167">
        <v>46093.50648428241</v>
      </c>
      <c r="E681" s="37">
        <v>4.0</v>
      </c>
      <c r="F681" s="56" t="s">
        <v>1907</v>
      </c>
      <c r="G681" s="109"/>
      <c r="H681" s="130"/>
      <c r="I681" s="130" t="s">
        <v>878</v>
      </c>
      <c r="J681" s="26" t="s">
        <v>1830</v>
      </c>
      <c r="K681" s="26" t="s">
        <v>1879</v>
      </c>
      <c r="L681" s="26" t="s">
        <v>1566</v>
      </c>
      <c r="M681" s="26" t="s">
        <v>1566</v>
      </c>
      <c r="N681" s="26" t="s">
        <v>1566</v>
      </c>
      <c r="O681" s="26" t="s">
        <v>1566</v>
      </c>
      <c r="P681" s="26" t="s">
        <v>643</v>
      </c>
      <c r="Q681" s="26">
        <v>34.0</v>
      </c>
    </row>
    <row r="682" ht="17.25" customHeight="1">
      <c r="A682" s="167">
        <v>46093.72717486111</v>
      </c>
      <c r="B682" s="23" t="s">
        <v>222</v>
      </c>
      <c r="C682" s="56" t="s">
        <v>1892</v>
      </c>
      <c r="D682" s="167">
        <v>46093.50648428241</v>
      </c>
      <c r="E682" s="37">
        <v>4.0</v>
      </c>
      <c r="F682" s="56" t="s">
        <v>1907</v>
      </c>
      <c r="G682" s="109"/>
      <c r="H682" s="130"/>
      <c r="I682" s="130" t="s">
        <v>230</v>
      </c>
      <c r="J682" s="26" t="s">
        <v>1821</v>
      </c>
      <c r="K682" s="26" t="s">
        <v>1822</v>
      </c>
      <c r="L682" s="26" t="s">
        <v>1828</v>
      </c>
      <c r="M682" s="26" t="s">
        <v>1590</v>
      </c>
      <c r="N682" s="26" t="s">
        <v>1566</v>
      </c>
      <c r="O682" s="26" t="s">
        <v>1566</v>
      </c>
      <c r="P682" s="26" t="s">
        <v>661</v>
      </c>
      <c r="Q682" s="26">
        <v>60.0</v>
      </c>
    </row>
    <row r="683" ht="17.25" customHeight="1">
      <c r="A683" s="167">
        <v>46093.76471207176</v>
      </c>
      <c r="B683" s="25" t="s">
        <v>1710</v>
      </c>
      <c r="C683" s="56" t="s">
        <v>1560</v>
      </c>
      <c r="D683" s="190">
        <v>46093.42314814815</v>
      </c>
      <c r="E683" s="37">
        <v>1800.0</v>
      </c>
      <c r="F683" s="56" t="s">
        <v>1561</v>
      </c>
      <c r="G683" s="109"/>
      <c r="H683" s="130"/>
      <c r="I683" s="130" t="s">
        <v>1711</v>
      </c>
      <c r="J683" s="26" t="s">
        <v>1225</v>
      </c>
      <c r="K683" s="26" t="s">
        <v>1562</v>
      </c>
      <c r="L683" s="26" t="s">
        <v>1633</v>
      </c>
      <c r="M683" s="26" t="s">
        <v>1564</v>
      </c>
      <c r="N683" s="26" t="s">
        <v>1566</v>
      </c>
      <c r="O683" s="26" t="s">
        <v>1566</v>
      </c>
      <c r="P683" s="26" t="s">
        <v>22</v>
      </c>
      <c r="Q683" s="26">
        <v>0.0</v>
      </c>
    </row>
    <row r="684" ht="17.25" customHeight="1">
      <c r="A684" s="167">
        <v>46093.76542738426</v>
      </c>
      <c r="B684" s="25" t="s">
        <v>1710</v>
      </c>
      <c r="C684" s="56" t="s">
        <v>1892</v>
      </c>
      <c r="D684" s="167">
        <v>46093.50648428241</v>
      </c>
      <c r="E684" s="37">
        <v>1800.0</v>
      </c>
      <c r="F684" s="56" t="s">
        <v>1561</v>
      </c>
      <c r="G684" s="37">
        <v>623.0</v>
      </c>
      <c r="H684" s="130"/>
      <c r="I684" s="130" t="s">
        <v>1711</v>
      </c>
      <c r="J684" s="26" t="s">
        <v>1225</v>
      </c>
      <c r="K684" s="26" t="s">
        <v>1562</v>
      </c>
      <c r="L684" s="26" t="s">
        <v>1633</v>
      </c>
      <c r="M684" s="26" t="s">
        <v>1564</v>
      </c>
      <c r="N684" s="26" t="s">
        <v>1566</v>
      </c>
      <c r="O684" s="26" t="s">
        <v>1566</v>
      </c>
      <c r="P684" s="26" t="s">
        <v>22</v>
      </c>
      <c r="Q684" s="26">
        <v>0.0</v>
      </c>
    </row>
    <row r="685" ht="17.25" customHeight="1">
      <c r="A685" s="167">
        <v>46093.76706295139</v>
      </c>
      <c r="B685" s="172" t="s">
        <v>1055</v>
      </c>
      <c r="C685" s="56" t="s">
        <v>1560</v>
      </c>
      <c r="D685" s="167">
        <v>46093.50648428241</v>
      </c>
      <c r="E685" s="37">
        <v>1200.0</v>
      </c>
      <c r="F685" s="56" t="s">
        <v>1561</v>
      </c>
      <c r="H685" s="130"/>
      <c r="I685" s="130" t="s">
        <v>1056</v>
      </c>
      <c r="J685" s="26" t="s">
        <v>1225</v>
      </c>
      <c r="K685" s="26" t="s">
        <v>1562</v>
      </c>
      <c r="L685" s="26" t="s">
        <v>1584</v>
      </c>
      <c r="M685" s="26" t="s">
        <v>1564</v>
      </c>
      <c r="N685" s="26" t="s">
        <v>1566</v>
      </c>
      <c r="O685" s="26" t="s">
        <v>1566</v>
      </c>
      <c r="P685" s="26" t="s">
        <v>22</v>
      </c>
      <c r="Q685" s="26">
        <v>300.0</v>
      </c>
    </row>
    <row r="686" ht="17.25" customHeight="1">
      <c r="A686" s="167">
        <v>46093.77836460648</v>
      </c>
      <c r="B686" s="172" t="s">
        <v>1946</v>
      </c>
      <c r="C686" s="56" t="s">
        <v>1560</v>
      </c>
      <c r="D686" s="167">
        <v>46093.50648428241</v>
      </c>
      <c r="E686" s="37">
        <v>1440.0</v>
      </c>
      <c r="F686" s="56" t="s">
        <v>1561</v>
      </c>
      <c r="G686" s="37" t="s">
        <v>2119</v>
      </c>
      <c r="H686" s="130"/>
      <c r="I686" s="130" t="s">
        <v>1947</v>
      </c>
      <c r="J686" s="26" t="s">
        <v>1225</v>
      </c>
      <c r="K686" s="26" t="s">
        <v>1653</v>
      </c>
      <c r="L686" s="26" t="s">
        <v>1603</v>
      </c>
      <c r="M686" s="26" t="s">
        <v>1595</v>
      </c>
      <c r="N686" s="26" t="s">
        <v>1566</v>
      </c>
      <c r="O686" s="26" t="s">
        <v>1661</v>
      </c>
      <c r="P686" s="26" t="s">
        <v>22</v>
      </c>
      <c r="Q686" s="26">
        <v>0.0</v>
      </c>
    </row>
    <row r="687" ht="17.25" customHeight="1">
      <c r="A687" s="167">
        <v>46094.477924872685</v>
      </c>
      <c r="B687" s="172" t="s">
        <v>1944</v>
      </c>
      <c r="C687" s="56" t="s">
        <v>1892</v>
      </c>
      <c r="D687" s="167">
        <v>46094.477924872685</v>
      </c>
      <c r="E687" s="56">
        <v>1.0</v>
      </c>
      <c r="F687" s="56" t="s">
        <v>1899</v>
      </c>
      <c r="G687" s="109"/>
      <c r="H687" s="130"/>
      <c r="I687" s="130" t="s">
        <v>1945</v>
      </c>
      <c r="J687" s="26" t="s">
        <v>1674</v>
      </c>
      <c r="K687" s="26" t="s">
        <v>1691</v>
      </c>
      <c r="L687" s="26" t="s">
        <v>1566</v>
      </c>
      <c r="M687" s="26" t="s">
        <v>1566</v>
      </c>
      <c r="N687" s="26" t="s">
        <v>2103</v>
      </c>
      <c r="O687" s="26" t="s">
        <v>1566</v>
      </c>
      <c r="P687" s="26" t="s">
        <v>290</v>
      </c>
      <c r="Q687" s="26">
        <v>0.0</v>
      </c>
    </row>
    <row r="688" ht="17.25" customHeight="1">
      <c r="A688" s="167">
        <v>46094.49633743055</v>
      </c>
      <c r="B688" s="23" t="s">
        <v>692</v>
      </c>
      <c r="C688" s="56" t="s">
        <v>1892</v>
      </c>
      <c r="D688" s="167">
        <v>46094.477924872685</v>
      </c>
      <c r="E688" s="37">
        <v>1.0</v>
      </c>
      <c r="F688" s="56" t="s">
        <v>1899</v>
      </c>
      <c r="G688" s="109"/>
      <c r="H688" s="130"/>
      <c r="I688" s="130" t="s">
        <v>693</v>
      </c>
      <c r="J688" s="26" t="s">
        <v>1821</v>
      </c>
      <c r="K688" s="26" t="s">
        <v>1822</v>
      </c>
      <c r="L688" s="26" t="s">
        <v>1827</v>
      </c>
      <c r="M688" s="26" t="s">
        <v>1566</v>
      </c>
      <c r="N688" s="26" t="s">
        <v>1566</v>
      </c>
      <c r="O688" s="26" t="s">
        <v>1566</v>
      </c>
      <c r="P688" s="26" t="s">
        <v>661</v>
      </c>
      <c r="Q688" s="26">
        <v>1.0</v>
      </c>
    </row>
    <row r="689" ht="17.25" customHeight="1">
      <c r="A689" s="167">
        <v>46094.49665615741</v>
      </c>
      <c r="B689" s="25" t="s">
        <v>312</v>
      </c>
      <c r="C689" s="56" t="s">
        <v>1892</v>
      </c>
      <c r="D689" s="167">
        <v>46094.477924872685</v>
      </c>
      <c r="E689" s="37">
        <v>6.0</v>
      </c>
      <c r="F689" s="56" t="s">
        <v>1894</v>
      </c>
      <c r="G689" s="109"/>
      <c r="H689" s="130"/>
      <c r="I689" s="130" t="s">
        <v>319</v>
      </c>
      <c r="J689" s="26" t="s">
        <v>1821</v>
      </c>
      <c r="K689" s="26" t="s">
        <v>1822</v>
      </c>
      <c r="L689" s="26" t="s">
        <v>1566</v>
      </c>
      <c r="M689" s="26" t="s">
        <v>1566</v>
      </c>
      <c r="N689" s="26" t="s">
        <v>1566</v>
      </c>
      <c r="O689" s="26" t="s">
        <v>1829</v>
      </c>
      <c r="P689" s="26" t="s">
        <v>661</v>
      </c>
      <c r="Q689" s="26">
        <v>17.0</v>
      </c>
    </row>
    <row r="690" ht="17.25" customHeight="1">
      <c r="A690" s="167">
        <v>46094.49687931713</v>
      </c>
      <c r="B690" s="23" t="s">
        <v>876</v>
      </c>
      <c r="C690" s="56" t="s">
        <v>1892</v>
      </c>
      <c r="D690" s="167">
        <v>46094.477924872685</v>
      </c>
      <c r="E690" s="37">
        <v>4.0</v>
      </c>
      <c r="F690" s="56" t="s">
        <v>1907</v>
      </c>
      <c r="G690" s="109"/>
      <c r="H690" s="130"/>
      <c r="I690" s="130" t="s">
        <v>878</v>
      </c>
      <c r="J690" s="26" t="s">
        <v>1830</v>
      </c>
      <c r="K690" s="26" t="s">
        <v>1879</v>
      </c>
      <c r="L690" s="26" t="s">
        <v>1566</v>
      </c>
      <c r="M690" s="26" t="s">
        <v>1566</v>
      </c>
      <c r="N690" s="26" t="s">
        <v>1566</v>
      </c>
      <c r="O690" s="26" t="s">
        <v>1566</v>
      </c>
      <c r="P690" s="26" t="s">
        <v>643</v>
      </c>
      <c r="Q690" s="26">
        <v>34.0</v>
      </c>
    </row>
    <row r="691" ht="17.25" customHeight="1">
      <c r="A691" s="167">
        <v>46094.4973356713</v>
      </c>
      <c r="B691" s="23" t="s">
        <v>301</v>
      </c>
      <c r="C691" s="56" t="s">
        <v>1892</v>
      </c>
      <c r="D691" s="167">
        <v>46094.477924872685</v>
      </c>
      <c r="E691" s="37">
        <v>15.0</v>
      </c>
      <c r="F691" s="56" t="s">
        <v>1899</v>
      </c>
      <c r="G691" s="109"/>
      <c r="H691" s="130"/>
      <c r="I691" s="130" t="s">
        <v>302</v>
      </c>
      <c r="J691" s="26" t="s">
        <v>1830</v>
      </c>
      <c r="K691" s="26" t="s">
        <v>302</v>
      </c>
      <c r="L691" s="26" t="s">
        <v>1566</v>
      </c>
      <c r="M691" s="26" t="s">
        <v>1566</v>
      </c>
      <c r="N691" s="26" t="s">
        <v>1566</v>
      </c>
      <c r="O691" s="26" t="s">
        <v>1566</v>
      </c>
      <c r="P691" s="26" t="s">
        <v>661</v>
      </c>
      <c r="Q691" s="26">
        <v>580.0</v>
      </c>
    </row>
    <row r="692" ht="17.25" customHeight="1">
      <c r="A692" s="167">
        <v>46094.497619340276</v>
      </c>
      <c r="B692" s="23" t="s">
        <v>301</v>
      </c>
      <c r="C692" s="56" t="s">
        <v>1892</v>
      </c>
      <c r="D692" s="167">
        <v>46094.477924872685</v>
      </c>
      <c r="E692" s="37">
        <v>5.0</v>
      </c>
      <c r="F692" s="90"/>
      <c r="G692" s="109"/>
      <c r="H692" s="130"/>
      <c r="I692" s="130" t="s">
        <v>302</v>
      </c>
      <c r="J692" s="26" t="s">
        <v>1830</v>
      </c>
      <c r="K692" s="26" t="s">
        <v>302</v>
      </c>
      <c r="L692" s="26" t="s">
        <v>1566</v>
      </c>
      <c r="M692" s="26" t="s">
        <v>1566</v>
      </c>
      <c r="N692" s="26" t="s">
        <v>1566</v>
      </c>
      <c r="O692" s="26" t="s">
        <v>1566</v>
      </c>
      <c r="P692" s="26" t="s">
        <v>661</v>
      </c>
      <c r="Q692" s="26">
        <v>580.0</v>
      </c>
    </row>
    <row r="693" ht="17.25" customHeight="1">
      <c r="A693" s="167">
        <v>46094.497820069446</v>
      </c>
      <c r="B693" s="25" t="s">
        <v>1710</v>
      </c>
      <c r="C693" s="56" t="s">
        <v>1560</v>
      </c>
      <c r="D693" s="190">
        <v>46093.769594907404</v>
      </c>
      <c r="E693" s="37">
        <v>3000.0</v>
      </c>
      <c r="F693" s="56" t="s">
        <v>1561</v>
      </c>
      <c r="G693" s="37" t="s">
        <v>2123</v>
      </c>
      <c r="H693" s="130"/>
      <c r="I693" s="130" t="s">
        <v>1711</v>
      </c>
      <c r="J693" s="26" t="s">
        <v>1225</v>
      </c>
      <c r="K693" s="26" t="s">
        <v>1562</v>
      </c>
      <c r="L693" s="26" t="s">
        <v>1633</v>
      </c>
      <c r="M693" s="26" t="s">
        <v>1564</v>
      </c>
      <c r="N693" s="26" t="s">
        <v>1566</v>
      </c>
      <c r="O693" s="26" t="s">
        <v>1566</v>
      </c>
      <c r="P693" s="26" t="s">
        <v>22</v>
      </c>
      <c r="Q693" s="26">
        <v>0.0</v>
      </c>
    </row>
    <row r="694" ht="17.25" customHeight="1">
      <c r="A694" s="167">
        <v>46094.499406539355</v>
      </c>
      <c r="B694" s="172" t="s">
        <v>1713</v>
      </c>
      <c r="C694" s="56" t="s">
        <v>1560</v>
      </c>
      <c r="D694" s="190">
        <v>46093.769594907404</v>
      </c>
      <c r="E694" s="37">
        <v>5475.0</v>
      </c>
      <c r="F694" s="56" t="s">
        <v>1561</v>
      </c>
      <c r="G694" s="109"/>
      <c r="H694" s="130"/>
      <c r="I694" s="130" t="s">
        <v>1714</v>
      </c>
      <c r="J694" s="26" t="s">
        <v>1225</v>
      </c>
      <c r="K694" s="26" t="s">
        <v>1562</v>
      </c>
      <c r="L694" s="26" t="s">
        <v>2105</v>
      </c>
      <c r="M694" s="26" t="s">
        <v>1564</v>
      </c>
      <c r="N694" s="26" t="s">
        <v>1566</v>
      </c>
      <c r="O694" s="26" t="s">
        <v>1566</v>
      </c>
      <c r="P694" s="26" t="s">
        <v>22</v>
      </c>
      <c r="Q694" s="26">
        <v>0.0</v>
      </c>
    </row>
    <row r="695" ht="17.25" customHeight="1">
      <c r="A695" s="167">
        <v>46094.50010818287</v>
      </c>
      <c r="B695" s="25" t="s">
        <v>21</v>
      </c>
      <c r="C695" s="56" t="s">
        <v>1892</v>
      </c>
      <c r="D695" s="167">
        <v>46094.50010818287</v>
      </c>
      <c r="E695" s="37">
        <v>20.0</v>
      </c>
      <c r="F695" s="56" t="s">
        <v>2082</v>
      </c>
      <c r="G695" s="109"/>
      <c r="H695" s="130"/>
      <c r="I695" s="130" t="s">
        <v>23</v>
      </c>
      <c r="J695" s="26" t="s">
        <v>1812</v>
      </c>
      <c r="K695" s="26" t="s">
        <v>1815</v>
      </c>
      <c r="L695" s="26" t="s">
        <v>1566</v>
      </c>
      <c r="M695" s="26" t="s">
        <v>1566</v>
      </c>
      <c r="N695" s="26" t="s">
        <v>1566</v>
      </c>
      <c r="O695" s="26" t="s">
        <v>1818</v>
      </c>
      <c r="P695" s="26" t="s">
        <v>616</v>
      </c>
      <c r="Q695" s="26">
        <v>20.0</v>
      </c>
    </row>
    <row r="696" ht="17.25" customHeight="1">
      <c r="A696" s="167">
        <v>46094.50075961805</v>
      </c>
      <c r="B696" s="25" t="s">
        <v>562</v>
      </c>
      <c r="C696" s="56" t="s">
        <v>1892</v>
      </c>
      <c r="D696" s="167">
        <v>46094.50010818287</v>
      </c>
      <c r="E696" s="37">
        <v>1.0</v>
      </c>
      <c r="F696" s="56" t="s">
        <v>2082</v>
      </c>
      <c r="G696" s="109"/>
      <c r="H696" s="130"/>
      <c r="I696" s="130" t="s">
        <v>567</v>
      </c>
      <c r="J696" s="26" t="s">
        <v>1812</v>
      </c>
      <c r="K696" s="26" t="s">
        <v>1815</v>
      </c>
      <c r="L696" s="26" t="s">
        <v>1566</v>
      </c>
      <c r="M696" s="26" t="s">
        <v>1566</v>
      </c>
      <c r="N696" s="26" t="s">
        <v>1566</v>
      </c>
      <c r="O696" s="26" t="s">
        <v>1838</v>
      </c>
      <c r="P696" s="26" t="s">
        <v>616</v>
      </c>
      <c r="Q696" s="26">
        <v>4.0</v>
      </c>
    </row>
    <row r="697" ht="17.25" customHeight="1">
      <c r="A697" s="167">
        <v>46094.67967509259</v>
      </c>
      <c r="B697" s="172" t="s">
        <v>1948</v>
      </c>
      <c r="C697" s="56" t="s">
        <v>1560</v>
      </c>
      <c r="D697" s="167">
        <v>46094.50010818287</v>
      </c>
      <c r="E697" s="37">
        <v>2.0</v>
      </c>
      <c r="F697" s="56" t="s">
        <v>1673</v>
      </c>
      <c r="G697" s="109"/>
      <c r="H697" s="130"/>
      <c r="I697" s="130" t="s">
        <v>1949</v>
      </c>
      <c r="J697" s="26" t="s">
        <v>1674</v>
      </c>
      <c r="K697" s="26" t="s">
        <v>1691</v>
      </c>
      <c r="L697" s="26" t="s">
        <v>1566</v>
      </c>
      <c r="M697" s="26" t="s">
        <v>1566</v>
      </c>
      <c r="N697" s="26" t="s">
        <v>1566</v>
      </c>
      <c r="O697" s="26" t="s">
        <v>1566</v>
      </c>
      <c r="P697" s="26" t="s">
        <v>290</v>
      </c>
      <c r="Q697" s="26">
        <v>0.0</v>
      </c>
    </row>
    <row r="698" ht="17.25" customHeight="1">
      <c r="A698" s="167">
        <v>46095.52385266204</v>
      </c>
      <c r="B698" s="172" t="s">
        <v>1948</v>
      </c>
      <c r="C698" s="56" t="s">
        <v>1892</v>
      </c>
      <c r="D698" s="167">
        <v>46095.52385266204</v>
      </c>
      <c r="E698" s="37">
        <v>2.0</v>
      </c>
      <c r="F698" s="56" t="s">
        <v>1899</v>
      </c>
      <c r="G698" s="109"/>
      <c r="H698" s="130"/>
      <c r="I698" s="130" t="s">
        <v>1949</v>
      </c>
      <c r="J698" s="26" t="s">
        <v>1674</v>
      </c>
      <c r="K698" s="26" t="s">
        <v>1691</v>
      </c>
      <c r="L698" s="26" t="s">
        <v>1566</v>
      </c>
      <c r="M698" s="26" t="s">
        <v>1566</v>
      </c>
      <c r="N698" s="26" t="s">
        <v>1566</v>
      </c>
      <c r="O698" s="26" t="s">
        <v>1566</v>
      </c>
      <c r="P698" s="26" t="s">
        <v>290</v>
      </c>
      <c r="Q698" s="26">
        <v>0.0</v>
      </c>
    </row>
    <row r="699" ht="17.25" customHeight="1">
      <c r="A699" s="167">
        <v>46095.52418076389</v>
      </c>
      <c r="B699" s="23" t="s">
        <v>301</v>
      </c>
      <c r="C699" s="56" t="s">
        <v>1892</v>
      </c>
      <c r="D699" s="167">
        <v>46095.52385266204</v>
      </c>
      <c r="E699" s="37">
        <v>2.0</v>
      </c>
      <c r="F699" s="56" t="s">
        <v>1561</v>
      </c>
      <c r="G699" s="109"/>
      <c r="H699" s="130"/>
      <c r="I699" s="130" t="s">
        <v>302</v>
      </c>
      <c r="J699" s="26" t="s">
        <v>1830</v>
      </c>
      <c r="K699" s="26" t="s">
        <v>302</v>
      </c>
      <c r="L699" s="26" t="s">
        <v>1566</v>
      </c>
      <c r="M699" s="26" t="s">
        <v>1566</v>
      </c>
      <c r="N699" s="26" t="s">
        <v>1566</v>
      </c>
      <c r="O699" s="26" t="s">
        <v>1566</v>
      </c>
      <c r="P699" s="26" t="s">
        <v>661</v>
      </c>
      <c r="Q699" s="26">
        <v>580.0</v>
      </c>
    </row>
    <row r="700" ht="17.25" customHeight="1">
      <c r="A700" s="167">
        <v>46095.524947048616</v>
      </c>
      <c r="B700" s="27" t="s">
        <v>748</v>
      </c>
      <c r="C700" s="56" t="s">
        <v>1892</v>
      </c>
      <c r="D700" s="167">
        <v>46095.52385266204</v>
      </c>
      <c r="E700" s="37">
        <v>1.0</v>
      </c>
      <c r="F700" s="56" t="s">
        <v>1899</v>
      </c>
      <c r="G700" s="109"/>
      <c r="H700" s="130"/>
      <c r="I700" s="130" t="s">
        <v>749</v>
      </c>
      <c r="J700" s="26" t="s">
        <v>1821</v>
      </c>
      <c r="K700" s="26" t="s">
        <v>1822</v>
      </c>
      <c r="L700" s="26" t="s">
        <v>1566</v>
      </c>
      <c r="M700" s="26" t="s">
        <v>1566</v>
      </c>
      <c r="N700" s="26" t="s">
        <v>1566</v>
      </c>
      <c r="O700" s="26" t="s">
        <v>1566</v>
      </c>
      <c r="P700" s="26" t="s">
        <v>661</v>
      </c>
      <c r="Q700" s="26">
        <v>1.0</v>
      </c>
    </row>
    <row r="701" ht="17.25" customHeight="1">
      <c r="A701" s="167">
        <v>46095.52503552083</v>
      </c>
      <c r="B701" s="27" t="s">
        <v>748</v>
      </c>
      <c r="C701" s="56" t="s">
        <v>1892</v>
      </c>
      <c r="D701" s="173">
        <v>46083.0</v>
      </c>
      <c r="E701" s="37">
        <v>1.0</v>
      </c>
      <c r="F701" s="56" t="s">
        <v>1899</v>
      </c>
      <c r="G701" s="37" t="s">
        <v>1898</v>
      </c>
      <c r="H701" s="130"/>
      <c r="I701" s="130" t="s">
        <v>749</v>
      </c>
      <c r="J701" s="26" t="s">
        <v>1821</v>
      </c>
      <c r="K701" s="26" t="s">
        <v>1822</v>
      </c>
      <c r="L701" s="26" t="s">
        <v>1566</v>
      </c>
      <c r="M701" s="26" t="s">
        <v>1566</v>
      </c>
      <c r="N701" s="26" t="s">
        <v>1566</v>
      </c>
      <c r="O701" s="26" t="s">
        <v>1566</v>
      </c>
      <c r="P701" s="26" t="s">
        <v>661</v>
      </c>
      <c r="Q701" s="26">
        <v>1.0</v>
      </c>
    </row>
    <row r="702" ht="17.25" customHeight="1">
      <c r="A702" s="167">
        <v>46095.52516290509</v>
      </c>
      <c r="B702" s="23" t="s">
        <v>301</v>
      </c>
      <c r="C702" s="56" t="s">
        <v>1892</v>
      </c>
      <c r="D702" s="167">
        <v>46095.52385266204</v>
      </c>
      <c r="E702" s="37">
        <v>5.0</v>
      </c>
      <c r="F702" s="56" t="s">
        <v>2124</v>
      </c>
      <c r="G702" s="37"/>
      <c r="H702" s="130"/>
      <c r="I702" s="130" t="s">
        <v>302</v>
      </c>
      <c r="J702" s="26" t="s">
        <v>1830</v>
      </c>
      <c r="K702" s="26" t="s">
        <v>302</v>
      </c>
      <c r="L702" s="26" t="s">
        <v>1566</v>
      </c>
      <c r="M702" s="26" t="s">
        <v>1566</v>
      </c>
      <c r="N702" s="26" t="s">
        <v>1566</v>
      </c>
      <c r="O702" s="26" t="s">
        <v>1566</v>
      </c>
      <c r="P702" s="26" t="s">
        <v>661</v>
      </c>
      <c r="Q702" s="26">
        <v>580.0</v>
      </c>
    </row>
    <row r="703" ht="17.25" customHeight="1">
      <c r="A703" s="167">
        <v>46095.60730253472</v>
      </c>
      <c r="B703" s="181" t="s">
        <v>1950</v>
      </c>
      <c r="C703" s="56" t="s">
        <v>1560</v>
      </c>
      <c r="D703" s="167">
        <v>46095.52385266204</v>
      </c>
      <c r="E703" s="37">
        <v>2.0</v>
      </c>
      <c r="F703" s="56" t="s">
        <v>1673</v>
      </c>
      <c r="G703" s="109"/>
      <c r="H703" s="130"/>
      <c r="I703" s="130" t="s">
        <v>1951</v>
      </c>
      <c r="J703" s="26" t="s">
        <v>1674</v>
      </c>
      <c r="K703" s="26" t="s">
        <v>1691</v>
      </c>
      <c r="L703" s="26" t="s">
        <v>1566</v>
      </c>
      <c r="M703" s="26" t="s">
        <v>1566</v>
      </c>
      <c r="N703" s="26" t="s">
        <v>2106</v>
      </c>
      <c r="O703" s="26" t="s">
        <v>1566</v>
      </c>
      <c r="P703" s="26" t="s">
        <v>290</v>
      </c>
      <c r="Q703" s="26">
        <v>0.0</v>
      </c>
    </row>
    <row r="704" ht="17.25" customHeight="1">
      <c r="A704" s="167">
        <v>46095.62604325231</v>
      </c>
      <c r="B704" s="25" t="s">
        <v>287</v>
      </c>
      <c r="C704" s="56" t="s">
        <v>1892</v>
      </c>
      <c r="D704" s="167">
        <v>46095.52385266204</v>
      </c>
      <c r="E704" s="37">
        <v>2.0</v>
      </c>
      <c r="F704" s="56" t="s">
        <v>1899</v>
      </c>
      <c r="G704" s="109"/>
      <c r="H704" s="130"/>
      <c r="I704" s="130" t="s">
        <v>288</v>
      </c>
      <c r="J704" s="26" t="s">
        <v>1674</v>
      </c>
      <c r="K704" s="26" t="s">
        <v>1675</v>
      </c>
      <c r="L704" s="26" t="s">
        <v>1566</v>
      </c>
      <c r="M704" s="26" t="s">
        <v>1566</v>
      </c>
      <c r="N704" s="26" t="s">
        <v>1676</v>
      </c>
      <c r="O704" s="26" t="s">
        <v>1677</v>
      </c>
      <c r="P704" s="26" t="s">
        <v>290</v>
      </c>
      <c r="Q704" s="26">
        <v>16.0</v>
      </c>
    </row>
    <row r="705" ht="17.25" customHeight="1">
      <c r="A705" s="167">
        <v>46095.62606805556</v>
      </c>
      <c r="B705" s="2" t="s">
        <v>292</v>
      </c>
      <c r="C705" s="56" t="s">
        <v>1892</v>
      </c>
      <c r="D705" s="167">
        <v>46095.52385266204</v>
      </c>
      <c r="E705" s="37">
        <v>2.0</v>
      </c>
      <c r="F705" s="56" t="s">
        <v>1899</v>
      </c>
      <c r="G705" s="109"/>
      <c r="H705" s="130"/>
      <c r="I705" s="130" t="s">
        <v>294</v>
      </c>
      <c r="J705" s="26" t="s">
        <v>1674</v>
      </c>
      <c r="K705" s="26" t="s">
        <v>1675</v>
      </c>
      <c r="L705" s="26" t="s">
        <v>1566</v>
      </c>
      <c r="M705" s="26" t="s">
        <v>1566</v>
      </c>
      <c r="N705" s="26" t="s">
        <v>1678</v>
      </c>
      <c r="O705" s="26" t="s">
        <v>1677</v>
      </c>
      <c r="P705" s="26" t="s">
        <v>290</v>
      </c>
      <c r="Q705" s="26">
        <v>10.0</v>
      </c>
    </row>
    <row r="706" ht="17.25" customHeight="1">
      <c r="A706" s="167">
        <v>46095.626079733796</v>
      </c>
      <c r="B706" s="2" t="s">
        <v>297</v>
      </c>
      <c r="C706" s="56" t="s">
        <v>1892</v>
      </c>
      <c r="D706" s="167">
        <v>46095.52385266204</v>
      </c>
      <c r="E706" s="37">
        <v>2.0</v>
      </c>
      <c r="F706" s="56" t="s">
        <v>1899</v>
      </c>
      <c r="G706" s="109"/>
      <c r="H706" s="130"/>
      <c r="I706" s="130" t="s">
        <v>298</v>
      </c>
      <c r="J706" s="26" t="s">
        <v>1674</v>
      </c>
      <c r="K706" s="26" t="s">
        <v>1675</v>
      </c>
      <c r="L706" s="26" t="s">
        <v>1566</v>
      </c>
      <c r="M706" s="26" t="s">
        <v>1566</v>
      </c>
      <c r="N706" s="26" t="s">
        <v>1680</v>
      </c>
      <c r="O706" s="26" t="s">
        <v>1677</v>
      </c>
      <c r="P706" s="26" t="s">
        <v>290</v>
      </c>
      <c r="Q706" s="26">
        <v>10.0</v>
      </c>
    </row>
    <row r="707" ht="17.25" customHeight="1">
      <c r="A707" s="167">
        <v>46095.62608635417</v>
      </c>
      <c r="B707" s="2" t="s">
        <v>304</v>
      </c>
      <c r="C707" s="56" t="s">
        <v>1892</v>
      </c>
      <c r="D707" s="167">
        <v>46095.52385266204</v>
      </c>
      <c r="E707" s="37">
        <v>2.0</v>
      </c>
      <c r="F707" s="56" t="s">
        <v>1899</v>
      </c>
      <c r="G707" s="109"/>
      <c r="H707" s="130"/>
      <c r="I707" s="130" t="s">
        <v>306</v>
      </c>
      <c r="J707" s="26" t="s">
        <v>1674</v>
      </c>
      <c r="K707" s="26" t="s">
        <v>1675</v>
      </c>
      <c r="L707" s="26" t="s">
        <v>1566</v>
      </c>
      <c r="M707" s="26" t="s">
        <v>1566</v>
      </c>
      <c r="N707" s="26" t="s">
        <v>1682</v>
      </c>
      <c r="O707" s="26" t="s">
        <v>1677</v>
      </c>
      <c r="P707" s="26" t="s">
        <v>290</v>
      </c>
      <c r="Q707" s="26">
        <v>6.0</v>
      </c>
    </row>
    <row r="708" ht="17.25" customHeight="1">
      <c r="A708" s="167">
        <v>46095.653062604164</v>
      </c>
      <c r="B708" s="25" t="s">
        <v>847</v>
      </c>
      <c r="C708" s="56" t="s">
        <v>1560</v>
      </c>
      <c r="D708" s="167">
        <v>46095.52385266204</v>
      </c>
      <c r="E708" s="37">
        <v>1.0</v>
      </c>
      <c r="F708" s="56" t="s">
        <v>1844</v>
      </c>
      <c r="G708" s="109"/>
      <c r="H708" s="130"/>
      <c r="I708" s="130" t="s">
        <v>849</v>
      </c>
      <c r="J708" s="26" t="s">
        <v>1844</v>
      </c>
      <c r="K708" s="26" t="s">
        <v>1846</v>
      </c>
      <c r="L708" s="26" t="s">
        <v>1870</v>
      </c>
      <c r="M708" s="26" t="s">
        <v>1566</v>
      </c>
      <c r="N708" s="26" t="s">
        <v>1566</v>
      </c>
      <c r="O708" s="26" t="s">
        <v>1808</v>
      </c>
      <c r="P708" s="26" t="s">
        <v>661</v>
      </c>
      <c r="Q708" s="26">
        <v>1.0</v>
      </c>
    </row>
    <row r="709" ht="17.25" customHeight="1">
      <c r="A709" s="167">
        <v>46095.65424682871</v>
      </c>
      <c r="B709" s="27" t="s">
        <v>1058</v>
      </c>
      <c r="C709" s="56" t="s">
        <v>1560</v>
      </c>
      <c r="D709" s="167">
        <v>46095.52385266204</v>
      </c>
      <c r="E709" s="37">
        <v>1.0</v>
      </c>
      <c r="F709" s="56" t="s">
        <v>1844</v>
      </c>
      <c r="G709" s="109"/>
      <c r="H709" s="130"/>
      <c r="I709" s="130" t="s">
        <v>1059</v>
      </c>
      <c r="J709" s="26" t="s">
        <v>1844</v>
      </c>
      <c r="K709" s="26" t="s">
        <v>1807</v>
      </c>
      <c r="L709" s="26" t="s">
        <v>2107</v>
      </c>
      <c r="M709" s="26" t="s">
        <v>1566</v>
      </c>
      <c r="N709" s="26" t="s">
        <v>1566</v>
      </c>
      <c r="O709" s="26" t="s">
        <v>1808</v>
      </c>
      <c r="P709" s="26" t="s">
        <v>661</v>
      </c>
      <c r="Q709" s="26">
        <v>1.0</v>
      </c>
    </row>
    <row r="710" ht="17.25" customHeight="1">
      <c r="A710" s="167">
        <v>46095.66508788195</v>
      </c>
      <c r="B710" s="27" t="s">
        <v>1061</v>
      </c>
      <c r="C710" s="56" t="s">
        <v>1560</v>
      </c>
      <c r="D710" s="167">
        <v>46095.52385266204</v>
      </c>
      <c r="E710" s="37">
        <v>1.0</v>
      </c>
      <c r="F710" s="56" t="s">
        <v>1844</v>
      </c>
      <c r="G710" s="109"/>
      <c r="H710" s="130"/>
      <c r="I710" s="130" t="s">
        <v>1062</v>
      </c>
      <c r="J710" s="26" t="s">
        <v>1844</v>
      </c>
      <c r="K710" s="26" t="s">
        <v>1807</v>
      </c>
      <c r="L710" s="26" t="s">
        <v>2109</v>
      </c>
      <c r="M710" s="26" t="s">
        <v>1566</v>
      </c>
      <c r="N710" s="26" t="s">
        <v>1566</v>
      </c>
      <c r="O710" s="26" t="s">
        <v>1566</v>
      </c>
      <c r="P710" s="26" t="s">
        <v>661</v>
      </c>
      <c r="Q710" s="26">
        <v>1.0</v>
      </c>
    </row>
    <row r="711" ht="17.25" customHeight="1">
      <c r="A711" s="167">
        <v>46095.66558447917</v>
      </c>
      <c r="B711" s="191" t="s">
        <v>1855</v>
      </c>
      <c r="C711" s="56" t="s">
        <v>1560</v>
      </c>
      <c r="D711" s="167">
        <v>46095.52385266204</v>
      </c>
      <c r="E711" s="37">
        <v>1.0</v>
      </c>
      <c r="F711" s="56" t="s">
        <v>1844</v>
      </c>
      <c r="G711" s="109"/>
      <c r="H711" s="130"/>
      <c r="I711" s="130" t="s">
        <v>1858</v>
      </c>
      <c r="J711" s="26" t="s">
        <v>1844</v>
      </c>
      <c r="K711" s="26" t="s">
        <v>1846</v>
      </c>
      <c r="L711" s="26" t="s">
        <v>1860</v>
      </c>
      <c r="M711" s="26" t="s">
        <v>1566</v>
      </c>
      <c r="N711" s="26" t="s">
        <v>1566</v>
      </c>
      <c r="O711" s="26" t="s">
        <v>1808</v>
      </c>
      <c r="P711" s="26" t="s">
        <v>661</v>
      </c>
      <c r="Q711" s="26">
        <v>0.0</v>
      </c>
    </row>
    <row r="712" ht="17.25" customHeight="1">
      <c r="A712" s="167">
        <v>46095.74628140046</v>
      </c>
      <c r="B712" s="25" t="s">
        <v>791</v>
      </c>
      <c r="C712" s="56" t="s">
        <v>1892</v>
      </c>
      <c r="D712" s="167">
        <v>46094.50010818287</v>
      </c>
      <c r="E712" s="37">
        <v>120.0</v>
      </c>
      <c r="F712" s="56" t="s">
        <v>1561</v>
      </c>
      <c r="G712" s="37">
        <v>624.0</v>
      </c>
      <c r="H712" s="130"/>
      <c r="I712" s="130" t="s">
        <v>794</v>
      </c>
      <c r="J712" s="26" t="s">
        <v>1225</v>
      </c>
      <c r="K712" s="26" t="s">
        <v>1646</v>
      </c>
      <c r="L712" s="26" t="s">
        <v>1576</v>
      </c>
      <c r="M712" s="26" t="s">
        <v>1645</v>
      </c>
      <c r="N712" s="26" t="s">
        <v>1566</v>
      </c>
      <c r="O712" s="26" t="s">
        <v>1566</v>
      </c>
      <c r="P712" s="26" t="s">
        <v>22</v>
      </c>
      <c r="Q712" s="26">
        <v>0.0</v>
      </c>
    </row>
    <row r="713" ht="17.25" customHeight="1">
      <c r="A713" s="167">
        <v>46095.7468650463</v>
      </c>
      <c r="B713" s="25" t="s">
        <v>1946</v>
      </c>
      <c r="C713" s="56" t="s">
        <v>1892</v>
      </c>
      <c r="D713" s="167">
        <v>46095.52385266204</v>
      </c>
      <c r="E713" s="37">
        <v>1440.0</v>
      </c>
      <c r="F713" s="90"/>
      <c r="G713" s="37">
        <v>625.0</v>
      </c>
      <c r="H713" s="130"/>
      <c r="I713" s="130" t="s">
        <v>1947</v>
      </c>
      <c r="J713" s="26" t="s">
        <v>1225</v>
      </c>
      <c r="K713" s="26" t="s">
        <v>1653</v>
      </c>
      <c r="L713" s="26" t="s">
        <v>1603</v>
      </c>
      <c r="M713" s="26" t="s">
        <v>1595</v>
      </c>
      <c r="N713" s="26" t="s">
        <v>1566</v>
      </c>
      <c r="O713" s="26" t="s">
        <v>1661</v>
      </c>
      <c r="P713" s="26" t="s">
        <v>22</v>
      </c>
      <c r="Q713" s="26">
        <v>0.0</v>
      </c>
    </row>
    <row r="714" ht="17.25" customHeight="1">
      <c r="A714" s="167">
        <v>46095.75035980324</v>
      </c>
      <c r="B714" s="25" t="s">
        <v>227</v>
      </c>
      <c r="C714" s="56" t="s">
        <v>1892</v>
      </c>
      <c r="D714" s="167">
        <v>46094.50010818287</v>
      </c>
      <c r="E714" s="37">
        <v>375.0</v>
      </c>
      <c r="F714" s="90"/>
      <c r="G714" s="37">
        <v>626.0</v>
      </c>
      <c r="H714" s="130"/>
      <c r="I714" s="130" t="s">
        <v>228</v>
      </c>
      <c r="J714" s="26" t="s">
        <v>1225</v>
      </c>
      <c r="K714" s="26" t="s">
        <v>1651</v>
      </c>
      <c r="L714" s="26" t="s">
        <v>1633</v>
      </c>
      <c r="M714" s="26" t="s">
        <v>1652</v>
      </c>
      <c r="N714" s="26" t="s">
        <v>1566</v>
      </c>
      <c r="O714" s="26" t="s">
        <v>1566</v>
      </c>
      <c r="P714" s="26" t="s">
        <v>22</v>
      </c>
      <c r="Q714" s="26">
        <v>45.0</v>
      </c>
    </row>
    <row r="715" ht="17.25" customHeight="1">
      <c r="A715" s="167">
        <v>46095.75163777778</v>
      </c>
      <c r="B715" s="25" t="s">
        <v>1014</v>
      </c>
      <c r="C715" s="56" t="s">
        <v>1892</v>
      </c>
      <c r="D715" s="167">
        <v>46095.52385266204</v>
      </c>
      <c r="E715" s="37">
        <v>700.0</v>
      </c>
      <c r="F715" s="90"/>
      <c r="G715" s="37">
        <v>627.0</v>
      </c>
      <c r="H715" s="130"/>
      <c r="I715" s="130" t="s">
        <v>1015</v>
      </c>
      <c r="J715" s="26" t="s">
        <v>1225</v>
      </c>
      <c r="K715" s="26" t="s">
        <v>1562</v>
      </c>
      <c r="L715" s="26" t="s">
        <v>1573</v>
      </c>
      <c r="M715" s="26" t="s">
        <v>2057</v>
      </c>
      <c r="N715" s="26" t="s">
        <v>1566</v>
      </c>
      <c r="O715" s="26" t="s">
        <v>1566</v>
      </c>
      <c r="P715" s="26" t="s">
        <v>22</v>
      </c>
      <c r="Q715" s="26">
        <v>835.0</v>
      </c>
    </row>
    <row r="716" ht="17.25" customHeight="1">
      <c r="A716" s="167">
        <v>46095.75328209491</v>
      </c>
      <c r="B716" s="25" t="s">
        <v>1946</v>
      </c>
      <c r="C716" s="56" t="s">
        <v>1560</v>
      </c>
      <c r="D716" s="190">
        <v>46093.52385416667</v>
      </c>
      <c r="E716" s="37">
        <v>1440.0</v>
      </c>
      <c r="F716" s="90"/>
      <c r="G716" s="109"/>
      <c r="H716" s="130"/>
      <c r="I716" s="130" t="s">
        <v>1947</v>
      </c>
      <c r="J716" s="26" t="s">
        <v>1225</v>
      </c>
      <c r="K716" s="26" t="s">
        <v>1653</v>
      </c>
      <c r="L716" s="26" t="s">
        <v>1603</v>
      </c>
      <c r="M716" s="26" t="s">
        <v>1595</v>
      </c>
      <c r="N716" s="26" t="s">
        <v>1566</v>
      </c>
      <c r="O716" s="26" t="s">
        <v>1661</v>
      </c>
      <c r="P716" s="26" t="s">
        <v>22</v>
      </c>
      <c r="Q716" s="26">
        <v>0.0</v>
      </c>
    </row>
    <row r="717" ht="17.25" customHeight="1">
      <c r="A717" s="167">
        <v>46095.753406180556</v>
      </c>
      <c r="B717" s="25" t="s">
        <v>1946</v>
      </c>
      <c r="C717" s="56" t="s">
        <v>1892</v>
      </c>
      <c r="D717" s="167">
        <v>46095.753406180556</v>
      </c>
      <c r="E717" s="37">
        <v>1440.0</v>
      </c>
      <c r="F717" s="90"/>
      <c r="G717" s="37">
        <v>628.0</v>
      </c>
      <c r="H717" s="130"/>
      <c r="I717" s="130" t="s">
        <v>1947</v>
      </c>
      <c r="J717" s="26" t="s">
        <v>1225</v>
      </c>
      <c r="K717" s="26" t="s">
        <v>1653</v>
      </c>
      <c r="L717" s="26" t="s">
        <v>1603</v>
      </c>
      <c r="M717" s="26" t="s">
        <v>1595</v>
      </c>
      <c r="N717" s="26" t="s">
        <v>1566</v>
      </c>
      <c r="O717" s="26" t="s">
        <v>1661</v>
      </c>
      <c r="P717" s="26" t="s">
        <v>22</v>
      </c>
      <c r="Q717" s="26">
        <v>0.0</v>
      </c>
    </row>
    <row r="718" ht="17.25" customHeight="1">
      <c r="A718" s="167">
        <v>46095.75415425926</v>
      </c>
      <c r="B718" s="25" t="s">
        <v>1713</v>
      </c>
      <c r="C718" s="56" t="s">
        <v>1892</v>
      </c>
      <c r="D718" s="167">
        <v>46095.753406180556</v>
      </c>
      <c r="E718" s="37">
        <v>2675.0</v>
      </c>
      <c r="F718" s="90"/>
      <c r="G718" s="37">
        <v>629.0</v>
      </c>
      <c r="H718" s="130"/>
      <c r="I718" s="130" t="s">
        <v>1714</v>
      </c>
      <c r="J718" s="26" t="s">
        <v>1225</v>
      </c>
      <c r="K718" s="26" t="s">
        <v>1562</v>
      </c>
      <c r="L718" s="26" t="s">
        <v>2105</v>
      </c>
      <c r="M718" s="26" t="s">
        <v>1564</v>
      </c>
      <c r="N718" s="26" t="s">
        <v>1566</v>
      </c>
      <c r="O718" s="26" t="s">
        <v>1566</v>
      </c>
      <c r="P718" s="26" t="s">
        <v>22</v>
      </c>
      <c r="Q718" s="26">
        <v>0.0</v>
      </c>
    </row>
    <row r="719" ht="17.25" customHeight="1">
      <c r="A719" s="167">
        <v>46095.754754027774</v>
      </c>
      <c r="B719" s="25" t="s">
        <v>1559</v>
      </c>
      <c r="C719" s="56" t="s">
        <v>1892</v>
      </c>
      <c r="D719" s="167">
        <v>46095.753406180556</v>
      </c>
      <c r="E719" s="37">
        <v>300.0</v>
      </c>
      <c r="F719" s="90"/>
      <c r="G719" s="37">
        <v>630.0</v>
      </c>
      <c r="H719" s="130"/>
      <c r="I719" s="130" t="s">
        <v>1672</v>
      </c>
      <c r="J719" s="26" t="s">
        <v>1225</v>
      </c>
      <c r="K719" s="26" t="s">
        <v>1562</v>
      </c>
      <c r="L719" s="26" t="s">
        <v>1563</v>
      </c>
      <c r="M719" s="26" t="s">
        <v>1564</v>
      </c>
      <c r="N719" s="26" t="s">
        <v>1565</v>
      </c>
      <c r="O719" s="26" t="s">
        <v>1566</v>
      </c>
      <c r="P719" s="26" t="s">
        <v>22</v>
      </c>
      <c r="Q719" s="26">
        <v>0.0</v>
      </c>
    </row>
    <row r="720" ht="17.25" customHeight="1">
      <c r="A720" s="167">
        <v>46097.46072427083</v>
      </c>
      <c r="B720" s="23" t="s">
        <v>876</v>
      </c>
      <c r="C720" s="56" t="s">
        <v>1892</v>
      </c>
      <c r="D720" s="167">
        <v>46097.46072427083</v>
      </c>
      <c r="E720" s="37">
        <v>4.0</v>
      </c>
      <c r="F720" s="56" t="s">
        <v>1907</v>
      </c>
      <c r="G720" s="109"/>
      <c r="H720" s="130"/>
      <c r="I720" s="130" t="s">
        <v>878</v>
      </c>
      <c r="J720" s="26" t="s">
        <v>1830</v>
      </c>
      <c r="K720" s="26" t="s">
        <v>1879</v>
      </c>
      <c r="L720" s="26" t="s">
        <v>1566</v>
      </c>
      <c r="M720" s="26" t="s">
        <v>1566</v>
      </c>
      <c r="N720" s="26" t="s">
        <v>1566</v>
      </c>
      <c r="O720" s="26" t="s">
        <v>1566</v>
      </c>
      <c r="P720" s="26" t="s">
        <v>643</v>
      </c>
      <c r="Q720" s="26">
        <v>34.0</v>
      </c>
    </row>
    <row r="721" ht="17.25" customHeight="1">
      <c r="A721" s="167">
        <v>46097.46097824074</v>
      </c>
      <c r="B721" s="23" t="s">
        <v>876</v>
      </c>
      <c r="C721" s="56" t="s">
        <v>1892</v>
      </c>
      <c r="D721" s="190">
        <v>46095.46072916667</v>
      </c>
      <c r="E721" s="37">
        <v>4.0</v>
      </c>
      <c r="F721" s="56" t="s">
        <v>1907</v>
      </c>
      <c r="G721" s="109"/>
      <c r="H721" s="130"/>
      <c r="I721" s="130" t="s">
        <v>878</v>
      </c>
      <c r="J721" s="26" t="s">
        <v>1830</v>
      </c>
      <c r="K721" s="26" t="s">
        <v>1879</v>
      </c>
      <c r="L721" s="26" t="s">
        <v>1566</v>
      </c>
      <c r="M721" s="26" t="s">
        <v>1566</v>
      </c>
      <c r="N721" s="26" t="s">
        <v>1566</v>
      </c>
      <c r="O721" s="26" t="s">
        <v>1566</v>
      </c>
      <c r="P721" s="26" t="s">
        <v>643</v>
      </c>
      <c r="Q721" s="26">
        <v>34.0</v>
      </c>
    </row>
    <row r="722" ht="17.25" customHeight="1">
      <c r="A722" s="167">
        <v>46097.461227210646</v>
      </c>
      <c r="B722" s="23" t="s">
        <v>876</v>
      </c>
      <c r="C722" s="56" t="s">
        <v>1892</v>
      </c>
      <c r="D722" s="190">
        <v>46094.46072916667</v>
      </c>
      <c r="E722" s="37">
        <v>4.0</v>
      </c>
      <c r="F722" s="56" t="s">
        <v>1907</v>
      </c>
      <c r="G722" s="109"/>
      <c r="H722" s="130"/>
      <c r="I722" s="130" t="s">
        <v>878</v>
      </c>
      <c r="J722" s="26" t="s">
        <v>1830</v>
      </c>
      <c r="K722" s="26" t="s">
        <v>1879</v>
      </c>
      <c r="L722" s="26" t="s">
        <v>1566</v>
      </c>
      <c r="M722" s="26" t="s">
        <v>1566</v>
      </c>
      <c r="N722" s="26" t="s">
        <v>1566</v>
      </c>
      <c r="O722" s="26" t="s">
        <v>1566</v>
      </c>
      <c r="P722" s="26" t="s">
        <v>643</v>
      </c>
      <c r="Q722" s="26">
        <v>34.0</v>
      </c>
    </row>
    <row r="723" ht="17.25" customHeight="1">
      <c r="A723" s="167">
        <v>46097.47654908565</v>
      </c>
      <c r="B723" s="25" t="s">
        <v>1011</v>
      </c>
      <c r="C723" s="56" t="s">
        <v>1892</v>
      </c>
      <c r="D723" s="167">
        <v>46097.47654908565</v>
      </c>
      <c r="E723" s="37">
        <v>200.0</v>
      </c>
      <c r="F723" s="56" t="s">
        <v>1561</v>
      </c>
      <c r="G723" s="37" t="s">
        <v>2096</v>
      </c>
      <c r="H723" s="130"/>
      <c r="I723" s="130" t="s">
        <v>1012</v>
      </c>
      <c r="J723" s="26" t="s">
        <v>1225</v>
      </c>
      <c r="K723" s="26" t="s">
        <v>1562</v>
      </c>
      <c r="L723" s="26" t="s">
        <v>1582</v>
      </c>
      <c r="M723" s="26" t="s">
        <v>1575</v>
      </c>
      <c r="N723" s="26" t="s">
        <v>1566</v>
      </c>
      <c r="O723" s="26" t="s">
        <v>1566</v>
      </c>
      <c r="P723" s="26" t="s">
        <v>22</v>
      </c>
      <c r="Q723" s="26">
        <v>100.0</v>
      </c>
    </row>
    <row r="724" ht="17.25" customHeight="1">
      <c r="A724" s="167">
        <v>46097.586066261574</v>
      </c>
      <c r="B724" s="23" t="s">
        <v>876</v>
      </c>
      <c r="C724" s="56" t="s">
        <v>1892</v>
      </c>
      <c r="D724" s="167">
        <v>46097.47654908565</v>
      </c>
      <c r="E724" s="37">
        <v>4.0</v>
      </c>
      <c r="F724" s="56" t="s">
        <v>1907</v>
      </c>
      <c r="G724" s="109"/>
      <c r="H724" s="130"/>
      <c r="I724" s="130" t="s">
        <v>878</v>
      </c>
      <c r="J724" s="26" t="s">
        <v>1830</v>
      </c>
      <c r="K724" s="26" t="s">
        <v>1879</v>
      </c>
      <c r="L724" s="26" t="s">
        <v>1566</v>
      </c>
      <c r="M724" s="26" t="s">
        <v>1566</v>
      </c>
      <c r="N724" s="26" t="s">
        <v>1566</v>
      </c>
      <c r="O724" s="26" t="s">
        <v>1566</v>
      </c>
      <c r="P724" s="26" t="s">
        <v>643</v>
      </c>
      <c r="Q724" s="26">
        <v>34.0</v>
      </c>
    </row>
    <row r="725" ht="17.25" customHeight="1">
      <c r="A725" s="167">
        <v>46097.59858659722</v>
      </c>
      <c r="B725" s="25" t="s">
        <v>41</v>
      </c>
      <c r="C725" s="56" t="s">
        <v>1560</v>
      </c>
      <c r="D725" s="192">
        <v>46091.798842592594</v>
      </c>
      <c r="E725" s="37">
        <v>600.0</v>
      </c>
      <c r="F725" s="56" t="s">
        <v>1561</v>
      </c>
      <c r="G725" s="109"/>
      <c r="H725" s="130"/>
      <c r="I725" s="130" t="s">
        <v>42</v>
      </c>
      <c r="J725" s="26" t="s">
        <v>1225</v>
      </c>
      <c r="K725" s="26" t="s">
        <v>1562</v>
      </c>
      <c r="L725" s="26" t="s">
        <v>1576</v>
      </c>
      <c r="M725" s="26" t="s">
        <v>1575</v>
      </c>
      <c r="N725" s="26" t="s">
        <v>1571</v>
      </c>
      <c r="O725" s="26" t="s">
        <v>1566</v>
      </c>
      <c r="P725" s="26" t="s">
        <v>22</v>
      </c>
      <c r="Q725" s="26">
        <v>200.0</v>
      </c>
    </row>
    <row r="726" ht="17.25" customHeight="1">
      <c r="A726" s="167">
        <v>46097.59885145833</v>
      </c>
      <c r="B726" s="25" t="s">
        <v>41</v>
      </c>
      <c r="C726" s="56" t="s">
        <v>1892</v>
      </c>
      <c r="D726" s="167">
        <v>46097.47654908565</v>
      </c>
      <c r="E726" s="37">
        <v>600.0</v>
      </c>
      <c r="F726" s="56" t="s">
        <v>1561</v>
      </c>
      <c r="G726" s="37" t="s">
        <v>2135</v>
      </c>
      <c r="H726" s="130"/>
      <c r="I726" s="130" t="s">
        <v>42</v>
      </c>
      <c r="J726" s="26" t="s">
        <v>1225</v>
      </c>
      <c r="K726" s="26" t="s">
        <v>1562</v>
      </c>
      <c r="L726" s="26" t="s">
        <v>1576</v>
      </c>
      <c r="M726" s="26" t="s">
        <v>1575</v>
      </c>
      <c r="N726" s="26" t="s">
        <v>1571</v>
      </c>
      <c r="O726" s="26" t="s">
        <v>1566</v>
      </c>
      <c r="P726" s="26" t="s">
        <v>22</v>
      </c>
      <c r="Q726" s="26">
        <v>200.0</v>
      </c>
    </row>
    <row r="727" ht="17.25" customHeight="1">
      <c r="A727" s="167">
        <v>46097.59967674769</v>
      </c>
      <c r="B727" s="25" t="s">
        <v>1710</v>
      </c>
      <c r="C727" s="56" t="s">
        <v>1892</v>
      </c>
      <c r="D727" s="167">
        <v>46097.47654908565</v>
      </c>
      <c r="E727" s="37">
        <v>1300.0</v>
      </c>
      <c r="F727" s="56" t="s">
        <v>1561</v>
      </c>
      <c r="G727" s="37">
        <v>633.0</v>
      </c>
      <c r="H727" s="130"/>
      <c r="I727" s="130" t="s">
        <v>1711</v>
      </c>
      <c r="J727" s="26" t="s">
        <v>1225</v>
      </c>
      <c r="K727" s="26" t="s">
        <v>1562</v>
      </c>
      <c r="L727" s="26" t="s">
        <v>1633</v>
      </c>
      <c r="M727" s="26" t="s">
        <v>1564</v>
      </c>
      <c r="N727" s="26" t="s">
        <v>1566</v>
      </c>
      <c r="O727" s="26" t="s">
        <v>1566</v>
      </c>
      <c r="P727" s="26" t="s">
        <v>22</v>
      </c>
      <c r="Q727" s="26">
        <v>0.0</v>
      </c>
    </row>
    <row r="728" ht="17.25" customHeight="1">
      <c r="A728" s="167">
        <v>46097.60012125</v>
      </c>
      <c r="B728" s="25" t="s">
        <v>1713</v>
      </c>
      <c r="C728" s="56" t="s">
        <v>1892</v>
      </c>
      <c r="D728" s="167">
        <v>46097.47654908565</v>
      </c>
      <c r="E728" s="2">
        <v>1100.0</v>
      </c>
      <c r="F728" s="56" t="s">
        <v>1561</v>
      </c>
      <c r="G728" s="37">
        <v>634.0</v>
      </c>
      <c r="H728" s="130"/>
      <c r="I728" s="130" t="s">
        <v>1714</v>
      </c>
      <c r="J728" s="26" t="s">
        <v>1225</v>
      </c>
      <c r="K728" s="26" t="s">
        <v>1562</v>
      </c>
      <c r="L728" s="26" t="s">
        <v>2105</v>
      </c>
      <c r="M728" s="26" t="s">
        <v>1564</v>
      </c>
      <c r="N728" s="26" t="s">
        <v>1566</v>
      </c>
      <c r="O728" s="26" t="s">
        <v>1566</v>
      </c>
      <c r="P728" s="26" t="s">
        <v>22</v>
      </c>
      <c r="Q728" s="26">
        <v>0.0</v>
      </c>
    </row>
    <row r="729" ht="17.25" customHeight="1">
      <c r="A729" s="167">
        <v>46097.60129902778</v>
      </c>
      <c r="B729" s="25" t="s">
        <v>234</v>
      </c>
      <c r="C729" s="56" t="s">
        <v>1892</v>
      </c>
      <c r="D729" s="167">
        <v>46097.47654908565</v>
      </c>
      <c r="E729" s="37">
        <v>1440.0</v>
      </c>
      <c r="F729" s="56" t="s">
        <v>1561</v>
      </c>
      <c r="G729" s="37">
        <v>635.0</v>
      </c>
      <c r="H729" s="130"/>
      <c r="I729" s="130" t="s">
        <v>235</v>
      </c>
      <c r="J729" s="26" t="s">
        <v>1225</v>
      </c>
      <c r="K729" s="26" t="s">
        <v>1653</v>
      </c>
      <c r="L729" s="26" t="s">
        <v>1641</v>
      </c>
      <c r="M729" s="26" t="s">
        <v>1572</v>
      </c>
      <c r="N729" s="26" t="s">
        <v>1654</v>
      </c>
      <c r="O729" s="26" t="s">
        <v>1566</v>
      </c>
      <c r="P729" s="26" t="s">
        <v>22</v>
      </c>
      <c r="Q729" s="26">
        <v>1008.0</v>
      </c>
    </row>
    <row r="730" ht="17.25" customHeight="1">
      <c r="A730" s="167">
        <v>46097.62654254629</v>
      </c>
      <c r="B730" s="25" t="s">
        <v>104</v>
      </c>
      <c r="C730" s="56" t="s">
        <v>1892</v>
      </c>
      <c r="D730" s="167">
        <v>46097.47654908565</v>
      </c>
      <c r="E730" s="37">
        <v>300.0</v>
      </c>
      <c r="F730" s="56" t="s">
        <v>1561</v>
      </c>
      <c r="G730" s="37">
        <v>636.0</v>
      </c>
      <c r="H730" s="130"/>
      <c r="I730" s="130" t="s">
        <v>106</v>
      </c>
      <c r="J730" s="26" t="s">
        <v>1225</v>
      </c>
      <c r="K730" s="26" t="s">
        <v>1562</v>
      </c>
      <c r="L730" s="26" t="s">
        <v>1582</v>
      </c>
      <c r="M730" s="26" t="s">
        <v>1607</v>
      </c>
      <c r="N730" s="26" t="s">
        <v>1571</v>
      </c>
      <c r="O730" s="26" t="s">
        <v>1566</v>
      </c>
      <c r="P730" s="26" t="s">
        <v>22</v>
      </c>
      <c r="Q730" s="26">
        <v>1000.0</v>
      </c>
    </row>
    <row r="731" ht="17.25" customHeight="1">
      <c r="A731" s="167">
        <v>46097.719168807875</v>
      </c>
      <c r="B731" s="181" t="s">
        <v>1950</v>
      </c>
      <c r="C731" s="56" t="s">
        <v>1892</v>
      </c>
      <c r="D731" s="167">
        <v>46097.47654908565</v>
      </c>
      <c r="E731" s="37">
        <v>2.0</v>
      </c>
      <c r="F731" s="56" t="s">
        <v>1899</v>
      </c>
      <c r="G731" s="109"/>
      <c r="H731" s="130"/>
      <c r="I731" s="130" t="s">
        <v>1951</v>
      </c>
      <c r="J731" s="26" t="s">
        <v>1674</v>
      </c>
      <c r="K731" s="26" t="s">
        <v>1691</v>
      </c>
      <c r="L731" s="26" t="s">
        <v>1566</v>
      </c>
      <c r="M731" s="26" t="s">
        <v>1566</v>
      </c>
      <c r="N731" s="26" t="s">
        <v>2106</v>
      </c>
      <c r="O731" s="26" t="s">
        <v>1566</v>
      </c>
      <c r="P731" s="26" t="s">
        <v>290</v>
      </c>
      <c r="Q731" s="26">
        <v>0.0</v>
      </c>
    </row>
    <row r="732" ht="17.25" customHeight="1">
      <c r="A732" s="167">
        <v>46097.748030613424</v>
      </c>
      <c r="B732" s="25" t="s">
        <v>1061</v>
      </c>
      <c r="C732" s="56" t="s">
        <v>1892</v>
      </c>
      <c r="D732" s="167">
        <v>46097.47654908565</v>
      </c>
      <c r="E732" s="37">
        <v>1.0</v>
      </c>
      <c r="F732" s="56" t="s">
        <v>1844</v>
      </c>
      <c r="G732" s="109"/>
      <c r="H732" s="130"/>
      <c r="I732" s="130" t="s">
        <v>1062</v>
      </c>
      <c r="J732" s="26" t="s">
        <v>1844</v>
      </c>
      <c r="K732" s="26" t="s">
        <v>1807</v>
      </c>
      <c r="L732" s="26" t="s">
        <v>2109</v>
      </c>
      <c r="M732" s="26" t="s">
        <v>1566</v>
      </c>
      <c r="N732" s="26" t="s">
        <v>1566</v>
      </c>
      <c r="O732" s="26" t="s">
        <v>1566</v>
      </c>
      <c r="P732" s="26" t="s">
        <v>661</v>
      </c>
      <c r="Q732" s="26">
        <v>1.0</v>
      </c>
    </row>
    <row r="733" ht="17.25" customHeight="1">
      <c r="A733" s="167">
        <v>46098.43004361111</v>
      </c>
      <c r="B733" s="25" t="s">
        <v>32</v>
      </c>
      <c r="C733" s="56" t="s">
        <v>1892</v>
      </c>
      <c r="D733" s="173">
        <v>46094.0</v>
      </c>
      <c r="E733" s="37">
        <v>2.0</v>
      </c>
      <c r="F733" s="56" t="s">
        <v>2102</v>
      </c>
      <c r="G733" s="109"/>
      <c r="H733" s="130"/>
      <c r="I733" s="130" t="s">
        <v>34</v>
      </c>
      <c r="J733" s="26" t="s">
        <v>1807</v>
      </c>
      <c r="K733" s="26" t="s">
        <v>1807</v>
      </c>
      <c r="L733" s="26" t="s">
        <v>1566</v>
      </c>
      <c r="M733" s="26" t="s">
        <v>1566</v>
      </c>
      <c r="N733" s="26" t="s">
        <v>1566</v>
      </c>
      <c r="O733" s="26" t="s">
        <v>1808</v>
      </c>
      <c r="P733" s="26" t="s">
        <v>290</v>
      </c>
      <c r="Q733" s="26">
        <v>7.0</v>
      </c>
    </row>
    <row r="734" ht="17.25" customHeight="1">
      <c r="A734" s="167">
        <v>46098.52611314815</v>
      </c>
      <c r="B734" s="25" t="s">
        <v>901</v>
      </c>
      <c r="C734" s="56" t="s">
        <v>1892</v>
      </c>
      <c r="D734" s="167">
        <v>46098.5267053125</v>
      </c>
      <c r="E734" s="37">
        <v>20.0</v>
      </c>
      <c r="F734" s="56" t="s">
        <v>2137</v>
      </c>
      <c r="G734" s="109"/>
      <c r="H734" s="130"/>
      <c r="I734" s="130" t="s">
        <v>904</v>
      </c>
      <c r="J734" s="26" t="s">
        <v>1807</v>
      </c>
      <c r="K734" s="26" t="s">
        <v>1807</v>
      </c>
      <c r="L734" s="26" t="s">
        <v>1566</v>
      </c>
      <c r="M734" s="26" t="s">
        <v>1566</v>
      </c>
      <c r="N734" s="26" t="s">
        <v>1566</v>
      </c>
      <c r="O734" s="26" t="s">
        <v>1808</v>
      </c>
      <c r="P734" s="26" t="s">
        <v>290</v>
      </c>
      <c r="Q734" s="26">
        <v>20.0</v>
      </c>
    </row>
    <row r="735" ht="17.25" customHeight="1">
      <c r="A735" s="167">
        <v>46098.5267053125</v>
      </c>
      <c r="B735" s="23" t="s">
        <v>301</v>
      </c>
      <c r="C735" s="56" t="s">
        <v>1892</v>
      </c>
      <c r="D735" s="167">
        <v>46098.5267053125</v>
      </c>
      <c r="E735" s="37">
        <v>10.0</v>
      </c>
      <c r="F735" s="56" t="s">
        <v>1899</v>
      </c>
      <c r="G735" s="109"/>
      <c r="H735" s="130"/>
      <c r="I735" s="130" t="s">
        <v>302</v>
      </c>
      <c r="J735" s="26" t="s">
        <v>1830</v>
      </c>
      <c r="K735" s="26" t="s">
        <v>302</v>
      </c>
      <c r="L735" s="26" t="s">
        <v>1566</v>
      </c>
      <c r="M735" s="26" t="s">
        <v>1566</v>
      </c>
      <c r="N735" s="26" t="s">
        <v>1566</v>
      </c>
      <c r="O735" s="26" t="s">
        <v>1566</v>
      </c>
      <c r="P735" s="26" t="s">
        <v>661</v>
      </c>
      <c r="Q735" s="26">
        <v>580.0</v>
      </c>
    </row>
    <row r="736" ht="17.25" customHeight="1">
      <c r="A736" s="167">
        <v>46098.526960567135</v>
      </c>
      <c r="B736" s="23" t="s">
        <v>301</v>
      </c>
      <c r="C736" s="56" t="s">
        <v>1892</v>
      </c>
      <c r="D736" s="167">
        <v>46098.5267053125</v>
      </c>
      <c r="E736" s="37">
        <v>1.0</v>
      </c>
      <c r="F736" s="56" t="s">
        <v>2138</v>
      </c>
      <c r="G736" s="109"/>
      <c r="H736" s="130"/>
      <c r="I736" s="130" t="s">
        <v>302</v>
      </c>
      <c r="J736" s="26" t="s">
        <v>1830</v>
      </c>
      <c r="K736" s="26" t="s">
        <v>302</v>
      </c>
      <c r="L736" s="26" t="s">
        <v>1566</v>
      </c>
      <c r="M736" s="26" t="s">
        <v>1566</v>
      </c>
      <c r="N736" s="26" t="s">
        <v>1566</v>
      </c>
      <c r="O736" s="26" t="s">
        <v>1566</v>
      </c>
      <c r="P736" s="26" t="s">
        <v>661</v>
      </c>
      <c r="Q736" s="26">
        <v>580.0</v>
      </c>
    </row>
    <row r="737" ht="17.25" customHeight="1">
      <c r="A737" s="167">
        <v>46098.52715363426</v>
      </c>
      <c r="B737" s="23" t="s">
        <v>301</v>
      </c>
      <c r="C737" s="56" t="s">
        <v>1892</v>
      </c>
      <c r="D737" s="173">
        <v>46097.0</v>
      </c>
      <c r="E737" s="37">
        <v>10.0</v>
      </c>
      <c r="F737" s="56" t="s">
        <v>1899</v>
      </c>
      <c r="G737" s="109"/>
      <c r="H737" s="130"/>
      <c r="I737" s="130" t="s">
        <v>302</v>
      </c>
      <c r="J737" s="26" t="s">
        <v>1830</v>
      </c>
      <c r="K737" s="26" t="s">
        <v>302</v>
      </c>
      <c r="L737" s="26" t="s">
        <v>1566</v>
      </c>
      <c r="M737" s="26" t="s">
        <v>1566</v>
      </c>
      <c r="N737" s="26" t="s">
        <v>1566</v>
      </c>
      <c r="O737" s="26" t="s">
        <v>1566</v>
      </c>
      <c r="P737" s="26" t="s">
        <v>661</v>
      </c>
      <c r="Q737" s="26">
        <v>580.0</v>
      </c>
    </row>
    <row r="738" ht="17.25" customHeight="1">
      <c r="A738" s="167">
        <v>46098.52754008102</v>
      </c>
      <c r="B738" s="23" t="s">
        <v>301</v>
      </c>
      <c r="C738" s="56" t="s">
        <v>1892</v>
      </c>
      <c r="D738" s="167">
        <v>46086.52761009259</v>
      </c>
      <c r="E738" s="37">
        <v>20.0</v>
      </c>
      <c r="F738" s="56" t="s">
        <v>2096</v>
      </c>
      <c r="G738" s="109"/>
      <c r="H738" s="130"/>
      <c r="I738" s="130" t="s">
        <v>302</v>
      </c>
      <c r="J738" s="26" t="s">
        <v>1830</v>
      </c>
      <c r="K738" s="26" t="s">
        <v>302</v>
      </c>
      <c r="L738" s="26" t="s">
        <v>1566</v>
      </c>
      <c r="M738" s="26" t="s">
        <v>1566</v>
      </c>
      <c r="N738" s="26" t="s">
        <v>1566</v>
      </c>
      <c r="O738" s="26" t="s">
        <v>1566</v>
      </c>
      <c r="P738" s="26" t="s">
        <v>661</v>
      </c>
      <c r="Q738" s="26">
        <v>580.0</v>
      </c>
    </row>
    <row r="739" ht="17.25" customHeight="1">
      <c r="A739" s="167">
        <v>46098.54253125</v>
      </c>
      <c r="B739" s="27" t="s">
        <v>1940</v>
      </c>
      <c r="C739" s="56" t="s">
        <v>1892</v>
      </c>
      <c r="D739" s="173">
        <v>46095.0</v>
      </c>
      <c r="E739" s="37">
        <v>31572.0</v>
      </c>
      <c r="F739" s="56" t="s">
        <v>2139</v>
      </c>
      <c r="G739" s="37">
        <v>621.0</v>
      </c>
      <c r="H739" s="130"/>
      <c r="I739" s="130" t="s">
        <v>1941</v>
      </c>
      <c r="J739" s="26" t="s">
        <v>1225</v>
      </c>
      <c r="K739" s="26" t="s">
        <v>1653</v>
      </c>
      <c r="L739" s="26" t="s">
        <v>2099</v>
      </c>
      <c r="M739" s="26" t="s">
        <v>1662</v>
      </c>
      <c r="N739" s="26" t="s">
        <v>1566</v>
      </c>
      <c r="O739" s="26" t="s">
        <v>2100</v>
      </c>
      <c r="P739" s="26" t="s">
        <v>22</v>
      </c>
      <c r="Q739" s="26">
        <v>0.0</v>
      </c>
    </row>
    <row r="740" ht="17.25" customHeight="1">
      <c r="A740" s="167">
        <v>46098.54715936343</v>
      </c>
      <c r="B740" s="25" t="s">
        <v>1713</v>
      </c>
      <c r="C740" s="56" t="s">
        <v>1892</v>
      </c>
      <c r="D740" s="167">
        <v>46098.54715936343</v>
      </c>
      <c r="E740" s="37">
        <v>1100.0</v>
      </c>
      <c r="F740" s="2" t="s">
        <v>1561</v>
      </c>
      <c r="G740" s="56">
        <v>637.0</v>
      </c>
      <c r="H740" s="130"/>
      <c r="I740" s="130" t="s">
        <v>1714</v>
      </c>
      <c r="J740" s="26" t="s">
        <v>1225</v>
      </c>
      <c r="K740" s="26" t="s">
        <v>1562</v>
      </c>
      <c r="L740" s="26" t="s">
        <v>2105</v>
      </c>
      <c r="M740" s="26" t="s">
        <v>1564</v>
      </c>
      <c r="N740" s="26" t="s">
        <v>1566</v>
      </c>
      <c r="O740" s="26" t="s">
        <v>1566</v>
      </c>
      <c r="P740" s="26" t="s">
        <v>22</v>
      </c>
      <c r="Q740" s="26">
        <v>0.0</v>
      </c>
    </row>
    <row r="741" ht="17.25" customHeight="1">
      <c r="A741" s="167">
        <v>46098.54731274306</v>
      </c>
      <c r="B741" s="25" t="s">
        <v>1713</v>
      </c>
      <c r="C741" s="56" t="s">
        <v>1892</v>
      </c>
      <c r="D741" s="167">
        <v>46098.54715936343</v>
      </c>
      <c r="E741" s="37">
        <v>600.0</v>
      </c>
      <c r="F741" s="2" t="s">
        <v>1561</v>
      </c>
      <c r="G741" s="56">
        <v>638.0</v>
      </c>
      <c r="H741" s="130"/>
      <c r="I741" s="130" t="s">
        <v>1714</v>
      </c>
      <c r="J741" s="26" t="s">
        <v>1225</v>
      </c>
      <c r="K741" s="26" t="s">
        <v>1562</v>
      </c>
      <c r="L741" s="26" t="s">
        <v>2105</v>
      </c>
      <c r="M741" s="26" t="s">
        <v>1564</v>
      </c>
      <c r="N741" s="26" t="s">
        <v>1566</v>
      </c>
      <c r="O741" s="26" t="s">
        <v>1566</v>
      </c>
      <c r="P741" s="26" t="s">
        <v>22</v>
      </c>
      <c r="Q741" s="26">
        <v>0.0</v>
      </c>
    </row>
    <row r="742" ht="17.25" customHeight="1">
      <c r="A742" s="167">
        <v>46098.61854383102</v>
      </c>
      <c r="B742" s="25" t="s">
        <v>32</v>
      </c>
      <c r="C742" s="56" t="s">
        <v>1560</v>
      </c>
      <c r="D742" s="167">
        <v>46098.54715936343</v>
      </c>
      <c r="E742" s="37">
        <v>4.0</v>
      </c>
      <c r="F742" s="56" t="s">
        <v>1673</v>
      </c>
      <c r="G742" s="90"/>
      <c r="H742" s="130"/>
      <c r="I742" s="130" t="s">
        <v>34</v>
      </c>
      <c r="J742" s="26" t="s">
        <v>1807</v>
      </c>
      <c r="K742" s="26" t="s">
        <v>1807</v>
      </c>
      <c r="L742" s="26" t="s">
        <v>1566</v>
      </c>
      <c r="M742" s="26" t="s">
        <v>1566</v>
      </c>
      <c r="N742" s="26" t="s">
        <v>1566</v>
      </c>
      <c r="O742" s="26" t="s">
        <v>1808</v>
      </c>
      <c r="P742" s="26" t="s">
        <v>290</v>
      </c>
      <c r="Q742" s="26">
        <v>7.0</v>
      </c>
    </row>
    <row r="743" ht="17.25" customHeight="1">
      <c r="A743" s="167">
        <v>46098.61869482639</v>
      </c>
      <c r="B743" s="25" t="s">
        <v>32</v>
      </c>
      <c r="C743" s="56" t="s">
        <v>1892</v>
      </c>
      <c r="D743" s="167">
        <v>46098.54715936343</v>
      </c>
      <c r="E743" s="37">
        <v>1.0</v>
      </c>
      <c r="F743" s="56" t="s">
        <v>2137</v>
      </c>
      <c r="G743" s="90"/>
      <c r="H743" s="130"/>
      <c r="I743" s="130" t="s">
        <v>34</v>
      </c>
      <c r="J743" s="26" t="s">
        <v>1807</v>
      </c>
      <c r="K743" s="26" t="s">
        <v>1807</v>
      </c>
      <c r="L743" s="26" t="s">
        <v>1566</v>
      </c>
      <c r="M743" s="26" t="s">
        <v>1566</v>
      </c>
      <c r="N743" s="26" t="s">
        <v>1566</v>
      </c>
      <c r="O743" s="26" t="s">
        <v>1808</v>
      </c>
      <c r="P743" s="26" t="s">
        <v>290</v>
      </c>
      <c r="Q743" s="26">
        <v>7.0</v>
      </c>
    </row>
    <row r="744" ht="17.25" customHeight="1">
      <c r="A744" s="167">
        <v>46098.629924548615</v>
      </c>
      <c r="B744" s="25" t="s">
        <v>105</v>
      </c>
      <c r="C744" s="56" t="s">
        <v>1892</v>
      </c>
      <c r="D744" s="167">
        <v>46098.54715936343</v>
      </c>
      <c r="E744" s="37">
        <v>500.0</v>
      </c>
      <c r="F744" s="56" t="s">
        <v>1561</v>
      </c>
      <c r="G744" s="56">
        <v>640.0</v>
      </c>
      <c r="H744" s="130"/>
      <c r="I744" s="130" t="s">
        <v>107</v>
      </c>
      <c r="J744" s="26" t="s">
        <v>1225</v>
      </c>
      <c r="K744" s="26" t="s">
        <v>1562</v>
      </c>
      <c r="L744" s="26" t="s">
        <v>1603</v>
      </c>
      <c r="M744" s="26" t="s">
        <v>1575</v>
      </c>
      <c r="N744" s="26" t="s">
        <v>1571</v>
      </c>
      <c r="O744" s="26" t="s">
        <v>1566</v>
      </c>
      <c r="P744" s="26" t="s">
        <v>22</v>
      </c>
      <c r="Q744" s="26">
        <v>1200.0</v>
      </c>
    </row>
    <row r="745" ht="17.25" customHeight="1">
      <c r="A745" s="167">
        <v>46098.63057908565</v>
      </c>
      <c r="B745" s="25" t="s">
        <v>1055</v>
      </c>
      <c r="C745" s="56" t="s">
        <v>1892</v>
      </c>
      <c r="D745" s="167">
        <v>46098.54715936343</v>
      </c>
      <c r="E745" s="37">
        <v>600.0</v>
      </c>
      <c r="F745" s="56" t="s">
        <v>1561</v>
      </c>
      <c r="G745" s="56">
        <v>641.0</v>
      </c>
      <c r="H745" s="130"/>
      <c r="I745" s="130" t="s">
        <v>1056</v>
      </c>
      <c r="J745" s="26" t="s">
        <v>1225</v>
      </c>
      <c r="K745" s="26" t="s">
        <v>1562</v>
      </c>
      <c r="L745" s="26" t="s">
        <v>1584</v>
      </c>
      <c r="M745" s="26" t="s">
        <v>1564</v>
      </c>
      <c r="N745" s="26" t="s">
        <v>1566</v>
      </c>
      <c r="O745" s="26" t="s">
        <v>1566</v>
      </c>
      <c r="P745" s="26" t="s">
        <v>22</v>
      </c>
      <c r="Q745" s="26">
        <v>300.0</v>
      </c>
    </row>
    <row r="746" ht="17.25" customHeight="1">
      <c r="A746" s="167">
        <v>46098.71544944444</v>
      </c>
      <c r="B746" s="25" t="s">
        <v>32</v>
      </c>
      <c r="C746" s="56" t="s">
        <v>1892</v>
      </c>
      <c r="D746" s="167">
        <v>46098.54715936343</v>
      </c>
      <c r="E746" s="37">
        <v>1.0</v>
      </c>
      <c r="F746" s="56" t="s">
        <v>1899</v>
      </c>
      <c r="G746" s="90"/>
      <c r="H746" s="130"/>
      <c r="I746" s="130" t="s">
        <v>34</v>
      </c>
      <c r="J746" s="26" t="s">
        <v>1807</v>
      </c>
      <c r="K746" s="26" t="s">
        <v>1807</v>
      </c>
      <c r="L746" s="26" t="s">
        <v>1566</v>
      </c>
      <c r="M746" s="26" t="s">
        <v>1566</v>
      </c>
      <c r="N746" s="26" t="s">
        <v>1566</v>
      </c>
      <c r="O746" s="26" t="s">
        <v>1808</v>
      </c>
      <c r="P746" s="26" t="s">
        <v>290</v>
      </c>
      <c r="Q746" s="26">
        <v>7.0</v>
      </c>
    </row>
    <row r="747" ht="17.25" customHeight="1">
      <c r="A747" s="167">
        <v>46098.71724222222</v>
      </c>
      <c r="B747" s="27" t="s">
        <v>1064</v>
      </c>
      <c r="C747" s="56" t="s">
        <v>1560</v>
      </c>
      <c r="D747" s="167">
        <v>46098.54715936343</v>
      </c>
      <c r="E747" s="37">
        <v>600.0</v>
      </c>
      <c r="F747" s="56" t="s">
        <v>1561</v>
      </c>
      <c r="G747" s="90"/>
      <c r="H747" s="130"/>
      <c r="I747" s="130" t="s">
        <v>1065</v>
      </c>
      <c r="J747" s="26" t="s">
        <v>1225</v>
      </c>
      <c r="K747" s="26" t="s">
        <v>1562</v>
      </c>
      <c r="L747" s="26" t="s">
        <v>1576</v>
      </c>
      <c r="M747" s="26" t="s">
        <v>1564</v>
      </c>
      <c r="N747" s="26" t="s">
        <v>1566</v>
      </c>
      <c r="O747" s="26" t="s">
        <v>1566</v>
      </c>
      <c r="P747" s="26" t="s">
        <v>22</v>
      </c>
      <c r="Q747" s="26">
        <v>1500.0</v>
      </c>
    </row>
    <row r="748" ht="17.25" customHeight="1">
      <c r="A748" s="167">
        <v>46098.71745645833</v>
      </c>
      <c r="B748" s="27" t="s">
        <v>1064</v>
      </c>
      <c r="C748" s="56" t="s">
        <v>1892</v>
      </c>
      <c r="D748" s="167">
        <v>46098.54715936343</v>
      </c>
      <c r="E748" s="37">
        <v>600.0</v>
      </c>
      <c r="F748" s="56" t="s">
        <v>1561</v>
      </c>
      <c r="G748" s="56">
        <v>632.0</v>
      </c>
      <c r="H748" s="130"/>
      <c r="I748" s="130" t="s">
        <v>1065</v>
      </c>
      <c r="J748" s="26" t="s">
        <v>1225</v>
      </c>
      <c r="K748" s="26" t="s">
        <v>1562</v>
      </c>
      <c r="L748" s="26" t="s">
        <v>1576</v>
      </c>
      <c r="M748" s="26" t="s">
        <v>1564</v>
      </c>
      <c r="N748" s="26" t="s">
        <v>1566</v>
      </c>
      <c r="O748" s="26" t="s">
        <v>1566</v>
      </c>
      <c r="P748" s="26" t="s">
        <v>22</v>
      </c>
      <c r="Q748" s="26">
        <v>1500.0</v>
      </c>
    </row>
    <row r="749" ht="17.25" customHeight="1">
      <c r="A749" s="167">
        <v>46099.52750483796</v>
      </c>
      <c r="B749" s="25" t="s">
        <v>304</v>
      </c>
      <c r="C749" s="56" t="s">
        <v>1892</v>
      </c>
      <c r="D749" s="167">
        <v>46099.52750483796</v>
      </c>
      <c r="E749" s="37">
        <v>2.0</v>
      </c>
      <c r="F749" s="56" t="s">
        <v>1899</v>
      </c>
      <c r="G749" s="90"/>
      <c r="H749" s="130"/>
      <c r="I749" s="130" t="s">
        <v>306</v>
      </c>
      <c r="J749" s="26" t="s">
        <v>1674</v>
      </c>
      <c r="K749" s="26" t="s">
        <v>1675</v>
      </c>
      <c r="L749" s="26" t="s">
        <v>1566</v>
      </c>
      <c r="M749" s="26" t="s">
        <v>1566</v>
      </c>
      <c r="N749" s="26" t="s">
        <v>1682</v>
      </c>
      <c r="O749" s="26" t="s">
        <v>1677</v>
      </c>
      <c r="P749" s="26" t="s">
        <v>290</v>
      </c>
      <c r="Q749" s="26">
        <v>6.0</v>
      </c>
    </row>
    <row r="750" ht="17.25" customHeight="1">
      <c r="A750" s="167">
        <v>46099.527625243056</v>
      </c>
      <c r="B750" s="25" t="s">
        <v>287</v>
      </c>
      <c r="C750" s="56" t="s">
        <v>1892</v>
      </c>
      <c r="D750" s="167">
        <v>46099.52750483796</v>
      </c>
      <c r="E750" s="37">
        <v>2.0</v>
      </c>
      <c r="F750" s="56" t="s">
        <v>1899</v>
      </c>
      <c r="G750" s="90"/>
      <c r="H750" s="130"/>
      <c r="I750" s="130" t="s">
        <v>288</v>
      </c>
      <c r="J750" s="26" t="s">
        <v>1674</v>
      </c>
      <c r="K750" s="26" t="s">
        <v>1675</v>
      </c>
      <c r="L750" s="26" t="s">
        <v>1566</v>
      </c>
      <c r="M750" s="26" t="s">
        <v>1566</v>
      </c>
      <c r="N750" s="26" t="s">
        <v>1676</v>
      </c>
      <c r="O750" s="26" t="s">
        <v>1677</v>
      </c>
      <c r="P750" s="26" t="s">
        <v>290</v>
      </c>
      <c r="Q750" s="26">
        <v>16.0</v>
      </c>
    </row>
    <row r="751" ht="17.25" customHeight="1">
      <c r="A751" s="167">
        <v>46099.52811436343</v>
      </c>
      <c r="B751" s="23" t="s">
        <v>301</v>
      </c>
      <c r="C751" s="56" t="s">
        <v>1892</v>
      </c>
      <c r="D751" s="167">
        <v>46099.52750483796</v>
      </c>
      <c r="E751" s="37">
        <v>10.0</v>
      </c>
      <c r="F751" s="56" t="s">
        <v>1899</v>
      </c>
      <c r="G751" s="90"/>
      <c r="H751" s="130"/>
      <c r="I751" s="130" t="s">
        <v>302</v>
      </c>
      <c r="J751" s="26" t="s">
        <v>1830</v>
      </c>
      <c r="K751" s="26" t="s">
        <v>302</v>
      </c>
      <c r="L751" s="26" t="s">
        <v>1566</v>
      </c>
      <c r="M751" s="26" t="s">
        <v>1566</v>
      </c>
      <c r="N751" s="26" t="s">
        <v>1566</v>
      </c>
      <c r="O751" s="26" t="s">
        <v>1566</v>
      </c>
      <c r="P751" s="26" t="s">
        <v>661</v>
      </c>
      <c r="Q751" s="26">
        <v>580.0</v>
      </c>
    </row>
    <row r="752" ht="17.25" customHeight="1">
      <c r="A752" s="167">
        <v>46099.52846868055</v>
      </c>
      <c r="B752" s="23" t="s">
        <v>876</v>
      </c>
      <c r="C752" s="56" t="s">
        <v>1892</v>
      </c>
      <c r="D752" s="167">
        <v>46099.52750483796</v>
      </c>
      <c r="E752" s="37">
        <v>4.0</v>
      </c>
      <c r="F752" s="56" t="s">
        <v>2141</v>
      </c>
      <c r="G752" s="90"/>
      <c r="H752" s="130"/>
      <c r="I752" s="130" t="s">
        <v>878</v>
      </c>
      <c r="J752" s="26" t="s">
        <v>1830</v>
      </c>
      <c r="K752" s="26" t="s">
        <v>1879</v>
      </c>
      <c r="L752" s="26" t="s">
        <v>1566</v>
      </c>
      <c r="M752" s="26" t="s">
        <v>1566</v>
      </c>
      <c r="N752" s="26" t="s">
        <v>1566</v>
      </c>
      <c r="O752" s="26" t="s">
        <v>1566</v>
      </c>
      <c r="P752" s="26" t="s">
        <v>643</v>
      </c>
      <c r="Q752" s="26">
        <v>34.0</v>
      </c>
    </row>
    <row r="753" ht="17.25" customHeight="1">
      <c r="A753" s="167">
        <v>46099.528904363426</v>
      </c>
      <c r="B753" s="23" t="s">
        <v>222</v>
      </c>
      <c r="C753" s="56" t="s">
        <v>1892</v>
      </c>
      <c r="D753" s="167">
        <v>46099.52750483796</v>
      </c>
      <c r="E753" s="37">
        <v>2.0</v>
      </c>
      <c r="F753" s="56" t="s">
        <v>2141</v>
      </c>
      <c r="G753" s="90"/>
      <c r="H753" s="130"/>
      <c r="I753" s="130" t="s">
        <v>230</v>
      </c>
      <c r="J753" s="26" t="s">
        <v>1821</v>
      </c>
      <c r="K753" s="26" t="s">
        <v>1822</v>
      </c>
      <c r="L753" s="26" t="s">
        <v>1828</v>
      </c>
      <c r="M753" s="26" t="s">
        <v>1590</v>
      </c>
      <c r="N753" s="26" t="s">
        <v>1566</v>
      </c>
      <c r="O753" s="26" t="s">
        <v>1566</v>
      </c>
      <c r="P753" s="26" t="s">
        <v>661</v>
      </c>
      <c r="Q753" s="26">
        <v>60.0</v>
      </c>
    </row>
    <row r="754" ht="17.25" customHeight="1">
      <c r="A754" s="167">
        <v>46099.538219560185</v>
      </c>
      <c r="B754" s="25" t="s">
        <v>994</v>
      </c>
      <c r="C754" s="56" t="s">
        <v>1892</v>
      </c>
      <c r="D754" s="173">
        <v>46090.0</v>
      </c>
      <c r="E754" s="37">
        <v>1.0</v>
      </c>
      <c r="F754" s="56" t="s">
        <v>2142</v>
      </c>
      <c r="G754" s="56" t="s">
        <v>2096</v>
      </c>
      <c r="H754" s="130"/>
      <c r="I754" s="130" t="s">
        <v>995</v>
      </c>
      <c r="J754" s="26" t="s">
        <v>1807</v>
      </c>
      <c r="K754" s="26" t="s">
        <v>1889</v>
      </c>
      <c r="L754" s="26" t="s">
        <v>1566</v>
      </c>
      <c r="M754" s="26" t="s">
        <v>1566</v>
      </c>
      <c r="N754" s="26" t="s">
        <v>1566</v>
      </c>
      <c r="O754" s="26" t="s">
        <v>1566</v>
      </c>
      <c r="P754" s="26" t="s">
        <v>661</v>
      </c>
      <c r="Q754" s="26">
        <v>9.0</v>
      </c>
    </row>
    <row r="755" ht="17.25" customHeight="1">
      <c r="A755" s="167">
        <v>46099.53822960648</v>
      </c>
      <c r="B755" s="25" t="s">
        <v>994</v>
      </c>
      <c r="C755" s="56" t="s">
        <v>1892</v>
      </c>
      <c r="D755" s="173">
        <v>46095.0</v>
      </c>
      <c r="E755" s="37">
        <v>1.0</v>
      </c>
      <c r="F755" s="56" t="s">
        <v>2142</v>
      </c>
      <c r="G755" s="56"/>
      <c r="H755" s="130"/>
      <c r="I755" s="130" t="s">
        <v>995</v>
      </c>
      <c r="J755" s="26" t="s">
        <v>1807</v>
      </c>
      <c r="K755" s="26" t="s">
        <v>1889</v>
      </c>
      <c r="L755" s="26" t="s">
        <v>1566</v>
      </c>
      <c r="M755" s="26" t="s">
        <v>1566</v>
      </c>
      <c r="N755" s="26" t="s">
        <v>1566</v>
      </c>
      <c r="O755" s="26" t="s">
        <v>1566</v>
      </c>
      <c r="P755" s="26" t="s">
        <v>661</v>
      </c>
      <c r="Q755" s="26">
        <v>9.0</v>
      </c>
    </row>
    <row r="756" ht="17.25" customHeight="1">
      <c r="A756" s="167">
        <v>46099.538229502316</v>
      </c>
      <c r="B756" s="25" t="s">
        <v>994</v>
      </c>
      <c r="C756" s="56" t="s">
        <v>1560</v>
      </c>
      <c r="D756" s="173">
        <v>46098.0</v>
      </c>
      <c r="E756" s="37">
        <v>24.0</v>
      </c>
      <c r="F756" s="56" t="s">
        <v>1673</v>
      </c>
      <c r="G756" s="90"/>
      <c r="H756" s="130"/>
      <c r="I756" s="130" t="s">
        <v>995</v>
      </c>
      <c r="J756" s="26" t="s">
        <v>1807</v>
      </c>
      <c r="K756" s="26" t="s">
        <v>1889</v>
      </c>
      <c r="L756" s="26" t="s">
        <v>1566</v>
      </c>
      <c r="M756" s="26" t="s">
        <v>1566</v>
      </c>
      <c r="N756" s="26" t="s">
        <v>1566</v>
      </c>
      <c r="O756" s="26" t="s">
        <v>1566</v>
      </c>
      <c r="P756" s="26" t="s">
        <v>661</v>
      </c>
      <c r="Q756" s="26">
        <v>9.0</v>
      </c>
    </row>
    <row r="757" ht="17.25" customHeight="1">
      <c r="A757" s="167">
        <v>46099.54027305555</v>
      </c>
      <c r="B757" s="25" t="s">
        <v>304</v>
      </c>
      <c r="C757" s="56" t="s">
        <v>1892</v>
      </c>
      <c r="D757" s="173">
        <v>46094.0</v>
      </c>
      <c r="E757" s="37">
        <v>2.0</v>
      </c>
      <c r="F757" s="56" t="s">
        <v>1899</v>
      </c>
      <c r="G757" s="90"/>
      <c r="H757" s="130"/>
      <c r="I757" s="130" t="s">
        <v>306</v>
      </c>
      <c r="J757" s="26" t="s">
        <v>1674</v>
      </c>
      <c r="K757" s="26" t="s">
        <v>1675</v>
      </c>
      <c r="L757" s="26" t="s">
        <v>1566</v>
      </c>
      <c r="M757" s="26" t="s">
        <v>1566</v>
      </c>
      <c r="N757" s="26" t="s">
        <v>1682</v>
      </c>
      <c r="O757" s="26" t="s">
        <v>1677</v>
      </c>
      <c r="P757" s="26" t="s">
        <v>290</v>
      </c>
      <c r="Q757" s="26">
        <v>6.0</v>
      </c>
    </row>
    <row r="758" ht="17.25" customHeight="1">
      <c r="A758" s="167">
        <v>46099.68434702547</v>
      </c>
      <c r="B758" s="25" t="s">
        <v>32</v>
      </c>
      <c r="C758" s="56" t="s">
        <v>1892</v>
      </c>
      <c r="D758" s="167">
        <v>46099.68434702547</v>
      </c>
      <c r="E758" s="37">
        <v>1.0</v>
      </c>
      <c r="F758" s="56" t="s">
        <v>1899</v>
      </c>
      <c r="G758" s="90"/>
      <c r="H758" s="130"/>
      <c r="I758" s="130" t="s">
        <v>34</v>
      </c>
      <c r="J758" s="26" t="s">
        <v>1807</v>
      </c>
      <c r="K758" s="26" t="s">
        <v>1807</v>
      </c>
      <c r="L758" s="26" t="s">
        <v>1566</v>
      </c>
      <c r="M758" s="26" t="s">
        <v>1566</v>
      </c>
      <c r="N758" s="26" t="s">
        <v>1566</v>
      </c>
      <c r="O758" s="26" t="s">
        <v>1808</v>
      </c>
      <c r="P758" s="26" t="s">
        <v>290</v>
      </c>
      <c r="Q758" s="26">
        <v>7.0</v>
      </c>
    </row>
    <row r="759" ht="17.25" customHeight="1">
      <c r="A759" s="167">
        <v>46099.684590335644</v>
      </c>
      <c r="B759" s="23" t="s">
        <v>359</v>
      </c>
      <c r="C759" s="56" t="s">
        <v>1892</v>
      </c>
      <c r="D759" s="167">
        <v>46099.68434702547</v>
      </c>
      <c r="E759" s="37">
        <v>5.0</v>
      </c>
      <c r="F759" s="56" t="s">
        <v>1894</v>
      </c>
      <c r="G759" s="90"/>
      <c r="H759" s="130"/>
      <c r="I759" s="130" t="s">
        <v>370</v>
      </c>
      <c r="J759" s="26" t="s">
        <v>370</v>
      </c>
      <c r="K759" s="26" t="s">
        <v>370</v>
      </c>
      <c r="L759" s="26" t="s">
        <v>1566</v>
      </c>
      <c r="M759" s="26" t="s">
        <v>1566</v>
      </c>
      <c r="N759" s="26" t="s">
        <v>1566</v>
      </c>
      <c r="O759" s="26" t="s">
        <v>1566</v>
      </c>
      <c r="P759" s="26" t="s">
        <v>661</v>
      </c>
      <c r="Q759" s="26">
        <v>100.0</v>
      </c>
    </row>
    <row r="760" ht="17.25" customHeight="1">
      <c r="A760" s="167">
        <v>46099.747366180556</v>
      </c>
      <c r="B760" s="25" t="s">
        <v>32</v>
      </c>
      <c r="C760" s="56" t="s">
        <v>1560</v>
      </c>
      <c r="D760" s="167">
        <v>46099.68434702547</v>
      </c>
      <c r="E760" s="37">
        <v>2.0</v>
      </c>
      <c r="F760" s="56" t="s">
        <v>1673</v>
      </c>
      <c r="G760" s="90"/>
      <c r="H760" s="130"/>
      <c r="I760" s="130" t="s">
        <v>34</v>
      </c>
      <c r="J760" s="26" t="s">
        <v>1807</v>
      </c>
      <c r="K760" s="26" t="s">
        <v>1807</v>
      </c>
      <c r="L760" s="26" t="s">
        <v>1566</v>
      </c>
      <c r="M760" s="26" t="s">
        <v>1566</v>
      </c>
      <c r="N760" s="26" t="s">
        <v>1566</v>
      </c>
      <c r="O760" s="26" t="s">
        <v>1808</v>
      </c>
      <c r="P760" s="26" t="s">
        <v>290</v>
      </c>
      <c r="Q760" s="26">
        <v>7.0</v>
      </c>
    </row>
    <row r="761" ht="17.25" customHeight="1">
      <c r="A761" s="167">
        <v>46099.74802486111</v>
      </c>
      <c r="B761" s="27" t="s">
        <v>901</v>
      </c>
      <c r="C761" s="56" t="s">
        <v>1560</v>
      </c>
      <c r="D761" s="167">
        <v>46099.68434702547</v>
      </c>
      <c r="E761" s="37">
        <v>20.0</v>
      </c>
      <c r="F761" s="56" t="s">
        <v>1673</v>
      </c>
      <c r="G761" s="90"/>
      <c r="H761" s="130"/>
      <c r="I761" s="130" t="s">
        <v>904</v>
      </c>
      <c r="J761" s="26" t="s">
        <v>1807</v>
      </c>
      <c r="K761" s="26" t="s">
        <v>1807</v>
      </c>
      <c r="L761" s="26" t="s">
        <v>1566</v>
      </c>
      <c r="M761" s="26" t="s">
        <v>1566</v>
      </c>
      <c r="N761" s="26" t="s">
        <v>1566</v>
      </c>
      <c r="O761" s="26" t="s">
        <v>1808</v>
      </c>
      <c r="P761" s="26" t="s">
        <v>290</v>
      </c>
      <c r="Q761" s="26">
        <v>20.0</v>
      </c>
    </row>
    <row r="762" ht="17.25" customHeight="1">
      <c r="A762" s="167">
        <v>46099.748750694445</v>
      </c>
      <c r="B762" s="23" t="s">
        <v>222</v>
      </c>
      <c r="C762" s="56" t="s">
        <v>1892</v>
      </c>
      <c r="D762" s="167">
        <v>46099.68434702547</v>
      </c>
      <c r="E762" s="37">
        <v>1.0</v>
      </c>
      <c r="F762" s="56" t="s">
        <v>2143</v>
      </c>
      <c r="G762" s="90"/>
      <c r="H762" s="130"/>
      <c r="I762" s="130" t="s">
        <v>230</v>
      </c>
      <c r="J762" s="26" t="s">
        <v>1821</v>
      </c>
      <c r="K762" s="26" t="s">
        <v>1822</v>
      </c>
      <c r="L762" s="26" t="s">
        <v>1828</v>
      </c>
      <c r="M762" s="26" t="s">
        <v>1590</v>
      </c>
      <c r="N762" s="26" t="s">
        <v>1566</v>
      </c>
      <c r="O762" s="26" t="s">
        <v>1566</v>
      </c>
      <c r="P762" s="26" t="s">
        <v>661</v>
      </c>
      <c r="Q762" s="26">
        <v>60.0</v>
      </c>
    </row>
    <row r="763" ht="17.25" customHeight="1">
      <c r="A763" s="167">
        <v>46099.749545659724</v>
      </c>
      <c r="B763" s="23" t="s">
        <v>876</v>
      </c>
      <c r="C763" s="56" t="s">
        <v>1892</v>
      </c>
      <c r="D763" s="167">
        <v>46099.68434702547</v>
      </c>
      <c r="E763" s="37">
        <v>3.0</v>
      </c>
      <c r="F763" s="56" t="s">
        <v>2143</v>
      </c>
      <c r="G763" s="90"/>
      <c r="H763" s="130"/>
      <c r="I763" s="130" t="s">
        <v>878</v>
      </c>
      <c r="J763" s="26" t="s">
        <v>1830</v>
      </c>
      <c r="K763" s="26" t="s">
        <v>1879</v>
      </c>
      <c r="L763" s="26" t="s">
        <v>1566</v>
      </c>
      <c r="M763" s="26" t="s">
        <v>1566</v>
      </c>
      <c r="N763" s="26" t="s">
        <v>1566</v>
      </c>
      <c r="O763" s="26" t="s">
        <v>1566</v>
      </c>
      <c r="P763" s="26" t="s">
        <v>643</v>
      </c>
      <c r="Q763" s="26">
        <v>34.0</v>
      </c>
    </row>
    <row r="764" ht="17.25" customHeight="1">
      <c r="A764" s="167">
        <v>46099.74976872685</v>
      </c>
      <c r="B764" s="23" t="s">
        <v>301</v>
      </c>
      <c r="C764" s="56" t="s">
        <v>1892</v>
      </c>
      <c r="D764" s="167">
        <v>46099.68434702547</v>
      </c>
      <c r="E764" s="37">
        <v>4.0</v>
      </c>
      <c r="F764" s="56" t="s">
        <v>2144</v>
      </c>
      <c r="G764" s="90"/>
      <c r="H764" s="130"/>
      <c r="I764" s="130" t="s">
        <v>302</v>
      </c>
      <c r="J764" s="26" t="s">
        <v>1830</v>
      </c>
      <c r="K764" s="26" t="s">
        <v>302</v>
      </c>
      <c r="L764" s="26" t="s">
        <v>1566</v>
      </c>
      <c r="M764" s="26" t="s">
        <v>1566</v>
      </c>
      <c r="N764" s="26" t="s">
        <v>1566</v>
      </c>
      <c r="O764" s="26" t="s">
        <v>1566</v>
      </c>
      <c r="P764" s="26" t="s">
        <v>661</v>
      </c>
      <c r="Q764" s="26">
        <v>580.0</v>
      </c>
    </row>
    <row r="765" ht="17.25" customHeight="1">
      <c r="A765" s="167">
        <v>46099.751155543985</v>
      </c>
      <c r="B765" s="25" t="s">
        <v>847</v>
      </c>
      <c r="C765" s="56" t="s">
        <v>1892</v>
      </c>
      <c r="D765" s="167">
        <v>46099.68434702547</v>
      </c>
      <c r="E765" s="37">
        <v>1.0</v>
      </c>
      <c r="F765" s="56" t="s">
        <v>1844</v>
      </c>
      <c r="G765" s="90"/>
      <c r="H765" s="130"/>
      <c r="I765" s="130" t="s">
        <v>849</v>
      </c>
      <c r="J765" s="26" t="s">
        <v>1844</v>
      </c>
      <c r="K765" s="26" t="s">
        <v>1846</v>
      </c>
      <c r="L765" s="26" t="s">
        <v>1870</v>
      </c>
      <c r="M765" s="26" t="s">
        <v>1566</v>
      </c>
      <c r="N765" s="26" t="s">
        <v>1566</v>
      </c>
      <c r="O765" s="26" t="s">
        <v>1808</v>
      </c>
      <c r="P765" s="26" t="s">
        <v>661</v>
      </c>
      <c r="Q765" s="26">
        <v>1.0</v>
      </c>
    </row>
    <row r="766" ht="17.25" customHeight="1">
      <c r="A766" s="167">
        <v>46100.41891334491</v>
      </c>
      <c r="B766" s="25" t="s">
        <v>359</v>
      </c>
      <c r="C766" s="56" t="s">
        <v>1892</v>
      </c>
      <c r="D766" s="167">
        <v>46100.41891334491</v>
      </c>
      <c r="E766" s="37">
        <v>6.0</v>
      </c>
      <c r="F766" s="56" t="s">
        <v>1894</v>
      </c>
      <c r="G766" s="90"/>
      <c r="H766" s="130"/>
      <c r="I766" s="130" t="s">
        <v>370</v>
      </c>
      <c r="J766" s="26" t="s">
        <v>370</v>
      </c>
      <c r="K766" s="26" t="s">
        <v>370</v>
      </c>
      <c r="L766" s="26" t="s">
        <v>1566</v>
      </c>
      <c r="M766" s="26" t="s">
        <v>1566</v>
      </c>
      <c r="N766" s="26" t="s">
        <v>1566</v>
      </c>
      <c r="O766" s="26" t="s">
        <v>1566</v>
      </c>
      <c r="P766" s="26" t="s">
        <v>661</v>
      </c>
      <c r="Q766" s="26">
        <v>100.0</v>
      </c>
    </row>
    <row r="767" ht="17.25" customHeight="1">
      <c r="A767" s="167">
        <v>46100.42022778935</v>
      </c>
      <c r="B767" s="25" t="s">
        <v>359</v>
      </c>
      <c r="C767" s="56" t="s">
        <v>1892</v>
      </c>
      <c r="D767" s="167">
        <v>46100.41891334491</v>
      </c>
      <c r="E767" s="37">
        <v>8.0</v>
      </c>
      <c r="F767" s="56" t="s">
        <v>1898</v>
      </c>
      <c r="G767" s="90"/>
      <c r="H767" s="130"/>
      <c r="I767" s="130" t="s">
        <v>370</v>
      </c>
      <c r="J767" s="26" t="s">
        <v>370</v>
      </c>
      <c r="K767" s="26" t="s">
        <v>370</v>
      </c>
      <c r="L767" s="26" t="s">
        <v>1566</v>
      </c>
      <c r="M767" s="26" t="s">
        <v>1566</v>
      </c>
      <c r="N767" s="26" t="s">
        <v>1566</v>
      </c>
      <c r="O767" s="26" t="s">
        <v>1566</v>
      </c>
      <c r="P767" s="26" t="s">
        <v>661</v>
      </c>
      <c r="Q767" s="26">
        <v>100.0</v>
      </c>
    </row>
    <row r="768" ht="17.25" customHeight="1">
      <c r="A768" s="167">
        <v>46100.42189600694</v>
      </c>
      <c r="B768" s="25" t="s">
        <v>312</v>
      </c>
      <c r="C768" s="56" t="s">
        <v>1892</v>
      </c>
      <c r="D768" s="167">
        <v>46100.41891334491</v>
      </c>
      <c r="E768" s="37">
        <v>2.0</v>
      </c>
      <c r="F768" s="56" t="s">
        <v>1894</v>
      </c>
      <c r="G768" s="90"/>
      <c r="H768" s="130"/>
      <c r="I768" s="130" t="s">
        <v>319</v>
      </c>
      <c r="J768" s="26" t="s">
        <v>1821</v>
      </c>
      <c r="K768" s="26" t="s">
        <v>1822</v>
      </c>
      <c r="L768" s="26" t="s">
        <v>1566</v>
      </c>
      <c r="M768" s="26" t="s">
        <v>1566</v>
      </c>
      <c r="N768" s="26" t="s">
        <v>1566</v>
      </c>
      <c r="O768" s="26" t="s">
        <v>1829</v>
      </c>
      <c r="P768" s="26" t="s">
        <v>661</v>
      </c>
      <c r="Q768" s="26">
        <v>17.0</v>
      </c>
    </row>
    <row r="769" ht="17.25" customHeight="1">
      <c r="A769" s="167">
        <v>46100.42237824074</v>
      </c>
      <c r="B769" s="25" t="s">
        <v>271</v>
      </c>
      <c r="C769" s="56" t="s">
        <v>1892</v>
      </c>
      <c r="D769" s="167">
        <v>46100.41891334491</v>
      </c>
      <c r="E769" s="37">
        <v>3.0</v>
      </c>
      <c r="F769" s="56" t="s">
        <v>1894</v>
      </c>
      <c r="G769" s="90"/>
      <c r="H769" s="130"/>
      <c r="I769" s="130" t="s">
        <v>277</v>
      </c>
      <c r="J769" s="26" t="s">
        <v>1821</v>
      </c>
      <c r="K769" s="26" t="s">
        <v>1822</v>
      </c>
      <c r="L769" s="26" t="s">
        <v>1824</v>
      </c>
      <c r="M769" s="26" t="s">
        <v>1566</v>
      </c>
      <c r="N769" s="26" t="s">
        <v>1566</v>
      </c>
      <c r="O769" s="26" t="s">
        <v>1566</v>
      </c>
      <c r="P769" s="26" t="s">
        <v>661</v>
      </c>
      <c r="Q769" s="26">
        <v>45.0</v>
      </c>
    </row>
    <row r="770" ht="17.25" customHeight="1">
      <c r="A770" s="167">
        <v>46100.42290496528</v>
      </c>
      <c r="B770" s="25" t="s">
        <v>667</v>
      </c>
      <c r="C770" s="56" t="s">
        <v>1892</v>
      </c>
      <c r="D770" s="167">
        <v>46100.41891334491</v>
      </c>
      <c r="E770" s="37">
        <v>1.0</v>
      </c>
      <c r="F770" s="56" t="s">
        <v>1894</v>
      </c>
      <c r="G770" s="90"/>
      <c r="H770" s="130"/>
      <c r="I770" s="130" t="s">
        <v>668</v>
      </c>
      <c r="J770" s="26" t="s">
        <v>1821</v>
      </c>
      <c r="K770" s="26" t="s">
        <v>1822</v>
      </c>
      <c r="L770" s="26" t="s">
        <v>1824</v>
      </c>
      <c r="M770" s="26" t="s">
        <v>1566</v>
      </c>
      <c r="N770" s="26" t="s">
        <v>1566</v>
      </c>
      <c r="O770" s="26" t="s">
        <v>1566</v>
      </c>
      <c r="P770" s="26" t="s">
        <v>661</v>
      </c>
      <c r="Q770" s="26">
        <v>8.0</v>
      </c>
    </row>
    <row r="771" ht="17.25" customHeight="1">
      <c r="A771" s="167">
        <v>46100.423274872686</v>
      </c>
      <c r="B771" s="23" t="s">
        <v>301</v>
      </c>
      <c r="C771" s="56" t="s">
        <v>1892</v>
      </c>
      <c r="D771" s="167">
        <v>46100.41891334491</v>
      </c>
      <c r="E771" s="37">
        <v>5.0</v>
      </c>
      <c r="F771" s="56" t="s">
        <v>1894</v>
      </c>
      <c r="G771" s="90"/>
      <c r="H771" s="130"/>
      <c r="I771" s="130" t="s">
        <v>302</v>
      </c>
      <c r="J771" s="26" t="s">
        <v>1830</v>
      </c>
      <c r="K771" s="26" t="s">
        <v>302</v>
      </c>
      <c r="L771" s="26" t="s">
        <v>1566</v>
      </c>
      <c r="M771" s="26" t="s">
        <v>1566</v>
      </c>
      <c r="N771" s="26" t="s">
        <v>1566</v>
      </c>
      <c r="O771" s="26" t="s">
        <v>1566</v>
      </c>
      <c r="P771" s="26" t="s">
        <v>661</v>
      </c>
      <c r="Q771" s="26">
        <v>580.0</v>
      </c>
    </row>
    <row r="772" ht="17.25" customHeight="1">
      <c r="A772" s="167">
        <v>46100.428449259256</v>
      </c>
      <c r="B772" s="25" t="s">
        <v>222</v>
      </c>
      <c r="C772" s="56" t="s">
        <v>1892</v>
      </c>
      <c r="D772" s="167">
        <v>46100.41891334491</v>
      </c>
      <c r="E772" s="37">
        <v>1.0</v>
      </c>
      <c r="F772" s="56" t="s">
        <v>1908</v>
      </c>
      <c r="G772" s="90"/>
      <c r="H772" s="130"/>
      <c r="I772" s="130" t="s">
        <v>230</v>
      </c>
      <c r="J772" s="26" t="s">
        <v>1821</v>
      </c>
      <c r="K772" s="26" t="s">
        <v>1822</v>
      </c>
      <c r="L772" s="26" t="s">
        <v>1828</v>
      </c>
      <c r="M772" s="26" t="s">
        <v>1590</v>
      </c>
      <c r="N772" s="26" t="s">
        <v>1566</v>
      </c>
      <c r="O772" s="26" t="s">
        <v>1566</v>
      </c>
      <c r="P772" s="26" t="s">
        <v>661</v>
      </c>
      <c r="Q772" s="26">
        <v>60.0</v>
      </c>
    </row>
    <row r="773" ht="17.25" customHeight="1">
      <c r="A773" s="167">
        <v>46100.50770443287</v>
      </c>
      <c r="B773" s="25" t="s">
        <v>951</v>
      </c>
      <c r="C773" s="56" t="s">
        <v>1892</v>
      </c>
      <c r="D773" s="167">
        <v>46100.41891334491</v>
      </c>
      <c r="E773" s="37">
        <v>1700.0</v>
      </c>
      <c r="F773" s="56" t="s">
        <v>1561</v>
      </c>
      <c r="G773" s="90"/>
      <c r="H773" s="130"/>
      <c r="I773" s="130" t="s">
        <v>953</v>
      </c>
      <c r="J773" s="26" t="s">
        <v>1225</v>
      </c>
      <c r="K773" s="26" t="s">
        <v>1562</v>
      </c>
      <c r="L773" s="26" t="s">
        <v>1910</v>
      </c>
      <c r="M773" s="26" t="s">
        <v>1597</v>
      </c>
      <c r="N773" s="26" t="s">
        <v>1566</v>
      </c>
      <c r="O773" s="26" t="s">
        <v>1566</v>
      </c>
      <c r="P773" s="26" t="s">
        <v>22</v>
      </c>
      <c r="Q773" s="26">
        <v>990.0</v>
      </c>
    </row>
    <row r="774" ht="17.25" customHeight="1">
      <c r="A774" s="167">
        <v>46100.71681679398</v>
      </c>
      <c r="B774" s="27" t="s">
        <v>989</v>
      </c>
      <c r="C774" s="56" t="s">
        <v>1560</v>
      </c>
      <c r="D774" s="167">
        <v>46100.41891334491</v>
      </c>
      <c r="E774" s="37">
        <v>2.0</v>
      </c>
      <c r="F774" s="56" t="s">
        <v>1673</v>
      </c>
      <c r="G774" s="90"/>
      <c r="H774" s="130"/>
      <c r="I774" s="130" t="s">
        <v>991</v>
      </c>
      <c r="J774" s="26" t="s">
        <v>1674</v>
      </c>
      <c r="K774" s="26" t="s">
        <v>1691</v>
      </c>
      <c r="L774" s="26" t="s">
        <v>1566</v>
      </c>
      <c r="M774" s="26" t="s">
        <v>1566</v>
      </c>
      <c r="N774" s="26" t="s">
        <v>2110</v>
      </c>
      <c r="O774" s="26" t="s">
        <v>1566</v>
      </c>
      <c r="P774" s="26" t="s">
        <v>290</v>
      </c>
      <c r="Q774" s="26">
        <v>15.0</v>
      </c>
    </row>
    <row r="775" ht="17.25" customHeight="1">
      <c r="A775" s="167">
        <v>46100.71962092593</v>
      </c>
      <c r="B775" s="23" t="s">
        <v>301</v>
      </c>
      <c r="C775" s="56" t="s">
        <v>1892</v>
      </c>
      <c r="D775" s="167">
        <v>46100.41891334491</v>
      </c>
      <c r="E775" s="37">
        <v>10.0</v>
      </c>
      <c r="F775" s="56" t="s">
        <v>1900</v>
      </c>
      <c r="G775" s="90"/>
      <c r="H775" s="130"/>
      <c r="I775" s="130" t="s">
        <v>302</v>
      </c>
      <c r="J775" s="26" t="s">
        <v>1830</v>
      </c>
      <c r="K775" s="26" t="s">
        <v>302</v>
      </c>
      <c r="L775" s="26" t="s">
        <v>1566</v>
      </c>
      <c r="M775" s="26" t="s">
        <v>1566</v>
      </c>
      <c r="N775" s="26" t="s">
        <v>1566</v>
      </c>
      <c r="O775" s="26" t="s">
        <v>1566</v>
      </c>
      <c r="P775" s="26" t="s">
        <v>661</v>
      </c>
      <c r="Q775" s="26">
        <v>580.0</v>
      </c>
    </row>
    <row r="776" ht="17.25" customHeight="1">
      <c r="A776" s="167">
        <v>46101.42709534722</v>
      </c>
      <c r="B776" s="25" t="s">
        <v>562</v>
      </c>
      <c r="C776" s="56" t="s">
        <v>1892</v>
      </c>
      <c r="D776" s="167">
        <v>46101.42709534722</v>
      </c>
      <c r="E776" s="37">
        <v>1.0</v>
      </c>
      <c r="F776" s="56" t="s">
        <v>2147</v>
      </c>
      <c r="G776" s="90"/>
      <c r="H776" s="130"/>
      <c r="I776" s="130" t="s">
        <v>567</v>
      </c>
      <c r="J776" s="26" t="s">
        <v>1812</v>
      </c>
      <c r="K776" s="26" t="s">
        <v>1815</v>
      </c>
      <c r="L776" s="26" t="s">
        <v>1566</v>
      </c>
      <c r="M776" s="26" t="s">
        <v>1566</v>
      </c>
      <c r="N776" s="26" t="s">
        <v>1566</v>
      </c>
      <c r="O776" s="26" t="s">
        <v>1838</v>
      </c>
      <c r="P776" s="26" t="s">
        <v>616</v>
      </c>
      <c r="Q776" s="26">
        <v>4.0</v>
      </c>
    </row>
    <row r="777" ht="17.25" customHeight="1">
      <c r="A777" s="167">
        <v>46101.4280502662</v>
      </c>
      <c r="B777" s="56" t="s">
        <v>32</v>
      </c>
      <c r="C777" s="56" t="s">
        <v>1892</v>
      </c>
      <c r="D777" s="167">
        <v>46101.42709534722</v>
      </c>
      <c r="E777" s="37">
        <v>1.0</v>
      </c>
      <c r="F777" s="56" t="s">
        <v>2147</v>
      </c>
      <c r="G777" s="90"/>
      <c r="H777" s="130"/>
      <c r="I777" s="130" t="s">
        <v>34</v>
      </c>
      <c r="J777" s="26" t="s">
        <v>1807</v>
      </c>
      <c r="K777" s="26" t="s">
        <v>1807</v>
      </c>
      <c r="L777" s="26" t="s">
        <v>1566</v>
      </c>
      <c r="M777" s="26" t="s">
        <v>1566</v>
      </c>
      <c r="N777" s="26" t="s">
        <v>1566</v>
      </c>
      <c r="O777" s="26" t="s">
        <v>1808</v>
      </c>
      <c r="P777" s="26" t="s">
        <v>290</v>
      </c>
      <c r="Q777" s="26">
        <v>7.0</v>
      </c>
    </row>
    <row r="778" ht="17.25" customHeight="1">
      <c r="A778" s="167">
        <v>46101.428642812505</v>
      </c>
      <c r="B778" s="27" t="s">
        <v>901</v>
      </c>
      <c r="C778" s="56" t="s">
        <v>1892</v>
      </c>
      <c r="D778" s="167">
        <v>46101.42709534722</v>
      </c>
      <c r="E778" s="37">
        <v>20.0</v>
      </c>
      <c r="F778" s="56" t="s">
        <v>2147</v>
      </c>
      <c r="G778" s="90"/>
      <c r="H778" s="130"/>
      <c r="I778" s="130" t="s">
        <v>904</v>
      </c>
      <c r="J778" s="26" t="s">
        <v>1807</v>
      </c>
      <c r="K778" s="26" t="s">
        <v>1807</v>
      </c>
      <c r="L778" s="26" t="s">
        <v>1566</v>
      </c>
      <c r="M778" s="26" t="s">
        <v>1566</v>
      </c>
      <c r="N778" s="26" t="s">
        <v>1566</v>
      </c>
      <c r="O778" s="26" t="s">
        <v>1808</v>
      </c>
      <c r="P778" s="26" t="s">
        <v>290</v>
      </c>
      <c r="Q778" s="26">
        <v>20.0</v>
      </c>
    </row>
    <row r="779" ht="17.25" customHeight="1">
      <c r="A779" s="167">
        <v>46101.429236909724</v>
      </c>
      <c r="B779" s="25" t="s">
        <v>1039</v>
      </c>
      <c r="C779" s="56" t="s">
        <v>1892</v>
      </c>
      <c r="D779" s="167">
        <v>46101.42709534722</v>
      </c>
      <c r="E779" s="37">
        <v>1.0</v>
      </c>
      <c r="F779" s="56" t="s">
        <v>2147</v>
      </c>
      <c r="G779" s="90"/>
      <c r="H779" s="130"/>
      <c r="I779" s="130" t="s">
        <v>1040</v>
      </c>
      <c r="J779" s="26" t="s">
        <v>1830</v>
      </c>
      <c r="K779" s="26" t="s">
        <v>1833</v>
      </c>
      <c r="L779" s="26" t="s">
        <v>1566</v>
      </c>
      <c r="M779" s="26" t="s">
        <v>1566</v>
      </c>
      <c r="N779" s="26" t="s">
        <v>1566</v>
      </c>
      <c r="O779" s="26" t="s">
        <v>1566</v>
      </c>
      <c r="P779" s="26" t="s">
        <v>643</v>
      </c>
      <c r="Q779" s="26">
        <v>6.0</v>
      </c>
    </row>
    <row r="780" ht="17.25" customHeight="1">
      <c r="A780" s="167">
        <v>46101.430264525465</v>
      </c>
      <c r="B780" s="27" t="s">
        <v>1067</v>
      </c>
      <c r="C780" s="56" t="s">
        <v>1560</v>
      </c>
      <c r="D780" s="167">
        <v>46101.42709534722</v>
      </c>
      <c r="E780" s="37">
        <v>10.0</v>
      </c>
      <c r="F780" s="56" t="s">
        <v>1673</v>
      </c>
      <c r="G780" s="90"/>
      <c r="H780" s="130"/>
      <c r="I780" s="130" t="s">
        <v>1068</v>
      </c>
      <c r="J780" s="26" t="s">
        <v>1830</v>
      </c>
      <c r="K780" s="26" t="s">
        <v>1830</v>
      </c>
      <c r="L780" s="26" t="s">
        <v>1566</v>
      </c>
      <c r="M780" s="26" t="s">
        <v>1566</v>
      </c>
      <c r="N780" s="26" t="s">
        <v>1566</v>
      </c>
      <c r="O780" s="26" t="s">
        <v>1566</v>
      </c>
      <c r="P780" s="26" t="s">
        <v>661</v>
      </c>
      <c r="Q780" s="26">
        <v>10.0</v>
      </c>
    </row>
    <row r="781" ht="17.25" customHeight="1">
      <c r="A781" s="167">
        <v>46101.430669629626</v>
      </c>
      <c r="B781" s="23" t="s">
        <v>301</v>
      </c>
      <c r="C781" s="56" t="s">
        <v>1892</v>
      </c>
      <c r="D781" s="167">
        <v>46101.42709534722</v>
      </c>
      <c r="E781" s="37">
        <v>10.0</v>
      </c>
      <c r="F781" s="56" t="s">
        <v>1899</v>
      </c>
      <c r="G781" s="90"/>
      <c r="H781" s="130"/>
      <c r="I781" s="130" t="s">
        <v>302</v>
      </c>
      <c r="J781" s="26" t="s">
        <v>1830</v>
      </c>
      <c r="K781" s="26" t="s">
        <v>302</v>
      </c>
      <c r="L781" s="26" t="s">
        <v>1566</v>
      </c>
      <c r="M781" s="26" t="s">
        <v>1566</v>
      </c>
      <c r="N781" s="26" t="s">
        <v>1566</v>
      </c>
      <c r="O781" s="26" t="s">
        <v>1566</v>
      </c>
      <c r="P781" s="26" t="s">
        <v>661</v>
      </c>
      <c r="Q781" s="26">
        <v>580.0</v>
      </c>
    </row>
    <row r="782" ht="17.25" customHeight="1">
      <c r="A782" s="167">
        <v>46101.430682465274</v>
      </c>
      <c r="B782" s="23" t="s">
        <v>301</v>
      </c>
      <c r="C782" s="56" t="s">
        <v>1892</v>
      </c>
      <c r="D782" s="167">
        <v>46101.42709534722</v>
      </c>
      <c r="E782" s="37">
        <v>6.0</v>
      </c>
      <c r="F782" s="56" t="s">
        <v>2147</v>
      </c>
      <c r="G782" s="90"/>
      <c r="H782" s="130"/>
      <c r="I782" s="130" t="s">
        <v>302</v>
      </c>
      <c r="J782" s="26" t="s">
        <v>1830</v>
      </c>
      <c r="K782" s="26" t="s">
        <v>302</v>
      </c>
      <c r="L782" s="26" t="s">
        <v>1566</v>
      </c>
      <c r="M782" s="26" t="s">
        <v>1566</v>
      </c>
      <c r="N782" s="26" t="s">
        <v>1566</v>
      </c>
      <c r="O782" s="26" t="s">
        <v>1566</v>
      </c>
      <c r="P782" s="26" t="s">
        <v>661</v>
      </c>
      <c r="Q782" s="26">
        <v>580.0</v>
      </c>
    </row>
    <row r="783" ht="17.25" customHeight="1">
      <c r="A783" s="167">
        <v>46101.43213552084</v>
      </c>
      <c r="B783" s="25" t="s">
        <v>598</v>
      </c>
      <c r="C783" s="56" t="s">
        <v>1892</v>
      </c>
      <c r="D783" s="167">
        <v>46101.42709534722</v>
      </c>
      <c r="E783" s="37">
        <v>5.0</v>
      </c>
      <c r="F783" s="56" t="s">
        <v>1899</v>
      </c>
      <c r="G783" s="90"/>
      <c r="H783" s="130"/>
      <c r="I783" s="130" t="s">
        <v>604</v>
      </c>
      <c r="J783" s="26" t="s">
        <v>1812</v>
      </c>
      <c r="K783" s="26" t="s">
        <v>1815</v>
      </c>
      <c r="L783" s="26" t="s">
        <v>1566</v>
      </c>
      <c r="M783" s="26" t="s">
        <v>1566</v>
      </c>
      <c r="N783" s="26" t="s">
        <v>1566</v>
      </c>
      <c r="O783" s="26" t="s">
        <v>1812</v>
      </c>
      <c r="P783" s="26" t="s">
        <v>616</v>
      </c>
      <c r="Q783" s="26">
        <v>15.0</v>
      </c>
    </row>
    <row r="784" ht="17.25" customHeight="1">
      <c r="A784" s="167">
        <v>46101.44624096065</v>
      </c>
      <c r="B784" s="25" t="s">
        <v>359</v>
      </c>
      <c r="C784" s="56" t="s">
        <v>1892</v>
      </c>
      <c r="D784" s="167">
        <v>46101.42709534722</v>
      </c>
      <c r="E784" s="37">
        <v>4.0</v>
      </c>
      <c r="F784" s="56" t="s">
        <v>1894</v>
      </c>
      <c r="G784" s="90"/>
      <c r="H784" s="130"/>
      <c r="I784" s="130" t="s">
        <v>370</v>
      </c>
      <c r="J784" s="26" t="s">
        <v>370</v>
      </c>
      <c r="K784" s="26" t="s">
        <v>370</v>
      </c>
      <c r="L784" s="26" t="s">
        <v>1566</v>
      </c>
      <c r="M784" s="26" t="s">
        <v>1566</v>
      </c>
      <c r="N784" s="26" t="s">
        <v>1566</v>
      </c>
      <c r="O784" s="26" t="s">
        <v>1566</v>
      </c>
      <c r="P784" s="26" t="s">
        <v>661</v>
      </c>
      <c r="Q784" s="26">
        <v>100.0</v>
      </c>
    </row>
    <row r="785" ht="17.25" customHeight="1">
      <c r="A785" s="167">
        <v>46101.45139055555</v>
      </c>
      <c r="B785" s="27" t="s">
        <v>1071</v>
      </c>
      <c r="C785" s="56" t="s">
        <v>1560</v>
      </c>
      <c r="D785" s="167">
        <v>46101.42709534722</v>
      </c>
      <c r="E785" s="37">
        <v>500.0</v>
      </c>
      <c r="F785" s="56" t="s">
        <v>1561</v>
      </c>
      <c r="G785" s="90"/>
      <c r="H785" s="130"/>
      <c r="I785" s="130" t="s">
        <v>1072</v>
      </c>
      <c r="J785" s="26" t="s">
        <v>1225</v>
      </c>
      <c r="K785" s="26" t="s">
        <v>1642</v>
      </c>
      <c r="L785" s="26" t="s">
        <v>1576</v>
      </c>
      <c r="M785" s="26" t="s">
        <v>1652</v>
      </c>
      <c r="N785" s="26" t="s">
        <v>1566</v>
      </c>
      <c r="O785" s="26" t="s">
        <v>1566</v>
      </c>
      <c r="P785" s="26" t="s">
        <v>22</v>
      </c>
      <c r="Q785" s="26">
        <v>200.0</v>
      </c>
    </row>
    <row r="786" ht="17.25" customHeight="1">
      <c r="A786" s="167">
        <v>46101.56775850695</v>
      </c>
      <c r="B786" s="25" t="s">
        <v>1914</v>
      </c>
      <c r="C786" s="56" t="s">
        <v>1892</v>
      </c>
      <c r="D786" s="167">
        <v>46101.42709534722</v>
      </c>
      <c r="E786" s="37">
        <v>2170.0</v>
      </c>
      <c r="F786" s="56" t="s">
        <v>1561</v>
      </c>
      <c r="G786" s="56" t="s">
        <v>2150</v>
      </c>
      <c r="H786" s="130"/>
      <c r="I786" s="130" t="s">
        <v>1915</v>
      </c>
      <c r="J786" s="26" t="s">
        <v>1225</v>
      </c>
      <c r="K786" s="26" t="s">
        <v>1896</v>
      </c>
      <c r="L786" s="26" t="s">
        <v>1930</v>
      </c>
      <c r="M786" s="26" t="s">
        <v>1597</v>
      </c>
      <c r="N786" s="26" t="s">
        <v>1566</v>
      </c>
      <c r="O786" s="26" t="s">
        <v>1654</v>
      </c>
      <c r="P786" s="26" t="s">
        <v>22</v>
      </c>
      <c r="Q786" s="26">
        <v>0.0</v>
      </c>
    </row>
    <row r="787" ht="17.25" customHeight="1">
      <c r="A787" s="167">
        <v>46101.58724333333</v>
      </c>
      <c r="B787" s="25" t="s">
        <v>104</v>
      </c>
      <c r="C787" s="56" t="s">
        <v>1892</v>
      </c>
      <c r="D787" s="167">
        <v>46101.42709534722</v>
      </c>
      <c r="E787" s="37">
        <v>600.0</v>
      </c>
      <c r="F787" s="56" t="s">
        <v>1561</v>
      </c>
      <c r="G787" s="56">
        <v>649.0</v>
      </c>
      <c r="H787" s="130"/>
      <c r="I787" s="130" t="s">
        <v>106</v>
      </c>
      <c r="J787" s="26" t="s">
        <v>1225</v>
      </c>
      <c r="K787" s="26" t="s">
        <v>1562</v>
      </c>
      <c r="L787" s="26" t="s">
        <v>1582</v>
      </c>
      <c r="M787" s="26" t="s">
        <v>1607</v>
      </c>
      <c r="N787" s="26" t="s">
        <v>1571</v>
      </c>
      <c r="O787" s="26" t="s">
        <v>1566</v>
      </c>
      <c r="P787" s="26" t="s">
        <v>22</v>
      </c>
      <c r="Q787" s="26">
        <v>1000.0</v>
      </c>
    </row>
    <row r="788" ht="17.25" customHeight="1">
      <c r="A788" s="167">
        <v>46101.68511380787</v>
      </c>
      <c r="B788" s="25" t="s">
        <v>887</v>
      </c>
      <c r="C788" s="56" t="s">
        <v>1560</v>
      </c>
      <c r="D788" s="167">
        <v>46101.42709534722</v>
      </c>
      <c r="E788" s="37">
        <v>5.0</v>
      </c>
      <c r="F788" s="56" t="s">
        <v>1673</v>
      </c>
      <c r="G788" s="90"/>
      <c r="H788" s="130"/>
      <c r="I788" s="130" t="s">
        <v>888</v>
      </c>
      <c r="J788" s="26" t="s">
        <v>1830</v>
      </c>
      <c r="K788" s="26" t="s">
        <v>1830</v>
      </c>
      <c r="L788" s="26" t="s">
        <v>1566</v>
      </c>
      <c r="M788" s="26" t="s">
        <v>1566</v>
      </c>
      <c r="N788" s="26" t="s">
        <v>1566</v>
      </c>
      <c r="O788" s="26" t="s">
        <v>1566</v>
      </c>
      <c r="P788" s="26" t="s">
        <v>290</v>
      </c>
      <c r="Q788" s="26">
        <v>6.0</v>
      </c>
    </row>
    <row r="789" ht="17.25" customHeight="1">
      <c r="A789" s="167">
        <v>46101.68558983796</v>
      </c>
      <c r="B789" s="25" t="s">
        <v>908</v>
      </c>
      <c r="C789" s="56" t="s">
        <v>1560</v>
      </c>
      <c r="D789" s="167">
        <v>46101.42709534722</v>
      </c>
      <c r="E789" s="37">
        <v>15.0</v>
      </c>
      <c r="F789" s="56" t="s">
        <v>1673</v>
      </c>
      <c r="G789" s="90"/>
      <c r="H789" s="130"/>
      <c r="I789" s="130" t="s">
        <v>910</v>
      </c>
      <c r="J789" s="26" t="s">
        <v>1830</v>
      </c>
      <c r="K789" s="26" t="s">
        <v>1830</v>
      </c>
      <c r="L789" s="26" t="s">
        <v>1566</v>
      </c>
      <c r="M789" s="26" t="s">
        <v>1566</v>
      </c>
      <c r="N789" s="26" t="s">
        <v>1566</v>
      </c>
      <c r="O789" s="26" t="s">
        <v>1566</v>
      </c>
      <c r="P789" s="26" t="s">
        <v>643</v>
      </c>
      <c r="Q789" s="26">
        <v>16.0</v>
      </c>
    </row>
    <row r="790" ht="17.25" customHeight="1">
      <c r="A790" s="167">
        <v>46101.686175254625</v>
      </c>
      <c r="B790" s="23" t="s">
        <v>222</v>
      </c>
      <c r="C790" s="56" t="s">
        <v>1892</v>
      </c>
      <c r="D790" s="167">
        <v>46101.42709534722</v>
      </c>
      <c r="E790" s="37">
        <v>4.0</v>
      </c>
      <c r="F790" s="56" t="s">
        <v>1908</v>
      </c>
      <c r="G790" s="90"/>
      <c r="H790" s="130"/>
      <c r="I790" s="130" t="s">
        <v>230</v>
      </c>
      <c r="J790" s="26" t="s">
        <v>1821</v>
      </c>
      <c r="K790" s="26" t="s">
        <v>1822</v>
      </c>
      <c r="L790" s="26" t="s">
        <v>1828</v>
      </c>
      <c r="M790" s="26" t="s">
        <v>1590</v>
      </c>
      <c r="N790" s="26" t="s">
        <v>1566</v>
      </c>
      <c r="O790" s="26" t="s">
        <v>1566</v>
      </c>
      <c r="P790" s="26" t="s">
        <v>661</v>
      </c>
      <c r="Q790" s="26">
        <v>60.0</v>
      </c>
    </row>
    <row r="791" ht="17.25" customHeight="1">
      <c r="A791" s="167">
        <v>46101.71466547454</v>
      </c>
      <c r="B791" s="27" t="s">
        <v>989</v>
      </c>
      <c r="C791" s="56" t="s">
        <v>1892</v>
      </c>
      <c r="D791" s="167">
        <v>46101.42709534722</v>
      </c>
      <c r="E791" s="37">
        <v>2.0</v>
      </c>
      <c r="F791" s="56" t="s">
        <v>1899</v>
      </c>
      <c r="G791" s="90"/>
      <c r="H791" s="130"/>
      <c r="I791" s="130" t="s">
        <v>991</v>
      </c>
      <c r="J791" s="26" t="s">
        <v>1674</v>
      </c>
      <c r="K791" s="26" t="s">
        <v>1691</v>
      </c>
      <c r="L791" s="26" t="s">
        <v>1566</v>
      </c>
      <c r="M791" s="26" t="s">
        <v>1566</v>
      </c>
      <c r="N791" s="26" t="s">
        <v>2110</v>
      </c>
      <c r="O791" s="26" t="s">
        <v>1566</v>
      </c>
      <c r="P791" s="26" t="s">
        <v>290</v>
      </c>
      <c r="Q791" s="26">
        <v>15.0</v>
      </c>
    </row>
    <row r="792" ht="17.25" customHeight="1">
      <c r="A792" s="167">
        <v>46101.718665</v>
      </c>
      <c r="B792" s="23" t="s">
        <v>876</v>
      </c>
      <c r="C792" s="56" t="s">
        <v>1892</v>
      </c>
      <c r="D792" s="167">
        <v>46101.42709534722</v>
      </c>
      <c r="E792" s="37">
        <v>3.0</v>
      </c>
      <c r="F792" s="56" t="s">
        <v>1908</v>
      </c>
      <c r="G792" s="90"/>
      <c r="H792" s="130"/>
      <c r="I792" s="130" t="s">
        <v>878</v>
      </c>
      <c r="J792" s="26" t="s">
        <v>1830</v>
      </c>
      <c r="K792" s="26" t="s">
        <v>1879</v>
      </c>
      <c r="L792" s="26" t="s">
        <v>1566</v>
      </c>
      <c r="M792" s="26" t="s">
        <v>1566</v>
      </c>
      <c r="N792" s="26" t="s">
        <v>1566</v>
      </c>
      <c r="O792" s="26" t="s">
        <v>1566</v>
      </c>
      <c r="P792" s="26" t="s">
        <v>643</v>
      </c>
      <c r="Q792" s="26">
        <v>34.0</v>
      </c>
    </row>
    <row r="793" ht="17.25" customHeight="1">
      <c r="A793" s="167">
        <v>46101.71865775463</v>
      </c>
      <c r="B793" s="23" t="s">
        <v>876</v>
      </c>
      <c r="C793" s="56" t="s">
        <v>1892</v>
      </c>
      <c r="D793" s="167">
        <v>46101.42709534722</v>
      </c>
      <c r="E793" s="37">
        <v>3.0</v>
      </c>
      <c r="F793" s="56" t="s">
        <v>1908</v>
      </c>
      <c r="G793" s="90"/>
      <c r="H793" s="130"/>
      <c r="I793" s="130" t="s">
        <v>878</v>
      </c>
      <c r="J793" s="26" t="s">
        <v>1830</v>
      </c>
      <c r="K793" s="26" t="s">
        <v>1879</v>
      </c>
      <c r="L793" s="26" t="s">
        <v>1566</v>
      </c>
      <c r="M793" s="26" t="s">
        <v>1566</v>
      </c>
      <c r="N793" s="26" t="s">
        <v>1566</v>
      </c>
      <c r="O793" s="26" t="s">
        <v>1566</v>
      </c>
      <c r="P793" s="26" t="s">
        <v>643</v>
      </c>
      <c r="Q793" s="26">
        <v>34.0</v>
      </c>
    </row>
    <row r="794" ht="17.25" customHeight="1">
      <c r="A794" s="167">
        <v>46101.72562848379</v>
      </c>
      <c r="B794" s="25" t="s">
        <v>359</v>
      </c>
      <c r="C794" s="56" t="s">
        <v>1892</v>
      </c>
      <c r="D794" s="167">
        <v>46101.42709534722</v>
      </c>
      <c r="E794" s="37">
        <v>4.0</v>
      </c>
      <c r="F794" s="56" t="s">
        <v>1894</v>
      </c>
      <c r="G794" s="90"/>
      <c r="H794" s="130"/>
      <c r="I794" s="130" t="s">
        <v>370</v>
      </c>
      <c r="J794" s="26" t="s">
        <v>370</v>
      </c>
      <c r="K794" s="26" t="s">
        <v>370</v>
      </c>
      <c r="L794" s="26" t="s">
        <v>1566</v>
      </c>
      <c r="M794" s="26" t="s">
        <v>1566</v>
      </c>
      <c r="N794" s="26" t="s">
        <v>1566</v>
      </c>
      <c r="O794" s="26" t="s">
        <v>1566</v>
      </c>
      <c r="P794" s="26" t="s">
        <v>661</v>
      </c>
      <c r="Q794" s="26">
        <v>100.0</v>
      </c>
    </row>
    <row r="795" ht="17.25" customHeight="1">
      <c r="A795" s="167">
        <v>46102.399695995366</v>
      </c>
      <c r="B795" s="23" t="s">
        <v>876</v>
      </c>
      <c r="C795" s="56" t="s">
        <v>1892</v>
      </c>
      <c r="D795" s="167">
        <v>46101.42709534722</v>
      </c>
      <c r="E795" s="37">
        <v>4.0</v>
      </c>
      <c r="F795" s="56" t="s">
        <v>1908</v>
      </c>
      <c r="G795" s="90"/>
      <c r="H795" s="130"/>
      <c r="I795" s="130" t="s">
        <v>878</v>
      </c>
      <c r="J795" s="26" t="s">
        <v>1830</v>
      </c>
      <c r="K795" s="26" t="s">
        <v>1879</v>
      </c>
      <c r="L795" s="26" t="s">
        <v>1566</v>
      </c>
      <c r="M795" s="26" t="s">
        <v>1566</v>
      </c>
      <c r="N795" s="26" t="s">
        <v>1566</v>
      </c>
      <c r="O795" s="26" t="s">
        <v>1566</v>
      </c>
      <c r="P795" s="26" t="s">
        <v>643</v>
      </c>
      <c r="Q795" s="26">
        <v>34.0</v>
      </c>
    </row>
    <row r="796" ht="17.25" customHeight="1">
      <c r="A796" s="167">
        <v>46102.40154748842</v>
      </c>
      <c r="B796" s="23" t="s">
        <v>876</v>
      </c>
      <c r="C796" s="56" t="s">
        <v>1560</v>
      </c>
      <c r="D796" s="167">
        <v>46101.42709534722</v>
      </c>
      <c r="E796" s="37">
        <v>20.0</v>
      </c>
      <c r="F796" s="56" t="s">
        <v>1673</v>
      </c>
      <c r="G796" s="90"/>
      <c r="H796" s="130"/>
      <c r="I796" s="130" t="s">
        <v>878</v>
      </c>
      <c r="J796" s="26" t="s">
        <v>1830</v>
      </c>
      <c r="K796" s="26" t="s">
        <v>1879</v>
      </c>
      <c r="L796" s="26" t="s">
        <v>1566</v>
      </c>
      <c r="M796" s="26" t="s">
        <v>1566</v>
      </c>
      <c r="N796" s="26" t="s">
        <v>1566</v>
      </c>
      <c r="O796" s="26" t="s">
        <v>1566</v>
      </c>
      <c r="P796" s="26" t="s">
        <v>643</v>
      </c>
      <c r="Q796" s="26">
        <v>34.0</v>
      </c>
    </row>
    <row r="797" ht="17.25" customHeight="1">
      <c r="A797" s="167">
        <v>46102.40170633102</v>
      </c>
      <c r="B797" s="23" t="s">
        <v>876</v>
      </c>
      <c r="C797" s="56" t="s">
        <v>1892</v>
      </c>
      <c r="D797" s="167">
        <v>46101.42709534722</v>
      </c>
      <c r="E797" s="37">
        <v>3.0</v>
      </c>
      <c r="F797" s="56" t="s">
        <v>1908</v>
      </c>
      <c r="G797" s="90"/>
      <c r="H797" s="130"/>
      <c r="I797" s="130" t="s">
        <v>878</v>
      </c>
      <c r="J797" s="26" t="s">
        <v>1830</v>
      </c>
      <c r="K797" s="26" t="s">
        <v>1879</v>
      </c>
      <c r="L797" s="26" t="s">
        <v>1566</v>
      </c>
      <c r="M797" s="26" t="s">
        <v>1566</v>
      </c>
      <c r="N797" s="26" t="s">
        <v>1566</v>
      </c>
      <c r="O797" s="26" t="s">
        <v>1566</v>
      </c>
      <c r="P797" s="26" t="s">
        <v>643</v>
      </c>
      <c r="Q797" s="26">
        <v>34.0</v>
      </c>
    </row>
    <row r="798" ht="17.25" customHeight="1">
      <c r="A798" s="167">
        <v>46102.474869108795</v>
      </c>
      <c r="B798" s="25" t="s">
        <v>778</v>
      </c>
      <c r="C798" s="56" t="s">
        <v>1560</v>
      </c>
      <c r="D798" s="167">
        <v>46102.474869108795</v>
      </c>
      <c r="E798" s="37">
        <v>3168.0</v>
      </c>
      <c r="F798" s="56" t="s">
        <v>1561</v>
      </c>
      <c r="G798" s="56" t="s">
        <v>2153</v>
      </c>
      <c r="H798" s="130"/>
      <c r="I798" s="130" t="s">
        <v>779</v>
      </c>
      <c r="J798" s="26" t="s">
        <v>1225</v>
      </c>
      <c r="K798" s="26" t="s">
        <v>1653</v>
      </c>
      <c r="L798" s="26" t="s">
        <v>1576</v>
      </c>
      <c r="M798" s="26" t="s">
        <v>1572</v>
      </c>
      <c r="N798" s="26" t="s">
        <v>1566</v>
      </c>
      <c r="O798" s="26" t="s">
        <v>1654</v>
      </c>
      <c r="P798" s="26" t="s">
        <v>22</v>
      </c>
      <c r="Q798" s="26">
        <v>0.0</v>
      </c>
    </row>
    <row r="799" ht="17.25" customHeight="1">
      <c r="A799" s="167">
        <v>46102.535938298606</v>
      </c>
      <c r="B799" s="27" t="s">
        <v>1071</v>
      </c>
      <c r="C799" s="56" t="s">
        <v>1892</v>
      </c>
      <c r="D799" s="167">
        <v>46102.474869108795</v>
      </c>
      <c r="E799" s="37">
        <v>300.0</v>
      </c>
      <c r="F799" s="56" t="s">
        <v>1561</v>
      </c>
      <c r="G799" s="56">
        <v>650.0</v>
      </c>
      <c r="H799" s="130"/>
      <c r="I799" s="130" t="s">
        <v>1072</v>
      </c>
      <c r="J799" s="26" t="s">
        <v>1225</v>
      </c>
      <c r="K799" s="26" t="s">
        <v>1642</v>
      </c>
      <c r="L799" s="26" t="s">
        <v>1576</v>
      </c>
      <c r="M799" s="26" t="s">
        <v>1652</v>
      </c>
      <c r="N799" s="26" t="s">
        <v>1566</v>
      </c>
      <c r="O799" s="26" t="s">
        <v>1566</v>
      </c>
      <c r="P799" s="26" t="s">
        <v>22</v>
      </c>
      <c r="Q799" s="26">
        <v>200.0</v>
      </c>
    </row>
    <row r="800" ht="17.25" customHeight="1">
      <c r="A800" s="167">
        <v>46102.53702930556</v>
      </c>
      <c r="B800" s="25" t="s">
        <v>1710</v>
      </c>
      <c r="C800" s="56" t="s">
        <v>1892</v>
      </c>
      <c r="D800" s="167">
        <v>46102.474869108795</v>
      </c>
      <c r="E800" s="37">
        <v>1000.0</v>
      </c>
      <c r="F800" s="56" t="s">
        <v>1561</v>
      </c>
      <c r="G800" s="56">
        <v>651.0</v>
      </c>
      <c r="H800" s="130"/>
      <c r="I800" s="130" t="s">
        <v>1711</v>
      </c>
      <c r="J800" s="26" t="s">
        <v>1225</v>
      </c>
      <c r="K800" s="26" t="s">
        <v>1562</v>
      </c>
      <c r="L800" s="26" t="s">
        <v>1633</v>
      </c>
      <c r="M800" s="26" t="s">
        <v>1564</v>
      </c>
      <c r="N800" s="26" t="s">
        <v>1566</v>
      </c>
      <c r="O800" s="26" t="s">
        <v>1566</v>
      </c>
      <c r="P800" s="26" t="s">
        <v>22</v>
      </c>
      <c r="Q800" s="26">
        <v>0.0</v>
      </c>
    </row>
    <row r="801" ht="17.25" customHeight="1">
      <c r="A801" s="167">
        <v>46102.53770537037</v>
      </c>
      <c r="B801" s="25" t="s">
        <v>128</v>
      </c>
      <c r="C801" s="56" t="s">
        <v>1892</v>
      </c>
      <c r="D801" s="167">
        <v>46102.474869108795</v>
      </c>
      <c r="E801" s="37">
        <v>1500.0</v>
      </c>
      <c r="F801" s="56" t="s">
        <v>1561</v>
      </c>
      <c r="G801" s="56">
        <v>652.0</v>
      </c>
      <c r="H801" s="130"/>
      <c r="I801" s="130" t="s">
        <v>130</v>
      </c>
      <c r="J801" s="26" t="s">
        <v>1225</v>
      </c>
      <c r="K801" s="26" t="s">
        <v>1562</v>
      </c>
      <c r="L801" s="26" t="s">
        <v>1615</v>
      </c>
      <c r="M801" s="26" t="s">
        <v>1575</v>
      </c>
      <c r="N801" s="26" t="s">
        <v>1571</v>
      </c>
      <c r="O801" s="26" t="s">
        <v>1566</v>
      </c>
      <c r="P801" s="26" t="s">
        <v>22</v>
      </c>
      <c r="Q801" s="26">
        <v>500.0</v>
      </c>
    </row>
    <row r="802" ht="17.25" customHeight="1">
      <c r="A802" s="167">
        <v>46102.53876571759</v>
      </c>
      <c r="B802" s="25" t="s">
        <v>842</v>
      </c>
      <c r="C802" s="56" t="s">
        <v>1892</v>
      </c>
      <c r="D802" s="167">
        <v>46102.474869108795</v>
      </c>
      <c r="E802" s="37">
        <v>1.0</v>
      </c>
      <c r="F802" s="56" t="s">
        <v>1844</v>
      </c>
      <c r="G802" s="90"/>
      <c r="H802" s="130"/>
      <c r="I802" s="130" t="s">
        <v>843</v>
      </c>
      <c r="J802" s="26" t="s">
        <v>1844</v>
      </c>
      <c r="K802" s="26" t="s">
        <v>1846</v>
      </c>
      <c r="L802" s="26" t="s">
        <v>1850</v>
      </c>
      <c r="M802" s="26" t="s">
        <v>1566</v>
      </c>
      <c r="N802" s="26" t="s">
        <v>1566</v>
      </c>
      <c r="O802" s="26" t="s">
        <v>1848</v>
      </c>
      <c r="P802" s="26" t="s">
        <v>661</v>
      </c>
      <c r="Q802" s="26">
        <v>1.0</v>
      </c>
    </row>
    <row r="803" ht="17.25" customHeight="1">
      <c r="A803" s="167">
        <v>46102.60507847222</v>
      </c>
      <c r="B803" s="23" t="s">
        <v>21</v>
      </c>
      <c r="C803" s="56" t="s">
        <v>1560</v>
      </c>
      <c r="D803" s="167">
        <v>46102.474869108795</v>
      </c>
      <c r="E803" s="37">
        <v>20.0</v>
      </c>
      <c r="F803" s="56" t="s">
        <v>1673</v>
      </c>
      <c r="G803" s="90"/>
      <c r="H803" s="130"/>
      <c r="I803" s="130" t="s">
        <v>23</v>
      </c>
      <c r="J803" s="26" t="s">
        <v>1812</v>
      </c>
      <c r="K803" s="26" t="s">
        <v>1815</v>
      </c>
      <c r="L803" s="26" t="s">
        <v>1566</v>
      </c>
      <c r="M803" s="26" t="s">
        <v>1566</v>
      </c>
      <c r="N803" s="26" t="s">
        <v>1566</v>
      </c>
      <c r="O803" s="26" t="s">
        <v>1818</v>
      </c>
      <c r="P803" s="26" t="s">
        <v>616</v>
      </c>
      <c r="Q803" s="26">
        <v>20.0</v>
      </c>
    </row>
    <row r="804" ht="17.25" customHeight="1">
      <c r="A804" s="167">
        <v>46102.60526175926</v>
      </c>
      <c r="B804" s="23" t="s">
        <v>21</v>
      </c>
      <c r="C804" s="56" t="s">
        <v>1892</v>
      </c>
      <c r="D804" s="167">
        <v>46102.474869108795</v>
      </c>
      <c r="E804" s="37">
        <v>20.0</v>
      </c>
      <c r="F804" s="56" t="s">
        <v>1899</v>
      </c>
      <c r="G804" s="90"/>
      <c r="H804" s="130"/>
      <c r="I804" s="130" t="s">
        <v>23</v>
      </c>
      <c r="J804" s="26" t="s">
        <v>1812</v>
      </c>
      <c r="K804" s="26" t="s">
        <v>1815</v>
      </c>
      <c r="L804" s="26" t="s">
        <v>1566</v>
      </c>
      <c r="M804" s="26" t="s">
        <v>1566</v>
      </c>
      <c r="N804" s="26" t="s">
        <v>1566</v>
      </c>
      <c r="O804" s="26" t="s">
        <v>1818</v>
      </c>
      <c r="P804" s="26" t="s">
        <v>616</v>
      </c>
      <c r="Q804" s="26">
        <v>20.0</v>
      </c>
    </row>
    <row r="805" ht="17.25" customHeight="1">
      <c r="A805" s="167">
        <v>46102.605606400466</v>
      </c>
      <c r="B805" s="23" t="s">
        <v>301</v>
      </c>
      <c r="C805" s="56" t="s">
        <v>1892</v>
      </c>
      <c r="D805" s="167">
        <v>46102.474869108795</v>
      </c>
      <c r="E805" s="37">
        <v>10.0</v>
      </c>
      <c r="F805" s="56" t="s">
        <v>2156</v>
      </c>
      <c r="G805" s="90"/>
      <c r="H805" s="130"/>
      <c r="I805" s="130" t="s">
        <v>302</v>
      </c>
      <c r="J805" s="26" t="s">
        <v>1830</v>
      </c>
      <c r="K805" s="26" t="s">
        <v>302</v>
      </c>
      <c r="L805" s="26" t="s">
        <v>1566</v>
      </c>
      <c r="M805" s="26" t="s">
        <v>1566</v>
      </c>
      <c r="N805" s="26" t="s">
        <v>1566</v>
      </c>
      <c r="O805" s="26" t="s">
        <v>1566</v>
      </c>
      <c r="P805" s="26" t="s">
        <v>661</v>
      </c>
      <c r="Q805" s="26">
        <v>580.0</v>
      </c>
    </row>
    <row r="806" ht="17.25" customHeight="1">
      <c r="A806" s="167">
        <v>46102.60560800926</v>
      </c>
      <c r="B806" s="23" t="s">
        <v>301</v>
      </c>
      <c r="C806" s="56" t="s">
        <v>1892</v>
      </c>
      <c r="D806" s="167">
        <v>46102.474869108795</v>
      </c>
      <c r="E806" s="37">
        <v>10.0</v>
      </c>
      <c r="F806" s="56" t="s">
        <v>2156</v>
      </c>
      <c r="G806" s="90"/>
      <c r="H806" s="130"/>
      <c r="I806" s="130" t="s">
        <v>302</v>
      </c>
      <c r="J806" s="26" t="s">
        <v>1830</v>
      </c>
      <c r="K806" s="26" t="s">
        <v>302</v>
      </c>
      <c r="L806" s="26" t="s">
        <v>1566</v>
      </c>
      <c r="M806" s="26" t="s">
        <v>1566</v>
      </c>
      <c r="N806" s="26" t="s">
        <v>1566</v>
      </c>
      <c r="O806" s="26" t="s">
        <v>1566</v>
      </c>
      <c r="P806" s="26" t="s">
        <v>661</v>
      </c>
      <c r="Q806" s="26">
        <v>580.0</v>
      </c>
    </row>
    <row r="807" ht="17.25" customHeight="1">
      <c r="A807" s="167">
        <v>46102.60561219907</v>
      </c>
      <c r="B807" s="23" t="s">
        <v>301</v>
      </c>
      <c r="C807" s="56" t="s">
        <v>1892</v>
      </c>
      <c r="D807" s="167">
        <v>46102.474869108795</v>
      </c>
      <c r="E807" s="37">
        <v>6.0</v>
      </c>
      <c r="F807" s="56" t="s">
        <v>2158</v>
      </c>
      <c r="G807" s="90"/>
      <c r="H807" s="130"/>
      <c r="I807" s="130" t="s">
        <v>302</v>
      </c>
      <c r="J807" s="26" t="s">
        <v>1830</v>
      </c>
      <c r="K807" s="26" t="s">
        <v>302</v>
      </c>
      <c r="L807" s="26" t="s">
        <v>1566</v>
      </c>
      <c r="M807" s="26" t="s">
        <v>1566</v>
      </c>
      <c r="N807" s="26" t="s">
        <v>1566</v>
      </c>
      <c r="O807" s="26" t="s">
        <v>1566</v>
      </c>
      <c r="P807" s="26" t="s">
        <v>661</v>
      </c>
      <c r="Q807" s="26">
        <v>580.0</v>
      </c>
    </row>
    <row r="808" ht="17.25" customHeight="1">
      <c r="A808" s="167">
        <v>46102.60648274305</v>
      </c>
      <c r="B808" s="25" t="s">
        <v>945</v>
      </c>
      <c r="C808" s="56" t="s">
        <v>1892</v>
      </c>
      <c r="D808" s="167">
        <v>46102.474869108795</v>
      </c>
      <c r="E808" s="37">
        <v>25.0</v>
      </c>
      <c r="F808" s="56" t="s">
        <v>2158</v>
      </c>
      <c r="G808" s="90"/>
      <c r="H808" s="130"/>
      <c r="I808" s="130" t="s">
        <v>946</v>
      </c>
      <c r="J808" s="26" t="s">
        <v>1812</v>
      </c>
      <c r="K808" s="26" t="s">
        <v>1815</v>
      </c>
      <c r="L808" s="26" t="s">
        <v>1566</v>
      </c>
      <c r="M808" s="26" t="s">
        <v>1566</v>
      </c>
      <c r="N808" s="26" t="s">
        <v>1566</v>
      </c>
      <c r="O808" s="26" t="s">
        <v>1903</v>
      </c>
      <c r="P808" s="26" t="s">
        <v>616</v>
      </c>
      <c r="Q808" s="26">
        <v>25.0</v>
      </c>
    </row>
    <row r="809" ht="17.25" customHeight="1">
      <c r="A809" s="167">
        <v>46102.60705289352</v>
      </c>
      <c r="B809" s="25" t="s">
        <v>640</v>
      </c>
      <c r="C809" s="56" t="s">
        <v>1892</v>
      </c>
      <c r="D809" s="167">
        <v>46102.474869108795</v>
      </c>
      <c r="E809" s="37">
        <v>1.0</v>
      </c>
      <c r="F809" s="56" t="s">
        <v>2158</v>
      </c>
      <c r="G809" s="90"/>
      <c r="H809" s="130"/>
      <c r="I809" s="130" t="s">
        <v>641</v>
      </c>
      <c r="J809" s="26" t="s">
        <v>1812</v>
      </c>
      <c r="K809" s="26" t="s">
        <v>1815</v>
      </c>
      <c r="L809" s="26" t="s">
        <v>1566</v>
      </c>
      <c r="M809" s="26" t="s">
        <v>1566</v>
      </c>
      <c r="N809" s="26" t="s">
        <v>1566</v>
      </c>
      <c r="O809" s="26" t="s">
        <v>1566</v>
      </c>
      <c r="P809" s="26" t="s">
        <v>643</v>
      </c>
      <c r="Q809" s="26">
        <v>3.0</v>
      </c>
    </row>
    <row r="810" ht="17.25" customHeight="1">
      <c r="A810" s="167">
        <v>46102.607320324074</v>
      </c>
      <c r="B810" s="23" t="s">
        <v>876</v>
      </c>
      <c r="C810" s="56" t="s">
        <v>1892</v>
      </c>
      <c r="D810" s="167">
        <v>46102.474869108795</v>
      </c>
      <c r="E810" s="37">
        <v>3.0</v>
      </c>
      <c r="F810" s="56" t="s">
        <v>1907</v>
      </c>
      <c r="G810" s="90"/>
      <c r="H810" s="130"/>
      <c r="I810" s="130" t="s">
        <v>878</v>
      </c>
      <c r="J810" s="26" t="s">
        <v>1830</v>
      </c>
      <c r="K810" s="26" t="s">
        <v>1879</v>
      </c>
      <c r="L810" s="26" t="s">
        <v>1566</v>
      </c>
      <c r="M810" s="26" t="s">
        <v>1566</v>
      </c>
      <c r="N810" s="26" t="s">
        <v>1566</v>
      </c>
      <c r="O810" s="26" t="s">
        <v>1566</v>
      </c>
      <c r="P810" s="26" t="s">
        <v>643</v>
      </c>
      <c r="Q810" s="26">
        <v>34.0</v>
      </c>
    </row>
    <row r="811" ht="17.25" customHeight="1">
      <c r="A811" s="167">
        <v>46102.64268262732</v>
      </c>
      <c r="B811" s="25" t="s">
        <v>710</v>
      </c>
      <c r="C811" s="56" t="s">
        <v>1892</v>
      </c>
      <c r="D811" s="167">
        <v>46102.474869108795</v>
      </c>
      <c r="E811" s="37">
        <v>50.0</v>
      </c>
      <c r="F811" s="56" t="s">
        <v>1908</v>
      </c>
      <c r="G811" s="90"/>
      <c r="H811" s="130"/>
      <c r="I811" s="130" t="s">
        <v>711</v>
      </c>
      <c r="J811" s="26" t="s">
        <v>1821</v>
      </c>
      <c r="K811" s="26" t="s">
        <v>1821</v>
      </c>
      <c r="L811" s="26" t="s">
        <v>1566</v>
      </c>
      <c r="M811" s="26" t="s">
        <v>1566</v>
      </c>
      <c r="N811" s="26" t="s">
        <v>1566</v>
      </c>
      <c r="O811" s="26" t="s">
        <v>1566</v>
      </c>
      <c r="P811" s="26" t="s">
        <v>290</v>
      </c>
      <c r="Q811" s="26">
        <v>50.0</v>
      </c>
    </row>
    <row r="812" ht="17.25" customHeight="1">
      <c r="A812" s="167">
        <v>46102.642688437496</v>
      </c>
      <c r="B812" s="25" t="s">
        <v>710</v>
      </c>
      <c r="C812" s="56" t="s">
        <v>1892</v>
      </c>
      <c r="D812" s="167">
        <v>46102.474869108795</v>
      </c>
      <c r="E812" s="37">
        <v>50.0</v>
      </c>
      <c r="F812" s="56" t="s">
        <v>1908</v>
      </c>
      <c r="G812" s="90"/>
      <c r="H812" s="130"/>
      <c r="I812" s="130" t="s">
        <v>711</v>
      </c>
      <c r="J812" s="26" t="s">
        <v>1821</v>
      </c>
      <c r="K812" s="26" t="s">
        <v>1821</v>
      </c>
      <c r="L812" s="26" t="s">
        <v>1566</v>
      </c>
      <c r="M812" s="26" t="s">
        <v>1566</v>
      </c>
      <c r="N812" s="26" t="s">
        <v>1566</v>
      </c>
      <c r="O812" s="26" t="s">
        <v>1566</v>
      </c>
      <c r="P812" s="26" t="s">
        <v>290</v>
      </c>
      <c r="Q812" s="26">
        <v>50.0</v>
      </c>
    </row>
    <row r="813" ht="17.25" customHeight="1">
      <c r="A813" s="167">
        <v>46104.41208851852</v>
      </c>
      <c r="B813" s="23" t="s">
        <v>301</v>
      </c>
      <c r="C813" s="56" t="s">
        <v>1892</v>
      </c>
      <c r="D813" s="167">
        <v>46104.41208851852</v>
      </c>
      <c r="E813" s="37">
        <v>6.0</v>
      </c>
      <c r="F813" s="56" t="s">
        <v>1894</v>
      </c>
      <c r="G813" s="90"/>
      <c r="H813" s="130"/>
      <c r="I813" s="130" t="s">
        <v>302</v>
      </c>
      <c r="J813" s="26" t="s">
        <v>1830</v>
      </c>
      <c r="K813" s="26" t="s">
        <v>302</v>
      </c>
      <c r="L813" s="26" t="s">
        <v>1566</v>
      </c>
      <c r="M813" s="26" t="s">
        <v>1566</v>
      </c>
      <c r="N813" s="26" t="s">
        <v>1566</v>
      </c>
      <c r="O813" s="26" t="s">
        <v>1566</v>
      </c>
      <c r="P813" s="26" t="s">
        <v>661</v>
      </c>
      <c r="Q813" s="26">
        <v>580.0</v>
      </c>
    </row>
    <row r="814" ht="17.25" customHeight="1">
      <c r="A814" s="167">
        <v>46104.412091122686</v>
      </c>
      <c r="B814" s="23" t="s">
        <v>301</v>
      </c>
      <c r="C814" s="56" t="s">
        <v>1892</v>
      </c>
      <c r="D814" s="167">
        <v>46104.41208851852</v>
      </c>
      <c r="E814" s="37">
        <v>3.0</v>
      </c>
      <c r="F814" s="56" t="s">
        <v>1561</v>
      </c>
      <c r="G814" s="90"/>
      <c r="H814" s="130"/>
      <c r="I814" s="130" t="s">
        <v>302</v>
      </c>
      <c r="J814" s="26" t="s">
        <v>1830</v>
      </c>
      <c r="K814" s="26" t="s">
        <v>302</v>
      </c>
      <c r="L814" s="26" t="s">
        <v>1566</v>
      </c>
      <c r="M814" s="26" t="s">
        <v>1566</v>
      </c>
      <c r="N814" s="26" t="s">
        <v>1566</v>
      </c>
      <c r="O814" s="26" t="s">
        <v>1566</v>
      </c>
      <c r="P814" s="26" t="s">
        <v>661</v>
      </c>
      <c r="Q814" s="26">
        <v>580.0</v>
      </c>
    </row>
    <row r="815" ht="17.25" customHeight="1">
      <c r="A815" s="167">
        <v>46104.42151064815</v>
      </c>
      <c r="B815" s="25" t="s">
        <v>647</v>
      </c>
      <c r="C815" s="56" t="s">
        <v>1892</v>
      </c>
      <c r="D815" s="167">
        <v>46104.41208851852</v>
      </c>
      <c r="E815" s="37">
        <v>1.0</v>
      </c>
      <c r="F815" s="56" t="s">
        <v>1894</v>
      </c>
      <c r="G815" s="90"/>
      <c r="H815" s="130"/>
      <c r="I815" s="130" t="s">
        <v>648</v>
      </c>
      <c r="J815" s="26" t="s">
        <v>1821</v>
      </c>
      <c r="K815" s="26" t="s">
        <v>1821</v>
      </c>
      <c r="L815" s="26" t="s">
        <v>1566</v>
      </c>
      <c r="M815" s="26" t="s">
        <v>1566</v>
      </c>
      <c r="N815" s="26" t="s">
        <v>1566</v>
      </c>
      <c r="O815" s="26" t="s">
        <v>1566</v>
      </c>
      <c r="P815" s="26" t="s">
        <v>290</v>
      </c>
      <c r="Q815" s="26">
        <v>2.0</v>
      </c>
    </row>
    <row r="816" ht="17.25" customHeight="1">
      <c r="A816" s="167">
        <v>46104.4832103588</v>
      </c>
      <c r="B816" s="172" t="s">
        <v>1952</v>
      </c>
      <c r="C816" s="56" t="s">
        <v>1560</v>
      </c>
      <c r="D816" s="167">
        <v>46104.41208851852</v>
      </c>
      <c r="E816" s="37">
        <v>288.0</v>
      </c>
      <c r="F816" s="56" t="s">
        <v>1673</v>
      </c>
      <c r="G816" s="90"/>
      <c r="H816" s="130"/>
      <c r="I816" s="130" t="s">
        <v>1953</v>
      </c>
      <c r="J816" s="26" t="s">
        <v>1830</v>
      </c>
      <c r="K816" s="26" t="s">
        <v>1642</v>
      </c>
      <c r="L816" s="26" t="s">
        <v>1566</v>
      </c>
      <c r="M816" s="26" t="s">
        <v>1566</v>
      </c>
      <c r="N816" s="26" t="s">
        <v>1566</v>
      </c>
      <c r="O816" s="26" t="s">
        <v>1566</v>
      </c>
      <c r="P816" s="26" t="s">
        <v>643</v>
      </c>
      <c r="Q816" s="26">
        <v>0.0</v>
      </c>
    </row>
    <row r="817" ht="17.25" customHeight="1">
      <c r="A817" s="167">
        <v>46104.48386561342</v>
      </c>
      <c r="B817" s="23" t="s">
        <v>301</v>
      </c>
      <c r="C817" s="56" t="s">
        <v>1892</v>
      </c>
      <c r="D817" s="167">
        <v>46104.41208851852</v>
      </c>
      <c r="E817" s="37">
        <v>4.0</v>
      </c>
      <c r="F817" s="56" t="s">
        <v>1894</v>
      </c>
      <c r="G817" s="90"/>
      <c r="H817" s="130"/>
      <c r="I817" s="130" t="s">
        <v>302</v>
      </c>
      <c r="J817" s="26" t="s">
        <v>1830</v>
      </c>
      <c r="K817" s="26" t="s">
        <v>302</v>
      </c>
      <c r="L817" s="26" t="s">
        <v>1566</v>
      </c>
      <c r="M817" s="26" t="s">
        <v>1566</v>
      </c>
      <c r="N817" s="26" t="s">
        <v>1566</v>
      </c>
      <c r="O817" s="26" t="s">
        <v>1566</v>
      </c>
      <c r="P817" s="26" t="s">
        <v>661</v>
      </c>
      <c r="Q817" s="26">
        <v>580.0</v>
      </c>
    </row>
    <row r="818" ht="17.25" customHeight="1">
      <c r="A818" s="167">
        <v>46104.48437125</v>
      </c>
      <c r="B818" s="25" t="s">
        <v>359</v>
      </c>
      <c r="C818" s="56" t="s">
        <v>1892</v>
      </c>
      <c r="D818" s="173">
        <v>46102.0</v>
      </c>
      <c r="E818" s="37">
        <v>6.0</v>
      </c>
      <c r="F818" s="56" t="s">
        <v>1894</v>
      </c>
      <c r="G818" s="90"/>
      <c r="H818" s="130"/>
      <c r="I818" s="130" t="s">
        <v>370</v>
      </c>
      <c r="J818" s="26" t="s">
        <v>370</v>
      </c>
      <c r="K818" s="26" t="s">
        <v>370</v>
      </c>
      <c r="L818" s="26" t="s">
        <v>1566</v>
      </c>
      <c r="M818" s="26" t="s">
        <v>1566</v>
      </c>
      <c r="N818" s="26" t="s">
        <v>1566</v>
      </c>
      <c r="O818" s="26" t="s">
        <v>1566</v>
      </c>
      <c r="P818" s="26" t="s">
        <v>661</v>
      </c>
      <c r="Q818" s="26">
        <v>100.0</v>
      </c>
    </row>
    <row r="819" ht="17.25" customHeight="1">
      <c r="A819" s="167">
        <v>46104.48506905093</v>
      </c>
      <c r="B819" s="25" t="s">
        <v>900</v>
      </c>
      <c r="C819" s="56" t="s">
        <v>1892</v>
      </c>
      <c r="D819" s="173">
        <v>46102.0</v>
      </c>
      <c r="E819" s="37">
        <v>1.0</v>
      </c>
      <c r="F819" s="56" t="s">
        <v>1561</v>
      </c>
      <c r="G819" s="90"/>
      <c r="H819" s="130"/>
      <c r="I819" s="130" t="s">
        <v>902</v>
      </c>
      <c r="J819" s="26" t="s">
        <v>1830</v>
      </c>
      <c r="K819" s="26" t="s">
        <v>1888</v>
      </c>
      <c r="L819" s="26" t="s">
        <v>1566</v>
      </c>
      <c r="M819" s="26" t="s">
        <v>1566</v>
      </c>
      <c r="N819" s="26" t="s">
        <v>1566</v>
      </c>
      <c r="O819" s="26" t="s">
        <v>1566</v>
      </c>
      <c r="P819" s="26" t="s">
        <v>661</v>
      </c>
      <c r="Q819" s="26">
        <v>9.0</v>
      </c>
    </row>
    <row r="820" ht="17.25" customHeight="1">
      <c r="A820" s="167">
        <v>46104.4857175463</v>
      </c>
      <c r="B820" s="23" t="s">
        <v>222</v>
      </c>
      <c r="C820" s="56" t="s">
        <v>1892</v>
      </c>
      <c r="D820" s="173">
        <v>46102.0</v>
      </c>
      <c r="E820" s="37">
        <v>4.0</v>
      </c>
      <c r="F820" s="56" t="s">
        <v>1907</v>
      </c>
      <c r="G820" s="90"/>
      <c r="H820" s="130"/>
      <c r="I820" s="130" t="s">
        <v>230</v>
      </c>
      <c r="J820" s="26" t="s">
        <v>1821</v>
      </c>
      <c r="K820" s="26" t="s">
        <v>1822</v>
      </c>
      <c r="L820" s="26" t="s">
        <v>1828</v>
      </c>
      <c r="M820" s="26" t="s">
        <v>1590</v>
      </c>
      <c r="N820" s="26" t="s">
        <v>1566</v>
      </c>
      <c r="O820" s="26" t="s">
        <v>1566</v>
      </c>
      <c r="P820" s="26" t="s">
        <v>661</v>
      </c>
      <c r="Q820" s="26">
        <v>60.0</v>
      </c>
    </row>
    <row r="821" ht="17.25" customHeight="1">
      <c r="A821" s="167">
        <v>46104.534379861114</v>
      </c>
      <c r="B821" s="25" t="s">
        <v>778</v>
      </c>
      <c r="C821" s="56" t="s">
        <v>1892</v>
      </c>
      <c r="D821" s="167">
        <v>46104.534379861114</v>
      </c>
      <c r="E821" s="193">
        <v>3168.0</v>
      </c>
      <c r="F821" s="56" t="s">
        <v>1561</v>
      </c>
      <c r="G821" s="56">
        <v>655.0</v>
      </c>
      <c r="H821" s="130"/>
      <c r="I821" s="130" t="s">
        <v>779</v>
      </c>
      <c r="J821" s="26" t="s">
        <v>1225</v>
      </c>
      <c r="K821" s="26" t="s">
        <v>1653</v>
      </c>
      <c r="L821" s="26" t="s">
        <v>1576</v>
      </c>
      <c r="M821" s="26" t="s">
        <v>1572</v>
      </c>
      <c r="N821" s="26" t="s">
        <v>1566</v>
      </c>
      <c r="O821" s="26" t="s">
        <v>1654</v>
      </c>
      <c r="P821" s="26" t="s">
        <v>22</v>
      </c>
      <c r="Q821" s="26">
        <v>0.0</v>
      </c>
    </row>
    <row r="822" ht="17.25" customHeight="1">
      <c r="A822" s="167">
        <v>46104.53543984954</v>
      </c>
      <c r="B822" s="25" t="s">
        <v>18</v>
      </c>
      <c r="C822" s="56" t="s">
        <v>1892</v>
      </c>
      <c r="D822" s="167">
        <v>46104.534379861114</v>
      </c>
      <c r="E822" s="37">
        <v>3300.0</v>
      </c>
      <c r="F822" s="56" t="s">
        <v>1561</v>
      </c>
      <c r="G822" s="56">
        <v>656.0</v>
      </c>
      <c r="H822" s="130"/>
      <c r="I822" s="130" t="s">
        <v>20</v>
      </c>
      <c r="J822" s="26" t="s">
        <v>1225</v>
      </c>
      <c r="K822" s="26" t="s">
        <v>1562</v>
      </c>
      <c r="L822" s="26" t="s">
        <v>1563</v>
      </c>
      <c r="M822" s="26" t="s">
        <v>1572</v>
      </c>
      <c r="N822" s="26" t="s">
        <v>1565</v>
      </c>
      <c r="O822" s="26" t="s">
        <v>1566</v>
      </c>
      <c r="P822" s="26" t="s">
        <v>22</v>
      </c>
      <c r="Q822" s="26">
        <v>400.0</v>
      </c>
    </row>
    <row r="823" ht="17.25" customHeight="1">
      <c r="A823" s="167">
        <v>46104.53546206019</v>
      </c>
      <c r="B823" s="25" t="s">
        <v>1522</v>
      </c>
      <c r="C823" s="56" t="s">
        <v>1892</v>
      </c>
      <c r="D823" s="167">
        <v>46104.534379861114</v>
      </c>
      <c r="E823" s="37">
        <v>1700.0</v>
      </c>
      <c r="F823" s="56" t="s">
        <v>1561</v>
      </c>
      <c r="G823" s="56">
        <v>656.0</v>
      </c>
      <c r="H823" s="130"/>
      <c r="I823" s="130" t="s">
        <v>1523</v>
      </c>
      <c r="J823" s="26" t="s">
        <v>1225</v>
      </c>
      <c r="K823" s="26" t="s">
        <v>1562</v>
      </c>
      <c r="L823" s="26" t="s">
        <v>1563</v>
      </c>
      <c r="M823" s="26" t="s">
        <v>1572</v>
      </c>
      <c r="N823" s="26" t="s">
        <v>1571</v>
      </c>
      <c r="O823" s="26" t="s">
        <v>1566</v>
      </c>
      <c r="P823" s="26" t="s">
        <v>22</v>
      </c>
      <c r="Q823" s="26">
        <v>800.0</v>
      </c>
    </row>
    <row r="824" ht="17.25" customHeight="1">
      <c r="A824" s="167">
        <v>46104.78160119213</v>
      </c>
      <c r="B824" s="27" t="s">
        <v>1954</v>
      </c>
      <c r="C824" s="56" t="s">
        <v>1560</v>
      </c>
      <c r="D824" s="167">
        <v>46104.534379861114</v>
      </c>
      <c r="E824" s="37">
        <v>1440.0</v>
      </c>
      <c r="F824" s="56" t="s">
        <v>1561</v>
      </c>
      <c r="G824" s="56" t="s">
        <v>2163</v>
      </c>
      <c r="H824" s="130"/>
      <c r="I824" s="130" t="s">
        <v>1955</v>
      </c>
      <c r="J824" s="26" t="s">
        <v>1225</v>
      </c>
      <c r="K824" s="26" t="s">
        <v>1653</v>
      </c>
      <c r="L824" s="26" t="s">
        <v>1633</v>
      </c>
      <c r="M824" s="26" t="s">
        <v>1662</v>
      </c>
      <c r="N824" s="26" t="s">
        <v>1566</v>
      </c>
      <c r="O824" s="26" t="s">
        <v>1654</v>
      </c>
      <c r="P824" s="26" t="s">
        <v>22</v>
      </c>
      <c r="Q824" s="26">
        <v>0.0</v>
      </c>
    </row>
    <row r="825" ht="17.25" customHeight="1">
      <c r="A825" s="167">
        <v>46104.7822074537</v>
      </c>
      <c r="B825" s="26" t="s">
        <v>1715</v>
      </c>
      <c r="C825" s="56" t="s">
        <v>1560</v>
      </c>
      <c r="D825" s="167">
        <v>46104.534379861114</v>
      </c>
      <c r="E825" s="37">
        <v>2100.0</v>
      </c>
      <c r="F825" s="56" t="s">
        <v>1561</v>
      </c>
      <c r="G825" s="90"/>
      <c r="H825" s="130"/>
      <c r="I825" s="130" t="s">
        <v>1716</v>
      </c>
      <c r="J825" s="26" t="s">
        <v>1225</v>
      </c>
      <c r="K825" s="26" t="s">
        <v>1562</v>
      </c>
      <c r="L825" s="26" t="s">
        <v>1603</v>
      </c>
      <c r="M825" s="26" t="s">
        <v>1586</v>
      </c>
      <c r="N825" s="26" t="s">
        <v>1566</v>
      </c>
      <c r="O825" s="26" t="s">
        <v>1566</v>
      </c>
      <c r="P825" s="26" t="s">
        <v>22</v>
      </c>
      <c r="Q825" s="26">
        <v>0.0</v>
      </c>
    </row>
    <row r="826" ht="17.25" customHeight="1">
      <c r="A826" s="167">
        <v>46104.78329553241</v>
      </c>
      <c r="B826" s="25" t="s">
        <v>1710</v>
      </c>
      <c r="C826" s="56" t="s">
        <v>1560</v>
      </c>
      <c r="D826" s="167">
        <v>46104.534379861114</v>
      </c>
      <c r="E826" s="37">
        <v>600.0</v>
      </c>
      <c r="F826" s="56" t="s">
        <v>1561</v>
      </c>
      <c r="G826" s="90"/>
      <c r="H826" s="130"/>
      <c r="I826" s="130" t="s">
        <v>1711</v>
      </c>
      <c r="J826" s="26" t="s">
        <v>1225</v>
      </c>
      <c r="K826" s="26" t="s">
        <v>1562</v>
      </c>
      <c r="L826" s="26" t="s">
        <v>1633</v>
      </c>
      <c r="M826" s="26" t="s">
        <v>1564</v>
      </c>
      <c r="N826" s="26" t="s">
        <v>1566</v>
      </c>
      <c r="O826" s="26" t="s">
        <v>1566</v>
      </c>
      <c r="P826" s="26" t="s">
        <v>22</v>
      </c>
      <c r="Q826" s="26">
        <v>0.0</v>
      </c>
    </row>
    <row r="827" ht="17.25" customHeight="1">
      <c r="A827" s="167">
        <v>46104.78559505787</v>
      </c>
      <c r="B827" s="172" t="s">
        <v>1074</v>
      </c>
      <c r="C827" s="56" t="s">
        <v>1560</v>
      </c>
      <c r="D827" s="167">
        <v>46104.534379861114</v>
      </c>
      <c r="E827" s="37">
        <v>400.0</v>
      </c>
      <c r="F827" s="56" t="s">
        <v>1561</v>
      </c>
      <c r="G827" s="90"/>
      <c r="H827" s="130"/>
      <c r="I827" s="130" t="s">
        <v>1075</v>
      </c>
      <c r="J827" s="26" t="s">
        <v>1225</v>
      </c>
      <c r="K827" s="26" t="s">
        <v>1562</v>
      </c>
      <c r="L827" s="26" t="s">
        <v>1573</v>
      </c>
      <c r="M827" s="26" t="s">
        <v>1597</v>
      </c>
      <c r="N827" s="26" t="s">
        <v>1566</v>
      </c>
      <c r="O827" s="26" t="s">
        <v>1566</v>
      </c>
      <c r="P827" s="26" t="s">
        <v>22</v>
      </c>
      <c r="Q827" s="26">
        <v>0.0</v>
      </c>
    </row>
    <row r="828" ht="17.25" customHeight="1">
      <c r="A828" s="167">
        <v>46104.78660782408</v>
      </c>
      <c r="B828" s="27" t="s">
        <v>1717</v>
      </c>
      <c r="C828" s="56" t="s">
        <v>1560</v>
      </c>
      <c r="D828" s="167">
        <v>46104.534379861114</v>
      </c>
      <c r="E828" s="37">
        <v>2600.0</v>
      </c>
      <c r="F828" s="56" t="s">
        <v>1561</v>
      </c>
      <c r="G828" s="90"/>
      <c r="H828" s="130"/>
      <c r="I828" s="130" t="s">
        <v>1718</v>
      </c>
      <c r="J828" s="26" t="s">
        <v>1225</v>
      </c>
      <c r="K828" s="26" t="s">
        <v>1562</v>
      </c>
      <c r="L828" s="26" t="s">
        <v>1587</v>
      </c>
      <c r="M828" s="26" t="s">
        <v>1564</v>
      </c>
      <c r="N828" s="26" t="s">
        <v>1566</v>
      </c>
      <c r="O828" s="26" t="s">
        <v>1566</v>
      </c>
      <c r="P828" s="26" t="s">
        <v>22</v>
      </c>
      <c r="Q828" s="26">
        <v>0.0</v>
      </c>
    </row>
    <row r="829" ht="17.25" customHeight="1">
      <c r="A829" s="167">
        <v>46104.78749008102</v>
      </c>
      <c r="B829" s="181" t="s">
        <v>1077</v>
      </c>
      <c r="C829" s="56" t="s">
        <v>1560</v>
      </c>
      <c r="D829" s="167">
        <v>46104.534379861114</v>
      </c>
      <c r="E829" s="37">
        <v>2880.0</v>
      </c>
      <c r="F829" s="56" t="s">
        <v>1561</v>
      </c>
      <c r="G829" s="90"/>
      <c r="H829" s="130"/>
      <c r="I829" s="130" t="s">
        <v>1078</v>
      </c>
      <c r="J829" s="26" t="s">
        <v>1225</v>
      </c>
      <c r="K829" s="26" t="s">
        <v>1653</v>
      </c>
      <c r="L829" s="26" t="s">
        <v>1667</v>
      </c>
      <c r="M829" s="26" t="s">
        <v>1595</v>
      </c>
      <c r="N829" s="26" t="s">
        <v>1566</v>
      </c>
      <c r="O829" s="26" t="s">
        <v>1654</v>
      </c>
      <c r="P829" s="26" t="s">
        <v>22</v>
      </c>
      <c r="Q829" s="26">
        <v>1080.0</v>
      </c>
    </row>
    <row r="830" ht="17.25" customHeight="1">
      <c r="A830" s="167">
        <v>46104.78829053241</v>
      </c>
      <c r="B830" s="181" t="s">
        <v>1956</v>
      </c>
      <c r="C830" s="56" t="s">
        <v>1560</v>
      </c>
      <c r="D830" s="167">
        <v>46104.534379861114</v>
      </c>
      <c r="E830" s="193">
        <v>1296.0</v>
      </c>
      <c r="G830" s="90"/>
      <c r="H830" s="130"/>
      <c r="I830" s="130" t="s">
        <v>1957</v>
      </c>
      <c r="J830" s="26" t="s">
        <v>1225</v>
      </c>
      <c r="K830" s="26" t="s">
        <v>1653</v>
      </c>
      <c r="L830" s="26" t="s">
        <v>1587</v>
      </c>
      <c r="M830" s="26" t="s">
        <v>1564</v>
      </c>
      <c r="N830" s="26" t="s">
        <v>1566</v>
      </c>
      <c r="O830" s="26" t="s">
        <v>1654</v>
      </c>
      <c r="P830" s="26" t="s">
        <v>22</v>
      </c>
      <c r="Q830" s="26">
        <v>0.0</v>
      </c>
    </row>
    <row r="831" ht="17.25" customHeight="1">
      <c r="A831" s="167">
        <v>46105.41800766204</v>
      </c>
      <c r="B831" s="172" t="s">
        <v>1952</v>
      </c>
      <c r="C831" s="56" t="s">
        <v>1892</v>
      </c>
      <c r="D831" s="167">
        <v>46104.534379861114</v>
      </c>
      <c r="E831" s="37">
        <v>17.0</v>
      </c>
      <c r="F831" s="56" t="s">
        <v>2167</v>
      </c>
      <c r="G831" s="90"/>
      <c r="H831" s="130"/>
      <c r="I831" s="130" t="s">
        <v>1953</v>
      </c>
      <c r="J831" s="26" t="s">
        <v>1830</v>
      </c>
      <c r="K831" s="26" t="s">
        <v>1642</v>
      </c>
      <c r="L831" s="26" t="s">
        <v>1566</v>
      </c>
      <c r="M831" s="26" t="s">
        <v>1566</v>
      </c>
      <c r="N831" s="26" t="s">
        <v>1566</v>
      </c>
      <c r="O831" s="26" t="s">
        <v>1566</v>
      </c>
      <c r="P831" s="26" t="s">
        <v>643</v>
      </c>
      <c r="Q831" s="26">
        <v>0.0</v>
      </c>
    </row>
    <row r="832" ht="17.25" customHeight="1">
      <c r="A832" s="167">
        <v>46105.41832784722</v>
      </c>
      <c r="B832" s="23" t="s">
        <v>301</v>
      </c>
      <c r="C832" s="56" t="s">
        <v>1892</v>
      </c>
      <c r="D832" s="167">
        <v>46105.41832784722</v>
      </c>
      <c r="E832" s="37">
        <v>10.0</v>
      </c>
      <c r="F832" s="56" t="s">
        <v>2156</v>
      </c>
      <c r="G832" s="90"/>
      <c r="H832" s="130"/>
      <c r="I832" s="130" t="s">
        <v>302</v>
      </c>
      <c r="J832" s="26" t="s">
        <v>1830</v>
      </c>
      <c r="K832" s="26" t="s">
        <v>302</v>
      </c>
      <c r="L832" s="26" t="s">
        <v>1566</v>
      </c>
      <c r="M832" s="26" t="s">
        <v>1566</v>
      </c>
      <c r="N832" s="26" t="s">
        <v>1566</v>
      </c>
      <c r="O832" s="26" t="s">
        <v>1566</v>
      </c>
      <c r="P832" s="26" t="s">
        <v>661</v>
      </c>
      <c r="Q832" s="26">
        <v>580.0</v>
      </c>
    </row>
    <row r="833" ht="17.25" customHeight="1">
      <c r="A833" s="167">
        <v>46105.42633333334</v>
      </c>
      <c r="B833" s="25" t="s">
        <v>222</v>
      </c>
      <c r="C833" s="56" t="s">
        <v>1560</v>
      </c>
      <c r="D833" s="167">
        <v>46105.41832784722</v>
      </c>
      <c r="E833" s="37">
        <v>72.0</v>
      </c>
      <c r="F833" s="56" t="s">
        <v>1673</v>
      </c>
      <c r="G833" s="90"/>
      <c r="H833" s="130"/>
      <c r="I833" s="130" t="s">
        <v>230</v>
      </c>
      <c r="J833" s="26" t="s">
        <v>1821</v>
      </c>
      <c r="K833" s="26" t="s">
        <v>1822</v>
      </c>
      <c r="L833" s="26" t="s">
        <v>1828</v>
      </c>
      <c r="M833" s="26" t="s">
        <v>1590</v>
      </c>
      <c r="N833" s="26" t="s">
        <v>1566</v>
      </c>
      <c r="O833" s="26" t="s">
        <v>1566</v>
      </c>
      <c r="P833" s="26" t="s">
        <v>661</v>
      </c>
      <c r="Q833" s="26">
        <v>60.0</v>
      </c>
    </row>
    <row r="834" ht="17.25" customHeight="1">
      <c r="A834" s="167">
        <v>46105.42727244213</v>
      </c>
      <c r="B834" s="25" t="s">
        <v>222</v>
      </c>
      <c r="C834" s="56" t="s">
        <v>1892</v>
      </c>
      <c r="D834" s="167">
        <v>46105.41832784722</v>
      </c>
      <c r="E834" s="37">
        <v>4.0</v>
      </c>
      <c r="F834" s="56" t="s">
        <v>1907</v>
      </c>
      <c r="G834" s="90"/>
      <c r="H834" s="130"/>
      <c r="I834" s="130" t="s">
        <v>230</v>
      </c>
      <c r="J834" s="26" t="s">
        <v>1821</v>
      </c>
      <c r="K834" s="26" t="s">
        <v>1822</v>
      </c>
      <c r="L834" s="26" t="s">
        <v>1828</v>
      </c>
      <c r="M834" s="26" t="s">
        <v>1590</v>
      </c>
      <c r="N834" s="26" t="s">
        <v>1566</v>
      </c>
      <c r="O834" s="26" t="s">
        <v>1566</v>
      </c>
      <c r="P834" s="26" t="s">
        <v>661</v>
      </c>
      <c r="Q834" s="26">
        <v>60.0</v>
      </c>
    </row>
    <row r="835" ht="17.25" customHeight="1">
      <c r="A835" s="167">
        <v>46105.42782606481</v>
      </c>
      <c r="B835" s="23" t="s">
        <v>876</v>
      </c>
      <c r="C835" s="56" t="s">
        <v>1560</v>
      </c>
      <c r="D835" s="167">
        <v>46105.41832784722</v>
      </c>
      <c r="E835" s="37">
        <v>80.0</v>
      </c>
      <c r="F835" s="56" t="s">
        <v>1673</v>
      </c>
      <c r="G835" s="90"/>
      <c r="H835" s="130"/>
      <c r="I835" s="130" t="s">
        <v>878</v>
      </c>
      <c r="J835" s="26" t="s">
        <v>1830</v>
      </c>
      <c r="K835" s="26" t="s">
        <v>1879</v>
      </c>
      <c r="L835" s="26" t="s">
        <v>1566</v>
      </c>
      <c r="M835" s="26" t="s">
        <v>1566</v>
      </c>
      <c r="N835" s="26" t="s">
        <v>1566</v>
      </c>
      <c r="O835" s="26" t="s">
        <v>1566</v>
      </c>
      <c r="P835" s="26" t="s">
        <v>643</v>
      </c>
      <c r="Q835" s="26">
        <v>34.0</v>
      </c>
    </row>
    <row r="836" ht="17.25" customHeight="1">
      <c r="A836" s="167">
        <v>46105.442826666665</v>
      </c>
      <c r="B836" s="25" t="s">
        <v>437</v>
      </c>
      <c r="C836" s="56" t="s">
        <v>1892</v>
      </c>
      <c r="D836" s="167">
        <v>46105.41832784722</v>
      </c>
      <c r="E836" s="37">
        <v>2.0</v>
      </c>
      <c r="F836" s="56" t="s">
        <v>2169</v>
      </c>
      <c r="G836" s="90"/>
      <c r="H836" s="130"/>
      <c r="I836" s="130" t="s">
        <v>438</v>
      </c>
      <c r="J836" s="26" t="s">
        <v>1674</v>
      </c>
      <c r="K836" s="26" t="s">
        <v>1691</v>
      </c>
      <c r="L836" s="26" t="s">
        <v>1566</v>
      </c>
      <c r="M836" s="26" t="s">
        <v>1566</v>
      </c>
      <c r="N836" s="26" t="s">
        <v>1721</v>
      </c>
      <c r="O836" s="26" t="s">
        <v>1677</v>
      </c>
      <c r="P836" s="26" t="s">
        <v>290</v>
      </c>
      <c r="Q836" s="26">
        <v>5.0</v>
      </c>
    </row>
    <row r="837" ht="17.25" customHeight="1">
      <c r="A837" s="167">
        <v>46105.443281747685</v>
      </c>
      <c r="B837" s="25" t="s">
        <v>441</v>
      </c>
      <c r="C837" s="56" t="s">
        <v>1892</v>
      </c>
      <c r="D837" s="167">
        <v>46104.534379861114</v>
      </c>
      <c r="E837" s="37">
        <v>2.0</v>
      </c>
      <c r="F837" s="56" t="s">
        <v>2169</v>
      </c>
      <c r="G837" s="90"/>
      <c r="H837" s="130"/>
      <c r="I837" s="130" t="s">
        <v>688</v>
      </c>
      <c r="J837" s="26" t="s">
        <v>1674</v>
      </c>
      <c r="K837" s="26" t="s">
        <v>1691</v>
      </c>
      <c r="L837" s="26" t="s">
        <v>1566</v>
      </c>
      <c r="M837" s="26" t="s">
        <v>1566</v>
      </c>
      <c r="N837" s="26" t="s">
        <v>1721</v>
      </c>
      <c r="O837" s="26" t="s">
        <v>1677</v>
      </c>
      <c r="P837" s="26" t="s">
        <v>290</v>
      </c>
      <c r="Q837" s="26">
        <v>0.0</v>
      </c>
    </row>
    <row r="838" ht="17.25" customHeight="1">
      <c r="A838" s="167">
        <v>46105.456410555555</v>
      </c>
      <c r="B838" s="25" t="s">
        <v>1954</v>
      </c>
      <c r="C838" s="56" t="s">
        <v>1892</v>
      </c>
      <c r="D838" s="167">
        <v>46105.45800378472</v>
      </c>
      <c r="E838" s="37">
        <v>1440.0</v>
      </c>
      <c r="F838" s="56" t="s">
        <v>1561</v>
      </c>
      <c r="G838" s="56">
        <v>664.0</v>
      </c>
      <c r="H838" s="130"/>
      <c r="I838" s="130" t="s">
        <v>1955</v>
      </c>
      <c r="J838" s="26" t="s">
        <v>1225</v>
      </c>
      <c r="K838" s="26" t="s">
        <v>1653</v>
      </c>
      <c r="L838" s="26" t="s">
        <v>1633</v>
      </c>
      <c r="M838" s="26" t="s">
        <v>1662</v>
      </c>
      <c r="N838" s="26" t="s">
        <v>1566</v>
      </c>
      <c r="O838" s="26" t="s">
        <v>1654</v>
      </c>
      <c r="P838" s="26" t="s">
        <v>22</v>
      </c>
      <c r="Q838" s="26">
        <v>0.0</v>
      </c>
    </row>
    <row r="839" ht="17.25" customHeight="1">
      <c r="A839" s="167">
        <v>46105.45800378472</v>
      </c>
      <c r="B839" s="25" t="s">
        <v>1074</v>
      </c>
      <c r="C839" s="56" t="s">
        <v>1892</v>
      </c>
      <c r="D839" s="167">
        <v>46105.45800378472</v>
      </c>
      <c r="E839" s="37">
        <v>400.0</v>
      </c>
      <c r="F839" s="56" t="s">
        <v>1561</v>
      </c>
      <c r="G839" s="56">
        <v>666.0</v>
      </c>
      <c r="H839" s="130"/>
      <c r="I839" s="130" t="s">
        <v>1075</v>
      </c>
      <c r="J839" s="26" t="s">
        <v>1225</v>
      </c>
      <c r="K839" s="26" t="s">
        <v>1562</v>
      </c>
      <c r="L839" s="26" t="s">
        <v>1573</v>
      </c>
      <c r="M839" s="26" t="s">
        <v>1597</v>
      </c>
      <c r="N839" s="26" t="s">
        <v>1566</v>
      </c>
      <c r="O839" s="26" t="s">
        <v>1566</v>
      </c>
      <c r="P839" s="26" t="s">
        <v>22</v>
      </c>
      <c r="Q839" s="26">
        <v>0.0</v>
      </c>
    </row>
    <row r="840" ht="17.25" customHeight="1">
      <c r="A840" s="167">
        <v>46105.52404400463</v>
      </c>
      <c r="B840" s="25" t="s">
        <v>312</v>
      </c>
      <c r="C840" s="56" t="s">
        <v>1560</v>
      </c>
      <c r="D840" s="167">
        <v>46104.534379861114</v>
      </c>
      <c r="E840" s="37">
        <v>15.0</v>
      </c>
      <c r="F840" s="56" t="s">
        <v>1673</v>
      </c>
      <c r="G840" s="90"/>
      <c r="H840" s="130"/>
      <c r="I840" s="130" t="s">
        <v>319</v>
      </c>
      <c r="J840" s="26" t="s">
        <v>1821</v>
      </c>
      <c r="K840" s="26" t="s">
        <v>1822</v>
      </c>
      <c r="L840" s="26" t="s">
        <v>1566</v>
      </c>
      <c r="M840" s="26" t="s">
        <v>1566</v>
      </c>
      <c r="N840" s="26" t="s">
        <v>1566</v>
      </c>
      <c r="O840" s="26" t="s">
        <v>1829</v>
      </c>
      <c r="P840" s="26" t="s">
        <v>661</v>
      </c>
      <c r="Q840" s="26">
        <v>17.0</v>
      </c>
    </row>
    <row r="841" ht="17.25" customHeight="1">
      <c r="A841" s="167">
        <v>46105.52460924769</v>
      </c>
      <c r="B841" s="25" t="s">
        <v>271</v>
      </c>
      <c r="C841" s="56" t="s">
        <v>1560</v>
      </c>
      <c r="D841" s="167">
        <v>46104.534379861114</v>
      </c>
      <c r="E841" s="37">
        <v>18.0</v>
      </c>
      <c r="F841" s="56" t="s">
        <v>1673</v>
      </c>
      <c r="G841" s="90"/>
      <c r="H841" s="130"/>
      <c r="I841" s="130" t="s">
        <v>277</v>
      </c>
      <c r="J841" s="26" t="s">
        <v>1821</v>
      </c>
      <c r="K841" s="26" t="s">
        <v>1822</v>
      </c>
      <c r="L841" s="26" t="s">
        <v>1824</v>
      </c>
      <c r="M841" s="26" t="s">
        <v>1566</v>
      </c>
      <c r="N841" s="26" t="s">
        <v>1566</v>
      </c>
      <c r="O841" s="26" t="s">
        <v>1566</v>
      </c>
      <c r="P841" s="26" t="s">
        <v>661</v>
      </c>
      <c r="Q841" s="26">
        <v>45.0</v>
      </c>
    </row>
    <row r="842" ht="17.25" customHeight="1">
      <c r="A842" s="167">
        <v>46105.52557196759</v>
      </c>
      <c r="B842" s="172" t="s">
        <v>1080</v>
      </c>
      <c r="C842" s="56" t="s">
        <v>1560</v>
      </c>
      <c r="D842" s="167">
        <v>46104.534379861114</v>
      </c>
      <c r="E842" s="37">
        <v>110.0</v>
      </c>
      <c r="F842" s="56" t="s">
        <v>1924</v>
      </c>
      <c r="G842" s="90"/>
      <c r="H842" s="130"/>
      <c r="I842" s="130" t="s">
        <v>1081</v>
      </c>
      <c r="J842" s="26" t="s">
        <v>1821</v>
      </c>
      <c r="K842" s="26" t="s">
        <v>1821</v>
      </c>
      <c r="L842" s="26" t="s">
        <v>1566</v>
      </c>
      <c r="M842" s="26" t="s">
        <v>1566</v>
      </c>
      <c r="N842" s="26" t="s">
        <v>1566</v>
      </c>
      <c r="O842" s="26" t="s">
        <v>1566</v>
      </c>
      <c r="P842" s="26" t="s">
        <v>290</v>
      </c>
      <c r="Q842" s="26">
        <v>110.0</v>
      </c>
    </row>
    <row r="843" ht="17.25" customHeight="1">
      <c r="A843" s="167">
        <v>46105.68632226852</v>
      </c>
      <c r="B843" s="23" t="s">
        <v>359</v>
      </c>
      <c r="C843" s="56" t="s">
        <v>1892</v>
      </c>
      <c r="D843" s="167">
        <v>46105.68632226852</v>
      </c>
      <c r="E843" s="37">
        <v>7.0</v>
      </c>
      <c r="F843" s="56" t="s">
        <v>1561</v>
      </c>
      <c r="G843" s="90"/>
      <c r="H843" s="130"/>
      <c r="I843" s="130" t="s">
        <v>370</v>
      </c>
      <c r="J843" s="26" t="s">
        <v>370</v>
      </c>
      <c r="K843" s="26" t="s">
        <v>370</v>
      </c>
      <c r="L843" s="26" t="s">
        <v>1566</v>
      </c>
      <c r="M843" s="26" t="s">
        <v>1566</v>
      </c>
      <c r="N843" s="26" t="s">
        <v>1566</v>
      </c>
      <c r="O843" s="26" t="s">
        <v>1566</v>
      </c>
      <c r="P843" s="26" t="s">
        <v>661</v>
      </c>
      <c r="Q843" s="26">
        <v>100.0</v>
      </c>
    </row>
    <row r="844" ht="17.25" customHeight="1">
      <c r="A844" s="167">
        <v>46105.68823461806</v>
      </c>
      <c r="B844" s="181" t="s">
        <v>1077</v>
      </c>
      <c r="C844" s="56" t="s">
        <v>1892</v>
      </c>
      <c r="D844" s="167">
        <v>46105.68632226852</v>
      </c>
      <c r="E844" s="37">
        <v>1800.0</v>
      </c>
      <c r="F844" s="56" t="s">
        <v>1561</v>
      </c>
      <c r="G844" s="56">
        <v>657.0</v>
      </c>
      <c r="H844" s="130"/>
      <c r="I844" s="130" t="s">
        <v>1078</v>
      </c>
      <c r="J844" s="26" t="s">
        <v>1225</v>
      </c>
      <c r="K844" s="26" t="s">
        <v>1653</v>
      </c>
      <c r="L844" s="26" t="s">
        <v>1667</v>
      </c>
      <c r="M844" s="26" t="s">
        <v>1595</v>
      </c>
      <c r="N844" s="26" t="s">
        <v>1566</v>
      </c>
      <c r="O844" s="26" t="s">
        <v>1654</v>
      </c>
      <c r="P844" s="26" t="s">
        <v>22</v>
      </c>
      <c r="Q844" s="26">
        <v>1080.0</v>
      </c>
    </row>
    <row r="845" ht="17.25" customHeight="1">
      <c r="A845" s="167">
        <v>46129.444917071756</v>
      </c>
      <c r="B845" s="23" t="s">
        <v>876</v>
      </c>
      <c r="C845" s="56" t="s">
        <v>1892</v>
      </c>
      <c r="D845" s="167">
        <v>46105.68632226852</v>
      </c>
      <c r="E845" s="37">
        <v>5.0</v>
      </c>
      <c r="F845" s="56" t="s">
        <v>1561</v>
      </c>
      <c r="G845" s="90"/>
      <c r="H845" s="130"/>
      <c r="I845" s="130" t="s">
        <v>878</v>
      </c>
      <c r="J845" s="26" t="s">
        <v>1830</v>
      </c>
      <c r="K845" s="26" t="s">
        <v>1879</v>
      </c>
      <c r="L845" s="26" t="s">
        <v>1566</v>
      </c>
      <c r="M845" s="26" t="s">
        <v>1566</v>
      </c>
      <c r="N845" s="26" t="s">
        <v>1566</v>
      </c>
      <c r="O845" s="26" t="s">
        <v>1566</v>
      </c>
      <c r="P845" s="26" t="s">
        <v>643</v>
      </c>
      <c r="Q845" s="26">
        <v>34.0</v>
      </c>
    </row>
    <row r="846" ht="17.25" customHeight="1">
      <c r="A846" s="167">
        <v>46105.751292581015</v>
      </c>
      <c r="B846" s="25" t="s">
        <v>1855</v>
      </c>
      <c r="C846" s="56" t="s">
        <v>1892</v>
      </c>
      <c r="D846" s="167">
        <v>46105.68632226852</v>
      </c>
      <c r="E846" s="37">
        <v>1.0</v>
      </c>
      <c r="F846" s="56" t="s">
        <v>1844</v>
      </c>
      <c r="G846" s="90"/>
      <c r="H846" s="130"/>
      <c r="I846" s="130" t="s">
        <v>1858</v>
      </c>
      <c r="J846" s="26" t="s">
        <v>1844</v>
      </c>
      <c r="K846" s="26" t="s">
        <v>1846</v>
      </c>
      <c r="L846" s="26" t="s">
        <v>1860</v>
      </c>
      <c r="M846" s="26" t="s">
        <v>1566</v>
      </c>
      <c r="N846" s="26" t="s">
        <v>1566</v>
      </c>
      <c r="O846" s="26" t="s">
        <v>1808</v>
      </c>
      <c r="P846" s="26" t="s">
        <v>661</v>
      </c>
      <c r="Q846" s="26">
        <v>0.0</v>
      </c>
    </row>
    <row r="847" ht="17.25" customHeight="1">
      <c r="A847" s="167">
        <v>46106.48495673611</v>
      </c>
      <c r="B847" s="23" t="s">
        <v>301</v>
      </c>
      <c r="C847" s="56" t="s">
        <v>1892</v>
      </c>
      <c r="D847" s="167">
        <v>46106.48495673611</v>
      </c>
      <c r="E847" s="37">
        <v>10.0</v>
      </c>
      <c r="F847" s="56" t="s">
        <v>2137</v>
      </c>
      <c r="G847" s="90"/>
      <c r="H847" s="130"/>
      <c r="I847" s="130" t="s">
        <v>302</v>
      </c>
      <c r="J847" s="26" t="s">
        <v>1830</v>
      </c>
      <c r="K847" s="26" t="s">
        <v>302</v>
      </c>
      <c r="L847" s="26" t="s">
        <v>1566</v>
      </c>
      <c r="M847" s="26" t="s">
        <v>1566</v>
      </c>
      <c r="N847" s="26" t="s">
        <v>1566</v>
      </c>
      <c r="O847" s="26" t="s">
        <v>1566</v>
      </c>
      <c r="P847" s="26" t="s">
        <v>661</v>
      </c>
      <c r="Q847" s="26">
        <v>580.0</v>
      </c>
    </row>
    <row r="848" ht="17.25" customHeight="1">
      <c r="A848" s="167">
        <v>46106.485487673606</v>
      </c>
      <c r="B848" s="25" t="s">
        <v>222</v>
      </c>
      <c r="C848" s="56" t="s">
        <v>1892</v>
      </c>
      <c r="D848" s="167">
        <v>46106.48495673611</v>
      </c>
      <c r="E848" s="37">
        <v>4.0</v>
      </c>
      <c r="F848" s="56" t="s">
        <v>1907</v>
      </c>
      <c r="G848" s="90"/>
      <c r="H848" s="130"/>
      <c r="I848" s="130" t="s">
        <v>230</v>
      </c>
      <c r="J848" s="26" t="s">
        <v>1821</v>
      </c>
      <c r="K848" s="26" t="s">
        <v>1822</v>
      </c>
      <c r="L848" s="26" t="s">
        <v>1828</v>
      </c>
      <c r="M848" s="26" t="s">
        <v>1590</v>
      </c>
      <c r="N848" s="26" t="s">
        <v>1566</v>
      </c>
      <c r="O848" s="26" t="s">
        <v>1566</v>
      </c>
      <c r="P848" s="26" t="s">
        <v>661</v>
      </c>
      <c r="Q848" s="26">
        <v>60.0</v>
      </c>
    </row>
    <row r="849" ht="17.25" customHeight="1">
      <c r="A849" s="167">
        <v>46106.48569400463</v>
      </c>
      <c r="B849" s="23" t="s">
        <v>876</v>
      </c>
      <c r="C849" s="56" t="s">
        <v>1892</v>
      </c>
      <c r="D849" s="167">
        <v>46106.48495673611</v>
      </c>
      <c r="E849" s="37">
        <v>2.0</v>
      </c>
      <c r="F849" s="56" t="s">
        <v>1907</v>
      </c>
      <c r="G849" s="90"/>
      <c r="H849" s="130"/>
      <c r="I849" s="130" t="s">
        <v>878</v>
      </c>
      <c r="J849" s="26" t="s">
        <v>1830</v>
      </c>
      <c r="K849" s="26" t="s">
        <v>1879</v>
      </c>
      <c r="L849" s="26" t="s">
        <v>1566</v>
      </c>
      <c r="M849" s="26" t="s">
        <v>1566</v>
      </c>
      <c r="N849" s="26" t="s">
        <v>1566</v>
      </c>
      <c r="O849" s="26" t="s">
        <v>1566</v>
      </c>
      <c r="P849" s="26" t="s">
        <v>643</v>
      </c>
      <c r="Q849" s="26">
        <v>34.0</v>
      </c>
    </row>
    <row r="850" ht="17.25" customHeight="1">
      <c r="A850" s="167">
        <v>46106.48602813657</v>
      </c>
      <c r="B850" s="27" t="s">
        <v>1039</v>
      </c>
      <c r="C850" s="56" t="s">
        <v>1892</v>
      </c>
      <c r="D850" s="167">
        <v>46106.48495673611</v>
      </c>
      <c r="E850" s="37">
        <v>1.0</v>
      </c>
      <c r="F850" s="56" t="s">
        <v>2173</v>
      </c>
      <c r="G850" s="90"/>
      <c r="H850" s="130"/>
      <c r="I850" s="130" t="s">
        <v>1040</v>
      </c>
      <c r="J850" s="26" t="s">
        <v>1830</v>
      </c>
      <c r="K850" s="26" t="s">
        <v>1833</v>
      </c>
      <c r="L850" s="26" t="s">
        <v>1566</v>
      </c>
      <c r="M850" s="26" t="s">
        <v>1566</v>
      </c>
      <c r="N850" s="26" t="s">
        <v>1566</v>
      </c>
      <c r="O850" s="26" t="s">
        <v>1566</v>
      </c>
      <c r="P850" s="26" t="s">
        <v>643</v>
      </c>
      <c r="Q850" s="26">
        <v>6.0</v>
      </c>
    </row>
    <row r="851" ht="17.25" customHeight="1">
      <c r="A851" s="167">
        <v>46106.721374189816</v>
      </c>
      <c r="B851" s="25" t="s">
        <v>682</v>
      </c>
      <c r="C851" s="56" t="s">
        <v>1892</v>
      </c>
      <c r="D851" s="167">
        <v>46106.48495673611</v>
      </c>
      <c r="E851" s="37">
        <v>5.0</v>
      </c>
      <c r="F851" s="56" t="s">
        <v>2094</v>
      </c>
      <c r="G851" s="90"/>
      <c r="H851" s="130"/>
      <c r="I851" s="130" t="s">
        <v>690</v>
      </c>
      <c r="J851" s="26" t="s">
        <v>1830</v>
      </c>
      <c r="K851" s="26" t="s">
        <v>1830</v>
      </c>
      <c r="L851" s="26" t="s">
        <v>1566</v>
      </c>
      <c r="M851" s="26" t="s">
        <v>1566</v>
      </c>
      <c r="N851" s="26" t="s">
        <v>1566</v>
      </c>
      <c r="O851" s="26" t="s">
        <v>1566</v>
      </c>
      <c r="P851" s="26" t="s">
        <v>661</v>
      </c>
      <c r="Q851" s="26">
        <v>14.0</v>
      </c>
    </row>
    <row r="852" ht="17.25" customHeight="1">
      <c r="A852" s="167">
        <v>46106.72148841435</v>
      </c>
      <c r="B852" s="25" t="s">
        <v>301</v>
      </c>
      <c r="C852" s="56" t="s">
        <v>1560</v>
      </c>
      <c r="D852" s="167">
        <v>46105.68632226852</v>
      </c>
      <c r="E852" s="37">
        <v>500.0</v>
      </c>
      <c r="F852" s="56" t="s">
        <v>1673</v>
      </c>
      <c r="G852" s="90"/>
      <c r="H852" s="130"/>
      <c r="I852" s="130" t="s">
        <v>302</v>
      </c>
      <c r="J852" s="26" t="s">
        <v>1830</v>
      </c>
      <c r="K852" s="26" t="s">
        <v>302</v>
      </c>
      <c r="L852" s="26" t="s">
        <v>1566</v>
      </c>
      <c r="M852" s="26" t="s">
        <v>1566</v>
      </c>
      <c r="N852" s="26" t="s">
        <v>1566</v>
      </c>
      <c r="O852" s="26" t="s">
        <v>1566</v>
      </c>
      <c r="P852" s="26" t="s">
        <v>661</v>
      </c>
      <c r="Q852" s="26">
        <v>580.0</v>
      </c>
    </row>
    <row r="853" ht="17.25" customHeight="1">
      <c r="A853" s="167">
        <v>46106.72190199074</v>
      </c>
      <c r="B853" s="25" t="s">
        <v>301</v>
      </c>
      <c r="C853" s="56" t="s">
        <v>1892</v>
      </c>
      <c r="D853" s="167">
        <v>46105.68632226852</v>
      </c>
      <c r="E853" s="37">
        <v>300.0</v>
      </c>
      <c r="F853" s="56" t="s">
        <v>2094</v>
      </c>
      <c r="G853" s="90"/>
      <c r="H853" s="130"/>
      <c r="I853" s="130" t="s">
        <v>302</v>
      </c>
      <c r="J853" s="26" t="s">
        <v>1830</v>
      </c>
      <c r="K853" s="26" t="s">
        <v>302</v>
      </c>
      <c r="L853" s="26" t="s">
        <v>1566</v>
      </c>
      <c r="M853" s="26" t="s">
        <v>1566</v>
      </c>
      <c r="N853" s="26" t="s">
        <v>1566</v>
      </c>
      <c r="O853" s="26" t="s">
        <v>1566</v>
      </c>
      <c r="P853" s="26" t="s">
        <v>661</v>
      </c>
      <c r="Q853" s="26">
        <v>580.0</v>
      </c>
    </row>
    <row r="854" ht="17.25" customHeight="1">
      <c r="A854" s="167">
        <v>46107.41719634259</v>
      </c>
      <c r="B854" s="25" t="s">
        <v>21</v>
      </c>
      <c r="C854" s="56" t="s">
        <v>1560</v>
      </c>
      <c r="D854" s="167">
        <v>46106.48495673611</v>
      </c>
      <c r="E854" s="37">
        <v>25.0</v>
      </c>
      <c r="F854" s="56" t="s">
        <v>2175</v>
      </c>
      <c r="G854" s="90"/>
      <c r="H854" s="130"/>
      <c r="I854" s="130" t="s">
        <v>23</v>
      </c>
      <c r="J854" s="26" t="s">
        <v>1812</v>
      </c>
      <c r="K854" s="26" t="s">
        <v>1815</v>
      </c>
      <c r="L854" s="26" t="s">
        <v>1566</v>
      </c>
      <c r="M854" s="26" t="s">
        <v>1566</v>
      </c>
      <c r="N854" s="26" t="s">
        <v>1566</v>
      </c>
      <c r="O854" s="26" t="s">
        <v>1818</v>
      </c>
      <c r="P854" s="26" t="s">
        <v>616</v>
      </c>
      <c r="Q854" s="26">
        <v>20.0</v>
      </c>
    </row>
    <row r="855" ht="17.25" customHeight="1">
      <c r="A855" s="167">
        <v>46107.417554722226</v>
      </c>
      <c r="B855" s="25" t="s">
        <v>622</v>
      </c>
      <c r="C855" s="56" t="s">
        <v>1560</v>
      </c>
      <c r="D855" s="167">
        <v>46106.48495673611</v>
      </c>
      <c r="E855" s="37">
        <v>25.0</v>
      </c>
      <c r="F855" s="56" t="s">
        <v>2175</v>
      </c>
      <c r="G855" s="90"/>
      <c r="H855" s="130"/>
      <c r="I855" s="130" t="s">
        <v>623</v>
      </c>
      <c r="J855" s="26" t="s">
        <v>1812</v>
      </c>
      <c r="K855" s="26" t="s">
        <v>1815</v>
      </c>
      <c r="L855" s="26" t="s">
        <v>1566</v>
      </c>
      <c r="M855" s="26" t="s">
        <v>1566</v>
      </c>
      <c r="N855" s="26" t="s">
        <v>1566</v>
      </c>
      <c r="O855" s="26" t="s">
        <v>1817</v>
      </c>
      <c r="P855" s="26" t="s">
        <v>616</v>
      </c>
      <c r="Q855" s="26">
        <v>20.0</v>
      </c>
    </row>
    <row r="856" ht="17.25" customHeight="1">
      <c r="A856" s="167">
        <v>46107.417950648145</v>
      </c>
      <c r="B856" s="25" t="s">
        <v>892</v>
      </c>
      <c r="C856" s="56" t="s">
        <v>1560</v>
      </c>
      <c r="D856" s="167">
        <v>46106.48495673611</v>
      </c>
      <c r="E856" s="37">
        <v>20.0</v>
      </c>
      <c r="F856" s="56" t="s">
        <v>2175</v>
      </c>
      <c r="G856" s="90"/>
      <c r="H856" s="130"/>
      <c r="I856" s="130" t="s">
        <v>893</v>
      </c>
      <c r="J856" s="26" t="s">
        <v>1812</v>
      </c>
      <c r="K856" s="26" t="s">
        <v>1813</v>
      </c>
      <c r="L856" s="26" t="s">
        <v>1566</v>
      </c>
      <c r="M856" s="26" t="s">
        <v>1566</v>
      </c>
      <c r="N856" s="26" t="s">
        <v>1566</v>
      </c>
      <c r="O856" s="26" t="s">
        <v>1809</v>
      </c>
      <c r="P856" s="26" t="s">
        <v>290</v>
      </c>
      <c r="Q856" s="26">
        <v>20.0</v>
      </c>
    </row>
    <row r="857" ht="17.25" customHeight="1">
      <c r="A857" s="167">
        <v>46107.41860363426</v>
      </c>
      <c r="B857" s="25" t="s">
        <v>945</v>
      </c>
      <c r="C857" s="56" t="s">
        <v>1560</v>
      </c>
      <c r="D857" s="167">
        <v>46106.48495673611</v>
      </c>
      <c r="E857" s="37">
        <v>25.0</v>
      </c>
      <c r="F857" s="56" t="s">
        <v>2175</v>
      </c>
      <c r="G857" s="90"/>
      <c r="H857" s="130"/>
      <c r="I857" s="130" t="s">
        <v>946</v>
      </c>
      <c r="J857" s="26" t="s">
        <v>1812</v>
      </c>
      <c r="K857" s="26" t="s">
        <v>1815</v>
      </c>
      <c r="L857" s="26" t="s">
        <v>1566</v>
      </c>
      <c r="M857" s="26" t="s">
        <v>1566</v>
      </c>
      <c r="N857" s="26" t="s">
        <v>1566</v>
      </c>
      <c r="O857" s="26" t="s">
        <v>1903</v>
      </c>
      <c r="P857" s="26" t="s">
        <v>616</v>
      </c>
      <c r="Q857" s="26">
        <v>25.0</v>
      </c>
    </row>
    <row r="858" ht="17.25" customHeight="1">
      <c r="A858" s="167">
        <v>46107.42178045139</v>
      </c>
      <c r="B858" s="25" t="s">
        <v>948</v>
      </c>
      <c r="C858" s="56" t="s">
        <v>1560</v>
      </c>
      <c r="D858" s="167">
        <v>46106.48495673611</v>
      </c>
      <c r="E858" s="37">
        <v>5.0</v>
      </c>
      <c r="F858" s="56" t="s">
        <v>2175</v>
      </c>
      <c r="G858" s="90"/>
      <c r="H858" s="130"/>
      <c r="I858" s="130" t="s">
        <v>952</v>
      </c>
      <c r="J858" s="26" t="s">
        <v>1812</v>
      </c>
      <c r="K858" s="26" t="s">
        <v>1815</v>
      </c>
      <c r="L858" s="26" t="s">
        <v>1566</v>
      </c>
      <c r="M858" s="26" t="s">
        <v>1566</v>
      </c>
      <c r="N858" s="26" t="s">
        <v>1566</v>
      </c>
      <c r="O858" s="26" t="s">
        <v>2060</v>
      </c>
      <c r="P858" s="26" t="s">
        <v>616</v>
      </c>
      <c r="Q858" s="26">
        <v>5.0</v>
      </c>
    </row>
    <row r="859" ht="17.25" customHeight="1">
      <c r="A859" s="167">
        <v>46107.422317986115</v>
      </c>
      <c r="B859" s="25" t="s">
        <v>682</v>
      </c>
      <c r="C859" s="56" t="s">
        <v>1560</v>
      </c>
      <c r="D859" s="167">
        <v>46106.48495673611</v>
      </c>
      <c r="E859" s="37">
        <v>10.0</v>
      </c>
      <c r="F859" s="56" t="s">
        <v>2175</v>
      </c>
      <c r="G859" s="90"/>
      <c r="H859" s="130"/>
      <c r="I859" s="130" t="s">
        <v>690</v>
      </c>
      <c r="J859" s="26" t="s">
        <v>1830</v>
      </c>
      <c r="K859" s="26" t="s">
        <v>1830</v>
      </c>
      <c r="L859" s="26" t="s">
        <v>1566</v>
      </c>
      <c r="M859" s="26" t="s">
        <v>1566</v>
      </c>
      <c r="N859" s="26" t="s">
        <v>1566</v>
      </c>
      <c r="O859" s="26" t="s">
        <v>1566</v>
      </c>
      <c r="P859" s="26" t="s">
        <v>661</v>
      </c>
      <c r="Q859" s="26">
        <v>14.0</v>
      </c>
    </row>
    <row r="860" ht="17.25" customHeight="1">
      <c r="A860" s="167">
        <v>46107.42239923611</v>
      </c>
      <c r="B860" s="25" t="s">
        <v>682</v>
      </c>
      <c r="C860" s="56" t="s">
        <v>1892</v>
      </c>
      <c r="D860" s="167">
        <v>46106.48495673611</v>
      </c>
      <c r="E860" s="37">
        <v>1.0</v>
      </c>
      <c r="F860" s="56" t="s">
        <v>2175</v>
      </c>
      <c r="G860" s="90"/>
      <c r="H860" s="130"/>
      <c r="I860" s="130" t="s">
        <v>690</v>
      </c>
      <c r="J860" s="26" t="s">
        <v>1830</v>
      </c>
      <c r="K860" s="26" t="s">
        <v>1830</v>
      </c>
      <c r="L860" s="26" t="s">
        <v>1566</v>
      </c>
      <c r="M860" s="26" t="s">
        <v>1566</v>
      </c>
      <c r="N860" s="26" t="s">
        <v>1566</v>
      </c>
      <c r="O860" s="26" t="s">
        <v>1566</v>
      </c>
      <c r="P860" s="26" t="s">
        <v>661</v>
      </c>
      <c r="Q860" s="26">
        <v>14.0</v>
      </c>
    </row>
    <row r="861" ht="17.25" customHeight="1">
      <c r="A861" s="167">
        <v>46107.42413542824</v>
      </c>
      <c r="B861" s="27" t="s">
        <v>728</v>
      </c>
      <c r="C861" s="56" t="s">
        <v>1560</v>
      </c>
      <c r="D861" s="167">
        <v>46106.48495673611</v>
      </c>
      <c r="E861" s="37">
        <v>5.0</v>
      </c>
      <c r="F861" s="56" t="s">
        <v>2175</v>
      </c>
      <c r="G861" s="90"/>
      <c r="H861" s="130"/>
      <c r="I861" s="130" t="s">
        <v>729</v>
      </c>
      <c r="J861" s="26" t="s">
        <v>1812</v>
      </c>
      <c r="K861" s="26" t="s">
        <v>1815</v>
      </c>
      <c r="L861" s="26" t="s">
        <v>1566</v>
      </c>
      <c r="M861" s="26" t="s">
        <v>1566</v>
      </c>
      <c r="N861" s="26" t="s">
        <v>1566</v>
      </c>
      <c r="O861" s="26" t="s">
        <v>1566</v>
      </c>
      <c r="P861" s="26" t="s">
        <v>661</v>
      </c>
      <c r="Q861" s="26">
        <v>10.0</v>
      </c>
    </row>
    <row r="862" ht="17.25" customHeight="1">
      <c r="A862" s="167">
        <v>46107.42524350694</v>
      </c>
      <c r="B862" s="181" t="s">
        <v>733</v>
      </c>
      <c r="C862" s="56" t="s">
        <v>1560</v>
      </c>
      <c r="D862" s="167">
        <v>46106.48495673611</v>
      </c>
      <c r="E862" s="37">
        <v>4.0</v>
      </c>
      <c r="F862" s="56" t="s">
        <v>2175</v>
      </c>
      <c r="G862" s="90"/>
      <c r="H862" s="130"/>
      <c r="I862" s="130" t="s">
        <v>739</v>
      </c>
      <c r="J862" s="26" t="s">
        <v>1833</v>
      </c>
      <c r="K862" s="26" t="s">
        <v>1833</v>
      </c>
      <c r="L862" s="26" t="s">
        <v>1566</v>
      </c>
      <c r="M862" s="26" t="s">
        <v>1566</v>
      </c>
      <c r="N862" s="26" t="s">
        <v>1566</v>
      </c>
      <c r="O862" s="26" t="s">
        <v>1566</v>
      </c>
      <c r="P862" s="26" t="s">
        <v>661</v>
      </c>
      <c r="Q862" s="26">
        <v>4.0</v>
      </c>
    </row>
    <row r="863" ht="17.25" customHeight="1">
      <c r="A863" s="167">
        <v>46107.425359664354</v>
      </c>
      <c r="B863" s="181" t="s">
        <v>733</v>
      </c>
      <c r="C863" s="56" t="s">
        <v>1892</v>
      </c>
      <c r="D863" s="167">
        <v>46106.48495673611</v>
      </c>
      <c r="E863" s="37">
        <v>1.0</v>
      </c>
      <c r="F863" s="56" t="s">
        <v>2026</v>
      </c>
      <c r="G863" s="90"/>
      <c r="H863" s="130"/>
      <c r="I863" s="130" t="s">
        <v>739</v>
      </c>
      <c r="J863" s="26" t="s">
        <v>1833</v>
      </c>
      <c r="K863" s="26" t="s">
        <v>1833</v>
      </c>
      <c r="L863" s="26" t="s">
        <v>1566</v>
      </c>
      <c r="M863" s="26" t="s">
        <v>1566</v>
      </c>
      <c r="N863" s="26" t="s">
        <v>1566</v>
      </c>
      <c r="O863" s="26" t="s">
        <v>1566</v>
      </c>
      <c r="P863" s="26" t="s">
        <v>661</v>
      </c>
      <c r="Q863" s="26">
        <v>4.0</v>
      </c>
    </row>
    <row r="864" ht="17.25" customHeight="1">
      <c r="A864" s="167">
        <v>46107.425771168986</v>
      </c>
      <c r="B864" s="25" t="s">
        <v>647</v>
      </c>
      <c r="C864" s="56" t="s">
        <v>1560</v>
      </c>
      <c r="D864" s="167">
        <v>46106.48495673611</v>
      </c>
      <c r="E864" s="37">
        <v>2.0</v>
      </c>
      <c r="F864" s="56" t="s">
        <v>1894</v>
      </c>
      <c r="G864" s="90"/>
      <c r="H864" s="130"/>
      <c r="I864" s="130" t="s">
        <v>648</v>
      </c>
      <c r="J864" s="26" t="s">
        <v>1821</v>
      </c>
      <c r="K864" s="26" t="s">
        <v>1821</v>
      </c>
      <c r="L864" s="26" t="s">
        <v>1566</v>
      </c>
      <c r="M864" s="26" t="s">
        <v>1566</v>
      </c>
      <c r="N864" s="26" t="s">
        <v>1566</v>
      </c>
      <c r="O864" s="26" t="s">
        <v>1566</v>
      </c>
      <c r="P864" s="26" t="s">
        <v>290</v>
      </c>
      <c r="Q864" s="26">
        <v>2.0</v>
      </c>
    </row>
    <row r="865" ht="17.25" customHeight="1">
      <c r="A865" s="167">
        <v>46107.42665954861</v>
      </c>
      <c r="B865" s="25" t="s">
        <v>964</v>
      </c>
      <c r="C865" s="56" t="s">
        <v>1560</v>
      </c>
      <c r="D865" s="167">
        <v>46106.48495673611</v>
      </c>
      <c r="E865" s="37">
        <v>10.0</v>
      </c>
      <c r="F865" s="56" t="s">
        <v>1673</v>
      </c>
      <c r="G865" s="90"/>
      <c r="H865" s="130"/>
      <c r="I865" s="130" t="s">
        <v>965</v>
      </c>
      <c r="J865" s="26" t="s">
        <v>1833</v>
      </c>
      <c r="K865" s="26" t="s">
        <v>1833</v>
      </c>
      <c r="L865" s="26" t="s">
        <v>1566</v>
      </c>
      <c r="M865" s="26" t="s">
        <v>1566</v>
      </c>
      <c r="N865" s="26" t="s">
        <v>1566</v>
      </c>
      <c r="O865" s="26" t="s">
        <v>1566</v>
      </c>
      <c r="P865" s="26" t="s">
        <v>643</v>
      </c>
      <c r="Q865" s="26">
        <v>25.0</v>
      </c>
    </row>
    <row r="866" ht="17.25" customHeight="1">
      <c r="A866" s="167">
        <v>46107.42700255787</v>
      </c>
      <c r="B866" s="25" t="s">
        <v>301</v>
      </c>
      <c r="C866" s="56" t="s">
        <v>1892</v>
      </c>
      <c r="D866" s="167">
        <v>46107.42700255787</v>
      </c>
      <c r="E866" s="37">
        <v>5.0</v>
      </c>
      <c r="F866" s="56" t="s">
        <v>1894</v>
      </c>
      <c r="G866" s="90"/>
      <c r="H866" s="130"/>
      <c r="I866" s="130" t="s">
        <v>302</v>
      </c>
      <c r="J866" s="26" t="s">
        <v>1830</v>
      </c>
      <c r="K866" s="26" t="s">
        <v>302</v>
      </c>
      <c r="L866" s="26" t="s">
        <v>1566</v>
      </c>
      <c r="M866" s="26" t="s">
        <v>1566</v>
      </c>
      <c r="N866" s="26" t="s">
        <v>1566</v>
      </c>
      <c r="O866" s="26" t="s">
        <v>1566</v>
      </c>
      <c r="P866" s="26" t="s">
        <v>661</v>
      </c>
      <c r="Q866" s="26">
        <v>580.0</v>
      </c>
    </row>
    <row r="867" ht="17.25" customHeight="1">
      <c r="A867" s="167">
        <v>46107.42701196759</v>
      </c>
      <c r="B867" s="25" t="s">
        <v>312</v>
      </c>
      <c r="C867" s="56" t="s">
        <v>1892</v>
      </c>
      <c r="D867" s="167">
        <v>46107.42700255787</v>
      </c>
      <c r="E867" s="37">
        <v>2.0</v>
      </c>
      <c r="F867" s="56" t="s">
        <v>1894</v>
      </c>
      <c r="G867" s="90"/>
      <c r="H867" s="130"/>
      <c r="I867" s="130" t="s">
        <v>319</v>
      </c>
      <c r="J867" s="26" t="s">
        <v>1821</v>
      </c>
      <c r="K867" s="26" t="s">
        <v>1822</v>
      </c>
      <c r="L867" s="26" t="s">
        <v>1566</v>
      </c>
      <c r="M867" s="26" t="s">
        <v>1566</v>
      </c>
      <c r="N867" s="26" t="s">
        <v>1566</v>
      </c>
      <c r="O867" s="26" t="s">
        <v>1829</v>
      </c>
      <c r="P867" s="26" t="s">
        <v>661</v>
      </c>
      <c r="Q867" s="26">
        <v>17.0</v>
      </c>
    </row>
    <row r="868" ht="17.25" customHeight="1">
      <c r="A868" s="167">
        <v>46107.428483553245</v>
      </c>
      <c r="B868" s="25" t="s">
        <v>271</v>
      </c>
      <c r="C868" s="56" t="s">
        <v>1892</v>
      </c>
      <c r="D868" s="167">
        <v>46107.42700255787</v>
      </c>
      <c r="E868" s="37">
        <v>1.0</v>
      </c>
      <c r="F868" s="56" t="s">
        <v>1894</v>
      </c>
      <c r="G868" s="90"/>
      <c r="H868" s="130"/>
      <c r="I868" s="130" t="s">
        <v>277</v>
      </c>
      <c r="J868" s="26" t="s">
        <v>1821</v>
      </c>
      <c r="K868" s="26" t="s">
        <v>1822</v>
      </c>
      <c r="L868" s="26" t="s">
        <v>1824</v>
      </c>
      <c r="M868" s="26" t="s">
        <v>1566</v>
      </c>
      <c r="N868" s="26" t="s">
        <v>1566</v>
      </c>
      <c r="O868" s="26" t="s">
        <v>1566</v>
      </c>
      <c r="P868" s="26" t="s">
        <v>661</v>
      </c>
      <c r="Q868" s="26">
        <v>45.0</v>
      </c>
    </row>
    <row r="869" ht="17.25" customHeight="1">
      <c r="A869" s="167">
        <v>46107.42892496528</v>
      </c>
      <c r="B869" s="25" t="s">
        <v>271</v>
      </c>
      <c r="C869" s="56" t="s">
        <v>1892</v>
      </c>
      <c r="D869" s="167">
        <v>46107.42700255787</v>
      </c>
      <c r="E869" s="37">
        <v>8.0</v>
      </c>
      <c r="F869" s="56" t="s">
        <v>2094</v>
      </c>
      <c r="G869" s="90"/>
      <c r="H869" s="130"/>
      <c r="I869" s="130" t="s">
        <v>277</v>
      </c>
      <c r="J869" s="26" t="s">
        <v>1821</v>
      </c>
      <c r="K869" s="26" t="s">
        <v>1822</v>
      </c>
      <c r="L869" s="26" t="s">
        <v>1824</v>
      </c>
      <c r="M869" s="26" t="s">
        <v>1566</v>
      </c>
      <c r="N869" s="26" t="s">
        <v>1566</v>
      </c>
      <c r="O869" s="26" t="s">
        <v>1566</v>
      </c>
      <c r="P869" s="26" t="s">
        <v>661</v>
      </c>
      <c r="Q869" s="26">
        <v>45.0</v>
      </c>
    </row>
    <row r="870" ht="17.25" customHeight="1">
      <c r="A870" s="167">
        <v>46107.45731091435</v>
      </c>
      <c r="B870" s="25" t="s">
        <v>32</v>
      </c>
      <c r="C870" s="56" t="s">
        <v>1892</v>
      </c>
      <c r="D870" s="167">
        <v>46107.42700255787</v>
      </c>
      <c r="E870" s="37">
        <v>1.0</v>
      </c>
      <c r="F870" s="56" t="s">
        <v>2094</v>
      </c>
      <c r="G870" s="90"/>
      <c r="H870" s="130"/>
      <c r="I870" s="130" t="s">
        <v>34</v>
      </c>
      <c r="J870" s="26" t="s">
        <v>1807</v>
      </c>
      <c r="K870" s="26" t="s">
        <v>1807</v>
      </c>
      <c r="L870" s="26" t="s">
        <v>1566</v>
      </c>
      <c r="M870" s="26" t="s">
        <v>1566</v>
      </c>
      <c r="N870" s="26" t="s">
        <v>1566</v>
      </c>
      <c r="O870" s="26" t="s">
        <v>1808</v>
      </c>
      <c r="P870" s="26" t="s">
        <v>290</v>
      </c>
      <c r="Q870" s="26">
        <v>7.0</v>
      </c>
    </row>
    <row r="871" ht="17.25" customHeight="1">
      <c r="A871" s="167">
        <v>46107.65842391204</v>
      </c>
      <c r="B871" s="25" t="s">
        <v>847</v>
      </c>
      <c r="C871" s="56" t="s">
        <v>1892</v>
      </c>
      <c r="D871" s="167">
        <v>46107.42700255787</v>
      </c>
      <c r="E871" s="37">
        <v>1.0</v>
      </c>
      <c r="F871" s="56" t="s">
        <v>1844</v>
      </c>
      <c r="G871" s="90"/>
      <c r="H871" s="130"/>
      <c r="I871" s="130" t="s">
        <v>849</v>
      </c>
      <c r="J871" s="26" t="s">
        <v>1844</v>
      </c>
      <c r="K871" s="26" t="s">
        <v>1846</v>
      </c>
      <c r="L871" s="26" t="s">
        <v>1870</v>
      </c>
      <c r="M871" s="26" t="s">
        <v>1566</v>
      </c>
      <c r="N871" s="26" t="s">
        <v>1566</v>
      </c>
      <c r="O871" s="26" t="s">
        <v>1808</v>
      </c>
      <c r="P871" s="26" t="s">
        <v>661</v>
      </c>
      <c r="Q871" s="26">
        <v>1.0</v>
      </c>
    </row>
    <row r="872" ht="17.25" customHeight="1">
      <c r="A872" s="167">
        <v>46107.65941763889</v>
      </c>
      <c r="B872" s="172" t="s">
        <v>1958</v>
      </c>
      <c r="C872" s="56" t="s">
        <v>1560</v>
      </c>
      <c r="D872" s="167">
        <v>46107.42700255787</v>
      </c>
      <c r="E872" s="37">
        <v>1.0</v>
      </c>
      <c r="F872" s="56" t="s">
        <v>1844</v>
      </c>
      <c r="G872" s="90"/>
      <c r="H872" s="130"/>
      <c r="I872" s="130" t="s">
        <v>1959</v>
      </c>
      <c r="J872" s="26" t="s">
        <v>1844</v>
      </c>
      <c r="K872" s="26" t="s">
        <v>1807</v>
      </c>
      <c r="L872" s="26" t="s">
        <v>2113</v>
      </c>
      <c r="M872" s="26" t="s">
        <v>1566</v>
      </c>
      <c r="N872" s="26" t="s">
        <v>1566</v>
      </c>
      <c r="O872" s="26" t="s">
        <v>1566</v>
      </c>
      <c r="P872" s="26" t="s">
        <v>661</v>
      </c>
      <c r="Q872" s="26">
        <v>0.0</v>
      </c>
    </row>
    <row r="873" ht="17.25" customHeight="1">
      <c r="A873" s="167">
        <v>46107.66031216436</v>
      </c>
      <c r="B873" s="172" t="s">
        <v>1960</v>
      </c>
      <c r="C873" s="56" t="s">
        <v>1560</v>
      </c>
      <c r="D873" s="167">
        <v>46107.42700255787</v>
      </c>
      <c r="E873" s="37">
        <v>1.0</v>
      </c>
      <c r="F873" s="56" t="s">
        <v>1844</v>
      </c>
      <c r="G873" s="90"/>
      <c r="H873" s="130"/>
      <c r="I873" s="130" t="s">
        <v>1961</v>
      </c>
      <c r="J873" s="26" t="s">
        <v>1844</v>
      </c>
      <c r="K873" s="26" t="s">
        <v>1807</v>
      </c>
      <c r="L873" s="26" t="s">
        <v>2114</v>
      </c>
      <c r="M873" s="26" t="s">
        <v>1566</v>
      </c>
      <c r="N873" s="26" t="s">
        <v>1566</v>
      </c>
      <c r="O873" s="26" t="s">
        <v>1566</v>
      </c>
      <c r="P873" s="26" t="s">
        <v>661</v>
      </c>
      <c r="Q873" s="26">
        <v>0.0</v>
      </c>
    </row>
    <row r="874" ht="17.25" customHeight="1">
      <c r="A874" s="167">
        <v>46107.66089708333</v>
      </c>
      <c r="B874" s="172" t="s">
        <v>1962</v>
      </c>
      <c r="C874" s="56" t="s">
        <v>1560</v>
      </c>
      <c r="D874" s="167">
        <v>46107.42700255787</v>
      </c>
      <c r="E874" s="37">
        <v>1.0</v>
      </c>
      <c r="F874" s="56" t="s">
        <v>1844</v>
      </c>
      <c r="G874" s="90"/>
      <c r="H874" s="130"/>
      <c r="I874" s="130" t="s">
        <v>1963</v>
      </c>
      <c r="J874" s="26" t="s">
        <v>1844</v>
      </c>
      <c r="K874" s="26" t="s">
        <v>1807</v>
      </c>
      <c r="L874" s="26" t="s">
        <v>2113</v>
      </c>
      <c r="M874" s="26" t="s">
        <v>1566</v>
      </c>
      <c r="N874" s="26" t="s">
        <v>1566</v>
      </c>
      <c r="O874" s="26" t="s">
        <v>1566</v>
      </c>
      <c r="P874" s="26" t="s">
        <v>661</v>
      </c>
      <c r="Q874" s="26">
        <v>0.0</v>
      </c>
    </row>
    <row r="875" ht="17.25" customHeight="1">
      <c r="A875" s="167">
        <v>46107.66315702546</v>
      </c>
      <c r="B875" s="25" t="s">
        <v>1956</v>
      </c>
      <c r="C875" s="56" t="s">
        <v>1892</v>
      </c>
      <c r="D875" s="190">
        <v>46105.42700231481</v>
      </c>
      <c r="E875" s="37">
        <v>1296.0</v>
      </c>
      <c r="F875" s="56" t="s">
        <v>1561</v>
      </c>
      <c r="G875" s="56">
        <v>667.0</v>
      </c>
      <c r="H875" s="130"/>
      <c r="I875" s="130" t="s">
        <v>1957</v>
      </c>
      <c r="J875" s="26" t="s">
        <v>1225</v>
      </c>
      <c r="K875" s="26" t="s">
        <v>1653</v>
      </c>
      <c r="L875" s="26" t="s">
        <v>1587</v>
      </c>
      <c r="M875" s="26" t="s">
        <v>1564</v>
      </c>
      <c r="N875" s="26" t="s">
        <v>1566</v>
      </c>
      <c r="O875" s="26" t="s">
        <v>1654</v>
      </c>
      <c r="P875" s="26" t="s">
        <v>22</v>
      </c>
      <c r="Q875" s="26">
        <v>0.0</v>
      </c>
    </row>
    <row r="876" ht="17.25" customHeight="1">
      <c r="A876" s="167">
        <v>46107.664033912035</v>
      </c>
      <c r="B876" s="25" t="s">
        <v>1045</v>
      </c>
      <c r="C876" s="56" t="s">
        <v>1892</v>
      </c>
      <c r="D876" s="190">
        <v>46106.42700231481</v>
      </c>
      <c r="E876" s="37">
        <v>1600.0</v>
      </c>
      <c r="F876" s="56" t="s">
        <v>1561</v>
      </c>
      <c r="G876" s="56">
        <v>668.0</v>
      </c>
      <c r="H876" s="130"/>
      <c r="I876" s="130" t="s">
        <v>1046</v>
      </c>
      <c r="J876" s="26" t="s">
        <v>1225</v>
      </c>
      <c r="K876" s="26" t="s">
        <v>1562</v>
      </c>
      <c r="L876" s="26" t="s">
        <v>1633</v>
      </c>
      <c r="M876" s="26" t="s">
        <v>2093</v>
      </c>
      <c r="N876" s="26" t="s">
        <v>1566</v>
      </c>
      <c r="O876" s="26" t="s">
        <v>1566</v>
      </c>
      <c r="P876" s="26" t="s">
        <v>22</v>
      </c>
      <c r="Q876" s="26">
        <v>950.0</v>
      </c>
    </row>
    <row r="877" ht="17.25" customHeight="1">
      <c r="A877" s="167">
        <v>46107.6646057176</v>
      </c>
      <c r="B877" s="25" t="s">
        <v>1715</v>
      </c>
      <c r="C877" s="56" t="s">
        <v>1892</v>
      </c>
      <c r="D877" s="190">
        <v>46106.42700231481</v>
      </c>
      <c r="E877" s="37">
        <v>600.0</v>
      </c>
      <c r="F877" s="56" t="s">
        <v>1561</v>
      </c>
      <c r="G877" s="56">
        <v>669.0</v>
      </c>
      <c r="H877" s="130"/>
      <c r="I877" s="130" t="s">
        <v>1716</v>
      </c>
      <c r="J877" s="26" t="s">
        <v>1225</v>
      </c>
      <c r="K877" s="26" t="s">
        <v>1562</v>
      </c>
      <c r="L877" s="26" t="s">
        <v>1603</v>
      </c>
      <c r="M877" s="26" t="s">
        <v>1586</v>
      </c>
      <c r="N877" s="26" t="s">
        <v>1566</v>
      </c>
      <c r="O877" s="26" t="s">
        <v>1566</v>
      </c>
      <c r="P877" s="26" t="s">
        <v>22</v>
      </c>
      <c r="Q877" s="26">
        <v>0.0</v>
      </c>
    </row>
    <row r="878" ht="17.25" customHeight="1">
      <c r="A878" s="167">
        <v>46107.66481681713</v>
      </c>
      <c r="B878" s="25" t="s">
        <v>1715</v>
      </c>
      <c r="C878" s="56" t="s">
        <v>1892</v>
      </c>
      <c r="D878" s="190">
        <v>46106.42700231481</v>
      </c>
      <c r="E878" s="37">
        <v>600.0</v>
      </c>
      <c r="F878" s="56" t="s">
        <v>1561</v>
      </c>
      <c r="G878" s="56">
        <v>670.0</v>
      </c>
      <c r="H878" s="130"/>
      <c r="I878" s="130" t="s">
        <v>1716</v>
      </c>
      <c r="J878" s="26" t="s">
        <v>1225</v>
      </c>
      <c r="K878" s="26" t="s">
        <v>1562</v>
      </c>
      <c r="L878" s="26" t="s">
        <v>1603</v>
      </c>
      <c r="M878" s="26" t="s">
        <v>1586</v>
      </c>
      <c r="N878" s="26" t="s">
        <v>1566</v>
      </c>
      <c r="O878" s="26" t="s">
        <v>1566</v>
      </c>
      <c r="P878" s="26" t="s">
        <v>22</v>
      </c>
      <c r="Q878" s="26">
        <v>0.0</v>
      </c>
    </row>
    <row r="879" ht="17.25" customHeight="1">
      <c r="A879" s="167">
        <v>46107.664836076394</v>
      </c>
      <c r="B879" s="25" t="s">
        <v>1715</v>
      </c>
      <c r="C879" s="56" t="s">
        <v>1892</v>
      </c>
      <c r="D879" s="190">
        <v>46106.42700231481</v>
      </c>
      <c r="E879" s="37">
        <v>300.0</v>
      </c>
      <c r="F879" s="56" t="s">
        <v>1561</v>
      </c>
      <c r="G879" s="56">
        <v>671.0</v>
      </c>
      <c r="H879" s="130"/>
      <c r="I879" s="130" t="s">
        <v>1716</v>
      </c>
      <c r="J879" s="26" t="s">
        <v>1225</v>
      </c>
      <c r="K879" s="26" t="s">
        <v>1562</v>
      </c>
      <c r="L879" s="26" t="s">
        <v>1603</v>
      </c>
      <c r="M879" s="26" t="s">
        <v>1586</v>
      </c>
      <c r="N879" s="26" t="s">
        <v>1566</v>
      </c>
      <c r="O879" s="26" t="s">
        <v>1566</v>
      </c>
      <c r="P879" s="26" t="s">
        <v>22</v>
      </c>
      <c r="Q879" s="26">
        <v>0.0</v>
      </c>
    </row>
    <row r="880" ht="17.25" customHeight="1">
      <c r="A880" s="167">
        <v>46107.66617435185</v>
      </c>
      <c r="B880" s="25" t="s">
        <v>1715</v>
      </c>
      <c r="C880" s="56" t="s">
        <v>1892</v>
      </c>
      <c r="D880" s="190">
        <v>46106.42700231481</v>
      </c>
      <c r="E880" s="37">
        <v>600.0</v>
      </c>
      <c r="F880" s="56" t="s">
        <v>1561</v>
      </c>
      <c r="G880" s="56">
        <v>672.0</v>
      </c>
      <c r="H880" s="130"/>
      <c r="I880" s="130" t="s">
        <v>1716</v>
      </c>
      <c r="J880" s="26" t="s">
        <v>1225</v>
      </c>
      <c r="K880" s="26" t="s">
        <v>1562</v>
      </c>
      <c r="L880" s="26" t="s">
        <v>1603</v>
      </c>
      <c r="M880" s="26" t="s">
        <v>1586</v>
      </c>
      <c r="N880" s="26" t="s">
        <v>1566</v>
      </c>
      <c r="O880" s="26" t="s">
        <v>1566</v>
      </c>
      <c r="P880" s="26" t="s">
        <v>22</v>
      </c>
      <c r="Q880" s="26">
        <v>0.0</v>
      </c>
    </row>
    <row r="881" ht="17.25" customHeight="1">
      <c r="A881" s="167">
        <v>46107.66617435185</v>
      </c>
      <c r="B881" s="25" t="s">
        <v>1710</v>
      </c>
      <c r="C881" s="56" t="s">
        <v>1892</v>
      </c>
      <c r="D881" s="190">
        <v>46106.42700231481</v>
      </c>
      <c r="E881" s="37">
        <v>600.0</v>
      </c>
      <c r="F881" s="56" t="s">
        <v>1561</v>
      </c>
      <c r="G881" s="56">
        <v>673.0</v>
      </c>
      <c r="H881" s="130"/>
      <c r="I881" s="130" t="s">
        <v>1711</v>
      </c>
      <c r="J881" s="26" t="s">
        <v>1225</v>
      </c>
      <c r="K881" s="26" t="s">
        <v>1562</v>
      </c>
      <c r="L881" s="26" t="s">
        <v>1633</v>
      </c>
      <c r="M881" s="26" t="s">
        <v>1564</v>
      </c>
      <c r="N881" s="26" t="s">
        <v>1566</v>
      </c>
      <c r="O881" s="26" t="s">
        <v>1566</v>
      </c>
      <c r="P881" s="26" t="s">
        <v>22</v>
      </c>
      <c r="Q881" s="26">
        <v>0.0</v>
      </c>
    </row>
    <row r="882" ht="17.25" customHeight="1">
      <c r="A882" s="167">
        <v>46107.66943592593</v>
      </c>
      <c r="B882" s="25" t="s">
        <v>948</v>
      </c>
      <c r="C882" s="56" t="s">
        <v>1892</v>
      </c>
      <c r="D882" s="167">
        <v>46107.66943592593</v>
      </c>
      <c r="E882" s="37">
        <v>5.0</v>
      </c>
      <c r="F882" s="56" t="s">
        <v>2026</v>
      </c>
      <c r="G882" s="90"/>
      <c r="H882" s="130"/>
      <c r="I882" s="130" t="s">
        <v>952</v>
      </c>
      <c r="J882" s="26" t="s">
        <v>1812</v>
      </c>
      <c r="K882" s="26" t="s">
        <v>1815</v>
      </c>
      <c r="L882" s="26" t="s">
        <v>1566</v>
      </c>
      <c r="M882" s="26" t="s">
        <v>1566</v>
      </c>
      <c r="N882" s="26" t="s">
        <v>1566</v>
      </c>
      <c r="O882" s="26" t="s">
        <v>2060</v>
      </c>
      <c r="P882" s="26" t="s">
        <v>616</v>
      </c>
      <c r="Q882" s="26">
        <v>5.0</v>
      </c>
    </row>
    <row r="883" ht="17.25" customHeight="1">
      <c r="A883" s="167">
        <v>46107.67101716435</v>
      </c>
      <c r="B883" s="25" t="s">
        <v>183</v>
      </c>
      <c r="C883" s="56" t="s">
        <v>1892</v>
      </c>
      <c r="D883" s="190">
        <v>46106.42700231481</v>
      </c>
      <c r="E883" s="37">
        <v>600.0</v>
      </c>
      <c r="F883" s="56" t="s">
        <v>1561</v>
      </c>
      <c r="G883" s="56">
        <v>675.0</v>
      </c>
      <c r="H883" s="130"/>
      <c r="I883" s="130" t="s">
        <v>184</v>
      </c>
      <c r="J883" s="26" t="s">
        <v>1225</v>
      </c>
      <c r="K883" s="26" t="s">
        <v>1562</v>
      </c>
      <c r="L883" s="26" t="s">
        <v>1637</v>
      </c>
      <c r="M883" s="26" t="s">
        <v>1604</v>
      </c>
      <c r="N883" s="26" t="s">
        <v>1571</v>
      </c>
      <c r="O883" s="26" t="s">
        <v>1566</v>
      </c>
      <c r="P883" s="26" t="s">
        <v>22</v>
      </c>
      <c r="Q883" s="26">
        <v>200.0</v>
      </c>
    </row>
    <row r="884" ht="17.25" customHeight="1">
      <c r="A884" s="167">
        <v>46107.67225216435</v>
      </c>
      <c r="B884" s="25" t="s">
        <v>1014</v>
      </c>
      <c r="C884" s="56" t="s">
        <v>1892</v>
      </c>
      <c r="D884" s="190">
        <v>46106.42700231481</v>
      </c>
      <c r="E884" s="37">
        <v>1000.0</v>
      </c>
      <c r="F884" s="56" t="s">
        <v>1561</v>
      </c>
      <c r="G884" s="56">
        <v>676.0</v>
      </c>
      <c r="H884" s="130"/>
      <c r="I884" s="130" t="s">
        <v>1015</v>
      </c>
      <c r="J884" s="26" t="s">
        <v>1225</v>
      </c>
      <c r="K884" s="26" t="s">
        <v>1562</v>
      </c>
      <c r="L884" s="26" t="s">
        <v>1573</v>
      </c>
      <c r="M884" s="26" t="s">
        <v>2057</v>
      </c>
      <c r="N884" s="26" t="s">
        <v>1566</v>
      </c>
      <c r="O884" s="26" t="s">
        <v>1566</v>
      </c>
      <c r="P884" s="26" t="s">
        <v>22</v>
      </c>
      <c r="Q884" s="26">
        <v>835.0</v>
      </c>
    </row>
    <row r="885" ht="17.25" customHeight="1">
      <c r="A885" s="167">
        <v>46107.67370988426</v>
      </c>
      <c r="B885" s="25" t="s">
        <v>301</v>
      </c>
      <c r="C885" s="56" t="s">
        <v>1892</v>
      </c>
      <c r="D885" s="167">
        <v>46107.67370988426</v>
      </c>
      <c r="E885" s="37">
        <v>10.0</v>
      </c>
      <c r="F885" s="56" t="s">
        <v>2169</v>
      </c>
      <c r="G885" s="90"/>
      <c r="H885" s="130"/>
      <c r="I885" s="130" t="s">
        <v>302</v>
      </c>
      <c r="J885" s="26" t="s">
        <v>1830</v>
      </c>
      <c r="K885" s="26" t="s">
        <v>302</v>
      </c>
      <c r="L885" s="26" t="s">
        <v>1566</v>
      </c>
      <c r="M885" s="26" t="s">
        <v>1566</v>
      </c>
      <c r="N885" s="26" t="s">
        <v>1566</v>
      </c>
      <c r="O885" s="26" t="s">
        <v>1566</v>
      </c>
      <c r="P885" s="26" t="s">
        <v>661</v>
      </c>
      <c r="Q885" s="26">
        <v>580.0</v>
      </c>
    </row>
    <row r="886" ht="17.25" customHeight="1">
      <c r="A886" s="167">
        <v>46107.67413201389</v>
      </c>
      <c r="B886" s="25" t="s">
        <v>598</v>
      </c>
      <c r="C886" s="56" t="s">
        <v>1892</v>
      </c>
      <c r="D886" s="167">
        <v>46107.67370988426</v>
      </c>
      <c r="E886" s="37">
        <v>5.0</v>
      </c>
      <c r="F886" s="56" t="s">
        <v>2169</v>
      </c>
      <c r="G886" s="90"/>
      <c r="H886" s="130"/>
      <c r="I886" s="130" t="s">
        <v>604</v>
      </c>
      <c r="J886" s="26" t="s">
        <v>1812</v>
      </c>
      <c r="K886" s="26" t="s">
        <v>1815</v>
      </c>
      <c r="L886" s="26" t="s">
        <v>1566</v>
      </c>
      <c r="M886" s="26" t="s">
        <v>1566</v>
      </c>
      <c r="N886" s="26" t="s">
        <v>1566</v>
      </c>
      <c r="O886" s="26" t="s">
        <v>1812</v>
      </c>
      <c r="P886" s="26" t="s">
        <v>616</v>
      </c>
      <c r="Q886" s="26">
        <v>15.0</v>
      </c>
    </row>
    <row r="887" ht="17.25" customHeight="1">
      <c r="A887" s="167">
        <v>46107.67548800926</v>
      </c>
      <c r="B887" s="27" t="s">
        <v>971</v>
      </c>
      <c r="C887" s="56" t="s">
        <v>1560</v>
      </c>
      <c r="D887" s="190">
        <v>46103.67371527778</v>
      </c>
      <c r="E887" s="37">
        <v>5.0</v>
      </c>
      <c r="F887" s="56" t="s">
        <v>1673</v>
      </c>
      <c r="G887" s="90"/>
      <c r="H887" s="130"/>
      <c r="I887" s="130" t="s">
        <v>972</v>
      </c>
      <c r="J887" s="26" t="s">
        <v>1821</v>
      </c>
      <c r="K887" s="26" t="s">
        <v>1822</v>
      </c>
      <c r="L887" s="26" t="s">
        <v>1995</v>
      </c>
      <c r="M887" s="26" t="s">
        <v>1566</v>
      </c>
      <c r="N887" s="26" t="s">
        <v>1566</v>
      </c>
      <c r="O887" s="26" t="s">
        <v>1997</v>
      </c>
      <c r="P887" s="26" t="s">
        <v>661</v>
      </c>
      <c r="Q887" s="26">
        <v>6.0</v>
      </c>
    </row>
    <row r="888" ht="17.25" customHeight="1">
      <c r="A888" s="167">
        <v>46107.675706354166</v>
      </c>
      <c r="B888" s="27" t="s">
        <v>971</v>
      </c>
      <c r="C888" s="56" t="s">
        <v>1892</v>
      </c>
      <c r="D888" s="167">
        <v>46107.67370988426</v>
      </c>
      <c r="E888" s="37">
        <v>1.0</v>
      </c>
      <c r="F888" s="56" t="s">
        <v>2124</v>
      </c>
      <c r="G888" s="90"/>
      <c r="H888" s="130"/>
      <c r="I888" s="130" t="s">
        <v>972</v>
      </c>
      <c r="J888" s="26" t="s">
        <v>1821</v>
      </c>
      <c r="K888" s="26" t="s">
        <v>1822</v>
      </c>
      <c r="L888" s="26" t="s">
        <v>1995</v>
      </c>
      <c r="M888" s="26" t="s">
        <v>1566</v>
      </c>
      <c r="N888" s="26" t="s">
        <v>1566</v>
      </c>
      <c r="O888" s="26" t="s">
        <v>1997</v>
      </c>
      <c r="P888" s="26" t="s">
        <v>661</v>
      </c>
      <c r="Q888" s="26">
        <v>6.0</v>
      </c>
    </row>
    <row r="889" ht="17.25" customHeight="1">
      <c r="A889" s="167">
        <v>46108.52991423611</v>
      </c>
      <c r="B889" s="25" t="s">
        <v>301</v>
      </c>
      <c r="C889" s="56" t="s">
        <v>1892</v>
      </c>
      <c r="D889" s="167">
        <v>46108.52991423611</v>
      </c>
      <c r="E889" s="37">
        <v>10.0</v>
      </c>
      <c r="F889" s="56" t="s">
        <v>2156</v>
      </c>
      <c r="G889" s="90"/>
      <c r="H889" s="130"/>
      <c r="I889" s="130" t="s">
        <v>302</v>
      </c>
      <c r="J889" s="26" t="s">
        <v>1830</v>
      </c>
      <c r="K889" s="26" t="s">
        <v>302</v>
      </c>
      <c r="L889" s="26" t="s">
        <v>1566</v>
      </c>
      <c r="M889" s="26" t="s">
        <v>1566</v>
      </c>
      <c r="N889" s="26" t="s">
        <v>1566</v>
      </c>
      <c r="O889" s="26" t="s">
        <v>1566</v>
      </c>
      <c r="P889" s="26" t="s">
        <v>661</v>
      </c>
      <c r="Q889" s="26">
        <v>580.0</v>
      </c>
    </row>
    <row r="890" ht="17.25" customHeight="1">
      <c r="A890" s="167">
        <v>46108.53014545139</v>
      </c>
      <c r="B890" s="25" t="s">
        <v>301</v>
      </c>
      <c r="C890" s="56" t="s">
        <v>1892</v>
      </c>
      <c r="D890" s="167">
        <v>46108.52991423611</v>
      </c>
      <c r="E890" s="37">
        <v>7.0</v>
      </c>
      <c r="F890" s="56" t="s">
        <v>2156</v>
      </c>
      <c r="G890" s="90"/>
      <c r="H890" s="130"/>
      <c r="I890" s="130" t="s">
        <v>302</v>
      </c>
      <c r="J890" s="26" t="s">
        <v>1830</v>
      </c>
      <c r="K890" s="26" t="s">
        <v>302</v>
      </c>
      <c r="L890" s="26" t="s">
        <v>1566</v>
      </c>
      <c r="M890" s="26" t="s">
        <v>1566</v>
      </c>
      <c r="N890" s="26" t="s">
        <v>1566</v>
      </c>
      <c r="O890" s="26" t="s">
        <v>1566</v>
      </c>
      <c r="P890" s="26" t="s">
        <v>661</v>
      </c>
      <c r="Q890" s="26">
        <v>580.0</v>
      </c>
    </row>
    <row r="891" ht="17.25" customHeight="1">
      <c r="A891" s="167">
        <v>46108.53014545139</v>
      </c>
      <c r="B891" s="25" t="s">
        <v>682</v>
      </c>
      <c r="C891" s="56" t="s">
        <v>1892</v>
      </c>
      <c r="D891" s="167">
        <v>46108.52991423611</v>
      </c>
      <c r="E891" s="37">
        <v>2.0</v>
      </c>
      <c r="F891" s="56" t="s">
        <v>2156</v>
      </c>
      <c r="G891" s="90"/>
      <c r="H891" s="130"/>
      <c r="I891" s="130" t="s">
        <v>690</v>
      </c>
      <c r="J891" s="26" t="s">
        <v>1830</v>
      </c>
      <c r="K891" s="26" t="s">
        <v>1830</v>
      </c>
      <c r="L891" s="26" t="s">
        <v>1566</v>
      </c>
      <c r="M891" s="26" t="s">
        <v>1566</v>
      </c>
      <c r="N891" s="26" t="s">
        <v>1566</v>
      </c>
      <c r="O891" s="26" t="s">
        <v>1566</v>
      </c>
      <c r="P891" s="26" t="s">
        <v>661</v>
      </c>
      <c r="Q891" s="26">
        <v>14.0</v>
      </c>
    </row>
    <row r="892" ht="17.25" customHeight="1">
      <c r="A892" s="167">
        <v>46108.53048369213</v>
      </c>
      <c r="B892" s="23" t="s">
        <v>222</v>
      </c>
      <c r="C892" s="56" t="s">
        <v>1892</v>
      </c>
      <c r="D892" s="167">
        <v>46108.52991423611</v>
      </c>
      <c r="E892" s="37">
        <v>4.0</v>
      </c>
      <c r="F892" s="56" t="s">
        <v>2156</v>
      </c>
      <c r="G892" s="90"/>
      <c r="H892" s="130"/>
      <c r="I892" s="130" t="s">
        <v>230</v>
      </c>
      <c r="J892" s="26" t="s">
        <v>1821</v>
      </c>
      <c r="K892" s="26" t="s">
        <v>1822</v>
      </c>
      <c r="L892" s="26" t="s">
        <v>1828</v>
      </c>
      <c r="M892" s="26" t="s">
        <v>1590</v>
      </c>
      <c r="N892" s="26" t="s">
        <v>1566</v>
      </c>
      <c r="O892" s="26" t="s">
        <v>1566</v>
      </c>
      <c r="P892" s="26" t="s">
        <v>661</v>
      </c>
      <c r="Q892" s="26">
        <v>60.0</v>
      </c>
    </row>
    <row r="893" ht="17.25" customHeight="1">
      <c r="A893" s="167">
        <v>46108.53117711806</v>
      </c>
      <c r="B893" s="27" t="s">
        <v>1039</v>
      </c>
      <c r="C893" s="56" t="s">
        <v>1892</v>
      </c>
      <c r="D893" s="167">
        <v>46108.52991423611</v>
      </c>
      <c r="E893" s="37">
        <v>1.0</v>
      </c>
      <c r="F893" s="56" t="s">
        <v>2156</v>
      </c>
      <c r="G893" s="90"/>
      <c r="H893" s="130"/>
      <c r="I893" s="130" t="s">
        <v>1040</v>
      </c>
      <c r="J893" s="26" t="s">
        <v>1830</v>
      </c>
      <c r="K893" s="26" t="s">
        <v>1833</v>
      </c>
      <c r="L893" s="26" t="s">
        <v>1566</v>
      </c>
      <c r="M893" s="26" t="s">
        <v>1566</v>
      </c>
      <c r="N893" s="26" t="s">
        <v>1566</v>
      </c>
      <c r="O893" s="26" t="s">
        <v>1566</v>
      </c>
      <c r="P893" s="26" t="s">
        <v>643</v>
      </c>
      <c r="Q893" s="26">
        <v>6.0</v>
      </c>
    </row>
    <row r="894" ht="17.25" customHeight="1">
      <c r="A894" s="167">
        <v>46108.531581689815</v>
      </c>
      <c r="B894" s="25" t="s">
        <v>292</v>
      </c>
      <c r="C894" s="56" t="s">
        <v>1892</v>
      </c>
      <c r="D894" s="167">
        <v>46108.52991423611</v>
      </c>
      <c r="E894" s="37">
        <v>2.0</v>
      </c>
      <c r="F894" s="56" t="s">
        <v>2156</v>
      </c>
      <c r="G894" s="90"/>
      <c r="H894" s="130"/>
      <c r="I894" s="130" t="s">
        <v>294</v>
      </c>
      <c r="J894" s="26" t="s">
        <v>1674</v>
      </c>
      <c r="K894" s="26" t="s">
        <v>1675</v>
      </c>
      <c r="L894" s="26" t="s">
        <v>1566</v>
      </c>
      <c r="M894" s="26" t="s">
        <v>1566</v>
      </c>
      <c r="N894" s="26" t="s">
        <v>1678</v>
      </c>
      <c r="O894" s="26" t="s">
        <v>1677</v>
      </c>
      <c r="P894" s="26" t="s">
        <v>290</v>
      </c>
      <c r="Q894" s="26">
        <v>10.0</v>
      </c>
    </row>
    <row r="895" ht="17.25" customHeight="1">
      <c r="A895" s="167">
        <v>46108.531612349536</v>
      </c>
      <c r="B895" s="2" t="s">
        <v>297</v>
      </c>
      <c r="C895" s="56" t="s">
        <v>1892</v>
      </c>
      <c r="D895" s="167">
        <v>46108.52991423611</v>
      </c>
      <c r="E895" s="37">
        <v>2.0</v>
      </c>
      <c r="F895" s="56" t="s">
        <v>2156</v>
      </c>
      <c r="G895" s="90"/>
      <c r="H895" s="130"/>
      <c r="I895" s="130" t="s">
        <v>298</v>
      </c>
      <c r="J895" s="26" t="s">
        <v>1674</v>
      </c>
      <c r="K895" s="26" t="s">
        <v>1675</v>
      </c>
      <c r="L895" s="26" t="s">
        <v>1566</v>
      </c>
      <c r="M895" s="26" t="s">
        <v>1566</v>
      </c>
      <c r="N895" s="26" t="s">
        <v>1680</v>
      </c>
      <c r="O895" s="26" t="s">
        <v>1677</v>
      </c>
      <c r="P895" s="26" t="s">
        <v>290</v>
      </c>
      <c r="Q895" s="26">
        <v>10.0</v>
      </c>
    </row>
    <row r="896" ht="17.25" customHeight="1">
      <c r="A896" s="167">
        <v>46108.531623194445</v>
      </c>
      <c r="B896" s="2" t="s">
        <v>304</v>
      </c>
      <c r="C896" s="56" t="s">
        <v>1892</v>
      </c>
      <c r="D896" s="167">
        <v>46108.52991423611</v>
      </c>
      <c r="E896" s="37">
        <v>2.0</v>
      </c>
      <c r="F896" s="56" t="s">
        <v>2156</v>
      </c>
      <c r="G896" s="90"/>
      <c r="H896" s="130"/>
      <c r="I896" s="130" t="s">
        <v>306</v>
      </c>
      <c r="J896" s="26" t="s">
        <v>1674</v>
      </c>
      <c r="K896" s="26" t="s">
        <v>1675</v>
      </c>
      <c r="L896" s="26" t="s">
        <v>1566</v>
      </c>
      <c r="M896" s="26" t="s">
        <v>1566</v>
      </c>
      <c r="N896" s="26" t="s">
        <v>1682</v>
      </c>
      <c r="O896" s="26" t="s">
        <v>1677</v>
      </c>
      <c r="P896" s="26" t="s">
        <v>290</v>
      </c>
      <c r="Q896" s="26">
        <v>6.0</v>
      </c>
    </row>
    <row r="897" ht="17.25" customHeight="1">
      <c r="A897" s="167">
        <v>46108.7290743287</v>
      </c>
      <c r="B897" s="27" t="s">
        <v>45</v>
      </c>
      <c r="C897" s="56" t="s">
        <v>1560</v>
      </c>
      <c r="D897" s="167">
        <v>46108.52991423611</v>
      </c>
      <c r="E897" s="37">
        <v>2.0</v>
      </c>
      <c r="F897" s="56" t="s">
        <v>1673</v>
      </c>
      <c r="G897" s="90"/>
      <c r="H897" s="130"/>
      <c r="I897" s="130" t="s">
        <v>47</v>
      </c>
      <c r="J897" s="26" t="s">
        <v>1674</v>
      </c>
      <c r="K897" s="26" t="s">
        <v>1691</v>
      </c>
      <c r="L897" s="26" t="s">
        <v>1566</v>
      </c>
      <c r="M897" s="26" t="s">
        <v>1566</v>
      </c>
      <c r="N897" s="26" t="s">
        <v>1566</v>
      </c>
      <c r="O897" s="26" t="s">
        <v>1566</v>
      </c>
      <c r="P897" s="26" t="s">
        <v>661</v>
      </c>
      <c r="Q897" s="26">
        <v>0.0</v>
      </c>
    </row>
    <row r="898" ht="17.25" customHeight="1">
      <c r="A898" s="167">
        <v>46108.75379990741</v>
      </c>
      <c r="B898" s="27" t="s">
        <v>45</v>
      </c>
      <c r="C898" s="56" t="s">
        <v>1892</v>
      </c>
      <c r="D898" s="167">
        <v>46108.52991423611</v>
      </c>
      <c r="E898" s="37">
        <v>2.0</v>
      </c>
      <c r="F898" s="56" t="s">
        <v>1673</v>
      </c>
      <c r="G898" s="90"/>
      <c r="H898" s="130"/>
      <c r="I898" s="130" t="s">
        <v>47</v>
      </c>
      <c r="J898" s="26" t="s">
        <v>1674</v>
      </c>
      <c r="K898" s="26" t="s">
        <v>1691</v>
      </c>
      <c r="L898" s="26" t="s">
        <v>1566</v>
      </c>
      <c r="M898" s="26" t="s">
        <v>1566</v>
      </c>
      <c r="N898" s="26" t="s">
        <v>1566</v>
      </c>
      <c r="O898" s="26" t="s">
        <v>1566</v>
      </c>
      <c r="P898" s="26" t="s">
        <v>661</v>
      </c>
      <c r="Q898" s="26">
        <v>0.0</v>
      </c>
    </row>
    <row r="899" ht="17.25" customHeight="1">
      <c r="A899" s="167">
        <v>46108.7542284375</v>
      </c>
      <c r="B899" s="27" t="s">
        <v>994</v>
      </c>
      <c r="C899" s="56" t="s">
        <v>1892</v>
      </c>
      <c r="D899" s="167">
        <v>46108.52991423611</v>
      </c>
      <c r="E899" s="37">
        <v>1.0</v>
      </c>
      <c r="F899" s="56" t="s">
        <v>1894</v>
      </c>
      <c r="G899" s="90"/>
      <c r="H899" s="130"/>
      <c r="I899" s="130" t="s">
        <v>995</v>
      </c>
      <c r="J899" s="26" t="s">
        <v>1807</v>
      </c>
      <c r="K899" s="26" t="s">
        <v>1889</v>
      </c>
      <c r="L899" s="26" t="s">
        <v>1566</v>
      </c>
      <c r="M899" s="26" t="s">
        <v>1566</v>
      </c>
      <c r="N899" s="26" t="s">
        <v>1566</v>
      </c>
      <c r="O899" s="26" t="s">
        <v>1566</v>
      </c>
      <c r="P899" s="26" t="s">
        <v>661</v>
      </c>
      <c r="Q899" s="26">
        <v>9.0</v>
      </c>
    </row>
    <row r="900" ht="17.25" customHeight="1">
      <c r="A900" s="167">
        <v>46108.75447752315</v>
      </c>
      <c r="B900" s="23" t="s">
        <v>876</v>
      </c>
      <c r="C900" s="56" t="s">
        <v>1892</v>
      </c>
      <c r="D900" s="167">
        <v>46108.52991423611</v>
      </c>
      <c r="E900" s="37">
        <v>4.0</v>
      </c>
      <c r="F900" s="56" t="s">
        <v>2185</v>
      </c>
      <c r="G900" s="90"/>
      <c r="H900" s="130"/>
      <c r="I900" s="130" t="s">
        <v>878</v>
      </c>
      <c r="J900" s="26" t="s">
        <v>1830</v>
      </c>
      <c r="K900" s="26" t="s">
        <v>1879</v>
      </c>
      <c r="L900" s="26" t="s">
        <v>1566</v>
      </c>
      <c r="M900" s="26" t="s">
        <v>1566</v>
      </c>
      <c r="N900" s="26" t="s">
        <v>1566</v>
      </c>
      <c r="O900" s="26" t="s">
        <v>1566</v>
      </c>
      <c r="P900" s="26" t="s">
        <v>643</v>
      </c>
      <c r="Q900" s="26">
        <v>34.0</v>
      </c>
    </row>
    <row r="901" ht="17.25" customHeight="1">
      <c r="A901" s="167">
        <v>46108.75488396991</v>
      </c>
      <c r="B901" s="27" t="s">
        <v>971</v>
      </c>
      <c r="C901" s="56" t="s">
        <v>1892</v>
      </c>
      <c r="D901" s="167">
        <v>46108.52991423611</v>
      </c>
      <c r="E901" s="37">
        <v>1.0</v>
      </c>
      <c r="F901" s="56" t="s">
        <v>1894</v>
      </c>
      <c r="G901" s="90"/>
      <c r="H901" s="130"/>
      <c r="I901" s="130" t="s">
        <v>972</v>
      </c>
      <c r="J901" s="26" t="s">
        <v>1821</v>
      </c>
      <c r="K901" s="26" t="s">
        <v>1822</v>
      </c>
      <c r="L901" s="26" t="s">
        <v>1995</v>
      </c>
      <c r="M901" s="26" t="s">
        <v>1566</v>
      </c>
      <c r="N901" s="26" t="s">
        <v>1566</v>
      </c>
      <c r="O901" s="26" t="s">
        <v>1997</v>
      </c>
      <c r="P901" s="26" t="s">
        <v>661</v>
      </c>
      <c r="Q901" s="26">
        <v>6.0</v>
      </c>
    </row>
    <row r="902" ht="17.25" customHeight="1">
      <c r="A902" s="167">
        <v>46108.755337696755</v>
      </c>
      <c r="B902" s="23" t="s">
        <v>359</v>
      </c>
      <c r="C902" s="56" t="s">
        <v>1892</v>
      </c>
      <c r="D902" s="167">
        <v>46108.52991423611</v>
      </c>
      <c r="E902" s="37">
        <v>8.0</v>
      </c>
      <c r="F902" s="56" t="s">
        <v>1894</v>
      </c>
      <c r="G902" s="90"/>
      <c r="H902" s="130"/>
      <c r="I902" s="130" t="s">
        <v>370</v>
      </c>
      <c r="J902" s="26" t="s">
        <v>370</v>
      </c>
      <c r="K902" s="26" t="s">
        <v>370</v>
      </c>
      <c r="L902" s="26" t="s">
        <v>1566</v>
      </c>
      <c r="M902" s="26" t="s">
        <v>1566</v>
      </c>
      <c r="N902" s="26" t="s">
        <v>1566</v>
      </c>
      <c r="O902" s="26" t="s">
        <v>1566</v>
      </c>
      <c r="P902" s="26" t="s">
        <v>661</v>
      </c>
      <c r="Q902" s="26">
        <v>100.0</v>
      </c>
    </row>
    <row r="903" ht="17.25" customHeight="1">
      <c r="A903" s="167">
        <v>46108.755819004626</v>
      </c>
      <c r="B903" s="25" t="s">
        <v>1960</v>
      </c>
      <c r="C903" s="56" t="s">
        <v>1892</v>
      </c>
      <c r="D903" s="167">
        <v>46108.52991423611</v>
      </c>
      <c r="E903" s="37">
        <v>1.0</v>
      </c>
      <c r="F903" s="56" t="s">
        <v>1844</v>
      </c>
      <c r="G903" s="90"/>
      <c r="H903" s="130"/>
      <c r="I903" s="130" t="s">
        <v>1961</v>
      </c>
      <c r="J903" s="26" t="s">
        <v>1844</v>
      </c>
      <c r="K903" s="26" t="s">
        <v>1807</v>
      </c>
      <c r="L903" s="26" t="s">
        <v>2114</v>
      </c>
      <c r="M903" s="26" t="s">
        <v>1566</v>
      </c>
      <c r="N903" s="26" t="s">
        <v>1566</v>
      </c>
      <c r="O903" s="26" t="s">
        <v>1566</v>
      </c>
      <c r="P903" s="26" t="s">
        <v>661</v>
      </c>
      <c r="Q903" s="26">
        <v>0.0</v>
      </c>
    </row>
    <row r="904" ht="17.25" customHeight="1">
      <c r="A904" s="167">
        <v>46108.75588027778</v>
      </c>
      <c r="B904" s="25" t="s">
        <v>1962</v>
      </c>
      <c r="C904" s="56" t="s">
        <v>1892</v>
      </c>
      <c r="D904" s="167">
        <v>46108.52991423611</v>
      </c>
      <c r="E904" s="37">
        <v>1.0</v>
      </c>
      <c r="F904" s="56" t="s">
        <v>1844</v>
      </c>
      <c r="G904" s="90"/>
      <c r="H904" s="130"/>
      <c r="I904" s="130" t="s">
        <v>1963</v>
      </c>
      <c r="J904" s="26" t="s">
        <v>1844</v>
      </c>
      <c r="K904" s="26" t="s">
        <v>1807</v>
      </c>
      <c r="L904" s="26" t="s">
        <v>2113</v>
      </c>
      <c r="M904" s="26" t="s">
        <v>1566</v>
      </c>
      <c r="N904" s="26" t="s">
        <v>1566</v>
      </c>
      <c r="O904" s="26" t="s">
        <v>1566</v>
      </c>
      <c r="P904" s="26" t="s">
        <v>661</v>
      </c>
      <c r="Q904" s="26">
        <v>0.0</v>
      </c>
    </row>
    <row r="905" ht="17.25" customHeight="1">
      <c r="A905" s="167">
        <v>46108.756441307865</v>
      </c>
      <c r="B905" s="25" t="s">
        <v>1874</v>
      </c>
      <c r="C905" s="56" t="s">
        <v>1892</v>
      </c>
      <c r="D905" s="167">
        <v>46108.52991423611</v>
      </c>
      <c r="E905" s="37">
        <v>1.0</v>
      </c>
      <c r="F905" s="56" t="s">
        <v>1844</v>
      </c>
      <c r="G905" s="90"/>
      <c r="H905" s="130"/>
      <c r="I905" s="130" t="s">
        <v>1875</v>
      </c>
      <c r="J905" s="26" t="s">
        <v>1844</v>
      </c>
      <c r="K905" s="26" t="s">
        <v>1872</v>
      </c>
      <c r="L905" s="26" t="s">
        <v>1566</v>
      </c>
      <c r="M905" s="26" t="s">
        <v>1566</v>
      </c>
      <c r="N905" s="26" t="s">
        <v>1876</v>
      </c>
      <c r="O905" s="26" t="s">
        <v>1566</v>
      </c>
      <c r="P905" s="26" t="s">
        <v>661</v>
      </c>
      <c r="Q905" s="26">
        <v>0.0</v>
      </c>
    </row>
    <row r="906" ht="17.25" customHeight="1">
      <c r="A906" s="167">
        <v>46109.445185000004</v>
      </c>
      <c r="B906" s="27" t="s">
        <v>1085</v>
      </c>
      <c r="C906" s="56" t="s">
        <v>1560</v>
      </c>
      <c r="D906" s="167">
        <v>46108.52991423611</v>
      </c>
      <c r="E906" s="37">
        <v>10020.0</v>
      </c>
      <c r="F906" s="56" t="s">
        <v>1561</v>
      </c>
      <c r="G906" s="90"/>
      <c r="H906" s="130"/>
      <c r="I906" s="130" t="s">
        <v>1086</v>
      </c>
      <c r="J906" s="26" t="s">
        <v>1225</v>
      </c>
      <c r="K906" s="26" t="s">
        <v>1562</v>
      </c>
      <c r="L906" s="26" t="s">
        <v>2116</v>
      </c>
      <c r="M906" s="26" t="s">
        <v>1597</v>
      </c>
      <c r="N906" s="26" t="s">
        <v>1566</v>
      </c>
      <c r="O906" s="26" t="s">
        <v>1566</v>
      </c>
      <c r="P906" s="26" t="s">
        <v>661</v>
      </c>
      <c r="Q906" s="26">
        <v>15800.0</v>
      </c>
    </row>
    <row r="907" ht="17.25" customHeight="1">
      <c r="A907" s="167">
        <v>46109.44639592593</v>
      </c>
      <c r="B907" s="181" t="s">
        <v>1719</v>
      </c>
      <c r="C907" s="56" t="s">
        <v>1560</v>
      </c>
      <c r="D907" s="167">
        <v>46108.52991423611</v>
      </c>
      <c r="E907" s="37">
        <v>1500.0</v>
      </c>
      <c r="F907" s="56" t="s">
        <v>1561</v>
      </c>
      <c r="G907" s="90"/>
      <c r="H907" s="130"/>
      <c r="I907" s="130" t="s">
        <v>1720</v>
      </c>
      <c r="J907" s="26" t="s">
        <v>1225</v>
      </c>
      <c r="K907" s="26" t="s">
        <v>1562</v>
      </c>
      <c r="L907" s="26" t="s">
        <v>2117</v>
      </c>
      <c r="M907" s="26" t="s">
        <v>1622</v>
      </c>
      <c r="N907" s="26" t="s">
        <v>1566</v>
      </c>
      <c r="O907" s="26" t="s">
        <v>1566</v>
      </c>
      <c r="P907" s="26" t="s">
        <v>22</v>
      </c>
      <c r="Q907" s="26">
        <v>0.0</v>
      </c>
    </row>
    <row r="908" ht="17.25" customHeight="1">
      <c r="A908" s="167">
        <v>46109.446877187496</v>
      </c>
      <c r="B908" s="181" t="s">
        <v>104</v>
      </c>
      <c r="C908" s="56" t="s">
        <v>1560</v>
      </c>
      <c r="D908" s="167">
        <v>46108.52991423611</v>
      </c>
      <c r="E908" s="37">
        <v>2000.0</v>
      </c>
      <c r="F908" s="56" t="s">
        <v>1561</v>
      </c>
      <c r="G908" s="90"/>
      <c r="H908" s="130"/>
      <c r="I908" s="130" t="s">
        <v>106</v>
      </c>
      <c r="J908" s="26" t="s">
        <v>1225</v>
      </c>
      <c r="K908" s="26" t="s">
        <v>1562</v>
      </c>
      <c r="L908" s="26" t="s">
        <v>1582</v>
      </c>
      <c r="M908" s="26" t="s">
        <v>1607</v>
      </c>
      <c r="N908" s="26" t="s">
        <v>1571</v>
      </c>
      <c r="O908" s="26" t="s">
        <v>1566</v>
      </c>
      <c r="P908" s="26" t="s">
        <v>22</v>
      </c>
      <c r="Q908" s="26">
        <v>1000.0</v>
      </c>
    </row>
    <row r="909" ht="17.25" customHeight="1">
      <c r="A909" s="167">
        <v>46109.44808268519</v>
      </c>
      <c r="B909" s="181" t="s">
        <v>1088</v>
      </c>
      <c r="C909" s="56" t="s">
        <v>1560</v>
      </c>
      <c r="D909" s="167">
        <v>46108.52991423611</v>
      </c>
      <c r="E909" s="37">
        <v>3600.0</v>
      </c>
      <c r="F909" s="56" t="s">
        <v>1561</v>
      </c>
      <c r="G909" s="90"/>
      <c r="H909" s="130"/>
      <c r="I909" s="130" t="s">
        <v>1089</v>
      </c>
      <c r="J909" s="26" t="s">
        <v>1225</v>
      </c>
      <c r="K909" s="26" t="s">
        <v>1562</v>
      </c>
      <c r="L909" s="26" t="s">
        <v>2118</v>
      </c>
      <c r="M909" s="26" t="s">
        <v>1622</v>
      </c>
      <c r="N909" s="26" t="s">
        <v>1566</v>
      </c>
      <c r="O909" s="26" t="s">
        <v>1566</v>
      </c>
      <c r="P909" s="26" t="s">
        <v>22</v>
      </c>
      <c r="Q909" s="26">
        <v>200.0</v>
      </c>
    </row>
    <row r="910" ht="17.25" customHeight="1">
      <c r="A910" s="167">
        <v>46109.462368368055</v>
      </c>
      <c r="B910" s="25" t="s">
        <v>301</v>
      </c>
      <c r="C910" s="56" t="s">
        <v>1892</v>
      </c>
      <c r="D910" s="167">
        <v>46109.462368368055</v>
      </c>
      <c r="E910" s="37">
        <v>6.0</v>
      </c>
      <c r="F910" s="56" t="s">
        <v>1894</v>
      </c>
      <c r="G910" s="90"/>
      <c r="H910" s="130"/>
      <c r="I910" s="130" t="s">
        <v>302</v>
      </c>
      <c r="J910" s="26" t="s">
        <v>1830</v>
      </c>
      <c r="K910" s="26" t="s">
        <v>302</v>
      </c>
      <c r="L910" s="26" t="s">
        <v>1566</v>
      </c>
      <c r="M910" s="26" t="s">
        <v>1566</v>
      </c>
      <c r="N910" s="26" t="s">
        <v>1566</v>
      </c>
      <c r="O910" s="26" t="s">
        <v>1566</v>
      </c>
      <c r="P910" s="26" t="s">
        <v>661</v>
      </c>
      <c r="Q910" s="26">
        <v>580.0</v>
      </c>
    </row>
    <row r="911" ht="17.25" customHeight="1">
      <c r="A911" s="167">
        <v>46109.46239552084</v>
      </c>
      <c r="B911" s="25" t="s">
        <v>301</v>
      </c>
      <c r="C911" s="56" t="s">
        <v>1892</v>
      </c>
      <c r="D911" s="167">
        <v>46109.462368368055</v>
      </c>
      <c r="E911" s="37">
        <v>4.0</v>
      </c>
      <c r="F911" s="56" t="s">
        <v>1894</v>
      </c>
      <c r="G911" s="90"/>
      <c r="H911" s="130"/>
      <c r="I911" s="130" t="s">
        <v>302</v>
      </c>
      <c r="J911" s="26" t="s">
        <v>1830</v>
      </c>
      <c r="K911" s="26" t="s">
        <v>302</v>
      </c>
      <c r="L911" s="26" t="s">
        <v>1566</v>
      </c>
      <c r="M911" s="26" t="s">
        <v>1566</v>
      </c>
      <c r="N911" s="26" t="s">
        <v>1566</v>
      </c>
      <c r="O911" s="26" t="s">
        <v>1566</v>
      </c>
      <c r="P911" s="26" t="s">
        <v>661</v>
      </c>
      <c r="Q911" s="26">
        <v>580.0</v>
      </c>
    </row>
    <row r="912" ht="17.25" customHeight="1">
      <c r="A912" s="167">
        <v>46109.46239552084</v>
      </c>
      <c r="B912" s="23" t="s">
        <v>876</v>
      </c>
      <c r="C912" s="56" t="s">
        <v>1892</v>
      </c>
      <c r="D912" s="167">
        <v>46108.52991423611</v>
      </c>
      <c r="E912" s="37">
        <v>2.0</v>
      </c>
      <c r="F912" s="56" t="s">
        <v>1907</v>
      </c>
      <c r="G912" s="90"/>
      <c r="H912" s="130"/>
      <c r="I912" s="130" t="s">
        <v>878</v>
      </c>
      <c r="J912" s="26" t="s">
        <v>1830</v>
      </c>
      <c r="K912" s="26" t="s">
        <v>1879</v>
      </c>
      <c r="L912" s="26" t="s">
        <v>1566</v>
      </c>
      <c r="M912" s="26" t="s">
        <v>1566</v>
      </c>
      <c r="N912" s="26" t="s">
        <v>1566</v>
      </c>
      <c r="O912" s="26" t="s">
        <v>1566</v>
      </c>
      <c r="P912" s="26" t="s">
        <v>643</v>
      </c>
      <c r="Q912" s="26">
        <v>34.0</v>
      </c>
    </row>
    <row r="913" ht="17.25" customHeight="1">
      <c r="A913" s="167">
        <v>46109.55696123843</v>
      </c>
      <c r="B913" s="25" t="s">
        <v>1717</v>
      </c>
      <c r="C913" s="56" t="s">
        <v>1892</v>
      </c>
      <c r="D913" s="167">
        <v>46107.67370988426</v>
      </c>
      <c r="E913" s="37">
        <v>2600.0</v>
      </c>
      <c r="F913" s="56" t="s">
        <v>2186</v>
      </c>
      <c r="G913" s="56">
        <v>677.0</v>
      </c>
      <c r="H913" s="130"/>
      <c r="I913" s="130" t="s">
        <v>1718</v>
      </c>
      <c r="J913" s="26" t="s">
        <v>1225</v>
      </c>
      <c r="K913" s="26" t="s">
        <v>1562</v>
      </c>
      <c r="L913" s="26" t="s">
        <v>1587</v>
      </c>
      <c r="M913" s="26" t="s">
        <v>1564</v>
      </c>
      <c r="N913" s="26" t="s">
        <v>1566</v>
      </c>
      <c r="O913" s="26" t="s">
        <v>1566</v>
      </c>
      <c r="P913" s="26" t="s">
        <v>22</v>
      </c>
      <c r="Q913" s="26">
        <v>0.0</v>
      </c>
    </row>
    <row r="914" ht="17.25" customHeight="1">
      <c r="A914" s="167">
        <v>46109.557309386575</v>
      </c>
      <c r="B914" s="25" t="s">
        <v>1717</v>
      </c>
      <c r="C914" s="56" t="s">
        <v>1560</v>
      </c>
      <c r="D914" s="167">
        <v>46107.67370988426</v>
      </c>
      <c r="E914" s="37">
        <v>2000.0</v>
      </c>
      <c r="F914" s="56" t="s">
        <v>2186</v>
      </c>
      <c r="G914" s="90"/>
      <c r="H914" s="130"/>
      <c r="I914" s="130" t="s">
        <v>1718</v>
      </c>
      <c r="J914" s="26" t="s">
        <v>1225</v>
      </c>
      <c r="K914" s="26" t="s">
        <v>1562</v>
      </c>
      <c r="L914" s="26" t="s">
        <v>1587</v>
      </c>
      <c r="M914" s="26" t="s">
        <v>1564</v>
      </c>
      <c r="N914" s="26" t="s">
        <v>1566</v>
      </c>
      <c r="O914" s="26" t="s">
        <v>1566</v>
      </c>
      <c r="P914" s="26" t="s">
        <v>22</v>
      </c>
      <c r="Q914" s="26">
        <v>0.0</v>
      </c>
    </row>
    <row r="915" ht="17.25" customHeight="1">
      <c r="A915" s="167">
        <v>46109.557422812504</v>
      </c>
      <c r="B915" s="25" t="s">
        <v>1717</v>
      </c>
      <c r="C915" s="56" t="s">
        <v>1892</v>
      </c>
      <c r="D915" s="167">
        <v>46107.67370988426</v>
      </c>
      <c r="E915" s="37">
        <v>2000.0</v>
      </c>
      <c r="F915" s="56" t="s">
        <v>2186</v>
      </c>
      <c r="G915" s="56">
        <v>678.0</v>
      </c>
      <c r="H915" s="130"/>
      <c r="I915" s="130" t="s">
        <v>1718</v>
      </c>
      <c r="J915" s="26" t="s">
        <v>1225</v>
      </c>
      <c r="K915" s="26" t="s">
        <v>1562</v>
      </c>
      <c r="L915" s="26" t="s">
        <v>1587</v>
      </c>
      <c r="M915" s="26" t="s">
        <v>1564</v>
      </c>
      <c r="N915" s="26" t="s">
        <v>1566</v>
      </c>
      <c r="O915" s="26" t="s">
        <v>1566</v>
      </c>
      <c r="P915" s="26" t="s">
        <v>22</v>
      </c>
      <c r="Q915" s="26">
        <v>0.0</v>
      </c>
    </row>
    <row r="916" ht="17.25" customHeight="1">
      <c r="A916" s="167">
        <v>46109.55829239583</v>
      </c>
      <c r="B916" s="27" t="s">
        <v>95</v>
      </c>
      <c r="C916" s="56" t="s">
        <v>1560</v>
      </c>
      <c r="D916" s="167">
        <v>46107.67370988426</v>
      </c>
      <c r="E916" s="37">
        <v>1000.0</v>
      </c>
      <c r="F916" s="56" t="s">
        <v>2186</v>
      </c>
      <c r="G916" s="90"/>
      <c r="H916" s="130"/>
      <c r="I916" s="130" t="s">
        <v>97</v>
      </c>
      <c r="J916" s="26" t="s">
        <v>1225</v>
      </c>
      <c r="K916" s="26" t="s">
        <v>1562</v>
      </c>
      <c r="L916" s="26" t="s">
        <v>1582</v>
      </c>
      <c r="M916" s="26" t="s">
        <v>1564</v>
      </c>
      <c r="N916" s="26" t="s">
        <v>1566</v>
      </c>
      <c r="O916" s="26" t="s">
        <v>1566</v>
      </c>
      <c r="P916" s="26" t="s">
        <v>22</v>
      </c>
      <c r="Q916" s="26">
        <v>500.0</v>
      </c>
    </row>
    <row r="917" ht="17.25" customHeight="1">
      <c r="A917" s="167">
        <v>46109.55856065972</v>
      </c>
      <c r="B917" s="27" t="s">
        <v>95</v>
      </c>
      <c r="C917" s="56" t="s">
        <v>1892</v>
      </c>
      <c r="D917" s="167">
        <v>46107.67370988426</v>
      </c>
      <c r="E917" s="37">
        <v>1000.0</v>
      </c>
      <c r="F917" s="56" t="s">
        <v>2186</v>
      </c>
      <c r="G917" s="56">
        <v>679.0</v>
      </c>
      <c r="H917" s="130"/>
      <c r="I917" s="130" t="s">
        <v>97</v>
      </c>
      <c r="J917" s="26" t="s">
        <v>1225</v>
      </c>
      <c r="K917" s="26" t="s">
        <v>1562</v>
      </c>
      <c r="L917" s="26" t="s">
        <v>1582</v>
      </c>
      <c r="M917" s="26" t="s">
        <v>1564</v>
      </c>
      <c r="N917" s="26" t="s">
        <v>1566</v>
      </c>
      <c r="O917" s="26" t="s">
        <v>1566</v>
      </c>
      <c r="P917" s="26" t="s">
        <v>22</v>
      </c>
      <c r="Q917" s="26">
        <v>500.0</v>
      </c>
    </row>
    <row r="918" ht="17.25" customHeight="1">
      <c r="A918" s="167">
        <v>46109.56019982639</v>
      </c>
      <c r="B918" s="27" t="s">
        <v>91</v>
      </c>
      <c r="C918" s="56" t="s">
        <v>1560</v>
      </c>
      <c r="D918" s="167">
        <v>46107.67370988426</v>
      </c>
      <c r="E918" s="37">
        <v>1000.0</v>
      </c>
      <c r="F918" s="56" t="s">
        <v>2186</v>
      </c>
      <c r="G918" s="90"/>
      <c r="H918" s="130"/>
      <c r="I918" s="130" t="s">
        <v>92</v>
      </c>
      <c r="J918" s="26" t="s">
        <v>1225</v>
      </c>
      <c r="K918" s="26" t="s">
        <v>1562</v>
      </c>
      <c r="L918" s="26" t="s">
        <v>1576</v>
      </c>
      <c r="M918" s="26" t="s">
        <v>1572</v>
      </c>
      <c r="N918" s="26" t="s">
        <v>1566</v>
      </c>
      <c r="O918" s="26" t="s">
        <v>1566</v>
      </c>
      <c r="P918" s="26" t="s">
        <v>22</v>
      </c>
      <c r="Q918" s="26">
        <v>1400.0</v>
      </c>
    </row>
    <row r="919" ht="17.25" customHeight="1">
      <c r="A919" s="167">
        <v>46109.56039409722</v>
      </c>
      <c r="B919" s="27" t="s">
        <v>91</v>
      </c>
      <c r="C919" s="56" t="s">
        <v>1892</v>
      </c>
      <c r="D919" s="167">
        <v>46107.67370988426</v>
      </c>
      <c r="E919" s="37">
        <v>1000.0</v>
      </c>
      <c r="F919" s="56" t="s">
        <v>2186</v>
      </c>
      <c r="G919" s="56">
        <v>680.0</v>
      </c>
      <c r="H919" s="130"/>
      <c r="I919" s="130" t="s">
        <v>92</v>
      </c>
      <c r="J919" s="26" t="s">
        <v>1225</v>
      </c>
      <c r="K919" s="26" t="s">
        <v>1562</v>
      </c>
      <c r="L919" s="26" t="s">
        <v>1576</v>
      </c>
      <c r="M919" s="26" t="s">
        <v>1572</v>
      </c>
      <c r="N919" s="26" t="s">
        <v>1566</v>
      </c>
      <c r="O919" s="26" t="s">
        <v>1566</v>
      </c>
      <c r="P919" s="26" t="s">
        <v>22</v>
      </c>
      <c r="Q919" s="26">
        <v>1400.0</v>
      </c>
    </row>
    <row r="920" ht="17.25" customHeight="1">
      <c r="A920" s="167">
        <v>46109.561051944445</v>
      </c>
      <c r="B920" s="25" t="s">
        <v>1088</v>
      </c>
      <c r="C920" s="56" t="s">
        <v>1892</v>
      </c>
      <c r="D920" s="190">
        <v>46108.67371527778</v>
      </c>
      <c r="E920" s="37">
        <v>400.0</v>
      </c>
      <c r="F920" s="56" t="s">
        <v>2186</v>
      </c>
      <c r="G920" s="56">
        <v>681.0</v>
      </c>
      <c r="H920" s="130"/>
      <c r="I920" s="130" t="s">
        <v>1089</v>
      </c>
      <c r="J920" s="26" t="s">
        <v>1225</v>
      </c>
      <c r="K920" s="26" t="s">
        <v>1562</v>
      </c>
      <c r="L920" s="26" t="s">
        <v>2118</v>
      </c>
      <c r="M920" s="26" t="s">
        <v>1622</v>
      </c>
      <c r="N920" s="26" t="s">
        <v>1566</v>
      </c>
      <c r="O920" s="26" t="s">
        <v>1566</v>
      </c>
      <c r="P920" s="26" t="s">
        <v>22</v>
      </c>
      <c r="Q920" s="26">
        <v>200.0</v>
      </c>
    </row>
    <row r="921" ht="17.25" customHeight="1">
      <c r="A921" s="167">
        <v>46109.56162652778</v>
      </c>
      <c r="B921" s="25" t="s">
        <v>147</v>
      </c>
      <c r="C921" s="56" t="s">
        <v>1560</v>
      </c>
      <c r="D921" s="167">
        <v>46107.67370988426</v>
      </c>
      <c r="E921" s="37">
        <v>500.0</v>
      </c>
      <c r="F921" s="56" t="s">
        <v>2186</v>
      </c>
      <c r="H921" s="130"/>
      <c r="I921" s="130" t="s">
        <v>148</v>
      </c>
      <c r="J921" s="26" t="s">
        <v>1225</v>
      </c>
      <c r="K921" s="26" t="s">
        <v>1562</v>
      </c>
      <c r="L921" s="26" t="s">
        <v>1633</v>
      </c>
      <c r="M921" s="26" t="s">
        <v>1574</v>
      </c>
      <c r="N921" s="26" t="s">
        <v>1566</v>
      </c>
      <c r="O921" s="26" t="s">
        <v>1566</v>
      </c>
      <c r="P921" s="26" t="s">
        <v>22</v>
      </c>
      <c r="Q921" s="26">
        <v>0.0</v>
      </c>
    </row>
    <row r="922" ht="17.25" customHeight="1">
      <c r="A922" s="167">
        <v>46109.56181252315</v>
      </c>
      <c r="B922" s="25" t="s">
        <v>147</v>
      </c>
      <c r="C922" s="56" t="s">
        <v>1892</v>
      </c>
      <c r="D922" s="167">
        <v>46109.56181252315</v>
      </c>
      <c r="E922" s="37">
        <v>350.0</v>
      </c>
      <c r="F922" s="56" t="s">
        <v>2186</v>
      </c>
      <c r="G922" s="56">
        <v>686.0</v>
      </c>
      <c r="H922" s="130"/>
      <c r="I922" s="130" t="s">
        <v>148</v>
      </c>
      <c r="J922" s="26" t="s">
        <v>1225</v>
      </c>
      <c r="K922" s="26" t="s">
        <v>1562</v>
      </c>
      <c r="L922" s="26" t="s">
        <v>1633</v>
      </c>
      <c r="M922" s="26" t="s">
        <v>1574</v>
      </c>
      <c r="N922" s="26" t="s">
        <v>1566</v>
      </c>
      <c r="O922" s="26" t="s">
        <v>1566</v>
      </c>
      <c r="P922" s="26" t="s">
        <v>22</v>
      </c>
      <c r="Q922" s="26">
        <v>0.0</v>
      </c>
    </row>
    <row r="923" ht="17.25" customHeight="1">
      <c r="A923" s="167">
        <v>46109.6710527199</v>
      </c>
      <c r="B923" s="27" t="s">
        <v>1965</v>
      </c>
      <c r="C923" s="56" t="s">
        <v>1560</v>
      </c>
      <c r="D923" s="167">
        <v>46107.67370988426</v>
      </c>
      <c r="E923" s="37">
        <v>1.0</v>
      </c>
      <c r="F923" s="56" t="s">
        <v>1844</v>
      </c>
      <c r="G923" s="90"/>
      <c r="H923" s="130"/>
      <c r="I923" s="130" t="s">
        <v>1966</v>
      </c>
      <c r="J923" s="26" t="s">
        <v>1844</v>
      </c>
      <c r="K923" s="26" t="s">
        <v>1807</v>
      </c>
      <c r="L923" s="26" t="s">
        <v>2120</v>
      </c>
      <c r="M923" s="26" t="s">
        <v>1566</v>
      </c>
      <c r="N923" s="26" t="s">
        <v>1566</v>
      </c>
      <c r="O923" s="26" t="s">
        <v>1566</v>
      </c>
      <c r="P923" s="26" t="s">
        <v>661</v>
      </c>
      <c r="Q923" s="26">
        <v>0.0</v>
      </c>
    </row>
    <row r="924" ht="17.25" customHeight="1">
      <c r="A924" s="167">
        <v>46109.67110092593</v>
      </c>
      <c r="B924" s="27" t="s">
        <v>1965</v>
      </c>
      <c r="C924" s="56" t="s">
        <v>1892</v>
      </c>
      <c r="D924" s="167">
        <v>46109.56181252315</v>
      </c>
      <c r="E924" s="37">
        <v>1.0</v>
      </c>
      <c r="F924" s="56" t="s">
        <v>1844</v>
      </c>
      <c r="G924" s="90"/>
      <c r="H924" s="130"/>
      <c r="I924" s="130" t="s">
        <v>1966</v>
      </c>
      <c r="J924" s="26" t="s">
        <v>1844</v>
      </c>
      <c r="K924" s="26" t="s">
        <v>1807</v>
      </c>
      <c r="L924" s="26" t="s">
        <v>2120</v>
      </c>
      <c r="M924" s="26" t="s">
        <v>1566</v>
      </c>
      <c r="N924" s="26" t="s">
        <v>1566</v>
      </c>
      <c r="O924" s="26" t="s">
        <v>1566</v>
      </c>
      <c r="P924" s="26" t="s">
        <v>661</v>
      </c>
      <c r="Q924" s="26">
        <v>0.0</v>
      </c>
    </row>
    <row r="925" ht="17.25" customHeight="1">
      <c r="A925" s="167">
        <v>46109.67174643518</v>
      </c>
      <c r="B925" s="25" t="s">
        <v>968</v>
      </c>
      <c r="C925" s="56" t="s">
        <v>1892</v>
      </c>
      <c r="D925" s="167">
        <v>46109.56181252315</v>
      </c>
      <c r="E925" s="37">
        <v>1.0</v>
      </c>
      <c r="F925" s="56" t="s">
        <v>1807</v>
      </c>
      <c r="G925" s="90"/>
      <c r="H925" s="130"/>
      <c r="I925" s="130" t="s">
        <v>969</v>
      </c>
      <c r="J925" s="26" t="s">
        <v>1807</v>
      </c>
      <c r="K925" s="26" t="s">
        <v>1807</v>
      </c>
      <c r="L925" s="26" t="s">
        <v>1566</v>
      </c>
      <c r="M925" s="26" t="s">
        <v>1566</v>
      </c>
      <c r="N925" s="26" t="s">
        <v>1566</v>
      </c>
      <c r="O925" s="26" t="s">
        <v>1566</v>
      </c>
      <c r="P925" s="26" t="s">
        <v>290</v>
      </c>
      <c r="Q925" s="26">
        <v>2.0</v>
      </c>
    </row>
    <row r="926" ht="17.25" customHeight="1">
      <c r="A926" s="167">
        <v>46109.672953773144</v>
      </c>
      <c r="B926" s="172" t="s">
        <v>836</v>
      </c>
      <c r="C926" s="56" t="s">
        <v>1892</v>
      </c>
      <c r="D926" s="167">
        <v>46109.56181252315</v>
      </c>
      <c r="E926" s="37">
        <v>1.0</v>
      </c>
      <c r="F926" s="56" t="s">
        <v>1844</v>
      </c>
      <c r="G926" s="90"/>
      <c r="H926" s="130"/>
      <c r="I926" s="130" t="s">
        <v>837</v>
      </c>
      <c r="J926" s="26" t="s">
        <v>1844</v>
      </c>
      <c r="K926" s="26" t="s">
        <v>1846</v>
      </c>
      <c r="L926" s="26" t="s">
        <v>1849</v>
      </c>
      <c r="M926" s="26" t="s">
        <v>1566</v>
      </c>
      <c r="N926" s="26" t="s">
        <v>1566</v>
      </c>
      <c r="O926" s="26" t="s">
        <v>1848</v>
      </c>
      <c r="P926" s="26" t="s">
        <v>661</v>
      </c>
      <c r="Q926" s="26">
        <v>1.0</v>
      </c>
    </row>
    <row r="927" ht="17.25" customHeight="1">
      <c r="A927" s="167">
        <v>46111.48351755787</v>
      </c>
      <c r="B927" s="25" t="s">
        <v>1001</v>
      </c>
      <c r="C927" s="56" t="s">
        <v>1892</v>
      </c>
      <c r="D927" s="167">
        <v>46109.56181252315</v>
      </c>
      <c r="E927" s="37">
        <v>1.0</v>
      </c>
      <c r="F927" s="56" t="s">
        <v>2169</v>
      </c>
      <c r="G927" s="90"/>
      <c r="H927" s="130"/>
      <c r="I927" s="130" t="s">
        <v>1002</v>
      </c>
      <c r="J927" s="26" t="s">
        <v>1674</v>
      </c>
      <c r="K927" s="26" t="s">
        <v>1691</v>
      </c>
      <c r="L927" s="26" t="s">
        <v>1566</v>
      </c>
      <c r="M927" s="26" t="s">
        <v>1566</v>
      </c>
      <c r="N927" s="26" t="s">
        <v>1566</v>
      </c>
      <c r="O927" s="26" t="s">
        <v>2040</v>
      </c>
      <c r="P927" s="26" t="s">
        <v>290</v>
      </c>
      <c r="Q927" s="26">
        <v>1.0</v>
      </c>
    </row>
    <row r="928" ht="17.25" customHeight="1">
      <c r="A928" s="167">
        <v>46111.484176701386</v>
      </c>
      <c r="B928" s="25" t="s">
        <v>523</v>
      </c>
      <c r="C928" s="56" t="s">
        <v>1892</v>
      </c>
      <c r="D928" s="167">
        <v>46109.56181252315</v>
      </c>
      <c r="E928" s="37">
        <v>5.0</v>
      </c>
      <c r="F928" s="56" t="s">
        <v>2169</v>
      </c>
      <c r="G928" s="90"/>
      <c r="H928" s="130"/>
      <c r="I928" s="130" t="s">
        <v>528</v>
      </c>
      <c r="J928" s="26" t="s">
        <v>1812</v>
      </c>
      <c r="K928" s="26" t="s">
        <v>1815</v>
      </c>
      <c r="L928" s="26" t="s">
        <v>1566</v>
      </c>
      <c r="M928" s="26" t="s">
        <v>1566</v>
      </c>
      <c r="N928" s="26" t="s">
        <v>1566</v>
      </c>
      <c r="O928" s="26" t="s">
        <v>1837</v>
      </c>
      <c r="P928" s="26" t="s">
        <v>616</v>
      </c>
      <c r="Q928" s="26">
        <v>15.0</v>
      </c>
    </row>
    <row r="929" ht="17.25" customHeight="1">
      <c r="A929" s="167">
        <v>46111.48431679398</v>
      </c>
      <c r="B929" s="25" t="s">
        <v>301</v>
      </c>
      <c r="C929" s="56" t="s">
        <v>1892</v>
      </c>
      <c r="D929" s="167">
        <v>46109.56181252315</v>
      </c>
      <c r="E929" s="37">
        <v>5.0</v>
      </c>
      <c r="F929" s="56" t="s">
        <v>2169</v>
      </c>
      <c r="G929" s="90"/>
      <c r="H929" s="130"/>
      <c r="I929" s="130" t="s">
        <v>302</v>
      </c>
      <c r="J929" s="26" t="s">
        <v>1830</v>
      </c>
      <c r="K929" s="26" t="s">
        <v>302</v>
      </c>
      <c r="L929" s="26" t="s">
        <v>1566</v>
      </c>
      <c r="M929" s="26" t="s">
        <v>1566</v>
      </c>
      <c r="N929" s="26" t="s">
        <v>1566</v>
      </c>
      <c r="O929" s="26" t="s">
        <v>1566</v>
      </c>
      <c r="P929" s="26" t="s">
        <v>661</v>
      </c>
      <c r="Q929" s="26">
        <v>580.0</v>
      </c>
    </row>
    <row r="930" ht="17.25" customHeight="1">
      <c r="A930" s="167">
        <v>46111.484350162034</v>
      </c>
      <c r="B930" s="25" t="s">
        <v>301</v>
      </c>
      <c r="C930" s="56" t="s">
        <v>1892</v>
      </c>
      <c r="D930" s="167">
        <v>46111.484350162034</v>
      </c>
      <c r="E930" s="37">
        <v>5.0</v>
      </c>
      <c r="F930" s="55" t="s">
        <v>1894</v>
      </c>
      <c r="G930" s="90"/>
      <c r="H930" s="130"/>
      <c r="I930" s="130" t="s">
        <v>302</v>
      </c>
      <c r="J930" s="26" t="s">
        <v>1830</v>
      </c>
      <c r="K930" s="26" t="s">
        <v>302</v>
      </c>
      <c r="L930" s="26" t="s">
        <v>1566</v>
      </c>
      <c r="M930" s="26" t="s">
        <v>1566</v>
      </c>
      <c r="N930" s="26" t="s">
        <v>1566</v>
      </c>
      <c r="O930" s="26" t="s">
        <v>1566</v>
      </c>
      <c r="P930" s="26" t="s">
        <v>661</v>
      </c>
      <c r="Q930" s="26">
        <v>580.0</v>
      </c>
    </row>
    <row r="931" ht="17.25" customHeight="1">
      <c r="A931" s="51">
        <v>46111.4836358912</v>
      </c>
      <c r="B931" s="25" t="s">
        <v>1001</v>
      </c>
      <c r="C931" s="55" t="s">
        <v>1892</v>
      </c>
      <c r="D931" s="167">
        <v>46111.484350162034</v>
      </c>
      <c r="E931" s="52">
        <v>1.0</v>
      </c>
      <c r="F931" s="56" t="s">
        <v>2169</v>
      </c>
      <c r="G931" s="26"/>
      <c r="H931" s="26"/>
      <c r="I931" s="26" t="s">
        <v>1002</v>
      </c>
      <c r="J931" s="26" t="s">
        <v>1674</v>
      </c>
      <c r="K931" s="26" t="s">
        <v>1691</v>
      </c>
      <c r="L931" s="26" t="s">
        <v>1566</v>
      </c>
      <c r="M931" s="26" t="s">
        <v>1566</v>
      </c>
      <c r="N931" s="26" t="s">
        <v>1566</v>
      </c>
      <c r="O931" s="26" t="s">
        <v>2040</v>
      </c>
      <c r="P931" s="26" t="s">
        <v>290</v>
      </c>
      <c r="Q931" s="26">
        <v>1.0</v>
      </c>
    </row>
    <row r="932" ht="17.25" customHeight="1">
      <c r="A932" s="51">
        <v>46111.48492396991</v>
      </c>
      <c r="B932" s="25" t="s">
        <v>964</v>
      </c>
      <c r="C932" s="55" t="s">
        <v>1892</v>
      </c>
      <c r="D932" s="167">
        <v>46111.484350162034</v>
      </c>
      <c r="E932" s="52">
        <v>5.0</v>
      </c>
      <c r="F932" s="55" t="s">
        <v>1894</v>
      </c>
      <c r="G932" s="26"/>
      <c r="H932" s="26"/>
      <c r="I932" s="26" t="s">
        <v>965</v>
      </c>
      <c r="J932" s="26" t="s">
        <v>1833</v>
      </c>
      <c r="K932" s="26" t="s">
        <v>1833</v>
      </c>
      <c r="L932" s="26" t="s">
        <v>1566</v>
      </c>
      <c r="M932" s="26" t="s">
        <v>1566</v>
      </c>
      <c r="N932" s="26" t="s">
        <v>1566</v>
      </c>
      <c r="O932" s="26" t="s">
        <v>1566</v>
      </c>
      <c r="P932" s="26" t="s">
        <v>643</v>
      </c>
      <c r="Q932" s="26">
        <v>25.0</v>
      </c>
    </row>
    <row r="933" ht="17.25" customHeight="1">
      <c r="A933" s="51">
        <v>46111.48508571759</v>
      </c>
      <c r="B933" s="25" t="s">
        <v>301</v>
      </c>
      <c r="C933" s="55" t="s">
        <v>1892</v>
      </c>
      <c r="D933" s="167">
        <v>46111.484350162034</v>
      </c>
      <c r="E933" s="52">
        <v>10.0</v>
      </c>
      <c r="F933" s="56" t="s">
        <v>2169</v>
      </c>
      <c r="G933" s="26"/>
      <c r="H933" s="26"/>
      <c r="I933" s="26" t="s">
        <v>302</v>
      </c>
      <c r="J933" s="26" t="s">
        <v>1830</v>
      </c>
      <c r="K933" s="26" t="s">
        <v>302</v>
      </c>
      <c r="L933" s="26" t="s">
        <v>1566</v>
      </c>
      <c r="M933" s="26" t="s">
        <v>1566</v>
      </c>
      <c r="N933" s="26" t="s">
        <v>1566</v>
      </c>
      <c r="O933" s="26" t="s">
        <v>1566</v>
      </c>
      <c r="P933" s="26" t="s">
        <v>661</v>
      </c>
      <c r="Q933" s="26">
        <v>580.0</v>
      </c>
    </row>
    <row r="934" ht="17.25" customHeight="1">
      <c r="A934" s="51">
        <v>46111.48561854167</v>
      </c>
      <c r="B934" s="25" t="s">
        <v>1039</v>
      </c>
      <c r="C934" s="55" t="s">
        <v>1560</v>
      </c>
      <c r="D934" s="167">
        <v>46111.484350162034</v>
      </c>
      <c r="E934" s="52">
        <v>5.0</v>
      </c>
      <c r="F934" s="55" t="s">
        <v>1673</v>
      </c>
      <c r="G934" s="26"/>
      <c r="H934" s="26"/>
      <c r="I934" s="26" t="s">
        <v>1040</v>
      </c>
      <c r="J934" s="26" t="s">
        <v>1830</v>
      </c>
      <c r="K934" s="26" t="s">
        <v>1833</v>
      </c>
      <c r="L934" s="26" t="s">
        <v>1566</v>
      </c>
      <c r="M934" s="26" t="s">
        <v>1566</v>
      </c>
      <c r="N934" s="26" t="s">
        <v>1566</v>
      </c>
      <c r="O934" s="26" t="s">
        <v>1566</v>
      </c>
      <c r="P934" s="26" t="s">
        <v>643</v>
      </c>
      <c r="Q934" s="26">
        <v>6.0</v>
      </c>
    </row>
    <row r="935" ht="17.25" customHeight="1">
      <c r="A935" s="51">
        <v>46111.485774270834</v>
      </c>
      <c r="B935" s="25" t="s">
        <v>1039</v>
      </c>
      <c r="C935" s="55" t="s">
        <v>1892</v>
      </c>
      <c r="D935" s="167">
        <v>46111.484350162034</v>
      </c>
      <c r="E935" s="52">
        <v>1.0</v>
      </c>
      <c r="F935" s="56" t="s">
        <v>2169</v>
      </c>
      <c r="G935" s="26"/>
      <c r="H935" s="26"/>
      <c r="I935" s="26" t="s">
        <v>1040</v>
      </c>
      <c r="J935" s="26" t="s">
        <v>1830</v>
      </c>
      <c r="K935" s="26" t="s">
        <v>1833</v>
      </c>
      <c r="L935" s="26" t="s">
        <v>1566</v>
      </c>
      <c r="M935" s="26" t="s">
        <v>1566</v>
      </c>
      <c r="N935" s="26" t="s">
        <v>1566</v>
      </c>
      <c r="O935" s="26" t="s">
        <v>1566</v>
      </c>
      <c r="P935" s="26" t="s">
        <v>643</v>
      </c>
      <c r="Q935" s="26">
        <v>6.0</v>
      </c>
    </row>
    <row r="936" ht="17.25" customHeight="1">
      <c r="A936" s="51">
        <v>46111.48618166667</v>
      </c>
      <c r="B936" s="25" t="s">
        <v>1958</v>
      </c>
      <c r="C936" s="55" t="s">
        <v>1892</v>
      </c>
      <c r="D936" s="167">
        <v>46111.484350162034</v>
      </c>
      <c r="E936" s="52">
        <v>1.0</v>
      </c>
      <c r="F936" s="56" t="s">
        <v>1844</v>
      </c>
      <c r="G936" s="26"/>
      <c r="H936" s="26"/>
      <c r="I936" s="26" t="s">
        <v>1959</v>
      </c>
      <c r="J936" s="26" t="s">
        <v>1844</v>
      </c>
      <c r="K936" s="26" t="s">
        <v>1807</v>
      </c>
      <c r="L936" s="26" t="s">
        <v>2113</v>
      </c>
      <c r="M936" s="26" t="s">
        <v>1566</v>
      </c>
      <c r="N936" s="26" t="s">
        <v>1566</v>
      </c>
      <c r="O936" s="26" t="s">
        <v>1566</v>
      </c>
      <c r="P936" s="26" t="s">
        <v>661</v>
      </c>
      <c r="Q936" s="26">
        <v>0.0</v>
      </c>
    </row>
    <row r="937" ht="17.25" customHeight="1">
      <c r="A937" s="51">
        <v>46111.491348587966</v>
      </c>
      <c r="B937" s="27" t="s">
        <v>1932</v>
      </c>
      <c r="C937" s="55" t="s">
        <v>1892</v>
      </c>
      <c r="D937" s="167">
        <v>46111.484350162034</v>
      </c>
      <c r="E937" s="52">
        <v>720.0</v>
      </c>
      <c r="F937" s="55" t="s">
        <v>1924</v>
      </c>
      <c r="G937" s="2" t="s">
        <v>1898</v>
      </c>
      <c r="H937" s="26"/>
      <c r="I937" s="26" t="s">
        <v>1933</v>
      </c>
      <c r="J937" s="26" t="s">
        <v>1225</v>
      </c>
      <c r="K937" s="26" t="s">
        <v>1653</v>
      </c>
      <c r="L937" s="26" t="s">
        <v>1563</v>
      </c>
      <c r="M937" s="26" t="s">
        <v>1595</v>
      </c>
      <c r="N937" s="26" t="s">
        <v>1566</v>
      </c>
      <c r="O937" s="26" t="s">
        <v>1566</v>
      </c>
      <c r="P937" s="26" t="s">
        <v>22</v>
      </c>
      <c r="Q937" s="26">
        <v>0.0</v>
      </c>
    </row>
    <row r="938" ht="17.25" customHeight="1">
      <c r="A938" s="51">
        <v>46111.49625318287</v>
      </c>
      <c r="B938" s="25" t="s">
        <v>1932</v>
      </c>
      <c r="C938" s="55" t="s">
        <v>1560</v>
      </c>
      <c r="D938" s="167">
        <v>46109.56181252315</v>
      </c>
      <c r="E938" s="52">
        <v>720.0</v>
      </c>
      <c r="F938" s="55" t="s">
        <v>1924</v>
      </c>
      <c r="G938" s="26"/>
      <c r="H938" s="26"/>
      <c r="I938" s="26" t="s">
        <v>1933</v>
      </c>
      <c r="J938" s="26" t="s">
        <v>1225</v>
      </c>
      <c r="K938" s="26" t="s">
        <v>1653</v>
      </c>
      <c r="L938" s="26" t="s">
        <v>1563</v>
      </c>
      <c r="M938" s="26" t="s">
        <v>1595</v>
      </c>
      <c r="N938" s="26" t="s">
        <v>1566</v>
      </c>
      <c r="O938" s="26" t="s">
        <v>1566</v>
      </c>
      <c r="P938" s="26" t="s">
        <v>22</v>
      </c>
      <c r="Q938" s="26">
        <v>0.0</v>
      </c>
    </row>
    <row r="939" ht="17.25" customHeight="1">
      <c r="A939" s="51">
        <v>46111.497060023146</v>
      </c>
      <c r="B939" s="25" t="s">
        <v>1967</v>
      </c>
      <c r="C939" s="55" t="s">
        <v>1560</v>
      </c>
      <c r="D939" s="167">
        <v>46109.56181252315</v>
      </c>
      <c r="E939" s="52">
        <v>648.0</v>
      </c>
      <c r="F939" s="55" t="s">
        <v>1924</v>
      </c>
      <c r="G939" s="26"/>
      <c r="H939" s="26"/>
      <c r="I939" s="26" t="s">
        <v>1968</v>
      </c>
      <c r="J939" s="26" t="s">
        <v>1225</v>
      </c>
      <c r="K939" s="26" t="s">
        <v>1653</v>
      </c>
      <c r="L939" s="26" t="s">
        <v>2121</v>
      </c>
      <c r="M939" s="26" t="s">
        <v>1595</v>
      </c>
      <c r="N939" s="26" t="s">
        <v>1566</v>
      </c>
      <c r="O939" s="26" t="s">
        <v>2122</v>
      </c>
      <c r="P939" s="26" t="s">
        <v>22</v>
      </c>
      <c r="Q939" s="26">
        <v>0.0</v>
      </c>
    </row>
    <row r="940" ht="17.25" customHeight="1">
      <c r="A940" s="51">
        <v>46111.497404803245</v>
      </c>
      <c r="B940" s="25" t="s">
        <v>1967</v>
      </c>
      <c r="C940" s="55" t="s">
        <v>1892</v>
      </c>
      <c r="D940" s="167">
        <v>46111.484350162034</v>
      </c>
      <c r="E940" s="52">
        <v>648.0</v>
      </c>
      <c r="F940" s="55" t="s">
        <v>1924</v>
      </c>
      <c r="G940" s="55">
        <v>690.0</v>
      </c>
      <c r="H940" s="26"/>
      <c r="I940" s="26" t="s">
        <v>1968</v>
      </c>
      <c r="J940" s="26" t="s">
        <v>1225</v>
      </c>
      <c r="K940" s="26" t="s">
        <v>1653</v>
      </c>
      <c r="L940" s="26" t="s">
        <v>2121</v>
      </c>
      <c r="M940" s="26" t="s">
        <v>1595</v>
      </c>
      <c r="N940" s="26" t="s">
        <v>1566</v>
      </c>
      <c r="O940" s="26" t="s">
        <v>2122</v>
      </c>
      <c r="P940" s="26" t="s">
        <v>22</v>
      </c>
      <c r="Q940" s="26">
        <v>0.0</v>
      </c>
    </row>
    <row r="941" ht="17.25" customHeight="1">
      <c r="A941" s="51">
        <v>46111.49857788194</v>
      </c>
      <c r="B941" s="27" t="s">
        <v>1932</v>
      </c>
      <c r="C941" s="55" t="s">
        <v>1892</v>
      </c>
      <c r="D941" s="167">
        <v>46111.484350162034</v>
      </c>
      <c r="E941" s="52">
        <v>720.0</v>
      </c>
      <c r="F941" s="55" t="s">
        <v>1924</v>
      </c>
      <c r="G941" s="55">
        <v>689.0</v>
      </c>
      <c r="H941" s="26"/>
      <c r="I941" s="26" t="s">
        <v>1933</v>
      </c>
      <c r="J941" s="26" t="s">
        <v>1225</v>
      </c>
      <c r="K941" s="26" t="s">
        <v>1653</v>
      </c>
      <c r="L941" s="26" t="s">
        <v>1563</v>
      </c>
      <c r="M941" s="26" t="s">
        <v>1595</v>
      </c>
      <c r="N941" s="26" t="s">
        <v>1566</v>
      </c>
      <c r="O941" s="26" t="s">
        <v>1566</v>
      </c>
      <c r="P941" s="26" t="s">
        <v>22</v>
      </c>
      <c r="Q941" s="26">
        <v>0.0</v>
      </c>
    </row>
    <row r="942" ht="17.25" customHeight="1">
      <c r="A942" s="51">
        <v>46111.64864796297</v>
      </c>
      <c r="B942" s="25" t="s">
        <v>1867</v>
      </c>
      <c r="C942" s="55" t="s">
        <v>1560</v>
      </c>
      <c r="D942" s="167">
        <v>46111.484350162034</v>
      </c>
      <c r="E942" s="52">
        <v>1.0</v>
      </c>
      <c r="F942" s="55" t="s">
        <v>1942</v>
      </c>
      <c r="G942" s="26"/>
      <c r="H942" s="26"/>
      <c r="I942" s="26" t="s">
        <v>1868</v>
      </c>
      <c r="J942" s="26" t="s">
        <v>1844</v>
      </c>
      <c r="K942" s="26" t="s">
        <v>1846</v>
      </c>
      <c r="L942" s="26" t="s">
        <v>1869</v>
      </c>
      <c r="M942" s="26" t="s">
        <v>1566</v>
      </c>
      <c r="N942" s="26" t="s">
        <v>1566</v>
      </c>
      <c r="O942" s="26" t="s">
        <v>1808</v>
      </c>
      <c r="P942" s="26" t="s">
        <v>661</v>
      </c>
      <c r="Q942" s="26">
        <v>0.0</v>
      </c>
    </row>
    <row r="943" ht="17.25" customHeight="1">
      <c r="A943" s="51">
        <v>46111.6488650463</v>
      </c>
      <c r="B943" s="25" t="s">
        <v>1855</v>
      </c>
      <c r="C943" s="55" t="s">
        <v>1560</v>
      </c>
      <c r="D943" s="167">
        <v>46111.484350162034</v>
      </c>
      <c r="E943" s="52">
        <v>1.0</v>
      </c>
      <c r="F943" s="55" t="s">
        <v>1942</v>
      </c>
      <c r="G943" s="26"/>
      <c r="H943" s="26"/>
      <c r="I943" s="26" t="s">
        <v>1858</v>
      </c>
      <c r="J943" s="26" t="s">
        <v>1844</v>
      </c>
      <c r="K943" s="26" t="s">
        <v>1846</v>
      </c>
      <c r="L943" s="26" t="s">
        <v>1860</v>
      </c>
      <c r="M943" s="26" t="s">
        <v>1566</v>
      </c>
      <c r="N943" s="26" t="s">
        <v>1566</v>
      </c>
      <c r="O943" s="26" t="s">
        <v>1808</v>
      </c>
      <c r="P943" s="26" t="s">
        <v>661</v>
      </c>
      <c r="Q943" s="26">
        <v>0.0</v>
      </c>
    </row>
    <row r="944" ht="17.25" customHeight="1">
      <c r="A944" s="51">
        <v>46111.64928378472</v>
      </c>
      <c r="B944" s="25" t="s">
        <v>836</v>
      </c>
      <c r="C944" s="55" t="s">
        <v>1560</v>
      </c>
      <c r="D944" s="167">
        <v>46111.484350162034</v>
      </c>
      <c r="E944" s="52">
        <v>1.0</v>
      </c>
      <c r="F944" s="55" t="s">
        <v>1942</v>
      </c>
      <c r="G944" s="26"/>
      <c r="H944" s="26"/>
      <c r="I944" s="26" t="s">
        <v>837</v>
      </c>
      <c r="J944" s="26" t="s">
        <v>1844</v>
      </c>
      <c r="K944" s="26" t="s">
        <v>1846</v>
      </c>
      <c r="L944" s="26" t="s">
        <v>1849</v>
      </c>
      <c r="M944" s="26" t="s">
        <v>1566</v>
      </c>
      <c r="N944" s="26" t="s">
        <v>1566</v>
      </c>
      <c r="O944" s="26" t="s">
        <v>1848</v>
      </c>
      <c r="P944" s="26" t="s">
        <v>661</v>
      </c>
      <c r="Q944" s="26">
        <v>1.0</v>
      </c>
    </row>
    <row r="945" ht="17.25" customHeight="1">
      <c r="A945" s="51">
        <v>46111.649579247685</v>
      </c>
      <c r="B945" s="25" t="s">
        <v>842</v>
      </c>
      <c r="C945" s="55" t="s">
        <v>1560</v>
      </c>
      <c r="D945" s="167">
        <v>46111.484350162034</v>
      </c>
      <c r="E945" s="52">
        <v>3.0</v>
      </c>
      <c r="F945" s="55" t="s">
        <v>1942</v>
      </c>
      <c r="G945" s="26"/>
      <c r="H945" s="26"/>
      <c r="I945" s="26" t="s">
        <v>843</v>
      </c>
      <c r="J945" s="26" t="s">
        <v>1844</v>
      </c>
      <c r="K945" s="26" t="s">
        <v>1846</v>
      </c>
      <c r="L945" s="26" t="s">
        <v>1850</v>
      </c>
      <c r="M945" s="26" t="s">
        <v>1566</v>
      </c>
      <c r="N945" s="26" t="s">
        <v>1566</v>
      </c>
      <c r="O945" s="26" t="s">
        <v>1848</v>
      </c>
      <c r="P945" s="26" t="s">
        <v>661</v>
      </c>
      <c r="Q945" s="26">
        <v>1.0</v>
      </c>
    </row>
    <row r="946" ht="17.25" customHeight="1">
      <c r="A946" s="51">
        <v>46111.64983513889</v>
      </c>
      <c r="B946" s="25" t="s">
        <v>1960</v>
      </c>
      <c r="C946" s="55" t="s">
        <v>1560</v>
      </c>
      <c r="D946" s="167">
        <v>46111.484350162034</v>
      </c>
      <c r="E946" s="52">
        <v>1.0</v>
      </c>
      <c r="F946" s="55" t="s">
        <v>1942</v>
      </c>
      <c r="G946" s="26"/>
      <c r="H946" s="26"/>
      <c r="I946" s="26" t="s">
        <v>1961</v>
      </c>
      <c r="J946" s="26" t="s">
        <v>1844</v>
      </c>
      <c r="K946" s="26" t="s">
        <v>1807</v>
      </c>
      <c r="L946" s="26" t="s">
        <v>2114</v>
      </c>
      <c r="M946" s="26" t="s">
        <v>1566</v>
      </c>
      <c r="N946" s="26" t="s">
        <v>1566</v>
      </c>
      <c r="O946" s="26" t="s">
        <v>1566</v>
      </c>
      <c r="P946" s="26" t="s">
        <v>661</v>
      </c>
      <c r="Q946" s="26">
        <v>0.0</v>
      </c>
    </row>
    <row r="947" ht="17.25" customHeight="1">
      <c r="A947" s="51">
        <v>46111.72128038194</v>
      </c>
      <c r="B947" s="23" t="s">
        <v>312</v>
      </c>
      <c r="C947" s="55" t="s">
        <v>1892</v>
      </c>
      <c r="D947" s="167">
        <v>46111.484350162034</v>
      </c>
      <c r="E947" s="52">
        <v>2.0</v>
      </c>
      <c r="F947" s="55" t="s">
        <v>1894</v>
      </c>
      <c r="G947" s="26"/>
      <c r="H947" s="26"/>
      <c r="I947" s="26" t="s">
        <v>319</v>
      </c>
      <c r="J947" s="26" t="s">
        <v>1821</v>
      </c>
      <c r="K947" s="26" t="s">
        <v>1822</v>
      </c>
      <c r="L947" s="26" t="s">
        <v>1566</v>
      </c>
      <c r="M947" s="26" t="s">
        <v>1566</v>
      </c>
      <c r="N947" s="26" t="s">
        <v>1566</v>
      </c>
      <c r="O947" s="26" t="s">
        <v>1829</v>
      </c>
      <c r="P947" s="26" t="s">
        <v>661</v>
      </c>
      <c r="Q947" s="26">
        <v>17.0</v>
      </c>
    </row>
    <row r="948" ht="17.25" customHeight="1">
      <c r="A948" s="51">
        <v>46111.72162377315</v>
      </c>
      <c r="B948" s="25" t="s">
        <v>667</v>
      </c>
      <c r="C948" s="55" t="s">
        <v>1892</v>
      </c>
      <c r="D948" s="167">
        <v>46111.484350162034</v>
      </c>
      <c r="E948" s="52">
        <v>1.0</v>
      </c>
      <c r="F948" s="55" t="s">
        <v>2193</v>
      </c>
      <c r="G948" s="26"/>
      <c r="H948" s="26"/>
      <c r="I948" s="26" t="s">
        <v>668</v>
      </c>
      <c r="J948" s="26" t="s">
        <v>1821</v>
      </c>
      <c r="K948" s="26" t="s">
        <v>1822</v>
      </c>
      <c r="L948" s="26" t="s">
        <v>1824</v>
      </c>
      <c r="M948" s="26" t="s">
        <v>1566</v>
      </c>
      <c r="N948" s="26" t="s">
        <v>1566</v>
      </c>
      <c r="O948" s="26" t="s">
        <v>1566</v>
      </c>
      <c r="P948" s="26" t="s">
        <v>661</v>
      </c>
      <c r="Q948" s="26">
        <v>8.0</v>
      </c>
    </row>
    <row r="949" ht="17.25" customHeight="1">
      <c r="A949" s="51">
        <v>46111.721618194446</v>
      </c>
      <c r="B949" s="25" t="s">
        <v>667</v>
      </c>
      <c r="C949" s="55" t="s">
        <v>1892</v>
      </c>
      <c r="D949" s="167">
        <v>46111.484350162034</v>
      </c>
      <c r="E949" s="52">
        <v>1.0</v>
      </c>
      <c r="F949" s="55" t="s">
        <v>1894</v>
      </c>
      <c r="G949" s="26"/>
      <c r="H949" s="26"/>
      <c r="I949" s="26" t="s">
        <v>668</v>
      </c>
      <c r="J949" s="26" t="s">
        <v>1821</v>
      </c>
      <c r="K949" s="26" t="s">
        <v>1822</v>
      </c>
      <c r="L949" s="26" t="s">
        <v>1824</v>
      </c>
      <c r="M949" s="26" t="s">
        <v>1566</v>
      </c>
      <c r="N949" s="26" t="s">
        <v>1566</v>
      </c>
      <c r="O949" s="26" t="s">
        <v>1566</v>
      </c>
      <c r="P949" s="26" t="s">
        <v>661</v>
      </c>
      <c r="Q949" s="26">
        <v>8.0</v>
      </c>
    </row>
    <row r="950" ht="17.25" customHeight="1">
      <c r="A950" s="51">
        <v>46111.725997905094</v>
      </c>
      <c r="B950" s="23" t="s">
        <v>876</v>
      </c>
      <c r="C950" s="55" t="s">
        <v>1892</v>
      </c>
      <c r="D950" s="167">
        <v>46111.484350162034</v>
      </c>
      <c r="E950" s="52">
        <v>2.0</v>
      </c>
      <c r="F950" s="55" t="s">
        <v>2089</v>
      </c>
      <c r="G950" s="26"/>
      <c r="H950" s="26"/>
      <c r="I950" s="26" t="s">
        <v>878</v>
      </c>
      <c r="J950" s="26" t="s">
        <v>1830</v>
      </c>
      <c r="K950" s="26" t="s">
        <v>1879</v>
      </c>
      <c r="L950" s="26" t="s">
        <v>1566</v>
      </c>
      <c r="M950" s="26" t="s">
        <v>1566</v>
      </c>
      <c r="N950" s="26" t="s">
        <v>1566</v>
      </c>
      <c r="O950" s="26" t="s">
        <v>1566</v>
      </c>
      <c r="P950" s="26" t="s">
        <v>643</v>
      </c>
      <c r="Q950" s="26">
        <v>34.0</v>
      </c>
    </row>
    <row r="951" ht="17.25" customHeight="1">
      <c r="A951" s="51">
        <v>46111.79630988426</v>
      </c>
      <c r="B951" s="23" t="s">
        <v>91</v>
      </c>
      <c r="C951" s="55" t="s">
        <v>1892</v>
      </c>
      <c r="D951" s="167">
        <v>46111.484350162034</v>
      </c>
      <c r="E951" s="52">
        <v>400.0</v>
      </c>
      <c r="F951" s="55" t="s">
        <v>2096</v>
      </c>
      <c r="G951" s="26"/>
      <c r="H951" s="26"/>
      <c r="I951" s="26" t="s">
        <v>92</v>
      </c>
      <c r="J951" s="26" t="s">
        <v>1225</v>
      </c>
      <c r="K951" s="26" t="s">
        <v>1562</v>
      </c>
      <c r="L951" s="26" t="s">
        <v>1576</v>
      </c>
      <c r="M951" s="26" t="s">
        <v>1572</v>
      </c>
      <c r="N951" s="26" t="s">
        <v>1566</v>
      </c>
      <c r="O951" s="26" t="s">
        <v>1566</v>
      </c>
      <c r="P951" s="26" t="s">
        <v>22</v>
      </c>
      <c r="Q951" s="26">
        <v>1400.0</v>
      </c>
    </row>
    <row r="952" ht="17.25" customHeight="1">
      <c r="A952" s="51">
        <v>46112.47294299769</v>
      </c>
      <c r="B952" s="25" t="s">
        <v>812</v>
      </c>
      <c r="C952" s="55" t="s">
        <v>1892</v>
      </c>
      <c r="D952" s="51">
        <v>46112.47294299769</v>
      </c>
      <c r="E952" s="52">
        <v>103.0</v>
      </c>
      <c r="F952" s="55" t="s">
        <v>2096</v>
      </c>
      <c r="G952" s="26"/>
      <c r="H952" s="26"/>
      <c r="I952" s="26" t="s">
        <v>813</v>
      </c>
      <c r="J952" s="26" t="s">
        <v>1830</v>
      </c>
      <c r="K952" s="26" t="s">
        <v>1839</v>
      </c>
      <c r="L952" s="26" t="s">
        <v>1566</v>
      </c>
      <c r="M952" s="26" t="s">
        <v>1566</v>
      </c>
      <c r="N952" s="26" t="s">
        <v>1566</v>
      </c>
      <c r="O952" s="26" t="s">
        <v>1566</v>
      </c>
      <c r="P952" s="26" t="s">
        <v>661</v>
      </c>
      <c r="Q952" s="26">
        <v>100.0</v>
      </c>
    </row>
    <row r="953" ht="17.25" customHeight="1">
      <c r="A953" s="51">
        <v>46112.47317005787</v>
      </c>
      <c r="B953" s="25" t="s">
        <v>812</v>
      </c>
      <c r="C953" s="55" t="s">
        <v>1560</v>
      </c>
      <c r="D953" s="51">
        <v>46112.47294299769</v>
      </c>
      <c r="E953" s="52">
        <v>100.0</v>
      </c>
      <c r="F953" s="55" t="s">
        <v>1283</v>
      </c>
      <c r="G953" s="26"/>
      <c r="H953" s="26"/>
      <c r="I953" s="26" t="s">
        <v>813</v>
      </c>
      <c r="J953" s="26" t="s">
        <v>1830</v>
      </c>
      <c r="K953" s="26" t="s">
        <v>1839</v>
      </c>
      <c r="L953" s="26" t="s">
        <v>1566</v>
      </c>
      <c r="M953" s="26" t="s">
        <v>1566</v>
      </c>
      <c r="N953" s="26" t="s">
        <v>1566</v>
      </c>
      <c r="O953" s="26" t="s">
        <v>1566</v>
      </c>
      <c r="P953" s="26" t="s">
        <v>661</v>
      </c>
      <c r="Q953" s="26">
        <v>100.0</v>
      </c>
    </row>
    <row r="954" ht="17.25" customHeight="1">
      <c r="A954" s="51">
        <v>46112.550508796296</v>
      </c>
      <c r="B954" s="25" t="s">
        <v>347</v>
      </c>
      <c r="C954" s="55" t="s">
        <v>1892</v>
      </c>
      <c r="D954" s="51">
        <v>46112.47294299769</v>
      </c>
      <c r="E954" s="52">
        <v>1200.0</v>
      </c>
      <c r="F954" s="55" t="s">
        <v>1561</v>
      </c>
      <c r="G954" s="55">
        <v>691.0</v>
      </c>
      <c r="H954" s="26"/>
      <c r="I954" s="26" t="s">
        <v>349</v>
      </c>
      <c r="J954" s="26" t="s">
        <v>1225</v>
      </c>
      <c r="K954" s="26" t="s">
        <v>1562</v>
      </c>
      <c r="L954" s="26" t="s">
        <v>1591</v>
      </c>
      <c r="M954" s="26" t="s">
        <v>1564</v>
      </c>
      <c r="N954" s="26" t="s">
        <v>1565</v>
      </c>
      <c r="O954" s="26" t="s">
        <v>1566</v>
      </c>
      <c r="P954" s="26" t="s">
        <v>22</v>
      </c>
      <c r="Q954" s="26">
        <v>1800.0</v>
      </c>
    </row>
    <row r="955" ht="17.25" customHeight="1">
      <c r="A955" s="51">
        <v>46112.5648349074</v>
      </c>
      <c r="B955" s="25" t="s">
        <v>658</v>
      </c>
      <c r="C955" s="55" t="s">
        <v>1892</v>
      </c>
      <c r="D955" s="51">
        <v>46112.47294299769</v>
      </c>
      <c r="E955" s="52">
        <v>3.0</v>
      </c>
      <c r="F955" s="55" t="s">
        <v>1908</v>
      </c>
      <c r="G955" s="26"/>
      <c r="H955" s="26"/>
      <c r="I955" s="26" t="s">
        <v>659</v>
      </c>
      <c r="J955" s="26" t="s">
        <v>1821</v>
      </c>
      <c r="K955" s="26" t="s">
        <v>1822</v>
      </c>
      <c r="L955" s="26" t="s">
        <v>1823</v>
      </c>
      <c r="M955" s="26" t="s">
        <v>1566</v>
      </c>
      <c r="N955" s="26" t="s">
        <v>1566</v>
      </c>
      <c r="O955" s="26" t="s">
        <v>1566</v>
      </c>
      <c r="P955" s="26" t="s">
        <v>661</v>
      </c>
      <c r="Q955" s="26">
        <v>6.0</v>
      </c>
    </row>
    <row r="956" ht="17.25" customHeight="1">
      <c r="A956" s="51">
        <v>46112.663153182875</v>
      </c>
      <c r="B956" s="25" t="s">
        <v>365</v>
      </c>
      <c r="C956" s="55" t="s">
        <v>1892</v>
      </c>
      <c r="D956" s="51">
        <v>46112.47294299769</v>
      </c>
      <c r="E956" s="195">
        <v>2304.0</v>
      </c>
      <c r="F956" s="55" t="s">
        <v>1561</v>
      </c>
      <c r="G956" s="55">
        <v>692.0</v>
      </c>
      <c r="H956" s="26"/>
      <c r="I956" s="26" t="s">
        <v>367</v>
      </c>
      <c r="J956" s="26" t="s">
        <v>1225</v>
      </c>
      <c r="K956" s="26" t="s">
        <v>1653</v>
      </c>
      <c r="L956" s="26" t="s">
        <v>1584</v>
      </c>
      <c r="M956" s="26" t="s">
        <v>1572</v>
      </c>
      <c r="N956" s="26" t="s">
        <v>1654</v>
      </c>
      <c r="O956" s="26" t="s">
        <v>1566</v>
      </c>
      <c r="P956" s="26" t="s">
        <v>22</v>
      </c>
      <c r="Q956" s="26">
        <v>0.0</v>
      </c>
    </row>
    <row r="957" ht="17.25" customHeight="1">
      <c r="A957" s="51">
        <v>46112.66315606482</v>
      </c>
      <c r="B957" s="25" t="s">
        <v>365</v>
      </c>
      <c r="C957" s="55" t="s">
        <v>1892</v>
      </c>
      <c r="D957" s="51">
        <v>46112.47294299769</v>
      </c>
      <c r="E957" s="52">
        <v>720.0</v>
      </c>
      <c r="F957" s="55" t="s">
        <v>1561</v>
      </c>
      <c r="G957" s="55" t="s">
        <v>1898</v>
      </c>
      <c r="H957" s="26"/>
      <c r="I957" s="26" t="s">
        <v>367</v>
      </c>
      <c r="J957" s="26" t="s">
        <v>1225</v>
      </c>
      <c r="K957" s="26" t="s">
        <v>1653</v>
      </c>
      <c r="L957" s="26" t="s">
        <v>1584</v>
      </c>
      <c r="M957" s="26" t="s">
        <v>1572</v>
      </c>
      <c r="N957" s="26" t="s">
        <v>1654</v>
      </c>
      <c r="O957" s="26" t="s">
        <v>1566</v>
      </c>
      <c r="P957" s="26" t="s">
        <v>22</v>
      </c>
      <c r="Q957" s="26">
        <v>0.0</v>
      </c>
    </row>
    <row r="958" ht="17.25" customHeight="1">
      <c r="A958" s="51">
        <v>46112.666464849535</v>
      </c>
      <c r="B958" s="25" t="s">
        <v>716</v>
      </c>
      <c r="C958" s="55" t="s">
        <v>1892</v>
      </c>
      <c r="D958" s="111">
        <v>46065.0</v>
      </c>
      <c r="E958" s="52">
        <v>50.0</v>
      </c>
      <c r="F958" s="55" t="s">
        <v>1908</v>
      </c>
      <c r="G958" s="55" t="s">
        <v>1898</v>
      </c>
      <c r="H958" s="26"/>
      <c r="I958" s="26" t="s">
        <v>718</v>
      </c>
      <c r="J958" s="26" t="s">
        <v>1821</v>
      </c>
      <c r="K958" s="26" t="s">
        <v>1821</v>
      </c>
      <c r="L958" s="26" t="s">
        <v>1566</v>
      </c>
      <c r="M958" s="26" t="s">
        <v>1566</v>
      </c>
      <c r="N958" s="26" t="s">
        <v>1566</v>
      </c>
      <c r="O958" s="26" t="s">
        <v>1566</v>
      </c>
      <c r="P958" s="26" t="s">
        <v>290</v>
      </c>
      <c r="Q958" s="26">
        <v>50.0</v>
      </c>
    </row>
    <row r="959" ht="17.25" customHeight="1">
      <c r="A959" s="51">
        <v>46112.69814457176</v>
      </c>
      <c r="B959" s="25" t="s">
        <v>443</v>
      </c>
      <c r="C959" s="55" t="s">
        <v>1892</v>
      </c>
      <c r="D959" s="51">
        <v>46112.47294299769</v>
      </c>
      <c r="E959" s="196">
        <v>1.0</v>
      </c>
      <c r="F959" s="55" t="s">
        <v>2196</v>
      </c>
      <c r="G959" s="26"/>
      <c r="H959" s="26"/>
      <c r="I959" s="26" t="s">
        <v>446</v>
      </c>
      <c r="J959" s="26" t="s">
        <v>1812</v>
      </c>
      <c r="K959" s="26" t="s">
        <v>1821</v>
      </c>
      <c r="L959" s="26" t="s">
        <v>1566</v>
      </c>
      <c r="M959" s="26" t="s">
        <v>1566</v>
      </c>
      <c r="N959" s="26" t="s">
        <v>1566</v>
      </c>
      <c r="O959" s="26" t="s">
        <v>1835</v>
      </c>
      <c r="P959" s="26" t="s">
        <v>661</v>
      </c>
      <c r="Q959" s="26">
        <v>4.0</v>
      </c>
    </row>
    <row r="960" ht="17.25" customHeight="1">
      <c r="A960" s="51">
        <v>46112.698267280095</v>
      </c>
      <c r="B960" s="23" t="s">
        <v>301</v>
      </c>
      <c r="C960" s="55" t="s">
        <v>1892</v>
      </c>
      <c r="D960" s="51">
        <v>46112.47294299769</v>
      </c>
      <c r="E960" s="196">
        <v>10.0</v>
      </c>
      <c r="F960" s="55" t="s">
        <v>2196</v>
      </c>
      <c r="G960" s="26"/>
      <c r="H960" s="26"/>
      <c r="I960" s="26" t="s">
        <v>302</v>
      </c>
      <c r="J960" s="26" t="s">
        <v>1830</v>
      </c>
      <c r="K960" s="26" t="s">
        <v>302</v>
      </c>
      <c r="L960" s="26" t="s">
        <v>1566</v>
      </c>
      <c r="M960" s="26" t="s">
        <v>1566</v>
      </c>
      <c r="N960" s="26" t="s">
        <v>1566</v>
      </c>
      <c r="O960" s="26" t="s">
        <v>1566</v>
      </c>
      <c r="P960" s="26" t="s">
        <v>661</v>
      </c>
      <c r="Q960" s="26">
        <v>580.0</v>
      </c>
    </row>
    <row r="961" ht="17.25" customHeight="1">
      <c r="A961" s="51">
        <v>46112.69859576389</v>
      </c>
      <c r="B961" s="23" t="s">
        <v>301</v>
      </c>
      <c r="C961" s="55" t="s">
        <v>1892</v>
      </c>
      <c r="D961" s="51">
        <v>46112.47294299769</v>
      </c>
      <c r="E961" s="52">
        <v>5.0</v>
      </c>
      <c r="F961" s="55" t="s">
        <v>2144</v>
      </c>
      <c r="G961" s="26"/>
      <c r="H961" s="26"/>
      <c r="I961" s="26" t="s">
        <v>302</v>
      </c>
      <c r="J961" s="26" t="s">
        <v>1830</v>
      </c>
      <c r="K961" s="26" t="s">
        <v>302</v>
      </c>
      <c r="L961" s="26" t="s">
        <v>1566</v>
      </c>
      <c r="M961" s="26" t="s">
        <v>1566</v>
      </c>
      <c r="N961" s="26" t="s">
        <v>1566</v>
      </c>
      <c r="O961" s="26" t="s">
        <v>1566</v>
      </c>
      <c r="P961" s="26" t="s">
        <v>661</v>
      </c>
      <c r="Q961" s="26">
        <v>580.0</v>
      </c>
    </row>
    <row r="962" ht="17.25" customHeight="1">
      <c r="A962" s="51">
        <v>46112.70043626157</v>
      </c>
      <c r="B962" s="26" t="s">
        <v>1091</v>
      </c>
      <c r="C962" s="55" t="s">
        <v>1560</v>
      </c>
      <c r="D962" s="51">
        <v>46112.47294299769</v>
      </c>
      <c r="E962" s="52">
        <v>80.0</v>
      </c>
      <c r="F962" s="55" t="s">
        <v>1673</v>
      </c>
      <c r="G962" s="26"/>
      <c r="H962" s="26"/>
      <c r="I962" s="26" t="s">
        <v>1092</v>
      </c>
      <c r="J962" s="26" t="s">
        <v>1830</v>
      </c>
      <c r="K962" s="26" t="s">
        <v>1830</v>
      </c>
      <c r="L962" s="26" t="s">
        <v>1566</v>
      </c>
      <c r="M962" s="26" t="s">
        <v>1566</v>
      </c>
      <c r="N962" s="26" t="s">
        <v>1566</v>
      </c>
      <c r="O962" s="26" t="s">
        <v>1566</v>
      </c>
      <c r="P962" s="26" t="s">
        <v>22</v>
      </c>
      <c r="Q962" s="26">
        <v>52.0</v>
      </c>
    </row>
    <row r="963" ht="17.25" customHeight="1">
      <c r="A963" s="51">
        <v>46112.700605000005</v>
      </c>
      <c r="B963" s="26" t="s">
        <v>1091</v>
      </c>
      <c r="C963" s="55" t="s">
        <v>1892</v>
      </c>
      <c r="D963" s="51">
        <v>46112.47294299769</v>
      </c>
      <c r="E963" s="52">
        <v>20.0</v>
      </c>
      <c r="F963" s="55" t="s">
        <v>2196</v>
      </c>
      <c r="G963" s="26"/>
      <c r="H963" s="26"/>
      <c r="I963" s="26" t="s">
        <v>1092</v>
      </c>
      <c r="J963" s="26" t="s">
        <v>1830</v>
      </c>
      <c r="K963" s="26" t="s">
        <v>1830</v>
      </c>
      <c r="L963" s="26" t="s">
        <v>1566</v>
      </c>
      <c r="M963" s="26" t="s">
        <v>1566</v>
      </c>
      <c r="N963" s="26" t="s">
        <v>1566</v>
      </c>
      <c r="O963" s="26" t="s">
        <v>1566</v>
      </c>
      <c r="P963" s="26" t="s">
        <v>22</v>
      </c>
      <c r="Q963" s="26">
        <v>52.0</v>
      </c>
    </row>
    <row r="964" ht="17.25" customHeight="1">
      <c r="A964" s="51">
        <v>46112.70261342592</v>
      </c>
      <c r="B964" s="25" t="s">
        <v>892</v>
      </c>
      <c r="C964" s="55" t="s">
        <v>1892</v>
      </c>
      <c r="D964" s="51">
        <v>46112.47294299769</v>
      </c>
      <c r="E964" s="52">
        <v>20.0</v>
      </c>
      <c r="F964" s="55" t="s">
        <v>2196</v>
      </c>
      <c r="G964" s="26"/>
      <c r="H964" s="26"/>
      <c r="I964" s="26" t="s">
        <v>893</v>
      </c>
      <c r="J964" s="26" t="s">
        <v>1812</v>
      </c>
      <c r="K964" s="26" t="s">
        <v>1813</v>
      </c>
      <c r="L964" s="26" t="s">
        <v>1566</v>
      </c>
      <c r="M964" s="26" t="s">
        <v>1566</v>
      </c>
      <c r="N964" s="26" t="s">
        <v>1566</v>
      </c>
      <c r="O964" s="26" t="s">
        <v>1809</v>
      </c>
      <c r="P964" s="26" t="s">
        <v>290</v>
      </c>
      <c r="Q964" s="26">
        <v>20.0</v>
      </c>
    </row>
    <row r="965" ht="17.25" customHeight="1">
      <c r="A965" s="51">
        <v>46112.77689358796</v>
      </c>
      <c r="B965" s="153" t="s">
        <v>710</v>
      </c>
      <c r="C965" s="55" t="s">
        <v>1560</v>
      </c>
      <c r="D965" s="51">
        <v>46112.47294299769</v>
      </c>
      <c r="E965" s="52">
        <v>50.0</v>
      </c>
      <c r="F965" s="55" t="s">
        <v>2015</v>
      </c>
      <c r="G965" s="55" t="s">
        <v>2096</v>
      </c>
      <c r="H965" s="26"/>
      <c r="I965" s="26" t="s">
        <v>711</v>
      </c>
      <c r="J965" s="26" t="s">
        <v>1821</v>
      </c>
      <c r="K965" s="26" t="s">
        <v>1821</v>
      </c>
      <c r="L965" s="26" t="s">
        <v>1566</v>
      </c>
      <c r="M965" s="26" t="s">
        <v>1566</v>
      </c>
      <c r="N965" s="26" t="s">
        <v>1566</v>
      </c>
      <c r="O965" s="26" t="s">
        <v>1566</v>
      </c>
      <c r="P965" s="26" t="s">
        <v>290</v>
      </c>
      <c r="Q965" s="26">
        <v>50.0</v>
      </c>
    </row>
    <row r="966" ht="17.25" customHeight="1">
      <c r="A966" s="51">
        <v>46113.407425474536</v>
      </c>
      <c r="B966" s="197" t="s">
        <v>21</v>
      </c>
      <c r="C966" s="55" t="s">
        <v>1892</v>
      </c>
      <c r="D966" s="51">
        <v>46113.407425474536</v>
      </c>
      <c r="E966" s="52">
        <v>25.0</v>
      </c>
      <c r="F966" s="55" t="s">
        <v>2196</v>
      </c>
      <c r="G966" s="26"/>
      <c r="H966" s="26"/>
      <c r="I966" s="26" t="s">
        <v>23</v>
      </c>
      <c r="J966" s="26" t="s">
        <v>1812</v>
      </c>
      <c r="K966" s="26" t="s">
        <v>1815</v>
      </c>
      <c r="L966" s="26" t="s">
        <v>1566</v>
      </c>
      <c r="M966" s="26" t="s">
        <v>1566</v>
      </c>
      <c r="N966" s="26" t="s">
        <v>1566</v>
      </c>
      <c r="O966" s="26" t="s">
        <v>1818</v>
      </c>
      <c r="P966" s="26" t="s">
        <v>616</v>
      </c>
      <c r="Q966" s="26">
        <v>20.0</v>
      </c>
    </row>
    <row r="967" ht="17.25" customHeight="1">
      <c r="A967" s="51">
        <v>46113.40771337963</v>
      </c>
      <c r="B967" s="197" t="s">
        <v>622</v>
      </c>
      <c r="C967" s="55" t="s">
        <v>1892</v>
      </c>
      <c r="D967" s="51">
        <v>46113.407425474536</v>
      </c>
      <c r="E967" s="52">
        <v>25.0</v>
      </c>
      <c r="F967" s="55" t="s">
        <v>2196</v>
      </c>
      <c r="G967" s="26"/>
      <c r="H967" s="26"/>
      <c r="I967" s="26" t="s">
        <v>623</v>
      </c>
      <c r="J967" s="26" t="s">
        <v>1812</v>
      </c>
      <c r="K967" s="26" t="s">
        <v>1815</v>
      </c>
      <c r="L967" s="26" t="s">
        <v>1566</v>
      </c>
      <c r="M967" s="26" t="s">
        <v>1566</v>
      </c>
      <c r="N967" s="26" t="s">
        <v>1566</v>
      </c>
      <c r="O967" s="26" t="s">
        <v>1817</v>
      </c>
      <c r="P967" s="26" t="s">
        <v>616</v>
      </c>
      <c r="Q967" s="26">
        <v>20.0</v>
      </c>
    </row>
    <row r="968" ht="17.25" customHeight="1">
      <c r="A968" s="51">
        <v>46113.40799344907</v>
      </c>
      <c r="B968" s="23" t="s">
        <v>301</v>
      </c>
      <c r="C968" s="55" t="s">
        <v>1892</v>
      </c>
      <c r="D968" s="51">
        <v>46113.407425474536</v>
      </c>
      <c r="E968" s="52">
        <v>5.0</v>
      </c>
      <c r="F968" s="55" t="s">
        <v>1844</v>
      </c>
      <c r="G968" s="26"/>
      <c r="H968" s="26"/>
      <c r="I968" s="26" t="s">
        <v>302</v>
      </c>
      <c r="J968" s="26" t="s">
        <v>1830</v>
      </c>
      <c r="K968" s="26" t="s">
        <v>302</v>
      </c>
      <c r="L968" s="26" t="s">
        <v>1566</v>
      </c>
      <c r="M968" s="26" t="s">
        <v>1566</v>
      </c>
      <c r="N968" s="26" t="s">
        <v>1566</v>
      </c>
      <c r="O968" s="26" t="s">
        <v>1566</v>
      </c>
      <c r="P968" s="26" t="s">
        <v>661</v>
      </c>
      <c r="Q968" s="26">
        <v>580.0</v>
      </c>
    </row>
    <row r="969" ht="17.25" customHeight="1">
      <c r="A969" s="51">
        <v>46113.45212012732</v>
      </c>
      <c r="B969" s="25" t="s">
        <v>1034</v>
      </c>
      <c r="C969" s="55" t="s">
        <v>1560</v>
      </c>
      <c r="D969" s="51">
        <v>46112.47294299769</v>
      </c>
      <c r="E969" s="52">
        <v>250.0</v>
      </c>
      <c r="F969" s="55" t="s">
        <v>1561</v>
      </c>
      <c r="G969" s="26"/>
      <c r="H969" s="26"/>
      <c r="I969" s="26" t="s">
        <v>1035</v>
      </c>
      <c r="J969" s="26" t="s">
        <v>1225</v>
      </c>
      <c r="K969" s="26" t="s">
        <v>1646</v>
      </c>
      <c r="L969" s="26" t="s">
        <v>1625</v>
      </c>
      <c r="M969" s="26" t="s">
        <v>2047</v>
      </c>
      <c r="N969" s="26" t="s">
        <v>1566</v>
      </c>
      <c r="O969" s="26" t="s">
        <v>1566</v>
      </c>
      <c r="P969" s="26" t="s">
        <v>22</v>
      </c>
      <c r="Q969" s="26">
        <v>90.0</v>
      </c>
    </row>
    <row r="970" ht="17.25" customHeight="1">
      <c r="A970" s="51">
        <v>46113.452739872686</v>
      </c>
      <c r="B970" s="25" t="s">
        <v>1920</v>
      </c>
      <c r="C970" s="55" t="s">
        <v>1560</v>
      </c>
      <c r="D970" s="51">
        <v>46112.47294299769</v>
      </c>
      <c r="E970" s="52">
        <v>250.0</v>
      </c>
      <c r="F970" s="55" t="s">
        <v>1561</v>
      </c>
      <c r="G970" s="26"/>
      <c r="H970" s="26"/>
      <c r="I970" s="26" t="s">
        <v>1921</v>
      </c>
      <c r="J970" s="26" t="s">
        <v>1225</v>
      </c>
      <c r="K970" s="26" t="s">
        <v>1646</v>
      </c>
      <c r="L970" s="26" t="s">
        <v>1576</v>
      </c>
      <c r="M970" s="26" t="s">
        <v>2047</v>
      </c>
      <c r="N970" s="26" t="s">
        <v>1566</v>
      </c>
      <c r="O970" s="26" t="s">
        <v>1566</v>
      </c>
      <c r="P970" s="26" t="s">
        <v>22</v>
      </c>
      <c r="Q970" s="26">
        <v>0.0</v>
      </c>
    </row>
    <row r="971" ht="17.25" customHeight="1">
      <c r="A971" s="51">
        <v>46113.45346207176</v>
      </c>
      <c r="B971" s="23" t="s">
        <v>301</v>
      </c>
      <c r="C971" s="55" t="s">
        <v>1892</v>
      </c>
      <c r="D971" s="51">
        <v>46113.45346207176</v>
      </c>
      <c r="E971" s="52">
        <v>5.0</v>
      </c>
      <c r="F971" s="55" t="s">
        <v>1894</v>
      </c>
      <c r="G971" s="26"/>
      <c r="H971" s="26"/>
      <c r="I971" s="26" t="s">
        <v>302</v>
      </c>
      <c r="J971" s="26" t="s">
        <v>1830</v>
      </c>
      <c r="K971" s="26" t="s">
        <v>302</v>
      </c>
      <c r="L971" s="26" t="s">
        <v>1566</v>
      </c>
      <c r="M971" s="26" t="s">
        <v>1566</v>
      </c>
      <c r="N971" s="26" t="s">
        <v>1566</v>
      </c>
      <c r="O971" s="26" t="s">
        <v>1566</v>
      </c>
      <c r="P971" s="26" t="s">
        <v>661</v>
      </c>
      <c r="Q971" s="26">
        <v>580.0</v>
      </c>
    </row>
    <row r="972" ht="17.25" customHeight="1">
      <c r="A972" s="51">
        <v>46113.45393826389</v>
      </c>
      <c r="B972" s="25" t="s">
        <v>297</v>
      </c>
      <c r="C972" s="55" t="s">
        <v>1892</v>
      </c>
      <c r="D972" s="51">
        <v>46113.45346207176</v>
      </c>
      <c r="E972" s="52">
        <v>2.0</v>
      </c>
      <c r="F972" s="55" t="s">
        <v>1899</v>
      </c>
      <c r="G972" s="26"/>
      <c r="H972" s="26"/>
      <c r="I972" s="26" t="s">
        <v>298</v>
      </c>
      <c r="J972" s="26" t="s">
        <v>1674</v>
      </c>
      <c r="K972" s="26" t="s">
        <v>1675</v>
      </c>
      <c r="L972" s="26" t="s">
        <v>1566</v>
      </c>
      <c r="M972" s="26" t="s">
        <v>1566</v>
      </c>
      <c r="N972" s="26" t="s">
        <v>1680</v>
      </c>
      <c r="O972" s="26" t="s">
        <v>1677</v>
      </c>
      <c r="P972" s="26" t="s">
        <v>290</v>
      </c>
      <c r="Q972" s="26">
        <v>10.0</v>
      </c>
    </row>
    <row r="973" ht="17.25" customHeight="1">
      <c r="A973" s="51">
        <v>46113.713744560184</v>
      </c>
      <c r="B973" s="25" t="s">
        <v>297</v>
      </c>
      <c r="C973" s="55" t="s">
        <v>1892</v>
      </c>
      <c r="D973" s="51">
        <v>46113.45346207176</v>
      </c>
      <c r="E973" s="52">
        <v>2.0</v>
      </c>
      <c r="F973" s="55" t="s">
        <v>1899</v>
      </c>
      <c r="G973" s="26"/>
      <c r="H973" s="26"/>
      <c r="I973" s="26" t="s">
        <v>298</v>
      </c>
      <c r="J973" s="26" t="s">
        <v>1674</v>
      </c>
      <c r="K973" s="26" t="s">
        <v>1675</v>
      </c>
      <c r="L973" s="26" t="s">
        <v>1566</v>
      </c>
      <c r="M973" s="26" t="s">
        <v>1566</v>
      </c>
      <c r="N973" s="26" t="s">
        <v>1680</v>
      </c>
      <c r="O973" s="26" t="s">
        <v>1677</v>
      </c>
      <c r="P973" s="26" t="s">
        <v>290</v>
      </c>
      <c r="Q973" s="26">
        <v>10.0</v>
      </c>
    </row>
    <row r="974" ht="17.25" customHeight="1">
      <c r="A974" s="51">
        <v>46113.71383621528</v>
      </c>
      <c r="B974" s="23" t="s">
        <v>301</v>
      </c>
      <c r="C974" s="55" t="s">
        <v>1892</v>
      </c>
      <c r="D974" s="51">
        <v>46113.45346207176</v>
      </c>
      <c r="E974" s="52">
        <v>5.0</v>
      </c>
      <c r="F974" s="55" t="s">
        <v>1899</v>
      </c>
      <c r="G974" s="26"/>
      <c r="H974" s="26"/>
      <c r="I974" s="26" t="s">
        <v>302</v>
      </c>
      <c r="J974" s="26" t="s">
        <v>1830</v>
      </c>
      <c r="K974" s="26" t="s">
        <v>302</v>
      </c>
      <c r="L974" s="26" t="s">
        <v>1566</v>
      </c>
      <c r="M974" s="26" t="s">
        <v>1566</v>
      </c>
      <c r="N974" s="26" t="s">
        <v>1566</v>
      </c>
      <c r="O974" s="26" t="s">
        <v>1566</v>
      </c>
      <c r="P974" s="26" t="s">
        <v>661</v>
      </c>
      <c r="Q974" s="26">
        <v>580.0</v>
      </c>
    </row>
    <row r="975" ht="17.25" customHeight="1">
      <c r="A975" s="51">
        <v>46113.71419416666</v>
      </c>
      <c r="B975" s="25" t="s">
        <v>1085</v>
      </c>
      <c r="C975" s="55" t="s">
        <v>1892</v>
      </c>
      <c r="D975" s="51">
        <v>46113.45346207176</v>
      </c>
      <c r="E975" s="52">
        <v>10020.0</v>
      </c>
      <c r="F975" s="55" t="s">
        <v>1561</v>
      </c>
      <c r="G975" s="55">
        <v>693.0</v>
      </c>
      <c r="H975" s="26"/>
      <c r="I975" s="26" t="s">
        <v>1086</v>
      </c>
      <c r="J975" s="26" t="s">
        <v>1225</v>
      </c>
      <c r="K975" s="26" t="s">
        <v>1562</v>
      </c>
      <c r="L975" s="26" t="s">
        <v>2116</v>
      </c>
      <c r="M975" s="26" t="s">
        <v>1597</v>
      </c>
      <c r="N975" s="26" t="s">
        <v>1566</v>
      </c>
      <c r="O975" s="26" t="s">
        <v>1566</v>
      </c>
      <c r="P975" s="26" t="s">
        <v>661</v>
      </c>
      <c r="Q975" s="26">
        <v>15800.0</v>
      </c>
    </row>
    <row r="976" ht="17.25" customHeight="1">
      <c r="A976" s="51">
        <v>46114.66124453704</v>
      </c>
      <c r="B976" s="25" t="s">
        <v>654</v>
      </c>
      <c r="C976" s="55" t="s">
        <v>1892</v>
      </c>
      <c r="D976" s="111">
        <v>46109.0</v>
      </c>
      <c r="E976" s="52">
        <v>5.0</v>
      </c>
      <c r="F976" s="55" t="s">
        <v>1908</v>
      </c>
      <c r="G976" s="26"/>
      <c r="H976" s="26"/>
      <c r="I976" s="26" t="s">
        <v>655</v>
      </c>
      <c r="J976" s="26" t="s">
        <v>1821</v>
      </c>
      <c r="K976" s="26" t="s">
        <v>1822</v>
      </c>
      <c r="L976" s="26" t="s">
        <v>1566</v>
      </c>
      <c r="M976" s="26" t="s">
        <v>1566</v>
      </c>
      <c r="N976" s="26" t="s">
        <v>1566</v>
      </c>
      <c r="O976" s="26" t="s">
        <v>1566</v>
      </c>
      <c r="P976" s="26" t="s">
        <v>290</v>
      </c>
      <c r="Q976" s="26">
        <v>5.0</v>
      </c>
    </row>
    <row r="977" ht="17.25" customHeight="1">
      <c r="A977" s="51">
        <v>46114.68707167824</v>
      </c>
      <c r="B977" s="25" t="s">
        <v>278</v>
      </c>
      <c r="C977" s="55" t="s">
        <v>1892</v>
      </c>
      <c r="D977" s="51">
        <v>46114.68718303241</v>
      </c>
      <c r="E977" s="52">
        <v>1.0</v>
      </c>
      <c r="F977" s="55" t="s">
        <v>2156</v>
      </c>
      <c r="G977" s="26"/>
      <c r="H977" s="26"/>
      <c r="I977" s="26" t="s">
        <v>279</v>
      </c>
      <c r="J977" s="26" t="s">
        <v>1674</v>
      </c>
      <c r="K977" s="26" t="s">
        <v>1675</v>
      </c>
      <c r="L977" s="26" t="s">
        <v>1566</v>
      </c>
      <c r="M977" s="26" t="s">
        <v>1566</v>
      </c>
      <c r="N977" s="26" t="s">
        <v>1682</v>
      </c>
      <c r="O977" s="26" t="s">
        <v>1566</v>
      </c>
      <c r="P977" s="26" t="s">
        <v>290</v>
      </c>
      <c r="Q977" s="26">
        <v>6.0</v>
      </c>
    </row>
    <row r="978" ht="17.25" customHeight="1">
      <c r="A978" s="51">
        <v>46114.68718303241</v>
      </c>
      <c r="B978" s="25" t="s">
        <v>664</v>
      </c>
      <c r="C978" s="55" t="s">
        <v>1892</v>
      </c>
      <c r="D978" s="51">
        <v>46114.68718303241</v>
      </c>
      <c r="E978" s="52">
        <v>2.0</v>
      </c>
      <c r="F978" s="55" t="s">
        <v>2156</v>
      </c>
      <c r="G978" s="26"/>
      <c r="H978" s="26"/>
      <c r="I978" s="26" t="s">
        <v>665</v>
      </c>
      <c r="J978" s="26" t="s">
        <v>1674</v>
      </c>
      <c r="K978" s="26" t="s">
        <v>1675</v>
      </c>
      <c r="L978" s="26" t="s">
        <v>1566</v>
      </c>
      <c r="M978" s="26" t="s">
        <v>1566</v>
      </c>
      <c r="N978" s="26" t="s">
        <v>1565</v>
      </c>
      <c r="O978" s="26" t="s">
        <v>1566</v>
      </c>
      <c r="P978" s="26" t="s">
        <v>290</v>
      </c>
      <c r="Q978" s="26">
        <v>2.0</v>
      </c>
    </row>
    <row r="979" ht="17.25" customHeight="1">
      <c r="A979" s="51">
        <v>46114.68739771991</v>
      </c>
      <c r="B979" s="25" t="s">
        <v>687</v>
      </c>
      <c r="C979" s="55" t="s">
        <v>1892</v>
      </c>
      <c r="D979" s="51">
        <v>46114.68718303241</v>
      </c>
      <c r="E979" s="52">
        <v>1.0</v>
      </c>
      <c r="F979" s="55" t="s">
        <v>2156</v>
      </c>
      <c r="G979" s="26"/>
      <c r="H979" s="26"/>
      <c r="I979" s="26" t="s">
        <v>689</v>
      </c>
      <c r="J979" s="26" t="s">
        <v>1674</v>
      </c>
      <c r="K979" s="26" t="s">
        <v>1675</v>
      </c>
      <c r="L979" s="26" t="s">
        <v>1566</v>
      </c>
      <c r="M979" s="26" t="s">
        <v>1566</v>
      </c>
      <c r="N979" s="26" t="s">
        <v>1680</v>
      </c>
      <c r="O979" s="26" t="s">
        <v>1566</v>
      </c>
      <c r="P979" s="26" t="s">
        <v>290</v>
      </c>
      <c r="Q979" s="26">
        <v>5.0</v>
      </c>
    </row>
    <row r="980" ht="17.25" customHeight="1">
      <c r="A980" s="51">
        <v>46114.68751106481</v>
      </c>
      <c r="B980" s="25" t="s">
        <v>269</v>
      </c>
      <c r="C980" s="55" t="s">
        <v>1892</v>
      </c>
      <c r="D980" s="51">
        <v>46114.68718303241</v>
      </c>
      <c r="E980" s="52">
        <v>1.0</v>
      </c>
      <c r="F980" s="55" t="s">
        <v>2156</v>
      </c>
      <c r="G980" s="26"/>
      <c r="H980" s="26"/>
      <c r="I980" s="26" t="s">
        <v>270</v>
      </c>
      <c r="J980" s="26" t="s">
        <v>1674</v>
      </c>
      <c r="K980" s="26" t="s">
        <v>1675</v>
      </c>
      <c r="L980" s="26" t="s">
        <v>1566</v>
      </c>
      <c r="M980" s="26" t="s">
        <v>1566</v>
      </c>
      <c r="N980" s="26" t="s">
        <v>1678</v>
      </c>
      <c r="O980" s="26" t="s">
        <v>1566</v>
      </c>
      <c r="P980" s="26" t="s">
        <v>290</v>
      </c>
      <c r="Q980" s="26">
        <v>4.0</v>
      </c>
    </row>
    <row r="981" ht="17.25" customHeight="1">
      <c r="A981" s="51">
        <v>46114.687559502316</v>
      </c>
      <c r="B981" s="2" t="s">
        <v>672</v>
      </c>
      <c r="C981" s="55" t="s">
        <v>1892</v>
      </c>
      <c r="D981" s="51">
        <v>46114.68718303241</v>
      </c>
      <c r="E981" s="52">
        <v>2.0</v>
      </c>
      <c r="F981" s="55" t="s">
        <v>2156</v>
      </c>
      <c r="G981" s="26"/>
      <c r="H981" s="26"/>
      <c r="I981" s="26" t="s">
        <v>673</v>
      </c>
      <c r="J981" s="26" t="s">
        <v>1674</v>
      </c>
      <c r="K981" s="26" t="s">
        <v>1675</v>
      </c>
      <c r="L981" s="26" t="s">
        <v>1566</v>
      </c>
      <c r="M981" s="26" t="s">
        <v>1566</v>
      </c>
      <c r="N981" s="26" t="s">
        <v>1676</v>
      </c>
      <c r="O981" s="26" t="s">
        <v>1566</v>
      </c>
      <c r="P981" s="26" t="s">
        <v>290</v>
      </c>
      <c r="Q981" s="26">
        <v>5.0</v>
      </c>
    </row>
    <row r="982" ht="17.25" customHeight="1">
      <c r="A982" s="51">
        <v>46114.6882802662</v>
      </c>
      <c r="B982" s="23" t="s">
        <v>301</v>
      </c>
      <c r="C982" s="55" t="s">
        <v>1892</v>
      </c>
      <c r="D982" s="51">
        <v>46114.68718303241</v>
      </c>
      <c r="E982" s="52">
        <v>5.0</v>
      </c>
      <c r="F982" s="55" t="s">
        <v>1561</v>
      </c>
      <c r="G982" s="26"/>
      <c r="H982" s="26"/>
      <c r="I982" s="26" t="s">
        <v>302</v>
      </c>
      <c r="J982" s="26" t="s">
        <v>1830</v>
      </c>
      <c r="K982" s="26" t="s">
        <v>302</v>
      </c>
      <c r="L982" s="26" t="s">
        <v>1566</v>
      </c>
      <c r="M982" s="26" t="s">
        <v>1566</v>
      </c>
      <c r="N982" s="26" t="s">
        <v>1566</v>
      </c>
      <c r="O982" s="26" t="s">
        <v>1566</v>
      </c>
      <c r="P982" s="26" t="s">
        <v>661</v>
      </c>
      <c r="Q982" s="26">
        <v>580.0</v>
      </c>
    </row>
    <row r="983" ht="17.25" customHeight="1">
      <c r="A983" s="51">
        <v>46114.68893415509</v>
      </c>
      <c r="B983" s="25" t="s">
        <v>222</v>
      </c>
      <c r="C983" s="55" t="s">
        <v>1892</v>
      </c>
      <c r="D983" s="51">
        <v>46114.68718303241</v>
      </c>
      <c r="E983" s="52">
        <v>4.0</v>
      </c>
      <c r="F983" s="55" t="s">
        <v>1561</v>
      </c>
      <c r="G983" s="26"/>
      <c r="H983" s="26"/>
      <c r="I983" s="26" t="s">
        <v>230</v>
      </c>
      <c r="J983" s="26" t="s">
        <v>1821</v>
      </c>
      <c r="K983" s="26" t="s">
        <v>1822</v>
      </c>
      <c r="L983" s="26" t="s">
        <v>1828</v>
      </c>
      <c r="M983" s="26" t="s">
        <v>1590</v>
      </c>
      <c r="N983" s="26" t="s">
        <v>1566</v>
      </c>
      <c r="O983" s="26" t="s">
        <v>1566</v>
      </c>
      <c r="P983" s="26" t="s">
        <v>661</v>
      </c>
      <c r="Q983" s="26">
        <v>60.0</v>
      </c>
    </row>
    <row r="984" ht="17.25" customHeight="1">
      <c r="A984" s="51">
        <v>46114.6890502662</v>
      </c>
      <c r="B984" s="25" t="s">
        <v>222</v>
      </c>
      <c r="C984" s="55" t="s">
        <v>1892</v>
      </c>
      <c r="D984" s="51">
        <v>46114.68718303241</v>
      </c>
      <c r="E984" s="52">
        <v>4.0</v>
      </c>
      <c r="F984" s="55" t="s">
        <v>1908</v>
      </c>
      <c r="G984" s="26"/>
      <c r="H984" s="26"/>
      <c r="I984" s="26" t="s">
        <v>230</v>
      </c>
      <c r="J984" s="26" t="s">
        <v>1821</v>
      </c>
      <c r="K984" s="26" t="s">
        <v>1822</v>
      </c>
      <c r="L984" s="26" t="s">
        <v>1828</v>
      </c>
      <c r="M984" s="26" t="s">
        <v>1590</v>
      </c>
      <c r="N984" s="26" t="s">
        <v>1566</v>
      </c>
      <c r="O984" s="26" t="s">
        <v>1566</v>
      </c>
      <c r="P984" s="26" t="s">
        <v>661</v>
      </c>
      <c r="Q984" s="26">
        <v>60.0</v>
      </c>
    </row>
    <row r="985" ht="17.25" customHeight="1">
      <c r="A985" s="51">
        <v>46114.689498946755</v>
      </c>
      <c r="B985" s="23" t="s">
        <v>876</v>
      </c>
      <c r="C985" s="55" t="s">
        <v>1892</v>
      </c>
      <c r="D985" s="51">
        <v>46114.68718303241</v>
      </c>
      <c r="E985" s="52">
        <v>4.0</v>
      </c>
      <c r="F985" s="55" t="s">
        <v>1907</v>
      </c>
      <c r="G985" s="26"/>
      <c r="H985" s="26"/>
      <c r="I985" s="26" t="s">
        <v>878</v>
      </c>
      <c r="J985" s="26" t="s">
        <v>1830</v>
      </c>
      <c r="K985" s="26" t="s">
        <v>1879</v>
      </c>
      <c r="L985" s="26" t="s">
        <v>1566</v>
      </c>
      <c r="M985" s="26" t="s">
        <v>1566</v>
      </c>
      <c r="N985" s="26" t="s">
        <v>1566</v>
      </c>
      <c r="O985" s="26" t="s">
        <v>1566</v>
      </c>
      <c r="P985" s="26" t="s">
        <v>643</v>
      </c>
      <c r="Q985" s="26">
        <v>34.0</v>
      </c>
    </row>
    <row r="986" ht="17.25" customHeight="1">
      <c r="A986" s="51">
        <v>46114.68989174769</v>
      </c>
      <c r="B986" s="25" t="s">
        <v>658</v>
      </c>
      <c r="C986" s="55" t="s">
        <v>1892</v>
      </c>
      <c r="D986" s="51">
        <v>46114.68718303241</v>
      </c>
      <c r="E986" s="52">
        <v>1.0</v>
      </c>
      <c r="F986" s="55" t="s">
        <v>1907</v>
      </c>
      <c r="G986" s="26"/>
      <c r="H986" s="26"/>
      <c r="I986" s="26" t="s">
        <v>659</v>
      </c>
      <c r="J986" s="26" t="s">
        <v>1821</v>
      </c>
      <c r="K986" s="26" t="s">
        <v>1822</v>
      </c>
      <c r="L986" s="26" t="s">
        <v>1823</v>
      </c>
      <c r="M986" s="26" t="s">
        <v>1566</v>
      </c>
      <c r="N986" s="26" t="s">
        <v>1566</v>
      </c>
      <c r="O986" s="26" t="s">
        <v>1566</v>
      </c>
      <c r="P986" s="26" t="s">
        <v>661</v>
      </c>
      <c r="Q986" s="26">
        <v>6.0</v>
      </c>
    </row>
    <row r="987" ht="17.25" customHeight="1">
      <c r="A987" s="51">
        <v>46114.72691534722</v>
      </c>
      <c r="B987" s="197" t="s">
        <v>562</v>
      </c>
      <c r="C987" s="55" t="s">
        <v>1892</v>
      </c>
      <c r="D987" s="51">
        <v>46114.68718303241</v>
      </c>
      <c r="E987" s="52">
        <v>1.0</v>
      </c>
      <c r="F987" s="55" t="s">
        <v>2169</v>
      </c>
      <c r="G987" s="26"/>
      <c r="H987" s="26"/>
      <c r="I987" s="26" t="s">
        <v>567</v>
      </c>
      <c r="J987" s="26" t="s">
        <v>1812</v>
      </c>
      <c r="K987" s="26" t="s">
        <v>1815</v>
      </c>
      <c r="L987" s="26" t="s">
        <v>1566</v>
      </c>
      <c r="M987" s="26" t="s">
        <v>1566</v>
      </c>
      <c r="N987" s="26" t="s">
        <v>1566</v>
      </c>
      <c r="O987" s="26" t="s">
        <v>1838</v>
      </c>
      <c r="P987" s="26" t="s">
        <v>616</v>
      </c>
      <c r="Q987" s="26">
        <v>4.0</v>
      </c>
    </row>
    <row r="988" ht="17.25" customHeight="1">
      <c r="A988" s="51">
        <v>46114.72709259259</v>
      </c>
      <c r="B988" s="197" t="s">
        <v>562</v>
      </c>
      <c r="C988" s="55" t="s">
        <v>1892</v>
      </c>
      <c r="D988" s="51">
        <v>46114.68718303241</v>
      </c>
      <c r="E988" s="52">
        <v>1.0</v>
      </c>
      <c r="F988" s="55" t="s">
        <v>2169</v>
      </c>
      <c r="G988" s="26"/>
      <c r="H988" s="26"/>
      <c r="I988" s="26" t="s">
        <v>567</v>
      </c>
      <c r="J988" s="26" t="s">
        <v>1812</v>
      </c>
      <c r="K988" s="26" t="s">
        <v>1815</v>
      </c>
      <c r="L988" s="26" t="s">
        <v>1566</v>
      </c>
      <c r="M988" s="26" t="s">
        <v>1566</v>
      </c>
      <c r="N988" s="26" t="s">
        <v>1566</v>
      </c>
      <c r="O988" s="26" t="s">
        <v>1838</v>
      </c>
      <c r="P988" s="26" t="s">
        <v>616</v>
      </c>
      <c r="Q988" s="26">
        <v>4.0</v>
      </c>
    </row>
    <row r="989" ht="17.25" customHeight="1">
      <c r="A989" s="51">
        <v>46114.72709259259</v>
      </c>
      <c r="B989" s="23" t="s">
        <v>301</v>
      </c>
      <c r="C989" s="55" t="s">
        <v>1892</v>
      </c>
      <c r="D989" s="51">
        <v>46114.68718303241</v>
      </c>
      <c r="E989" s="52">
        <v>10.0</v>
      </c>
      <c r="F989" s="55" t="s">
        <v>2169</v>
      </c>
      <c r="G989" s="26"/>
      <c r="H989" s="26"/>
      <c r="I989" s="26" t="s">
        <v>302</v>
      </c>
      <c r="J989" s="26" t="s">
        <v>1830</v>
      </c>
      <c r="K989" s="26" t="s">
        <v>302</v>
      </c>
      <c r="L989" s="26" t="s">
        <v>1566</v>
      </c>
      <c r="M989" s="26" t="s">
        <v>1566</v>
      </c>
      <c r="N989" s="26" t="s">
        <v>1566</v>
      </c>
      <c r="O989" s="26" t="s">
        <v>1566</v>
      </c>
      <c r="P989" s="26" t="s">
        <v>661</v>
      </c>
      <c r="Q989" s="26">
        <v>580.0</v>
      </c>
    </row>
    <row r="990" ht="17.25" customHeight="1">
      <c r="A990" s="51">
        <v>46115.470663796295</v>
      </c>
      <c r="B990" s="23" t="s">
        <v>301</v>
      </c>
      <c r="C990" s="55" t="s">
        <v>1892</v>
      </c>
      <c r="D990" s="51">
        <v>46114.68718303241</v>
      </c>
      <c r="E990" s="52">
        <v>7.0</v>
      </c>
      <c r="F990" s="55" t="s">
        <v>1894</v>
      </c>
      <c r="G990" s="26"/>
      <c r="H990" s="26"/>
      <c r="I990" s="26" t="s">
        <v>302</v>
      </c>
      <c r="J990" s="26" t="s">
        <v>1830</v>
      </c>
      <c r="K990" s="26" t="s">
        <v>302</v>
      </c>
      <c r="L990" s="26" t="s">
        <v>1566</v>
      </c>
      <c r="M990" s="26" t="s">
        <v>1566</v>
      </c>
      <c r="N990" s="26" t="s">
        <v>1566</v>
      </c>
      <c r="O990" s="26" t="s">
        <v>1566</v>
      </c>
      <c r="P990" s="26" t="s">
        <v>661</v>
      </c>
      <c r="Q990" s="26">
        <v>580.0</v>
      </c>
    </row>
    <row r="991" ht="17.25" customHeight="1">
      <c r="A991" s="51">
        <v>46115.47103523149</v>
      </c>
      <c r="B991" s="2" t="s">
        <v>672</v>
      </c>
      <c r="C991" s="55" t="s">
        <v>1892</v>
      </c>
      <c r="D991" s="51">
        <v>46115.471158009255</v>
      </c>
      <c r="E991" s="52">
        <v>2.0</v>
      </c>
      <c r="F991" s="55" t="s">
        <v>2169</v>
      </c>
      <c r="G991" s="26"/>
      <c r="H991" s="26"/>
      <c r="I991" s="26" t="s">
        <v>673</v>
      </c>
      <c r="J991" s="26" t="s">
        <v>1674</v>
      </c>
      <c r="K991" s="26" t="s">
        <v>1675</v>
      </c>
      <c r="L991" s="26" t="s">
        <v>1566</v>
      </c>
      <c r="M991" s="26" t="s">
        <v>1566</v>
      </c>
      <c r="N991" s="26" t="s">
        <v>1676</v>
      </c>
      <c r="O991" s="26" t="s">
        <v>1566</v>
      </c>
      <c r="P991" s="26" t="s">
        <v>290</v>
      </c>
      <c r="Q991" s="26">
        <v>5.0</v>
      </c>
    </row>
    <row r="992" ht="17.25" customHeight="1">
      <c r="A992" s="51">
        <v>46115.471158009255</v>
      </c>
      <c r="B992" s="25" t="s">
        <v>269</v>
      </c>
      <c r="C992" s="55" t="s">
        <v>1892</v>
      </c>
      <c r="D992" s="51">
        <v>46115.471158009255</v>
      </c>
      <c r="E992" s="52">
        <v>2.0</v>
      </c>
      <c r="F992" s="55" t="s">
        <v>2169</v>
      </c>
      <c r="G992" s="26"/>
      <c r="H992" s="26"/>
      <c r="I992" s="26" t="s">
        <v>270</v>
      </c>
      <c r="J992" s="26" t="s">
        <v>1674</v>
      </c>
      <c r="K992" s="26" t="s">
        <v>1675</v>
      </c>
      <c r="L992" s="26" t="s">
        <v>1566</v>
      </c>
      <c r="M992" s="26" t="s">
        <v>1566</v>
      </c>
      <c r="N992" s="26" t="s">
        <v>1678</v>
      </c>
      <c r="O992" s="26" t="s">
        <v>1566</v>
      </c>
      <c r="P992" s="26" t="s">
        <v>290</v>
      </c>
      <c r="Q992" s="26">
        <v>4.0</v>
      </c>
    </row>
    <row r="993" ht="17.25" customHeight="1">
      <c r="A993" s="51">
        <v>46115.47130179398</v>
      </c>
      <c r="B993" s="25" t="s">
        <v>687</v>
      </c>
      <c r="C993" s="55" t="s">
        <v>1892</v>
      </c>
      <c r="D993" s="51">
        <v>46115.471158009255</v>
      </c>
      <c r="E993" s="52">
        <v>1.0</v>
      </c>
      <c r="F993" s="55" t="s">
        <v>2169</v>
      </c>
      <c r="G993" s="26"/>
      <c r="H993" s="26"/>
      <c r="I993" s="26" t="s">
        <v>689</v>
      </c>
      <c r="J993" s="26" t="s">
        <v>1674</v>
      </c>
      <c r="K993" s="26" t="s">
        <v>1675</v>
      </c>
      <c r="L993" s="26" t="s">
        <v>1566</v>
      </c>
      <c r="M993" s="26" t="s">
        <v>1566</v>
      </c>
      <c r="N993" s="26" t="s">
        <v>1680</v>
      </c>
      <c r="O993" s="26" t="s">
        <v>1566</v>
      </c>
      <c r="P993" s="26" t="s">
        <v>290</v>
      </c>
      <c r="Q993" s="26">
        <v>5.0</v>
      </c>
    </row>
    <row r="994" ht="17.25" customHeight="1">
      <c r="A994" s="51">
        <v>46115.471404375</v>
      </c>
      <c r="B994" s="25" t="s">
        <v>278</v>
      </c>
      <c r="C994" s="55" t="s">
        <v>1892</v>
      </c>
      <c r="D994" s="51">
        <v>46115.471158009255</v>
      </c>
      <c r="E994" s="52">
        <v>1.0</v>
      </c>
      <c r="F994" s="55" t="s">
        <v>2169</v>
      </c>
      <c r="G994" s="26"/>
      <c r="H994" s="26"/>
      <c r="I994" s="26" t="s">
        <v>279</v>
      </c>
      <c r="J994" s="26" t="s">
        <v>1674</v>
      </c>
      <c r="K994" s="26" t="s">
        <v>1675</v>
      </c>
      <c r="L994" s="26" t="s">
        <v>1566</v>
      </c>
      <c r="M994" s="26" t="s">
        <v>1566</v>
      </c>
      <c r="N994" s="26" t="s">
        <v>1682</v>
      </c>
      <c r="O994" s="26" t="s">
        <v>1566</v>
      </c>
      <c r="P994" s="26" t="s">
        <v>290</v>
      </c>
      <c r="Q994" s="26">
        <v>6.0</v>
      </c>
    </row>
    <row r="995" ht="17.25" customHeight="1">
      <c r="A995" s="51">
        <v>46115.618610543985</v>
      </c>
      <c r="B995" s="121" t="s">
        <v>728</v>
      </c>
      <c r="C995" s="55" t="s">
        <v>1892</v>
      </c>
      <c r="D995" s="51">
        <v>46115.471158009255</v>
      </c>
      <c r="E995" s="52">
        <v>5.0</v>
      </c>
      <c r="F995" s="55" t="s">
        <v>2026</v>
      </c>
      <c r="G995" s="26"/>
      <c r="H995" s="26"/>
      <c r="I995" s="26" t="s">
        <v>729</v>
      </c>
      <c r="J995" s="26" t="s">
        <v>1812</v>
      </c>
      <c r="K995" s="26" t="s">
        <v>1815</v>
      </c>
      <c r="L995" s="26" t="s">
        <v>1566</v>
      </c>
      <c r="M995" s="26" t="s">
        <v>1566</v>
      </c>
      <c r="N995" s="26" t="s">
        <v>1566</v>
      </c>
      <c r="O995" s="26" t="s">
        <v>1566</v>
      </c>
      <c r="P995" s="26" t="s">
        <v>661</v>
      </c>
      <c r="Q995" s="26">
        <v>10.0</v>
      </c>
    </row>
    <row r="996" ht="17.25" customHeight="1">
      <c r="A996" s="51">
        <v>46115.6210062037</v>
      </c>
      <c r="B996" s="23" t="s">
        <v>301</v>
      </c>
      <c r="C996" s="55" t="s">
        <v>1892</v>
      </c>
      <c r="D996" s="51">
        <v>46115.471158009255</v>
      </c>
      <c r="E996" s="52">
        <v>5.0</v>
      </c>
      <c r="F996" s="55" t="s">
        <v>1561</v>
      </c>
      <c r="G996" s="26"/>
      <c r="H996" s="26"/>
      <c r="I996" s="26" t="s">
        <v>302</v>
      </c>
      <c r="J996" s="26" t="s">
        <v>1830</v>
      </c>
      <c r="K996" s="26" t="s">
        <v>302</v>
      </c>
      <c r="L996" s="26" t="s">
        <v>1566</v>
      </c>
      <c r="M996" s="26" t="s">
        <v>1566</v>
      </c>
      <c r="N996" s="26" t="s">
        <v>1566</v>
      </c>
      <c r="O996" s="26" t="s">
        <v>1566</v>
      </c>
      <c r="P996" s="26" t="s">
        <v>661</v>
      </c>
      <c r="Q996" s="26">
        <v>580.0</v>
      </c>
    </row>
    <row r="997" ht="17.25" customHeight="1">
      <c r="A997" s="51">
        <v>46115.62101741898</v>
      </c>
      <c r="B997" s="23" t="s">
        <v>301</v>
      </c>
      <c r="C997" s="55" t="s">
        <v>1892</v>
      </c>
      <c r="D997" s="51">
        <v>46115.471158009255</v>
      </c>
      <c r="E997" s="52">
        <v>10.0</v>
      </c>
      <c r="F997" s="55" t="s">
        <v>2169</v>
      </c>
      <c r="G997" s="26"/>
      <c r="H997" s="26"/>
      <c r="I997" s="26" t="s">
        <v>302</v>
      </c>
      <c r="J997" s="26" t="s">
        <v>1830</v>
      </c>
      <c r="K997" s="26" t="s">
        <v>302</v>
      </c>
      <c r="L997" s="26" t="s">
        <v>1566</v>
      </c>
      <c r="M997" s="26" t="s">
        <v>1566</v>
      </c>
      <c r="N997" s="26" t="s">
        <v>1566</v>
      </c>
      <c r="O997" s="26" t="s">
        <v>1566</v>
      </c>
      <c r="P997" s="26" t="s">
        <v>661</v>
      </c>
      <c r="Q997" s="26">
        <v>580.0</v>
      </c>
    </row>
    <row r="998" ht="17.25" customHeight="1">
      <c r="A998" s="51">
        <v>46115.623808344906</v>
      </c>
      <c r="B998" s="25" t="s">
        <v>104</v>
      </c>
      <c r="C998" s="55" t="s">
        <v>1892</v>
      </c>
      <c r="D998" s="51">
        <v>46115.471158009255</v>
      </c>
      <c r="E998" s="52">
        <v>400.0</v>
      </c>
      <c r="F998" s="55" t="s">
        <v>1561</v>
      </c>
      <c r="G998" s="55">
        <v>694.0</v>
      </c>
      <c r="H998" s="26"/>
      <c r="I998" s="26" t="s">
        <v>106</v>
      </c>
      <c r="J998" s="26" t="s">
        <v>1225</v>
      </c>
      <c r="K998" s="26" t="s">
        <v>1562</v>
      </c>
      <c r="L998" s="26" t="s">
        <v>1582</v>
      </c>
      <c r="M998" s="26" t="s">
        <v>1607</v>
      </c>
      <c r="N998" s="26" t="s">
        <v>1571</v>
      </c>
      <c r="O998" s="26" t="s">
        <v>1566</v>
      </c>
      <c r="P998" s="26" t="s">
        <v>22</v>
      </c>
      <c r="Q998" s="26">
        <v>1000.0</v>
      </c>
    </row>
    <row r="999" ht="17.25" customHeight="1">
      <c r="A999" s="51">
        <v>46115.623818101856</v>
      </c>
      <c r="B999" s="25" t="s">
        <v>104</v>
      </c>
      <c r="C999" s="55" t="s">
        <v>1892</v>
      </c>
      <c r="D999" s="51">
        <v>46115.471158009255</v>
      </c>
      <c r="E999" s="52">
        <v>500.0</v>
      </c>
      <c r="F999" s="55" t="s">
        <v>1561</v>
      </c>
      <c r="G999" s="55">
        <v>695.0</v>
      </c>
      <c r="H999" s="26"/>
      <c r="I999" s="26" t="s">
        <v>106</v>
      </c>
      <c r="J999" s="26" t="s">
        <v>1225</v>
      </c>
      <c r="K999" s="26" t="s">
        <v>1562</v>
      </c>
      <c r="L999" s="26" t="s">
        <v>1582</v>
      </c>
      <c r="M999" s="26" t="s">
        <v>1607</v>
      </c>
      <c r="N999" s="26" t="s">
        <v>1571</v>
      </c>
      <c r="O999" s="26" t="s">
        <v>1566</v>
      </c>
      <c r="P999" s="26" t="s">
        <v>22</v>
      </c>
      <c r="Q999" s="26">
        <v>1000.0</v>
      </c>
    </row>
    <row r="1000" ht="17.25" customHeight="1">
      <c r="A1000" s="51">
        <v>46115.624777951394</v>
      </c>
      <c r="B1000" s="25" t="s">
        <v>347</v>
      </c>
      <c r="C1000" s="55" t="s">
        <v>1892</v>
      </c>
      <c r="D1000" s="51">
        <v>46115.471158009255</v>
      </c>
      <c r="E1000" s="52">
        <v>150.0</v>
      </c>
      <c r="F1000" s="55" t="s">
        <v>1561</v>
      </c>
      <c r="G1000" s="55">
        <v>696.0</v>
      </c>
      <c r="H1000" s="26"/>
      <c r="I1000" s="26" t="s">
        <v>349</v>
      </c>
      <c r="J1000" s="26" t="s">
        <v>1225</v>
      </c>
      <c r="K1000" s="26" t="s">
        <v>1562</v>
      </c>
      <c r="L1000" s="26" t="s">
        <v>1591</v>
      </c>
      <c r="M1000" s="26" t="s">
        <v>1564</v>
      </c>
      <c r="N1000" s="26" t="s">
        <v>1565</v>
      </c>
      <c r="O1000" s="26" t="s">
        <v>1566</v>
      </c>
      <c r="P1000" s="26" t="s">
        <v>22</v>
      </c>
      <c r="Q1000" s="26">
        <v>1800.0</v>
      </c>
    </row>
    <row r="1001" ht="17.25" customHeight="1">
      <c r="A1001" s="51">
        <v>46115.66542452546</v>
      </c>
      <c r="B1001" s="25" t="s">
        <v>1034</v>
      </c>
      <c r="C1001" s="55" t="s">
        <v>1892</v>
      </c>
      <c r="D1001" s="51">
        <v>46112.47294299769</v>
      </c>
      <c r="E1001" s="52">
        <v>160.0</v>
      </c>
      <c r="F1001" s="55" t="s">
        <v>1561</v>
      </c>
      <c r="G1001" s="55" t="s">
        <v>2203</v>
      </c>
      <c r="H1001" s="26"/>
      <c r="I1001" s="26" t="s">
        <v>1035</v>
      </c>
      <c r="J1001" s="26" t="s">
        <v>1225</v>
      </c>
      <c r="K1001" s="26" t="s">
        <v>1646</v>
      </c>
      <c r="L1001" s="26" t="s">
        <v>1625</v>
      </c>
      <c r="M1001" s="26" t="s">
        <v>2047</v>
      </c>
      <c r="N1001" s="26" t="s">
        <v>1566</v>
      </c>
      <c r="O1001" s="26" t="s">
        <v>1566</v>
      </c>
      <c r="P1001" s="26" t="s">
        <v>22</v>
      </c>
      <c r="Q1001" s="26">
        <v>90.0</v>
      </c>
    </row>
    <row r="1002" ht="17.25" customHeight="1">
      <c r="A1002" s="51">
        <v>46115.66550293981</v>
      </c>
      <c r="B1002" s="25" t="s">
        <v>1920</v>
      </c>
      <c r="C1002" s="55" t="s">
        <v>1892</v>
      </c>
      <c r="D1002" s="51">
        <v>46112.47294299769</v>
      </c>
      <c r="E1002" s="52">
        <v>160.0</v>
      </c>
      <c r="F1002" s="55" t="s">
        <v>1561</v>
      </c>
      <c r="G1002" s="55" t="s">
        <v>2203</v>
      </c>
      <c r="H1002" s="26"/>
      <c r="I1002" s="26" t="s">
        <v>1921</v>
      </c>
      <c r="J1002" s="26" t="s">
        <v>1225</v>
      </c>
      <c r="K1002" s="26" t="s">
        <v>1646</v>
      </c>
      <c r="L1002" s="26" t="s">
        <v>1576</v>
      </c>
      <c r="M1002" s="26" t="s">
        <v>2047</v>
      </c>
      <c r="N1002" s="26" t="s">
        <v>1566</v>
      </c>
      <c r="O1002" s="26" t="s">
        <v>1566</v>
      </c>
      <c r="P1002" s="26" t="s">
        <v>22</v>
      </c>
      <c r="Q1002" s="26">
        <v>0.0</v>
      </c>
    </row>
    <row r="1003" ht="17.25" customHeight="1">
      <c r="A1003" s="51">
        <v>46115.66795017361</v>
      </c>
      <c r="B1003" s="25" t="s">
        <v>57</v>
      </c>
      <c r="C1003" s="55" t="s">
        <v>1892</v>
      </c>
      <c r="D1003" s="51">
        <v>46115.66795017361</v>
      </c>
      <c r="E1003" s="52">
        <v>1000.0</v>
      </c>
      <c r="F1003" s="55" t="s">
        <v>1561</v>
      </c>
      <c r="G1003" s="55" t="s">
        <v>1898</v>
      </c>
      <c r="H1003" s="26"/>
      <c r="I1003" s="26" t="s">
        <v>58</v>
      </c>
      <c r="J1003" s="26" t="s">
        <v>1225</v>
      </c>
      <c r="K1003" s="26" t="s">
        <v>1562</v>
      </c>
      <c r="L1003" s="26" t="s">
        <v>1584</v>
      </c>
      <c r="M1003" s="26" t="s">
        <v>1586</v>
      </c>
      <c r="N1003" s="26" t="s">
        <v>1571</v>
      </c>
      <c r="O1003" s="26" t="s">
        <v>1566</v>
      </c>
      <c r="P1003" s="26" t="s">
        <v>22</v>
      </c>
      <c r="Q1003" s="26">
        <v>400.0</v>
      </c>
    </row>
    <row r="1004" ht="17.25" customHeight="1">
      <c r="A1004" s="51">
        <v>46115.77827679398</v>
      </c>
      <c r="B1004" s="27" t="s">
        <v>1969</v>
      </c>
      <c r="C1004" s="55" t="s">
        <v>1560</v>
      </c>
      <c r="D1004" s="51">
        <v>46115.66795017361</v>
      </c>
      <c r="E1004" s="52">
        <v>1.0</v>
      </c>
      <c r="F1004" s="55" t="s">
        <v>1673</v>
      </c>
      <c r="G1004" s="26"/>
      <c r="H1004" s="26"/>
      <c r="I1004" s="26" t="s">
        <v>1970</v>
      </c>
      <c r="J1004" s="26" t="s">
        <v>1674</v>
      </c>
      <c r="K1004" s="26" t="s">
        <v>1691</v>
      </c>
      <c r="L1004" s="26" t="s">
        <v>1566</v>
      </c>
      <c r="M1004" s="26" t="s">
        <v>1566</v>
      </c>
      <c r="N1004" s="26" t="s">
        <v>1566</v>
      </c>
      <c r="O1004" s="26" t="s">
        <v>1566</v>
      </c>
      <c r="P1004" s="26" t="s">
        <v>290</v>
      </c>
      <c r="Q1004" s="26">
        <v>0.0</v>
      </c>
    </row>
    <row r="1005" ht="17.25" customHeight="1">
      <c r="A1005" s="51">
        <v>46115.77832766203</v>
      </c>
      <c r="B1005" s="39" t="s">
        <v>1971</v>
      </c>
      <c r="C1005" s="55" t="s">
        <v>1560</v>
      </c>
      <c r="D1005" s="51">
        <v>46115.66795017361</v>
      </c>
      <c r="E1005" s="52">
        <v>1.0</v>
      </c>
      <c r="F1005" s="55" t="s">
        <v>1673</v>
      </c>
      <c r="G1005" s="26"/>
      <c r="H1005" s="26"/>
      <c r="I1005" s="26" t="s">
        <v>1972</v>
      </c>
      <c r="J1005" s="26" t="s">
        <v>1674</v>
      </c>
      <c r="K1005" s="26" t="s">
        <v>1691</v>
      </c>
      <c r="L1005" s="26" t="s">
        <v>1566</v>
      </c>
      <c r="M1005" s="26" t="s">
        <v>1566</v>
      </c>
      <c r="N1005" s="26" t="s">
        <v>1566</v>
      </c>
      <c r="O1005" s="26" t="s">
        <v>1566</v>
      </c>
      <c r="P1005" s="26" t="s">
        <v>290</v>
      </c>
      <c r="Q1005" s="26">
        <v>0.0</v>
      </c>
    </row>
    <row r="1006" ht="17.25" customHeight="1">
      <c r="A1006" s="51">
        <v>46115.77833206019</v>
      </c>
      <c r="B1006" s="39" t="s">
        <v>1973</v>
      </c>
      <c r="C1006" s="55" t="s">
        <v>1560</v>
      </c>
      <c r="D1006" s="51">
        <v>46115.66795017361</v>
      </c>
      <c r="E1006" s="52">
        <v>1.0</v>
      </c>
      <c r="F1006" s="55" t="s">
        <v>1673</v>
      </c>
      <c r="G1006" s="26"/>
      <c r="H1006" s="26"/>
      <c r="I1006" s="26" t="s">
        <v>1974</v>
      </c>
      <c r="J1006" s="26" t="s">
        <v>1674</v>
      </c>
      <c r="K1006" s="26" t="s">
        <v>1691</v>
      </c>
      <c r="L1006" s="26" t="s">
        <v>1566</v>
      </c>
      <c r="M1006" s="26" t="s">
        <v>1566</v>
      </c>
      <c r="N1006" s="26" t="s">
        <v>1566</v>
      </c>
      <c r="O1006" s="26" t="s">
        <v>1566</v>
      </c>
      <c r="P1006" s="26" t="s">
        <v>290</v>
      </c>
      <c r="Q1006" s="26">
        <v>0.0</v>
      </c>
    </row>
    <row r="1007" ht="17.25" customHeight="1">
      <c r="A1007" s="51">
        <v>46115.77928311343</v>
      </c>
      <c r="B1007" s="25" t="s">
        <v>667</v>
      </c>
      <c r="C1007" s="55" t="s">
        <v>1892</v>
      </c>
      <c r="D1007" s="51">
        <v>46115.66795017361</v>
      </c>
      <c r="E1007" s="52">
        <v>2.0</v>
      </c>
      <c r="F1007" s="26"/>
      <c r="G1007" s="55" t="s">
        <v>2104</v>
      </c>
      <c r="H1007" s="26"/>
      <c r="I1007" s="26" t="s">
        <v>668</v>
      </c>
      <c r="J1007" s="26" t="s">
        <v>1821</v>
      </c>
      <c r="K1007" s="26" t="s">
        <v>1822</v>
      </c>
      <c r="L1007" s="26" t="s">
        <v>1824</v>
      </c>
      <c r="M1007" s="26" t="s">
        <v>1566</v>
      </c>
      <c r="N1007" s="26" t="s">
        <v>1566</v>
      </c>
      <c r="O1007" s="26" t="s">
        <v>1566</v>
      </c>
      <c r="P1007" s="26" t="s">
        <v>661</v>
      </c>
      <c r="Q1007" s="26">
        <v>8.0</v>
      </c>
    </row>
    <row r="1008" ht="17.25" customHeight="1">
      <c r="A1008" s="51">
        <v>46182.44414976852</v>
      </c>
      <c r="B1008" s="25" t="s">
        <v>359</v>
      </c>
      <c r="C1008" s="55" t="s">
        <v>1892</v>
      </c>
      <c r="D1008" s="51">
        <v>46115.66795017361</v>
      </c>
      <c r="E1008" s="52">
        <v>40.0</v>
      </c>
      <c r="F1008" s="55" t="s">
        <v>2206</v>
      </c>
      <c r="G1008" s="26"/>
      <c r="H1008" s="26"/>
      <c r="I1008" s="26" t="s">
        <v>370</v>
      </c>
      <c r="J1008" s="26" t="s">
        <v>370</v>
      </c>
      <c r="K1008" s="26" t="s">
        <v>370</v>
      </c>
      <c r="L1008" s="26" t="s">
        <v>1566</v>
      </c>
      <c r="M1008" s="26" t="s">
        <v>1566</v>
      </c>
      <c r="N1008" s="26" t="s">
        <v>1566</v>
      </c>
      <c r="O1008" s="26" t="s">
        <v>1566</v>
      </c>
      <c r="P1008" s="26" t="s">
        <v>661</v>
      </c>
      <c r="Q1008" s="26">
        <v>100.0</v>
      </c>
    </row>
    <row r="1009" ht="17.25" customHeight="1">
      <c r="A1009" s="51">
        <v>46115.779436481476</v>
      </c>
      <c r="B1009" s="25" t="s">
        <v>667</v>
      </c>
      <c r="C1009" s="55" t="s">
        <v>1560</v>
      </c>
      <c r="D1009" s="51">
        <v>46115.66795017361</v>
      </c>
      <c r="E1009" s="52">
        <v>6.0</v>
      </c>
      <c r="F1009" s="55" t="s">
        <v>1673</v>
      </c>
      <c r="G1009" s="26"/>
      <c r="H1009" s="26"/>
      <c r="I1009" s="26" t="s">
        <v>668</v>
      </c>
      <c r="J1009" s="26" t="s">
        <v>1821</v>
      </c>
      <c r="K1009" s="26" t="s">
        <v>1822</v>
      </c>
      <c r="L1009" s="26" t="s">
        <v>1824</v>
      </c>
      <c r="M1009" s="26" t="s">
        <v>1566</v>
      </c>
      <c r="N1009" s="26" t="s">
        <v>1566</v>
      </c>
      <c r="O1009" s="26" t="s">
        <v>1566</v>
      </c>
      <c r="P1009" s="26" t="s">
        <v>661</v>
      </c>
      <c r="Q1009" s="26">
        <v>8.0</v>
      </c>
    </row>
    <row r="1010" ht="17.25" customHeight="1">
      <c r="A1010" s="51">
        <v>46115.77963619213</v>
      </c>
      <c r="B1010" s="121" t="s">
        <v>728</v>
      </c>
      <c r="C1010" s="55" t="s">
        <v>1560</v>
      </c>
      <c r="D1010" s="51">
        <v>46115.66795017361</v>
      </c>
      <c r="E1010" s="52">
        <v>15.0</v>
      </c>
      <c r="F1010" s="55" t="s">
        <v>1673</v>
      </c>
      <c r="G1010" s="26"/>
      <c r="H1010" s="26"/>
      <c r="I1010" s="26" t="s">
        <v>729</v>
      </c>
      <c r="J1010" s="26" t="s">
        <v>1812</v>
      </c>
      <c r="K1010" s="26" t="s">
        <v>1815</v>
      </c>
      <c r="L1010" s="26" t="s">
        <v>1566</v>
      </c>
      <c r="M1010" s="26" t="s">
        <v>1566</v>
      </c>
      <c r="N1010" s="26" t="s">
        <v>1566</v>
      </c>
      <c r="O1010" s="26" t="s">
        <v>1566</v>
      </c>
      <c r="P1010" s="26" t="s">
        <v>661</v>
      </c>
      <c r="Q1010" s="26">
        <v>10.0</v>
      </c>
    </row>
    <row r="1011" ht="17.25" customHeight="1">
      <c r="A1011" s="51">
        <v>46115.781310729166</v>
      </c>
      <c r="B1011" s="27" t="s">
        <v>872</v>
      </c>
      <c r="C1011" s="55" t="s">
        <v>1560</v>
      </c>
      <c r="D1011" s="51">
        <v>46115.66795017361</v>
      </c>
      <c r="E1011" s="52">
        <v>800.0</v>
      </c>
      <c r="F1011" s="55" t="s">
        <v>1673</v>
      </c>
      <c r="G1011" s="26"/>
      <c r="H1011" s="26"/>
      <c r="I1011" s="26" t="s">
        <v>873</v>
      </c>
      <c r="J1011" s="26" t="s">
        <v>1225</v>
      </c>
      <c r="K1011" s="26" t="s">
        <v>2125</v>
      </c>
      <c r="L1011" s="26" t="s">
        <v>1576</v>
      </c>
      <c r="M1011" s="26" t="s">
        <v>1566</v>
      </c>
      <c r="N1011" s="26" t="s">
        <v>1566</v>
      </c>
      <c r="O1011" s="26" t="s">
        <v>2126</v>
      </c>
      <c r="P1011" s="26" t="s">
        <v>22</v>
      </c>
      <c r="Q1011" s="26">
        <v>800.0</v>
      </c>
    </row>
    <row r="1012" ht="17.25" customHeight="1">
      <c r="A1012" s="51">
        <v>46115.78178809027</v>
      </c>
      <c r="B1012" s="25" t="s">
        <v>1051</v>
      </c>
      <c r="C1012" s="55" t="s">
        <v>1892</v>
      </c>
      <c r="D1012" s="51">
        <v>46115.66795017361</v>
      </c>
      <c r="E1012" s="52">
        <v>5.0</v>
      </c>
      <c r="F1012" s="26"/>
      <c r="G1012" s="55" t="s">
        <v>2104</v>
      </c>
      <c r="H1012" s="26"/>
      <c r="I1012" s="26" t="s">
        <v>1052</v>
      </c>
      <c r="J1012" s="26" t="s">
        <v>1830</v>
      </c>
      <c r="K1012" s="26" t="s">
        <v>1642</v>
      </c>
      <c r="L1012" s="26" t="s">
        <v>1566</v>
      </c>
      <c r="M1012" s="26" t="s">
        <v>1566</v>
      </c>
      <c r="N1012" s="26" t="s">
        <v>1566</v>
      </c>
      <c r="O1012" s="26" t="s">
        <v>1566</v>
      </c>
      <c r="P1012" s="26" t="s">
        <v>290</v>
      </c>
      <c r="Q1012" s="26">
        <v>17.0</v>
      </c>
    </row>
    <row r="1013" ht="17.25" customHeight="1">
      <c r="A1013" s="51">
        <v>46115.78188353009</v>
      </c>
      <c r="B1013" s="25" t="s">
        <v>1051</v>
      </c>
      <c r="C1013" s="55" t="s">
        <v>1560</v>
      </c>
      <c r="D1013" s="51">
        <v>46115.66795017361</v>
      </c>
      <c r="E1013" s="52">
        <v>17.0</v>
      </c>
      <c r="F1013" s="55" t="s">
        <v>1673</v>
      </c>
      <c r="G1013" s="55" t="s">
        <v>2207</v>
      </c>
      <c r="H1013" s="26"/>
      <c r="I1013" s="26" t="s">
        <v>1052</v>
      </c>
      <c r="J1013" s="26" t="s">
        <v>1830</v>
      </c>
      <c r="K1013" s="26" t="s">
        <v>1642</v>
      </c>
      <c r="L1013" s="26" t="s">
        <v>1566</v>
      </c>
      <c r="M1013" s="26" t="s">
        <v>1566</v>
      </c>
      <c r="N1013" s="26" t="s">
        <v>1566</v>
      </c>
      <c r="O1013" s="26" t="s">
        <v>1566</v>
      </c>
      <c r="P1013" s="26" t="s">
        <v>290</v>
      </c>
      <c r="Q1013" s="26">
        <v>17.0</v>
      </c>
    </row>
    <row r="1014" ht="17.25" customHeight="1">
      <c r="A1014" s="51">
        <v>46116.41951150463</v>
      </c>
      <c r="B1014" s="25" t="s">
        <v>74</v>
      </c>
      <c r="C1014" s="55" t="s">
        <v>1892</v>
      </c>
      <c r="D1014" s="51">
        <v>46116.41951150463</v>
      </c>
      <c r="E1014" s="52">
        <v>600.0</v>
      </c>
      <c r="F1014" s="55" t="s">
        <v>1561</v>
      </c>
      <c r="G1014" s="55">
        <v>697.0</v>
      </c>
      <c r="H1014" s="26"/>
      <c r="I1014" s="26" t="s">
        <v>75</v>
      </c>
      <c r="J1014" s="26" t="s">
        <v>1225</v>
      </c>
      <c r="K1014" s="26" t="s">
        <v>1562</v>
      </c>
      <c r="L1014" s="26" t="s">
        <v>1591</v>
      </c>
      <c r="M1014" s="26" t="s">
        <v>1597</v>
      </c>
      <c r="N1014" s="26" t="s">
        <v>1566</v>
      </c>
      <c r="O1014" s="26" t="s">
        <v>1566</v>
      </c>
      <c r="P1014" s="26" t="s">
        <v>22</v>
      </c>
      <c r="Q1014" s="26">
        <v>0.0</v>
      </c>
    </row>
    <row r="1015" ht="17.25" customHeight="1">
      <c r="A1015" s="51">
        <v>46116.42131347222</v>
      </c>
      <c r="B1015" s="23" t="s">
        <v>301</v>
      </c>
      <c r="C1015" s="55" t="s">
        <v>1892</v>
      </c>
      <c r="D1015" s="51">
        <v>46115.66795017361</v>
      </c>
      <c r="E1015" s="52">
        <v>10.0</v>
      </c>
      <c r="F1015" s="55" t="s">
        <v>2169</v>
      </c>
      <c r="G1015" s="26"/>
      <c r="H1015" s="26"/>
      <c r="I1015" s="26" t="s">
        <v>302</v>
      </c>
      <c r="J1015" s="26" t="s">
        <v>1830</v>
      </c>
      <c r="K1015" s="26" t="s">
        <v>302</v>
      </c>
      <c r="L1015" s="26" t="s">
        <v>1566</v>
      </c>
      <c r="M1015" s="26" t="s">
        <v>1566</v>
      </c>
      <c r="N1015" s="26" t="s">
        <v>1566</v>
      </c>
      <c r="O1015" s="26" t="s">
        <v>1566</v>
      </c>
      <c r="P1015" s="26" t="s">
        <v>661</v>
      </c>
      <c r="Q1015" s="26">
        <v>580.0</v>
      </c>
    </row>
    <row r="1016" ht="17.25" customHeight="1">
      <c r="A1016" s="51">
        <v>46116.425634189814</v>
      </c>
      <c r="B1016" s="23" t="s">
        <v>301</v>
      </c>
      <c r="C1016" s="55" t="s">
        <v>1892</v>
      </c>
      <c r="D1016" s="51">
        <v>46116.425634189814</v>
      </c>
      <c r="E1016" s="52">
        <v>10.0</v>
      </c>
      <c r="F1016" s="55" t="s">
        <v>2169</v>
      </c>
      <c r="G1016" s="26"/>
      <c r="H1016" s="26"/>
      <c r="I1016" s="26" t="s">
        <v>302</v>
      </c>
      <c r="J1016" s="26" t="s">
        <v>1830</v>
      </c>
      <c r="K1016" s="26" t="s">
        <v>302</v>
      </c>
      <c r="L1016" s="26" t="s">
        <v>1566</v>
      </c>
      <c r="M1016" s="26" t="s">
        <v>1566</v>
      </c>
      <c r="N1016" s="26" t="s">
        <v>1566</v>
      </c>
      <c r="O1016" s="26" t="s">
        <v>1566</v>
      </c>
      <c r="P1016" s="26" t="s">
        <v>661</v>
      </c>
      <c r="Q1016" s="26">
        <v>580.0</v>
      </c>
    </row>
    <row r="1017" ht="17.25" customHeight="1">
      <c r="A1017" s="51">
        <v>46116.425997893515</v>
      </c>
      <c r="B1017" s="25" t="s">
        <v>562</v>
      </c>
      <c r="C1017" s="55" t="s">
        <v>1892</v>
      </c>
      <c r="D1017" s="51">
        <v>46116.425634189814</v>
      </c>
      <c r="E1017" s="52">
        <v>2.0</v>
      </c>
      <c r="F1017" s="55" t="s">
        <v>2169</v>
      </c>
      <c r="G1017" s="26"/>
      <c r="H1017" s="26"/>
      <c r="I1017" s="26" t="s">
        <v>567</v>
      </c>
      <c r="J1017" s="26" t="s">
        <v>1812</v>
      </c>
      <c r="K1017" s="26" t="s">
        <v>1815</v>
      </c>
      <c r="L1017" s="26" t="s">
        <v>1566</v>
      </c>
      <c r="M1017" s="26" t="s">
        <v>1566</v>
      </c>
      <c r="N1017" s="26" t="s">
        <v>1566</v>
      </c>
      <c r="O1017" s="26" t="s">
        <v>1838</v>
      </c>
      <c r="P1017" s="26" t="s">
        <v>616</v>
      </c>
      <c r="Q1017" s="26">
        <v>4.0</v>
      </c>
    </row>
    <row r="1018" ht="17.25" customHeight="1">
      <c r="A1018" s="51">
        <v>46116.42629923611</v>
      </c>
      <c r="B1018" s="25" t="s">
        <v>945</v>
      </c>
      <c r="C1018" s="55" t="s">
        <v>1892</v>
      </c>
      <c r="D1018" s="51">
        <v>46116.425634189814</v>
      </c>
      <c r="E1018" s="52">
        <v>25.0</v>
      </c>
      <c r="F1018" s="55" t="s">
        <v>2169</v>
      </c>
      <c r="G1018" s="26"/>
      <c r="H1018" s="26"/>
      <c r="I1018" s="26" t="s">
        <v>946</v>
      </c>
      <c r="J1018" s="26" t="s">
        <v>1812</v>
      </c>
      <c r="K1018" s="26" t="s">
        <v>1815</v>
      </c>
      <c r="L1018" s="26" t="s">
        <v>1566</v>
      </c>
      <c r="M1018" s="26" t="s">
        <v>1566</v>
      </c>
      <c r="N1018" s="26" t="s">
        <v>1566</v>
      </c>
      <c r="O1018" s="26" t="s">
        <v>1903</v>
      </c>
      <c r="P1018" s="26" t="s">
        <v>616</v>
      </c>
      <c r="Q1018" s="26">
        <v>25.0</v>
      </c>
    </row>
    <row r="1019" ht="17.25" customHeight="1">
      <c r="A1019" s="51">
        <v>46116.42720046296</v>
      </c>
      <c r="B1019" s="25" t="s">
        <v>682</v>
      </c>
      <c r="C1019" s="55" t="s">
        <v>1892</v>
      </c>
      <c r="D1019" s="51">
        <v>46116.425634189814</v>
      </c>
      <c r="E1019" s="52">
        <v>2.0</v>
      </c>
      <c r="F1019" s="55" t="s">
        <v>2169</v>
      </c>
      <c r="G1019" s="26"/>
      <c r="H1019" s="26"/>
      <c r="I1019" s="26" t="s">
        <v>690</v>
      </c>
      <c r="J1019" s="26" t="s">
        <v>1830</v>
      </c>
      <c r="K1019" s="26" t="s">
        <v>1830</v>
      </c>
      <c r="L1019" s="26" t="s">
        <v>1566</v>
      </c>
      <c r="M1019" s="26" t="s">
        <v>1566</v>
      </c>
      <c r="N1019" s="26" t="s">
        <v>1566</v>
      </c>
      <c r="O1019" s="26" t="s">
        <v>1566</v>
      </c>
      <c r="P1019" s="26" t="s">
        <v>661</v>
      </c>
      <c r="Q1019" s="26">
        <v>14.0</v>
      </c>
    </row>
    <row r="1020" ht="17.25" customHeight="1">
      <c r="A1020" s="51">
        <v>46116.42832280093</v>
      </c>
      <c r="B1020" s="25" t="s">
        <v>1039</v>
      </c>
      <c r="C1020" s="55" t="s">
        <v>1892</v>
      </c>
      <c r="D1020" s="51">
        <v>46116.425634189814</v>
      </c>
      <c r="E1020" s="52">
        <v>1.0</v>
      </c>
      <c r="F1020" s="55" t="s">
        <v>2169</v>
      </c>
      <c r="G1020" s="26"/>
      <c r="H1020" s="26"/>
      <c r="I1020" s="26" t="s">
        <v>1040</v>
      </c>
      <c r="J1020" s="26" t="s">
        <v>1830</v>
      </c>
      <c r="K1020" s="26" t="s">
        <v>1833</v>
      </c>
      <c r="L1020" s="26" t="s">
        <v>1566</v>
      </c>
      <c r="M1020" s="26" t="s">
        <v>1566</v>
      </c>
      <c r="N1020" s="26" t="s">
        <v>1566</v>
      </c>
      <c r="O1020" s="26" t="s">
        <v>1566</v>
      </c>
      <c r="P1020" s="26" t="s">
        <v>643</v>
      </c>
      <c r="Q1020" s="26">
        <v>6.0</v>
      </c>
    </row>
    <row r="1021" ht="17.25" customHeight="1">
      <c r="A1021" s="51">
        <v>46118.42303158565</v>
      </c>
      <c r="B1021" s="25" t="s">
        <v>21</v>
      </c>
      <c r="C1021" s="55" t="s">
        <v>1560</v>
      </c>
      <c r="D1021" s="51">
        <v>46116.425634189814</v>
      </c>
      <c r="E1021" s="52">
        <v>25.0</v>
      </c>
      <c r="F1021" s="55" t="s">
        <v>1673</v>
      </c>
      <c r="G1021" s="26"/>
      <c r="H1021" s="26"/>
      <c r="I1021" s="26" t="s">
        <v>23</v>
      </c>
      <c r="J1021" s="26" t="s">
        <v>1812</v>
      </c>
      <c r="K1021" s="26" t="s">
        <v>1815</v>
      </c>
      <c r="L1021" s="26" t="s">
        <v>1566</v>
      </c>
      <c r="M1021" s="26" t="s">
        <v>1566</v>
      </c>
      <c r="N1021" s="26" t="s">
        <v>1566</v>
      </c>
      <c r="O1021" s="26" t="s">
        <v>1818</v>
      </c>
      <c r="P1021" s="26" t="s">
        <v>616</v>
      </c>
      <c r="Q1021" s="26">
        <v>20.0</v>
      </c>
    </row>
    <row r="1022" ht="17.25" customHeight="1">
      <c r="A1022" s="51">
        <v>46118.424433148146</v>
      </c>
      <c r="B1022" s="153" t="s">
        <v>945</v>
      </c>
      <c r="C1022" s="55" t="s">
        <v>1560</v>
      </c>
      <c r="D1022" s="51">
        <v>46116.425634189814</v>
      </c>
      <c r="E1022" s="52">
        <v>25.0</v>
      </c>
      <c r="F1022" s="55" t="s">
        <v>1673</v>
      </c>
      <c r="G1022" s="26"/>
      <c r="H1022" s="26"/>
      <c r="I1022" s="26" t="s">
        <v>946</v>
      </c>
      <c r="J1022" s="26" t="s">
        <v>1812</v>
      </c>
      <c r="K1022" s="26" t="s">
        <v>1815</v>
      </c>
      <c r="L1022" s="26" t="s">
        <v>1566</v>
      </c>
      <c r="M1022" s="26" t="s">
        <v>1566</v>
      </c>
      <c r="N1022" s="26" t="s">
        <v>1566</v>
      </c>
      <c r="O1022" s="26" t="s">
        <v>1903</v>
      </c>
      <c r="P1022" s="26" t="s">
        <v>616</v>
      </c>
      <c r="Q1022" s="26">
        <v>25.0</v>
      </c>
    </row>
    <row r="1023" ht="17.25" customHeight="1">
      <c r="A1023" s="51">
        <v>46118.42481841435</v>
      </c>
      <c r="B1023" s="201" t="s">
        <v>32</v>
      </c>
      <c r="C1023" s="55" t="s">
        <v>1560</v>
      </c>
      <c r="D1023" s="51">
        <v>46116.425634189814</v>
      </c>
      <c r="E1023" s="52">
        <v>4.0</v>
      </c>
      <c r="F1023" s="55" t="s">
        <v>1673</v>
      </c>
      <c r="G1023" s="26"/>
      <c r="H1023" s="26"/>
      <c r="I1023" s="26" t="s">
        <v>34</v>
      </c>
      <c r="J1023" s="26" t="s">
        <v>1807</v>
      </c>
      <c r="K1023" s="26" t="s">
        <v>1807</v>
      </c>
      <c r="L1023" s="26" t="s">
        <v>1566</v>
      </c>
      <c r="M1023" s="26" t="s">
        <v>1566</v>
      </c>
      <c r="N1023" s="26" t="s">
        <v>1566</v>
      </c>
      <c r="O1023" s="26" t="s">
        <v>1808</v>
      </c>
      <c r="P1023" s="26" t="s">
        <v>290</v>
      </c>
      <c r="Q1023" s="26">
        <v>7.0</v>
      </c>
    </row>
    <row r="1024" ht="17.25" customHeight="1">
      <c r="A1024" s="51">
        <v>46118.42509347222</v>
      </c>
      <c r="B1024" s="25" t="s">
        <v>640</v>
      </c>
      <c r="C1024" s="55" t="s">
        <v>1560</v>
      </c>
      <c r="D1024" s="51">
        <v>46116.425634189814</v>
      </c>
      <c r="E1024" s="52">
        <v>5.0</v>
      </c>
      <c r="F1024" s="55" t="s">
        <v>1673</v>
      </c>
      <c r="G1024" s="26"/>
      <c r="H1024" s="26"/>
      <c r="I1024" s="26" t="s">
        <v>641</v>
      </c>
      <c r="J1024" s="26" t="s">
        <v>1812</v>
      </c>
      <c r="K1024" s="26" t="s">
        <v>1815</v>
      </c>
      <c r="L1024" s="26" t="s">
        <v>1566</v>
      </c>
      <c r="M1024" s="26" t="s">
        <v>1566</v>
      </c>
      <c r="N1024" s="26" t="s">
        <v>1566</v>
      </c>
      <c r="O1024" s="26" t="s">
        <v>1566</v>
      </c>
      <c r="P1024" s="26" t="s">
        <v>643</v>
      </c>
      <c r="Q1024" s="26">
        <v>3.0</v>
      </c>
    </row>
    <row r="1025" ht="17.25" customHeight="1">
      <c r="A1025" s="51">
        <v>46118.44682049769</v>
      </c>
      <c r="B1025" s="153" t="s">
        <v>901</v>
      </c>
      <c r="C1025" s="55" t="s">
        <v>1560</v>
      </c>
      <c r="D1025" s="51">
        <v>46116.425634189814</v>
      </c>
      <c r="E1025" s="52">
        <v>20.0</v>
      </c>
      <c r="F1025" s="55" t="s">
        <v>1673</v>
      </c>
      <c r="G1025" s="26"/>
      <c r="H1025" s="26"/>
      <c r="I1025" s="26" t="s">
        <v>904</v>
      </c>
      <c r="J1025" s="26" t="s">
        <v>1807</v>
      </c>
      <c r="K1025" s="26" t="s">
        <v>1807</v>
      </c>
      <c r="L1025" s="26" t="s">
        <v>1566</v>
      </c>
      <c r="M1025" s="26" t="s">
        <v>1566</v>
      </c>
      <c r="N1025" s="26" t="s">
        <v>1566</v>
      </c>
      <c r="O1025" s="26" t="s">
        <v>1808</v>
      </c>
      <c r="P1025" s="26" t="s">
        <v>290</v>
      </c>
      <c r="Q1025" s="26">
        <v>20.0</v>
      </c>
    </row>
    <row r="1026" ht="17.25" customHeight="1">
      <c r="A1026" s="51">
        <v>46118.790591770834</v>
      </c>
      <c r="B1026" s="197" t="s">
        <v>598</v>
      </c>
      <c r="C1026" s="55" t="s">
        <v>1892</v>
      </c>
      <c r="D1026" s="51">
        <v>46118.790591770834</v>
      </c>
      <c r="E1026" s="52">
        <v>5.0</v>
      </c>
      <c r="F1026" s="55" t="s">
        <v>2169</v>
      </c>
      <c r="G1026" s="26"/>
      <c r="H1026" s="26"/>
      <c r="I1026" s="26" t="s">
        <v>604</v>
      </c>
      <c r="J1026" s="26" t="s">
        <v>1812</v>
      </c>
      <c r="K1026" s="26" t="s">
        <v>1815</v>
      </c>
      <c r="L1026" s="26" t="s">
        <v>1566</v>
      </c>
      <c r="M1026" s="26" t="s">
        <v>1566</v>
      </c>
      <c r="N1026" s="26" t="s">
        <v>1566</v>
      </c>
      <c r="O1026" s="26" t="s">
        <v>1812</v>
      </c>
      <c r="P1026" s="26" t="s">
        <v>616</v>
      </c>
      <c r="Q1026" s="26">
        <v>15.0</v>
      </c>
    </row>
    <row r="1027" ht="17.25" customHeight="1">
      <c r="A1027" s="51">
        <v>46118.791188159725</v>
      </c>
      <c r="B1027" s="27" t="s">
        <v>364</v>
      </c>
      <c r="C1027" s="55" t="s">
        <v>1892</v>
      </c>
      <c r="D1027" s="51">
        <v>46118.790591770834</v>
      </c>
      <c r="E1027" s="52">
        <v>1.0</v>
      </c>
      <c r="F1027" s="55" t="s">
        <v>2169</v>
      </c>
      <c r="G1027" s="26"/>
      <c r="H1027" s="26"/>
      <c r="I1027" s="26" t="s">
        <v>366</v>
      </c>
      <c r="J1027" s="26" t="s">
        <v>1674</v>
      </c>
      <c r="K1027" s="26" t="s">
        <v>1675</v>
      </c>
      <c r="L1027" s="26" t="s">
        <v>1566</v>
      </c>
      <c r="M1027" s="26" t="s">
        <v>1566</v>
      </c>
      <c r="N1027" s="26" t="s">
        <v>1676</v>
      </c>
      <c r="O1027" s="26" t="s">
        <v>1690</v>
      </c>
      <c r="P1027" s="26" t="s">
        <v>290</v>
      </c>
      <c r="Q1027" s="26">
        <v>0.0</v>
      </c>
    </row>
    <row r="1028" ht="17.25" customHeight="1">
      <c r="A1028" s="51">
        <v>46118.79139425926</v>
      </c>
      <c r="B1028" s="23" t="s">
        <v>301</v>
      </c>
      <c r="C1028" s="55" t="s">
        <v>1892</v>
      </c>
      <c r="D1028" s="51">
        <v>46118.790591770834</v>
      </c>
      <c r="E1028" s="52">
        <v>10.0</v>
      </c>
      <c r="F1028" s="55" t="s">
        <v>2169</v>
      </c>
      <c r="G1028" s="26"/>
      <c r="H1028" s="26"/>
      <c r="I1028" s="26" t="s">
        <v>302</v>
      </c>
      <c r="J1028" s="26" t="s">
        <v>1830</v>
      </c>
      <c r="K1028" s="26" t="s">
        <v>302</v>
      </c>
      <c r="L1028" s="26" t="s">
        <v>1566</v>
      </c>
      <c r="M1028" s="26" t="s">
        <v>1566</v>
      </c>
      <c r="N1028" s="26" t="s">
        <v>1566</v>
      </c>
      <c r="O1028" s="26" t="s">
        <v>1566</v>
      </c>
      <c r="P1028" s="26" t="s">
        <v>661</v>
      </c>
      <c r="Q1028" s="26">
        <v>580.0</v>
      </c>
    </row>
    <row r="1029" ht="17.25" customHeight="1">
      <c r="A1029" s="51">
        <v>46118.791481747685</v>
      </c>
      <c r="B1029" s="23" t="s">
        <v>301</v>
      </c>
      <c r="C1029" s="55" t="s">
        <v>1892</v>
      </c>
      <c r="D1029" s="51">
        <v>46118.790591770834</v>
      </c>
      <c r="E1029" s="52">
        <v>6.0</v>
      </c>
      <c r="F1029" s="55" t="s">
        <v>2209</v>
      </c>
      <c r="G1029" s="26"/>
      <c r="H1029" s="26"/>
      <c r="I1029" s="26" t="s">
        <v>302</v>
      </c>
      <c r="J1029" s="26" t="s">
        <v>1830</v>
      </c>
      <c r="K1029" s="26" t="s">
        <v>302</v>
      </c>
      <c r="L1029" s="26" t="s">
        <v>1566</v>
      </c>
      <c r="M1029" s="26" t="s">
        <v>1566</v>
      </c>
      <c r="N1029" s="26" t="s">
        <v>1566</v>
      </c>
      <c r="O1029" s="26" t="s">
        <v>1566</v>
      </c>
      <c r="P1029" s="26" t="s">
        <v>661</v>
      </c>
      <c r="Q1029" s="26">
        <v>580.0</v>
      </c>
    </row>
    <row r="1030" ht="17.25" customHeight="1">
      <c r="A1030" s="51">
        <v>46118.79198712963</v>
      </c>
      <c r="B1030" s="25" t="s">
        <v>312</v>
      </c>
      <c r="C1030" s="55" t="s">
        <v>1892</v>
      </c>
      <c r="D1030" s="51">
        <v>46118.790591770834</v>
      </c>
      <c r="E1030" s="52">
        <v>2.0</v>
      </c>
      <c r="F1030" s="55" t="s">
        <v>2209</v>
      </c>
      <c r="G1030" s="26"/>
      <c r="H1030" s="26"/>
      <c r="I1030" s="26" t="s">
        <v>319</v>
      </c>
      <c r="J1030" s="26" t="s">
        <v>1821</v>
      </c>
      <c r="K1030" s="26" t="s">
        <v>1822</v>
      </c>
      <c r="L1030" s="26" t="s">
        <v>1566</v>
      </c>
      <c r="M1030" s="26" t="s">
        <v>1566</v>
      </c>
      <c r="N1030" s="26" t="s">
        <v>1566</v>
      </c>
      <c r="O1030" s="26" t="s">
        <v>1829</v>
      </c>
      <c r="P1030" s="26" t="s">
        <v>661</v>
      </c>
      <c r="Q1030" s="26">
        <v>17.0</v>
      </c>
    </row>
    <row r="1031" ht="17.25" customHeight="1">
      <c r="A1031" s="51">
        <v>46118.792216041664</v>
      </c>
      <c r="B1031" s="25" t="s">
        <v>964</v>
      </c>
      <c r="C1031" s="55" t="s">
        <v>1892</v>
      </c>
      <c r="D1031" s="51">
        <v>46118.790591770834</v>
      </c>
      <c r="E1031" s="52">
        <v>10.0</v>
      </c>
      <c r="F1031" s="55" t="s">
        <v>2209</v>
      </c>
      <c r="G1031" s="26"/>
      <c r="H1031" s="26"/>
      <c r="I1031" s="26" t="s">
        <v>965</v>
      </c>
      <c r="J1031" s="26" t="s">
        <v>1833</v>
      </c>
      <c r="K1031" s="26" t="s">
        <v>1833</v>
      </c>
      <c r="L1031" s="26" t="s">
        <v>1566</v>
      </c>
      <c r="M1031" s="26" t="s">
        <v>1566</v>
      </c>
      <c r="N1031" s="26" t="s">
        <v>1566</v>
      </c>
      <c r="O1031" s="26" t="s">
        <v>1566</v>
      </c>
      <c r="P1031" s="26" t="s">
        <v>643</v>
      </c>
      <c r="Q1031" s="26">
        <v>25.0</v>
      </c>
    </row>
    <row r="1032" ht="17.25" customHeight="1">
      <c r="A1032" s="51">
        <v>46118.79266306713</v>
      </c>
      <c r="B1032" s="25" t="s">
        <v>1039</v>
      </c>
      <c r="C1032" s="55" t="s">
        <v>1892</v>
      </c>
      <c r="D1032" s="51">
        <v>46118.790591770834</v>
      </c>
      <c r="E1032" s="52">
        <v>1.0</v>
      </c>
      <c r="F1032" s="55" t="s">
        <v>2209</v>
      </c>
      <c r="G1032" s="26"/>
      <c r="H1032" s="26"/>
      <c r="I1032" s="26" t="s">
        <v>1040</v>
      </c>
      <c r="J1032" s="26" t="s">
        <v>1830</v>
      </c>
      <c r="K1032" s="26" t="s">
        <v>1833</v>
      </c>
      <c r="L1032" s="26" t="s">
        <v>1566</v>
      </c>
      <c r="M1032" s="26" t="s">
        <v>1566</v>
      </c>
      <c r="N1032" s="26" t="s">
        <v>1566</v>
      </c>
      <c r="O1032" s="26" t="s">
        <v>1566</v>
      </c>
      <c r="P1032" s="26" t="s">
        <v>643</v>
      </c>
      <c r="Q1032" s="26">
        <v>6.0</v>
      </c>
    </row>
    <row r="1033" ht="17.25" customHeight="1">
      <c r="A1033" s="51">
        <v>46119.44832979167</v>
      </c>
      <c r="B1033" s="26" t="s">
        <v>1095</v>
      </c>
      <c r="C1033" s="55" t="s">
        <v>1560</v>
      </c>
      <c r="D1033" s="51">
        <v>46118.790591770834</v>
      </c>
      <c r="E1033" s="52">
        <v>1.0</v>
      </c>
      <c r="F1033" s="55" t="s">
        <v>2210</v>
      </c>
      <c r="G1033" s="26"/>
      <c r="H1033" s="26"/>
      <c r="I1033" s="26" t="s">
        <v>1096</v>
      </c>
      <c r="J1033" s="26" t="s">
        <v>1674</v>
      </c>
      <c r="K1033" s="26" t="s">
        <v>1691</v>
      </c>
      <c r="L1033" s="26" t="s">
        <v>1566</v>
      </c>
      <c r="M1033" s="26" t="s">
        <v>1566</v>
      </c>
      <c r="N1033" s="26" t="s">
        <v>1566</v>
      </c>
      <c r="O1033" s="26" t="s">
        <v>2127</v>
      </c>
      <c r="P1033" s="26" t="s">
        <v>290</v>
      </c>
      <c r="Q1033" s="26">
        <v>1.0</v>
      </c>
    </row>
    <row r="1034" ht="17.25" customHeight="1">
      <c r="A1034" s="51">
        <v>46119.44888768518</v>
      </c>
      <c r="B1034" s="25" t="s">
        <v>842</v>
      </c>
      <c r="C1034" s="55" t="s">
        <v>1892</v>
      </c>
      <c r="D1034" s="51">
        <v>46118.790591770834</v>
      </c>
      <c r="E1034" s="52">
        <v>2.0</v>
      </c>
      <c r="F1034" s="55" t="s">
        <v>1844</v>
      </c>
      <c r="G1034" s="26"/>
      <c r="H1034" s="26"/>
      <c r="I1034" s="26" t="s">
        <v>843</v>
      </c>
      <c r="J1034" s="26" t="s">
        <v>1844</v>
      </c>
      <c r="K1034" s="26" t="s">
        <v>1846</v>
      </c>
      <c r="L1034" s="26" t="s">
        <v>1850</v>
      </c>
      <c r="M1034" s="26" t="s">
        <v>1566</v>
      </c>
      <c r="N1034" s="26" t="s">
        <v>1566</v>
      </c>
      <c r="O1034" s="26" t="s">
        <v>1848</v>
      </c>
      <c r="P1034" s="26" t="s">
        <v>661</v>
      </c>
      <c r="Q1034" s="26">
        <v>1.0</v>
      </c>
    </row>
    <row r="1035" ht="17.25" customHeight="1">
      <c r="A1035" s="51">
        <v>46119.449522905095</v>
      </c>
      <c r="B1035" s="23" t="s">
        <v>301</v>
      </c>
      <c r="C1035" s="55" t="s">
        <v>1892</v>
      </c>
      <c r="D1035" s="51">
        <v>46118.790591770834</v>
      </c>
      <c r="E1035" s="52">
        <v>10.0</v>
      </c>
      <c r="F1035" s="55" t="s">
        <v>2147</v>
      </c>
      <c r="G1035" s="26"/>
      <c r="H1035" s="26"/>
      <c r="I1035" s="26" t="s">
        <v>302</v>
      </c>
      <c r="J1035" s="26" t="s">
        <v>1830</v>
      </c>
      <c r="K1035" s="26" t="s">
        <v>302</v>
      </c>
      <c r="L1035" s="26" t="s">
        <v>1566</v>
      </c>
      <c r="M1035" s="26" t="s">
        <v>1566</v>
      </c>
      <c r="N1035" s="26" t="s">
        <v>1566</v>
      </c>
      <c r="O1035" s="26" t="s">
        <v>1566</v>
      </c>
      <c r="P1035" s="26" t="s">
        <v>661</v>
      </c>
      <c r="Q1035" s="26">
        <v>580.0</v>
      </c>
    </row>
    <row r="1036" ht="17.25" customHeight="1">
      <c r="A1036" s="51">
        <v>46119.44990087963</v>
      </c>
      <c r="B1036" s="25" t="s">
        <v>1048</v>
      </c>
      <c r="C1036" s="55" t="s">
        <v>1892</v>
      </c>
      <c r="D1036" s="202">
        <v>46116.79059027778</v>
      </c>
      <c r="E1036" s="52">
        <v>275.0</v>
      </c>
      <c r="F1036" s="55" t="s">
        <v>1844</v>
      </c>
      <c r="G1036" s="26"/>
      <c r="H1036" s="26"/>
      <c r="I1036" s="26" t="s">
        <v>1049</v>
      </c>
      <c r="J1036" s="26" t="s">
        <v>1821</v>
      </c>
      <c r="K1036" s="26" t="s">
        <v>1821</v>
      </c>
      <c r="L1036" s="26" t="s">
        <v>1566</v>
      </c>
      <c r="M1036" s="26" t="s">
        <v>1566</v>
      </c>
      <c r="N1036" s="26" t="s">
        <v>1566</v>
      </c>
      <c r="O1036" s="26" t="s">
        <v>2101</v>
      </c>
      <c r="P1036" s="26" t="s">
        <v>290</v>
      </c>
      <c r="Q1036" s="26">
        <v>275.0</v>
      </c>
    </row>
    <row r="1037" ht="17.25" customHeight="1">
      <c r="A1037" s="51">
        <v>46119.45002351852</v>
      </c>
      <c r="B1037" s="25" t="s">
        <v>1048</v>
      </c>
      <c r="C1037" s="55" t="s">
        <v>1560</v>
      </c>
      <c r="D1037" s="51">
        <v>46118.790591770834</v>
      </c>
      <c r="E1037" s="52">
        <v>275.0</v>
      </c>
      <c r="F1037" s="55" t="s">
        <v>1844</v>
      </c>
      <c r="G1037" s="26"/>
      <c r="H1037" s="26"/>
      <c r="I1037" s="26" t="s">
        <v>1049</v>
      </c>
      <c r="J1037" s="26" t="s">
        <v>1821</v>
      </c>
      <c r="K1037" s="26" t="s">
        <v>1821</v>
      </c>
      <c r="L1037" s="26" t="s">
        <v>1566</v>
      </c>
      <c r="M1037" s="26" t="s">
        <v>1566</v>
      </c>
      <c r="N1037" s="26" t="s">
        <v>1566</v>
      </c>
      <c r="O1037" s="26" t="s">
        <v>2101</v>
      </c>
      <c r="P1037" s="26" t="s">
        <v>290</v>
      </c>
      <c r="Q1037" s="26">
        <v>275.0</v>
      </c>
    </row>
    <row r="1038" ht="17.25" customHeight="1">
      <c r="A1038" s="51">
        <v>46119.60407693287</v>
      </c>
      <c r="B1038" s="23" t="s">
        <v>301</v>
      </c>
      <c r="C1038" s="55" t="s">
        <v>1892</v>
      </c>
      <c r="D1038" s="51">
        <v>46119.60407693287</v>
      </c>
      <c r="E1038" s="52">
        <v>10.0</v>
      </c>
      <c r="F1038" s="55" t="s">
        <v>2147</v>
      </c>
      <c r="G1038" s="26"/>
      <c r="H1038" s="26"/>
      <c r="I1038" s="26" t="s">
        <v>302</v>
      </c>
      <c r="J1038" s="26" t="s">
        <v>1830</v>
      </c>
      <c r="K1038" s="26" t="s">
        <v>302</v>
      </c>
      <c r="L1038" s="26" t="s">
        <v>1566</v>
      </c>
      <c r="M1038" s="26" t="s">
        <v>1566</v>
      </c>
      <c r="N1038" s="26" t="s">
        <v>1566</v>
      </c>
      <c r="O1038" s="26" t="s">
        <v>1566</v>
      </c>
      <c r="P1038" s="26" t="s">
        <v>661</v>
      </c>
      <c r="Q1038" s="26">
        <v>580.0</v>
      </c>
    </row>
    <row r="1039" ht="17.25" customHeight="1">
      <c r="A1039" s="51">
        <v>46119.617536770835</v>
      </c>
      <c r="B1039" s="25" t="s">
        <v>1045</v>
      </c>
      <c r="C1039" s="55" t="s">
        <v>1892</v>
      </c>
      <c r="D1039" s="51">
        <v>46119.60407693287</v>
      </c>
      <c r="E1039" s="52">
        <v>350.0</v>
      </c>
      <c r="F1039" s="55" t="s">
        <v>2211</v>
      </c>
      <c r="G1039" s="55" t="s">
        <v>2096</v>
      </c>
      <c r="H1039" s="26"/>
      <c r="I1039" s="26" t="s">
        <v>1046</v>
      </c>
      <c r="J1039" s="26" t="s">
        <v>1225</v>
      </c>
      <c r="K1039" s="26" t="s">
        <v>1562</v>
      </c>
      <c r="L1039" s="26" t="s">
        <v>1633</v>
      </c>
      <c r="M1039" s="26" t="s">
        <v>2093</v>
      </c>
      <c r="N1039" s="26" t="s">
        <v>1566</v>
      </c>
      <c r="O1039" s="26" t="s">
        <v>1566</v>
      </c>
      <c r="P1039" s="26" t="s">
        <v>22</v>
      </c>
      <c r="Q1039" s="26">
        <v>950.0</v>
      </c>
    </row>
    <row r="1040" ht="17.25" customHeight="1">
      <c r="A1040" s="51">
        <v>46119.61957094907</v>
      </c>
      <c r="B1040" s="25" t="s">
        <v>201</v>
      </c>
      <c r="C1040" s="55" t="s">
        <v>1892</v>
      </c>
      <c r="D1040" s="51">
        <v>46119.60407693287</v>
      </c>
      <c r="E1040" s="52">
        <v>130.0</v>
      </c>
      <c r="F1040" s="55" t="s">
        <v>2211</v>
      </c>
      <c r="G1040" s="55" t="s">
        <v>2096</v>
      </c>
      <c r="H1040" s="26"/>
      <c r="I1040" s="26" t="s">
        <v>202</v>
      </c>
      <c r="J1040" s="26" t="s">
        <v>1225</v>
      </c>
      <c r="K1040" s="26" t="s">
        <v>1562</v>
      </c>
      <c r="L1040" s="26" t="s">
        <v>1573</v>
      </c>
      <c r="M1040" s="26" t="s">
        <v>1574</v>
      </c>
      <c r="N1040" s="26" t="s">
        <v>1566</v>
      </c>
      <c r="O1040" s="26" t="s">
        <v>1566</v>
      </c>
      <c r="P1040" s="26" t="s">
        <v>22</v>
      </c>
      <c r="Q1040" s="26">
        <v>600.0</v>
      </c>
    </row>
    <row r="1041" ht="17.25" customHeight="1">
      <c r="A1041" s="51">
        <v>46119.626368032405</v>
      </c>
      <c r="B1041" s="25" t="s">
        <v>159</v>
      </c>
      <c r="C1041" s="55" t="s">
        <v>1560</v>
      </c>
      <c r="D1041" s="51">
        <v>46119.60407693287</v>
      </c>
      <c r="E1041" s="52">
        <v>700.0</v>
      </c>
      <c r="F1041" s="55" t="s">
        <v>2212</v>
      </c>
      <c r="G1041" s="55" t="s">
        <v>2096</v>
      </c>
      <c r="H1041" s="26"/>
      <c r="I1041" s="26" t="s">
        <v>161</v>
      </c>
      <c r="J1041" s="26" t="s">
        <v>1225</v>
      </c>
      <c r="K1041" s="26" t="s">
        <v>1562</v>
      </c>
      <c r="L1041" s="26" t="s">
        <v>1629</v>
      </c>
      <c r="M1041" s="26" t="s">
        <v>1574</v>
      </c>
      <c r="N1041" s="26" t="s">
        <v>1571</v>
      </c>
      <c r="O1041" s="26" t="s">
        <v>1566</v>
      </c>
      <c r="P1041" s="26" t="s">
        <v>22</v>
      </c>
      <c r="Q1041" s="26">
        <v>700.0</v>
      </c>
    </row>
    <row r="1042" ht="17.25" customHeight="1">
      <c r="A1042" s="51">
        <v>46119.62859619213</v>
      </c>
      <c r="B1042" s="25" t="s">
        <v>218</v>
      </c>
      <c r="C1042" s="55" t="s">
        <v>1892</v>
      </c>
      <c r="D1042" s="51">
        <v>46119.60407693287</v>
      </c>
      <c r="E1042" s="52">
        <v>450.0</v>
      </c>
      <c r="F1042" s="55" t="s">
        <v>2211</v>
      </c>
      <c r="G1042" s="55" t="s">
        <v>2096</v>
      </c>
      <c r="H1042" s="26"/>
      <c r="I1042" s="26" t="s">
        <v>219</v>
      </c>
      <c r="J1042" s="26" t="s">
        <v>1225</v>
      </c>
      <c r="K1042" s="26" t="s">
        <v>1646</v>
      </c>
      <c r="L1042" s="26" t="s">
        <v>1625</v>
      </c>
      <c r="M1042" s="26" t="s">
        <v>1648</v>
      </c>
      <c r="N1042" s="26" t="s">
        <v>1566</v>
      </c>
      <c r="O1042" s="26" t="s">
        <v>1566</v>
      </c>
      <c r="P1042" s="26" t="s">
        <v>22</v>
      </c>
      <c r="Q1042" s="26">
        <v>1300.0</v>
      </c>
    </row>
    <row r="1043" ht="17.25" customHeight="1">
      <c r="A1043" s="51">
        <v>46119.63025125</v>
      </c>
      <c r="B1043" s="25" t="s">
        <v>1923</v>
      </c>
      <c r="C1043" s="55" t="s">
        <v>1560</v>
      </c>
      <c r="D1043" s="51">
        <v>46119.60407693287</v>
      </c>
      <c r="E1043" s="52">
        <v>1500.0</v>
      </c>
      <c r="F1043" s="55" t="s">
        <v>2212</v>
      </c>
      <c r="G1043" s="55" t="s">
        <v>2096</v>
      </c>
      <c r="H1043" s="26"/>
      <c r="I1043" s="26" t="s">
        <v>794</v>
      </c>
      <c r="J1043" s="26" t="s">
        <v>1225</v>
      </c>
      <c r="K1043" s="26" t="s">
        <v>1646</v>
      </c>
      <c r="L1043" s="26" t="s">
        <v>1576</v>
      </c>
      <c r="M1043" s="26" t="s">
        <v>1645</v>
      </c>
      <c r="N1043" s="26" t="s">
        <v>1566</v>
      </c>
      <c r="O1043" s="26" t="s">
        <v>1566</v>
      </c>
      <c r="P1043" s="26" t="s">
        <v>22</v>
      </c>
      <c r="Q1043" s="26">
        <v>0.0</v>
      </c>
    </row>
    <row r="1044" ht="17.25" customHeight="1">
      <c r="A1044" s="51">
        <v>46119.63025125</v>
      </c>
      <c r="B1044" s="25" t="s">
        <v>234</v>
      </c>
      <c r="C1044" s="55" t="s">
        <v>1892</v>
      </c>
      <c r="D1044" s="51">
        <v>46119.60407693287</v>
      </c>
      <c r="E1044" s="52">
        <v>288.0</v>
      </c>
      <c r="F1044" s="55" t="s">
        <v>2211</v>
      </c>
      <c r="G1044" s="55" t="s">
        <v>2096</v>
      </c>
      <c r="H1044" s="26"/>
      <c r="I1044" s="26" t="s">
        <v>235</v>
      </c>
      <c r="J1044" s="26" t="s">
        <v>1225</v>
      </c>
      <c r="K1044" s="26" t="s">
        <v>1653</v>
      </c>
      <c r="L1044" s="26" t="s">
        <v>1641</v>
      </c>
      <c r="M1044" s="26" t="s">
        <v>1572</v>
      </c>
      <c r="N1044" s="26" t="s">
        <v>1654</v>
      </c>
      <c r="O1044" s="26" t="s">
        <v>1566</v>
      </c>
      <c r="P1044" s="26" t="s">
        <v>22</v>
      </c>
      <c r="Q1044" s="26">
        <v>1008.0</v>
      </c>
    </row>
    <row r="1045" ht="17.25" customHeight="1">
      <c r="A1045" s="51">
        <v>46119.63390890046</v>
      </c>
      <c r="B1045" s="25" t="s">
        <v>1098</v>
      </c>
      <c r="C1045" s="55" t="s">
        <v>1560</v>
      </c>
      <c r="D1045" s="51">
        <v>46119.60407693287</v>
      </c>
      <c r="E1045" s="52">
        <v>0.0</v>
      </c>
      <c r="F1045" s="55" t="s">
        <v>2212</v>
      </c>
      <c r="G1045" s="55" t="s">
        <v>2096</v>
      </c>
      <c r="H1045" s="26"/>
      <c r="I1045" s="26" t="s">
        <v>1099</v>
      </c>
      <c r="J1045" s="26" t="s">
        <v>1225</v>
      </c>
      <c r="K1045" s="26" t="s">
        <v>1562</v>
      </c>
      <c r="L1045" s="26" t="s">
        <v>1584</v>
      </c>
      <c r="M1045" s="26" t="s">
        <v>1575</v>
      </c>
      <c r="N1045" s="26" t="s">
        <v>1566</v>
      </c>
      <c r="O1045" s="26" t="s">
        <v>1566</v>
      </c>
      <c r="P1045" s="26" t="s">
        <v>22</v>
      </c>
      <c r="Q1045" s="26">
        <v>6700.0</v>
      </c>
    </row>
    <row r="1046" ht="17.25" customHeight="1">
      <c r="A1046" s="51">
        <v>46119.63473128472</v>
      </c>
      <c r="B1046" s="25" t="s">
        <v>197</v>
      </c>
      <c r="C1046" s="55" t="s">
        <v>1560</v>
      </c>
      <c r="D1046" s="51">
        <v>46119.60407693287</v>
      </c>
      <c r="E1046" s="52">
        <v>300.0</v>
      </c>
      <c r="F1046" s="55" t="s">
        <v>2212</v>
      </c>
      <c r="G1046" s="55" t="s">
        <v>2096</v>
      </c>
      <c r="H1046" s="26"/>
      <c r="I1046" s="26" t="s">
        <v>198</v>
      </c>
      <c r="J1046" s="26" t="s">
        <v>1225</v>
      </c>
      <c r="K1046" s="26" t="s">
        <v>1562</v>
      </c>
      <c r="L1046" s="26" t="s">
        <v>1641</v>
      </c>
      <c r="M1046" s="26" t="s">
        <v>1574</v>
      </c>
      <c r="N1046" s="26" t="s">
        <v>1571</v>
      </c>
      <c r="O1046" s="26" t="s">
        <v>1566</v>
      </c>
      <c r="P1046" s="26" t="s">
        <v>22</v>
      </c>
      <c r="Q1046" s="26">
        <v>500.0</v>
      </c>
    </row>
    <row r="1047" ht="17.25" customHeight="1">
      <c r="A1047" s="51">
        <v>46120.40828534722</v>
      </c>
      <c r="B1047" s="23" t="s">
        <v>301</v>
      </c>
      <c r="C1047" s="55" t="s">
        <v>1892</v>
      </c>
      <c r="D1047" s="51">
        <v>46120.40828534722</v>
      </c>
      <c r="E1047" s="52">
        <v>10.0</v>
      </c>
      <c r="F1047" s="55" t="s">
        <v>2209</v>
      </c>
      <c r="G1047" s="26"/>
      <c r="H1047" s="26"/>
      <c r="I1047" s="26" t="s">
        <v>302</v>
      </c>
      <c r="J1047" s="26" t="s">
        <v>1830</v>
      </c>
      <c r="K1047" s="26" t="s">
        <v>302</v>
      </c>
      <c r="L1047" s="26" t="s">
        <v>1566</v>
      </c>
      <c r="M1047" s="26" t="s">
        <v>1566</v>
      </c>
      <c r="N1047" s="26" t="s">
        <v>1566</v>
      </c>
      <c r="O1047" s="26" t="s">
        <v>1566</v>
      </c>
      <c r="P1047" s="26" t="s">
        <v>661</v>
      </c>
      <c r="Q1047" s="26">
        <v>580.0</v>
      </c>
    </row>
    <row r="1048" ht="17.25" customHeight="1">
      <c r="A1048" s="51">
        <v>46120.40895909722</v>
      </c>
      <c r="B1048" s="25" t="s">
        <v>271</v>
      </c>
      <c r="C1048" s="55" t="s">
        <v>1892</v>
      </c>
      <c r="D1048" s="51">
        <v>46120.40828534722</v>
      </c>
      <c r="E1048" s="52">
        <v>1.0</v>
      </c>
      <c r="F1048" s="55" t="s">
        <v>2209</v>
      </c>
      <c r="G1048" s="26"/>
      <c r="H1048" s="26"/>
      <c r="I1048" s="26" t="s">
        <v>277</v>
      </c>
      <c r="J1048" s="26" t="s">
        <v>1821</v>
      </c>
      <c r="K1048" s="26" t="s">
        <v>1822</v>
      </c>
      <c r="L1048" s="26" t="s">
        <v>1824</v>
      </c>
      <c r="M1048" s="26" t="s">
        <v>1566</v>
      </c>
      <c r="N1048" s="26" t="s">
        <v>1566</v>
      </c>
      <c r="O1048" s="26" t="s">
        <v>1566</v>
      </c>
      <c r="P1048" s="26" t="s">
        <v>661</v>
      </c>
      <c r="Q1048" s="26">
        <v>45.0</v>
      </c>
    </row>
    <row r="1049" ht="17.25" customHeight="1">
      <c r="A1049" s="51">
        <v>46120.40919232639</v>
      </c>
      <c r="B1049" s="23" t="s">
        <v>876</v>
      </c>
      <c r="C1049" s="55" t="s">
        <v>1892</v>
      </c>
      <c r="D1049" s="51">
        <v>46119.60407693287</v>
      </c>
      <c r="E1049" s="52">
        <v>2.0</v>
      </c>
      <c r="F1049" s="55" t="s">
        <v>1907</v>
      </c>
      <c r="G1049" s="26"/>
      <c r="H1049" s="26"/>
      <c r="I1049" s="26" t="s">
        <v>878</v>
      </c>
      <c r="J1049" s="26" t="s">
        <v>1830</v>
      </c>
      <c r="K1049" s="26" t="s">
        <v>1879</v>
      </c>
      <c r="L1049" s="26" t="s">
        <v>1566</v>
      </c>
      <c r="M1049" s="26" t="s">
        <v>1566</v>
      </c>
      <c r="N1049" s="26" t="s">
        <v>1566</v>
      </c>
      <c r="O1049" s="26" t="s">
        <v>1566</v>
      </c>
      <c r="P1049" s="26" t="s">
        <v>643</v>
      </c>
      <c r="Q1049" s="26">
        <v>34.0</v>
      </c>
    </row>
    <row r="1050" ht="17.25" customHeight="1">
      <c r="A1050" s="51">
        <v>46120.40936978009</v>
      </c>
      <c r="B1050" s="23" t="s">
        <v>222</v>
      </c>
      <c r="C1050" s="55" t="s">
        <v>1892</v>
      </c>
      <c r="D1050" s="51">
        <v>46119.60407693287</v>
      </c>
      <c r="E1050" s="52">
        <v>4.0</v>
      </c>
      <c r="F1050" s="55" t="s">
        <v>1907</v>
      </c>
      <c r="G1050" s="26"/>
      <c r="H1050" s="26"/>
      <c r="I1050" s="26" t="s">
        <v>230</v>
      </c>
      <c r="J1050" s="26" t="s">
        <v>1821</v>
      </c>
      <c r="K1050" s="26" t="s">
        <v>1822</v>
      </c>
      <c r="L1050" s="26" t="s">
        <v>1828</v>
      </c>
      <c r="M1050" s="26" t="s">
        <v>1590</v>
      </c>
      <c r="N1050" s="26" t="s">
        <v>1566</v>
      </c>
      <c r="O1050" s="26" t="s">
        <v>1566</v>
      </c>
      <c r="P1050" s="26" t="s">
        <v>661</v>
      </c>
      <c r="Q1050" s="26">
        <v>60.0</v>
      </c>
    </row>
    <row r="1051" ht="17.25" customHeight="1">
      <c r="A1051" s="51">
        <v>46120.524899421296</v>
      </c>
      <c r="B1051" s="25" t="s">
        <v>147</v>
      </c>
      <c r="C1051" s="55" t="s">
        <v>1892</v>
      </c>
      <c r="D1051" s="51">
        <v>46118.790591770834</v>
      </c>
      <c r="E1051" s="52">
        <v>150.0</v>
      </c>
      <c r="F1051" s="55" t="s">
        <v>2213</v>
      </c>
      <c r="G1051" s="26"/>
      <c r="H1051" s="26"/>
      <c r="I1051" s="26" t="s">
        <v>148</v>
      </c>
      <c r="J1051" s="26" t="s">
        <v>1225</v>
      </c>
      <c r="K1051" s="26" t="s">
        <v>1562</v>
      </c>
      <c r="L1051" s="26" t="s">
        <v>1633</v>
      </c>
      <c r="M1051" s="26" t="s">
        <v>1574</v>
      </c>
      <c r="N1051" s="26" t="s">
        <v>1566</v>
      </c>
      <c r="O1051" s="26" t="s">
        <v>1566</v>
      </c>
      <c r="P1051" s="26" t="s">
        <v>22</v>
      </c>
      <c r="Q1051" s="26">
        <v>0.0</v>
      </c>
    </row>
    <row r="1052" ht="17.25" customHeight="1">
      <c r="A1052" s="51">
        <v>46120.524899421296</v>
      </c>
      <c r="B1052" s="25" t="s">
        <v>147</v>
      </c>
      <c r="C1052" s="55" t="s">
        <v>1560</v>
      </c>
      <c r="D1052" s="51">
        <v>46118.790591770834</v>
      </c>
      <c r="E1052" s="52">
        <v>2270.0</v>
      </c>
      <c r="F1052" s="55" t="s">
        <v>1561</v>
      </c>
      <c r="G1052" s="26"/>
      <c r="H1052" s="26"/>
      <c r="I1052" s="26" t="s">
        <v>148</v>
      </c>
      <c r="J1052" s="26" t="s">
        <v>1225</v>
      </c>
      <c r="K1052" s="26" t="s">
        <v>1562</v>
      </c>
      <c r="L1052" s="26" t="s">
        <v>1633</v>
      </c>
      <c r="M1052" s="26" t="s">
        <v>1574</v>
      </c>
      <c r="N1052" s="26" t="s">
        <v>1566</v>
      </c>
      <c r="O1052" s="26" t="s">
        <v>1566</v>
      </c>
      <c r="P1052" s="26" t="s">
        <v>22</v>
      </c>
      <c r="Q1052" s="26">
        <v>0.0</v>
      </c>
    </row>
    <row r="1053" ht="17.25" customHeight="1">
      <c r="A1053" s="51">
        <v>46120.62994763889</v>
      </c>
      <c r="B1053" s="25" t="s">
        <v>1045</v>
      </c>
      <c r="C1053" s="55" t="s">
        <v>1560</v>
      </c>
      <c r="D1053" s="51">
        <v>46120.62994763889</v>
      </c>
      <c r="E1053" s="52">
        <v>5000.0</v>
      </c>
      <c r="F1053" s="55" t="s">
        <v>1561</v>
      </c>
      <c r="G1053" s="26"/>
      <c r="H1053" s="26"/>
      <c r="I1053" s="26" t="s">
        <v>1046</v>
      </c>
      <c r="J1053" s="26" t="s">
        <v>1225</v>
      </c>
      <c r="K1053" s="26" t="s">
        <v>1562</v>
      </c>
      <c r="L1053" s="26" t="s">
        <v>1633</v>
      </c>
      <c r="M1053" s="26" t="s">
        <v>2093</v>
      </c>
      <c r="N1053" s="26" t="s">
        <v>1566</v>
      </c>
      <c r="O1053" s="26" t="s">
        <v>1566</v>
      </c>
      <c r="P1053" s="26" t="s">
        <v>22</v>
      </c>
      <c r="Q1053" s="26">
        <v>950.0</v>
      </c>
    </row>
    <row r="1054" ht="17.25" customHeight="1">
      <c r="A1054" s="51">
        <v>46120.631325381946</v>
      </c>
      <c r="B1054" s="23" t="s">
        <v>301</v>
      </c>
      <c r="C1054" s="55" t="s">
        <v>1892</v>
      </c>
      <c r="D1054" s="51">
        <v>46120.62994763889</v>
      </c>
      <c r="E1054" s="52">
        <v>10.0</v>
      </c>
      <c r="F1054" s="55" t="s">
        <v>2124</v>
      </c>
      <c r="G1054" s="26"/>
      <c r="H1054" s="26"/>
      <c r="I1054" s="26" t="s">
        <v>302</v>
      </c>
      <c r="J1054" s="26" t="s">
        <v>1830</v>
      </c>
      <c r="K1054" s="26" t="s">
        <v>302</v>
      </c>
      <c r="L1054" s="26" t="s">
        <v>1566</v>
      </c>
      <c r="M1054" s="26" t="s">
        <v>1566</v>
      </c>
      <c r="N1054" s="26" t="s">
        <v>1566</v>
      </c>
      <c r="O1054" s="26" t="s">
        <v>1566</v>
      </c>
      <c r="P1054" s="26" t="s">
        <v>661</v>
      </c>
      <c r="Q1054" s="26">
        <v>580.0</v>
      </c>
    </row>
    <row r="1055" ht="17.25" customHeight="1">
      <c r="A1055" s="51">
        <v>46120.63164431713</v>
      </c>
      <c r="B1055" s="25" t="s">
        <v>359</v>
      </c>
      <c r="C1055" s="55" t="s">
        <v>1892</v>
      </c>
      <c r="D1055" s="51">
        <v>46120.62994763889</v>
      </c>
      <c r="E1055" s="52">
        <v>8.0</v>
      </c>
      <c r="F1055" s="55" t="s">
        <v>2209</v>
      </c>
      <c r="G1055" s="26"/>
      <c r="H1055" s="26"/>
      <c r="I1055" s="26" t="s">
        <v>370</v>
      </c>
      <c r="J1055" s="26" t="s">
        <v>370</v>
      </c>
      <c r="K1055" s="26" t="s">
        <v>370</v>
      </c>
      <c r="L1055" s="26" t="s">
        <v>1566</v>
      </c>
      <c r="M1055" s="26" t="s">
        <v>1566</v>
      </c>
      <c r="N1055" s="26" t="s">
        <v>1566</v>
      </c>
      <c r="O1055" s="26" t="s">
        <v>1566</v>
      </c>
      <c r="P1055" s="26" t="s">
        <v>661</v>
      </c>
      <c r="Q1055" s="26">
        <v>100.0</v>
      </c>
    </row>
    <row r="1056" ht="17.25" customHeight="1">
      <c r="A1056" s="51">
        <v>46192.63259136574</v>
      </c>
      <c r="B1056" s="23" t="s">
        <v>437</v>
      </c>
      <c r="C1056" s="55" t="s">
        <v>1892</v>
      </c>
      <c r="D1056" s="51">
        <v>46120.62994763889</v>
      </c>
      <c r="E1056" s="52">
        <v>2.0</v>
      </c>
      <c r="F1056" s="55" t="s">
        <v>2124</v>
      </c>
      <c r="G1056" s="26"/>
      <c r="H1056" s="26"/>
      <c r="I1056" s="26" t="s">
        <v>438</v>
      </c>
      <c r="J1056" s="26" t="s">
        <v>1674</v>
      </c>
      <c r="K1056" s="26" t="s">
        <v>1691</v>
      </c>
      <c r="L1056" s="26" t="s">
        <v>1566</v>
      </c>
      <c r="M1056" s="26" t="s">
        <v>1566</v>
      </c>
      <c r="N1056" s="26" t="s">
        <v>1721</v>
      </c>
      <c r="O1056" s="26" t="s">
        <v>1677</v>
      </c>
      <c r="P1056" s="26" t="s">
        <v>290</v>
      </c>
      <c r="Q1056" s="26">
        <v>5.0</v>
      </c>
    </row>
    <row r="1057" ht="17.25" customHeight="1">
      <c r="A1057" s="51">
        <v>46120.632958807866</v>
      </c>
      <c r="B1057" s="25" t="s">
        <v>301</v>
      </c>
      <c r="C1057" s="55" t="s">
        <v>1892</v>
      </c>
      <c r="D1057" s="51">
        <v>46120.62994763889</v>
      </c>
      <c r="E1057" s="52">
        <v>50.0</v>
      </c>
      <c r="F1057" s="55" t="s">
        <v>2096</v>
      </c>
      <c r="G1057" s="26"/>
      <c r="H1057" s="26"/>
      <c r="I1057" s="26" t="s">
        <v>302</v>
      </c>
      <c r="J1057" s="26" t="s">
        <v>1830</v>
      </c>
      <c r="K1057" s="26" t="s">
        <v>302</v>
      </c>
      <c r="L1057" s="26" t="s">
        <v>1566</v>
      </c>
      <c r="M1057" s="26" t="s">
        <v>1566</v>
      </c>
      <c r="N1057" s="26" t="s">
        <v>1566</v>
      </c>
      <c r="O1057" s="26" t="s">
        <v>1566</v>
      </c>
      <c r="P1057" s="26" t="s">
        <v>661</v>
      </c>
      <c r="Q1057" s="26">
        <v>580.0</v>
      </c>
    </row>
    <row r="1058" ht="17.25" customHeight="1">
      <c r="A1058" s="51">
        <v>46120.766131516204</v>
      </c>
      <c r="B1058" s="25" t="s">
        <v>945</v>
      </c>
      <c r="C1058" s="55" t="s">
        <v>1892</v>
      </c>
      <c r="D1058" s="51">
        <v>46120.62994763889</v>
      </c>
      <c r="E1058" s="52">
        <v>25.0</v>
      </c>
      <c r="F1058" s="55" t="s">
        <v>2147</v>
      </c>
      <c r="G1058" s="26"/>
      <c r="H1058" s="26"/>
      <c r="I1058" s="26" t="s">
        <v>946</v>
      </c>
      <c r="J1058" s="26" t="s">
        <v>1812</v>
      </c>
      <c r="K1058" s="26" t="s">
        <v>1815</v>
      </c>
      <c r="L1058" s="26" t="s">
        <v>1566</v>
      </c>
      <c r="M1058" s="26" t="s">
        <v>1566</v>
      </c>
      <c r="N1058" s="26" t="s">
        <v>1566</v>
      </c>
      <c r="O1058" s="26" t="s">
        <v>1903</v>
      </c>
      <c r="P1058" s="26" t="s">
        <v>616</v>
      </c>
      <c r="Q1058" s="26">
        <v>25.0</v>
      </c>
    </row>
    <row r="1059" ht="17.25" customHeight="1">
      <c r="A1059" s="51">
        <v>46120.76652341435</v>
      </c>
      <c r="B1059" s="25" t="s">
        <v>32</v>
      </c>
      <c r="C1059" s="55" t="s">
        <v>1892</v>
      </c>
      <c r="D1059" s="51">
        <v>46120.62994763889</v>
      </c>
      <c r="E1059" s="52">
        <v>1.0</v>
      </c>
      <c r="F1059" s="55" t="s">
        <v>2147</v>
      </c>
      <c r="G1059" s="26"/>
      <c r="H1059" s="26"/>
      <c r="I1059" s="26" t="s">
        <v>34</v>
      </c>
      <c r="J1059" s="26" t="s">
        <v>1807</v>
      </c>
      <c r="K1059" s="26" t="s">
        <v>1807</v>
      </c>
      <c r="L1059" s="26" t="s">
        <v>1566</v>
      </c>
      <c r="M1059" s="26" t="s">
        <v>1566</v>
      </c>
      <c r="N1059" s="26" t="s">
        <v>1566</v>
      </c>
      <c r="O1059" s="26" t="s">
        <v>1808</v>
      </c>
      <c r="P1059" s="26" t="s">
        <v>290</v>
      </c>
      <c r="Q1059" s="26">
        <v>7.0</v>
      </c>
    </row>
    <row r="1060" ht="17.25" customHeight="1">
      <c r="A1060" s="51">
        <v>46120.766785</v>
      </c>
      <c r="B1060" s="25" t="s">
        <v>682</v>
      </c>
      <c r="C1060" s="55" t="s">
        <v>1892</v>
      </c>
      <c r="D1060" s="51">
        <v>46120.62994763889</v>
      </c>
      <c r="E1060" s="52">
        <v>1.0</v>
      </c>
      <c r="F1060" s="55" t="s">
        <v>2147</v>
      </c>
      <c r="G1060" s="26"/>
      <c r="H1060" s="26"/>
      <c r="I1060" s="26" t="s">
        <v>690</v>
      </c>
      <c r="J1060" s="26" t="s">
        <v>1830</v>
      </c>
      <c r="K1060" s="26" t="s">
        <v>1830</v>
      </c>
      <c r="L1060" s="26" t="s">
        <v>1566</v>
      </c>
      <c r="M1060" s="26" t="s">
        <v>1566</v>
      </c>
      <c r="N1060" s="26" t="s">
        <v>1566</v>
      </c>
      <c r="O1060" s="26" t="s">
        <v>1566</v>
      </c>
      <c r="P1060" s="26" t="s">
        <v>661</v>
      </c>
      <c r="Q1060" s="26">
        <v>14.0</v>
      </c>
    </row>
    <row r="1061" ht="17.25" customHeight="1">
      <c r="A1061" s="51">
        <v>46120.79379326389</v>
      </c>
      <c r="B1061" s="25" t="s">
        <v>1623</v>
      </c>
      <c r="C1061" s="55" t="s">
        <v>1892</v>
      </c>
      <c r="D1061" s="51">
        <v>46120.62994763889</v>
      </c>
      <c r="E1061" s="52">
        <v>300.0</v>
      </c>
      <c r="F1061" s="55" t="s">
        <v>2214</v>
      </c>
      <c r="G1061" s="55" t="s">
        <v>2215</v>
      </c>
      <c r="H1061" s="26"/>
      <c r="I1061" s="26" t="s">
        <v>1624</v>
      </c>
      <c r="J1061" s="26" t="s">
        <v>1225</v>
      </c>
      <c r="K1061" s="26" t="s">
        <v>1562</v>
      </c>
      <c r="L1061" s="26" t="s">
        <v>1625</v>
      </c>
      <c r="M1061" s="26" t="s">
        <v>1626</v>
      </c>
      <c r="N1061" s="26" t="s">
        <v>1571</v>
      </c>
      <c r="O1061" s="26" t="s">
        <v>1566</v>
      </c>
      <c r="P1061" s="26" t="s">
        <v>22</v>
      </c>
      <c r="Q1061" s="26">
        <v>0.0</v>
      </c>
    </row>
    <row r="1062" ht="17.25" customHeight="1">
      <c r="A1062" s="51">
        <v>46121.40803407408</v>
      </c>
      <c r="B1062" s="25" t="s">
        <v>83</v>
      </c>
      <c r="C1062" s="55" t="s">
        <v>1892</v>
      </c>
      <c r="D1062" s="51">
        <v>46120.62994763889</v>
      </c>
      <c r="E1062" s="52">
        <v>900.0</v>
      </c>
      <c r="F1062" s="55" t="s">
        <v>2214</v>
      </c>
      <c r="G1062" s="55">
        <v>699.0</v>
      </c>
      <c r="H1062" s="26"/>
      <c r="I1062" s="26" t="s">
        <v>84</v>
      </c>
      <c r="J1062" s="26" t="s">
        <v>1225</v>
      </c>
      <c r="K1062" s="26" t="s">
        <v>1562</v>
      </c>
      <c r="L1062" s="26" t="s">
        <v>1600</v>
      </c>
      <c r="M1062" s="26" t="s">
        <v>1597</v>
      </c>
      <c r="N1062" s="26" t="s">
        <v>1571</v>
      </c>
      <c r="O1062" s="26" t="s">
        <v>1566</v>
      </c>
      <c r="P1062" s="26" t="s">
        <v>22</v>
      </c>
      <c r="Q1062" s="26">
        <v>2000.0</v>
      </c>
    </row>
    <row r="1063" ht="17.25" customHeight="1">
      <c r="A1063" s="51">
        <v>46121.40921866898</v>
      </c>
      <c r="B1063" s="25" t="s">
        <v>1045</v>
      </c>
      <c r="C1063" s="55" t="s">
        <v>1892</v>
      </c>
      <c r="D1063" s="51">
        <v>46120.62994763889</v>
      </c>
      <c r="E1063" s="52">
        <v>1200.0</v>
      </c>
      <c r="F1063" s="55" t="s">
        <v>2214</v>
      </c>
      <c r="G1063" s="55">
        <v>705.0</v>
      </c>
      <c r="H1063" s="26"/>
      <c r="I1063" s="26" t="s">
        <v>1046</v>
      </c>
      <c r="J1063" s="26" t="s">
        <v>1225</v>
      </c>
      <c r="K1063" s="26" t="s">
        <v>1562</v>
      </c>
      <c r="L1063" s="26" t="s">
        <v>1633</v>
      </c>
      <c r="M1063" s="26" t="s">
        <v>2093</v>
      </c>
      <c r="N1063" s="26" t="s">
        <v>1566</v>
      </c>
      <c r="O1063" s="26" t="s">
        <v>1566</v>
      </c>
      <c r="P1063" s="26" t="s">
        <v>22</v>
      </c>
      <c r="Q1063" s="26">
        <v>950.0</v>
      </c>
    </row>
    <row r="1064" ht="17.25" customHeight="1">
      <c r="A1064" s="51">
        <v>46121.447872627316</v>
      </c>
      <c r="B1064" s="23" t="s">
        <v>301</v>
      </c>
      <c r="C1064" s="55" t="s">
        <v>1892</v>
      </c>
      <c r="D1064" s="51">
        <v>46121.447872627316</v>
      </c>
      <c r="E1064" s="52">
        <v>15.0</v>
      </c>
      <c r="F1064" s="55" t="s">
        <v>2124</v>
      </c>
      <c r="G1064" s="26"/>
      <c r="H1064" s="26"/>
      <c r="I1064" s="26" t="s">
        <v>302</v>
      </c>
      <c r="J1064" s="26" t="s">
        <v>1830</v>
      </c>
      <c r="K1064" s="26" t="s">
        <v>302</v>
      </c>
      <c r="L1064" s="26" t="s">
        <v>1566</v>
      </c>
      <c r="M1064" s="26" t="s">
        <v>1566</v>
      </c>
      <c r="N1064" s="26" t="s">
        <v>1566</v>
      </c>
      <c r="O1064" s="26" t="s">
        <v>1566</v>
      </c>
      <c r="P1064" s="26" t="s">
        <v>661</v>
      </c>
      <c r="Q1064" s="26">
        <v>580.0</v>
      </c>
    </row>
    <row r="1065" ht="17.25" customHeight="1">
      <c r="A1065" s="51">
        <v>46121.448005046295</v>
      </c>
      <c r="B1065" s="25" t="s">
        <v>1091</v>
      </c>
      <c r="C1065" s="55" t="s">
        <v>1892</v>
      </c>
      <c r="D1065" s="51">
        <v>46121.447872627316</v>
      </c>
      <c r="E1065" s="52">
        <v>10.0</v>
      </c>
      <c r="F1065" s="55" t="s">
        <v>2124</v>
      </c>
      <c r="G1065" s="26"/>
      <c r="H1065" s="26"/>
      <c r="I1065" s="26" t="s">
        <v>1092</v>
      </c>
      <c r="J1065" s="26" t="s">
        <v>1830</v>
      </c>
      <c r="K1065" s="26" t="s">
        <v>1830</v>
      </c>
      <c r="L1065" s="26" t="s">
        <v>1566</v>
      </c>
      <c r="M1065" s="26" t="s">
        <v>1566</v>
      </c>
      <c r="N1065" s="26" t="s">
        <v>1566</v>
      </c>
      <c r="O1065" s="26" t="s">
        <v>1566</v>
      </c>
      <c r="P1065" s="26" t="s">
        <v>22</v>
      </c>
      <c r="Q1065" s="26">
        <v>52.0</v>
      </c>
    </row>
    <row r="1066" ht="17.25" customHeight="1">
      <c r="A1066" s="51">
        <v>46121.630095162036</v>
      </c>
      <c r="B1066" s="25" t="s">
        <v>21</v>
      </c>
      <c r="C1066" s="55" t="s">
        <v>1892</v>
      </c>
      <c r="D1066" s="51">
        <v>46121.447872627316</v>
      </c>
      <c r="E1066" s="52">
        <v>25.0</v>
      </c>
      <c r="F1066" s="55" t="s">
        <v>2124</v>
      </c>
      <c r="G1066" s="26"/>
      <c r="H1066" s="26"/>
      <c r="I1066" s="26" t="s">
        <v>23</v>
      </c>
      <c r="J1066" s="26" t="s">
        <v>1812</v>
      </c>
      <c r="K1066" s="26" t="s">
        <v>1815</v>
      </c>
      <c r="L1066" s="26" t="s">
        <v>1566</v>
      </c>
      <c r="M1066" s="26" t="s">
        <v>1566</v>
      </c>
      <c r="N1066" s="26" t="s">
        <v>1566</v>
      </c>
      <c r="O1066" s="26" t="s">
        <v>1818</v>
      </c>
      <c r="P1066" s="26" t="s">
        <v>616</v>
      </c>
      <c r="Q1066" s="26">
        <v>20.0</v>
      </c>
    </row>
    <row r="1067" ht="17.25" customHeight="1">
      <c r="A1067" s="51">
        <v>46121.630218668986</v>
      </c>
      <c r="B1067" s="23" t="s">
        <v>301</v>
      </c>
      <c r="C1067" s="55" t="s">
        <v>1892</v>
      </c>
      <c r="D1067" s="51">
        <v>46121.447872627316</v>
      </c>
      <c r="E1067" s="52">
        <v>10.0</v>
      </c>
      <c r="F1067" s="55" t="s">
        <v>2147</v>
      </c>
      <c r="G1067" s="26"/>
      <c r="H1067" s="26"/>
      <c r="I1067" s="26" t="s">
        <v>302</v>
      </c>
      <c r="J1067" s="26" t="s">
        <v>1830</v>
      </c>
      <c r="K1067" s="26" t="s">
        <v>302</v>
      </c>
      <c r="L1067" s="26" t="s">
        <v>1566</v>
      </c>
      <c r="M1067" s="26" t="s">
        <v>1566</v>
      </c>
      <c r="N1067" s="26" t="s">
        <v>1566</v>
      </c>
      <c r="O1067" s="26" t="s">
        <v>1566</v>
      </c>
      <c r="P1067" s="26" t="s">
        <v>661</v>
      </c>
      <c r="Q1067" s="26">
        <v>580.0</v>
      </c>
    </row>
    <row r="1068" ht="17.25" customHeight="1">
      <c r="A1068" s="51">
        <v>46121.64265822917</v>
      </c>
      <c r="B1068" s="25" t="s">
        <v>179</v>
      </c>
      <c r="C1068" s="55" t="s">
        <v>1560</v>
      </c>
      <c r="D1068" s="51">
        <v>46121.447872627316</v>
      </c>
      <c r="E1068" s="195">
        <v>3600.0</v>
      </c>
      <c r="F1068" s="55" t="s">
        <v>1561</v>
      </c>
      <c r="G1068" s="55" t="s">
        <v>2216</v>
      </c>
      <c r="H1068" s="26"/>
      <c r="I1068" s="26" t="s">
        <v>180</v>
      </c>
      <c r="J1068" s="26" t="s">
        <v>1225</v>
      </c>
      <c r="K1068" s="26" t="s">
        <v>1653</v>
      </c>
      <c r="L1068" s="26" t="s">
        <v>1563</v>
      </c>
      <c r="M1068" s="26" t="s">
        <v>1572</v>
      </c>
      <c r="N1068" s="26" t="s">
        <v>1654</v>
      </c>
      <c r="O1068" s="26" t="s">
        <v>1566</v>
      </c>
      <c r="P1068" s="26" t="s">
        <v>22</v>
      </c>
      <c r="Q1068" s="26">
        <v>0.0</v>
      </c>
    </row>
    <row r="1069" ht="17.25" customHeight="1">
      <c r="A1069" s="51">
        <v>46121.64330271991</v>
      </c>
      <c r="B1069" s="25" t="s">
        <v>179</v>
      </c>
      <c r="C1069" s="55" t="s">
        <v>1892</v>
      </c>
      <c r="D1069" s="51">
        <v>46121.447872627316</v>
      </c>
      <c r="E1069" s="52">
        <v>720.0</v>
      </c>
      <c r="F1069" s="55" t="s">
        <v>1561</v>
      </c>
      <c r="G1069" s="55">
        <v>704.0</v>
      </c>
      <c r="H1069" s="26"/>
      <c r="I1069" s="26" t="s">
        <v>180</v>
      </c>
      <c r="J1069" s="26" t="s">
        <v>1225</v>
      </c>
      <c r="K1069" s="26" t="s">
        <v>1653</v>
      </c>
      <c r="L1069" s="26" t="s">
        <v>1563</v>
      </c>
      <c r="M1069" s="26" t="s">
        <v>1572</v>
      </c>
      <c r="N1069" s="26" t="s">
        <v>1654</v>
      </c>
      <c r="O1069" s="26" t="s">
        <v>1566</v>
      </c>
      <c r="P1069" s="26" t="s">
        <v>22</v>
      </c>
      <c r="Q1069" s="26">
        <v>0.0</v>
      </c>
    </row>
    <row r="1070" ht="17.25" customHeight="1">
      <c r="A1070" s="51">
        <v>46121.64341960648</v>
      </c>
      <c r="B1070" s="25" t="s">
        <v>179</v>
      </c>
      <c r="C1070" s="55" t="s">
        <v>1892</v>
      </c>
      <c r="D1070" s="51">
        <v>46121.447872627316</v>
      </c>
      <c r="E1070" s="52">
        <v>1080.0</v>
      </c>
      <c r="F1070" s="55" t="s">
        <v>1561</v>
      </c>
      <c r="G1070" s="55">
        <v>702.0</v>
      </c>
      <c r="H1070" s="26"/>
      <c r="I1070" s="26" t="s">
        <v>180</v>
      </c>
      <c r="J1070" s="26" t="s">
        <v>1225</v>
      </c>
      <c r="K1070" s="26" t="s">
        <v>1653</v>
      </c>
      <c r="L1070" s="26" t="s">
        <v>1563</v>
      </c>
      <c r="M1070" s="26" t="s">
        <v>1572</v>
      </c>
      <c r="N1070" s="26" t="s">
        <v>1654</v>
      </c>
      <c r="O1070" s="26" t="s">
        <v>1566</v>
      </c>
      <c r="P1070" s="26" t="s">
        <v>22</v>
      </c>
      <c r="Q1070" s="26">
        <v>0.0</v>
      </c>
    </row>
    <row r="1071" ht="17.25" customHeight="1">
      <c r="A1071" s="51">
        <v>46121.64413832176</v>
      </c>
      <c r="B1071" s="25" t="s">
        <v>1559</v>
      </c>
      <c r="C1071" s="55" t="s">
        <v>1892</v>
      </c>
      <c r="D1071" s="51">
        <v>46121.447872627316</v>
      </c>
      <c r="E1071" s="52">
        <v>400.0</v>
      </c>
      <c r="F1071" s="55" t="s">
        <v>1561</v>
      </c>
      <c r="G1071" s="55">
        <v>703.0</v>
      </c>
      <c r="H1071" s="26"/>
      <c r="I1071" s="26" t="s">
        <v>1672</v>
      </c>
      <c r="J1071" s="26" t="s">
        <v>1225</v>
      </c>
      <c r="K1071" s="26" t="s">
        <v>1562</v>
      </c>
      <c r="L1071" s="26" t="s">
        <v>1563</v>
      </c>
      <c r="M1071" s="26" t="s">
        <v>1564</v>
      </c>
      <c r="N1071" s="26" t="s">
        <v>1565</v>
      </c>
      <c r="O1071" s="26" t="s">
        <v>1566</v>
      </c>
      <c r="P1071" s="26" t="s">
        <v>22</v>
      </c>
      <c r="Q1071" s="26">
        <v>0.0</v>
      </c>
    </row>
    <row r="1072" ht="17.25" customHeight="1">
      <c r="A1072" s="51">
        <v>46121.69998614583</v>
      </c>
      <c r="B1072" s="25" t="s">
        <v>1088</v>
      </c>
      <c r="C1072" s="55" t="s">
        <v>1892</v>
      </c>
      <c r="D1072" s="51">
        <v>46121.447872627316</v>
      </c>
      <c r="E1072" s="52">
        <v>2300.0</v>
      </c>
      <c r="F1072" s="55" t="s">
        <v>1561</v>
      </c>
      <c r="G1072" s="55">
        <v>700.0</v>
      </c>
      <c r="H1072" s="26"/>
      <c r="I1072" s="26" t="s">
        <v>1089</v>
      </c>
      <c r="J1072" s="26" t="s">
        <v>1225</v>
      </c>
      <c r="K1072" s="26" t="s">
        <v>1562</v>
      </c>
      <c r="L1072" s="26" t="s">
        <v>2118</v>
      </c>
      <c r="M1072" s="26" t="s">
        <v>1622</v>
      </c>
      <c r="N1072" s="26" t="s">
        <v>1566</v>
      </c>
      <c r="O1072" s="26" t="s">
        <v>1566</v>
      </c>
      <c r="P1072" s="26" t="s">
        <v>22</v>
      </c>
      <c r="Q1072" s="26">
        <v>200.0</v>
      </c>
    </row>
    <row r="1073" ht="17.25" customHeight="1">
      <c r="A1073" s="51">
        <v>46121.74230917824</v>
      </c>
      <c r="B1073" s="25" t="s">
        <v>347</v>
      </c>
      <c r="C1073" s="55" t="s">
        <v>1892</v>
      </c>
      <c r="D1073" s="51">
        <v>46121.447872627316</v>
      </c>
      <c r="E1073" s="52">
        <v>650.0</v>
      </c>
      <c r="F1073" s="55" t="s">
        <v>1561</v>
      </c>
      <c r="G1073" s="55">
        <v>701.0</v>
      </c>
      <c r="H1073" s="26"/>
      <c r="I1073" s="26" t="s">
        <v>349</v>
      </c>
      <c r="J1073" s="26" t="s">
        <v>1225</v>
      </c>
      <c r="K1073" s="26" t="s">
        <v>1562</v>
      </c>
      <c r="L1073" s="26" t="s">
        <v>1591</v>
      </c>
      <c r="M1073" s="26" t="s">
        <v>1564</v>
      </c>
      <c r="N1073" s="26" t="s">
        <v>1565</v>
      </c>
      <c r="O1073" s="26" t="s">
        <v>1566</v>
      </c>
      <c r="P1073" s="26" t="s">
        <v>22</v>
      </c>
      <c r="Q1073" s="26">
        <v>1800.0</v>
      </c>
    </row>
    <row r="1074" ht="17.25" customHeight="1">
      <c r="A1074" s="51">
        <v>46122.40720230324</v>
      </c>
      <c r="B1074" s="25" t="s">
        <v>437</v>
      </c>
      <c r="C1074" s="55" t="s">
        <v>1892</v>
      </c>
      <c r="D1074" s="51">
        <v>46121.447872627316</v>
      </c>
      <c r="E1074" s="52">
        <v>2.0</v>
      </c>
      <c r="F1074" s="55" t="s">
        <v>2124</v>
      </c>
      <c r="G1074" s="26"/>
      <c r="H1074" s="26"/>
      <c r="I1074" s="26" t="s">
        <v>438</v>
      </c>
      <c r="J1074" s="26" t="s">
        <v>1674</v>
      </c>
      <c r="K1074" s="26" t="s">
        <v>1691</v>
      </c>
      <c r="L1074" s="26" t="s">
        <v>1566</v>
      </c>
      <c r="M1074" s="26" t="s">
        <v>1566</v>
      </c>
      <c r="N1074" s="26" t="s">
        <v>1721</v>
      </c>
      <c r="O1074" s="26" t="s">
        <v>1677</v>
      </c>
      <c r="P1074" s="26" t="s">
        <v>290</v>
      </c>
      <c r="Q1074" s="26">
        <v>5.0</v>
      </c>
    </row>
    <row r="1075" ht="17.25" customHeight="1">
      <c r="A1075" s="51">
        <v>46122.573152916666</v>
      </c>
      <c r="B1075" s="25" t="s">
        <v>32</v>
      </c>
      <c r="C1075" s="55" t="s">
        <v>1892</v>
      </c>
      <c r="D1075" s="51">
        <v>46122.573152916666</v>
      </c>
      <c r="E1075" s="52">
        <v>2.0</v>
      </c>
      <c r="F1075" s="55" t="s">
        <v>630</v>
      </c>
      <c r="G1075" s="26"/>
      <c r="H1075" s="26"/>
      <c r="I1075" s="26" t="s">
        <v>34</v>
      </c>
      <c r="J1075" s="26" t="s">
        <v>1807</v>
      </c>
      <c r="K1075" s="26" t="s">
        <v>1807</v>
      </c>
      <c r="L1075" s="26" t="s">
        <v>1566</v>
      </c>
      <c r="M1075" s="26" t="s">
        <v>1566</v>
      </c>
      <c r="N1075" s="26" t="s">
        <v>1566</v>
      </c>
      <c r="O1075" s="26" t="s">
        <v>1808</v>
      </c>
      <c r="P1075" s="26" t="s">
        <v>290</v>
      </c>
      <c r="Q1075" s="26">
        <v>7.0</v>
      </c>
    </row>
    <row r="1076" ht="17.25" customHeight="1">
      <c r="A1076" s="51">
        <v>46122.57344050926</v>
      </c>
      <c r="B1076" s="25" t="s">
        <v>1014</v>
      </c>
      <c r="C1076" s="55" t="s">
        <v>1892</v>
      </c>
      <c r="D1076" s="51">
        <v>46122.573152916666</v>
      </c>
      <c r="E1076" s="52">
        <v>500.0</v>
      </c>
      <c r="F1076" s="55" t="s">
        <v>2217</v>
      </c>
      <c r="G1076" s="55" t="s">
        <v>2096</v>
      </c>
      <c r="H1076" s="26"/>
      <c r="I1076" s="26" t="s">
        <v>1015</v>
      </c>
      <c r="J1076" s="26" t="s">
        <v>1225</v>
      </c>
      <c r="K1076" s="26" t="s">
        <v>1562</v>
      </c>
      <c r="L1076" s="26" t="s">
        <v>1573</v>
      </c>
      <c r="M1076" s="26" t="s">
        <v>2057</v>
      </c>
      <c r="N1076" s="26" t="s">
        <v>1566</v>
      </c>
      <c r="O1076" s="26" t="s">
        <v>1566</v>
      </c>
      <c r="P1076" s="26" t="s">
        <v>22</v>
      </c>
      <c r="Q1076" s="26">
        <v>835.0</v>
      </c>
    </row>
    <row r="1077" ht="17.25" customHeight="1">
      <c r="A1077" s="51">
        <v>46122.7538109375</v>
      </c>
      <c r="B1077" s="27" t="s">
        <v>593</v>
      </c>
      <c r="C1077" s="55" t="s">
        <v>1560</v>
      </c>
      <c r="D1077" s="51">
        <v>46122.573152916666</v>
      </c>
      <c r="E1077" s="52">
        <v>3000.0</v>
      </c>
      <c r="F1077" s="55" t="s">
        <v>1561</v>
      </c>
      <c r="G1077" s="55" t="s">
        <v>2218</v>
      </c>
      <c r="H1077" s="26"/>
      <c r="I1077" s="26" t="s">
        <v>594</v>
      </c>
      <c r="J1077" s="26" t="s">
        <v>1225</v>
      </c>
      <c r="K1077" s="26" t="s">
        <v>1562</v>
      </c>
      <c r="L1077" s="26" t="s">
        <v>1591</v>
      </c>
      <c r="M1077" s="26" t="s">
        <v>2049</v>
      </c>
      <c r="N1077" s="26" t="s">
        <v>1566</v>
      </c>
      <c r="O1077" s="26" t="s">
        <v>1566</v>
      </c>
      <c r="P1077" s="26" t="s">
        <v>22</v>
      </c>
      <c r="Q1077" s="26">
        <v>0.0</v>
      </c>
    </row>
    <row r="1078" ht="17.25" customHeight="1">
      <c r="A1078" s="51">
        <v>46122.756252974534</v>
      </c>
      <c r="B1078" s="26" t="s">
        <v>1722</v>
      </c>
      <c r="C1078" s="55" t="s">
        <v>1560</v>
      </c>
      <c r="D1078" s="51">
        <v>46122.573152916666</v>
      </c>
      <c r="E1078" s="52">
        <v>500.0</v>
      </c>
      <c r="F1078" s="55" t="s">
        <v>1561</v>
      </c>
      <c r="G1078" s="55" t="s">
        <v>2219</v>
      </c>
      <c r="H1078" s="26"/>
      <c r="I1078" s="26" t="s">
        <v>1723</v>
      </c>
      <c r="J1078" s="26" t="s">
        <v>1225</v>
      </c>
      <c r="K1078" s="26" t="s">
        <v>1562</v>
      </c>
      <c r="L1078" s="26" t="s">
        <v>1633</v>
      </c>
      <c r="M1078" s="26" t="s">
        <v>1574</v>
      </c>
      <c r="N1078" s="26" t="s">
        <v>1566</v>
      </c>
      <c r="O1078" s="26" t="s">
        <v>2128</v>
      </c>
      <c r="P1078" s="26" t="s">
        <v>22</v>
      </c>
      <c r="Q1078" s="26">
        <v>0.0</v>
      </c>
    </row>
    <row r="1079" ht="17.25" customHeight="1">
      <c r="A1079" s="51">
        <v>46122.757308078704</v>
      </c>
      <c r="B1079" s="27" t="s">
        <v>1724</v>
      </c>
      <c r="C1079" s="55" t="s">
        <v>1560</v>
      </c>
      <c r="D1079" s="51">
        <v>46122.573152916666</v>
      </c>
      <c r="E1079" s="52">
        <v>600.0</v>
      </c>
      <c r="F1079" s="55" t="s">
        <v>1561</v>
      </c>
      <c r="G1079" s="55" t="s">
        <v>2220</v>
      </c>
      <c r="H1079" s="26"/>
      <c r="I1079" s="26" t="s">
        <v>1725</v>
      </c>
      <c r="J1079" s="26" t="s">
        <v>1225</v>
      </c>
      <c r="K1079" s="26" t="s">
        <v>1562</v>
      </c>
      <c r="L1079" s="26" t="s">
        <v>1591</v>
      </c>
      <c r="M1079" s="26" t="s">
        <v>1574</v>
      </c>
      <c r="N1079" s="26" t="s">
        <v>1566</v>
      </c>
      <c r="O1079" s="26" t="s">
        <v>2128</v>
      </c>
      <c r="P1079" s="26" t="s">
        <v>22</v>
      </c>
      <c r="Q1079" s="26">
        <v>0.0</v>
      </c>
    </row>
    <row r="1080" ht="17.25" customHeight="1">
      <c r="A1080" s="51">
        <v>46122.75776199074</v>
      </c>
      <c r="B1080" s="25" t="s">
        <v>1589</v>
      </c>
      <c r="C1080" s="55" t="s">
        <v>1560</v>
      </c>
      <c r="D1080" s="51">
        <v>46122.573152916666</v>
      </c>
      <c r="E1080" s="52">
        <v>600.0</v>
      </c>
      <c r="F1080" s="55" t="s">
        <v>1561</v>
      </c>
      <c r="G1080" s="55" t="s">
        <v>2221</v>
      </c>
      <c r="H1080" s="26"/>
      <c r="I1080" s="26" t="s">
        <v>1695</v>
      </c>
      <c r="J1080" s="26" t="s">
        <v>1225</v>
      </c>
      <c r="K1080" s="26" t="s">
        <v>1562</v>
      </c>
      <c r="L1080" s="26" t="s">
        <v>1573</v>
      </c>
      <c r="M1080" s="26" t="s">
        <v>1604</v>
      </c>
      <c r="N1080" s="26" t="s">
        <v>1566</v>
      </c>
      <c r="O1080" s="26" t="s">
        <v>1566</v>
      </c>
      <c r="P1080" s="26" t="s">
        <v>22</v>
      </c>
      <c r="Q1080" s="26">
        <v>0.0</v>
      </c>
    </row>
    <row r="1081" ht="17.25" customHeight="1">
      <c r="A1081" s="51">
        <v>46122.758707939814</v>
      </c>
      <c r="B1081" s="25" t="s">
        <v>1014</v>
      </c>
      <c r="C1081" s="55" t="s">
        <v>1560</v>
      </c>
      <c r="D1081" s="51">
        <v>46122.573152916666</v>
      </c>
      <c r="E1081" s="52">
        <v>2900.0</v>
      </c>
      <c r="F1081" s="55" t="s">
        <v>1561</v>
      </c>
      <c r="G1081" s="55" t="s">
        <v>2222</v>
      </c>
      <c r="H1081" s="26"/>
      <c r="I1081" s="26" t="s">
        <v>1015</v>
      </c>
      <c r="J1081" s="26" t="s">
        <v>1225</v>
      </c>
      <c r="K1081" s="26" t="s">
        <v>1562</v>
      </c>
      <c r="L1081" s="26" t="s">
        <v>1573</v>
      </c>
      <c r="M1081" s="26" t="s">
        <v>2057</v>
      </c>
      <c r="N1081" s="26" t="s">
        <v>1566</v>
      </c>
      <c r="O1081" s="26" t="s">
        <v>1566</v>
      </c>
      <c r="P1081" s="26" t="s">
        <v>22</v>
      </c>
      <c r="Q1081" s="26">
        <v>835.0</v>
      </c>
    </row>
    <row r="1082" ht="17.25" customHeight="1">
      <c r="A1082" s="51">
        <v>46123.413181550924</v>
      </c>
      <c r="B1082" s="25" t="s">
        <v>365</v>
      </c>
      <c r="C1082" s="55" t="s">
        <v>1560</v>
      </c>
      <c r="D1082" s="51">
        <v>46122.573152916666</v>
      </c>
      <c r="E1082" s="195">
        <v>5760.0</v>
      </c>
      <c r="F1082" s="55" t="s">
        <v>1561</v>
      </c>
      <c r="G1082" s="55" t="s">
        <v>2223</v>
      </c>
      <c r="H1082" s="26"/>
      <c r="I1082" s="26" t="s">
        <v>367</v>
      </c>
      <c r="J1082" s="26" t="s">
        <v>1225</v>
      </c>
      <c r="K1082" s="26" t="s">
        <v>1653</v>
      </c>
      <c r="L1082" s="26" t="s">
        <v>1584</v>
      </c>
      <c r="M1082" s="26" t="s">
        <v>1572</v>
      </c>
      <c r="N1082" s="26" t="s">
        <v>1654</v>
      </c>
      <c r="O1082" s="26" t="s">
        <v>1566</v>
      </c>
      <c r="P1082" s="26" t="s">
        <v>22</v>
      </c>
      <c r="Q1082" s="26">
        <v>0.0</v>
      </c>
    </row>
    <row r="1083" ht="17.25" customHeight="1">
      <c r="A1083" s="51">
        <v>46123.41446581019</v>
      </c>
      <c r="B1083" s="23" t="s">
        <v>301</v>
      </c>
      <c r="C1083" s="55" t="s">
        <v>1892</v>
      </c>
      <c r="D1083" s="51">
        <v>46122.573152916666</v>
      </c>
      <c r="E1083" s="52">
        <v>5.0</v>
      </c>
      <c r="F1083" s="55" t="s">
        <v>1894</v>
      </c>
      <c r="G1083" s="26"/>
      <c r="H1083" s="26"/>
      <c r="I1083" s="26" t="s">
        <v>302</v>
      </c>
      <c r="J1083" s="26" t="s">
        <v>1830</v>
      </c>
      <c r="K1083" s="26" t="s">
        <v>302</v>
      </c>
      <c r="L1083" s="26" t="s">
        <v>1566</v>
      </c>
      <c r="M1083" s="26" t="s">
        <v>1566</v>
      </c>
      <c r="N1083" s="26" t="s">
        <v>1566</v>
      </c>
      <c r="O1083" s="26" t="s">
        <v>1566</v>
      </c>
      <c r="P1083" s="26" t="s">
        <v>661</v>
      </c>
      <c r="Q1083" s="26">
        <v>580.0</v>
      </c>
    </row>
    <row r="1084" ht="17.25" customHeight="1">
      <c r="A1084" s="51">
        <v>46123.41542871528</v>
      </c>
      <c r="B1084" s="27" t="s">
        <v>1976</v>
      </c>
      <c r="C1084" s="55" t="s">
        <v>1560</v>
      </c>
      <c r="D1084" s="51">
        <v>46122.573152916666</v>
      </c>
      <c r="E1084" s="52">
        <v>600.0</v>
      </c>
      <c r="F1084" s="55" t="s">
        <v>1561</v>
      </c>
      <c r="G1084" s="55" t="s">
        <v>2224</v>
      </c>
      <c r="H1084" s="26"/>
      <c r="I1084" s="26" t="s">
        <v>1977</v>
      </c>
      <c r="J1084" s="26" t="s">
        <v>1225</v>
      </c>
      <c r="K1084" s="26" t="s">
        <v>1896</v>
      </c>
      <c r="L1084" s="26" t="s">
        <v>2129</v>
      </c>
      <c r="M1084" s="26" t="s">
        <v>1572</v>
      </c>
      <c r="N1084" s="26" t="s">
        <v>1566</v>
      </c>
      <c r="O1084" s="26" t="s">
        <v>2130</v>
      </c>
      <c r="P1084" s="26" t="s">
        <v>22</v>
      </c>
      <c r="Q1084" s="26">
        <v>0.0</v>
      </c>
    </row>
    <row r="1085" ht="17.25" customHeight="1">
      <c r="A1085" s="51">
        <v>46123.4226519213</v>
      </c>
      <c r="B1085" s="27" t="s">
        <v>1101</v>
      </c>
      <c r="C1085" s="55" t="s">
        <v>1560</v>
      </c>
      <c r="D1085" s="202">
        <v>46121.57314814815</v>
      </c>
      <c r="E1085" s="195">
        <v>4896.0</v>
      </c>
      <c r="F1085" s="55" t="s">
        <v>1561</v>
      </c>
      <c r="G1085" s="55" t="s">
        <v>2225</v>
      </c>
      <c r="H1085" s="26"/>
      <c r="I1085" s="26" t="s">
        <v>1102</v>
      </c>
      <c r="J1085" s="26" t="s">
        <v>1225</v>
      </c>
      <c r="K1085" s="26" t="s">
        <v>1653</v>
      </c>
      <c r="L1085" s="26" t="s">
        <v>1573</v>
      </c>
      <c r="M1085" s="26" t="s">
        <v>2131</v>
      </c>
      <c r="N1085" s="26" t="s">
        <v>1566</v>
      </c>
      <c r="O1085" s="26" t="s">
        <v>2132</v>
      </c>
      <c r="P1085" s="26" t="s">
        <v>22</v>
      </c>
      <c r="Q1085" s="26">
        <v>864.0</v>
      </c>
    </row>
    <row r="1086" ht="17.25" customHeight="1">
      <c r="A1086" s="51">
        <v>46123.47906857639</v>
      </c>
      <c r="B1086" s="23" t="s">
        <v>301</v>
      </c>
      <c r="C1086" s="55" t="s">
        <v>1892</v>
      </c>
      <c r="D1086" s="51">
        <v>46123.47906857639</v>
      </c>
      <c r="E1086" s="52">
        <v>20.0</v>
      </c>
      <c r="F1086" s="55" t="s">
        <v>2169</v>
      </c>
      <c r="G1086" s="26"/>
      <c r="H1086" s="26"/>
      <c r="I1086" s="26" t="s">
        <v>302</v>
      </c>
      <c r="J1086" s="26" t="s">
        <v>1830</v>
      </c>
      <c r="K1086" s="26" t="s">
        <v>302</v>
      </c>
      <c r="L1086" s="26" t="s">
        <v>1566</v>
      </c>
      <c r="M1086" s="26" t="s">
        <v>1566</v>
      </c>
      <c r="N1086" s="26" t="s">
        <v>1566</v>
      </c>
      <c r="O1086" s="26" t="s">
        <v>1566</v>
      </c>
      <c r="P1086" s="26" t="s">
        <v>661</v>
      </c>
      <c r="Q1086" s="26">
        <v>580.0</v>
      </c>
    </row>
    <row r="1087" ht="17.25" customHeight="1">
      <c r="A1087" s="51">
        <v>46123.48108445602</v>
      </c>
      <c r="B1087" s="25" t="s">
        <v>48</v>
      </c>
      <c r="C1087" s="55" t="s">
        <v>1892</v>
      </c>
      <c r="D1087" s="51">
        <v>46123.47906857639</v>
      </c>
      <c r="E1087" s="52">
        <v>670.0</v>
      </c>
      <c r="F1087" s="55" t="s">
        <v>2169</v>
      </c>
      <c r="G1087" s="55">
        <v>706.0</v>
      </c>
      <c r="H1087" s="26"/>
      <c r="I1087" s="26" t="s">
        <v>49</v>
      </c>
      <c r="J1087" s="26" t="s">
        <v>1225</v>
      </c>
      <c r="K1087" s="26" t="s">
        <v>1562</v>
      </c>
      <c r="L1087" s="26" t="s">
        <v>1582</v>
      </c>
      <c r="M1087" s="26" t="s">
        <v>1574</v>
      </c>
      <c r="N1087" s="26" t="s">
        <v>1571</v>
      </c>
      <c r="O1087" s="26" t="s">
        <v>1566</v>
      </c>
      <c r="P1087" s="26" t="s">
        <v>22</v>
      </c>
      <c r="Q1087" s="26">
        <v>30.0</v>
      </c>
    </row>
    <row r="1088" ht="17.25" customHeight="1">
      <c r="A1088" s="51">
        <v>46123.48211442129</v>
      </c>
      <c r="B1088" s="25" t="s">
        <v>1589</v>
      </c>
      <c r="C1088" s="55" t="s">
        <v>1892</v>
      </c>
      <c r="D1088" s="51">
        <v>46123.47906857639</v>
      </c>
      <c r="E1088" s="52">
        <v>600.0</v>
      </c>
      <c r="F1088" s="55" t="s">
        <v>1561</v>
      </c>
      <c r="G1088" s="55">
        <v>707.0</v>
      </c>
      <c r="H1088" s="26"/>
      <c r="I1088" s="26" t="s">
        <v>1695</v>
      </c>
      <c r="J1088" s="26" t="s">
        <v>1225</v>
      </c>
      <c r="K1088" s="26" t="s">
        <v>1562</v>
      </c>
      <c r="L1088" s="26" t="s">
        <v>1573</v>
      </c>
      <c r="M1088" s="26" t="s">
        <v>1604</v>
      </c>
      <c r="N1088" s="26" t="s">
        <v>1566</v>
      </c>
      <c r="O1088" s="26" t="s">
        <v>1566</v>
      </c>
      <c r="P1088" s="26" t="s">
        <v>22</v>
      </c>
      <c r="Q1088" s="26">
        <v>0.0</v>
      </c>
    </row>
    <row r="1089" ht="17.25" customHeight="1">
      <c r="A1089" s="51">
        <v>46123.48734554398</v>
      </c>
      <c r="B1089" s="25" t="s">
        <v>1014</v>
      </c>
      <c r="C1089" s="55" t="s">
        <v>1892</v>
      </c>
      <c r="D1089" s="51">
        <v>46123.47906857639</v>
      </c>
      <c r="E1089" s="52">
        <v>2000.0</v>
      </c>
      <c r="F1089" s="55" t="s">
        <v>1561</v>
      </c>
      <c r="G1089" s="55">
        <v>708.0</v>
      </c>
      <c r="H1089" s="26"/>
      <c r="I1089" s="26" t="s">
        <v>1015</v>
      </c>
      <c r="J1089" s="26" t="s">
        <v>1225</v>
      </c>
      <c r="K1089" s="26" t="s">
        <v>1562</v>
      </c>
      <c r="L1089" s="26" t="s">
        <v>1573</v>
      </c>
      <c r="M1089" s="26" t="s">
        <v>2057</v>
      </c>
      <c r="N1089" s="26" t="s">
        <v>1566</v>
      </c>
      <c r="O1089" s="26" t="s">
        <v>1566</v>
      </c>
      <c r="P1089" s="26" t="s">
        <v>22</v>
      </c>
      <c r="Q1089" s="26">
        <v>835.0</v>
      </c>
    </row>
    <row r="1090" ht="17.25" customHeight="1">
      <c r="A1090" s="51">
        <v>46123.48809804398</v>
      </c>
      <c r="B1090" s="25" t="s">
        <v>1724</v>
      </c>
      <c r="C1090" s="55" t="s">
        <v>1892</v>
      </c>
      <c r="D1090" s="51">
        <v>46123.47906857639</v>
      </c>
      <c r="E1090" s="52">
        <v>600.0</v>
      </c>
      <c r="F1090" s="55" t="s">
        <v>1561</v>
      </c>
      <c r="G1090" s="55">
        <v>709.0</v>
      </c>
      <c r="H1090" s="26"/>
      <c r="I1090" s="26" t="s">
        <v>1725</v>
      </c>
      <c r="J1090" s="26" t="s">
        <v>1225</v>
      </c>
      <c r="K1090" s="26" t="s">
        <v>1562</v>
      </c>
      <c r="L1090" s="26" t="s">
        <v>1591</v>
      </c>
      <c r="M1090" s="26" t="s">
        <v>1574</v>
      </c>
      <c r="N1090" s="26" t="s">
        <v>1566</v>
      </c>
      <c r="O1090" s="26" t="s">
        <v>2128</v>
      </c>
      <c r="P1090" s="26" t="s">
        <v>22</v>
      </c>
      <c r="Q1090" s="26">
        <v>0.0</v>
      </c>
    </row>
    <row r="1091" ht="17.25" customHeight="1">
      <c r="A1091" s="51">
        <v>46123.48876922454</v>
      </c>
      <c r="B1091" s="25" t="s">
        <v>1722</v>
      </c>
      <c r="C1091" s="55" t="s">
        <v>1892</v>
      </c>
      <c r="D1091" s="51">
        <v>46123.47906857639</v>
      </c>
      <c r="E1091" s="52">
        <v>500.0</v>
      </c>
      <c r="F1091" s="55" t="s">
        <v>1561</v>
      </c>
      <c r="G1091" s="55">
        <v>710.0</v>
      </c>
      <c r="H1091" s="26"/>
      <c r="I1091" s="26" t="s">
        <v>1723</v>
      </c>
      <c r="J1091" s="26" t="s">
        <v>1225</v>
      </c>
      <c r="K1091" s="26" t="s">
        <v>1562</v>
      </c>
      <c r="L1091" s="26" t="s">
        <v>1633</v>
      </c>
      <c r="M1091" s="26" t="s">
        <v>1574</v>
      </c>
      <c r="N1091" s="26" t="s">
        <v>1566</v>
      </c>
      <c r="O1091" s="26" t="s">
        <v>2128</v>
      </c>
      <c r="P1091" s="26" t="s">
        <v>22</v>
      </c>
      <c r="Q1091" s="26">
        <v>0.0</v>
      </c>
    </row>
    <row r="1092" ht="17.25" customHeight="1">
      <c r="A1092" s="51">
        <v>46123.677538206015</v>
      </c>
      <c r="B1092" s="25" t="s">
        <v>847</v>
      </c>
      <c r="C1092" s="55" t="s">
        <v>1560</v>
      </c>
      <c r="D1092" s="51">
        <v>46123.47906857639</v>
      </c>
      <c r="E1092" s="52">
        <v>3.0</v>
      </c>
      <c r="F1092" s="55" t="s">
        <v>1844</v>
      </c>
      <c r="G1092" s="26"/>
      <c r="H1092" s="26"/>
      <c r="I1092" s="26" t="s">
        <v>849</v>
      </c>
      <c r="J1092" s="26" t="s">
        <v>1844</v>
      </c>
      <c r="K1092" s="26" t="s">
        <v>1846</v>
      </c>
      <c r="L1092" s="26" t="s">
        <v>1870</v>
      </c>
      <c r="M1092" s="26" t="s">
        <v>1566</v>
      </c>
      <c r="N1092" s="26" t="s">
        <v>1566</v>
      </c>
      <c r="O1092" s="26" t="s">
        <v>1808</v>
      </c>
      <c r="P1092" s="26" t="s">
        <v>661</v>
      </c>
      <c r="Q1092" s="26">
        <v>1.0</v>
      </c>
    </row>
    <row r="1093" ht="17.25" customHeight="1">
      <c r="A1093" s="51">
        <v>46123.67791462963</v>
      </c>
      <c r="B1093" s="25" t="s">
        <v>857</v>
      </c>
      <c r="C1093" s="55" t="s">
        <v>1560</v>
      </c>
      <c r="D1093" s="51">
        <v>46123.47906857639</v>
      </c>
      <c r="E1093" s="52">
        <v>1.0</v>
      </c>
      <c r="F1093" s="55" t="s">
        <v>1844</v>
      </c>
      <c r="G1093" s="26"/>
      <c r="H1093" s="26"/>
      <c r="I1093" s="26" t="s">
        <v>859</v>
      </c>
      <c r="J1093" s="26" t="s">
        <v>1844</v>
      </c>
      <c r="K1093" s="26" t="s">
        <v>1846</v>
      </c>
      <c r="L1093" s="26" t="s">
        <v>1871</v>
      </c>
      <c r="M1093" s="26" t="s">
        <v>1566</v>
      </c>
      <c r="N1093" s="26" t="s">
        <v>1566</v>
      </c>
      <c r="O1093" s="26" t="s">
        <v>1808</v>
      </c>
      <c r="P1093" s="26" t="s">
        <v>661</v>
      </c>
      <c r="Q1093" s="26">
        <v>1.0</v>
      </c>
    </row>
    <row r="1094" ht="17.25" customHeight="1">
      <c r="A1094" s="51">
        <v>46123.67911336805</v>
      </c>
      <c r="B1094" s="23" t="s">
        <v>301</v>
      </c>
      <c r="C1094" s="55" t="s">
        <v>1892</v>
      </c>
      <c r="D1094" s="51">
        <v>46123.47906857639</v>
      </c>
      <c r="E1094" s="52">
        <v>15.0</v>
      </c>
      <c r="F1094" s="55" t="s">
        <v>2169</v>
      </c>
      <c r="G1094" s="26"/>
      <c r="H1094" s="26"/>
      <c r="I1094" s="26" t="s">
        <v>302</v>
      </c>
      <c r="J1094" s="26" t="s">
        <v>1830</v>
      </c>
      <c r="K1094" s="26" t="s">
        <v>302</v>
      </c>
      <c r="L1094" s="26" t="s">
        <v>1566</v>
      </c>
      <c r="M1094" s="26" t="s">
        <v>1566</v>
      </c>
      <c r="N1094" s="26" t="s">
        <v>1566</v>
      </c>
      <c r="O1094" s="26" t="s">
        <v>1566</v>
      </c>
      <c r="P1094" s="26" t="s">
        <v>661</v>
      </c>
      <c r="Q1094" s="26">
        <v>580.0</v>
      </c>
    </row>
    <row r="1095" ht="17.25" customHeight="1">
      <c r="A1095" s="51">
        <v>46123.67953706019</v>
      </c>
      <c r="B1095" s="203" t="s">
        <v>304</v>
      </c>
      <c r="C1095" s="55" t="s">
        <v>1892</v>
      </c>
      <c r="D1095" s="51">
        <v>46123.47906857639</v>
      </c>
      <c r="E1095" s="52">
        <v>2.0</v>
      </c>
      <c r="F1095" s="55" t="s">
        <v>2169</v>
      </c>
      <c r="G1095" s="26"/>
      <c r="H1095" s="26"/>
      <c r="I1095" s="26" t="s">
        <v>306</v>
      </c>
      <c r="J1095" s="26" t="s">
        <v>1674</v>
      </c>
      <c r="K1095" s="26" t="s">
        <v>1675</v>
      </c>
      <c r="L1095" s="26" t="s">
        <v>1566</v>
      </c>
      <c r="M1095" s="26" t="s">
        <v>1566</v>
      </c>
      <c r="N1095" s="26" t="s">
        <v>1682</v>
      </c>
      <c r="O1095" s="26" t="s">
        <v>1677</v>
      </c>
      <c r="P1095" s="26" t="s">
        <v>290</v>
      </c>
      <c r="Q1095" s="26">
        <v>6.0</v>
      </c>
    </row>
    <row r="1096" ht="17.25" customHeight="1">
      <c r="A1096" s="51">
        <v>46123.76915659722</v>
      </c>
      <c r="B1096" s="27" t="s">
        <v>593</v>
      </c>
      <c r="C1096" s="55" t="s">
        <v>1892</v>
      </c>
      <c r="D1096" s="51">
        <v>46123.47906857639</v>
      </c>
      <c r="E1096" s="52">
        <v>1800.0</v>
      </c>
      <c r="F1096" s="55" t="s">
        <v>1561</v>
      </c>
      <c r="G1096" s="55">
        <v>712.0</v>
      </c>
      <c r="H1096" s="26"/>
      <c r="I1096" s="26" t="s">
        <v>594</v>
      </c>
      <c r="J1096" s="26" t="s">
        <v>1225</v>
      </c>
      <c r="K1096" s="26" t="s">
        <v>1562</v>
      </c>
      <c r="L1096" s="26" t="s">
        <v>1591</v>
      </c>
      <c r="M1096" s="26" t="s">
        <v>2049</v>
      </c>
      <c r="N1096" s="26" t="s">
        <v>1566</v>
      </c>
      <c r="O1096" s="26" t="s">
        <v>1566</v>
      </c>
      <c r="P1096" s="26" t="s">
        <v>22</v>
      </c>
      <c r="Q1096" s="26">
        <v>0.0</v>
      </c>
    </row>
    <row r="1097" ht="17.25" customHeight="1">
      <c r="A1097" s="51">
        <v>46123.769528125005</v>
      </c>
      <c r="B1097" s="27" t="s">
        <v>593</v>
      </c>
      <c r="C1097" s="55" t="s">
        <v>1892</v>
      </c>
      <c r="D1097" s="51">
        <v>46123.47906857639</v>
      </c>
      <c r="E1097" s="52">
        <v>1200.0</v>
      </c>
      <c r="F1097" s="55" t="s">
        <v>1561</v>
      </c>
      <c r="G1097" s="55">
        <v>713.0</v>
      </c>
      <c r="H1097" s="26"/>
      <c r="I1097" s="26" t="s">
        <v>594</v>
      </c>
      <c r="J1097" s="26" t="s">
        <v>1225</v>
      </c>
      <c r="K1097" s="26" t="s">
        <v>1562</v>
      </c>
      <c r="L1097" s="26" t="s">
        <v>1591</v>
      </c>
      <c r="M1097" s="26" t="s">
        <v>2049</v>
      </c>
      <c r="N1097" s="26" t="s">
        <v>1566</v>
      </c>
      <c r="O1097" s="26" t="s">
        <v>1566</v>
      </c>
      <c r="P1097" s="26" t="s">
        <v>22</v>
      </c>
      <c r="Q1097" s="26">
        <v>0.0</v>
      </c>
    </row>
    <row r="1098" ht="17.25" customHeight="1">
      <c r="A1098" s="51">
        <v>46125.49805333333</v>
      </c>
      <c r="B1098" s="25" t="s">
        <v>1969</v>
      </c>
      <c r="C1098" s="55" t="s">
        <v>1892</v>
      </c>
      <c r="D1098" s="51">
        <v>46125.49805333333</v>
      </c>
      <c r="E1098" s="55">
        <v>1.0</v>
      </c>
      <c r="F1098" s="55" t="s">
        <v>2169</v>
      </c>
      <c r="G1098" s="55">
        <v>710.0</v>
      </c>
      <c r="H1098" s="26"/>
      <c r="I1098" s="26" t="s">
        <v>1970</v>
      </c>
      <c r="J1098" s="26" t="s">
        <v>1674</v>
      </c>
      <c r="K1098" s="26" t="s">
        <v>1691</v>
      </c>
      <c r="L1098" s="26" t="s">
        <v>1566</v>
      </c>
      <c r="M1098" s="26" t="s">
        <v>1566</v>
      </c>
      <c r="N1098" s="26" t="s">
        <v>1566</v>
      </c>
      <c r="O1098" s="26" t="s">
        <v>1566</v>
      </c>
      <c r="P1098" s="26" t="s">
        <v>290</v>
      </c>
      <c r="Q1098" s="26">
        <v>0.0</v>
      </c>
    </row>
    <row r="1099" ht="17.25" customHeight="1">
      <c r="A1099" s="51">
        <v>46125.49833599537</v>
      </c>
      <c r="B1099" s="25" t="s">
        <v>1971</v>
      </c>
      <c r="C1099" s="55" t="s">
        <v>1892</v>
      </c>
      <c r="D1099" s="51">
        <v>46125.49805333333</v>
      </c>
      <c r="E1099" s="52">
        <v>1.0</v>
      </c>
      <c r="F1099" s="55" t="s">
        <v>2169</v>
      </c>
      <c r="G1099" s="55">
        <v>710.0</v>
      </c>
      <c r="H1099" s="26"/>
      <c r="I1099" s="26" t="s">
        <v>1972</v>
      </c>
      <c r="J1099" s="26" t="s">
        <v>1674</v>
      </c>
      <c r="K1099" s="26" t="s">
        <v>1691</v>
      </c>
      <c r="L1099" s="26" t="s">
        <v>1566</v>
      </c>
      <c r="M1099" s="26" t="s">
        <v>1566</v>
      </c>
      <c r="N1099" s="26" t="s">
        <v>1566</v>
      </c>
      <c r="O1099" s="26" t="s">
        <v>1566</v>
      </c>
      <c r="P1099" s="26" t="s">
        <v>290</v>
      </c>
      <c r="Q1099" s="26">
        <v>0.0</v>
      </c>
    </row>
    <row r="1100" ht="17.25" customHeight="1">
      <c r="A1100" s="51">
        <v>46125.49855040509</v>
      </c>
      <c r="B1100" s="25" t="s">
        <v>1973</v>
      </c>
      <c r="C1100" s="55" t="s">
        <v>1892</v>
      </c>
      <c r="D1100" s="51">
        <v>46125.49805333333</v>
      </c>
      <c r="E1100" s="52">
        <v>1.0</v>
      </c>
      <c r="F1100" s="55" t="s">
        <v>2169</v>
      </c>
      <c r="G1100" s="55">
        <v>709.0</v>
      </c>
      <c r="H1100" s="26"/>
      <c r="I1100" s="26" t="s">
        <v>1974</v>
      </c>
      <c r="J1100" s="26" t="s">
        <v>1674</v>
      </c>
      <c r="K1100" s="26" t="s">
        <v>1691</v>
      </c>
      <c r="L1100" s="26" t="s">
        <v>1566</v>
      </c>
      <c r="M1100" s="26" t="s">
        <v>1566</v>
      </c>
      <c r="N1100" s="26" t="s">
        <v>1566</v>
      </c>
      <c r="O1100" s="26" t="s">
        <v>1566</v>
      </c>
      <c r="P1100" s="26" t="s">
        <v>290</v>
      </c>
      <c r="Q1100" s="26">
        <v>0.0</v>
      </c>
    </row>
    <row r="1101" ht="17.25" customHeight="1">
      <c r="A1101" s="51">
        <v>46125.502370625</v>
      </c>
      <c r="B1101" s="25" t="s">
        <v>1976</v>
      </c>
      <c r="C1101" s="55" t="s">
        <v>1892</v>
      </c>
      <c r="D1101" s="51">
        <v>46125.49805333333</v>
      </c>
      <c r="E1101" s="52">
        <v>600.0</v>
      </c>
      <c r="F1101" s="55" t="s">
        <v>1561</v>
      </c>
      <c r="G1101" s="55">
        <v>714.0</v>
      </c>
      <c r="H1101" s="26"/>
      <c r="I1101" s="26" t="s">
        <v>1977</v>
      </c>
      <c r="J1101" s="26" t="s">
        <v>1225</v>
      </c>
      <c r="K1101" s="26" t="s">
        <v>1896</v>
      </c>
      <c r="L1101" s="26" t="s">
        <v>2129</v>
      </c>
      <c r="M1101" s="26" t="s">
        <v>1572</v>
      </c>
      <c r="N1101" s="26" t="s">
        <v>1566</v>
      </c>
      <c r="O1101" s="26" t="s">
        <v>2130</v>
      </c>
      <c r="P1101" s="26" t="s">
        <v>22</v>
      </c>
      <c r="Q1101" s="26">
        <v>0.0</v>
      </c>
    </row>
    <row r="1102" ht="17.25" customHeight="1">
      <c r="A1102" s="51">
        <v>46125.503009409724</v>
      </c>
      <c r="B1102" s="25" t="s">
        <v>1583</v>
      </c>
      <c r="C1102" s="55" t="s">
        <v>1892</v>
      </c>
      <c r="D1102" s="51">
        <v>46125.49805333333</v>
      </c>
      <c r="E1102" s="52">
        <v>150.0</v>
      </c>
      <c r="F1102" s="55" t="s">
        <v>1561</v>
      </c>
      <c r="G1102" s="55">
        <v>715.0</v>
      </c>
      <c r="H1102" s="26"/>
      <c r="I1102" s="26" t="s">
        <v>1901</v>
      </c>
      <c r="J1102" s="26" t="s">
        <v>1225</v>
      </c>
      <c r="K1102" s="26" t="s">
        <v>1651</v>
      </c>
      <c r="L1102" s="26" t="s">
        <v>1563</v>
      </c>
      <c r="M1102" s="26" t="s">
        <v>1902</v>
      </c>
      <c r="N1102" s="26" t="s">
        <v>1566</v>
      </c>
      <c r="O1102" s="26" t="s">
        <v>1566</v>
      </c>
      <c r="P1102" s="26" t="s">
        <v>22</v>
      </c>
      <c r="Q1102" s="26">
        <v>0.0</v>
      </c>
    </row>
    <row r="1103" ht="17.25" customHeight="1">
      <c r="A1103" s="51">
        <v>46125.50374932871</v>
      </c>
      <c r="B1103" s="25" t="s">
        <v>365</v>
      </c>
      <c r="C1103" s="55" t="s">
        <v>1892</v>
      </c>
      <c r="D1103" s="51">
        <v>46125.49805333333</v>
      </c>
      <c r="E1103" s="195">
        <v>2160.0</v>
      </c>
      <c r="F1103" s="55" t="s">
        <v>1561</v>
      </c>
      <c r="G1103" s="55">
        <v>716.0</v>
      </c>
      <c r="H1103" s="26"/>
      <c r="I1103" s="26" t="s">
        <v>367</v>
      </c>
      <c r="J1103" s="26" t="s">
        <v>1225</v>
      </c>
      <c r="K1103" s="26" t="s">
        <v>1653</v>
      </c>
      <c r="L1103" s="26" t="s">
        <v>1584</v>
      </c>
      <c r="M1103" s="26" t="s">
        <v>1572</v>
      </c>
      <c r="N1103" s="26" t="s">
        <v>1654</v>
      </c>
      <c r="O1103" s="26" t="s">
        <v>1566</v>
      </c>
      <c r="P1103" s="26" t="s">
        <v>22</v>
      </c>
      <c r="Q1103" s="26">
        <v>0.0</v>
      </c>
    </row>
    <row r="1104" ht="17.25" customHeight="1">
      <c r="A1104" s="51">
        <v>46125.504204212964</v>
      </c>
      <c r="B1104" s="25" t="s">
        <v>365</v>
      </c>
      <c r="C1104" s="55" t="s">
        <v>1892</v>
      </c>
      <c r="D1104" s="51">
        <v>46125.49805333333</v>
      </c>
      <c r="E1104" s="195">
        <v>2160.0</v>
      </c>
      <c r="F1104" s="55" t="s">
        <v>1561</v>
      </c>
      <c r="G1104" s="55">
        <v>717.0</v>
      </c>
      <c r="H1104" s="26"/>
      <c r="I1104" s="26" t="s">
        <v>367</v>
      </c>
      <c r="J1104" s="26" t="s">
        <v>1225</v>
      </c>
      <c r="K1104" s="26" t="s">
        <v>1653</v>
      </c>
      <c r="L1104" s="26" t="s">
        <v>1584</v>
      </c>
      <c r="M1104" s="26" t="s">
        <v>1572</v>
      </c>
      <c r="N1104" s="26" t="s">
        <v>1654</v>
      </c>
      <c r="O1104" s="26" t="s">
        <v>1566</v>
      </c>
      <c r="P1104" s="26" t="s">
        <v>22</v>
      </c>
      <c r="Q1104" s="26">
        <v>0.0</v>
      </c>
    </row>
    <row r="1105" ht="17.25" customHeight="1">
      <c r="A1105" s="51">
        <v>46125.50466351851</v>
      </c>
      <c r="B1105" s="25" t="s">
        <v>365</v>
      </c>
      <c r="C1105" s="55" t="s">
        <v>1892</v>
      </c>
      <c r="D1105" s="51">
        <v>46125.49805333333</v>
      </c>
      <c r="E1105" s="52">
        <v>1440.0</v>
      </c>
      <c r="F1105" s="55" t="s">
        <v>1561</v>
      </c>
      <c r="G1105" s="55">
        <v>718.0</v>
      </c>
      <c r="H1105" s="26"/>
      <c r="I1105" s="26" t="s">
        <v>367</v>
      </c>
      <c r="J1105" s="26" t="s">
        <v>1225</v>
      </c>
      <c r="K1105" s="26" t="s">
        <v>1653</v>
      </c>
      <c r="L1105" s="26" t="s">
        <v>1584</v>
      </c>
      <c r="M1105" s="26" t="s">
        <v>1572</v>
      </c>
      <c r="N1105" s="26" t="s">
        <v>1654</v>
      </c>
      <c r="O1105" s="26" t="s">
        <v>1566</v>
      </c>
      <c r="P1105" s="26" t="s">
        <v>22</v>
      </c>
      <c r="Q1105" s="26">
        <v>0.0</v>
      </c>
    </row>
    <row r="1106" ht="17.25" customHeight="1">
      <c r="A1106" s="51">
        <v>46125.5191122338</v>
      </c>
      <c r="B1106" s="26" t="s">
        <v>1726</v>
      </c>
      <c r="C1106" s="55" t="s">
        <v>1560</v>
      </c>
      <c r="D1106" s="51">
        <v>46125.49805333333</v>
      </c>
      <c r="E1106" s="52">
        <v>1200.0</v>
      </c>
      <c r="F1106" s="55" t="s">
        <v>1561</v>
      </c>
      <c r="G1106" s="26"/>
      <c r="H1106" s="26"/>
      <c r="I1106" s="26" t="s">
        <v>1727</v>
      </c>
      <c r="J1106" s="26" t="s">
        <v>1225</v>
      </c>
      <c r="K1106" s="26" t="s">
        <v>1562</v>
      </c>
      <c r="L1106" s="26" t="s">
        <v>2133</v>
      </c>
      <c r="M1106" s="26" t="s">
        <v>1564</v>
      </c>
      <c r="N1106" s="26" t="s">
        <v>1566</v>
      </c>
      <c r="O1106" s="26" t="s">
        <v>1566</v>
      </c>
      <c r="P1106" s="26" t="s">
        <v>22</v>
      </c>
      <c r="Q1106" s="26">
        <v>0.0</v>
      </c>
    </row>
    <row r="1107" ht="17.25" customHeight="1">
      <c r="A1107" s="51">
        <v>46125.519943946754</v>
      </c>
      <c r="B1107" s="55" t="s">
        <v>1104</v>
      </c>
      <c r="C1107" s="55" t="s">
        <v>1560</v>
      </c>
      <c r="D1107" s="51">
        <v>46125.49805333333</v>
      </c>
      <c r="E1107" s="52">
        <v>100.0</v>
      </c>
      <c r="F1107" s="55" t="s">
        <v>1561</v>
      </c>
      <c r="G1107" s="26"/>
      <c r="H1107" s="26"/>
      <c r="I1107" s="26" t="s">
        <v>1106</v>
      </c>
      <c r="J1107" s="26" t="s">
        <v>1225</v>
      </c>
      <c r="K1107" s="26" t="s">
        <v>1562</v>
      </c>
      <c r="L1107" s="26" t="s">
        <v>1591</v>
      </c>
      <c r="M1107" s="26" t="s">
        <v>1574</v>
      </c>
      <c r="N1107" s="26" t="s">
        <v>1566</v>
      </c>
      <c r="O1107" s="26" t="s">
        <v>1566</v>
      </c>
      <c r="P1107" s="26" t="s">
        <v>22</v>
      </c>
      <c r="Q1107" s="26">
        <v>0.0</v>
      </c>
    </row>
    <row r="1108" ht="17.25" customHeight="1">
      <c r="A1108" s="51">
        <v>46125.52024048611</v>
      </c>
      <c r="B1108" s="25" t="s">
        <v>1569</v>
      </c>
      <c r="C1108" s="55" t="s">
        <v>1560</v>
      </c>
      <c r="D1108" s="51">
        <v>46125.49805333333</v>
      </c>
      <c r="E1108" s="52">
        <v>2200.0</v>
      </c>
      <c r="F1108" s="55" t="s">
        <v>1561</v>
      </c>
      <c r="G1108" s="55"/>
      <c r="H1108" s="26"/>
      <c r="I1108" s="26" t="s">
        <v>1570</v>
      </c>
      <c r="J1108" s="26" t="s">
        <v>1225</v>
      </c>
      <c r="K1108" s="26" t="s">
        <v>1562</v>
      </c>
      <c r="L1108" s="26" t="s">
        <v>1563</v>
      </c>
      <c r="M1108" s="26" t="s">
        <v>1564</v>
      </c>
      <c r="N1108" s="26" t="s">
        <v>1571</v>
      </c>
      <c r="O1108" s="26" t="s">
        <v>1566</v>
      </c>
      <c r="P1108" s="26" t="s">
        <v>22</v>
      </c>
      <c r="Q1108" s="26">
        <v>0.0</v>
      </c>
    </row>
    <row r="1109" ht="17.25" customHeight="1">
      <c r="A1109" s="51">
        <v>46125.521125115745</v>
      </c>
      <c r="B1109" s="55" t="s">
        <v>1104</v>
      </c>
      <c r="C1109" s="55" t="s">
        <v>1892</v>
      </c>
      <c r="D1109" s="51">
        <v>46125.49805333333</v>
      </c>
      <c r="E1109" s="52">
        <v>100.0</v>
      </c>
      <c r="F1109" s="55" t="s">
        <v>1561</v>
      </c>
      <c r="G1109" s="55">
        <v>711.0</v>
      </c>
      <c r="H1109" s="26"/>
      <c r="I1109" s="26" t="s">
        <v>1106</v>
      </c>
      <c r="J1109" s="26" t="s">
        <v>1225</v>
      </c>
      <c r="K1109" s="26" t="s">
        <v>1562</v>
      </c>
      <c r="L1109" s="26" t="s">
        <v>1591</v>
      </c>
      <c r="M1109" s="26" t="s">
        <v>1574</v>
      </c>
      <c r="N1109" s="26" t="s">
        <v>1566</v>
      </c>
      <c r="O1109" s="26" t="s">
        <v>1566</v>
      </c>
      <c r="P1109" s="26" t="s">
        <v>22</v>
      </c>
      <c r="Q1109" s="26">
        <v>0.0</v>
      </c>
    </row>
    <row r="1110" ht="17.25" customHeight="1">
      <c r="A1110" s="51">
        <v>46125.66837724537</v>
      </c>
      <c r="B1110" s="39" t="s">
        <v>1108</v>
      </c>
      <c r="C1110" s="55" t="s">
        <v>1560</v>
      </c>
      <c r="D1110" s="51">
        <v>46125.49805333333</v>
      </c>
      <c r="E1110" s="52">
        <v>864.0</v>
      </c>
      <c r="F1110" s="55" t="s">
        <v>1561</v>
      </c>
      <c r="G1110" s="55" t="s">
        <v>2226</v>
      </c>
      <c r="H1110" s="26"/>
      <c r="I1110" s="26" t="s">
        <v>1109</v>
      </c>
      <c r="J1110" s="26" t="s">
        <v>1225</v>
      </c>
      <c r="K1110" s="26" t="s">
        <v>1653</v>
      </c>
      <c r="L1110" s="26" t="s">
        <v>1656</v>
      </c>
      <c r="M1110" s="26" t="s">
        <v>1595</v>
      </c>
      <c r="N1110" s="26" t="s">
        <v>1566</v>
      </c>
      <c r="O1110" s="26" t="s">
        <v>2122</v>
      </c>
      <c r="P1110" s="26" t="s">
        <v>22</v>
      </c>
      <c r="Q1110" s="26">
        <v>144.0</v>
      </c>
    </row>
    <row r="1111" ht="17.25" customHeight="1">
      <c r="A1111" s="51">
        <v>46125.66939829861</v>
      </c>
      <c r="B1111" s="27" t="s">
        <v>1111</v>
      </c>
      <c r="C1111" s="55" t="s">
        <v>1560</v>
      </c>
      <c r="D1111" s="51">
        <v>46125.49805333333</v>
      </c>
      <c r="E1111" s="52">
        <v>1728.0</v>
      </c>
      <c r="F1111" s="55" t="s">
        <v>1561</v>
      </c>
      <c r="G1111" s="55" t="s">
        <v>2224</v>
      </c>
      <c r="H1111" s="26"/>
      <c r="I1111" s="26" t="s">
        <v>1112</v>
      </c>
      <c r="J1111" s="26" t="s">
        <v>1225</v>
      </c>
      <c r="K1111" s="26" t="s">
        <v>1653</v>
      </c>
      <c r="L1111" s="26" t="s">
        <v>2134</v>
      </c>
      <c r="M1111" s="26" t="s">
        <v>1595</v>
      </c>
      <c r="N1111" s="26" t="s">
        <v>1566</v>
      </c>
      <c r="O1111" s="26" t="s">
        <v>2122</v>
      </c>
      <c r="P1111" s="26" t="s">
        <v>22</v>
      </c>
      <c r="Q1111" s="26">
        <v>1152.0</v>
      </c>
    </row>
    <row r="1112" ht="17.25" customHeight="1">
      <c r="A1112" s="51">
        <v>46125.7813494213</v>
      </c>
      <c r="B1112" s="25" t="s">
        <v>21</v>
      </c>
      <c r="C1112" s="55" t="s">
        <v>1560</v>
      </c>
      <c r="D1112" s="51">
        <v>46125.49805333333</v>
      </c>
      <c r="E1112" s="52">
        <v>20.0</v>
      </c>
      <c r="F1112" s="55" t="s">
        <v>1673</v>
      </c>
      <c r="G1112" s="26"/>
      <c r="H1112" s="26"/>
      <c r="I1112" s="26" t="s">
        <v>23</v>
      </c>
      <c r="J1112" s="26" t="s">
        <v>1812</v>
      </c>
      <c r="K1112" s="26" t="s">
        <v>1815</v>
      </c>
      <c r="L1112" s="26" t="s">
        <v>1566</v>
      </c>
      <c r="M1112" s="26" t="s">
        <v>1566</v>
      </c>
      <c r="N1112" s="26" t="s">
        <v>1566</v>
      </c>
      <c r="O1112" s="26" t="s">
        <v>1818</v>
      </c>
      <c r="P1112" s="26" t="s">
        <v>616</v>
      </c>
      <c r="Q1112" s="26">
        <v>20.0</v>
      </c>
    </row>
    <row r="1113" ht="17.25" customHeight="1">
      <c r="A1113" s="51">
        <v>46125.781591747684</v>
      </c>
      <c r="B1113" s="25" t="s">
        <v>598</v>
      </c>
      <c r="C1113" s="55" t="s">
        <v>1560</v>
      </c>
      <c r="D1113" s="51">
        <v>46125.49805333333</v>
      </c>
      <c r="E1113" s="52">
        <v>10.0</v>
      </c>
      <c r="F1113" s="55" t="s">
        <v>1673</v>
      </c>
      <c r="G1113" s="26"/>
      <c r="H1113" s="26"/>
      <c r="I1113" s="26" t="s">
        <v>604</v>
      </c>
      <c r="J1113" s="26" t="s">
        <v>1812</v>
      </c>
      <c r="K1113" s="26" t="s">
        <v>1815</v>
      </c>
      <c r="L1113" s="26" t="s">
        <v>1566</v>
      </c>
      <c r="M1113" s="26" t="s">
        <v>1566</v>
      </c>
      <c r="N1113" s="26" t="s">
        <v>1566</v>
      </c>
      <c r="O1113" s="26" t="s">
        <v>1812</v>
      </c>
      <c r="P1113" s="26" t="s">
        <v>616</v>
      </c>
      <c r="Q1113" s="26">
        <v>15.0</v>
      </c>
    </row>
    <row r="1114" ht="17.25" customHeight="1">
      <c r="A1114" s="51">
        <v>46125.78201447916</v>
      </c>
      <c r="B1114" s="25" t="s">
        <v>622</v>
      </c>
      <c r="C1114" s="55" t="s">
        <v>1560</v>
      </c>
      <c r="D1114" s="51">
        <v>46125.49805333333</v>
      </c>
      <c r="E1114" s="52">
        <v>25.0</v>
      </c>
      <c r="F1114" s="55" t="s">
        <v>1673</v>
      </c>
      <c r="G1114" s="26"/>
      <c r="H1114" s="26"/>
      <c r="I1114" s="26" t="s">
        <v>623</v>
      </c>
      <c r="J1114" s="26" t="s">
        <v>1812</v>
      </c>
      <c r="K1114" s="26" t="s">
        <v>1815</v>
      </c>
      <c r="L1114" s="26" t="s">
        <v>1566</v>
      </c>
      <c r="M1114" s="26" t="s">
        <v>1566</v>
      </c>
      <c r="N1114" s="26" t="s">
        <v>1566</v>
      </c>
      <c r="O1114" s="26" t="s">
        <v>1817</v>
      </c>
      <c r="P1114" s="26" t="s">
        <v>616</v>
      </c>
      <c r="Q1114" s="26">
        <v>20.0</v>
      </c>
    </row>
    <row r="1115" ht="17.25" customHeight="1">
      <c r="A1115" s="51">
        <v>46125.78239166667</v>
      </c>
      <c r="B1115" s="197" t="s">
        <v>562</v>
      </c>
      <c r="C1115" s="55" t="s">
        <v>1560</v>
      </c>
      <c r="D1115" s="51">
        <v>46125.49805333333</v>
      </c>
      <c r="E1115" s="52">
        <v>6.0</v>
      </c>
      <c r="F1115" s="55" t="s">
        <v>1673</v>
      </c>
      <c r="G1115" s="26"/>
      <c r="H1115" s="26"/>
      <c r="I1115" s="26" t="s">
        <v>567</v>
      </c>
      <c r="J1115" s="26" t="s">
        <v>1812</v>
      </c>
      <c r="K1115" s="26" t="s">
        <v>1815</v>
      </c>
      <c r="L1115" s="26" t="s">
        <v>1566</v>
      </c>
      <c r="M1115" s="26" t="s">
        <v>1566</v>
      </c>
      <c r="N1115" s="26" t="s">
        <v>1566</v>
      </c>
      <c r="O1115" s="26" t="s">
        <v>1838</v>
      </c>
      <c r="P1115" s="26" t="s">
        <v>616</v>
      </c>
      <c r="Q1115" s="26">
        <v>4.0</v>
      </c>
    </row>
    <row r="1116" ht="17.25" customHeight="1">
      <c r="A1116" s="51">
        <v>46125.78396951389</v>
      </c>
      <c r="B1116" s="159" t="s">
        <v>892</v>
      </c>
      <c r="C1116" s="55" t="s">
        <v>1560</v>
      </c>
      <c r="D1116" s="51">
        <v>46125.49805333333</v>
      </c>
      <c r="E1116" s="52">
        <v>20.0</v>
      </c>
      <c r="F1116" s="55" t="s">
        <v>1673</v>
      </c>
      <c r="G1116" s="26"/>
      <c r="H1116" s="26"/>
      <c r="I1116" s="26" t="s">
        <v>893</v>
      </c>
      <c r="J1116" s="26" t="s">
        <v>1812</v>
      </c>
      <c r="K1116" s="26" t="s">
        <v>1813</v>
      </c>
      <c r="L1116" s="26" t="s">
        <v>1566</v>
      </c>
      <c r="M1116" s="26" t="s">
        <v>1566</v>
      </c>
      <c r="N1116" s="26" t="s">
        <v>1566</v>
      </c>
      <c r="O1116" s="26" t="s">
        <v>1809</v>
      </c>
      <c r="P1116" s="26" t="s">
        <v>290</v>
      </c>
      <c r="Q1116" s="26">
        <v>20.0</v>
      </c>
    </row>
    <row r="1117" ht="17.25" customHeight="1">
      <c r="A1117" s="51">
        <v>46133.79662226852</v>
      </c>
      <c r="B1117" s="201" t="s">
        <v>945</v>
      </c>
      <c r="C1117" s="55" t="s">
        <v>1560</v>
      </c>
      <c r="D1117" s="51">
        <v>46125.49805333333</v>
      </c>
      <c r="E1117" s="52">
        <v>25.0</v>
      </c>
      <c r="F1117" s="55" t="s">
        <v>1673</v>
      </c>
      <c r="G1117" s="26"/>
      <c r="H1117" s="26"/>
      <c r="I1117" s="26" t="s">
        <v>946</v>
      </c>
      <c r="J1117" s="26" t="s">
        <v>1812</v>
      </c>
      <c r="K1117" s="26" t="s">
        <v>1815</v>
      </c>
      <c r="L1117" s="26" t="s">
        <v>1566</v>
      </c>
      <c r="M1117" s="26" t="s">
        <v>1566</v>
      </c>
      <c r="N1117" s="26" t="s">
        <v>1566</v>
      </c>
      <c r="O1117" s="26" t="s">
        <v>1903</v>
      </c>
      <c r="P1117" s="26" t="s">
        <v>616</v>
      </c>
      <c r="Q1117" s="26">
        <v>25.0</v>
      </c>
    </row>
    <row r="1118" ht="17.25" customHeight="1">
      <c r="A1118" s="51">
        <v>46126.44975114583</v>
      </c>
      <c r="B1118" s="25" t="s">
        <v>1569</v>
      </c>
      <c r="C1118" s="55" t="s">
        <v>1892</v>
      </c>
      <c r="D1118" s="51">
        <v>46125.49805333333</v>
      </c>
      <c r="E1118" s="52">
        <v>2200.0</v>
      </c>
      <c r="F1118" s="55" t="s">
        <v>1673</v>
      </c>
      <c r="G1118" s="55">
        <v>719.0</v>
      </c>
      <c r="H1118" s="26"/>
      <c r="I1118" s="26" t="s">
        <v>1570</v>
      </c>
      <c r="J1118" s="26" t="s">
        <v>1225</v>
      </c>
      <c r="K1118" s="26" t="s">
        <v>1562</v>
      </c>
      <c r="L1118" s="26" t="s">
        <v>1563</v>
      </c>
      <c r="M1118" s="26" t="s">
        <v>1564</v>
      </c>
      <c r="N1118" s="26" t="s">
        <v>1571</v>
      </c>
      <c r="O1118" s="26" t="s">
        <v>1566</v>
      </c>
      <c r="P1118" s="26" t="s">
        <v>22</v>
      </c>
      <c r="Q1118" s="26">
        <v>0.0</v>
      </c>
    </row>
    <row r="1119" ht="17.25" customHeight="1">
      <c r="A1119" s="51">
        <v>46126.450121354166</v>
      </c>
      <c r="B1119" s="39" t="s">
        <v>1108</v>
      </c>
      <c r="C1119" s="55" t="s">
        <v>1892</v>
      </c>
      <c r="D1119" s="51">
        <v>46125.49805333333</v>
      </c>
      <c r="E1119" s="52">
        <v>720.0</v>
      </c>
      <c r="F1119" s="55" t="s">
        <v>1673</v>
      </c>
      <c r="G1119" s="55">
        <v>720.0</v>
      </c>
      <c r="H1119" s="26"/>
      <c r="I1119" s="26" t="s">
        <v>1109</v>
      </c>
      <c r="J1119" s="26" t="s">
        <v>1225</v>
      </c>
      <c r="K1119" s="26" t="s">
        <v>1653</v>
      </c>
      <c r="L1119" s="26" t="s">
        <v>1656</v>
      </c>
      <c r="M1119" s="26" t="s">
        <v>1595</v>
      </c>
      <c r="N1119" s="26" t="s">
        <v>1566</v>
      </c>
      <c r="O1119" s="26" t="s">
        <v>2122</v>
      </c>
      <c r="P1119" s="26" t="s">
        <v>22</v>
      </c>
      <c r="Q1119" s="26">
        <v>144.0</v>
      </c>
    </row>
    <row r="1120" ht="17.25" customHeight="1">
      <c r="A1120" s="51">
        <v>46126.566786724536</v>
      </c>
      <c r="B1120" s="23" t="s">
        <v>301</v>
      </c>
      <c r="C1120" s="55" t="s">
        <v>1892</v>
      </c>
      <c r="D1120" s="51">
        <v>46125.49805333333</v>
      </c>
      <c r="E1120" s="52">
        <v>10.0</v>
      </c>
      <c r="F1120" s="55" t="s">
        <v>2124</v>
      </c>
      <c r="G1120" s="26"/>
      <c r="H1120" s="26"/>
      <c r="I1120" s="26" t="s">
        <v>302</v>
      </c>
      <c r="J1120" s="26" t="s">
        <v>1830</v>
      </c>
      <c r="K1120" s="26" t="s">
        <v>302</v>
      </c>
      <c r="L1120" s="26" t="s">
        <v>1566</v>
      </c>
      <c r="M1120" s="26" t="s">
        <v>1566</v>
      </c>
      <c r="N1120" s="26" t="s">
        <v>1566</v>
      </c>
      <c r="O1120" s="26" t="s">
        <v>1566</v>
      </c>
      <c r="P1120" s="26" t="s">
        <v>661</v>
      </c>
      <c r="Q1120" s="26">
        <v>580.0</v>
      </c>
    </row>
    <row r="1121" ht="17.25" customHeight="1">
      <c r="A1121" s="51">
        <v>46126.677026840276</v>
      </c>
      <c r="B1121" s="25" t="s">
        <v>640</v>
      </c>
      <c r="C1121" s="55" t="s">
        <v>1892</v>
      </c>
      <c r="D1121" s="51">
        <v>46126.677026840276</v>
      </c>
      <c r="E1121" s="52">
        <v>1.0</v>
      </c>
      <c r="F1121" s="55" t="s">
        <v>2124</v>
      </c>
      <c r="G1121" s="26"/>
      <c r="H1121" s="26"/>
      <c r="I1121" s="26" t="s">
        <v>641</v>
      </c>
      <c r="J1121" s="26" t="s">
        <v>1812</v>
      </c>
      <c r="K1121" s="26" t="s">
        <v>1815</v>
      </c>
      <c r="L1121" s="26" t="s">
        <v>1566</v>
      </c>
      <c r="M1121" s="26" t="s">
        <v>1566</v>
      </c>
      <c r="N1121" s="26" t="s">
        <v>1566</v>
      </c>
      <c r="O1121" s="26" t="s">
        <v>1566</v>
      </c>
      <c r="P1121" s="26" t="s">
        <v>643</v>
      </c>
      <c r="Q1121" s="26">
        <v>3.0</v>
      </c>
    </row>
    <row r="1122" ht="17.25" customHeight="1">
      <c r="A1122" s="51">
        <v>46126.68711510417</v>
      </c>
      <c r="B1122" s="23" t="s">
        <v>301</v>
      </c>
      <c r="C1122" s="55" t="s">
        <v>1560</v>
      </c>
      <c r="D1122" s="51">
        <v>46126.677026840276</v>
      </c>
      <c r="E1122" s="52">
        <v>500.0</v>
      </c>
      <c r="F1122" s="55" t="s">
        <v>1673</v>
      </c>
      <c r="G1122" s="26"/>
      <c r="H1122" s="26"/>
      <c r="I1122" s="26" t="s">
        <v>302</v>
      </c>
      <c r="J1122" s="26" t="s">
        <v>1830</v>
      </c>
      <c r="K1122" s="26" t="s">
        <v>302</v>
      </c>
      <c r="L1122" s="26" t="s">
        <v>1566</v>
      </c>
      <c r="M1122" s="26" t="s">
        <v>1566</v>
      </c>
      <c r="N1122" s="26" t="s">
        <v>1566</v>
      </c>
      <c r="O1122" s="26" t="s">
        <v>1566</v>
      </c>
      <c r="P1122" s="26" t="s">
        <v>661</v>
      </c>
      <c r="Q1122" s="26">
        <v>580.0</v>
      </c>
    </row>
    <row r="1123" ht="17.25" customHeight="1">
      <c r="A1123" s="51">
        <v>46126.74805959491</v>
      </c>
      <c r="B1123" s="25" t="s">
        <v>968</v>
      </c>
      <c r="C1123" s="55" t="s">
        <v>1892</v>
      </c>
      <c r="D1123" s="51">
        <v>46126.677026840276</v>
      </c>
      <c r="E1123" s="52">
        <v>1.0</v>
      </c>
      <c r="F1123" s="55" t="s">
        <v>1673</v>
      </c>
      <c r="G1123" s="26"/>
      <c r="H1123" s="26"/>
      <c r="I1123" s="26" t="s">
        <v>969</v>
      </c>
      <c r="J1123" s="26" t="s">
        <v>1807</v>
      </c>
      <c r="K1123" s="26" t="s">
        <v>1807</v>
      </c>
      <c r="L1123" s="26" t="s">
        <v>1566</v>
      </c>
      <c r="M1123" s="26" t="s">
        <v>1566</v>
      </c>
      <c r="N1123" s="26" t="s">
        <v>1566</v>
      </c>
      <c r="O1123" s="26" t="s">
        <v>1566</v>
      </c>
      <c r="P1123" s="26" t="s">
        <v>290</v>
      </c>
      <c r="Q1123" s="26">
        <v>2.0</v>
      </c>
    </row>
    <row r="1124" ht="17.25" customHeight="1">
      <c r="A1124" s="51">
        <v>46126.76360056713</v>
      </c>
      <c r="B1124" s="23" t="s">
        <v>876</v>
      </c>
      <c r="C1124" s="55" t="s">
        <v>1892</v>
      </c>
      <c r="D1124" s="51">
        <v>46126.677026840276</v>
      </c>
      <c r="E1124" s="52">
        <v>5.0</v>
      </c>
      <c r="F1124" s="55" t="s">
        <v>1907</v>
      </c>
      <c r="G1124" s="26"/>
      <c r="H1124" s="26"/>
      <c r="I1124" s="26" t="s">
        <v>878</v>
      </c>
      <c r="J1124" s="26" t="s">
        <v>1830</v>
      </c>
      <c r="K1124" s="26" t="s">
        <v>1879</v>
      </c>
      <c r="L1124" s="26" t="s">
        <v>1566</v>
      </c>
      <c r="M1124" s="26" t="s">
        <v>1566</v>
      </c>
      <c r="N1124" s="26" t="s">
        <v>1566</v>
      </c>
      <c r="O1124" s="26" t="s">
        <v>1566</v>
      </c>
      <c r="P1124" s="26" t="s">
        <v>643</v>
      </c>
      <c r="Q1124" s="26">
        <v>34.0</v>
      </c>
    </row>
    <row r="1125" ht="17.25" customHeight="1">
      <c r="A1125" s="51">
        <v>46126.76376021991</v>
      </c>
      <c r="B1125" s="23" t="s">
        <v>876</v>
      </c>
      <c r="C1125" s="55" t="s">
        <v>1892</v>
      </c>
      <c r="D1125" s="202">
        <v>46125.67702546297</v>
      </c>
      <c r="E1125" s="52">
        <v>5.0</v>
      </c>
      <c r="F1125" s="55" t="s">
        <v>1907</v>
      </c>
      <c r="G1125" s="26"/>
      <c r="H1125" s="26"/>
      <c r="I1125" s="26" t="s">
        <v>878</v>
      </c>
      <c r="J1125" s="26" t="s">
        <v>1830</v>
      </c>
      <c r="K1125" s="26" t="s">
        <v>1879</v>
      </c>
      <c r="L1125" s="26" t="s">
        <v>1566</v>
      </c>
      <c r="M1125" s="26" t="s">
        <v>1566</v>
      </c>
      <c r="N1125" s="26" t="s">
        <v>1566</v>
      </c>
      <c r="O1125" s="26" t="s">
        <v>1566</v>
      </c>
      <c r="P1125" s="26" t="s">
        <v>643</v>
      </c>
      <c r="Q1125" s="26">
        <v>34.0</v>
      </c>
    </row>
    <row r="1126" ht="17.25" customHeight="1">
      <c r="A1126" s="51">
        <v>46126.7956727662</v>
      </c>
      <c r="B1126" s="25" t="s">
        <v>105</v>
      </c>
      <c r="C1126" s="55" t="s">
        <v>1892</v>
      </c>
      <c r="D1126" s="51">
        <v>46126.7956727662</v>
      </c>
      <c r="E1126" s="52">
        <v>300.0</v>
      </c>
      <c r="F1126" s="55" t="s">
        <v>1561</v>
      </c>
      <c r="G1126" s="55" t="s">
        <v>2096</v>
      </c>
      <c r="H1126" s="26"/>
      <c r="I1126" s="26" t="s">
        <v>107</v>
      </c>
      <c r="J1126" s="26" t="s">
        <v>1225</v>
      </c>
      <c r="K1126" s="26" t="s">
        <v>1562</v>
      </c>
      <c r="L1126" s="26" t="s">
        <v>1603</v>
      </c>
      <c r="M1126" s="26" t="s">
        <v>1575</v>
      </c>
      <c r="N1126" s="26" t="s">
        <v>1571</v>
      </c>
      <c r="O1126" s="26" t="s">
        <v>1566</v>
      </c>
      <c r="P1126" s="26" t="s">
        <v>22</v>
      </c>
      <c r="Q1126" s="26">
        <v>1200.0</v>
      </c>
    </row>
    <row r="1127" ht="17.25" customHeight="1">
      <c r="A1127" s="51">
        <v>46126.79593958333</v>
      </c>
      <c r="B1127" s="25" t="s">
        <v>105</v>
      </c>
      <c r="C1127" s="55" t="s">
        <v>1560</v>
      </c>
      <c r="D1127" s="51">
        <v>46126.7956727662</v>
      </c>
      <c r="E1127" s="52">
        <v>2000.0</v>
      </c>
      <c r="F1127" s="55" t="s">
        <v>1561</v>
      </c>
      <c r="G1127" s="55" t="s">
        <v>2227</v>
      </c>
      <c r="H1127" s="26"/>
      <c r="I1127" s="26" t="s">
        <v>107</v>
      </c>
      <c r="J1127" s="26" t="s">
        <v>1225</v>
      </c>
      <c r="K1127" s="26" t="s">
        <v>1562</v>
      </c>
      <c r="L1127" s="26" t="s">
        <v>1603</v>
      </c>
      <c r="M1127" s="26" t="s">
        <v>1575</v>
      </c>
      <c r="N1127" s="26" t="s">
        <v>1571</v>
      </c>
      <c r="O1127" s="26" t="s">
        <v>1566</v>
      </c>
      <c r="P1127" s="26" t="s">
        <v>22</v>
      </c>
      <c r="Q1127" s="26">
        <v>1200.0</v>
      </c>
    </row>
    <row r="1128" ht="17.25" customHeight="1">
      <c r="A1128" s="51">
        <v>46126.79646059028</v>
      </c>
      <c r="B1128" s="25" t="s">
        <v>95</v>
      </c>
      <c r="C1128" s="55" t="s">
        <v>1560</v>
      </c>
      <c r="D1128" s="51">
        <v>46126.7956727662</v>
      </c>
      <c r="E1128" s="52">
        <v>400.0</v>
      </c>
      <c r="F1128" s="55" t="s">
        <v>1561</v>
      </c>
      <c r="G1128" s="26"/>
      <c r="H1128" s="26"/>
      <c r="I1128" s="26" t="s">
        <v>97</v>
      </c>
      <c r="J1128" s="26" t="s">
        <v>1225</v>
      </c>
      <c r="K1128" s="26" t="s">
        <v>1562</v>
      </c>
      <c r="L1128" s="26" t="s">
        <v>1582</v>
      </c>
      <c r="M1128" s="26" t="s">
        <v>1564</v>
      </c>
      <c r="N1128" s="26" t="s">
        <v>1566</v>
      </c>
      <c r="O1128" s="26" t="s">
        <v>1566</v>
      </c>
      <c r="P1128" s="26" t="s">
        <v>22</v>
      </c>
      <c r="Q1128" s="26">
        <v>500.0</v>
      </c>
    </row>
    <row r="1129" ht="17.25" customHeight="1">
      <c r="A1129" s="51">
        <v>46126.797413645836</v>
      </c>
      <c r="B1129" s="27" t="s">
        <v>215</v>
      </c>
      <c r="C1129" s="55" t="s">
        <v>1560</v>
      </c>
      <c r="D1129" s="51">
        <v>46126.7956727662</v>
      </c>
      <c r="E1129" s="52">
        <v>1100.0</v>
      </c>
      <c r="F1129" s="55" t="s">
        <v>1561</v>
      </c>
      <c r="G1129" s="55" t="s">
        <v>2228</v>
      </c>
      <c r="H1129" s="26"/>
      <c r="I1129" s="26" t="s">
        <v>216</v>
      </c>
      <c r="J1129" s="26" t="s">
        <v>1225</v>
      </c>
      <c r="K1129" s="26" t="s">
        <v>1562</v>
      </c>
      <c r="L1129" s="26" t="s">
        <v>1600</v>
      </c>
      <c r="M1129" s="26" t="s">
        <v>1564</v>
      </c>
      <c r="N1129" s="26" t="s">
        <v>1566</v>
      </c>
      <c r="O1129" s="26" t="s">
        <v>1566</v>
      </c>
      <c r="P1129" s="26" t="s">
        <v>22</v>
      </c>
      <c r="Q1129" s="26">
        <v>0.0</v>
      </c>
    </row>
    <row r="1130" ht="17.25" customHeight="1">
      <c r="A1130" s="51">
        <v>46126.79864145833</v>
      </c>
      <c r="B1130" s="27" t="s">
        <v>1114</v>
      </c>
      <c r="C1130" s="55" t="s">
        <v>1560</v>
      </c>
      <c r="D1130" s="51">
        <v>46126.7956727662</v>
      </c>
      <c r="E1130" s="52">
        <v>600.0</v>
      </c>
      <c r="F1130" s="55" t="s">
        <v>1561</v>
      </c>
      <c r="G1130" s="55" t="s">
        <v>2229</v>
      </c>
      <c r="H1130" s="26"/>
      <c r="I1130" s="26" t="s">
        <v>1115</v>
      </c>
      <c r="J1130" s="26" t="s">
        <v>1225</v>
      </c>
      <c r="K1130" s="26" t="s">
        <v>1562</v>
      </c>
      <c r="L1130" s="26" t="s">
        <v>1573</v>
      </c>
      <c r="M1130" s="26" t="s">
        <v>1572</v>
      </c>
      <c r="N1130" s="26" t="s">
        <v>1566</v>
      </c>
      <c r="O1130" s="26" t="s">
        <v>1566</v>
      </c>
      <c r="P1130" s="26" t="s">
        <v>22</v>
      </c>
      <c r="Q1130" s="26">
        <v>0.0</v>
      </c>
    </row>
    <row r="1131" ht="17.25" customHeight="1">
      <c r="A1131" s="51">
        <v>46126.7992624537</v>
      </c>
      <c r="B1131" s="25" t="s">
        <v>573</v>
      </c>
      <c r="C1131" s="55" t="s">
        <v>1560</v>
      </c>
      <c r="D1131" s="51">
        <v>46126.7956727662</v>
      </c>
      <c r="E1131" s="52">
        <v>1000.0</v>
      </c>
      <c r="F1131" s="55" t="s">
        <v>1561</v>
      </c>
      <c r="G1131" s="55" t="s">
        <v>2230</v>
      </c>
      <c r="H1131" s="26"/>
      <c r="I1131" s="26" t="s">
        <v>575</v>
      </c>
      <c r="J1131" s="26" t="s">
        <v>1225</v>
      </c>
      <c r="K1131" s="26" t="s">
        <v>1562</v>
      </c>
      <c r="L1131" s="26" t="s">
        <v>1587</v>
      </c>
      <c r="M1131" s="26" t="s">
        <v>1564</v>
      </c>
      <c r="N1131" s="26" t="s">
        <v>1571</v>
      </c>
      <c r="O1131" s="26" t="s">
        <v>1566</v>
      </c>
      <c r="P1131" s="26" t="s">
        <v>22</v>
      </c>
      <c r="Q1131" s="26">
        <v>0.0</v>
      </c>
    </row>
    <row r="1132" ht="17.25" customHeight="1">
      <c r="A1132" s="51">
        <v>46126.80104684028</v>
      </c>
      <c r="B1132" s="25" t="s">
        <v>573</v>
      </c>
      <c r="C1132" s="55" t="s">
        <v>1892</v>
      </c>
      <c r="D1132" s="51">
        <v>46126.7956727662</v>
      </c>
      <c r="E1132" s="52">
        <v>0.0</v>
      </c>
      <c r="F1132" s="55" t="s">
        <v>1561</v>
      </c>
      <c r="G1132" s="55" t="s">
        <v>2096</v>
      </c>
      <c r="H1132" s="26"/>
      <c r="I1132" s="26" t="s">
        <v>575</v>
      </c>
      <c r="J1132" s="26" t="s">
        <v>1225</v>
      </c>
      <c r="K1132" s="26" t="s">
        <v>1562</v>
      </c>
      <c r="L1132" s="26" t="s">
        <v>1587</v>
      </c>
      <c r="M1132" s="26" t="s">
        <v>1564</v>
      </c>
      <c r="N1132" s="26" t="s">
        <v>1571</v>
      </c>
      <c r="O1132" s="26" t="s">
        <v>1566</v>
      </c>
      <c r="P1132" s="26" t="s">
        <v>22</v>
      </c>
      <c r="Q1132" s="26">
        <v>0.0</v>
      </c>
    </row>
    <row r="1133" ht="17.25" customHeight="1">
      <c r="A1133" s="51">
        <v>46126.80116991898</v>
      </c>
      <c r="B1133" s="25" t="s">
        <v>304</v>
      </c>
      <c r="C1133" s="55" t="s">
        <v>1892</v>
      </c>
      <c r="D1133" s="51">
        <v>46126.7956727662</v>
      </c>
      <c r="E1133" s="52">
        <v>2.0</v>
      </c>
      <c r="F1133" s="55" t="s">
        <v>2124</v>
      </c>
      <c r="G1133" s="26"/>
      <c r="H1133" s="26"/>
      <c r="I1133" s="26" t="s">
        <v>306</v>
      </c>
      <c r="J1133" s="26" t="s">
        <v>1674</v>
      </c>
      <c r="K1133" s="26" t="s">
        <v>1675</v>
      </c>
      <c r="L1133" s="26" t="s">
        <v>1566</v>
      </c>
      <c r="M1133" s="26" t="s">
        <v>1566</v>
      </c>
      <c r="N1133" s="26" t="s">
        <v>1682</v>
      </c>
      <c r="O1133" s="26" t="s">
        <v>1677</v>
      </c>
      <c r="P1133" s="26" t="s">
        <v>290</v>
      </c>
      <c r="Q1133" s="26">
        <v>6.0</v>
      </c>
    </row>
    <row r="1134" ht="17.25" customHeight="1">
      <c r="A1134" s="51">
        <v>46126.80198858796</v>
      </c>
      <c r="B1134" s="23" t="s">
        <v>301</v>
      </c>
      <c r="C1134" s="55" t="s">
        <v>1892</v>
      </c>
      <c r="D1134" s="51">
        <v>46126.7956727662</v>
      </c>
      <c r="E1134" s="52">
        <v>10.0</v>
      </c>
      <c r="F1134" s="55" t="s">
        <v>2124</v>
      </c>
      <c r="G1134" s="26"/>
      <c r="H1134" s="26"/>
      <c r="I1134" s="26" t="s">
        <v>302</v>
      </c>
      <c r="J1134" s="26" t="s">
        <v>1830</v>
      </c>
      <c r="K1134" s="26" t="s">
        <v>302</v>
      </c>
      <c r="L1134" s="26" t="s">
        <v>1566</v>
      </c>
      <c r="M1134" s="26" t="s">
        <v>1566</v>
      </c>
      <c r="N1134" s="26" t="s">
        <v>1566</v>
      </c>
      <c r="O1134" s="26" t="s">
        <v>1566</v>
      </c>
      <c r="P1134" s="26" t="s">
        <v>661</v>
      </c>
      <c r="Q1134" s="26">
        <v>580.0</v>
      </c>
    </row>
    <row r="1135" ht="17.25" customHeight="1">
      <c r="A1135" s="51">
        <v>46126.80287703704</v>
      </c>
      <c r="B1135" s="25" t="s">
        <v>287</v>
      </c>
      <c r="C1135" s="55" t="s">
        <v>1892</v>
      </c>
      <c r="D1135" s="51">
        <v>46126.7956727662</v>
      </c>
      <c r="E1135" s="52">
        <v>2.0</v>
      </c>
      <c r="F1135" s="55" t="s">
        <v>2124</v>
      </c>
      <c r="G1135" s="55" t="s">
        <v>2096</v>
      </c>
      <c r="H1135" s="26"/>
      <c r="I1135" s="26" t="s">
        <v>288</v>
      </c>
      <c r="J1135" s="26" t="s">
        <v>1674</v>
      </c>
      <c r="K1135" s="26" t="s">
        <v>1675</v>
      </c>
      <c r="L1135" s="26" t="s">
        <v>1566</v>
      </c>
      <c r="M1135" s="26" t="s">
        <v>1566</v>
      </c>
      <c r="N1135" s="26" t="s">
        <v>1676</v>
      </c>
      <c r="O1135" s="26" t="s">
        <v>1677</v>
      </c>
      <c r="P1135" s="26" t="s">
        <v>290</v>
      </c>
      <c r="Q1135" s="26">
        <v>16.0</v>
      </c>
    </row>
    <row r="1136" ht="17.25" customHeight="1">
      <c r="A1136" s="51">
        <v>46130.46076133102</v>
      </c>
      <c r="B1136" s="25" t="s">
        <v>1045</v>
      </c>
      <c r="C1136" s="55" t="s">
        <v>1892</v>
      </c>
      <c r="D1136" s="51">
        <v>46126.7956727662</v>
      </c>
      <c r="E1136" s="52">
        <v>1600.0</v>
      </c>
      <c r="F1136" s="55" t="s">
        <v>1561</v>
      </c>
      <c r="G1136" s="55">
        <v>722.0</v>
      </c>
      <c r="H1136" s="26"/>
      <c r="I1136" s="26" t="s">
        <v>1046</v>
      </c>
      <c r="J1136" s="26" t="s">
        <v>1225</v>
      </c>
      <c r="K1136" s="26" t="s">
        <v>1562</v>
      </c>
      <c r="L1136" s="26" t="s">
        <v>1633</v>
      </c>
      <c r="M1136" s="26" t="s">
        <v>2093</v>
      </c>
      <c r="N1136" s="26" t="s">
        <v>1566</v>
      </c>
      <c r="O1136" s="26" t="s">
        <v>1566</v>
      </c>
      <c r="P1136" s="26" t="s">
        <v>22</v>
      </c>
      <c r="Q1136" s="26">
        <v>950.0</v>
      </c>
    </row>
    <row r="1137" ht="17.25" customHeight="1">
      <c r="A1137" s="51">
        <v>46126.803164791665</v>
      </c>
      <c r="B1137" s="25" t="s">
        <v>297</v>
      </c>
      <c r="C1137" s="55" t="s">
        <v>1892</v>
      </c>
      <c r="D1137" s="51">
        <v>46126.7956727662</v>
      </c>
      <c r="E1137" s="52">
        <v>2.0</v>
      </c>
      <c r="F1137" s="55" t="s">
        <v>2124</v>
      </c>
      <c r="G1137" s="55" t="s">
        <v>2096</v>
      </c>
      <c r="H1137" s="26"/>
      <c r="I1137" s="26" t="s">
        <v>298</v>
      </c>
      <c r="J1137" s="26" t="s">
        <v>1674</v>
      </c>
      <c r="K1137" s="26" t="s">
        <v>1675</v>
      </c>
      <c r="L1137" s="26" t="s">
        <v>1566</v>
      </c>
      <c r="M1137" s="26" t="s">
        <v>1566</v>
      </c>
      <c r="N1137" s="26" t="s">
        <v>1680</v>
      </c>
      <c r="O1137" s="26" t="s">
        <v>1677</v>
      </c>
      <c r="P1137" s="26" t="s">
        <v>290</v>
      </c>
      <c r="Q1137" s="26">
        <v>10.0</v>
      </c>
    </row>
    <row r="1138" ht="17.25" customHeight="1">
      <c r="A1138" s="51">
        <v>46127.446846377316</v>
      </c>
      <c r="B1138" s="25" t="s">
        <v>359</v>
      </c>
      <c r="C1138" s="55" t="s">
        <v>1892</v>
      </c>
      <c r="D1138" s="51">
        <v>46127.44705721065</v>
      </c>
      <c r="E1138" s="52">
        <v>7.0</v>
      </c>
      <c r="F1138" s="55" t="s">
        <v>1894</v>
      </c>
      <c r="G1138" s="26"/>
      <c r="H1138" s="26"/>
      <c r="I1138" s="26" t="s">
        <v>370</v>
      </c>
      <c r="J1138" s="26" t="s">
        <v>370</v>
      </c>
      <c r="K1138" s="26" t="s">
        <v>370</v>
      </c>
      <c r="L1138" s="26" t="s">
        <v>1566</v>
      </c>
      <c r="M1138" s="26" t="s">
        <v>1566</v>
      </c>
      <c r="N1138" s="26" t="s">
        <v>1566</v>
      </c>
      <c r="O1138" s="26" t="s">
        <v>1566</v>
      </c>
      <c r="P1138" s="26" t="s">
        <v>661</v>
      </c>
      <c r="Q1138" s="26">
        <v>100.0</v>
      </c>
    </row>
    <row r="1139" ht="17.25" customHeight="1">
      <c r="A1139" s="51">
        <v>46127.44705721065</v>
      </c>
      <c r="B1139" s="23" t="s">
        <v>301</v>
      </c>
      <c r="C1139" s="55" t="s">
        <v>1892</v>
      </c>
      <c r="D1139" s="51">
        <v>46127.44705721065</v>
      </c>
      <c r="E1139" s="52">
        <v>7.0</v>
      </c>
      <c r="F1139" s="55" t="s">
        <v>1894</v>
      </c>
      <c r="G1139" s="26"/>
      <c r="H1139" s="26"/>
      <c r="I1139" s="26" t="s">
        <v>302</v>
      </c>
      <c r="J1139" s="26" t="s">
        <v>1830</v>
      </c>
      <c r="K1139" s="26" t="s">
        <v>302</v>
      </c>
      <c r="L1139" s="26" t="s">
        <v>1566</v>
      </c>
      <c r="M1139" s="26" t="s">
        <v>1566</v>
      </c>
      <c r="N1139" s="26" t="s">
        <v>1566</v>
      </c>
      <c r="O1139" s="26" t="s">
        <v>1566</v>
      </c>
      <c r="P1139" s="26" t="s">
        <v>661</v>
      </c>
      <c r="Q1139" s="26">
        <v>580.0</v>
      </c>
    </row>
    <row r="1140" ht="17.25" customHeight="1">
      <c r="A1140" s="51">
        <v>46127.45122695602</v>
      </c>
      <c r="B1140" s="25" t="s">
        <v>1726</v>
      </c>
      <c r="C1140" s="55" t="s">
        <v>1892</v>
      </c>
      <c r="D1140" s="51">
        <v>46127.44705721065</v>
      </c>
      <c r="E1140" s="52">
        <v>1200.0</v>
      </c>
      <c r="F1140" s="55" t="s">
        <v>1561</v>
      </c>
      <c r="G1140" s="55">
        <v>721.0</v>
      </c>
      <c r="H1140" s="26"/>
      <c r="I1140" s="26" t="s">
        <v>1727</v>
      </c>
      <c r="J1140" s="26" t="s">
        <v>1225</v>
      </c>
      <c r="K1140" s="26" t="s">
        <v>1562</v>
      </c>
      <c r="L1140" s="26" t="s">
        <v>2133</v>
      </c>
      <c r="M1140" s="26" t="s">
        <v>1564</v>
      </c>
      <c r="N1140" s="26" t="s">
        <v>1566</v>
      </c>
      <c r="O1140" s="26" t="s">
        <v>1566</v>
      </c>
      <c r="P1140" s="26" t="s">
        <v>22</v>
      </c>
      <c r="Q1140" s="26">
        <v>0.0</v>
      </c>
    </row>
    <row r="1141" ht="17.25" customHeight="1">
      <c r="A1141" s="51">
        <v>46127.47448010417</v>
      </c>
      <c r="B1141" s="25" t="s">
        <v>1088</v>
      </c>
      <c r="C1141" s="55" t="s">
        <v>1892</v>
      </c>
      <c r="D1141" s="51">
        <v>46127.44705721065</v>
      </c>
      <c r="E1141" s="52">
        <v>700.0</v>
      </c>
      <c r="F1141" s="55" t="s">
        <v>1561</v>
      </c>
      <c r="G1141" s="55">
        <v>725.0</v>
      </c>
      <c r="H1141" s="26"/>
      <c r="I1141" s="26" t="s">
        <v>1089</v>
      </c>
      <c r="J1141" s="26" t="s">
        <v>1225</v>
      </c>
      <c r="K1141" s="26" t="s">
        <v>1562</v>
      </c>
      <c r="L1141" s="26" t="s">
        <v>2118</v>
      </c>
      <c r="M1141" s="26" t="s">
        <v>1622</v>
      </c>
      <c r="N1141" s="26" t="s">
        <v>1566</v>
      </c>
      <c r="O1141" s="26" t="s">
        <v>1566</v>
      </c>
      <c r="P1141" s="26" t="s">
        <v>22</v>
      </c>
      <c r="Q1141" s="26">
        <v>200.0</v>
      </c>
    </row>
    <row r="1142" ht="17.25" customHeight="1">
      <c r="A1142" s="51">
        <v>46127.52614256945</v>
      </c>
      <c r="B1142" s="25" t="s">
        <v>1938</v>
      </c>
      <c r="C1142" s="55" t="s">
        <v>1560</v>
      </c>
      <c r="D1142" s="111">
        <v>46126.0</v>
      </c>
      <c r="E1142" s="52">
        <v>200.0</v>
      </c>
      <c r="F1142" s="55" t="s">
        <v>1561</v>
      </c>
      <c r="G1142" s="55" t="s">
        <v>2231</v>
      </c>
      <c r="H1142" s="26"/>
      <c r="I1142" s="26" t="s">
        <v>1939</v>
      </c>
      <c r="J1142" s="26" t="s">
        <v>1225</v>
      </c>
      <c r="K1142" s="26" t="s">
        <v>1642</v>
      </c>
      <c r="L1142" s="26" t="s">
        <v>1563</v>
      </c>
      <c r="M1142" s="26" t="s">
        <v>1622</v>
      </c>
      <c r="N1142" s="26" t="s">
        <v>1566</v>
      </c>
      <c r="O1142" s="26" t="s">
        <v>1566</v>
      </c>
      <c r="P1142" s="26" t="s">
        <v>22</v>
      </c>
      <c r="Q1142" s="26">
        <v>0.0</v>
      </c>
    </row>
    <row r="1143" ht="17.25" customHeight="1">
      <c r="A1143" s="51">
        <v>46127.52768528935</v>
      </c>
      <c r="B1143" s="27" t="s">
        <v>1117</v>
      </c>
      <c r="C1143" s="55" t="s">
        <v>1560</v>
      </c>
      <c r="D1143" s="111">
        <v>46126.0</v>
      </c>
      <c r="E1143" s="52">
        <v>600.0</v>
      </c>
      <c r="F1143" s="55" t="s">
        <v>1561</v>
      </c>
      <c r="G1143" s="55" t="s">
        <v>2232</v>
      </c>
      <c r="H1143" s="26"/>
      <c r="I1143" s="26" t="s">
        <v>1118</v>
      </c>
      <c r="J1143" s="26" t="s">
        <v>1225</v>
      </c>
      <c r="K1143" s="26" t="s">
        <v>1642</v>
      </c>
      <c r="L1143" s="26" t="s">
        <v>2136</v>
      </c>
      <c r="M1143" s="26" t="s">
        <v>1622</v>
      </c>
      <c r="N1143" s="26" t="s">
        <v>1566</v>
      </c>
      <c r="O1143" s="26" t="s">
        <v>1566</v>
      </c>
      <c r="P1143" s="26" t="s">
        <v>22</v>
      </c>
      <c r="Q1143" s="26">
        <v>800.0</v>
      </c>
    </row>
    <row r="1144" ht="17.25" customHeight="1">
      <c r="A1144" s="51">
        <v>46127.61400707176</v>
      </c>
      <c r="B1144" s="25" t="s">
        <v>287</v>
      </c>
      <c r="C1144" s="55" t="s">
        <v>1560</v>
      </c>
      <c r="D1144" s="51">
        <v>46127.61400707176</v>
      </c>
      <c r="E1144" s="196">
        <v>2.0</v>
      </c>
      <c r="F1144" s="55" t="s">
        <v>1673</v>
      </c>
      <c r="G1144" s="26"/>
      <c r="H1144" s="26"/>
      <c r="I1144" s="26" t="s">
        <v>288</v>
      </c>
      <c r="J1144" s="26" t="s">
        <v>1674</v>
      </c>
      <c r="K1144" s="26" t="s">
        <v>1675</v>
      </c>
      <c r="L1144" s="26" t="s">
        <v>1566</v>
      </c>
      <c r="M1144" s="26" t="s">
        <v>1566</v>
      </c>
      <c r="N1144" s="26" t="s">
        <v>1676</v>
      </c>
      <c r="O1144" s="26" t="s">
        <v>1677</v>
      </c>
      <c r="P1144" s="26" t="s">
        <v>290</v>
      </c>
      <c r="Q1144" s="26">
        <v>16.0</v>
      </c>
    </row>
    <row r="1145" ht="17.25" customHeight="1">
      <c r="A1145" s="51">
        <v>46127.61410748842</v>
      </c>
      <c r="B1145" s="25" t="s">
        <v>292</v>
      </c>
      <c r="C1145" s="55" t="s">
        <v>1560</v>
      </c>
      <c r="D1145" s="51">
        <v>46127.61400707176</v>
      </c>
      <c r="E1145" s="196">
        <v>2.0</v>
      </c>
      <c r="F1145" s="55" t="s">
        <v>1673</v>
      </c>
      <c r="G1145" s="26"/>
      <c r="H1145" s="26"/>
      <c r="I1145" s="26" t="s">
        <v>294</v>
      </c>
      <c r="J1145" s="26" t="s">
        <v>1674</v>
      </c>
      <c r="K1145" s="26" t="s">
        <v>1675</v>
      </c>
      <c r="L1145" s="26" t="s">
        <v>1566</v>
      </c>
      <c r="M1145" s="26" t="s">
        <v>1566</v>
      </c>
      <c r="N1145" s="26" t="s">
        <v>1678</v>
      </c>
      <c r="O1145" s="26" t="s">
        <v>1677</v>
      </c>
      <c r="P1145" s="26" t="s">
        <v>290</v>
      </c>
      <c r="Q1145" s="26">
        <v>10.0</v>
      </c>
    </row>
    <row r="1146" ht="17.25" customHeight="1">
      <c r="A1146" s="51">
        <v>46127.61418122685</v>
      </c>
      <c r="B1146" s="25" t="s">
        <v>297</v>
      </c>
      <c r="C1146" s="55" t="s">
        <v>1560</v>
      </c>
      <c r="D1146" s="51">
        <v>46127.61400707176</v>
      </c>
      <c r="E1146" s="196">
        <v>8.0</v>
      </c>
      <c r="F1146" s="55" t="s">
        <v>1673</v>
      </c>
      <c r="G1146" s="26"/>
      <c r="H1146" s="26"/>
      <c r="I1146" s="26" t="s">
        <v>298</v>
      </c>
      <c r="J1146" s="26" t="s">
        <v>1674</v>
      </c>
      <c r="K1146" s="26" t="s">
        <v>1675</v>
      </c>
      <c r="L1146" s="26" t="s">
        <v>1566</v>
      </c>
      <c r="M1146" s="26" t="s">
        <v>1566</v>
      </c>
      <c r="N1146" s="26" t="s">
        <v>1680</v>
      </c>
      <c r="O1146" s="26" t="s">
        <v>1677</v>
      </c>
      <c r="P1146" s="26" t="s">
        <v>290</v>
      </c>
      <c r="Q1146" s="26">
        <v>10.0</v>
      </c>
    </row>
    <row r="1147" ht="17.25" customHeight="1">
      <c r="A1147" s="51">
        <v>46127.6142369213</v>
      </c>
      <c r="B1147" s="25" t="s">
        <v>304</v>
      </c>
      <c r="C1147" s="55" t="s">
        <v>1560</v>
      </c>
      <c r="D1147" s="51">
        <v>46127.61400707176</v>
      </c>
      <c r="E1147" s="196">
        <v>8.0</v>
      </c>
      <c r="F1147" s="55" t="s">
        <v>1673</v>
      </c>
      <c r="G1147" s="26"/>
      <c r="H1147" s="26"/>
      <c r="I1147" s="26" t="s">
        <v>306</v>
      </c>
      <c r="J1147" s="26" t="s">
        <v>1674</v>
      </c>
      <c r="K1147" s="26" t="s">
        <v>1675</v>
      </c>
      <c r="L1147" s="26" t="s">
        <v>1566</v>
      </c>
      <c r="M1147" s="26" t="s">
        <v>1566</v>
      </c>
      <c r="N1147" s="26" t="s">
        <v>1682</v>
      </c>
      <c r="O1147" s="26" t="s">
        <v>1677</v>
      </c>
      <c r="P1147" s="26" t="s">
        <v>290</v>
      </c>
      <c r="Q1147" s="26">
        <v>6.0</v>
      </c>
    </row>
    <row r="1148" ht="17.25" customHeight="1">
      <c r="A1148" s="51">
        <v>46127.61461872685</v>
      </c>
      <c r="B1148" s="25" t="s">
        <v>304</v>
      </c>
      <c r="C1148" s="55" t="s">
        <v>1892</v>
      </c>
      <c r="D1148" s="51">
        <v>46127.61400707176</v>
      </c>
      <c r="E1148" s="55">
        <v>2.0</v>
      </c>
      <c r="F1148" s="55" t="s">
        <v>2124</v>
      </c>
      <c r="G1148" s="26"/>
      <c r="H1148" s="26"/>
      <c r="I1148" s="26" t="s">
        <v>306</v>
      </c>
      <c r="J1148" s="26" t="s">
        <v>1674</v>
      </c>
      <c r="K1148" s="26" t="s">
        <v>1675</v>
      </c>
      <c r="L1148" s="26" t="s">
        <v>1566</v>
      </c>
      <c r="M1148" s="26" t="s">
        <v>1566</v>
      </c>
      <c r="N1148" s="26" t="s">
        <v>1682</v>
      </c>
      <c r="O1148" s="26" t="s">
        <v>1677</v>
      </c>
      <c r="P1148" s="26" t="s">
        <v>290</v>
      </c>
      <c r="Q1148" s="26">
        <v>6.0</v>
      </c>
    </row>
    <row r="1149" ht="17.25" customHeight="1">
      <c r="A1149" s="51">
        <v>46127.63764877315</v>
      </c>
      <c r="B1149" s="27" t="s">
        <v>1120</v>
      </c>
      <c r="C1149" s="55" t="s">
        <v>1560</v>
      </c>
      <c r="D1149" s="51">
        <v>46127.61400707176</v>
      </c>
      <c r="E1149" s="52">
        <v>1.9</v>
      </c>
      <c r="F1149" s="55" t="s">
        <v>1673</v>
      </c>
      <c r="G1149" s="26"/>
      <c r="H1149" s="26"/>
      <c r="I1149" s="26" t="s">
        <v>1121</v>
      </c>
      <c r="J1149" s="26" t="s">
        <v>1830</v>
      </c>
      <c r="K1149" s="26" t="s">
        <v>1642</v>
      </c>
      <c r="L1149" s="26" t="s">
        <v>1566</v>
      </c>
      <c r="M1149" s="26" t="s">
        <v>1566</v>
      </c>
      <c r="N1149" s="26" t="s">
        <v>1566</v>
      </c>
      <c r="O1149" s="26" t="s">
        <v>1566</v>
      </c>
      <c r="P1149" s="26" t="s">
        <v>616</v>
      </c>
      <c r="Q1149" s="26">
        <v>0.95</v>
      </c>
    </row>
    <row r="1150" ht="17.25" customHeight="1">
      <c r="A1150" s="51">
        <v>46127.63764877315</v>
      </c>
      <c r="B1150" s="27" t="s">
        <v>1120</v>
      </c>
      <c r="C1150" s="55" t="s">
        <v>1892</v>
      </c>
      <c r="D1150" s="51">
        <v>46127.61400707176</v>
      </c>
      <c r="E1150" s="52">
        <v>0.95</v>
      </c>
      <c r="F1150" s="55" t="s">
        <v>2124</v>
      </c>
      <c r="G1150" s="26"/>
      <c r="H1150" s="26"/>
      <c r="I1150" s="26" t="s">
        <v>1121</v>
      </c>
      <c r="J1150" s="26" t="s">
        <v>1830</v>
      </c>
      <c r="K1150" s="26" t="s">
        <v>1642</v>
      </c>
      <c r="L1150" s="26" t="s">
        <v>1566</v>
      </c>
      <c r="M1150" s="26" t="s">
        <v>1566</v>
      </c>
      <c r="N1150" s="26" t="s">
        <v>1566</v>
      </c>
      <c r="O1150" s="26" t="s">
        <v>1566</v>
      </c>
      <c r="P1150" s="26" t="s">
        <v>616</v>
      </c>
      <c r="Q1150" s="26">
        <v>0.95</v>
      </c>
    </row>
    <row r="1151" ht="17.25" customHeight="1">
      <c r="A1151" s="51">
        <v>46127.63889858796</v>
      </c>
      <c r="B1151" s="27" t="s">
        <v>1124</v>
      </c>
      <c r="C1151" s="55" t="s">
        <v>1560</v>
      </c>
      <c r="D1151" s="51">
        <v>46127.61400707176</v>
      </c>
      <c r="E1151" s="52">
        <v>80.0</v>
      </c>
      <c r="F1151" s="55" t="s">
        <v>1894</v>
      </c>
      <c r="G1151" s="26"/>
      <c r="H1151" s="26"/>
      <c r="I1151" s="26" t="s">
        <v>1125</v>
      </c>
      <c r="J1151" s="26" t="s">
        <v>1830</v>
      </c>
      <c r="K1151" s="26" t="s">
        <v>1642</v>
      </c>
      <c r="L1151" s="26" t="s">
        <v>1566</v>
      </c>
      <c r="M1151" s="26" t="s">
        <v>1566</v>
      </c>
      <c r="N1151" s="26" t="s">
        <v>1566</v>
      </c>
      <c r="O1151" s="26" t="s">
        <v>1566</v>
      </c>
      <c r="P1151" s="26" t="s">
        <v>661</v>
      </c>
      <c r="Q1151" s="26">
        <v>80.0</v>
      </c>
    </row>
    <row r="1152" ht="17.25" customHeight="1">
      <c r="A1152" s="51">
        <v>46127.77344001157</v>
      </c>
      <c r="B1152" s="25" t="s">
        <v>948</v>
      </c>
      <c r="C1152" s="55" t="s">
        <v>1892</v>
      </c>
      <c r="D1152" s="51">
        <v>46127.61400707176</v>
      </c>
      <c r="E1152" s="52">
        <v>5.0</v>
      </c>
      <c r="F1152" s="55" t="s">
        <v>2075</v>
      </c>
      <c r="G1152" s="26"/>
      <c r="H1152" s="26"/>
      <c r="I1152" s="26" t="s">
        <v>952</v>
      </c>
      <c r="J1152" s="26" t="s">
        <v>1812</v>
      </c>
      <c r="K1152" s="26" t="s">
        <v>1815</v>
      </c>
      <c r="L1152" s="26" t="s">
        <v>1566</v>
      </c>
      <c r="M1152" s="26" t="s">
        <v>1566</v>
      </c>
      <c r="N1152" s="26" t="s">
        <v>1566</v>
      </c>
      <c r="O1152" s="26" t="s">
        <v>2060</v>
      </c>
      <c r="P1152" s="26" t="s">
        <v>616</v>
      </c>
      <c r="Q1152" s="26">
        <v>5.0</v>
      </c>
    </row>
    <row r="1153" ht="17.25" customHeight="1">
      <c r="A1153" s="51">
        <v>46128.41039584491</v>
      </c>
      <c r="B1153" s="25" t="s">
        <v>1127</v>
      </c>
      <c r="C1153" s="55" t="s">
        <v>1560</v>
      </c>
      <c r="D1153" s="51">
        <v>46127.61400707176</v>
      </c>
      <c r="E1153" s="52">
        <v>180.0</v>
      </c>
      <c r="F1153" s="55" t="s">
        <v>1894</v>
      </c>
      <c r="G1153" s="26"/>
      <c r="H1153" s="26"/>
      <c r="I1153" s="26" t="s">
        <v>1128</v>
      </c>
      <c r="J1153" s="26" t="s">
        <v>1830</v>
      </c>
      <c r="K1153" s="26" t="s">
        <v>1642</v>
      </c>
      <c r="L1153" s="26" t="s">
        <v>1566</v>
      </c>
      <c r="M1153" s="26" t="s">
        <v>1566</v>
      </c>
      <c r="N1153" s="26" t="s">
        <v>1566</v>
      </c>
      <c r="O1153" s="26" t="s">
        <v>1566</v>
      </c>
      <c r="P1153" s="26" t="s">
        <v>661</v>
      </c>
      <c r="Q1153" s="26">
        <v>180.0</v>
      </c>
    </row>
    <row r="1154" ht="17.25" customHeight="1">
      <c r="A1154" s="51">
        <v>46128.45029494213</v>
      </c>
      <c r="B1154" s="27" t="s">
        <v>1130</v>
      </c>
      <c r="C1154" s="55" t="s">
        <v>1560</v>
      </c>
      <c r="D1154" s="51">
        <v>46127.61400707176</v>
      </c>
      <c r="E1154" s="52">
        <v>2.0</v>
      </c>
      <c r="F1154" s="55" t="s">
        <v>1673</v>
      </c>
      <c r="G1154" s="26"/>
      <c r="H1154" s="26"/>
      <c r="I1154" s="26" t="s">
        <v>1131</v>
      </c>
      <c r="J1154" s="26" t="s">
        <v>1833</v>
      </c>
      <c r="K1154" s="26" t="s">
        <v>1833</v>
      </c>
      <c r="L1154" s="26" t="s">
        <v>1566</v>
      </c>
      <c r="M1154" s="26" t="s">
        <v>1566</v>
      </c>
      <c r="N1154" s="26" t="s">
        <v>1566</v>
      </c>
      <c r="O1154" s="26" t="s">
        <v>1566</v>
      </c>
      <c r="P1154" s="26" t="s">
        <v>290</v>
      </c>
      <c r="Q1154" s="26">
        <v>3.0</v>
      </c>
    </row>
    <row r="1155" ht="17.25" customHeight="1">
      <c r="A1155" s="51">
        <v>46128.45067780092</v>
      </c>
      <c r="B1155" s="25" t="s">
        <v>968</v>
      </c>
      <c r="C1155" s="55" t="s">
        <v>1560</v>
      </c>
      <c r="D1155" s="51">
        <v>46127.61400707176</v>
      </c>
      <c r="E1155" s="52">
        <v>3.0</v>
      </c>
      <c r="F1155" s="55" t="s">
        <v>1673</v>
      </c>
      <c r="G1155" s="26"/>
      <c r="H1155" s="26"/>
      <c r="I1155" s="26" t="s">
        <v>969</v>
      </c>
      <c r="J1155" s="26" t="s">
        <v>1807</v>
      </c>
      <c r="K1155" s="26" t="s">
        <v>1807</v>
      </c>
      <c r="L1155" s="26" t="s">
        <v>1566</v>
      </c>
      <c r="M1155" s="26" t="s">
        <v>1566</v>
      </c>
      <c r="N1155" s="26" t="s">
        <v>1566</v>
      </c>
      <c r="O1155" s="26" t="s">
        <v>1566</v>
      </c>
      <c r="P1155" s="26" t="s">
        <v>290</v>
      </c>
      <c r="Q1155" s="26">
        <v>2.0</v>
      </c>
    </row>
    <row r="1156" ht="17.25" customHeight="1">
      <c r="A1156" s="51">
        <v>46128.451393194446</v>
      </c>
      <c r="B1156" s="25" t="s">
        <v>964</v>
      </c>
      <c r="C1156" s="55" t="s">
        <v>1560</v>
      </c>
      <c r="D1156" s="51">
        <v>46127.61400707176</v>
      </c>
      <c r="E1156" s="52">
        <v>20.0</v>
      </c>
      <c r="F1156" s="55" t="s">
        <v>1673</v>
      </c>
      <c r="G1156" s="26"/>
      <c r="H1156" s="26"/>
      <c r="I1156" s="26" t="s">
        <v>965</v>
      </c>
      <c r="J1156" s="26" t="s">
        <v>1833</v>
      </c>
      <c r="K1156" s="26" t="s">
        <v>1833</v>
      </c>
      <c r="L1156" s="26" t="s">
        <v>1566</v>
      </c>
      <c r="M1156" s="26" t="s">
        <v>1566</v>
      </c>
      <c r="N1156" s="26" t="s">
        <v>1566</v>
      </c>
      <c r="O1156" s="26" t="s">
        <v>1566</v>
      </c>
      <c r="P1156" s="26" t="s">
        <v>643</v>
      </c>
      <c r="Q1156" s="26">
        <v>25.0</v>
      </c>
    </row>
    <row r="1157" ht="17.25" customHeight="1">
      <c r="A1157" s="51">
        <v>46128.45154019676</v>
      </c>
      <c r="B1157" s="25" t="s">
        <v>964</v>
      </c>
      <c r="C1157" s="55" t="s">
        <v>1892</v>
      </c>
      <c r="D1157" s="51">
        <v>46127.61400707176</v>
      </c>
      <c r="E1157" s="52">
        <v>5.0</v>
      </c>
      <c r="F1157" s="55" t="s">
        <v>1561</v>
      </c>
      <c r="G1157" s="26"/>
      <c r="H1157" s="26"/>
      <c r="I1157" s="26" t="s">
        <v>965</v>
      </c>
      <c r="J1157" s="26" t="s">
        <v>1833</v>
      </c>
      <c r="K1157" s="26" t="s">
        <v>1833</v>
      </c>
      <c r="L1157" s="26" t="s">
        <v>1566</v>
      </c>
      <c r="M1157" s="26" t="s">
        <v>1566</v>
      </c>
      <c r="N1157" s="26" t="s">
        <v>1566</v>
      </c>
      <c r="O1157" s="26" t="s">
        <v>1566</v>
      </c>
      <c r="P1157" s="26" t="s">
        <v>643</v>
      </c>
      <c r="Q1157" s="26">
        <v>25.0</v>
      </c>
    </row>
    <row r="1158" ht="17.25" customHeight="1">
      <c r="A1158" s="51">
        <v>46128.453112233794</v>
      </c>
      <c r="B1158" s="25" t="s">
        <v>847</v>
      </c>
      <c r="C1158" s="55" t="s">
        <v>1892</v>
      </c>
      <c r="D1158" s="51">
        <v>46127.61400707176</v>
      </c>
      <c r="E1158" s="52">
        <v>2.0</v>
      </c>
      <c r="F1158" s="55" t="s">
        <v>1844</v>
      </c>
      <c r="G1158" s="26"/>
      <c r="H1158" s="26"/>
      <c r="I1158" s="26" t="s">
        <v>849</v>
      </c>
      <c r="J1158" s="26" t="s">
        <v>1844</v>
      </c>
      <c r="K1158" s="26" t="s">
        <v>1846</v>
      </c>
      <c r="L1158" s="26" t="s">
        <v>1870</v>
      </c>
      <c r="M1158" s="26" t="s">
        <v>1566</v>
      </c>
      <c r="N1158" s="26" t="s">
        <v>1566</v>
      </c>
      <c r="O1158" s="26" t="s">
        <v>1808</v>
      </c>
      <c r="P1158" s="26" t="s">
        <v>661</v>
      </c>
      <c r="Q1158" s="26">
        <v>1.0</v>
      </c>
    </row>
    <row r="1159" ht="17.25" customHeight="1">
      <c r="A1159" s="51">
        <v>46128.46404673611</v>
      </c>
      <c r="B1159" s="27" t="s">
        <v>1133</v>
      </c>
      <c r="C1159" s="55" t="s">
        <v>1560</v>
      </c>
      <c r="D1159" s="51">
        <v>46127.61400707176</v>
      </c>
      <c r="E1159" s="52">
        <v>2.0</v>
      </c>
      <c r="F1159" s="55" t="s">
        <v>1673</v>
      </c>
      <c r="G1159" s="26"/>
      <c r="H1159" s="26"/>
      <c r="I1159" s="26" t="s">
        <v>1134</v>
      </c>
      <c r="J1159" s="26" t="s">
        <v>1821</v>
      </c>
      <c r="K1159" s="26" t="s">
        <v>1821</v>
      </c>
      <c r="L1159" s="26" t="s">
        <v>1566</v>
      </c>
      <c r="M1159" s="26" t="s">
        <v>1566</v>
      </c>
      <c r="N1159" s="26" t="s">
        <v>1566</v>
      </c>
      <c r="O1159" s="26" t="s">
        <v>1566</v>
      </c>
      <c r="P1159" s="26" t="s">
        <v>643</v>
      </c>
      <c r="Q1159" s="26">
        <v>2.0</v>
      </c>
    </row>
    <row r="1160" ht="17.25" customHeight="1">
      <c r="A1160" s="51">
        <v>46128.46421211805</v>
      </c>
      <c r="B1160" s="27" t="s">
        <v>1133</v>
      </c>
      <c r="C1160" s="55" t="s">
        <v>1892</v>
      </c>
      <c r="D1160" s="51">
        <v>46127.61400707176</v>
      </c>
      <c r="E1160" s="52">
        <v>1.0</v>
      </c>
      <c r="F1160" s="55" t="s">
        <v>1907</v>
      </c>
      <c r="G1160" s="26"/>
      <c r="H1160" s="26"/>
      <c r="I1160" s="26" t="s">
        <v>1134</v>
      </c>
      <c r="J1160" s="26" t="s">
        <v>1821</v>
      </c>
      <c r="K1160" s="26" t="s">
        <v>1821</v>
      </c>
      <c r="L1160" s="26" t="s">
        <v>1566</v>
      </c>
      <c r="M1160" s="26" t="s">
        <v>1566</v>
      </c>
      <c r="N1160" s="26" t="s">
        <v>1566</v>
      </c>
      <c r="O1160" s="26" t="s">
        <v>1566</v>
      </c>
      <c r="P1160" s="26" t="s">
        <v>643</v>
      </c>
      <c r="Q1160" s="26">
        <v>2.0</v>
      </c>
    </row>
    <row r="1161" ht="17.25" customHeight="1">
      <c r="A1161" s="51">
        <v>46128.76027054398</v>
      </c>
      <c r="B1161" s="27" t="s">
        <v>1979</v>
      </c>
      <c r="C1161" s="55" t="s">
        <v>1560</v>
      </c>
      <c r="D1161" s="202">
        <v>46125.61400462963</v>
      </c>
      <c r="E1161" s="52">
        <v>400.0</v>
      </c>
      <c r="F1161" s="55" t="s">
        <v>1561</v>
      </c>
      <c r="G1161" s="55" t="s">
        <v>2233</v>
      </c>
      <c r="H1161" s="26"/>
      <c r="I1161" s="26" t="s">
        <v>1980</v>
      </c>
      <c r="J1161" s="26" t="s">
        <v>1225</v>
      </c>
      <c r="K1161" s="26" t="s">
        <v>1642</v>
      </c>
      <c r="L1161" s="26" t="s">
        <v>1576</v>
      </c>
      <c r="M1161" s="26" t="s">
        <v>1662</v>
      </c>
      <c r="N1161" s="26" t="s">
        <v>1566</v>
      </c>
      <c r="O1161" s="26" t="s">
        <v>2140</v>
      </c>
      <c r="P1161" s="26" t="s">
        <v>22</v>
      </c>
      <c r="Q1161" s="26">
        <v>0.0</v>
      </c>
    </row>
    <row r="1162" ht="17.25" customHeight="1">
      <c r="A1162" s="51">
        <v>46128.761705868055</v>
      </c>
      <c r="B1162" s="25" t="s">
        <v>842</v>
      </c>
      <c r="C1162" s="55" t="s">
        <v>1892</v>
      </c>
      <c r="D1162" s="51">
        <v>46127.61400707176</v>
      </c>
      <c r="E1162" s="52">
        <v>1.0</v>
      </c>
      <c r="F1162" s="55" t="s">
        <v>1844</v>
      </c>
      <c r="G1162" s="26"/>
      <c r="H1162" s="26"/>
      <c r="I1162" s="26" t="s">
        <v>843</v>
      </c>
      <c r="J1162" s="26" t="s">
        <v>1844</v>
      </c>
      <c r="K1162" s="26" t="s">
        <v>1846</v>
      </c>
      <c r="L1162" s="26" t="s">
        <v>1850</v>
      </c>
      <c r="M1162" s="26" t="s">
        <v>1566</v>
      </c>
      <c r="N1162" s="26" t="s">
        <v>1566</v>
      </c>
      <c r="O1162" s="26" t="s">
        <v>1848</v>
      </c>
      <c r="P1162" s="26" t="s">
        <v>661</v>
      </c>
      <c r="Q1162" s="26">
        <v>1.0</v>
      </c>
    </row>
    <row r="1163" ht="17.25" customHeight="1">
      <c r="A1163" s="51">
        <v>46128.761881342594</v>
      </c>
      <c r="B1163" s="25" t="s">
        <v>1960</v>
      </c>
      <c r="C1163" s="55" t="s">
        <v>1892</v>
      </c>
      <c r="D1163" s="51">
        <v>46127.61400707176</v>
      </c>
      <c r="E1163" s="52">
        <v>1.0</v>
      </c>
      <c r="F1163" s="55" t="s">
        <v>1844</v>
      </c>
      <c r="G1163" s="26"/>
      <c r="H1163" s="26"/>
      <c r="I1163" s="26" t="s">
        <v>1961</v>
      </c>
      <c r="J1163" s="26" t="s">
        <v>1844</v>
      </c>
      <c r="K1163" s="26" t="s">
        <v>1807</v>
      </c>
      <c r="L1163" s="26" t="s">
        <v>2114</v>
      </c>
      <c r="M1163" s="26" t="s">
        <v>1566</v>
      </c>
      <c r="N1163" s="26" t="s">
        <v>1566</v>
      </c>
      <c r="O1163" s="26" t="s">
        <v>1566</v>
      </c>
      <c r="P1163" s="26" t="s">
        <v>661</v>
      </c>
      <c r="Q1163" s="26">
        <v>0.0</v>
      </c>
    </row>
    <row r="1164" ht="17.25" customHeight="1">
      <c r="A1164" s="51">
        <v>46128.78768913195</v>
      </c>
      <c r="B1164" s="25" t="s">
        <v>948</v>
      </c>
      <c r="C1164" s="55" t="s">
        <v>1560</v>
      </c>
      <c r="D1164" s="51">
        <v>46128.761881342594</v>
      </c>
      <c r="E1164" s="52">
        <v>5.0</v>
      </c>
      <c r="F1164" s="55" t="s">
        <v>1673</v>
      </c>
      <c r="G1164" s="26"/>
      <c r="H1164" s="26"/>
      <c r="I1164" s="26" t="s">
        <v>952</v>
      </c>
      <c r="J1164" s="26" t="s">
        <v>1812</v>
      </c>
      <c r="K1164" s="26" t="s">
        <v>1815</v>
      </c>
      <c r="L1164" s="26" t="s">
        <v>1566</v>
      </c>
      <c r="M1164" s="26" t="s">
        <v>1566</v>
      </c>
      <c r="N1164" s="26" t="s">
        <v>1566</v>
      </c>
      <c r="O1164" s="26" t="s">
        <v>2060</v>
      </c>
      <c r="P1164" s="26" t="s">
        <v>616</v>
      </c>
      <c r="Q1164" s="26">
        <v>5.0</v>
      </c>
    </row>
    <row r="1165" ht="17.25" customHeight="1">
      <c r="A1165" s="51">
        <v>46128.78856350694</v>
      </c>
      <c r="B1165" s="26" t="s">
        <v>1136</v>
      </c>
      <c r="C1165" s="55" t="s">
        <v>1560</v>
      </c>
      <c r="D1165" s="51">
        <v>46128.761881342594</v>
      </c>
      <c r="E1165" s="52">
        <v>2.0</v>
      </c>
      <c r="F1165" s="55" t="s">
        <v>1673</v>
      </c>
      <c r="G1165" s="26"/>
      <c r="H1165" s="26"/>
      <c r="I1165" s="26" t="s">
        <v>1137</v>
      </c>
      <c r="J1165" s="26" t="s">
        <v>1812</v>
      </c>
      <c r="K1165" s="26" t="s">
        <v>1815</v>
      </c>
      <c r="L1165" s="26" t="s">
        <v>1566</v>
      </c>
      <c r="M1165" s="26" t="s">
        <v>1566</v>
      </c>
      <c r="N1165" s="26" t="s">
        <v>1566</v>
      </c>
      <c r="O1165" s="26" t="s">
        <v>1566</v>
      </c>
      <c r="P1165" s="26" t="s">
        <v>290</v>
      </c>
      <c r="Q1165" s="26">
        <v>2.0</v>
      </c>
    </row>
    <row r="1166" ht="17.25" customHeight="1">
      <c r="A1166" s="51">
        <v>46128.78944354167</v>
      </c>
      <c r="B1166" s="25" t="s">
        <v>21</v>
      </c>
      <c r="C1166" s="55" t="s">
        <v>1892</v>
      </c>
      <c r="D1166" s="202">
        <v>46127.76188657407</v>
      </c>
      <c r="E1166" s="52">
        <v>20.0</v>
      </c>
      <c r="F1166" s="55" t="s">
        <v>2169</v>
      </c>
      <c r="G1166" s="26"/>
      <c r="H1166" s="26"/>
      <c r="I1166" s="26" t="s">
        <v>23</v>
      </c>
      <c r="J1166" s="26" t="s">
        <v>1812</v>
      </c>
      <c r="K1166" s="26" t="s">
        <v>1815</v>
      </c>
      <c r="L1166" s="26" t="s">
        <v>1566</v>
      </c>
      <c r="M1166" s="26" t="s">
        <v>1566</v>
      </c>
      <c r="N1166" s="26" t="s">
        <v>1566</v>
      </c>
      <c r="O1166" s="26" t="s">
        <v>1818</v>
      </c>
      <c r="P1166" s="26" t="s">
        <v>616</v>
      </c>
      <c r="Q1166" s="26">
        <v>20.0</v>
      </c>
    </row>
    <row r="1167" ht="17.25" customHeight="1">
      <c r="A1167" s="51">
        <v>46128.789639421295</v>
      </c>
      <c r="B1167" s="25" t="s">
        <v>21</v>
      </c>
      <c r="C1167" s="55" t="s">
        <v>1560</v>
      </c>
      <c r="D1167" s="51">
        <v>46128.789639421295</v>
      </c>
      <c r="E1167" s="52">
        <v>20.0</v>
      </c>
      <c r="F1167" s="55" t="s">
        <v>1673</v>
      </c>
      <c r="G1167" s="26"/>
      <c r="H1167" s="26"/>
      <c r="I1167" s="26" t="s">
        <v>23</v>
      </c>
      <c r="J1167" s="26" t="s">
        <v>1812</v>
      </c>
      <c r="K1167" s="26" t="s">
        <v>1815</v>
      </c>
      <c r="L1167" s="26" t="s">
        <v>1566</v>
      </c>
      <c r="M1167" s="26" t="s">
        <v>1566</v>
      </c>
      <c r="N1167" s="26" t="s">
        <v>1566</v>
      </c>
      <c r="O1167" s="26" t="s">
        <v>1818</v>
      </c>
      <c r="P1167" s="26" t="s">
        <v>616</v>
      </c>
      <c r="Q1167" s="26">
        <v>20.0</v>
      </c>
    </row>
    <row r="1168" ht="17.25" customHeight="1">
      <c r="A1168" s="51">
        <v>46128.78997790509</v>
      </c>
      <c r="B1168" s="25" t="s">
        <v>598</v>
      </c>
      <c r="C1168" s="55" t="s">
        <v>1560</v>
      </c>
      <c r="D1168" s="51">
        <v>46128.789639421295</v>
      </c>
      <c r="E1168" s="52">
        <v>10.0</v>
      </c>
      <c r="F1168" s="55" t="s">
        <v>1673</v>
      </c>
      <c r="G1168" s="26"/>
      <c r="H1168" s="26"/>
      <c r="I1168" s="26" t="s">
        <v>604</v>
      </c>
      <c r="J1168" s="26" t="s">
        <v>1812</v>
      </c>
      <c r="K1168" s="26" t="s">
        <v>1815</v>
      </c>
      <c r="L1168" s="26" t="s">
        <v>1566</v>
      </c>
      <c r="M1168" s="26" t="s">
        <v>1566</v>
      </c>
      <c r="N1168" s="26" t="s">
        <v>1566</v>
      </c>
      <c r="O1168" s="26" t="s">
        <v>1812</v>
      </c>
      <c r="P1168" s="26" t="s">
        <v>616</v>
      </c>
      <c r="Q1168" s="26">
        <v>15.0</v>
      </c>
    </row>
    <row r="1169" ht="17.25" customHeight="1">
      <c r="A1169" s="51">
        <v>46128.7913949537</v>
      </c>
      <c r="B1169" s="25" t="s">
        <v>32</v>
      </c>
      <c r="C1169" s="55" t="s">
        <v>1892</v>
      </c>
      <c r="D1169" s="111">
        <v>46122.0</v>
      </c>
      <c r="E1169" s="52">
        <v>1.0</v>
      </c>
      <c r="F1169" s="55" t="s">
        <v>2124</v>
      </c>
      <c r="G1169" s="26"/>
      <c r="H1169" s="26"/>
      <c r="I1169" s="26" t="s">
        <v>34</v>
      </c>
      <c r="J1169" s="26" t="s">
        <v>1807</v>
      </c>
      <c r="K1169" s="26" t="s">
        <v>1807</v>
      </c>
      <c r="L1169" s="26" t="s">
        <v>1566</v>
      </c>
      <c r="M1169" s="26" t="s">
        <v>1566</v>
      </c>
      <c r="N1169" s="26" t="s">
        <v>1566</v>
      </c>
      <c r="O1169" s="26" t="s">
        <v>1808</v>
      </c>
      <c r="P1169" s="26" t="s">
        <v>290</v>
      </c>
      <c r="Q1169" s="26">
        <v>7.0</v>
      </c>
    </row>
    <row r="1170" ht="17.25" customHeight="1">
      <c r="A1170" s="51">
        <v>46128.79159916667</v>
      </c>
      <c r="B1170" s="25" t="s">
        <v>32</v>
      </c>
      <c r="C1170" s="55" t="s">
        <v>1560</v>
      </c>
      <c r="D1170" s="51">
        <v>46128.789639421295</v>
      </c>
      <c r="E1170" s="52">
        <v>2.0</v>
      </c>
      <c r="F1170" s="55" t="s">
        <v>1673</v>
      </c>
      <c r="G1170" s="26"/>
      <c r="H1170" s="26"/>
      <c r="I1170" s="26" t="s">
        <v>34</v>
      </c>
      <c r="J1170" s="26" t="s">
        <v>1807</v>
      </c>
      <c r="K1170" s="26" t="s">
        <v>1807</v>
      </c>
      <c r="L1170" s="26" t="s">
        <v>1566</v>
      </c>
      <c r="M1170" s="26" t="s">
        <v>1566</v>
      </c>
      <c r="N1170" s="26" t="s">
        <v>1566</v>
      </c>
      <c r="O1170" s="26" t="s">
        <v>1808</v>
      </c>
      <c r="P1170" s="26" t="s">
        <v>290</v>
      </c>
      <c r="Q1170" s="26">
        <v>7.0</v>
      </c>
    </row>
    <row r="1171" ht="17.25" customHeight="1">
      <c r="A1171" s="51">
        <v>46129.443938321754</v>
      </c>
      <c r="B1171" s="26" t="s">
        <v>1981</v>
      </c>
      <c r="C1171" s="55" t="s">
        <v>1560</v>
      </c>
      <c r="D1171" s="51">
        <v>46128.789639421295</v>
      </c>
      <c r="E1171" s="195">
        <v>1152.0</v>
      </c>
      <c r="F1171" s="55" t="s">
        <v>1561</v>
      </c>
      <c r="G1171" s="55" t="s">
        <v>2234</v>
      </c>
      <c r="H1171" s="26"/>
      <c r="I1171" s="26" t="s">
        <v>1982</v>
      </c>
      <c r="J1171" s="26" t="s">
        <v>1225</v>
      </c>
      <c r="K1171" s="26" t="s">
        <v>1653</v>
      </c>
      <c r="L1171" s="26" t="s">
        <v>1584</v>
      </c>
      <c r="M1171" s="26" t="s">
        <v>1595</v>
      </c>
      <c r="N1171" s="26" t="s">
        <v>1566</v>
      </c>
      <c r="O1171" s="26" t="s">
        <v>2100</v>
      </c>
      <c r="P1171" s="26" t="s">
        <v>22</v>
      </c>
      <c r="Q1171" s="26">
        <v>0.0</v>
      </c>
    </row>
    <row r="1172" ht="17.25" customHeight="1">
      <c r="A1172" s="51">
        <v>46129.44590518519</v>
      </c>
      <c r="B1172" s="27" t="s">
        <v>1141</v>
      </c>
      <c r="C1172" s="55" t="s">
        <v>1560</v>
      </c>
      <c r="D1172" s="51">
        <v>46128.789639421295</v>
      </c>
      <c r="E1172" s="195">
        <v>1728.0</v>
      </c>
      <c r="F1172" s="55" t="s">
        <v>1561</v>
      </c>
      <c r="G1172" s="55" t="s">
        <v>2235</v>
      </c>
      <c r="H1172" s="26"/>
      <c r="I1172" s="26" t="s">
        <v>1143</v>
      </c>
      <c r="J1172" s="26" t="s">
        <v>1225</v>
      </c>
      <c r="K1172" s="26" t="s">
        <v>1653</v>
      </c>
      <c r="L1172" s="26" t="s">
        <v>1576</v>
      </c>
      <c r="M1172" s="26" t="s">
        <v>1595</v>
      </c>
      <c r="N1172" s="26" t="s">
        <v>1566</v>
      </c>
      <c r="O1172" s="26" t="s">
        <v>2100</v>
      </c>
      <c r="P1172" s="26" t="s">
        <v>22</v>
      </c>
      <c r="Q1172" s="26">
        <v>1440.0</v>
      </c>
    </row>
    <row r="1173" ht="17.25" customHeight="1">
      <c r="A1173" s="51">
        <v>46129.44719364583</v>
      </c>
      <c r="B1173" s="25" t="s">
        <v>1983</v>
      </c>
      <c r="C1173" s="55" t="s">
        <v>1560</v>
      </c>
      <c r="D1173" s="51">
        <v>46128.789639421295</v>
      </c>
      <c r="E1173" s="195">
        <v>1728.0</v>
      </c>
      <c r="F1173" s="55" t="s">
        <v>1561</v>
      </c>
      <c r="G1173" s="55" t="s">
        <v>2236</v>
      </c>
      <c r="H1173" s="26"/>
      <c r="I1173" s="26" t="s">
        <v>1984</v>
      </c>
      <c r="J1173" s="26" t="s">
        <v>1225</v>
      </c>
      <c r="K1173" s="26" t="s">
        <v>1653</v>
      </c>
      <c r="L1173" s="26" t="s">
        <v>1573</v>
      </c>
      <c r="M1173" s="26" t="s">
        <v>1595</v>
      </c>
      <c r="N1173" s="26" t="s">
        <v>1566</v>
      </c>
      <c r="O1173" s="26" t="s">
        <v>2100</v>
      </c>
      <c r="P1173" s="26" t="s">
        <v>22</v>
      </c>
      <c r="Q1173" s="26">
        <v>0.0</v>
      </c>
    </row>
    <row r="1174" ht="17.25" customHeight="1">
      <c r="A1174" s="51">
        <v>46129.449394571755</v>
      </c>
      <c r="B1174" s="27" t="s">
        <v>1101</v>
      </c>
      <c r="C1174" s="55" t="s">
        <v>1892</v>
      </c>
      <c r="D1174" s="51">
        <v>46127.61400707176</v>
      </c>
      <c r="E1174" s="52">
        <v>4032.0</v>
      </c>
      <c r="F1174" s="55" t="s">
        <v>1561</v>
      </c>
      <c r="G1174" s="55">
        <v>723.0</v>
      </c>
      <c r="H1174" s="26"/>
      <c r="I1174" s="26" t="s">
        <v>1102</v>
      </c>
      <c r="J1174" s="26" t="s">
        <v>1225</v>
      </c>
      <c r="K1174" s="26" t="s">
        <v>1653</v>
      </c>
      <c r="L1174" s="26" t="s">
        <v>1573</v>
      </c>
      <c r="M1174" s="26" t="s">
        <v>2131</v>
      </c>
      <c r="N1174" s="26" t="s">
        <v>1566</v>
      </c>
      <c r="O1174" s="26" t="s">
        <v>2132</v>
      </c>
      <c r="P1174" s="26" t="s">
        <v>22</v>
      </c>
      <c r="Q1174" s="26">
        <v>864.0</v>
      </c>
    </row>
    <row r="1175" ht="17.25" customHeight="1">
      <c r="A1175" s="51">
        <v>46129.45060177083</v>
      </c>
      <c r="B1175" s="25" t="s">
        <v>573</v>
      </c>
      <c r="C1175" s="55" t="s">
        <v>1892</v>
      </c>
      <c r="D1175" s="51">
        <v>46127.61400707176</v>
      </c>
      <c r="E1175" s="52">
        <v>1000.0</v>
      </c>
      <c r="F1175" s="55" t="s">
        <v>1561</v>
      </c>
      <c r="G1175" s="55">
        <v>724.0</v>
      </c>
      <c r="H1175" s="26"/>
      <c r="I1175" s="26" t="s">
        <v>575</v>
      </c>
      <c r="J1175" s="26" t="s">
        <v>1225</v>
      </c>
      <c r="K1175" s="26" t="s">
        <v>1562</v>
      </c>
      <c r="L1175" s="26" t="s">
        <v>1587</v>
      </c>
      <c r="M1175" s="26" t="s">
        <v>1564</v>
      </c>
      <c r="N1175" s="26" t="s">
        <v>1571</v>
      </c>
      <c r="O1175" s="26" t="s">
        <v>1566</v>
      </c>
      <c r="P1175" s="26" t="s">
        <v>22</v>
      </c>
      <c r="Q1175" s="26">
        <v>0.0</v>
      </c>
    </row>
    <row r="1176" ht="17.25" customHeight="1">
      <c r="A1176" s="51">
        <v>46135.6713290162</v>
      </c>
      <c r="B1176" s="25" t="s">
        <v>901</v>
      </c>
      <c r="C1176" s="55" t="s">
        <v>1892</v>
      </c>
      <c r="D1176" s="51">
        <v>46127.61400707176</v>
      </c>
      <c r="E1176" s="195">
        <v>20.0</v>
      </c>
      <c r="F1176" s="55" t="s">
        <v>2075</v>
      </c>
      <c r="G1176" s="55"/>
      <c r="H1176" s="26"/>
      <c r="I1176" s="26" t="s">
        <v>904</v>
      </c>
      <c r="J1176" s="26" t="s">
        <v>1807</v>
      </c>
      <c r="K1176" s="26" t="s">
        <v>1807</v>
      </c>
      <c r="L1176" s="26" t="s">
        <v>1566</v>
      </c>
      <c r="M1176" s="26" t="s">
        <v>1566</v>
      </c>
      <c r="N1176" s="26" t="s">
        <v>1566</v>
      </c>
      <c r="O1176" s="26" t="s">
        <v>1808</v>
      </c>
      <c r="P1176" s="26" t="s">
        <v>290</v>
      </c>
      <c r="Q1176" s="26">
        <v>20.0</v>
      </c>
    </row>
    <row r="1177" ht="17.25" customHeight="1">
      <c r="A1177" s="51">
        <v>46129.45117421296</v>
      </c>
      <c r="B1177" s="26" t="s">
        <v>1981</v>
      </c>
      <c r="C1177" s="55" t="s">
        <v>1892</v>
      </c>
      <c r="D1177" s="51">
        <v>46128.79159916667</v>
      </c>
      <c r="E1177" s="195">
        <v>1008.0</v>
      </c>
      <c r="F1177" s="55" t="s">
        <v>1561</v>
      </c>
      <c r="G1177" s="55">
        <v>733.0</v>
      </c>
      <c r="H1177" s="26"/>
      <c r="I1177" s="26" t="s">
        <v>1982</v>
      </c>
      <c r="J1177" s="26" t="s">
        <v>1225</v>
      </c>
      <c r="K1177" s="26" t="s">
        <v>1653</v>
      </c>
      <c r="L1177" s="26" t="s">
        <v>1584</v>
      </c>
      <c r="M1177" s="26" t="s">
        <v>1595</v>
      </c>
      <c r="N1177" s="26" t="s">
        <v>1566</v>
      </c>
      <c r="O1177" s="26" t="s">
        <v>2100</v>
      </c>
      <c r="P1177" s="26" t="s">
        <v>22</v>
      </c>
      <c r="Q1177" s="26">
        <v>0.0</v>
      </c>
    </row>
    <row r="1178" ht="17.25" customHeight="1">
      <c r="A1178" s="51">
        <v>46129.452510069445</v>
      </c>
      <c r="B1178" s="25" t="s">
        <v>95</v>
      </c>
      <c r="C1178" s="55" t="s">
        <v>1892</v>
      </c>
      <c r="D1178" s="51">
        <v>46128.79159916667</v>
      </c>
      <c r="E1178" s="52">
        <v>400.0</v>
      </c>
      <c r="F1178" s="55" t="s">
        <v>1561</v>
      </c>
      <c r="G1178" s="55">
        <v>728.0</v>
      </c>
      <c r="H1178" s="26"/>
      <c r="I1178" s="26" t="s">
        <v>97</v>
      </c>
      <c r="J1178" s="26" t="s">
        <v>1225</v>
      </c>
      <c r="K1178" s="26" t="s">
        <v>1562</v>
      </c>
      <c r="L1178" s="26" t="s">
        <v>1582</v>
      </c>
      <c r="M1178" s="26" t="s">
        <v>1564</v>
      </c>
      <c r="N1178" s="26" t="s">
        <v>1566</v>
      </c>
      <c r="O1178" s="26" t="s">
        <v>1566</v>
      </c>
      <c r="P1178" s="26" t="s">
        <v>22</v>
      </c>
      <c r="Q1178" s="26">
        <v>500.0</v>
      </c>
    </row>
    <row r="1179" ht="17.25" customHeight="1">
      <c r="A1179" s="51">
        <v>46129.452803576394</v>
      </c>
      <c r="B1179" s="25" t="s">
        <v>573</v>
      </c>
      <c r="C1179" s="55" t="s">
        <v>1892</v>
      </c>
      <c r="D1179" s="51">
        <v>46128.79159916667</v>
      </c>
      <c r="E1179" s="52">
        <v>500.0</v>
      </c>
      <c r="F1179" s="55" t="s">
        <v>1561</v>
      </c>
      <c r="G1179" s="55">
        <v>729.0</v>
      </c>
      <c r="H1179" s="26"/>
      <c r="I1179" s="26" t="s">
        <v>575</v>
      </c>
      <c r="J1179" s="26" t="s">
        <v>1225</v>
      </c>
      <c r="K1179" s="26" t="s">
        <v>1562</v>
      </c>
      <c r="L1179" s="26" t="s">
        <v>1587</v>
      </c>
      <c r="M1179" s="26" t="s">
        <v>1564</v>
      </c>
      <c r="N1179" s="26" t="s">
        <v>1571</v>
      </c>
      <c r="O1179" s="26" t="s">
        <v>1566</v>
      </c>
      <c r="P1179" s="26" t="s">
        <v>22</v>
      </c>
      <c r="Q1179" s="26">
        <v>0.0</v>
      </c>
    </row>
    <row r="1180" ht="17.25" customHeight="1">
      <c r="A1180" s="51">
        <v>46129.453353715275</v>
      </c>
      <c r="B1180" s="25" t="s">
        <v>1111</v>
      </c>
      <c r="C1180" s="55" t="s">
        <v>1892</v>
      </c>
      <c r="D1180" s="51">
        <v>46128.79159916667</v>
      </c>
      <c r="E1180" s="52">
        <v>576.0</v>
      </c>
      <c r="F1180" s="55" t="s">
        <v>1561</v>
      </c>
      <c r="G1180" s="55">
        <v>731.0</v>
      </c>
      <c r="H1180" s="26"/>
      <c r="I1180" s="26" t="s">
        <v>1112</v>
      </c>
      <c r="J1180" s="26" t="s">
        <v>1225</v>
      </c>
      <c r="K1180" s="26" t="s">
        <v>1653</v>
      </c>
      <c r="L1180" s="26" t="s">
        <v>2134</v>
      </c>
      <c r="M1180" s="26" t="s">
        <v>1595</v>
      </c>
      <c r="N1180" s="26" t="s">
        <v>1566</v>
      </c>
      <c r="O1180" s="26" t="s">
        <v>2122</v>
      </c>
      <c r="P1180" s="26" t="s">
        <v>22</v>
      </c>
      <c r="Q1180" s="26">
        <v>1152.0</v>
      </c>
    </row>
    <row r="1181" ht="17.25" customHeight="1">
      <c r="A1181" s="51">
        <v>46129.45393716435</v>
      </c>
      <c r="B1181" s="25" t="s">
        <v>1782</v>
      </c>
      <c r="C1181" s="55" t="s">
        <v>1560</v>
      </c>
      <c r="D1181" s="51">
        <v>46128.79159916667</v>
      </c>
      <c r="E1181" s="52">
        <v>200.0</v>
      </c>
      <c r="F1181" s="55" t="s">
        <v>1561</v>
      </c>
      <c r="G1181" s="55" t="s">
        <v>2135</v>
      </c>
      <c r="H1181" s="26"/>
      <c r="I1181" s="26" t="s">
        <v>1783</v>
      </c>
      <c r="J1181" s="26" t="s">
        <v>1225</v>
      </c>
      <c r="K1181" s="26" t="s">
        <v>1640</v>
      </c>
      <c r="L1181" s="26" t="s">
        <v>1576</v>
      </c>
      <c r="M1181" s="26" t="s">
        <v>1572</v>
      </c>
      <c r="N1181" s="26" t="s">
        <v>1566</v>
      </c>
      <c r="O1181" s="26" t="s">
        <v>1566</v>
      </c>
      <c r="P1181" s="26" t="s">
        <v>22</v>
      </c>
      <c r="Q1181" s="26">
        <v>0.0</v>
      </c>
    </row>
    <row r="1182" ht="17.25" customHeight="1">
      <c r="A1182" s="51">
        <v>46129.454068067134</v>
      </c>
      <c r="B1182" s="25" t="s">
        <v>1782</v>
      </c>
      <c r="C1182" s="55" t="s">
        <v>1892</v>
      </c>
      <c r="D1182" s="51">
        <v>46128.79159916667</v>
      </c>
      <c r="E1182" s="52">
        <v>200.0</v>
      </c>
      <c r="F1182" s="55" t="s">
        <v>1561</v>
      </c>
      <c r="G1182" s="55">
        <v>732.0</v>
      </c>
      <c r="H1182" s="26"/>
      <c r="I1182" s="26" t="s">
        <v>1783</v>
      </c>
      <c r="J1182" s="26" t="s">
        <v>1225</v>
      </c>
      <c r="K1182" s="26" t="s">
        <v>1640</v>
      </c>
      <c r="L1182" s="26" t="s">
        <v>1576</v>
      </c>
      <c r="M1182" s="26" t="s">
        <v>1572</v>
      </c>
      <c r="N1182" s="26" t="s">
        <v>1566</v>
      </c>
      <c r="O1182" s="26" t="s">
        <v>1566</v>
      </c>
      <c r="P1182" s="26" t="s">
        <v>22</v>
      </c>
      <c r="Q1182" s="26">
        <v>0.0</v>
      </c>
    </row>
    <row r="1183" ht="17.25" customHeight="1">
      <c r="A1183" s="51">
        <v>46129.455101307874</v>
      </c>
      <c r="B1183" s="25" t="s">
        <v>1983</v>
      </c>
      <c r="C1183" s="55" t="s">
        <v>1892</v>
      </c>
      <c r="D1183" s="51">
        <v>46129.455101307874</v>
      </c>
      <c r="E1183" s="195">
        <v>1728.0</v>
      </c>
      <c r="F1183" s="55" t="s">
        <v>1561</v>
      </c>
      <c r="G1183" s="55">
        <v>734.0</v>
      </c>
      <c r="H1183" s="26"/>
      <c r="I1183" s="26" t="s">
        <v>1984</v>
      </c>
      <c r="J1183" s="26" t="s">
        <v>1225</v>
      </c>
      <c r="K1183" s="26" t="s">
        <v>1653</v>
      </c>
      <c r="L1183" s="26" t="s">
        <v>1573</v>
      </c>
      <c r="M1183" s="26" t="s">
        <v>1595</v>
      </c>
      <c r="N1183" s="26" t="s">
        <v>1566</v>
      </c>
      <c r="O1183" s="26" t="s">
        <v>2100</v>
      </c>
      <c r="P1183" s="26" t="s">
        <v>22</v>
      </c>
      <c r="Q1183" s="26">
        <v>0.0</v>
      </c>
    </row>
    <row r="1184" ht="17.25" customHeight="1">
      <c r="A1184" s="51">
        <v>46129.74789042824</v>
      </c>
      <c r="B1184" s="25" t="s">
        <v>179</v>
      </c>
      <c r="C1184" s="55" t="s">
        <v>1892</v>
      </c>
      <c r="D1184" s="51">
        <v>46129.455101307874</v>
      </c>
      <c r="E1184" s="195">
        <v>1440.0</v>
      </c>
      <c r="F1184" s="55" t="s">
        <v>1561</v>
      </c>
      <c r="G1184" s="55">
        <v>735.0</v>
      </c>
      <c r="H1184" s="26"/>
      <c r="I1184" s="26" t="s">
        <v>180</v>
      </c>
      <c r="J1184" s="26" t="s">
        <v>1225</v>
      </c>
      <c r="K1184" s="26" t="s">
        <v>1653</v>
      </c>
      <c r="L1184" s="26" t="s">
        <v>1563</v>
      </c>
      <c r="M1184" s="26" t="s">
        <v>1572</v>
      </c>
      <c r="N1184" s="26" t="s">
        <v>1654</v>
      </c>
      <c r="O1184" s="26" t="s">
        <v>1566</v>
      </c>
      <c r="P1184" s="26" t="s">
        <v>22</v>
      </c>
      <c r="Q1184" s="26">
        <v>0.0</v>
      </c>
    </row>
    <row r="1185" ht="17.25" customHeight="1">
      <c r="A1185" s="51">
        <v>46129.74789042824</v>
      </c>
      <c r="B1185" s="25" t="s">
        <v>179</v>
      </c>
      <c r="C1185" s="55" t="s">
        <v>1892</v>
      </c>
      <c r="D1185" s="51">
        <v>46129.455101307874</v>
      </c>
      <c r="E1185" s="195">
        <v>360.0</v>
      </c>
      <c r="F1185" s="55" t="s">
        <v>2096</v>
      </c>
      <c r="G1185" s="55"/>
      <c r="H1185" s="26"/>
      <c r="I1185" s="26" t="s">
        <v>180</v>
      </c>
      <c r="J1185" s="26" t="s">
        <v>1225</v>
      </c>
      <c r="K1185" s="26" t="s">
        <v>1653</v>
      </c>
      <c r="L1185" s="26" t="s">
        <v>1563</v>
      </c>
      <c r="M1185" s="26" t="s">
        <v>1572</v>
      </c>
      <c r="N1185" s="26" t="s">
        <v>1654</v>
      </c>
      <c r="O1185" s="26" t="s">
        <v>1566</v>
      </c>
      <c r="P1185" s="26" t="s">
        <v>22</v>
      </c>
      <c r="Q1185" s="26">
        <v>0.0</v>
      </c>
    </row>
    <row r="1186" ht="17.25" customHeight="1">
      <c r="A1186" s="51">
        <v>46130.75126488426</v>
      </c>
      <c r="B1186" s="25" t="s">
        <v>1141</v>
      </c>
      <c r="C1186" s="55" t="s">
        <v>1892</v>
      </c>
      <c r="D1186" s="51">
        <v>46129.455101307874</v>
      </c>
      <c r="E1186" s="195">
        <v>288.0</v>
      </c>
      <c r="F1186" s="55" t="s">
        <v>1561</v>
      </c>
      <c r="G1186" s="55">
        <v>735.0</v>
      </c>
      <c r="H1186" s="26"/>
      <c r="I1186" s="26" t="s">
        <v>1143</v>
      </c>
      <c r="J1186" s="26" t="s">
        <v>1225</v>
      </c>
      <c r="K1186" s="26" t="s">
        <v>1653</v>
      </c>
      <c r="L1186" s="26" t="s">
        <v>1576</v>
      </c>
      <c r="M1186" s="26" t="s">
        <v>1595</v>
      </c>
      <c r="N1186" s="26" t="s">
        <v>1566</v>
      </c>
      <c r="O1186" s="26" t="s">
        <v>2100</v>
      </c>
      <c r="P1186" s="26" t="s">
        <v>22</v>
      </c>
      <c r="Q1186" s="26">
        <v>1440.0</v>
      </c>
    </row>
    <row r="1187" ht="17.25" customHeight="1">
      <c r="A1187" s="51">
        <v>46129.74888337963</v>
      </c>
      <c r="B1187" s="25" t="s">
        <v>74</v>
      </c>
      <c r="C1187" s="55" t="s">
        <v>1892</v>
      </c>
      <c r="D1187" s="51">
        <v>46129.455101307874</v>
      </c>
      <c r="E1187" s="52">
        <v>350.0</v>
      </c>
      <c r="F1187" s="55" t="s">
        <v>1561</v>
      </c>
      <c r="G1187" s="55">
        <v>736.0</v>
      </c>
      <c r="H1187" s="26"/>
      <c r="I1187" s="26" t="s">
        <v>75</v>
      </c>
      <c r="J1187" s="26" t="s">
        <v>1225</v>
      </c>
      <c r="K1187" s="26" t="s">
        <v>1562</v>
      </c>
      <c r="L1187" s="26" t="s">
        <v>1591</v>
      </c>
      <c r="M1187" s="26" t="s">
        <v>1597</v>
      </c>
      <c r="N1187" s="26" t="s">
        <v>1566</v>
      </c>
      <c r="O1187" s="26" t="s">
        <v>1566</v>
      </c>
      <c r="P1187" s="26" t="s">
        <v>22</v>
      </c>
      <c r="Q1187" s="26">
        <v>0.0</v>
      </c>
    </row>
    <row r="1188" ht="17.25" customHeight="1">
      <c r="A1188" s="51">
        <v>46129.75041334491</v>
      </c>
      <c r="B1188" s="25" t="s">
        <v>1055</v>
      </c>
      <c r="C1188" s="55" t="s">
        <v>1892</v>
      </c>
      <c r="D1188" s="51">
        <v>46129.455101307874</v>
      </c>
      <c r="E1188" s="52">
        <v>100.0</v>
      </c>
      <c r="F1188" s="55" t="s">
        <v>1561</v>
      </c>
      <c r="G1188" s="55">
        <v>737.0</v>
      </c>
      <c r="H1188" s="26"/>
      <c r="I1188" s="26" t="s">
        <v>1056</v>
      </c>
      <c r="J1188" s="26" t="s">
        <v>1225</v>
      </c>
      <c r="K1188" s="26" t="s">
        <v>1562</v>
      </c>
      <c r="L1188" s="26" t="s">
        <v>1584</v>
      </c>
      <c r="M1188" s="26" t="s">
        <v>1564</v>
      </c>
      <c r="N1188" s="26" t="s">
        <v>1566</v>
      </c>
      <c r="O1188" s="26" t="s">
        <v>1566</v>
      </c>
      <c r="P1188" s="26" t="s">
        <v>22</v>
      </c>
      <c r="Q1188" s="26">
        <v>300.0</v>
      </c>
    </row>
    <row r="1189" ht="17.25" customHeight="1">
      <c r="A1189" s="51">
        <v>46129.75153770833</v>
      </c>
      <c r="B1189" s="25" t="s">
        <v>74</v>
      </c>
      <c r="C1189" s="55" t="s">
        <v>1892</v>
      </c>
      <c r="D1189" s="51">
        <v>46129.455101307874</v>
      </c>
      <c r="E1189" s="52">
        <v>100.0</v>
      </c>
      <c r="F1189" s="55" t="s">
        <v>1561</v>
      </c>
      <c r="G1189" s="55">
        <v>738.0</v>
      </c>
      <c r="H1189" s="26"/>
      <c r="I1189" s="26" t="s">
        <v>75</v>
      </c>
      <c r="J1189" s="26" t="s">
        <v>1225</v>
      </c>
      <c r="K1189" s="26" t="s">
        <v>1562</v>
      </c>
      <c r="L1189" s="26" t="s">
        <v>1591</v>
      </c>
      <c r="M1189" s="26" t="s">
        <v>1597</v>
      </c>
      <c r="N1189" s="26" t="s">
        <v>1566</v>
      </c>
      <c r="O1189" s="26" t="s">
        <v>1566</v>
      </c>
      <c r="P1189" s="26" t="s">
        <v>22</v>
      </c>
      <c r="Q1189" s="26">
        <v>0.0</v>
      </c>
    </row>
    <row r="1190" ht="17.25" customHeight="1">
      <c r="A1190" s="51">
        <v>46129.75238597222</v>
      </c>
      <c r="B1190" s="25" t="s">
        <v>1935</v>
      </c>
      <c r="C1190" s="55" t="s">
        <v>1560</v>
      </c>
      <c r="D1190" s="51">
        <v>46129.455101307874</v>
      </c>
      <c r="E1190" s="52">
        <v>200.0</v>
      </c>
      <c r="F1190" s="55" t="s">
        <v>1561</v>
      </c>
      <c r="G1190" s="55" t="s">
        <v>2237</v>
      </c>
      <c r="H1190" s="26"/>
      <c r="I1190" s="26" t="s">
        <v>1936</v>
      </c>
      <c r="J1190" s="26" t="s">
        <v>1225</v>
      </c>
      <c r="K1190" s="26" t="s">
        <v>1642</v>
      </c>
      <c r="L1190" s="26" t="s">
        <v>2095</v>
      </c>
      <c r="M1190" s="26" t="s">
        <v>1622</v>
      </c>
      <c r="N1190" s="26" t="s">
        <v>1566</v>
      </c>
      <c r="O1190" s="26" t="s">
        <v>1566</v>
      </c>
      <c r="P1190" s="26" t="s">
        <v>22</v>
      </c>
      <c r="Q1190" s="26">
        <v>0.0</v>
      </c>
    </row>
    <row r="1191" ht="17.25" customHeight="1">
      <c r="A1191" s="51">
        <v>46129.75260799768</v>
      </c>
      <c r="B1191" s="25" t="s">
        <v>1935</v>
      </c>
      <c r="C1191" s="55" t="s">
        <v>1892</v>
      </c>
      <c r="D1191" s="51">
        <v>46129.455101307874</v>
      </c>
      <c r="E1191" s="52">
        <v>200.0</v>
      </c>
      <c r="F1191" s="55" t="s">
        <v>1561</v>
      </c>
      <c r="G1191" s="55">
        <v>739.0</v>
      </c>
      <c r="H1191" s="26"/>
      <c r="I1191" s="26" t="s">
        <v>1936</v>
      </c>
      <c r="J1191" s="26" t="s">
        <v>1225</v>
      </c>
      <c r="K1191" s="26" t="s">
        <v>1642</v>
      </c>
      <c r="L1191" s="26" t="s">
        <v>2095</v>
      </c>
      <c r="M1191" s="26" t="s">
        <v>1622</v>
      </c>
      <c r="N1191" s="26" t="s">
        <v>1566</v>
      </c>
      <c r="O1191" s="26" t="s">
        <v>1566</v>
      </c>
      <c r="P1191" s="26" t="s">
        <v>22</v>
      </c>
      <c r="Q1191" s="26">
        <v>0.0</v>
      </c>
    </row>
    <row r="1192" ht="17.25" customHeight="1">
      <c r="A1192" s="51">
        <v>46129.75327789352</v>
      </c>
      <c r="B1192" s="25" t="s">
        <v>1055</v>
      </c>
      <c r="C1192" s="55" t="s">
        <v>1892</v>
      </c>
      <c r="D1192" s="51">
        <v>46129.455101307874</v>
      </c>
      <c r="E1192" s="52">
        <v>200.0</v>
      </c>
      <c r="F1192" s="55" t="s">
        <v>1561</v>
      </c>
      <c r="G1192" s="55">
        <v>740.0</v>
      </c>
      <c r="H1192" s="26"/>
      <c r="I1192" s="26" t="s">
        <v>1056</v>
      </c>
      <c r="J1192" s="26" t="s">
        <v>1225</v>
      </c>
      <c r="K1192" s="26" t="s">
        <v>1562</v>
      </c>
      <c r="L1192" s="26" t="s">
        <v>1584</v>
      </c>
      <c r="M1192" s="26" t="s">
        <v>1564</v>
      </c>
      <c r="N1192" s="26" t="s">
        <v>1566</v>
      </c>
      <c r="O1192" s="26" t="s">
        <v>1566</v>
      </c>
      <c r="P1192" s="26" t="s">
        <v>22</v>
      </c>
      <c r="Q1192" s="26">
        <v>300.0</v>
      </c>
    </row>
    <row r="1193" ht="17.25" customHeight="1">
      <c r="A1193" s="51">
        <v>46129.75487716435</v>
      </c>
      <c r="B1193" s="25" t="s">
        <v>932</v>
      </c>
      <c r="C1193" s="55" t="s">
        <v>1892</v>
      </c>
      <c r="D1193" s="51">
        <v>46129.455101307874</v>
      </c>
      <c r="E1193" s="52">
        <v>100.0</v>
      </c>
      <c r="F1193" s="55" t="s">
        <v>1561</v>
      </c>
      <c r="G1193" s="55">
        <v>741.0</v>
      </c>
      <c r="H1193" s="26"/>
      <c r="I1193" s="26" t="s">
        <v>933</v>
      </c>
      <c r="J1193" s="26" t="s">
        <v>1225</v>
      </c>
      <c r="K1193" s="26" t="s">
        <v>1562</v>
      </c>
      <c r="L1193" s="26" t="s">
        <v>1600</v>
      </c>
      <c r="M1193" s="26" t="s">
        <v>1572</v>
      </c>
      <c r="N1193" s="26" t="s">
        <v>1571</v>
      </c>
      <c r="O1193" s="26" t="s">
        <v>1566</v>
      </c>
      <c r="P1193" s="26" t="s">
        <v>22</v>
      </c>
      <c r="Q1193" s="26">
        <v>400.0</v>
      </c>
    </row>
    <row r="1194" ht="17.25" customHeight="1">
      <c r="A1194" s="51">
        <v>46129.77552465278</v>
      </c>
      <c r="B1194" s="26" t="s">
        <v>1985</v>
      </c>
      <c r="C1194" s="55" t="s">
        <v>1560</v>
      </c>
      <c r="D1194" s="51">
        <v>46129.455101307874</v>
      </c>
      <c r="E1194" s="52">
        <v>1.0</v>
      </c>
      <c r="F1194" s="55" t="s">
        <v>1673</v>
      </c>
      <c r="G1194" s="55" t="s">
        <v>2238</v>
      </c>
      <c r="H1194" s="26"/>
      <c r="I1194" s="26" t="s">
        <v>1986</v>
      </c>
      <c r="J1194" s="26" t="s">
        <v>1674</v>
      </c>
      <c r="K1194" s="26" t="s">
        <v>1691</v>
      </c>
      <c r="L1194" s="26" t="s">
        <v>1566</v>
      </c>
      <c r="M1194" s="26" t="s">
        <v>1566</v>
      </c>
      <c r="N1194" s="26" t="s">
        <v>1566</v>
      </c>
      <c r="O1194" s="26" t="s">
        <v>1566</v>
      </c>
      <c r="P1194" s="26" t="s">
        <v>290</v>
      </c>
      <c r="Q1194" s="26">
        <v>0.0</v>
      </c>
    </row>
    <row r="1195" ht="17.25" customHeight="1">
      <c r="A1195" s="51">
        <v>46130.42652055556</v>
      </c>
      <c r="B1195" s="23" t="s">
        <v>301</v>
      </c>
      <c r="C1195" s="55" t="s">
        <v>1892</v>
      </c>
      <c r="D1195" s="51">
        <v>46130.42652055556</v>
      </c>
      <c r="E1195" s="52">
        <v>20.0</v>
      </c>
      <c r="F1195" s="55" t="s">
        <v>2124</v>
      </c>
      <c r="G1195" s="26"/>
      <c r="H1195" s="26"/>
      <c r="I1195" s="26" t="s">
        <v>302</v>
      </c>
      <c r="J1195" s="26" t="s">
        <v>1830</v>
      </c>
      <c r="K1195" s="26" t="s">
        <v>302</v>
      </c>
      <c r="L1195" s="26" t="s">
        <v>1566</v>
      </c>
      <c r="M1195" s="26" t="s">
        <v>1566</v>
      </c>
      <c r="N1195" s="26" t="s">
        <v>1566</v>
      </c>
      <c r="O1195" s="26" t="s">
        <v>1566</v>
      </c>
      <c r="P1195" s="26" t="s">
        <v>661</v>
      </c>
      <c r="Q1195" s="26">
        <v>580.0</v>
      </c>
    </row>
    <row r="1196" ht="17.25" customHeight="1">
      <c r="A1196" s="51">
        <v>46130.42682766204</v>
      </c>
      <c r="B1196" s="26" t="s">
        <v>1136</v>
      </c>
      <c r="C1196" s="55" t="s">
        <v>1892</v>
      </c>
      <c r="D1196" s="51">
        <v>46130.42652055556</v>
      </c>
      <c r="E1196" s="52">
        <v>1.0</v>
      </c>
      <c r="F1196" s="55" t="s">
        <v>2124</v>
      </c>
      <c r="G1196" s="26"/>
      <c r="H1196" s="26"/>
      <c r="I1196" s="26" t="s">
        <v>1137</v>
      </c>
      <c r="J1196" s="26" t="s">
        <v>1812</v>
      </c>
      <c r="K1196" s="26" t="s">
        <v>1815</v>
      </c>
      <c r="L1196" s="26" t="s">
        <v>1566</v>
      </c>
      <c r="M1196" s="26" t="s">
        <v>1566</v>
      </c>
      <c r="N1196" s="26" t="s">
        <v>1566</v>
      </c>
      <c r="O1196" s="26" t="s">
        <v>1566</v>
      </c>
      <c r="P1196" s="26" t="s">
        <v>290</v>
      </c>
      <c r="Q1196" s="26">
        <v>2.0</v>
      </c>
    </row>
    <row r="1197" ht="17.25" customHeight="1">
      <c r="A1197" s="51">
        <v>46130.42712277778</v>
      </c>
      <c r="B1197" s="2" t="s">
        <v>292</v>
      </c>
      <c r="C1197" s="55" t="s">
        <v>1892</v>
      </c>
      <c r="D1197" s="51">
        <v>46130.42652055556</v>
      </c>
      <c r="E1197" s="52">
        <v>2.0</v>
      </c>
      <c r="F1197" s="55" t="s">
        <v>2124</v>
      </c>
      <c r="G1197" s="26"/>
      <c r="H1197" s="26"/>
      <c r="I1197" s="26" t="s">
        <v>294</v>
      </c>
      <c r="J1197" s="26" t="s">
        <v>1674</v>
      </c>
      <c r="K1197" s="26" t="s">
        <v>1675</v>
      </c>
      <c r="L1197" s="26" t="s">
        <v>1566</v>
      </c>
      <c r="M1197" s="26" t="s">
        <v>1566</v>
      </c>
      <c r="N1197" s="26" t="s">
        <v>1678</v>
      </c>
      <c r="O1197" s="26" t="s">
        <v>1677</v>
      </c>
      <c r="P1197" s="26" t="s">
        <v>290</v>
      </c>
      <c r="Q1197" s="26">
        <v>10.0</v>
      </c>
    </row>
    <row r="1198" ht="17.25" customHeight="1">
      <c r="A1198" s="51">
        <v>46130.45906085648</v>
      </c>
      <c r="B1198" s="25" t="s">
        <v>1045</v>
      </c>
      <c r="C1198" s="55" t="s">
        <v>1892</v>
      </c>
      <c r="D1198" s="51">
        <v>46130.42652055556</v>
      </c>
      <c r="E1198" s="52">
        <v>800.0</v>
      </c>
      <c r="F1198" s="26"/>
      <c r="G1198" s="55">
        <v>742.0</v>
      </c>
      <c r="H1198" s="26"/>
      <c r="I1198" s="26" t="s">
        <v>1046</v>
      </c>
      <c r="J1198" s="26" t="s">
        <v>1225</v>
      </c>
      <c r="K1198" s="26" t="s">
        <v>1562</v>
      </c>
      <c r="L1198" s="26" t="s">
        <v>1633</v>
      </c>
      <c r="M1198" s="26" t="s">
        <v>2093</v>
      </c>
      <c r="N1198" s="26" t="s">
        <v>1566</v>
      </c>
      <c r="O1198" s="26" t="s">
        <v>1566</v>
      </c>
      <c r="P1198" s="26" t="s">
        <v>22</v>
      </c>
      <c r="Q1198" s="26">
        <v>950.0</v>
      </c>
    </row>
    <row r="1199" ht="17.25" customHeight="1">
      <c r="A1199" s="51">
        <v>46130.57588146991</v>
      </c>
      <c r="B1199" s="25" t="s">
        <v>1117</v>
      </c>
      <c r="C1199" s="55" t="s">
        <v>1892</v>
      </c>
      <c r="D1199" s="51">
        <v>46130.42652055556</v>
      </c>
      <c r="E1199" s="52">
        <v>600.0</v>
      </c>
      <c r="F1199" s="55" t="s">
        <v>2124</v>
      </c>
      <c r="G1199" s="55">
        <v>743.0</v>
      </c>
      <c r="H1199" s="26"/>
      <c r="I1199" s="26" t="s">
        <v>1118</v>
      </c>
      <c r="J1199" s="26" t="s">
        <v>1225</v>
      </c>
      <c r="K1199" s="26" t="s">
        <v>1642</v>
      </c>
      <c r="L1199" s="26" t="s">
        <v>2136</v>
      </c>
      <c r="M1199" s="26" t="s">
        <v>1622</v>
      </c>
      <c r="N1199" s="26" t="s">
        <v>1566</v>
      </c>
      <c r="O1199" s="26" t="s">
        <v>1566</v>
      </c>
      <c r="P1199" s="26" t="s">
        <v>22</v>
      </c>
      <c r="Q1199" s="26">
        <v>800.0</v>
      </c>
    </row>
    <row r="1200" ht="17.25" customHeight="1">
      <c r="A1200" s="51">
        <v>46130.60730096065</v>
      </c>
      <c r="B1200" s="25" t="s">
        <v>1855</v>
      </c>
      <c r="C1200" s="55" t="s">
        <v>1560</v>
      </c>
      <c r="D1200" s="202">
        <v>46128.426516203705</v>
      </c>
      <c r="E1200" s="52">
        <v>1.0</v>
      </c>
      <c r="F1200" s="55" t="s">
        <v>1844</v>
      </c>
      <c r="G1200" s="26"/>
      <c r="H1200" s="26"/>
      <c r="I1200" s="26" t="s">
        <v>1858</v>
      </c>
      <c r="J1200" s="26" t="s">
        <v>1844</v>
      </c>
      <c r="K1200" s="26" t="s">
        <v>1846</v>
      </c>
      <c r="L1200" s="26" t="s">
        <v>1860</v>
      </c>
      <c r="M1200" s="26" t="s">
        <v>1566</v>
      </c>
      <c r="N1200" s="26" t="s">
        <v>1566</v>
      </c>
      <c r="O1200" s="26" t="s">
        <v>1808</v>
      </c>
      <c r="P1200" s="26" t="s">
        <v>661</v>
      </c>
      <c r="Q1200" s="26">
        <v>0.0</v>
      </c>
    </row>
    <row r="1201" ht="17.25" customHeight="1">
      <c r="A1201" s="51">
        <v>46130.60766405093</v>
      </c>
      <c r="B1201" s="25" t="s">
        <v>1855</v>
      </c>
      <c r="C1201" s="55" t="s">
        <v>1892</v>
      </c>
      <c r="D1201" s="202">
        <v>46128.426516203705</v>
      </c>
      <c r="E1201" s="52">
        <v>1.0</v>
      </c>
      <c r="F1201" s="55" t="s">
        <v>1844</v>
      </c>
      <c r="G1201" s="26"/>
      <c r="H1201" s="26"/>
      <c r="I1201" s="26" t="s">
        <v>1858</v>
      </c>
      <c r="J1201" s="26" t="s">
        <v>1844</v>
      </c>
      <c r="K1201" s="26" t="s">
        <v>1846</v>
      </c>
      <c r="L1201" s="26" t="s">
        <v>1860</v>
      </c>
      <c r="M1201" s="26" t="s">
        <v>1566</v>
      </c>
      <c r="N1201" s="26" t="s">
        <v>1566</v>
      </c>
      <c r="O1201" s="26" t="s">
        <v>1808</v>
      </c>
      <c r="P1201" s="26" t="s">
        <v>661</v>
      </c>
      <c r="Q1201" s="26">
        <v>0.0</v>
      </c>
    </row>
    <row r="1202" ht="17.25" customHeight="1">
      <c r="A1202" s="51">
        <v>46130.60816106481</v>
      </c>
      <c r="B1202" s="25" t="s">
        <v>836</v>
      </c>
      <c r="C1202" s="55" t="s">
        <v>1560</v>
      </c>
      <c r="D1202" s="202">
        <v>46128.426516203705</v>
      </c>
      <c r="E1202" s="52">
        <v>1.0</v>
      </c>
      <c r="F1202" s="55" t="s">
        <v>1844</v>
      </c>
      <c r="G1202" s="26"/>
      <c r="H1202" s="26"/>
      <c r="I1202" s="26" t="s">
        <v>837</v>
      </c>
      <c r="J1202" s="26" t="s">
        <v>1844</v>
      </c>
      <c r="K1202" s="26" t="s">
        <v>1846</v>
      </c>
      <c r="L1202" s="26" t="s">
        <v>1849</v>
      </c>
      <c r="M1202" s="26" t="s">
        <v>1566</v>
      </c>
      <c r="N1202" s="26" t="s">
        <v>1566</v>
      </c>
      <c r="O1202" s="26" t="s">
        <v>1848</v>
      </c>
      <c r="P1202" s="26" t="s">
        <v>661</v>
      </c>
      <c r="Q1202" s="26">
        <v>1.0</v>
      </c>
    </row>
    <row r="1203" ht="17.25" customHeight="1">
      <c r="A1203" s="51">
        <v>46130.60844923611</v>
      </c>
      <c r="B1203" s="25" t="s">
        <v>998</v>
      </c>
      <c r="C1203" s="55" t="s">
        <v>1560</v>
      </c>
      <c r="D1203" s="202">
        <v>46128.426516203705</v>
      </c>
      <c r="E1203" s="52">
        <v>2.0</v>
      </c>
      <c r="F1203" s="55" t="s">
        <v>1844</v>
      </c>
      <c r="G1203" s="26"/>
      <c r="H1203" s="26"/>
      <c r="I1203" s="26" t="s">
        <v>999</v>
      </c>
      <c r="J1203" s="26" t="s">
        <v>1844</v>
      </c>
      <c r="K1203" s="26" t="s">
        <v>1846</v>
      </c>
      <c r="L1203" s="26" t="s">
        <v>2038</v>
      </c>
      <c r="M1203" s="26" t="s">
        <v>1566</v>
      </c>
      <c r="N1203" s="26" t="s">
        <v>1566</v>
      </c>
      <c r="O1203" s="26" t="s">
        <v>1566</v>
      </c>
      <c r="P1203" s="26" t="s">
        <v>661</v>
      </c>
      <c r="Q1203" s="26">
        <v>1.0</v>
      </c>
    </row>
    <row r="1204" ht="17.25" customHeight="1">
      <c r="A1204" s="51">
        <v>46130.7248802199</v>
      </c>
      <c r="B1204" s="23" t="s">
        <v>301</v>
      </c>
      <c r="C1204" s="55" t="s">
        <v>1892</v>
      </c>
      <c r="D1204" s="51">
        <v>46130.7250712963</v>
      </c>
      <c r="E1204" s="52">
        <v>4.0</v>
      </c>
      <c r="F1204" s="55" t="s">
        <v>1844</v>
      </c>
      <c r="G1204" s="26"/>
      <c r="H1204" s="26"/>
      <c r="I1204" s="26" t="s">
        <v>302</v>
      </c>
      <c r="J1204" s="26" t="s">
        <v>1830</v>
      </c>
      <c r="K1204" s="26" t="s">
        <v>302</v>
      </c>
      <c r="L1204" s="26" t="s">
        <v>1566</v>
      </c>
      <c r="M1204" s="26" t="s">
        <v>1566</v>
      </c>
      <c r="N1204" s="26" t="s">
        <v>1566</v>
      </c>
      <c r="O1204" s="26" t="s">
        <v>1566</v>
      </c>
      <c r="P1204" s="26" t="s">
        <v>661</v>
      </c>
      <c r="Q1204" s="26">
        <v>580.0</v>
      </c>
    </row>
    <row r="1205" ht="17.25" customHeight="1">
      <c r="A1205" s="51">
        <v>46130.7250712963</v>
      </c>
      <c r="B1205" s="23" t="s">
        <v>301</v>
      </c>
      <c r="C1205" s="55" t="s">
        <v>1892</v>
      </c>
      <c r="D1205" s="51">
        <v>46130.7250712963</v>
      </c>
      <c r="E1205" s="52">
        <v>5.0</v>
      </c>
      <c r="F1205" s="55" t="s">
        <v>2026</v>
      </c>
      <c r="G1205" s="26"/>
      <c r="H1205" s="26"/>
      <c r="I1205" s="26" t="s">
        <v>302</v>
      </c>
      <c r="J1205" s="26" t="s">
        <v>1830</v>
      </c>
      <c r="K1205" s="26" t="s">
        <v>302</v>
      </c>
      <c r="L1205" s="26" t="s">
        <v>1566</v>
      </c>
      <c r="M1205" s="26" t="s">
        <v>1566</v>
      </c>
      <c r="N1205" s="26" t="s">
        <v>1566</v>
      </c>
      <c r="O1205" s="26" t="s">
        <v>1566</v>
      </c>
      <c r="P1205" s="26" t="s">
        <v>661</v>
      </c>
      <c r="Q1205" s="26">
        <v>580.0</v>
      </c>
    </row>
    <row r="1206" ht="17.25" customHeight="1">
      <c r="A1206" s="51">
        <v>46130.725511956014</v>
      </c>
      <c r="B1206" s="25" t="s">
        <v>1985</v>
      </c>
      <c r="C1206" s="55" t="s">
        <v>1892</v>
      </c>
      <c r="D1206" s="51">
        <v>46130.7250712963</v>
      </c>
      <c r="E1206" s="52">
        <v>1.0</v>
      </c>
      <c r="F1206" s="55" t="s">
        <v>2169</v>
      </c>
      <c r="G1206" s="26"/>
      <c r="H1206" s="26"/>
      <c r="I1206" s="26" t="s">
        <v>1986</v>
      </c>
      <c r="J1206" s="26" t="s">
        <v>1674</v>
      </c>
      <c r="K1206" s="26" t="s">
        <v>1691</v>
      </c>
      <c r="L1206" s="26" t="s">
        <v>1566</v>
      </c>
      <c r="M1206" s="26" t="s">
        <v>1566</v>
      </c>
      <c r="N1206" s="26" t="s">
        <v>1566</v>
      </c>
      <c r="O1206" s="26" t="s">
        <v>1566</v>
      </c>
      <c r="P1206" s="26" t="s">
        <v>290</v>
      </c>
      <c r="Q1206" s="26">
        <v>0.0</v>
      </c>
    </row>
    <row r="1207" ht="17.25" customHeight="1">
      <c r="A1207" s="51">
        <v>46130.72622822916</v>
      </c>
      <c r="B1207" s="25" t="s">
        <v>1952</v>
      </c>
      <c r="C1207" s="55" t="s">
        <v>1892</v>
      </c>
      <c r="D1207" s="51">
        <v>46130.7250712963</v>
      </c>
      <c r="E1207" s="52">
        <v>271.0</v>
      </c>
      <c r="F1207" s="55" t="s">
        <v>2239</v>
      </c>
      <c r="G1207" s="26"/>
      <c r="H1207" s="26"/>
      <c r="I1207" s="26" t="s">
        <v>1953</v>
      </c>
      <c r="J1207" s="26" t="s">
        <v>1830</v>
      </c>
      <c r="K1207" s="26" t="s">
        <v>1642</v>
      </c>
      <c r="L1207" s="26" t="s">
        <v>1566</v>
      </c>
      <c r="M1207" s="26" t="s">
        <v>1566</v>
      </c>
      <c r="N1207" s="26" t="s">
        <v>1566</v>
      </c>
      <c r="O1207" s="26" t="s">
        <v>1566</v>
      </c>
      <c r="P1207" s="26" t="s">
        <v>643</v>
      </c>
      <c r="Q1207" s="26">
        <v>0.0</v>
      </c>
    </row>
    <row r="1208" ht="17.25" customHeight="1">
      <c r="A1208" s="51">
        <v>46130.727465856486</v>
      </c>
      <c r="B1208" s="27" t="s">
        <v>787</v>
      </c>
      <c r="C1208" s="55" t="s">
        <v>1892</v>
      </c>
      <c r="D1208" s="51">
        <v>46130.7250712963</v>
      </c>
      <c r="E1208" s="52">
        <v>0.25</v>
      </c>
      <c r="F1208" s="55" t="s">
        <v>2169</v>
      </c>
      <c r="G1208" s="26"/>
      <c r="H1208" s="26"/>
      <c r="I1208" s="26" t="s">
        <v>788</v>
      </c>
      <c r="J1208" s="26" t="s">
        <v>1812</v>
      </c>
      <c r="K1208" s="26" t="s">
        <v>1815</v>
      </c>
      <c r="L1208" s="26" t="s">
        <v>1566</v>
      </c>
      <c r="M1208" s="26" t="s">
        <v>1566</v>
      </c>
      <c r="N1208" s="26" t="s">
        <v>1566</v>
      </c>
      <c r="O1208" s="26" t="s">
        <v>1566</v>
      </c>
      <c r="P1208" s="26" t="s">
        <v>290</v>
      </c>
      <c r="Q1208" s="26">
        <v>0.5</v>
      </c>
    </row>
    <row r="1209" ht="17.25" customHeight="1">
      <c r="A1209" s="51">
        <v>46132.69540318287</v>
      </c>
      <c r="B1209" s="23" t="s">
        <v>301</v>
      </c>
      <c r="C1209" s="55" t="s">
        <v>1892</v>
      </c>
      <c r="D1209" s="51">
        <v>46132.69540318287</v>
      </c>
      <c r="E1209" s="52">
        <v>10.0</v>
      </c>
      <c r="F1209" s="55" t="s">
        <v>2169</v>
      </c>
      <c r="G1209" s="26"/>
      <c r="H1209" s="26"/>
      <c r="I1209" s="26" t="s">
        <v>302</v>
      </c>
      <c r="J1209" s="26" t="s">
        <v>1830</v>
      </c>
      <c r="K1209" s="26" t="s">
        <v>302</v>
      </c>
      <c r="L1209" s="26" t="s">
        <v>1566</v>
      </c>
      <c r="M1209" s="26" t="s">
        <v>1566</v>
      </c>
      <c r="N1209" s="26" t="s">
        <v>1566</v>
      </c>
      <c r="O1209" s="26" t="s">
        <v>1566</v>
      </c>
      <c r="P1209" s="26" t="s">
        <v>661</v>
      </c>
      <c r="Q1209" s="26">
        <v>580.0</v>
      </c>
    </row>
    <row r="1210" ht="17.25" customHeight="1">
      <c r="A1210" s="51">
        <v>46132.69575828704</v>
      </c>
      <c r="B1210" s="25" t="s">
        <v>876</v>
      </c>
      <c r="C1210" s="55" t="s">
        <v>1892</v>
      </c>
      <c r="D1210" s="51">
        <v>46132.69540318287</v>
      </c>
      <c r="E1210" s="52">
        <v>2.0</v>
      </c>
      <c r="F1210" s="55" t="s">
        <v>2240</v>
      </c>
      <c r="G1210" s="26"/>
      <c r="H1210" s="26"/>
      <c r="I1210" s="26" t="s">
        <v>878</v>
      </c>
      <c r="J1210" s="26" t="s">
        <v>1830</v>
      </c>
      <c r="K1210" s="26" t="s">
        <v>1879</v>
      </c>
      <c r="L1210" s="26" t="s">
        <v>1566</v>
      </c>
      <c r="M1210" s="26" t="s">
        <v>1566</v>
      </c>
      <c r="N1210" s="26" t="s">
        <v>1566</v>
      </c>
      <c r="O1210" s="26" t="s">
        <v>1566</v>
      </c>
      <c r="P1210" s="26" t="s">
        <v>643</v>
      </c>
      <c r="Q1210" s="26">
        <v>34.0</v>
      </c>
    </row>
    <row r="1211" ht="17.25" customHeight="1">
      <c r="A1211" s="51">
        <v>46132.69575828704</v>
      </c>
      <c r="B1211" s="25" t="s">
        <v>227</v>
      </c>
      <c r="C1211" s="55" t="s">
        <v>1892</v>
      </c>
      <c r="D1211" s="51">
        <v>46132.69540318287</v>
      </c>
      <c r="E1211" s="52">
        <v>80.0</v>
      </c>
      <c r="F1211" s="55" t="s">
        <v>2169</v>
      </c>
      <c r="G1211" s="55">
        <v>744.0</v>
      </c>
      <c r="H1211" s="26"/>
      <c r="I1211" s="26" t="s">
        <v>228</v>
      </c>
      <c r="J1211" s="26" t="s">
        <v>1225</v>
      </c>
      <c r="K1211" s="26" t="s">
        <v>1651</v>
      </c>
      <c r="L1211" s="26" t="s">
        <v>1633</v>
      </c>
      <c r="M1211" s="26" t="s">
        <v>1652</v>
      </c>
      <c r="N1211" s="26" t="s">
        <v>1566</v>
      </c>
      <c r="O1211" s="26" t="s">
        <v>1566</v>
      </c>
      <c r="P1211" s="26" t="s">
        <v>22</v>
      </c>
      <c r="Q1211" s="26">
        <v>45.0</v>
      </c>
    </row>
    <row r="1212" ht="17.25" customHeight="1">
      <c r="A1212" s="51">
        <v>46132.69575828704</v>
      </c>
      <c r="B1212" s="25" t="s">
        <v>105</v>
      </c>
      <c r="C1212" s="55" t="s">
        <v>1892</v>
      </c>
      <c r="D1212" s="51">
        <v>46132.69540318287</v>
      </c>
      <c r="E1212" s="52">
        <v>1100.0</v>
      </c>
      <c r="F1212" s="55" t="s">
        <v>2241</v>
      </c>
      <c r="G1212" s="55">
        <v>746.0</v>
      </c>
      <c r="H1212" s="26"/>
      <c r="I1212" s="26" t="s">
        <v>107</v>
      </c>
      <c r="J1212" s="26" t="s">
        <v>1225</v>
      </c>
      <c r="K1212" s="26" t="s">
        <v>1562</v>
      </c>
      <c r="L1212" s="26" t="s">
        <v>1603</v>
      </c>
      <c r="M1212" s="26" t="s">
        <v>1575</v>
      </c>
      <c r="N1212" s="26" t="s">
        <v>1571</v>
      </c>
      <c r="O1212" s="26" t="s">
        <v>1566</v>
      </c>
      <c r="P1212" s="26" t="s">
        <v>22</v>
      </c>
      <c r="Q1212" s="26">
        <v>1200.0</v>
      </c>
    </row>
    <row r="1213" ht="17.25" customHeight="1">
      <c r="A1213" s="51">
        <v>46132.69811798611</v>
      </c>
      <c r="B1213" s="23" t="s">
        <v>301</v>
      </c>
      <c r="C1213" s="55" t="s">
        <v>1892</v>
      </c>
      <c r="D1213" s="51">
        <v>46132.69540318287</v>
      </c>
      <c r="E1213" s="52">
        <v>10.0</v>
      </c>
      <c r="F1213" s="55" t="s">
        <v>1844</v>
      </c>
      <c r="G1213" s="26"/>
      <c r="H1213" s="26"/>
      <c r="I1213" s="26" t="s">
        <v>302</v>
      </c>
      <c r="J1213" s="26" t="s">
        <v>1830</v>
      </c>
      <c r="K1213" s="26" t="s">
        <v>302</v>
      </c>
      <c r="L1213" s="26" t="s">
        <v>1566</v>
      </c>
      <c r="M1213" s="26" t="s">
        <v>1566</v>
      </c>
      <c r="N1213" s="26" t="s">
        <v>1566</v>
      </c>
      <c r="O1213" s="26" t="s">
        <v>1566</v>
      </c>
      <c r="P1213" s="26" t="s">
        <v>661</v>
      </c>
      <c r="Q1213" s="26">
        <v>580.0</v>
      </c>
    </row>
    <row r="1214" ht="17.25" customHeight="1">
      <c r="A1214" s="51">
        <v>46132.6985666088</v>
      </c>
      <c r="B1214" s="25" t="s">
        <v>728</v>
      </c>
      <c r="C1214" s="55" t="s">
        <v>1892</v>
      </c>
      <c r="D1214" s="51">
        <v>46132.69540318287</v>
      </c>
      <c r="E1214" s="52">
        <v>5.0</v>
      </c>
      <c r="F1214" s="55" t="s">
        <v>2026</v>
      </c>
      <c r="G1214" s="26"/>
      <c r="H1214" s="26"/>
      <c r="I1214" s="26" t="s">
        <v>729</v>
      </c>
      <c r="J1214" s="26" t="s">
        <v>1812</v>
      </c>
      <c r="K1214" s="26" t="s">
        <v>1815</v>
      </c>
      <c r="L1214" s="26" t="s">
        <v>1566</v>
      </c>
      <c r="M1214" s="26" t="s">
        <v>1566</v>
      </c>
      <c r="N1214" s="26" t="s">
        <v>1566</v>
      </c>
      <c r="O1214" s="26" t="s">
        <v>1566</v>
      </c>
      <c r="P1214" s="26" t="s">
        <v>661</v>
      </c>
      <c r="Q1214" s="26">
        <v>10.0</v>
      </c>
    </row>
    <row r="1215" ht="17.25" customHeight="1">
      <c r="A1215" s="51">
        <v>46132.69953684028</v>
      </c>
      <c r="B1215" s="27" t="s">
        <v>308</v>
      </c>
      <c r="C1215" s="55" t="s">
        <v>1560</v>
      </c>
      <c r="D1215" s="111">
        <v>46130.0</v>
      </c>
      <c r="E1215" s="52">
        <v>2200.0</v>
      </c>
      <c r="F1215" s="55" t="s">
        <v>2018</v>
      </c>
      <c r="G1215" s="55" t="s">
        <v>2242</v>
      </c>
      <c r="H1215" s="26"/>
      <c r="I1215" s="26" t="s">
        <v>309</v>
      </c>
      <c r="J1215" s="26" t="s">
        <v>1225</v>
      </c>
      <c r="K1215" s="26" t="s">
        <v>1562</v>
      </c>
      <c r="L1215" s="26" t="s">
        <v>1563</v>
      </c>
      <c r="M1215" s="26" t="s">
        <v>1574</v>
      </c>
      <c r="N1215" s="26" t="s">
        <v>1566</v>
      </c>
      <c r="O1215" s="26" t="s">
        <v>1566</v>
      </c>
      <c r="P1215" s="26" t="s">
        <v>22</v>
      </c>
      <c r="Q1215" s="26">
        <v>0.0</v>
      </c>
    </row>
    <row r="1216" ht="17.25" customHeight="1">
      <c r="A1216" s="51">
        <v>46132.730277152776</v>
      </c>
      <c r="B1216" s="25" t="s">
        <v>147</v>
      </c>
      <c r="C1216" s="55" t="s">
        <v>1560</v>
      </c>
      <c r="D1216" s="111">
        <v>46130.0</v>
      </c>
      <c r="E1216" s="52">
        <v>1900.0</v>
      </c>
      <c r="F1216" s="55" t="s">
        <v>2018</v>
      </c>
      <c r="G1216" s="55" t="s">
        <v>2243</v>
      </c>
      <c r="H1216" s="26"/>
      <c r="I1216" s="26" t="s">
        <v>148</v>
      </c>
      <c r="J1216" s="26" t="s">
        <v>1225</v>
      </c>
      <c r="K1216" s="26" t="s">
        <v>1562</v>
      </c>
      <c r="L1216" s="26" t="s">
        <v>1633</v>
      </c>
      <c r="M1216" s="26" t="s">
        <v>1574</v>
      </c>
      <c r="N1216" s="26" t="s">
        <v>1566</v>
      </c>
      <c r="O1216" s="26" t="s">
        <v>1566</v>
      </c>
      <c r="P1216" s="26" t="s">
        <v>22</v>
      </c>
      <c r="Q1216" s="26">
        <v>0.0</v>
      </c>
    </row>
    <row r="1217" ht="17.25" customHeight="1">
      <c r="A1217" s="51">
        <v>46132.73075134259</v>
      </c>
      <c r="B1217" s="25" t="s">
        <v>201</v>
      </c>
      <c r="C1217" s="55" t="s">
        <v>1560</v>
      </c>
      <c r="D1217" s="111">
        <v>46130.0</v>
      </c>
      <c r="E1217" s="52">
        <v>300.0</v>
      </c>
      <c r="F1217" s="55" t="s">
        <v>2018</v>
      </c>
      <c r="G1217" s="55" t="s">
        <v>2244</v>
      </c>
      <c r="H1217" s="26"/>
      <c r="I1217" s="26" t="s">
        <v>202</v>
      </c>
      <c r="J1217" s="26" t="s">
        <v>1225</v>
      </c>
      <c r="K1217" s="26" t="s">
        <v>1562</v>
      </c>
      <c r="L1217" s="26" t="s">
        <v>1573</v>
      </c>
      <c r="M1217" s="26" t="s">
        <v>1574</v>
      </c>
      <c r="N1217" s="26" t="s">
        <v>1566</v>
      </c>
      <c r="O1217" s="26" t="s">
        <v>1566</v>
      </c>
      <c r="P1217" s="26" t="s">
        <v>22</v>
      </c>
      <c r="Q1217" s="26">
        <v>600.0</v>
      </c>
    </row>
    <row r="1218" ht="17.25" customHeight="1">
      <c r="A1218" s="51">
        <v>46132.73115082176</v>
      </c>
      <c r="B1218" s="25" t="s">
        <v>1074</v>
      </c>
      <c r="C1218" s="55" t="s">
        <v>1560</v>
      </c>
      <c r="D1218" s="111">
        <v>46130.0</v>
      </c>
      <c r="E1218" s="52">
        <v>600.0</v>
      </c>
      <c r="F1218" s="55" t="s">
        <v>2018</v>
      </c>
      <c r="G1218" s="55" t="s">
        <v>2245</v>
      </c>
      <c r="H1218" s="26"/>
      <c r="I1218" s="26" t="s">
        <v>1075</v>
      </c>
      <c r="J1218" s="26" t="s">
        <v>1225</v>
      </c>
      <c r="K1218" s="26" t="s">
        <v>1562</v>
      </c>
      <c r="L1218" s="26" t="s">
        <v>1573</v>
      </c>
      <c r="M1218" s="26" t="s">
        <v>1597</v>
      </c>
      <c r="N1218" s="26" t="s">
        <v>1566</v>
      </c>
      <c r="O1218" s="26" t="s">
        <v>1566</v>
      </c>
      <c r="P1218" s="26" t="s">
        <v>22</v>
      </c>
      <c r="Q1218" s="26">
        <v>0.0</v>
      </c>
    </row>
    <row r="1219" ht="17.25" customHeight="1">
      <c r="A1219" s="51">
        <v>46132.73164450232</v>
      </c>
      <c r="B1219" s="25" t="s">
        <v>573</v>
      </c>
      <c r="C1219" s="55" t="s">
        <v>1560</v>
      </c>
      <c r="D1219" s="111">
        <v>46130.0</v>
      </c>
      <c r="E1219" s="52">
        <v>400.0</v>
      </c>
      <c r="F1219" s="55" t="s">
        <v>2018</v>
      </c>
      <c r="G1219" s="55" t="s">
        <v>2246</v>
      </c>
      <c r="H1219" s="26"/>
      <c r="I1219" s="26" t="s">
        <v>575</v>
      </c>
      <c r="J1219" s="26" t="s">
        <v>1225</v>
      </c>
      <c r="K1219" s="26" t="s">
        <v>1562</v>
      </c>
      <c r="L1219" s="26" t="s">
        <v>1587</v>
      </c>
      <c r="M1219" s="26" t="s">
        <v>1564</v>
      </c>
      <c r="N1219" s="26" t="s">
        <v>1571</v>
      </c>
      <c r="O1219" s="26" t="s">
        <v>1566</v>
      </c>
      <c r="P1219" s="26" t="s">
        <v>22</v>
      </c>
      <c r="Q1219" s="26">
        <v>0.0</v>
      </c>
    </row>
    <row r="1220" ht="17.25" customHeight="1">
      <c r="A1220" s="51">
        <v>46132.731740034724</v>
      </c>
      <c r="B1220" s="25" t="s">
        <v>573</v>
      </c>
      <c r="C1220" s="55" t="s">
        <v>1560</v>
      </c>
      <c r="D1220" s="111">
        <v>46132.0</v>
      </c>
      <c r="E1220" s="52">
        <v>500.0</v>
      </c>
      <c r="F1220" s="55" t="s">
        <v>2018</v>
      </c>
      <c r="G1220" s="55" t="s">
        <v>2246</v>
      </c>
      <c r="H1220" s="26"/>
      <c r="I1220" s="26" t="s">
        <v>575</v>
      </c>
      <c r="J1220" s="26" t="s">
        <v>1225</v>
      </c>
      <c r="K1220" s="26" t="s">
        <v>1562</v>
      </c>
      <c r="L1220" s="26" t="s">
        <v>1587</v>
      </c>
      <c r="M1220" s="26" t="s">
        <v>1564</v>
      </c>
      <c r="N1220" s="26" t="s">
        <v>1571</v>
      </c>
      <c r="O1220" s="26" t="s">
        <v>1566</v>
      </c>
      <c r="P1220" s="26" t="s">
        <v>22</v>
      </c>
      <c r="Q1220" s="26">
        <v>0.0</v>
      </c>
    </row>
    <row r="1221" ht="17.25" customHeight="1">
      <c r="A1221" s="51">
        <v>46132.73253246528</v>
      </c>
      <c r="B1221" s="27" t="s">
        <v>1151</v>
      </c>
      <c r="C1221" s="55" t="s">
        <v>1560</v>
      </c>
      <c r="D1221" s="111">
        <v>46132.0</v>
      </c>
      <c r="E1221" s="195">
        <v>1296.0</v>
      </c>
      <c r="F1221" s="55" t="s">
        <v>2018</v>
      </c>
      <c r="G1221" s="55" t="s">
        <v>2247</v>
      </c>
      <c r="H1221" s="26"/>
      <c r="I1221" s="26" t="s">
        <v>1152</v>
      </c>
      <c r="J1221" s="26" t="s">
        <v>1225</v>
      </c>
      <c r="K1221" s="26" t="s">
        <v>1653</v>
      </c>
      <c r="L1221" s="26" t="s">
        <v>1563</v>
      </c>
      <c r="M1221" s="26" t="s">
        <v>1564</v>
      </c>
      <c r="N1221" s="26" t="s">
        <v>1566</v>
      </c>
      <c r="O1221" s="26" t="s">
        <v>2132</v>
      </c>
      <c r="P1221" s="26" t="s">
        <v>22</v>
      </c>
      <c r="Q1221" s="26">
        <v>1296.0</v>
      </c>
    </row>
    <row r="1222" ht="17.25" customHeight="1">
      <c r="A1222" s="51">
        <v>46132.733774837965</v>
      </c>
      <c r="B1222" s="39" t="s">
        <v>1154</v>
      </c>
      <c r="C1222" s="55" t="s">
        <v>1560</v>
      </c>
      <c r="D1222" s="111">
        <v>46132.0</v>
      </c>
      <c r="E1222" s="195">
        <v>1296.0</v>
      </c>
      <c r="F1222" s="55" t="s">
        <v>2018</v>
      </c>
      <c r="G1222" s="55" t="s">
        <v>2248</v>
      </c>
      <c r="H1222" s="26"/>
      <c r="I1222" s="26" t="s">
        <v>1155</v>
      </c>
      <c r="J1222" s="26" t="s">
        <v>1225</v>
      </c>
      <c r="K1222" s="26" t="s">
        <v>1653</v>
      </c>
      <c r="L1222" s="26" t="s">
        <v>1563</v>
      </c>
      <c r="M1222" s="26" t="s">
        <v>1564</v>
      </c>
      <c r="N1222" s="26" t="s">
        <v>1566</v>
      </c>
      <c r="O1222" s="26" t="s">
        <v>2145</v>
      </c>
      <c r="P1222" s="26" t="s">
        <v>22</v>
      </c>
      <c r="Q1222" s="26">
        <v>1296.0</v>
      </c>
    </row>
    <row r="1223" ht="17.25" customHeight="1">
      <c r="A1223" s="51">
        <v>46132.734757453705</v>
      </c>
      <c r="B1223" s="26" t="s">
        <v>179</v>
      </c>
      <c r="C1223" s="55" t="s">
        <v>1560</v>
      </c>
      <c r="D1223" s="111">
        <v>46132.0</v>
      </c>
      <c r="E1223" s="52">
        <v>576.0</v>
      </c>
      <c r="F1223" s="55" t="s">
        <v>2018</v>
      </c>
      <c r="G1223" s="55" t="s">
        <v>2249</v>
      </c>
      <c r="H1223" s="26"/>
      <c r="I1223" s="26" t="s">
        <v>180</v>
      </c>
      <c r="J1223" s="26" t="s">
        <v>1225</v>
      </c>
      <c r="K1223" s="26" t="s">
        <v>1653</v>
      </c>
      <c r="L1223" s="26" t="s">
        <v>1563</v>
      </c>
      <c r="M1223" s="26" t="s">
        <v>1572</v>
      </c>
      <c r="N1223" s="26" t="s">
        <v>1654</v>
      </c>
      <c r="O1223" s="26" t="s">
        <v>1566</v>
      </c>
      <c r="P1223" s="26" t="s">
        <v>22</v>
      </c>
      <c r="Q1223" s="26">
        <v>0.0</v>
      </c>
    </row>
    <row r="1224" ht="17.25" customHeight="1">
      <c r="A1224" s="51">
        <v>46132.738617986106</v>
      </c>
      <c r="B1224" s="25" t="s">
        <v>1703</v>
      </c>
      <c r="C1224" s="55" t="s">
        <v>1892</v>
      </c>
      <c r="D1224" s="111">
        <v>46132.0</v>
      </c>
      <c r="E1224" s="52">
        <v>800.0</v>
      </c>
      <c r="F1224" s="55" t="s">
        <v>2018</v>
      </c>
      <c r="G1224" s="55">
        <v>747.0</v>
      </c>
      <c r="H1224" s="26"/>
      <c r="I1224" s="26" t="s">
        <v>1704</v>
      </c>
      <c r="J1224" s="26" t="s">
        <v>1225</v>
      </c>
      <c r="K1224" s="26" t="s">
        <v>1562</v>
      </c>
      <c r="L1224" s="26" t="s">
        <v>2073</v>
      </c>
      <c r="M1224" s="26" t="s">
        <v>1564</v>
      </c>
      <c r="N1224" s="26" t="s">
        <v>1566</v>
      </c>
      <c r="O1224" s="26" t="s">
        <v>1565</v>
      </c>
      <c r="P1224" s="26" t="s">
        <v>22</v>
      </c>
      <c r="Q1224" s="26">
        <v>0.0</v>
      </c>
    </row>
    <row r="1225" ht="17.25" customHeight="1">
      <c r="A1225" s="51">
        <v>46132.739609537035</v>
      </c>
      <c r="B1225" s="25" t="s">
        <v>147</v>
      </c>
      <c r="C1225" s="55" t="s">
        <v>1892</v>
      </c>
      <c r="D1225" s="111">
        <v>46132.0</v>
      </c>
      <c r="E1225" s="52">
        <v>1400.0</v>
      </c>
      <c r="F1225" s="55" t="s">
        <v>2018</v>
      </c>
      <c r="G1225" s="55" t="s">
        <v>2250</v>
      </c>
      <c r="H1225" s="26"/>
      <c r="I1225" s="26" t="s">
        <v>148</v>
      </c>
      <c r="J1225" s="26" t="s">
        <v>1225</v>
      </c>
      <c r="K1225" s="26" t="s">
        <v>1562</v>
      </c>
      <c r="L1225" s="26" t="s">
        <v>1633</v>
      </c>
      <c r="M1225" s="26" t="s">
        <v>1574</v>
      </c>
      <c r="N1225" s="26" t="s">
        <v>1566</v>
      </c>
      <c r="O1225" s="26" t="s">
        <v>1566</v>
      </c>
      <c r="P1225" s="26" t="s">
        <v>22</v>
      </c>
      <c r="Q1225" s="26">
        <v>0.0</v>
      </c>
    </row>
    <row r="1226" ht="17.25" customHeight="1">
      <c r="A1226" s="51">
        <v>46132.73981439815</v>
      </c>
      <c r="B1226" s="25" t="s">
        <v>147</v>
      </c>
      <c r="C1226" s="55" t="s">
        <v>1892</v>
      </c>
      <c r="D1226" s="111">
        <v>46132.0</v>
      </c>
      <c r="E1226" s="52">
        <v>500.0</v>
      </c>
      <c r="F1226" s="55" t="s">
        <v>2018</v>
      </c>
      <c r="G1226" s="55" t="s">
        <v>2251</v>
      </c>
      <c r="H1226" s="26"/>
      <c r="I1226" s="26" t="s">
        <v>148</v>
      </c>
      <c r="J1226" s="26" t="s">
        <v>1225</v>
      </c>
      <c r="K1226" s="26" t="s">
        <v>1562</v>
      </c>
      <c r="L1226" s="26" t="s">
        <v>1633</v>
      </c>
      <c r="M1226" s="26" t="s">
        <v>1574</v>
      </c>
      <c r="N1226" s="26" t="s">
        <v>1566</v>
      </c>
      <c r="O1226" s="26" t="s">
        <v>1566</v>
      </c>
      <c r="P1226" s="26" t="s">
        <v>22</v>
      </c>
      <c r="Q1226" s="26">
        <v>0.0</v>
      </c>
    </row>
    <row r="1227" ht="17.25" customHeight="1">
      <c r="A1227" s="51">
        <v>46132.740326354164</v>
      </c>
      <c r="B1227" s="25" t="s">
        <v>1074</v>
      </c>
      <c r="C1227" s="55" t="s">
        <v>1892</v>
      </c>
      <c r="D1227" s="111">
        <v>46132.0</v>
      </c>
      <c r="E1227" s="2">
        <v>600.0</v>
      </c>
      <c r="F1227" s="55" t="s">
        <v>2018</v>
      </c>
      <c r="G1227" s="52">
        <v>750.0</v>
      </c>
      <c r="H1227" s="26"/>
      <c r="I1227" s="26" t="s">
        <v>1075</v>
      </c>
      <c r="J1227" s="26" t="s">
        <v>1225</v>
      </c>
      <c r="K1227" s="26" t="s">
        <v>1562</v>
      </c>
      <c r="L1227" s="26" t="s">
        <v>1573</v>
      </c>
      <c r="M1227" s="26" t="s">
        <v>1597</v>
      </c>
      <c r="N1227" s="26" t="s">
        <v>1566</v>
      </c>
      <c r="O1227" s="26" t="s">
        <v>1566</v>
      </c>
      <c r="P1227" s="26" t="s">
        <v>22</v>
      </c>
      <c r="Q1227" s="26">
        <v>0.0</v>
      </c>
    </row>
    <row r="1228" ht="17.25" customHeight="1">
      <c r="A1228" s="51">
        <v>46132.77817744213</v>
      </c>
      <c r="B1228" s="25" t="s">
        <v>215</v>
      </c>
      <c r="C1228" s="55" t="s">
        <v>1892</v>
      </c>
      <c r="D1228" s="111">
        <v>46132.0</v>
      </c>
      <c r="E1228" s="52">
        <v>1100.0</v>
      </c>
      <c r="F1228" s="55" t="s">
        <v>2018</v>
      </c>
      <c r="G1228" s="55">
        <v>751.0</v>
      </c>
      <c r="H1228" s="26"/>
      <c r="I1228" s="26" t="s">
        <v>216</v>
      </c>
      <c r="J1228" s="26" t="s">
        <v>1225</v>
      </c>
      <c r="K1228" s="26" t="s">
        <v>1562</v>
      </c>
      <c r="L1228" s="26" t="s">
        <v>1600</v>
      </c>
      <c r="M1228" s="26" t="s">
        <v>1564</v>
      </c>
      <c r="N1228" s="26" t="s">
        <v>1566</v>
      </c>
      <c r="O1228" s="26" t="s">
        <v>1566</v>
      </c>
      <c r="P1228" s="26" t="s">
        <v>22</v>
      </c>
      <c r="Q1228" s="26">
        <v>0.0</v>
      </c>
    </row>
    <row r="1229" ht="17.25" customHeight="1">
      <c r="A1229" s="51">
        <v>46133.54882729167</v>
      </c>
      <c r="B1229" s="25" t="s">
        <v>710</v>
      </c>
      <c r="C1229" s="55" t="s">
        <v>1892</v>
      </c>
      <c r="D1229" s="111">
        <v>46132.0</v>
      </c>
      <c r="E1229" s="52">
        <v>50.0</v>
      </c>
      <c r="F1229" s="55" t="s">
        <v>1907</v>
      </c>
      <c r="G1229" s="26"/>
      <c r="H1229" s="26"/>
      <c r="I1229" s="26" t="s">
        <v>711</v>
      </c>
      <c r="J1229" s="26" t="s">
        <v>1821</v>
      </c>
      <c r="K1229" s="26" t="s">
        <v>1821</v>
      </c>
      <c r="L1229" s="26" t="s">
        <v>1566</v>
      </c>
      <c r="M1229" s="26" t="s">
        <v>1566</v>
      </c>
      <c r="N1229" s="26" t="s">
        <v>1566</v>
      </c>
      <c r="O1229" s="26" t="s">
        <v>1566</v>
      </c>
      <c r="P1229" s="26" t="s">
        <v>290</v>
      </c>
      <c r="Q1229" s="26">
        <v>50.0</v>
      </c>
    </row>
    <row r="1230" ht="17.25" customHeight="1">
      <c r="A1230" s="51">
        <v>46133.55464587963</v>
      </c>
      <c r="B1230" s="27" t="s">
        <v>1375</v>
      </c>
      <c r="C1230" s="55" t="s">
        <v>1560</v>
      </c>
      <c r="D1230" s="111">
        <v>46132.0</v>
      </c>
      <c r="E1230" s="52">
        <v>0.84</v>
      </c>
      <c r="F1230" s="55" t="s">
        <v>1673</v>
      </c>
      <c r="G1230" s="26"/>
      <c r="H1230" s="26"/>
      <c r="I1230" s="26" t="s">
        <v>1376</v>
      </c>
      <c r="J1230" s="26" t="s">
        <v>1812</v>
      </c>
      <c r="K1230" s="26" t="s">
        <v>1815</v>
      </c>
      <c r="L1230" s="26" t="s">
        <v>1566</v>
      </c>
      <c r="M1230" s="26" t="s">
        <v>1566</v>
      </c>
      <c r="N1230" s="26" t="s">
        <v>1566</v>
      </c>
      <c r="O1230" s="26" t="s">
        <v>2146</v>
      </c>
      <c r="P1230" s="26" t="s">
        <v>616</v>
      </c>
      <c r="Q1230" s="26">
        <v>0.0</v>
      </c>
    </row>
    <row r="1231" ht="17.25" customHeight="1">
      <c r="A1231" s="51">
        <v>46133.55514732639</v>
      </c>
      <c r="B1231" s="27" t="s">
        <v>1375</v>
      </c>
      <c r="C1231" s="55" t="s">
        <v>1892</v>
      </c>
      <c r="D1231" s="111">
        <v>46132.0</v>
      </c>
      <c r="E1231" s="52">
        <v>0.42</v>
      </c>
      <c r="F1231" s="55" t="s">
        <v>1673</v>
      </c>
      <c r="G1231" s="26"/>
      <c r="H1231" s="26"/>
      <c r="I1231" s="26" t="s">
        <v>1376</v>
      </c>
      <c r="J1231" s="26" t="s">
        <v>1812</v>
      </c>
      <c r="K1231" s="26" t="s">
        <v>1815</v>
      </c>
      <c r="L1231" s="26" t="s">
        <v>1566</v>
      </c>
      <c r="M1231" s="26" t="s">
        <v>1566</v>
      </c>
      <c r="N1231" s="26" t="s">
        <v>1566</v>
      </c>
      <c r="O1231" s="26" t="s">
        <v>2146</v>
      </c>
      <c r="P1231" s="26" t="s">
        <v>616</v>
      </c>
      <c r="Q1231" s="26">
        <v>0.0</v>
      </c>
    </row>
    <row r="1232" ht="17.25" customHeight="1">
      <c r="A1232" s="51">
        <v>46133.55568971064</v>
      </c>
      <c r="B1232" s="25" t="s">
        <v>971</v>
      </c>
      <c r="C1232" s="55" t="s">
        <v>1892</v>
      </c>
      <c r="D1232" s="111">
        <v>46132.0</v>
      </c>
      <c r="E1232" s="52">
        <v>2.0</v>
      </c>
      <c r="F1232" s="55" t="s">
        <v>1673</v>
      </c>
      <c r="G1232" s="26"/>
      <c r="H1232" s="26"/>
      <c r="I1232" s="26" t="s">
        <v>972</v>
      </c>
      <c r="J1232" s="26" t="s">
        <v>1821</v>
      </c>
      <c r="K1232" s="26" t="s">
        <v>1822</v>
      </c>
      <c r="L1232" s="26" t="s">
        <v>1995</v>
      </c>
      <c r="M1232" s="26" t="s">
        <v>1566</v>
      </c>
      <c r="N1232" s="26" t="s">
        <v>1566</v>
      </c>
      <c r="O1232" s="26" t="s">
        <v>1997</v>
      </c>
      <c r="P1232" s="26" t="s">
        <v>661</v>
      </c>
      <c r="Q1232" s="26">
        <v>6.0</v>
      </c>
    </row>
    <row r="1233" ht="17.25" customHeight="1">
      <c r="A1233" s="51">
        <v>46133.53355944445</v>
      </c>
      <c r="B1233" s="25" t="s">
        <v>437</v>
      </c>
      <c r="C1233" s="55" t="s">
        <v>1892</v>
      </c>
      <c r="D1233" s="51">
        <v>46133.53355944445</v>
      </c>
      <c r="E1233" s="52">
        <v>2.0</v>
      </c>
      <c r="F1233" s="55" t="s">
        <v>2169</v>
      </c>
      <c r="G1233" s="26"/>
      <c r="H1233" s="26"/>
      <c r="I1233" s="26" t="s">
        <v>438</v>
      </c>
      <c r="J1233" s="26" t="s">
        <v>1674</v>
      </c>
      <c r="K1233" s="26" t="s">
        <v>1691</v>
      </c>
      <c r="L1233" s="26" t="s">
        <v>1566</v>
      </c>
      <c r="M1233" s="26" t="s">
        <v>1566</v>
      </c>
      <c r="N1233" s="26" t="s">
        <v>1721</v>
      </c>
      <c r="O1233" s="26" t="s">
        <v>1677</v>
      </c>
      <c r="P1233" s="26" t="s">
        <v>290</v>
      </c>
      <c r="Q1233" s="26">
        <v>5.0</v>
      </c>
    </row>
    <row r="1234" ht="17.25" customHeight="1">
      <c r="A1234" s="51">
        <v>46133.54634912037</v>
      </c>
      <c r="B1234" s="23" t="s">
        <v>301</v>
      </c>
      <c r="C1234" s="55" t="s">
        <v>1892</v>
      </c>
      <c r="D1234" s="51">
        <v>46133.54634912037</v>
      </c>
      <c r="E1234" s="52">
        <v>15.0</v>
      </c>
      <c r="F1234" s="55" t="s">
        <v>2169</v>
      </c>
      <c r="G1234" s="26"/>
      <c r="H1234" s="26"/>
      <c r="I1234" s="26" t="s">
        <v>302</v>
      </c>
      <c r="J1234" s="26" t="s">
        <v>1830</v>
      </c>
      <c r="K1234" s="26" t="s">
        <v>302</v>
      </c>
      <c r="L1234" s="26" t="s">
        <v>1566</v>
      </c>
      <c r="M1234" s="26" t="s">
        <v>1566</v>
      </c>
      <c r="N1234" s="26" t="s">
        <v>1566</v>
      </c>
      <c r="O1234" s="26" t="s">
        <v>1566</v>
      </c>
      <c r="P1234" s="26" t="s">
        <v>661</v>
      </c>
      <c r="Q1234" s="26">
        <v>580.0</v>
      </c>
    </row>
    <row r="1235" ht="17.25" customHeight="1">
      <c r="A1235" s="51">
        <v>46133.546574050924</v>
      </c>
      <c r="B1235" s="25" t="s">
        <v>876</v>
      </c>
      <c r="C1235" s="55" t="s">
        <v>1892</v>
      </c>
      <c r="D1235" s="51">
        <v>46133.54634912037</v>
      </c>
      <c r="E1235" s="52">
        <v>4.0</v>
      </c>
      <c r="F1235" s="55" t="s">
        <v>1907</v>
      </c>
      <c r="G1235" s="26"/>
      <c r="H1235" s="26"/>
      <c r="I1235" s="26" t="s">
        <v>878</v>
      </c>
      <c r="J1235" s="26" t="s">
        <v>1830</v>
      </c>
      <c r="K1235" s="26" t="s">
        <v>1879</v>
      </c>
      <c r="L1235" s="26" t="s">
        <v>1566</v>
      </c>
      <c r="M1235" s="26" t="s">
        <v>1566</v>
      </c>
      <c r="N1235" s="26" t="s">
        <v>1566</v>
      </c>
      <c r="O1235" s="26" t="s">
        <v>1566</v>
      </c>
      <c r="P1235" s="26" t="s">
        <v>643</v>
      </c>
      <c r="Q1235" s="26">
        <v>34.0</v>
      </c>
    </row>
    <row r="1236" ht="17.25" customHeight="1">
      <c r="A1236" s="51">
        <v>46133.54727034722</v>
      </c>
      <c r="B1236" s="25" t="s">
        <v>179</v>
      </c>
      <c r="C1236" s="55" t="s">
        <v>1892</v>
      </c>
      <c r="D1236" s="51">
        <v>46133.54634912037</v>
      </c>
      <c r="E1236" s="52">
        <v>576.0</v>
      </c>
      <c r="F1236" s="55" t="s">
        <v>1561</v>
      </c>
      <c r="G1236" s="55" t="s">
        <v>2252</v>
      </c>
      <c r="H1236" s="26"/>
      <c r="I1236" s="26" t="s">
        <v>180</v>
      </c>
      <c r="J1236" s="26" t="s">
        <v>1225</v>
      </c>
      <c r="K1236" s="26" t="s">
        <v>1653</v>
      </c>
      <c r="L1236" s="26" t="s">
        <v>1563</v>
      </c>
      <c r="M1236" s="26" t="s">
        <v>1572</v>
      </c>
      <c r="N1236" s="26" t="s">
        <v>1654</v>
      </c>
      <c r="O1236" s="26" t="s">
        <v>1566</v>
      </c>
      <c r="P1236" s="26" t="s">
        <v>22</v>
      </c>
      <c r="Q1236" s="26">
        <v>0.0</v>
      </c>
    </row>
    <row r="1237" ht="17.25" customHeight="1">
      <c r="A1237" s="51">
        <v>46133.548006666664</v>
      </c>
      <c r="B1237" s="25" t="s">
        <v>913</v>
      </c>
      <c r="C1237" s="55" t="s">
        <v>1892</v>
      </c>
      <c r="D1237" s="51">
        <v>46133.54634912037</v>
      </c>
      <c r="E1237" s="52">
        <v>300.0</v>
      </c>
      <c r="F1237" s="55" t="s">
        <v>1561</v>
      </c>
      <c r="G1237" s="55">
        <v>753.0</v>
      </c>
      <c r="H1237" s="26"/>
      <c r="I1237" s="26" t="s">
        <v>915</v>
      </c>
      <c r="J1237" s="26" t="s">
        <v>1225</v>
      </c>
      <c r="K1237" s="26" t="s">
        <v>1562</v>
      </c>
      <c r="L1237" s="26" t="s">
        <v>1633</v>
      </c>
      <c r="M1237" s="26" t="s">
        <v>1564</v>
      </c>
      <c r="N1237" s="26" t="s">
        <v>1571</v>
      </c>
      <c r="O1237" s="26" t="s">
        <v>1566</v>
      </c>
      <c r="P1237" s="26" t="s">
        <v>22</v>
      </c>
      <c r="Q1237" s="26">
        <v>0.0</v>
      </c>
    </row>
    <row r="1238">
      <c r="A1238" s="3">
        <v>46133.556326770835</v>
      </c>
      <c r="B1238" s="25" t="s">
        <v>971</v>
      </c>
      <c r="C1238" s="55" t="s">
        <v>1892</v>
      </c>
      <c r="D1238" s="51">
        <v>46133.54634912037</v>
      </c>
      <c r="E1238" s="2">
        <v>1.0</v>
      </c>
      <c r="F1238" s="2" t="s">
        <v>2253</v>
      </c>
      <c r="I1238" s="25" t="s">
        <v>972</v>
      </c>
      <c r="J1238" s="25" t="s">
        <v>1821</v>
      </c>
      <c r="K1238" s="25" t="s">
        <v>1822</v>
      </c>
      <c r="L1238" s="25" t="s">
        <v>1995</v>
      </c>
      <c r="M1238" s="25" t="s">
        <v>1566</v>
      </c>
      <c r="N1238" s="25" t="s">
        <v>1566</v>
      </c>
      <c r="O1238" s="25" t="s">
        <v>1997</v>
      </c>
      <c r="P1238" s="25" t="s">
        <v>661</v>
      </c>
      <c r="Q1238" s="25">
        <v>6.0</v>
      </c>
    </row>
    <row r="1239">
      <c r="A1239" s="3">
        <v>46133.69004449074</v>
      </c>
      <c r="B1239" s="25" t="s">
        <v>876</v>
      </c>
      <c r="C1239" s="55" t="s">
        <v>1892</v>
      </c>
      <c r="D1239" s="51">
        <v>46133.54634912037</v>
      </c>
      <c r="E1239" s="2">
        <v>2.0</v>
      </c>
      <c r="F1239" s="55" t="s">
        <v>1907</v>
      </c>
      <c r="I1239" s="25" t="s">
        <v>878</v>
      </c>
      <c r="J1239" s="25" t="s">
        <v>1830</v>
      </c>
      <c r="K1239" s="25" t="s">
        <v>1879</v>
      </c>
      <c r="L1239" s="25" t="s">
        <v>1566</v>
      </c>
      <c r="M1239" s="25" t="s">
        <v>1566</v>
      </c>
      <c r="N1239" s="25" t="s">
        <v>1566</v>
      </c>
      <c r="O1239" s="25" t="s">
        <v>1566</v>
      </c>
      <c r="P1239" s="25" t="s">
        <v>643</v>
      </c>
      <c r="Q1239" s="25">
        <v>34.0</v>
      </c>
    </row>
    <row r="1240">
      <c r="A1240" s="3">
        <v>46133.69140322917</v>
      </c>
      <c r="B1240" s="25" t="s">
        <v>1039</v>
      </c>
      <c r="C1240" s="55" t="s">
        <v>1892</v>
      </c>
      <c r="D1240" s="51">
        <v>46133.54634912037</v>
      </c>
      <c r="E1240" s="2">
        <v>2.0</v>
      </c>
      <c r="F1240" s="2" t="s">
        <v>2124</v>
      </c>
      <c r="I1240" s="25" t="s">
        <v>1040</v>
      </c>
      <c r="J1240" s="25" t="s">
        <v>1830</v>
      </c>
      <c r="K1240" s="25" t="s">
        <v>1833</v>
      </c>
      <c r="L1240" s="25" t="s">
        <v>1566</v>
      </c>
      <c r="M1240" s="25" t="s">
        <v>1566</v>
      </c>
      <c r="N1240" s="25" t="s">
        <v>1566</v>
      </c>
      <c r="O1240" s="25" t="s">
        <v>1566</v>
      </c>
      <c r="P1240" s="25" t="s">
        <v>643</v>
      </c>
      <c r="Q1240" s="25">
        <v>6.0</v>
      </c>
    </row>
    <row r="1241">
      <c r="A1241" s="3">
        <v>46133.69153252315</v>
      </c>
      <c r="B1241" s="25" t="s">
        <v>1039</v>
      </c>
      <c r="C1241" s="55" t="s">
        <v>1560</v>
      </c>
      <c r="D1241" s="51">
        <v>46133.54634912037</v>
      </c>
      <c r="E1241" s="2">
        <v>5.0</v>
      </c>
      <c r="F1241" s="2" t="s">
        <v>1673</v>
      </c>
      <c r="I1241" s="25" t="s">
        <v>1040</v>
      </c>
      <c r="J1241" s="25" t="s">
        <v>1830</v>
      </c>
      <c r="K1241" s="25" t="s">
        <v>1833</v>
      </c>
      <c r="L1241" s="25" t="s">
        <v>1566</v>
      </c>
      <c r="M1241" s="25" t="s">
        <v>1566</v>
      </c>
      <c r="N1241" s="25" t="s">
        <v>1566</v>
      </c>
      <c r="O1241" s="25" t="s">
        <v>1566</v>
      </c>
      <c r="P1241" s="25" t="s">
        <v>643</v>
      </c>
      <c r="Q1241" s="25">
        <v>6.0</v>
      </c>
    </row>
    <row r="1242" ht="17.25" customHeight="1">
      <c r="A1242" s="51">
        <v>46133.69188951389</v>
      </c>
      <c r="B1242" s="25" t="s">
        <v>304</v>
      </c>
      <c r="C1242" s="55" t="s">
        <v>1892</v>
      </c>
      <c r="D1242" s="51">
        <v>46133.54634912037</v>
      </c>
      <c r="E1242" s="52">
        <v>2.0</v>
      </c>
      <c r="F1242" s="55" t="s">
        <v>2124</v>
      </c>
      <c r="G1242" s="26"/>
      <c r="H1242" s="26"/>
      <c r="I1242" s="26" t="s">
        <v>306</v>
      </c>
      <c r="J1242" s="26" t="s">
        <v>1674</v>
      </c>
      <c r="K1242" s="26" t="s">
        <v>1675</v>
      </c>
      <c r="L1242" s="26" t="s">
        <v>1566</v>
      </c>
      <c r="M1242" s="26" t="s">
        <v>1566</v>
      </c>
      <c r="N1242" s="26" t="s">
        <v>1682</v>
      </c>
      <c r="O1242" s="26" t="s">
        <v>1677</v>
      </c>
      <c r="P1242" s="26" t="s">
        <v>290</v>
      </c>
      <c r="Q1242" s="26">
        <v>6.0</v>
      </c>
    </row>
    <row r="1243" ht="17.25" customHeight="1">
      <c r="A1243" s="51">
        <v>46133.79368054398</v>
      </c>
      <c r="B1243" s="25" t="s">
        <v>308</v>
      </c>
      <c r="C1243" s="55" t="s">
        <v>1892</v>
      </c>
      <c r="D1243" s="51">
        <v>46133.54634912037</v>
      </c>
      <c r="E1243" s="52">
        <v>2200.0</v>
      </c>
      <c r="F1243" s="55" t="s">
        <v>2186</v>
      </c>
      <c r="G1243" s="55">
        <v>754.0</v>
      </c>
      <c r="H1243" s="26"/>
      <c r="I1243" s="26" t="s">
        <v>309</v>
      </c>
      <c r="J1243" s="26" t="s">
        <v>1225</v>
      </c>
      <c r="K1243" s="26" t="s">
        <v>1562</v>
      </c>
      <c r="L1243" s="26" t="s">
        <v>1563</v>
      </c>
      <c r="M1243" s="26" t="s">
        <v>1574</v>
      </c>
      <c r="N1243" s="26" t="s">
        <v>1566</v>
      </c>
      <c r="O1243" s="26" t="s">
        <v>1566</v>
      </c>
      <c r="P1243" s="26" t="s">
        <v>22</v>
      </c>
      <c r="Q1243" s="26">
        <v>0.0</v>
      </c>
    </row>
    <row r="1244" ht="17.25" customHeight="1">
      <c r="A1244" s="51">
        <v>46133.79414315972</v>
      </c>
      <c r="B1244" s="25" t="s">
        <v>710</v>
      </c>
      <c r="C1244" s="55" t="s">
        <v>1560</v>
      </c>
      <c r="D1244" s="51">
        <v>46133.54634912037</v>
      </c>
      <c r="E1244" s="52">
        <v>50.0</v>
      </c>
      <c r="F1244" s="55" t="s">
        <v>1673</v>
      </c>
      <c r="G1244" s="26"/>
      <c r="H1244" s="26"/>
      <c r="I1244" s="26" t="s">
        <v>711</v>
      </c>
      <c r="J1244" s="26" t="s">
        <v>1821</v>
      </c>
      <c r="K1244" s="26" t="s">
        <v>1821</v>
      </c>
      <c r="L1244" s="26" t="s">
        <v>1566</v>
      </c>
      <c r="M1244" s="26" t="s">
        <v>1566</v>
      </c>
      <c r="N1244" s="26" t="s">
        <v>1566</v>
      </c>
      <c r="O1244" s="26" t="s">
        <v>1566</v>
      </c>
      <c r="P1244" s="26" t="s">
        <v>290</v>
      </c>
      <c r="Q1244" s="26">
        <v>50.0</v>
      </c>
    </row>
    <row r="1245" ht="17.25" customHeight="1">
      <c r="A1245" s="51">
        <v>46135.45332259259</v>
      </c>
      <c r="B1245" s="25" t="s">
        <v>21</v>
      </c>
      <c r="C1245" s="55" t="s">
        <v>1892</v>
      </c>
      <c r="D1245" s="51">
        <v>46133.54634912037</v>
      </c>
      <c r="E1245" s="52">
        <v>20.0</v>
      </c>
      <c r="F1245" s="55" t="s">
        <v>2254</v>
      </c>
      <c r="G1245" s="26"/>
      <c r="H1245" s="26"/>
      <c r="I1245" s="26" t="s">
        <v>23</v>
      </c>
      <c r="J1245" s="26" t="s">
        <v>1812</v>
      </c>
      <c r="K1245" s="26" t="s">
        <v>1815</v>
      </c>
      <c r="L1245" s="26" t="s">
        <v>1566</v>
      </c>
      <c r="M1245" s="26" t="s">
        <v>1566</v>
      </c>
      <c r="N1245" s="26" t="s">
        <v>1566</v>
      </c>
      <c r="O1245" s="26" t="s">
        <v>1818</v>
      </c>
      <c r="P1245" s="26" t="s">
        <v>616</v>
      </c>
      <c r="Q1245" s="26">
        <v>20.0</v>
      </c>
    </row>
    <row r="1246" ht="17.25" customHeight="1">
      <c r="A1246" s="51">
        <v>46135.45348023148</v>
      </c>
      <c r="B1246" s="25" t="s">
        <v>21</v>
      </c>
      <c r="C1246" s="55" t="s">
        <v>1560</v>
      </c>
      <c r="D1246" s="51">
        <v>46133.54634912037</v>
      </c>
      <c r="E1246" s="52">
        <v>40.0</v>
      </c>
      <c r="F1246" s="26"/>
      <c r="G1246" s="26"/>
      <c r="H1246" s="26"/>
      <c r="I1246" s="26" t="s">
        <v>23</v>
      </c>
      <c r="J1246" s="26" t="s">
        <v>1812</v>
      </c>
      <c r="K1246" s="26" t="s">
        <v>1815</v>
      </c>
      <c r="L1246" s="26" t="s">
        <v>1566</v>
      </c>
      <c r="M1246" s="26" t="s">
        <v>1566</v>
      </c>
      <c r="N1246" s="26" t="s">
        <v>1566</v>
      </c>
      <c r="O1246" s="26" t="s">
        <v>1818</v>
      </c>
      <c r="P1246" s="26" t="s">
        <v>616</v>
      </c>
      <c r="Q1246" s="26">
        <v>20.0</v>
      </c>
    </row>
    <row r="1247" ht="17.25" customHeight="1">
      <c r="A1247" s="51">
        <v>46135.61422498843</v>
      </c>
      <c r="B1247" s="25" t="s">
        <v>1559</v>
      </c>
      <c r="C1247" s="55" t="s">
        <v>1892</v>
      </c>
      <c r="D1247" s="51">
        <v>46133.54634912037</v>
      </c>
      <c r="E1247" s="52">
        <v>1100.0</v>
      </c>
      <c r="F1247" s="26"/>
      <c r="G1247" s="55" t="s">
        <v>2255</v>
      </c>
      <c r="H1247" s="26"/>
      <c r="I1247" s="26" t="s">
        <v>1672</v>
      </c>
      <c r="J1247" s="26" t="s">
        <v>1225</v>
      </c>
      <c r="K1247" s="26" t="s">
        <v>1562</v>
      </c>
      <c r="L1247" s="26" t="s">
        <v>1563</v>
      </c>
      <c r="M1247" s="26" t="s">
        <v>1564</v>
      </c>
      <c r="N1247" s="26" t="s">
        <v>1565</v>
      </c>
      <c r="O1247" s="26" t="s">
        <v>1566</v>
      </c>
      <c r="P1247" s="26" t="s">
        <v>22</v>
      </c>
      <c r="Q1247" s="26">
        <v>0.0</v>
      </c>
    </row>
    <row r="1248" ht="17.25" customHeight="1">
      <c r="A1248" s="51">
        <v>46135.61507976852</v>
      </c>
      <c r="B1248" s="25" t="s">
        <v>573</v>
      </c>
      <c r="C1248" s="55" t="s">
        <v>1892</v>
      </c>
      <c r="D1248" s="51">
        <v>46133.54634912037</v>
      </c>
      <c r="E1248" s="52">
        <v>900.0</v>
      </c>
      <c r="F1248" s="55" t="s">
        <v>2169</v>
      </c>
      <c r="G1248" s="2">
        <v>727.0</v>
      </c>
      <c r="H1248" s="26"/>
      <c r="I1248" s="26" t="s">
        <v>575</v>
      </c>
      <c r="J1248" s="26" t="s">
        <v>1225</v>
      </c>
      <c r="K1248" s="26" t="s">
        <v>1562</v>
      </c>
      <c r="L1248" s="26" t="s">
        <v>1587</v>
      </c>
      <c r="M1248" s="26" t="s">
        <v>1564</v>
      </c>
      <c r="N1248" s="26" t="s">
        <v>1571</v>
      </c>
      <c r="O1248" s="26" t="s">
        <v>1566</v>
      </c>
      <c r="P1248" s="26" t="s">
        <v>22</v>
      </c>
      <c r="Q1248" s="26">
        <v>0.0</v>
      </c>
    </row>
    <row r="1249" ht="17.25" customHeight="1">
      <c r="A1249" s="51">
        <v>46135.66768273148</v>
      </c>
      <c r="B1249" s="25" t="s">
        <v>1938</v>
      </c>
      <c r="C1249" s="55" t="s">
        <v>1892</v>
      </c>
      <c r="D1249" s="111">
        <v>46127.0</v>
      </c>
      <c r="E1249" s="52">
        <v>200.0</v>
      </c>
      <c r="F1249" s="55" t="s">
        <v>2169</v>
      </c>
      <c r="G1249" s="55">
        <v>730.0</v>
      </c>
      <c r="H1249" s="26"/>
      <c r="I1249" s="26" t="s">
        <v>1939</v>
      </c>
      <c r="J1249" s="26" t="s">
        <v>1225</v>
      </c>
      <c r="K1249" s="26" t="s">
        <v>1642</v>
      </c>
      <c r="L1249" s="26" t="s">
        <v>1563</v>
      </c>
      <c r="M1249" s="26" t="s">
        <v>1622</v>
      </c>
      <c r="N1249" s="26" t="s">
        <v>1566</v>
      </c>
      <c r="O1249" s="26" t="s">
        <v>1566</v>
      </c>
      <c r="P1249" s="26" t="s">
        <v>22</v>
      </c>
      <c r="Q1249" s="26">
        <v>0.0</v>
      </c>
    </row>
    <row r="1250" ht="17.25" customHeight="1">
      <c r="A1250" s="51">
        <v>46135.6680278125</v>
      </c>
      <c r="B1250" s="25" t="s">
        <v>21</v>
      </c>
      <c r="C1250" s="55" t="s">
        <v>1892</v>
      </c>
      <c r="D1250" s="51">
        <v>46135.6680278125</v>
      </c>
      <c r="E1250" s="196">
        <v>20.0</v>
      </c>
      <c r="F1250" s="55" t="s">
        <v>2169</v>
      </c>
      <c r="G1250" s="26"/>
      <c r="H1250" s="26"/>
      <c r="I1250" s="26" t="s">
        <v>23</v>
      </c>
      <c r="J1250" s="26" t="s">
        <v>1812</v>
      </c>
      <c r="K1250" s="26" t="s">
        <v>1815</v>
      </c>
      <c r="L1250" s="26" t="s">
        <v>1566</v>
      </c>
      <c r="M1250" s="26" t="s">
        <v>1566</v>
      </c>
      <c r="N1250" s="26" t="s">
        <v>1566</v>
      </c>
      <c r="O1250" s="26" t="s">
        <v>1818</v>
      </c>
      <c r="P1250" s="26" t="s">
        <v>616</v>
      </c>
      <c r="Q1250" s="26">
        <v>20.0</v>
      </c>
    </row>
    <row r="1251" ht="17.25" customHeight="1">
      <c r="A1251" s="51">
        <v>46135.66809225694</v>
      </c>
      <c r="B1251" s="23" t="s">
        <v>301</v>
      </c>
      <c r="C1251" s="55" t="s">
        <v>1892</v>
      </c>
      <c r="D1251" s="51">
        <v>46135.6680278125</v>
      </c>
      <c r="E1251" s="52">
        <v>15.0</v>
      </c>
      <c r="F1251" s="55" t="s">
        <v>2169</v>
      </c>
      <c r="G1251" s="26"/>
      <c r="H1251" s="26"/>
      <c r="I1251" s="26" t="s">
        <v>302</v>
      </c>
      <c r="J1251" s="26" t="s">
        <v>1830</v>
      </c>
      <c r="K1251" s="26" t="s">
        <v>302</v>
      </c>
      <c r="L1251" s="26" t="s">
        <v>1566</v>
      </c>
      <c r="M1251" s="26" t="s">
        <v>1566</v>
      </c>
      <c r="N1251" s="26" t="s">
        <v>1566</v>
      </c>
      <c r="O1251" s="26" t="s">
        <v>1566</v>
      </c>
      <c r="P1251" s="26" t="s">
        <v>661</v>
      </c>
      <c r="Q1251" s="26">
        <v>580.0</v>
      </c>
    </row>
    <row r="1252" ht="17.25" customHeight="1">
      <c r="A1252" s="51">
        <v>46135.66809118056</v>
      </c>
      <c r="B1252" s="23" t="s">
        <v>301</v>
      </c>
      <c r="C1252" s="55" t="s">
        <v>1892</v>
      </c>
      <c r="D1252" s="51">
        <v>46135.6680278125</v>
      </c>
      <c r="E1252" s="52">
        <v>10.0</v>
      </c>
      <c r="F1252" s="55" t="s">
        <v>2026</v>
      </c>
      <c r="G1252" s="26"/>
      <c r="H1252" s="26"/>
      <c r="I1252" s="26" t="s">
        <v>302</v>
      </c>
      <c r="J1252" s="26" t="s">
        <v>1830</v>
      </c>
      <c r="K1252" s="26" t="s">
        <v>302</v>
      </c>
      <c r="L1252" s="26" t="s">
        <v>1566</v>
      </c>
      <c r="M1252" s="26" t="s">
        <v>1566</v>
      </c>
      <c r="N1252" s="26" t="s">
        <v>1566</v>
      </c>
      <c r="O1252" s="26" t="s">
        <v>1566</v>
      </c>
      <c r="P1252" s="26" t="s">
        <v>661</v>
      </c>
      <c r="Q1252" s="26">
        <v>580.0</v>
      </c>
    </row>
    <row r="1253" ht="17.25" customHeight="1">
      <c r="A1253" s="51">
        <v>46135.668680625</v>
      </c>
      <c r="B1253" s="25" t="s">
        <v>1375</v>
      </c>
      <c r="C1253" s="55" t="s">
        <v>1892</v>
      </c>
      <c r="D1253" s="51">
        <v>46135.6680278125</v>
      </c>
      <c r="E1253" s="52">
        <v>0.42</v>
      </c>
      <c r="F1253" s="55" t="s">
        <v>2026</v>
      </c>
      <c r="G1253" s="26"/>
      <c r="H1253" s="26"/>
      <c r="I1253" s="26" t="s">
        <v>1376</v>
      </c>
      <c r="J1253" s="26" t="s">
        <v>1812</v>
      </c>
      <c r="K1253" s="26" t="s">
        <v>1815</v>
      </c>
      <c r="L1253" s="26" t="s">
        <v>1566</v>
      </c>
      <c r="M1253" s="26" t="s">
        <v>1566</v>
      </c>
      <c r="N1253" s="26" t="s">
        <v>1566</v>
      </c>
      <c r="O1253" s="26" t="s">
        <v>2146</v>
      </c>
      <c r="P1253" s="26" t="s">
        <v>616</v>
      </c>
      <c r="Q1253" s="26">
        <v>0.0</v>
      </c>
    </row>
    <row r="1254" ht="17.25" customHeight="1">
      <c r="A1254" s="51">
        <v>46135.670602812505</v>
      </c>
      <c r="B1254" s="25" t="s">
        <v>32</v>
      </c>
      <c r="C1254" s="55" t="s">
        <v>1560</v>
      </c>
      <c r="D1254" s="111">
        <v>46134.0</v>
      </c>
      <c r="E1254" s="52">
        <v>3.0</v>
      </c>
      <c r="F1254" s="55" t="s">
        <v>1673</v>
      </c>
      <c r="G1254" s="26"/>
      <c r="H1254" s="26"/>
      <c r="I1254" s="26" t="s">
        <v>34</v>
      </c>
      <c r="J1254" s="26" t="s">
        <v>1807</v>
      </c>
      <c r="K1254" s="26" t="s">
        <v>1807</v>
      </c>
      <c r="L1254" s="26" t="s">
        <v>1566</v>
      </c>
      <c r="M1254" s="26" t="s">
        <v>1566</v>
      </c>
      <c r="N1254" s="26" t="s">
        <v>1566</v>
      </c>
      <c r="O1254" s="26" t="s">
        <v>1808</v>
      </c>
      <c r="P1254" s="26" t="s">
        <v>290</v>
      </c>
      <c r="Q1254" s="26">
        <v>7.0</v>
      </c>
    </row>
    <row r="1255" ht="17.25" customHeight="1">
      <c r="A1255" s="51">
        <v>46135.67147780093</v>
      </c>
      <c r="B1255" s="25" t="s">
        <v>901</v>
      </c>
      <c r="C1255" s="55" t="s">
        <v>1560</v>
      </c>
      <c r="D1255" s="111">
        <v>46134.0</v>
      </c>
      <c r="E1255" s="52">
        <v>20.0</v>
      </c>
      <c r="F1255" s="55" t="s">
        <v>1673</v>
      </c>
      <c r="G1255" s="26"/>
      <c r="H1255" s="26"/>
      <c r="I1255" s="26" t="s">
        <v>904</v>
      </c>
      <c r="J1255" s="26" t="s">
        <v>1807</v>
      </c>
      <c r="K1255" s="26" t="s">
        <v>1807</v>
      </c>
      <c r="L1255" s="26" t="s">
        <v>1566</v>
      </c>
      <c r="M1255" s="26" t="s">
        <v>1566</v>
      </c>
      <c r="N1255" s="26" t="s">
        <v>1566</v>
      </c>
      <c r="O1255" s="26" t="s">
        <v>1808</v>
      </c>
      <c r="P1255" s="26" t="s">
        <v>290</v>
      </c>
      <c r="Q1255" s="26">
        <v>20.0</v>
      </c>
    </row>
    <row r="1256" ht="17.25" customHeight="1">
      <c r="A1256" s="51">
        <v>46135.67186501157</v>
      </c>
      <c r="B1256" s="25" t="s">
        <v>32</v>
      </c>
      <c r="C1256" s="55" t="s">
        <v>1892</v>
      </c>
      <c r="D1256" s="51">
        <v>46135.67186501157</v>
      </c>
      <c r="E1256" s="52">
        <v>1.0</v>
      </c>
      <c r="F1256" s="55" t="s">
        <v>2075</v>
      </c>
      <c r="G1256" s="26"/>
      <c r="H1256" s="26"/>
      <c r="I1256" s="26" t="s">
        <v>34</v>
      </c>
      <c r="J1256" s="26" t="s">
        <v>1807</v>
      </c>
      <c r="K1256" s="26" t="s">
        <v>1807</v>
      </c>
      <c r="L1256" s="26" t="s">
        <v>1566</v>
      </c>
      <c r="M1256" s="26" t="s">
        <v>1566</v>
      </c>
      <c r="N1256" s="26" t="s">
        <v>1566</v>
      </c>
      <c r="O1256" s="26" t="s">
        <v>1808</v>
      </c>
      <c r="P1256" s="26" t="s">
        <v>290</v>
      </c>
      <c r="Q1256" s="26">
        <v>7.0</v>
      </c>
    </row>
    <row r="1257" ht="17.25" customHeight="1">
      <c r="A1257" s="51">
        <v>46135.672914490744</v>
      </c>
      <c r="B1257" s="23" t="s">
        <v>301</v>
      </c>
      <c r="C1257" s="55" t="s">
        <v>1892</v>
      </c>
      <c r="D1257" s="51">
        <v>46135.67186501157</v>
      </c>
      <c r="E1257" s="52">
        <v>20.0</v>
      </c>
      <c r="F1257" s="55" t="s">
        <v>2124</v>
      </c>
      <c r="G1257" s="26"/>
      <c r="H1257" s="26"/>
      <c r="I1257" s="26" t="s">
        <v>302</v>
      </c>
      <c r="J1257" s="26" t="s">
        <v>1830</v>
      </c>
      <c r="K1257" s="26" t="s">
        <v>302</v>
      </c>
      <c r="L1257" s="26" t="s">
        <v>1566</v>
      </c>
      <c r="M1257" s="26" t="s">
        <v>1566</v>
      </c>
      <c r="N1257" s="26" t="s">
        <v>1566</v>
      </c>
      <c r="O1257" s="26" t="s">
        <v>1566</v>
      </c>
      <c r="P1257" s="26" t="s">
        <v>661</v>
      </c>
      <c r="Q1257" s="26">
        <v>580.0</v>
      </c>
    </row>
    <row r="1258" ht="17.25" customHeight="1">
      <c r="A1258" s="51">
        <v>46135.674030625</v>
      </c>
      <c r="B1258" s="25" t="s">
        <v>484</v>
      </c>
      <c r="C1258" s="55" t="s">
        <v>1892</v>
      </c>
      <c r="D1258" s="51">
        <v>46135.67186501157</v>
      </c>
      <c r="E1258" s="52">
        <v>20.0</v>
      </c>
      <c r="F1258" s="55" t="s">
        <v>2026</v>
      </c>
      <c r="G1258" s="26"/>
      <c r="H1258" s="26"/>
      <c r="I1258" s="26" t="s">
        <v>636</v>
      </c>
      <c r="J1258" s="26" t="s">
        <v>1812</v>
      </c>
      <c r="K1258" s="26" t="s">
        <v>1813</v>
      </c>
      <c r="L1258" s="26" t="s">
        <v>1566</v>
      </c>
      <c r="M1258" s="26" t="s">
        <v>1566</v>
      </c>
      <c r="N1258" s="26" t="s">
        <v>1566</v>
      </c>
      <c r="O1258" s="26" t="s">
        <v>1836</v>
      </c>
      <c r="P1258" s="26" t="s">
        <v>290</v>
      </c>
      <c r="Q1258" s="26">
        <v>20.0</v>
      </c>
    </row>
    <row r="1259" ht="17.25" customHeight="1">
      <c r="A1259" s="51">
        <v>46139.43321886574</v>
      </c>
      <c r="B1259" s="25" t="s">
        <v>622</v>
      </c>
      <c r="C1259" s="55" t="s">
        <v>1892</v>
      </c>
      <c r="D1259" s="111">
        <v>46137.0</v>
      </c>
      <c r="E1259" s="52">
        <v>25.0</v>
      </c>
      <c r="F1259" s="55" t="s">
        <v>2169</v>
      </c>
      <c r="G1259" s="26"/>
      <c r="H1259" s="26"/>
      <c r="I1259" s="26" t="s">
        <v>623</v>
      </c>
      <c r="J1259" s="26" t="s">
        <v>1812</v>
      </c>
      <c r="K1259" s="26" t="s">
        <v>1815</v>
      </c>
      <c r="L1259" s="26" t="s">
        <v>1566</v>
      </c>
      <c r="M1259" s="26" t="s">
        <v>1566</v>
      </c>
      <c r="N1259" s="26" t="s">
        <v>1566</v>
      </c>
      <c r="O1259" s="26" t="s">
        <v>1817</v>
      </c>
      <c r="P1259" s="26" t="s">
        <v>616</v>
      </c>
      <c r="Q1259" s="26">
        <v>20.0</v>
      </c>
    </row>
    <row r="1260" ht="17.25" customHeight="1">
      <c r="A1260" s="51">
        <v>46139.434065277776</v>
      </c>
      <c r="B1260" s="25" t="s">
        <v>598</v>
      </c>
      <c r="C1260" s="55" t="s">
        <v>1892</v>
      </c>
      <c r="D1260" s="111">
        <v>46136.0</v>
      </c>
      <c r="E1260" s="52">
        <v>5.0</v>
      </c>
      <c r="F1260" s="55" t="s">
        <v>2169</v>
      </c>
      <c r="G1260" s="26"/>
      <c r="H1260" s="26"/>
      <c r="I1260" s="26" t="s">
        <v>604</v>
      </c>
      <c r="J1260" s="26" t="s">
        <v>1812</v>
      </c>
      <c r="K1260" s="26" t="s">
        <v>1815</v>
      </c>
      <c r="L1260" s="26" t="s">
        <v>1566</v>
      </c>
      <c r="M1260" s="26" t="s">
        <v>1566</v>
      </c>
      <c r="N1260" s="26" t="s">
        <v>1566</v>
      </c>
      <c r="O1260" s="26" t="s">
        <v>1812</v>
      </c>
      <c r="P1260" s="26" t="s">
        <v>616</v>
      </c>
      <c r="Q1260" s="26">
        <v>15.0</v>
      </c>
    </row>
    <row r="1261" ht="17.25" customHeight="1">
      <c r="A1261" s="51">
        <v>46139.434399247686</v>
      </c>
      <c r="B1261" s="25" t="s">
        <v>304</v>
      </c>
      <c r="C1261" s="55" t="s">
        <v>1892</v>
      </c>
      <c r="D1261" s="111">
        <v>46136.0</v>
      </c>
      <c r="E1261" s="52">
        <v>2.0</v>
      </c>
      <c r="F1261" s="55" t="s">
        <v>2169</v>
      </c>
      <c r="G1261" s="26"/>
      <c r="H1261" s="26"/>
      <c r="I1261" s="26" t="s">
        <v>306</v>
      </c>
      <c r="J1261" s="26" t="s">
        <v>1674</v>
      </c>
      <c r="K1261" s="26" t="s">
        <v>1675</v>
      </c>
      <c r="L1261" s="26" t="s">
        <v>1566</v>
      </c>
      <c r="M1261" s="26" t="s">
        <v>1566</v>
      </c>
      <c r="N1261" s="26" t="s">
        <v>1682</v>
      </c>
      <c r="O1261" s="26" t="s">
        <v>1677</v>
      </c>
      <c r="P1261" s="26" t="s">
        <v>290</v>
      </c>
      <c r="Q1261" s="26">
        <v>6.0</v>
      </c>
    </row>
    <row r="1262" ht="17.25" customHeight="1">
      <c r="A1262" s="51">
        <v>46139.480275497684</v>
      </c>
      <c r="B1262" s="23" t="s">
        <v>301</v>
      </c>
      <c r="C1262" s="55" t="s">
        <v>1892</v>
      </c>
      <c r="D1262" s="111">
        <v>46136.0</v>
      </c>
      <c r="E1262" s="52">
        <v>10.0</v>
      </c>
      <c r="F1262" s="55" t="s">
        <v>2124</v>
      </c>
      <c r="G1262" s="26"/>
      <c r="H1262" s="26"/>
      <c r="I1262" s="26" t="s">
        <v>302</v>
      </c>
      <c r="J1262" s="26" t="s">
        <v>1830</v>
      </c>
      <c r="K1262" s="26" t="s">
        <v>302</v>
      </c>
      <c r="L1262" s="26" t="s">
        <v>1566</v>
      </c>
      <c r="M1262" s="26" t="s">
        <v>1566</v>
      </c>
      <c r="N1262" s="26" t="s">
        <v>1566</v>
      </c>
      <c r="O1262" s="26" t="s">
        <v>1566</v>
      </c>
      <c r="P1262" s="26" t="s">
        <v>661</v>
      </c>
      <c r="Q1262" s="26">
        <v>580.0</v>
      </c>
    </row>
    <row r="1263" ht="17.25" customHeight="1">
      <c r="A1263" s="51">
        <v>46139.480274953705</v>
      </c>
      <c r="B1263" s="23" t="s">
        <v>301</v>
      </c>
      <c r="C1263" s="55" t="s">
        <v>1892</v>
      </c>
      <c r="D1263" s="111">
        <v>46136.0</v>
      </c>
      <c r="E1263" s="52">
        <v>6.0</v>
      </c>
      <c r="F1263" s="55" t="s">
        <v>630</v>
      </c>
      <c r="G1263" s="26"/>
      <c r="H1263" s="26"/>
      <c r="I1263" s="26" t="s">
        <v>302</v>
      </c>
      <c r="J1263" s="26" t="s">
        <v>1830</v>
      </c>
      <c r="K1263" s="26" t="s">
        <v>302</v>
      </c>
      <c r="L1263" s="26" t="s">
        <v>1566</v>
      </c>
      <c r="M1263" s="26" t="s">
        <v>1566</v>
      </c>
      <c r="N1263" s="26" t="s">
        <v>1566</v>
      </c>
      <c r="O1263" s="26" t="s">
        <v>1566</v>
      </c>
      <c r="P1263" s="26" t="s">
        <v>661</v>
      </c>
      <c r="Q1263" s="26">
        <v>580.0</v>
      </c>
    </row>
    <row r="1264" ht="17.25" customHeight="1">
      <c r="A1264" s="51">
        <v>46139.4804969213</v>
      </c>
      <c r="B1264" s="23" t="s">
        <v>301</v>
      </c>
      <c r="C1264" s="55" t="s">
        <v>1892</v>
      </c>
      <c r="D1264" s="51">
        <v>46139.4804969213</v>
      </c>
      <c r="E1264" s="52">
        <v>10.0</v>
      </c>
      <c r="F1264" s="55" t="s">
        <v>2256</v>
      </c>
      <c r="G1264" s="26"/>
      <c r="H1264" s="26"/>
      <c r="I1264" s="26" t="s">
        <v>302</v>
      </c>
      <c r="J1264" s="26" t="s">
        <v>1830</v>
      </c>
      <c r="K1264" s="26" t="s">
        <v>302</v>
      </c>
      <c r="L1264" s="26" t="s">
        <v>1566</v>
      </c>
      <c r="M1264" s="26" t="s">
        <v>1566</v>
      </c>
      <c r="N1264" s="26" t="s">
        <v>1566</v>
      </c>
      <c r="O1264" s="26" t="s">
        <v>1566</v>
      </c>
      <c r="P1264" s="26" t="s">
        <v>661</v>
      </c>
      <c r="Q1264" s="26">
        <v>580.0</v>
      </c>
    </row>
    <row r="1265" ht="17.25" customHeight="1">
      <c r="A1265" s="51">
        <v>46139.4804983912</v>
      </c>
      <c r="B1265" s="23" t="s">
        <v>301</v>
      </c>
      <c r="C1265" s="55" t="s">
        <v>1892</v>
      </c>
      <c r="D1265" s="51">
        <v>46139.4804969213</v>
      </c>
      <c r="E1265" s="52">
        <v>10.0</v>
      </c>
      <c r="F1265" s="55" t="s">
        <v>630</v>
      </c>
      <c r="G1265" s="26"/>
      <c r="H1265" s="26"/>
      <c r="I1265" s="26" t="s">
        <v>302</v>
      </c>
      <c r="J1265" s="26" t="s">
        <v>1830</v>
      </c>
      <c r="K1265" s="26" t="s">
        <v>302</v>
      </c>
      <c r="L1265" s="26" t="s">
        <v>1566</v>
      </c>
      <c r="M1265" s="26" t="s">
        <v>1566</v>
      </c>
      <c r="N1265" s="26" t="s">
        <v>1566</v>
      </c>
      <c r="O1265" s="26" t="s">
        <v>1566</v>
      </c>
      <c r="P1265" s="26" t="s">
        <v>661</v>
      </c>
      <c r="Q1265" s="26">
        <v>580.0</v>
      </c>
    </row>
    <row r="1266" ht="17.25" customHeight="1">
      <c r="A1266" s="51">
        <v>46139.480729131945</v>
      </c>
      <c r="B1266" s="25" t="s">
        <v>32</v>
      </c>
      <c r="C1266" s="55" t="s">
        <v>1892</v>
      </c>
      <c r="D1266" s="111">
        <v>46135.0</v>
      </c>
      <c r="E1266" s="52">
        <v>1.0</v>
      </c>
      <c r="F1266" s="55" t="s">
        <v>630</v>
      </c>
      <c r="G1266" s="26"/>
      <c r="H1266" s="26"/>
      <c r="I1266" s="26" t="s">
        <v>34</v>
      </c>
      <c r="J1266" s="26" t="s">
        <v>1807</v>
      </c>
      <c r="K1266" s="26" t="s">
        <v>1807</v>
      </c>
      <c r="L1266" s="26" t="s">
        <v>1566</v>
      </c>
      <c r="M1266" s="26" t="s">
        <v>1566</v>
      </c>
      <c r="N1266" s="26" t="s">
        <v>1566</v>
      </c>
      <c r="O1266" s="26" t="s">
        <v>1808</v>
      </c>
      <c r="P1266" s="26" t="s">
        <v>290</v>
      </c>
      <c r="Q1266" s="26">
        <v>7.0</v>
      </c>
    </row>
    <row r="1267" ht="17.25" customHeight="1">
      <c r="A1267" s="51">
        <v>46139.48109818287</v>
      </c>
      <c r="B1267" s="25" t="s">
        <v>32</v>
      </c>
      <c r="C1267" s="55" t="s">
        <v>1892</v>
      </c>
      <c r="D1267" s="111">
        <v>46137.0</v>
      </c>
      <c r="E1267" s="52">
        <v>2.0</v>
      </c>
      <c r="F1267" s="55" t="s">
        <v>630</v>
      </c>
      <c r="G1267" s="26"/>
      <c r="H1267" s="26"/>
      <c r="I1267" s="26" t="s">
        <v>34</v>
      </c>
      <c r="J1267" s="26" t="s">
        <v>1807</v>
      </c>
      <c r="K1267" s="26" t="s">
        <v>1807</v>
      </c>
      <c r="L1267" s="26" t="s">
        <v>1566</v>
      </c>
      <c r="M1267" s="26" t="s">
        <v>1566</v>
      </c>
      <c r="N1267" s="26" t="s">
        <v>1566</v>
      </c>
      <c r="O1267" s="26" t="s">
        <v>1808</v>
      </c>
      <c r="P1267" s="26" t="s">
        <v>290</v>
      </c>
      <c r="Q1267" s="26">
        <v>7.0</v>
      </c>
    </row>
    <row r="1268" ht="17.25" customHeight="1">
      <c r="A1268" s="51">
        <v>46139.48367560185</v>
      </c>
      <c r="B1268" s="25" t="s">
        <v>523</v>
      </c>
      <c r="C1268" s="55" t="s">
        <v>1892</v>
      </c>
      <c r="D1268" s="111">
        <v>46136.0</v>
      </c>
      <c r="E1268" s="52">
        <v>5.0</v>
      </c>
      <c r="F1268" s="55" t="s">
        <v>2124</v>
      </c>
      <c r="G1268" s="26"/>
      <c r="H1268" s="26"/>
      <c r="I1268" s="26" t="s">
        <v>528</v>
      </c>
      <c r="J1268" s="26" t="s">
        <v>1812</v>
      </c>
      <c r="K1268" s="26" t="s">
        <v>1815</v>
      </c>
      <c r="L1268" s="26" t="s">
        <v>1566</v>
      </c>
      <c r="M1268" s="26" t="s">
        <v>1566</v>
      </c>
      <c r="N1268" s="26" t="s">
        <v>1566</v>
      </c>
      <c r="O1268" s="26" t="s">
        <v>1837</v>
      </c>
      <c r="P1268" s="26" t="s">
        <v>616</v>
      </c>
      <c r="Q1268" s="26">
        <v>15.0</v>
      </c>
    </row>
    <row r="1269" ht="17.25" customHeight="1">
      <c r="A1269" s="51">
        <v>46139.484411956015</v>
      </c>
      <c r="B1269" s="197" t="s">
        <v>562</v>
      </c>
      <c r="C1269" s="55" t="s">
        <v>1892</v>
      </c>
      <c r="D1269" s="111">
        <v>46135.0</v>
      </c>
      <c r="E1269" s="52">
        <v>1.0</v>
      </c>
      <c r="F1269" s="55" t="s">
        <v>2124</v>
      </c>
      <c r="G1269" s="26"/>
      <c r="H1269" s="26"/>
      <c r="I1269" s="26" t="s">
        <v>567</v>
      </c>
      <c r="J1269" s="26" t="s">
        <v>1812</v>
      </c>
      <c r="K1269" s="26" t="s">
        <v>1815</v>
      </c>
      <c r="L1269" s="26" t="s">
        <v>1566</v>
      </c>
      <c r="M1269" s="26" t="s">
        <v>1566</v>
      </c>
      <c r="N1269" s="26" t="s">
        <v>1566</v>
      </c>
      <c r="O1269" s="26" t="s">
        <v>1838</v>
      </c>
      <c r="P1269" s="26" t="s">
        <v>616</v>
      </c>
      <c r="Q1269" s="26">
        <v>4.0</v>
      </c>
    </row>
    <row r="1270" ht="17.25" customHeight="1">
      <c r="A1270" s="51">
        <v>46139.52011967593</v>
      </c>
      <c r="B1270" s="25" t="s">
        <v>201</v>
      </c>
      <c r="C1270" s="55" t="s">
        <v>1892</v>
      </c>
      <c r="D1270" s="111">
        <v>46135.0</v>
      </c>
      <c r="E1270" s="52">
        <v>300.0</v>
      </c>
      <c r="F1270" s="55" t="s">
        <v>2124</v>
      </c>
      <c r="G1270" s="55" t="s">
        <v>2257</v>
      </c>
      <c r="H1270" s="26"/>
      <c r="I1270" s="26" t="s">
        <v>202</v>
      </c>
      <c r="J1270" s="26" t="s">
        <v>1225</v>
      </c>
      <c r="K1270" s="26" t="s">
        <v>1562</v>
      </c>
      <c r="L1270" s="26" t="s">
        <v>1573</v>
      </c>
      <c r="M1270" s="26" t="s">
        <v>1574</v>
      </c>
      <c r="N1270" s="26" t="s">
        <v>1566</v>
      </c>
      <c r="O1270" s="26" t="s">
        <v>1566</v>
      </c>
      <c r="P1270" s="26" t="s">
        <v>22</v>
      </c>
      <c r="Q1270" s="26">
        <v>600.0</v>
      </c>
    </row>
    <row r="1271" ht="17.25" customHeight="1">
      <c r="A1271" s="51">
        <v>46139.52054697917</v>
      </c>
      <c r="B1271" s="25" t="s">
        <v>347</v>
      </c>
      <c r="C1271" s="55" t="s">
        <v>1892</v>
      </c>
      <c r="D1271" s="111">
        <v>46135.0</v>
      </c>
      <c r="E1271" s="52">
        <v>400.0</v>
      </c>
      <c r="F1271" s="55" t="s">
        <v>2124</v>
      </c>
      <c r="G1271" s="55" t="s">
        <v>2258</v>
      </c>
      <c r="H1271" s="26"/>
      <c r="I1271" s="26" t="s">
        <v>349</v>
      </c>
      <c r="J1271" s="26" t="s">
        <v>1225</v>
      </c>
      <c r="K1271" s="26" t="s">
        <v>1562</v>
      </c>
      <c r="L1271" s="26" t="s">
        <v>1591</v>
      </c>
      <c r="M1271" s="26" t="s">
        <v>1564</v>
      </c>
      <c r="N1271" s="26" t="s">
        <v>1565</v>
      </c>
      <c r="O1271" s="26" t="s">
        <v>1566</v>
      </c>
      <c r="P1271" s="26" t="s">
        <v>22</v>
      </c>
      <c r="Q1271" s="26">
        <v>1800.0</v>
      </c>
    </row>
    <row r="1272" ht="17.25" customHeight="1">
      <c r="A1272" s="51">
        <v>46139.52314509259</v>
      </c>
      <c r="B1272" s="27" t="s">
        <v>1728</v>
      </c>
      <c r="C1272" s="55" t="s">
        <v>1560</v>
      </c>
      <c r="D1272" s="111">
        <v>46135.0</v>
      </c>
      <c r="E1272" s="52">
        <v>300.0</v>
      </c>
      <c r="F1272" s="55" t="s">
        <v>1561</v>
      </c>
      <c r="G1272" s="55"/>
      <c r="H1272" s="26"/>
      <c r="I1272" s="26" t="s">
        <v>1729</v>
      </c>
      <c r="J1272" s="26" t="s">
        <v>1225</v>
      </c>
      <c r="K1272" s="26" t="s">
        <v>1562</v>
      </c>
      <c r="L1272" s="26" t="s">
        <v>1584</v>
      </c>
      <c r="M1272" s="26" t="s">
        <v>1572</v>
      </c>
      <c r="N1272" s="26" t="s">
        <v>1566</v>
      </c>
      <c r="O1272" s="26" t="s">
        <v>1565</v>
      </c>
      <c r="P1272" s="26" t="s">
        <v>22</v>
      </c>
      <c r="Q1272" s="26">
        <v>0.0</v>
      </c>
    </row>
    <row r="1273" ht="17.25" customHeight="1">
      <c r="A1273" s="51">
        <v>46139.523520717594</v>
      </c>
      <c r="B1273" s="27" t="s">
        <v>1728</v>
      </c>
      <c r="C1273" s="55" t="s">
        <v>1892</v>
      </c>
      <c r="D1273" s="111">
        <v>46135.0</v>
      </c>
      <c r="E1273" s="52">
        <v>300.0</v>
      </c>
      <c r="F1273" s="55" t="s">
        <v>1561</v>
      </c>
      <c r="G1273" s="55" t="s">
        <v>2259</v>
      </c>
      <c r="H1273" s="26"/>
      <c r="I1273" s="26" t="s">
        <v>1729</v>
      </c>
      <c r="J1273" s="26" t="s">
        <v>1225</v>
      </c>
      <c r="K1273" s="26" t="s">
        <v>1562</v>
      </c>
      <c r="L1273" s="26" t="s">
        <v>1584</v>
      </c>
      <c r="M1273" s="26" t="s">
        <v>1572</v>
      </c>
      <c r="N1273" s="26" t="s">
        <v>1566</v>
      </c>
      <c r="O1273" s="26" t="s">
        <v>1565</v>
      </c>
      <c r="P1273" s="26" t="s">
        <v>22</v>
      </c>
      <c r="Q1273" s="26">
        <v>0.0</v>
      </c>
    </row>
    <row r="1274" ht="17.25" customHeight="1">
      <c r="A1274" s="51">
        <v>46139.5241246875</v>
      </c>
      <c r="B1274" s="27" t="s">
        <v>1158</v>
      </c>
      <c r="C1274" s="55" t="s">
        <v>1560</v>
      </c>
      <c r="D1274" s="111">
        <v>46135.0</v>
      </c>
      <c r="E1274" s="52">
        <v>300.0</v>
      </c>
      <c r="F1274" s="55" t="s">
        <v>1561</v>
      </c>
      <c r="G1274" s="55" t="s">
        <v>2260</v>
      </c>
      <c r="H1274" s="26"/>
      <c r="I1274" s="26" t="s">
        <v>1159</v>
      </c>
      <c r="J1274" s="26" t="s">
        <v>1225</v>
      </c>
      <c r="K1274" s="26" t="s">
        <v>1562</v>
      </c>
      <c r="L1274" s="26" t="s">
        <v>1576</v>
      </c>
      <c r="M1274" s="26" t="s">
        <v>1572</v>
      </c>
      <c r="N1274" s="26" t="s">
        <v>1566</v>
      </c>
      <c r="O1274" s="26" t="s">
        <v>1565</v>
      </c>
      <c r="P1274" s="26" t="s">
        <v>22</v>
      </c>
      <c r="Q1274" s="26">
        <v>300.0</v>
      </c>
    </row>
    <row r="1275" ht="17.25" customHeight="1">
      <c r="A1275" s="51">
        <v>46139.53107377315</v>
      </c>
      <c r="B1275" s="25" t="s">
        <v>1981</v>
      </c>
      <c r="C1275" s="55" t="s">
        <v>1560</v>
      </c>
      <c r="D1275" s="111">
        <v>46135.0</v>
      </c>
      <c r="E1275" s="52">
        <v>1440.0</v>
      </c>
      <c r="F1275" s="55" t="s">
        <v>1561</v>
      </c>
      <c r="G1275" s="55" t="s">
        <v>2261</v>
      </c>
      <c r="H1275" s="26"/>
      <c r="I1275" s="26" t="s">
        <v>1982</v>
      </c>
      <c r="J1275" s="26" t="s">
        <v>1225</v>
      </c>
      <c r="K1275" s="26" t="s">
        <v>1653</v>
      </c>
      <c r="L1275" s="26" t="s">
        <v>1584</v>
      </c>
      <c r="M1275" s="26" t="s">
        <v>1595</v>
      </c>
      <c r="N1275" s="26" t="s">
        <v>1566</v>
      </c>
      <c r="O1275" s="26" t="s">
        <v>2100</v>
      </c>
      <c r="P1275" s="26" t="s">
        <v>22</v>
      </c>
      <c r="Q1275" s="26">
        <v>0.0</v>
      </c>
    </row>
    <row r="1276" ht="17.25" customHeight="1">
      <c r="A1276" s="51">
        <v>46139.53135851852</v>
      </c>
      <c r="B1276" s="27" t="s">
        <v>1988</v>
      </c>
      <c r="C1276" s="55" t="s">
        <v>1560</v>
      </c>
      <c r="D1276" s="111">
        <v>46136.0</v>
      </c>
      <c r="E1276" s="52">
        <v>576.0</v>
      </c>
      <c r="F1276" s="55" t="s">
        <v>1561</v>
      </c>
      <c r="G1276" s="55" t="s">
        <v>2262</v>
      </c>
      <c r="H1276" s="26"/>
      <c r="I1276" s="26" t="s">
        <v>1989</v>
      </c>
      <c r="J1276" s="26" t="s">
        <v>1225</v>
      </c>
      <c r="K1276" s="26" t="s">
        <v>1653</v>
      </c>
      <c r="L1276" s="26" t="s">
        <v>2148</v>
      </c>
      <c r="M1276" s="26" t="s">
        <v>2149</v>
      </c>
      <c r="N1276" s="26" t="s">
        <v>1566</v>
      </c>
      <c r="O1276" s="26" t="s">
        <v>2100</v>
      </c>
      <c r="P1276" s="26" t="s">
        <v>22</v>
      </c>
      <c r="Q1276" s="26">
        <v>0.0</v>
      </c>
    </row>
    <row r="1277" ht="17.25" customHeight="1">
      <c r="A1277" s="51">
        <v>46139.57093960648</v>
      </c>
      <c r="B1277" s="27" t="s">
        <v>1988</v>
      </c>
      <c r="C1277" s="55" t="s">
        <v>1892</v>
      </c>
      <c r="D1277" s="111">
        <v>46136.0</v>
      </c>
      <c r="E1277" s="52">
        <v>576.0</v>
      </c>
      <c r="F1277" s="55" t="s">
        <v>1561</v>
      </c>
      <c r="G1277" s="55">
        <v>759.0</v>
      </c>
      <c r="H1277" s="26"/>
      <c r="I1277" s="26" t="s">
        <v>1989</v>
      </c>
      <c r="J1277" s="26" t="s">
        <v>1225</v>
      </c>
      <c r="K1277" s="26" t="s">
        <v>1653</v>
      </c>
      <c r="L1277" s="26" t="s">
        <v>2148</v>
      </c>
      <c r="M1277" s="26" t="s">
        <v>2149</v>
      </c>
      <c r="N1277" s="26" t="s">
        <v>1566</v>
      </c>
      <c r="O1277" s="26" t="s">
        <v>2100</v>
      </c>
      <c r="P1277" s="26" t="s">
        <v>22</v>
      </c>
      <c r="Q1277" s="26">
        <v>0.0</v>
      </c>
    </row>
    <row r="1278" ht="17.25" customHeight="1">
      <c r="A1278" s="51">
        <v>46139.57779260416</v>
      </c>
      <c r="B1278" s="25" t="s">
        <v>638</v>
      </c>
      <c r="C1278" s="55" t="s">
        <v>1560</v>
      </c>
      <c r="D1278" s="111">
        <v>46136.0</v>
      </c>
      <c r="E1278" s="52">
        <v>10.0</v>
      </c>
      <c r="F1278" s="55" t="s">
        <v>1673</v>
      </c>
      <c r="G1278" s="26"/>
      <c r="H1278" s="26"/>
      <c r="I1278" s="26" t="s">
        <v>644</v>
      </c>
      <c r="J1278" s="26" t="s">
        <v>1821</v>
      </c>
      <c r="K1278" s="26" t="s">
        <v>1873</v>
      </c>
      <c r="L1278" s="26" t="s">
        <v>1566</v>
      </c>
      <c r="M1278" s="26" t="s">
        <v>1566</v>
      </c>
      <c r="N1278" s="26" t="s">
        <v>1566</v>
      </c>
      <c r="O1278" s="26" t="s">
        <v>1566</v>
      </c>
      <c r="P1278" s="26" t="s">
        <v>290</v>
      </c>
      <c r="Q1278" s="26">
        <v>9.0</v>
      </c>
    </row>
    <row r="1279" ht="17.25" customHeight="1">
      <c r="A1279" s="51">
        <v>46139.577964675926</v>
      </c>
      <c r="B1279" s="25" t="s">
        <v>638</v>
      </c>
      <c r="C1279" s="55" t="s">
        <v>1892</v>
      </c>
      <c r="D1279" s="111">
        <v>46136.0</v>
      </c>
      <c r="E1279" s="52">
        <v>1.0</v>
      </c>
      <c r="F1279" s="55" t="s">
        <v>1908</v>
      </c>
      <c r="G1279" s="26"/>
      <c r="H1279" s="26"/>
      <c r="I1279" s="26" t="s">
        <v>644</v>
      </c>
      <c r="J1279" s="26" t="s">
        <v>1821</v>
      </c>
      <c r="K1279" s="26" t="s">
        <v>1873</v>
      </c>
      <c r="L1279" s="26" t="s">
        <v>1566</v>
      </c>
      <c r="M1279" s="26" t="s">
        <v>1566</v>
      </c>
      <c r="N1279" s="26" t="s">
        <v>1566</v>
      </c>
      <c r="O1279" s="26" t="s">
        <v>1566</v>
      </c>
      <c r="P1279" s="26" t="s">
        <v>290</v>
      </c>
      <c r="Q1279" s="26">
        <v>9.0</v>
      </c>
    </row>
    <row r="1280" ht="17.25" customHeight="1">
      <c r="A1280" s="51">
        <v>46139.578068159724</v>
      </c>
      <c r="B1280" s="25" t="s">
        <v>638</v>
      </c>
      <c r="C1280" s="55" t="s">
        <v>1892</v>
      </c>
      <c r="D1280" s="111">
        <v>46139.0</v>
      </c>
      <c r="E1280" s="52">
        <v>1.0</v>
      </c>
      <c r="F1280" s="55" t="s">
        <v>1908</v>
      </c>
      <c r="G1280" s="26"/>
      <c r="H1280" s="26"/>
      <c r="I1280" s="26" t="s">
        <v>644</v>
      </c>
      <c r="J1280" s="26" t="s">
        <v>1821</v>
      </c>
      <c r="K1280" s="26" t="s">
        <v>1873</v>
      </c>
      <c r="L1280" s="26" t="s">
        <v>1566</v>
      </c>
      <c r="M1280" s="26" t="s">
        <v>1566</v>
      </c>
      <c r="N1280" s="26" t="s">
        <v>1566</v>
      </c>
      <c r="O1280" s="26" t="s">
        <v>1566</v>
      </c>
      <c r="P1280" s="26" t="s">
        <v>290</v>
      </c>
      <c r="Q1280" s="26">
        <v>9.0</v>
      </c>
    </row>
    <row r="1281" ht="17.25" customHeight="1">
      <c r="A1281" s="51">
        <v>46139.73610761574</v>
      </c>
      <c r="B1281" s="23" t="s">
        <v>359</v>
      </c>
      <c r="C1281" s="55" t="s">
        <v>1892</v>
      </c>
      <c r="D1281" s="111">
        <v>46139.0</v>
      </c>
      <c r="E1281" s="52">
        <v>10.0</v>
      </c>
      <c r="F1281" s="55" t="s">
        <v>1894</v>
      </c>
      <c r="G1281" s="26"/>
      <c r="H1281" s="26"/>
      <c r="I1281" s="26" t="s">
        <v>370</v>
      </c>
      <c r="J1281" s="26" t="s">
        <v>370</v>
      </c>
      <c r="K1281" s="26" t="s">
        <v>370</v>
      </c>
      <c r="L1281" s="26" t="s">
        <v>1566</v>
      </c>
      <c r="M1281" s="26" t="s">
        <v>1566</v>
      </c>
      <c r="N1281" s="26" t="s">
        <v>1566</v>
      </c>
      <c r="O1281" s="26" t="s">
        <v>1566</v>
      </c>
      <c r="P1281" s="26" t="s">
        <v>661</v>
      </c>
      <c r="Q1281" s="26">
        <v>100.0</v>
      </c>
    </row>
    <row r="1282" ht="17.25" customHeight="1">
      <c r="A1282" s="51">
        <v>46139.73610761574</v>
      </c>
      <c r="B1282" s="25" t="s">
        <v>1990</v>
      </c>
      <c r="C1282" s="55" t="s">
        <v>1560</v>
      </c>
      <c r="D1282" s="111">
        <v>46135.0</v>
      </c>
      <c r="E1282" s="195">
        <v>5904.0</v>
      </c>
      <c r="F1282" s="55" t="s">
        <v>1561</v>
      </c>
      <c r="G1282" s="55" t="s">
        <v>2263</v>
      </c>
      <c r="H1282" s="26"/>
      <c r="I1282" s="26" t="s">
        <v>1991</v>
      </c>
      <c r="J1282" s="26" t="s">
        <v>1225</v>
      </c>
      <c r="K1282" s="26" t="s">
        <v>1653</v>
      </c>
      <c r="L1282" s="26" t="s">
        <v>1576</v>
      </c>
      <c r="M1282" s="26" t="s">
        <v>1564</v>
      </c>
      <c r="N1282" s="26" t="s">
        <v>1566</v>
      </c>
      <c r="O1282" s="26" t="s">
        <v>2151</v>
      </c>
      <c r="P1282" s="26" t="s">
        <v>22</v>
      </c>
      <c r="Q1282" s="26">
        <v>0.0</v>
      </c>
    </row>
    <row r="1283" ht="17.25" customHeight="1">
      <c r="A1283" s="51">
        <v>46140.43979311343</v>
      </c>
      <c r="B1283" s="25" t="s">
        <v>1990</v>
      </c>
      <c r="C1283" s="55" t="s">
        <v>1892</v>
      </c>
      <c r="D1283" s="111">
        <v>46136.0</v>
      </c>
      <c r="E1283" s="195">
        <v>5904.0</v>
      </c>
      <c r="F1283" s="55" t="s">
        <v>1561</v>
      </c>
      <c r="G1283" s="55">
        <v>761.0</v>
      </c>
      <c r="H1283" s="26"/>
      <c r="I1283" s="26" t="s">
        <v>1991</v>
      </c>
      <c r="J1283" s="26" t="s">
        <v>1225</v>
      </c>
      <c r="K1283" s="26" t="s">
        <v>1653</v>
      </c>
      <c r="L1283" s="26" t="s">
        <v>1576</v>
      </c>
      <c r="M1283" s="26" t="s">
        <v>1564</v>
      </c>
      <c r="N1283" s="26" t="s">
        <v>1566</v>
      </c>
      <c r="O1283" s="26" t="s">
        <v>2151</v>
      </c>
      <c r="P1283" s="26" t="s">
        <v>22</v>
      </c>
      <c r="Q1283" s="26">
        <v>0.0</v>
      </c>
    </row>
    <row r="1284" ht="17.25" customHeight="1">
      <c r="A1284" s="51">
        <v>46140.44085775463</v>
      </c>
      <c r="B1284" s="27" t="s">
        <v>734</v>
      </c>
      <c r="C1284" s="55" t="s">
        <v>1560</v>
      </c>
      <c r="D1284" s="202">
        <v>46136.44085648148</v>
      </c>
      <c r="E1284" s="52">
        <v>200.0</v>
      </c>
      <c r="F1284" s="55" t="s">
        <v>1561</v>
      </c>
      <c r="G1284" s="55" t="s">
        <v>2264</v>
      </c>
      <c r="H1284" s="26"/>
      <c r="I1284" s="26" t="s">
        <v>736</v>
      </c>
      <c r="J1284" s="26" t="s">
        <v>1225</v>
      </c>
      <c r="K1284" s="26" t="s">
        <v>1562</v>
      </c>
      <c r="L1284" s="26" t="s">
        <v>1591</v>
      </c>
      <c r="M1284" s="26" t="s">
        <v>1564</v>
      </c>
      <c r="N1284" s="26" t="s">
        <v>1566</v>
      </c>
      <c r="O1284" s="26" t="s">
        <v>1566</v>
      </c>
      <c r="P1284" s="26" t="s">
        <v>22</v>
      </c>
      <c r="Q1284" s="26">
        <v>1000.0</v>
      </c>
    </row>
    <row r="1285" ht="17.25" customHeight="1">
      <c r="A1285" s="51">
        <v>46140.44419087963</v>
      </c>
      <c r="B1285" s="25" t="s">
        <v>932</v>
      </c>
      <c r="C1285" s="55" t="s">
        <v>1560</v>
      </c>
      <c r="D1285" s="202">
        <v>46136.44085648148</v>
      </c>
      <c r="E1285" s="52">
        <v>400.0</v>
      </c>
      <c r="F1285" s="55" t="s">
        <v>1561</v>
      </c>
      <c r="G1285" s="55" t="s">
        <v>2264</v>
      </c>
      <c r="H1285" s="26"/>
      <c r="I1285" s="26" t="s">
        <v>933</v>
      </c>
      <c r="J1285" s="26" t="s">
        <v>1225</v>
      </c>
      <c r="K1285" s="26" t="s">
        <v>1562</v>
      </c>
      <c r="L1285" s="26" t="s">
        <v>1600</v>
      </c>
      <c r="M1285" s="26" t="s">
        <v>1572</v>
      </c>
      <c r="N1285" s="26" t="s">
        <v>1571</v>
      </c>
      <c r="O1285" s="26" t="s">
        <v>1566</v>
      </c>
      <c r="P1285" s="26" t="s">
        <v>22</v>
      </c>
      <c r="Q1285" s="26">
        <v>400.0</v>
      </c>
    </row>
    <row r="1286" ht="17.25" customHeight="1">
      <c r="A1286" s="51">
        <v>46140.44871575231</v>
      </c>
      <c r="B1286" s="27" t="s">
        <v>1161</v>
      </c>
      <c r="C1286" s="55" t="s">
        <v>1560</v>
      </c>
      <c r="D1286" s="202">
        <v>46137.44085648148</v>
      </c>
      <c r="E1286" s="195">
        <v>3600.0</v>
      </c>
      <c r="F1286" s="55" t="s">
        <v>1561</v>
      </c>
      <c r="G1286" s="55" t="s">
        <v>2265</v>
      </c>
      <c r="H1286" s="26"/>
      <c r="I1286" s="26" t="s">
        <v>1112</v>
      </c>
      <c r="J1286" s="26" t="s">
        <v>1225</v>
      </c>
      <c r="K1286" s="26" t="s">
        <v>1653</v>
      </c>
      <c r="L1286" s="26" t="s">
        <v>2134</v>
      </c>
      <c r="M1286" s="26" t="s">
        <v>1595</v>
      </c>
      <c r="N1286" s="26" t="s">
        <v>1566</v>
      </c>
      <c r="O1286" s="26" t="s">
        <v>2132</v>
      </c>
      <c r="P1286" s="26" t="s">
        <v>22</v>
      </c>
      <c r="Q1286" s="26">
        <v>1800.0</v>
      </c>
    </row>
    <row r="1287" ht="17.25" customHeight="1">
      <c r="A1287" s="51">
        <v>46140.44871575231</v>
      </c>
      <c r="B1287" s="27" t="s">
        <v>1992</v>
      </c>
      <c r="C1287" s="55" t="s">
        <v>1560</v>
      </c>
      <c r="D1287" s="202">
        <v>46137.44085648148</v>
      </c>
      <c r="E1287" s="52">
        <v>1440.0</v>
      </c>
      <c r="F1287" s="55" t="s">
        <v>1561</v>
      </c>
      <c r="G1287" s="55" t="s">
        <v>2266</v>
      </c>
      <c r="H1287" s="26"/>
      <c r="I1287" s="26" t="s">
        <v>1993</v>
      </c>
      <c r="J1287" s="26" t="s">
        <v>1225</v>
      </c>
      <c r="K1287" s="26" t="s">
        <v>1653</v>
      </c>
      <c r="L1287" s="26" t="s">
        <v>1633</v>
      </c>
      <c r="M1287" s="26" t="s">
        <v>1595</v>
      </c>
      <c r="N1287" s="26" t="s">
        <v>1566</v>
      </c>
      <c r="O1287" s="26" t="s">
        <v>2132</v>
      </c>
      <c r="P1287" s="26" t="s">
        <v>22</v>
      </c>
      <c r="Q1287" s="26">
        <v>0.0</v>
      </c>
    </row>
    <row r="1288" ht="17.25" customHeight="1">
      <c r="A1288" s="51">
        <v>46140.47270777778</v>
      </c>
      <c r="B1288" s="27" t="s">
        <v>1163</v>
      </c>
      <c r="C1288" s="55" t="s">
        <v>1560</v>
      </c>
      <c r="D1288" s="51">
        <v>46140.44085775463</v>
      </c>
      <c r="E1288" s="52">
        <v>8675.0</v>
      </c>
      <c r="F1288" s="55" t="s">
        <v>1561</v>
      </c>
      <c r="G1288" s="55" t="s">
        <v>2267</v>
      </c>
      <c r="H1288" s="26"/>
      <c r="I1288" s="26" t="s">
        <v>1164</v>
      </c>
      <c r="J1288" s="26" t="s">
        <v>1225</v>
      </c>
      <c r="K1288" s="26" t="s">
        <v>1562</v>
      </c>
      <c r="L1288" s="26" t="s">
        <v>2116</v>
      </c>
      <c r="M1288" s="26" t="s">
        <v>2152</v>
      </c>
      <c r="N1288" s="26" t="s">
        <v>1566</v>
      </c>
      <c r="O1288" s="26" t="s">
        <v>2128</v>
      </c>
      <c r="P1288" s="26" t="s">
        <v>22</v>
      </c>
      <c r="Q1288" s="26">
        <v>75.0</v>
      </c>
    </row>
    <row r="1289" ht="17.25" customHeight="1">
      <c r="A1289" s="51">
        <v>46140.47270777778</v>
      </c>
      <c r="B1289" s="27" t="s">
        <v>1170</v>
      </c>
      <c r="C1289" s="55" t="s">
        <v>1560</v>
      </c>
      <c r="D1289" s="51">
        <v>46140.44085775463</v>
      </c>
      <c r="E1289" s="52">
        <v>5460.0</v>
      </c>
      <c r="F1289" s="55" t="s">
        <v>1561</v>
      </c>
      <c r="G1289" s="55" t="s">
        <v>2268</v>
      </c>
      <c r="H1289" s="26"/>
      <c r="I1289" s="26" t="s">
        <v>1172</v>
      </c>
      <c r="J1289" s="26" t="s">
        <v>1225</v>
      </c>
      <c r="K1289" s="26" t="s">
        <v>1562</v>
      </c>
      <c r="L1289" s="26" t="s">
        <v>2154</v>
      </c>
      <c r="M1289" s="26" t="s">
        <v>2152</v>
      </c>
      <c r="N1289" s="26" t="s">
        <v>1566</v>
      </c>
      <c r="O1289" s="26" t="s">
        <v>1571</v>
      </c>
      <c r="P1289" s="26" t="s">
        <v>22</v>
      </c>
      <c r="Q1289" s="26">
        <v>2060.0</v>
      </c>
    </row>
    <row r="1290" ht="17.25" customHeight="1">
      <c r="A1290" s="51">
        <v>46140.57648820602</v>
      </c>
      <c r="B1290" s="25" t="s">
        <v>1862</v>
      </c>
      <c r="C1290" s="55" t="s">
        <v>1892</v>
      </c>
      <c r="D1290" s="51">
        <v>46140.44085775463</v>
      </c>
      <c r="E1290" s="52">
        <v>1.0</v>
      </c>
      <c r="F1290" s="55" t="s">
        <v>2256</v>
      </c>
      <c r="G1290" s="26"/>
      <c r="H1290" s="26"/>
      <c r="I1290" s="26" t="s">
        <v>1864</v>
      </c>
      <c r="J1290" s="26" t="s">
        <v>1844</v>
      </c>
      <c r="K1290" s="26" t="s">
        <v>1846</v>
      </c>
      <c r="L1290" s="26" t="s">
        <v>1865</v>
      </c>
      <c r="M1290" s="26" t="s">
        <v>1566</v>
      </c>
      <c r="N1290" s="26" t="s">
        <v>1566</v>
      </c>
      <c r="O1290" s="26" t="s">
        <v>1848</v>
      </c>
      <c r="P1290" s="26" t="s">
        <v>661</v>
      </c>
      <c r="Q1290" s="26">
        <v>0.0</v>
      </c>
    </row>
    <row r="1291" ht="17.25" customHeight="1">
      <c r="A1291" s="51">
        <v>46140.57675327546</v>
      </c>
      <c r="B1291" s="25" t="s">
        <v>1867</v>
      </c>
      <c r="C1291" s="55" t="s">
        <v>1892</v>
      </c>
      <c r="D1291" s="51">
        <v>46140.44085775463</v>
      </c>
      <c r="E1291" s="52">
        <v>1.0</v>
      </c>
      <c r="F1291" s="55" t="s">
        <v>2256</v>
      </c>
      <c r="G1291" s="26"/>
      <c r="H1291" s="26"/>
      <c r="I1291" s="26" t="s">
        <v>1868</v>
      </c>
      <c r="J1291" s="26" t="s">
        <v>1844</v>
      </c>
      <c r="K1291" s="26" t="s">
        <v>1846</v>
      </c>
      <c r="L1291" s="26" t="s">
        <v>1869</v>
      </c>
      <c r="M1291" s="26" t="s">
        <v>1566</v>
      </c>
      <c r="N1291" s="26" t="s">
        <v>1566</v>
      </c>
      <c r="O1291" s="26" t="s">
        <v>1808</v>
      </c>
      <c r="P1291" s="26" t="s">
        <v>661</v>
      </c>
      <c r="Q1291" s="26">
        <v>0.0</v>
      </c>
    </row>
    <row r="1292" ht="17.25" customHeight="1">
      <c r="A1292" s="51">
        <v>46140.65311459491</v>
      </c>
      <c r="B1292" s="25" t="s">
        <v>948</v>
      </c>
      <c r="C1292" s="55" t="s">
        <v>1892</v>
      </c>
      <c r="D1292" s="51">
        <v>46140.44085775463</v>
      </c>
      <c r="E1292" s="52">
        <v>5.0</v>
      </c>
      <c r="F1292" s="55" t="s">
        <v>2043</v>
      </c>
      <c r="G1292" s="26"/>
      <c r="H1292" s="26"/>
      <c r="I1292" s="26" t="s">
        <v>952</v>
      </c>
      <c r="J1292" s="26" t="s">
        <v>1812</v>
      </c>
      <c r="K1292" s="26" t="s">
        <v>1815</v>
      </c>
      <c r="L1292" s="26" t="s">
        <v>1566</v>
      </c>
      <c r="M1292" s="26" t="s">
        <v>1566</v>
      </c>
      <c r="N1292" s="26" t="s">
        <v>1566</v>
      </c>
      <c r="O1292" s="26" t="s">
        <v>2060</v>
      </c>
      <c r="P1292" s="26" t="s">
        <v>616</v>
      </c>
      <c r="Q1292" s="26">
        <v>5.0</v>
      </c>
    </row>
    <row r="1293" ht="17.25" customHeight="1">
      <c r="A1293" s="51">
        <v>46141.42541319445</v>
      </c>
      <c r="B1293" s="25" t="s">
        <v>1091</v>
      </c>
      <c r="C1293" s="55" t="s">
        <v>1892</v>
      </c>
      <c r="D1293" s="51">
        <v>46140.44085775463</v>
      </c>
      <c r="E1293" s="52">
        <v>10.0</v>
      </c>
      <c r="F1293" s="55" t="s">
        <v>2124</v>
      </c>
      <c r="G1293" s="26"/>
      <c r="H1293" s="26"/>
      <c r="I1293" s="26" t="s">
        <v>1092</v>
      </c>
      <c r="J1293" s="26" t="s">
        <v>1830</v>
      </c>
      <c r="K1293" s="26" t="s">
        <v>1830</v>
      </c>
      <c r="L1293" s="26" t="s">
        <v>1566</v>
      </c>
      <c r="M1293" s="26" t="s">
        <v>1566</v>
      </c>
      <c r="N1293" s="26" t="s">
        <v>1566</v>
      </c>
      <c r="O1293" s="26" t="s">
        <v>1566</v>
      </c>
      <c r="P1293" s="26" t="s">
        <v>22</v>
      </c>
      <c r="Q1293" s="26">
        <v>52.0</v>
      </c>
    </row>
    <row r="1294" ht="17.25" customHeight="1">
      <c r="A1294" s="51">
        <v>46141.425757731486</v>
      </c>
      <c r="B1294" s="25" t="s">
        <v>301</v>
      </c>
      <c r="C1294" s="55" t="s">
        <v>1892</v>
      </c>
      <c r="D1294" s="51">
        <v>46140.44085775463</v>
      </c>
      <c r="E1294" s="52">
        <v>200.0</v>
      </c>
      <c r="F1294" s="55" t="s">
        <v>2096</v>
      </c>
      <c r="G1294" s="26"/>
      <c r="H1294" s="26"/>
      <c r="I1294" s="26" t="s">
        <v>302</v>
      </c>
      <c r="J1294" s="26" t="s">
        <v>1830</v>
      </c>
      <c r="K1294" s="26" t="s">
        <v>302</v>
      </c>
      <c r="L1294" s="26" t="s">
        <v>1566</v>
      </c>
      <c r="M1294" s="26" t="s">
        <v>1566</v>
      </c>
      <c r="N1294" s="26" t="s">
        <v>1566</v>
      </c>
      <c r="O1294" s="26" t="s">
        <v>1566</v>
      </c>
      <c r="P1294" s="26" t="s">
        <v>661</v>
      </c>
      <c r="Q1294" s="26">
        <v>580.0</v>
      </c>
    </row>
    <row r="1295" ht="17.25" customHeight="1">
      <c r="A1295" s="51">
        <v>46141.425873622684</v>
      </c>
      <c r="B1295" s="25" t="s">
        <v>301</v>
      </c>
      <c r="C1295" s="55" t="s">
        <v>1892</v>
      </c>
      <c r="D1295" s="51">
        <v>46140.44085775463</v>
      </c>
      <c r="E1295" s="52">
        <v>20.0</v>
      </c>
      <c r="F1295" s="55" t="s">
        <v>2124</v>
      </c>
      <c r="G1295" s="26"/>
      <c r="H1295" s="26"/>
      <c r="I1295" s="26" t="s">
        <v>302</v>
      </c>
      <c r="J1295" s="26" t="s">
        <v>1830</v>
      </c>
      <c r="K1295" s="26" t="s">
        <v>302</v>
      </c>
      <c r="L1295" s="26" t="s">
        <v>1566</v>
      </c>
      <c r="M1295" s="26" t="s">
        <v>1566</v>
      </c>
      <c r="N1295" s="26" t="s">
        <v>1566</v>
      </c>
      <c r="O1295" s="26" t="s">
        <v>1566</v>
      </c>
      <c r="P1295" s="26" t="s">
        <v>661</v>
      </c>
      <c r="Q1295" s="26">
        <v>580.0</v>
      </c>
    </row>
    <row r="1296" ht="17.25" customHeight="1">
      <c r="A1296" s="51">
        <v>46141.42609383102</v>
      </c>
      <c r="B1296" s="25" t="s">
        <v>301</v>
      </c>
      <c r="C1296" s="55" t="s">
        <v>1892</v>
      </c>
      <c r="D1296" s="51">
        <v>46140.44085775463</v>
      </c>
      <c r="E1296" s="52">
        <v>10.0</v>
      </c>
      <c r="F1296" s="55" t="s">
        <v>2256</v>
      </c>
      <c r="G1296" s="26"/>
      <c r="H1296" s="26"/>
      <c r="I1296" s="26" t="s">
        <v>302</v>
      </c>
      <c r="J1296" s="26" t="s">
        <v>1830</v>
      </c>
      <c r="K1296" s="26" t="s">
        <v>302</v>
      </c>
      <c r="L1296" s="26" t="s">
        <v>1566</v>
      </c>
      <c r="M1296" s="26" t="s">
        <v>1566</v>
      </c>
      <c r="N1296" s="26" t="s">
        <v>1566</v>
      </c>
      <c r="O1296" s="26" t="s">
        <v>1566</v>
      </c>
      <c r="P1296" s="26" t="s">
        <v>661</v>
      </c>
      <c r="Q1296" s="26">
        <v>580.0</v>
      </c>
    </row>
    <row r="1297" ht="17.25" customHeight="1">
      <c r="A1297" s="51">
        <v>46141.426347280096</v>
      </c>
      <c r="B1297" s="25" t="s">
        <v>301</v>
      </c>
      <c r="C1297" s="55" t="s">
        <v>1892</v>
      </c>
      <c r="D1297" s="51">
        <v>46140.44085775463</v>
      </c>
      <c r="E1297" s="52">
        <v>10.0</v>
      </c>
      <c r="F1297" s="52" t="s">
        <v>2269</v>
      </c>
      <c r="G1297" s="26"/>
      <c r="H1297" s="26"/>
      <c r="I1297" s="26" t="s">
        <v>302</v>
      </c>
      <c r="J1297" s="26" t="s">
        <v>1830</v>
      </c>
      <c r="K1297" s="26" t="s">
        <v>302</v>
      </c>
      <c r="L1297" s="26" t="s">
        <v>1566</v>
      </c>
      <c r="M1297" s="26" t="s">
        <v>1566</v>
      </c>
      <c r="N1297" s="26" t="s">
        <v>1566</v>
      </c>
      <c r="O1297" s="26" t="s">
        <v>1566</v>
      </c>
      <c r="P1297" s="26" t="s">
        <v>661</v>
      </c>
      <c r="Q1297" s="26">
        <v>580.0</v>
      </c>
    </row>
    <row r="1298" ht="17.25" customHeight="1">
      <c r="A1298" s="51">
        <v>46141.42650898148</v>
      </c>
      <c r="B1298" s="25" t="s">
        <v>301</v>
      </c>
      <c r="C1298" s="55" t="s">
        <v>1892</v>
      </c>
      <c r="D1298" s="51">
        <v>46141.42650898148</v>
      </c>
      <c r="E1298" s="52">
        <v>2.0</v>
      </c>
      <c r="F1298" s="55" t="s">
        <v>1834</v>
      </c>
      <c r="G1298" s="26"/>
      <c r="H1298" s="26"/>
      <c r="I1298" s="26" t="s">
        <v>302</v>
      </c>
      <c r="J1298" s="26" t="s">
        <v>1830</v>
      </c>
      <c r="K1298" s="26" t="s">
        <v>302</v>
      </c>
      <c r="L1298" s="26" t="s">
        <v>1566</v>
      </c>
      <c r="M1298" s="26" t="s">
        <v>1566</v>
      </c>
      <c r="N1298" s="26" t="s">
        <v>1566</v>
      </c>
      <c r="O1298" s="26" t="s">
        <v>1566</v>
      </c>
      <c r="P1298" s="26" t="s">
        <v>661</v>
      </c>
      <c r="Q1298" s="26">
        <v>580.0</v>
      </c>
    </row>
    <row r="1299" ht="17.25" customHeight="1">
      <c r="A1299" s="51">
        <v>46144.42335096065</v>
      </c>
      <c r="B1299" s="25" t="s">
        <v>304</v>
      </c>
      <c r="C1299" s="55" t="s">
        <v>1560</v>
      </c>
      <c r="D1299" s="202">
        <v>46142.42650462963</v>
      </c>
      <c r="E1299" s="52">
        <v>12.0</v>
      </c>
      <c r="F1299" s="55" t="s">
        <v>1673</v>
      </c>
      <c r="G1299" s="26"/>
      <c r="H1299" s="26"/>
      <c r="I1299" s="26" t="s">
        <v>306</v>
      </c>
      <c r="J1299" s="26" t="s">
        <v>1674</v>
      </c>
      <c r="K1299" s="26" t="s">
        <v>1675</v>
      </c>
      <c r="L1299" s="26" t="s">
        <v>1566</v>
      </c>
      <c r="M1299" s="26" t="s">
        <v>1566</v>
      </c>
      <c r="N1299" s="26" t="s">
        <v>1682</v>
      </c>
      <c r="O1299" s="26" t="s">
        <v>1677</v>
      </c>
      <c r="P1299" s="26" t="s">
        <v>290</v>
      </c>
      <c r="Q1299" s="26">
        <v>6.0</v>
      </c>
    </row>
    <row r="1300" ht="17.25" customHeight="1">
      <c r="A1300" s="51">
        <v>46144.42383619213</v>
      </c>
      <c r="B1300" s="25" t="s">
        <v>945</v>
      </c>
      <c r="C1300" s="55" t="s">
        <v>1892</v>
      </c>
      <c r="D1300" s="202">
        <v>46142.42650462963</v>
      </c>
      <c r="E1300" s="52">
        <v>25.0</v>
      </c>
      <c r="F1300" s="55" t="s">
        <v>2124</v>
      </c>
      <c r="G1300" s="26"/>
      <c r="H1300" s="26"/>
      <c r="I1300" s="26" t="s">
        <v>946</v>
      </c>
      <c r="J1300" s="26" t="s">
        <v>1812</v>
      </c>
      <c r="K1300" s="26" t="s">
        <v>1815</v>
      </c>
      <c r="L1300" s="26" t="s">
        <v>1566</v>
      </c>
      <c r="M1300" s="26" t="s">
        <v>1566</v>
      </c>
      <c r="N1300" s="26" t="s">
        <v>1566</v>
      </c>
      <c r="O1300" s="26" t="s">
        <v>1903</v>
      </c>
      <c r="P1300" s="26" t="s">
        <v>616</v>
      </c>
      <c r="Q1300" s="26">
        <v>25.0</v>
      </c>
    </row>
    <row r="1301" ht="17.25" customHeight="1">
      <c r="A1301" s="51">
        <v>46147.443004456014</v>
      </c>
      <c r="B1301" s="25" t="s">
        <v>105</v>
      </c>
      <c r="C1301" s="55" t="s">
        <v>1892</v>
      </c>
      <c r="D1301" s="51">
        <v>46147.443004456014</v>
      </c>
      <c r="E1301" s="52">
        <v>900.0</v>
      </c>
      <c r="F1301" s="55" t="s">
        <v>2094</v>
      </c>
      <c r="G1301" s="26"/>
      <c r="H1301" s="26"/>
      <c r="I1301" s="26" t="s">
        <v>107</v>
      </c>
      <c r="J1301" s="26" t="s">
        <v>1225</v>
      </c>
      <c r="K1301" s="26" t="s">
        <v>1562</v>
      </c>
      <c r="L1301" s="26" t="s">
        <v>1603</v>
      </c>
      <c r="M1301" s="26" t="s">
        <v>1575</v>
      </c>
      <c r="N1301" s="26" t="s">
        <v>1571</v>
      </c>
      <c r="O1301" s="26" t="s">
        <v>1566</v>
      </c>
      <c r="P1301" s="26" t="s">
        <v>22</v>
      </c>
      <c r="Q1301" s="26">
        <v>1200.0</v>
      </c>
    </row>
    <row r="1302" ht="17.25" customHeight="1">
      <c r="A1302" s="51">
        <v>46147.44319597222</v>
      </c>
      <c r="B1302" s="25" t="s">
        <v>1180</v>
      </c>
      <c r="C1302" s="55" t="s">
        <v>1560</v>
      </c>
      <c r="D1302" s="111">
        <v>46146.0</v>
      </c>
      <c r="E1302" s="52">
        <v>1600.0</v>
      </c>
      <c r="F1302" s="55" t="s">
        <v>1561</v>
      </c>
      <c r="G1302" s="55" t="s">
        <v>2270</v>
      </c>
      <c r="H1302" s="26"/>
      <c r="I1302" s="26" t="s">
        <v>1181</v>
      </c>
      <c r="J1302" s="26" t="s">
        <v>1225</v>
      </c>
      <c r="K1302" s="26" t="s">
        <v>1562</v>
      </c>
      <c r="L1302" s="26" t="s">
        <v>1603</v>
      </c>
      <c r="M1302" s="26" t="s">
        <v>1597</v>
      </c>
      <c r="N1302" s="26" t="s">
        <v>1566</v>
      </c>
      <c r="O1302" s="26" t="s">
        <v>1571</v>
      </c>
      <c r="P1302" s="26" t="s">
        <v>22</v>
      </c>
      <c r="Q1302" s="26">
        <v>300.0</v>
      </c>
    </row>
    <row r="1303" ht="17.25" customHeight="1">
      <c r="A1303" s="51">
        <v>46147.44684239583</v>
      </c>
      <c r="B1303" s="25" t="s">
        <v>1522</v>
      </c>
      <c r="C1303" s="55" t="s">
        <v>1560</v>
      </c>
      <c r="D1303" s="111">
        <v>46146.0</v>
      </c>
      <c r="E1303" s="52">
        <v>1200.0</v>
      </c>
      <c r="F1303" s="55" t="s">
        <v>1561</v>
      </c>
      <c r="G1303" s="26"/>
      <c r="H1303" s="26"/>
      <c r="I1303" s="26" t="s">
        <v>1523</v>
      </c>
      <c r="J1303" s="26" t="s">
        <v>1225</v>
      </c>
      <c r="K1303" s="26" t="s">
        <v>1562</v>
      </c>
      <c r="L1303" s="26" t="s">
        <v>1563</v>
      </c>
      <c r="M1303" s="26" t="s">
        <v>1572</v>
      </c>
      <c r="N1303" s="26" t="s">
        <v>1571</v>
      </c>
      <c r="O1303" s="26" t="s">
        <v>1566</v>
      </c>
      <c r="P1303" s="26" t="s">
        <v>22</v>
      </c>
      <c r="Q1303" s="26">
        <v>800.0</v>
      </c>
    </row>
    <row r="1304" ht="17.25" customHeight="1">
      <c r="A1304" s="51">
        <v>46147.44896893519</v>
      </c>
      <c r="B1304" s="26" t="s">
        <v>1183</v>
      </c>
      <c r="C1304" s="55" t="s">
        <v>1560</v>
      </c>
      <c r="D1304" s="111">
        <v>46144.0</v>
      </c>
      <c r="E1304" s="52">
        <v>600.0</v>
      </c>
      <c r="F1304" s="55" t="s">
        <v>1561</v>
      </c>
      <c r="G1304" s="55" t="s">
        <v>2135</v>
      </c>
      <c r="H1304" s="26"/>
      <c r="I1304" s="26" t="s">
        <v>1184</v>
      </c>
      <c r="J1304" s="26" t="s">
        <v>1225</v>
      </c>
      <c r="K1304" s="26" t="s">
        <v>1562</v>
      </c>
      <c r="L1304" s="26" t="s">
        <v>1582</v>
      </c>
      <c r="M1304" s="26" t="s">
        <v>2155</v>
      </c>
      <c r="N1304" s="26" t="s">
        <v>1566</v>
      </c>
      <c r="O1304" s="26" t="s">
        <v>1571</v>
      </c>
      <c r="P1304" s="26" t="s">
        <v>22</v>
      </c>
      <c r="Q1304" s="26">
        <v>100.0</v>
      </c>
    </row>
    <row r="1305" ht="17.25" customHeight="1">
      <c r="A1305" s="51">
        <v>46147.450709930556</v>
      </c>
      <c r="B1305" s="26" t="s">
        <v>1732</v>
      </c>
      <c r="C1305" s="55" t="s">
        <v>1560</v>
      </c>
      <c r="D1305" s="111">
        <v>46144.0</v>
      </c>
      <c r="E1305" s="52">
        <v>600.0</v>
      </c>
      <c r="F1305" s="55" t="s">
        <v>1561</v>
      </c>
      <c r="G1305" s="26"/>
      <c r="H1305" s="26"/>
      <c r="I1305" s="26" t="s">
        <v>1733</v>
      </c>
      <c r="J1305" s="26" t="s">
        <v>1225</v>
      </c>
      <c r="K1305" s="26" t="s">
        <v>1562</v>
      </c>
      <c r="L1305" s="26" t="s">
        <v>1582</v>
      </c>
      <c r="M1305" s="26" t="s">
        <v>2157</v>
      </c>
      <c r="N1305" s="26" t="s">
        <v>1566</v>
      </c>
      <c r="O1305" s="26" t="s">
        <v>1571</v>
      </c>
      <c r="P1305" s="26" t="s">
        <v>22</v>
      </c>
      <c r="Q1305" s="26">
        <v>0.0</v>
      </c>
    </row>
    <row r="1306" ht="17.25" customHeight="1">
      <c r="A1306" s="51">
        <v>46147.45285054398</v>
      </c>
      <c r="B1306" s="55" t="s">
        <v>123</v>
      </c>
      <c r="C1306" s="55" t="s">
        <v>1560</v>
      </c>
      <c r="D1306" s="111">
        <v>46144.0</v>
      </c>
      <c r="E1306" s="52">
        <v>1800.0</v>
      </c>
      <c r="F1306" s="55" t="s">
        <v>1561</v>
      </c>
      <c r="G1306" s="26"/>
      <c r="H1306" s="26"/>
      <c r="I1306" s="26" t="s">
        <v>124</v>
      </c>
      <c r="J1306" s="26" t="s">
        <v>1225</v>
      </c>
      <c r="K1306" s="26" t="s">
        <v>1562</v>
      </c>
      <c r="L1306" s="26" t="s">
        <v>1587</v>
      </c>
      <c r="M1306" s="26" t="s">
        <v>1575</v>
      </c>
      <c r="N1306" s="26" t="s">
        <v>1566</v>
      </c>
      <c r="O1306" s="26" t="s">
        <v>1571</v>
      </c>
      <c r="P1306" s="26" t="s">
        <v>22</v>
      </c>
      <c r="Q1306" s="26">
        <v>1600.0</v>
      </c>
    </row>
    <row r="1307" ht="17.25" customHeight="1">
      <c r="A1307" s="51">
        <v>46147.45399349537</v>
      </c>
      <c r="B1307" s="25" t="s">
        <v>1920</v>
      </c>
      <c r="C1307" s="55" t="s">
        <v>1892</v>
      </c>
      <c r="D1307" s="111">
        <v>46144.0</v>
      </c>
      <c r="E1307" s="52">
        <v>90.0</v>
      </c>
      <c r="F1307" s="55" t="s">
        <v>1898</v>
      </c>
      <c r="G1307" s="26"/>
      <c r="H1307" s="26"/>
      <c r="I1307" s="26" t="s">
        <v>1921</v>
      </c>
      <c r="J1307" s="26" t="s">
        <v>1225</v>
      </c>
      <c r="K1307" s="26" t="s">
        <v>1646</v>
      </c>
      <c r="L1307" s="26" t="s">
        <v>1576</v>
      </c>
      <c r="M1307" s="26" t="s">
        <v>2047</v>
      </c>
      <c r="N1307" s="26" t="s">
        <v>1566</v>
      </c>
      <c r="O1307" s="26" t="s">
        <v>1566</v>
      </c>
      <c r="P1307" s="26" t="s">
        <v>22</v>
      </c>
      <c r="Q1307" s="26">
        <v>0.0</v>
      </c>
    </row>
    <row r="1308" ht="17.25" customHeight="1">
      <c r="A1308" s="51">
        <v>46147.454578668985</v>
      </c>
      <c r="B1308" s="25" t="s">
        <v>1920</v>
      </c>
      <c r="C1308" s="55" t="s">
        <v>1560</v>
      </c>
      <c r="D1308" s="111">
        <v>46139.0</v>
      </c>
      <c r="E1308" s="52">
        <v>3000.0</v>
      </c>
      <c r="F1308" s="55" t="s">
        <v>1561</v>
      </c>
      <c r="G1308" s="26"/>
      <c r="H1308" s="26"/>
      <c r="I1308" s="26" t="s">
        <v>1921</v>
      </c>
      <c r="J1308" s="26" t="s">
        <v>1225</v>
      </c>
      <c r="K1308" s="26" t="s">
        <v>1646</v>
      </c>
      <c r="L1308" s="26" t="s">
        <v>1576</v>
      </c>
      <c r="M1308" s="26" t="s">
        <v>2047</v>
      </c>
      <c r="N1308" s="26" t="s">
        <v>1566</v>
      </c>
      <c r="O1308" s="26" t="s">
        <v>1566</v>
      </c>
      <c r="P1308" s="26" t="s">
        <v>22</v>
      </c>
      <c r="Q1308" s="26">
        <v>0.0</v>
      </c>
    </row>
    <row r="1309" ht="17.25" customHeight="1">
      <c r="A1309" s="51">
        <v>46147.4559371412</v>
      </c>
      <c r="B1309" s="25" t="s">
        <v>1782</v>
      </c>
      <c r="C1309" s="55" t="s">
        <v>1560</v>
      </c>
      <c r="D1309" s="111">
        <v>46139.0</v>
      </c>
      <c r="E1309" s="52">
        <v>500.0</v>
      </c>
      <c r="F1309" s="55" t="s">
        <v>1561</v>
      </c>
      <c r="G1309" s="26"/>
      <c r="H1309" s="26"/>
      <c r="I1309" s="26" t="s">
        <v>1783</v>
      </c>
      <c r="J1309" s="26" t="s">
        <v>1225</v>
      </c>
      <c r="K1309" s="26" t="s">
        <v>1640</v>
      </c>
      <c r="L1309" s="26" t="s">
        <v>1576</v>
      </c>
      <c r="M1309" s="26" t="s">
        <v>1572</v>
      </c>
      <c r="N1309" s="26" t="s">
        <v>1566</v>
      </c>
      <c r="O1309" s="26" t="s">
        <v>1566</v>
      </c>
      <c r="P1309" s="26" t="s">
        <v>22</v>
      </c>
      <c r="Q1309" s="26">
        <v>0.0</v>
      </c>
    </row>
    <row r="1310" ht="17.25" customHeight="1">
      <c r="A1310" s="51">
        <v>46147.46069828703</v>
      </c>
      <c r="B1310" s="201" t="s">
        <v>21</v>
      </c>
      <c r="C1310" s="55" t="s">
        <v>1892</v>
      </c>
      <c r="D1310" s="51">
        <v>46144.42335096065</v>
      </c>
      <c r="E1310" s="52">
        <v>20.0</v>
      </c>
      <c r="F1310" s="55" t="s">
        <v>2124</v>
      </c>
      <c r="G1310" s="26"/>
      <c r="H1310" s="26"/>
      <c r="I1310" s="26" t="s">
        <v>23</v>
      </c>
      <c r="J1310" s="26" t="s">
        <v>1812</v>
      </c>
      <c r="K1310" s="26" t="s">
        <v>1815</v>
      </c>
      <c r="L1310" s="26" t="s">
        <v>1566</v>
      </c>
      <c r="M1310" s="26" t="s">
        <v>1566</v>
      </c>
      <c r="N1310" s="26" t="s">
        <v>1566</v>
      </c>
      <c r="O1310" s="26" t="s">
        <v>1818</v>
      </c>
      <c r="P1310" s="26" t="s">
        <v>616</v>
      </c>
      <c r="Q1310" s="26">
        <v>20.0</v>
      </c>
    </row>
    <row r="1311" ht="17.25" customHeight="1">
      <c r="A1311" s="51">
        <v>46147.46151346064</v>
      </c>
      <c r="B1311" s="25" t="s">
        <v>287</v>
      </c>
      <c r="C1311" s="55" t="s">
        <v>1892</v>
      </c>
      <c r="D1311" s="111">
        <v>46146.0</v>
      </c>
      <c r="E1311" s="52">
        <v>2.0</v>
      </c>
      <c r="F1311" s="55" t="s">
        <v>2124</v>
      </c>
      <c r="G1311" s="26"/>
      <c r="H1311" s="26"/>
      <c r="I1311" s="26" t="s">
        <v>288</v>
      </c>
      <c r="J1311" s="26" t="s">
        <v>1674</v>
      </c>
      <c r="K1311" s="26" t="s">
        <v>1675</v>
      </c>
      <c r="L1311" s="26" t="s">
        <v>1566</v>
      </c>
      <c r="M1311" s="26" t="s">
        <v>1566</v>
      </c>
      <c r="N1311" s="26" t="s">
        <v>1676</v>
      </c>
      <c r="O1311" s="26" t="s">
        <v>1677</v>
      </c>
      <c r="P1311" s="26" t="s">
        <v>290</v>
      </c>
      <c r="Q1311" s="26">
        <v>16.0</v>
      </c>
    </row>
    <row r="1312" ht="17.25" customHeight="1">
      <c r="A1312" s="51">
        <v>46147.461655590276</v>
      </c>
      <c r="B1312" s="25" t="s">
        <v>292</v>
      </c>
      <c r="C1312" s="55" t="s">
        <v>1892</v>
      </c>
      <c r="D1312" s="51">
        <v>46144.42335096065</v>
      </c>
      <c r="E1312" s="52">
        <v>2.0</v>
      </c>
      <c r="F1312" s="55" t="s">
        <v>2124</v>
      </c>
      <c r="G1312" s="26"/>
      <c r="H1312" s="26"/>
      <c r="I1312" s="26" t="s">
        <v>294</v>
      </c>
      <c r="J1312" s="26" t="s">
        <v>1674</v>
      </c>
      <c r="K1312" s="26" t="s">
        <v>1675</v>
      </c>
      <c r="L1312" s="26" t="s">
        <v>1566</v>
      </c>
      <c r="M1312" s="26" t="s">
        <v>1566</v>
      </c>
      <c r="N1312" s="26" t="s">
        <v>1678</v>
      </c>
      <c r="O1312" s="26" t="s">
        <v>1677</v>
      </c>
      <c r="P1312" s="26" t="s">
        <v>290</v>
      </c>
      <c r="Q1312" s="26">
        <v>10.0</v>
      </c>
    </row>
    <row r="1313" ht="17.25" customHeight="1">
      <c r="A1313" s="51">
        <v>46147.461656597225</v>
      </c>
      <c r="B1313" s="25" t="s">
        <v>292</v>
      </c>
      <c r="C1313" s="55" t="s">
        <v>1892</v>
      </c>
      <c r="D1313" s="111">
        <v>46146.0</v>
      </c>
      <c r="E1313" s="52">
        <v>2.0</v>
      </c>
      <c r="F1313" s="55" t="s">
        <v>2124</v>
      </c>
      <c r="G1313" s="26"/>
      <c r="H1313" s="26"/>
      <c r="I1313" s="26" t="s">
        <v>294</v>
      </c>
      <c r="J1313" s="26" t="s">
        <v>1674</v>
      </c>
      <c r="K1313" s="26" t="s">
        <v>1675</v>
      </c>
      <c r="L1313" s="26" t="s">
        <v>1566</v>
      </c>
      <c r="M1313" s="26" t="s">
        <v>1566</v>
      </c>
      <c r="N1313" s="26" t="s">
        <v>1678</v>
      </c>
      <c r="O1313" s="26" t="s">
        <v>1677</v>
      </c>
      <c r="P1313" s="26" t="s">
        <v>290</v>
      </c>
      <c r="Q1313" s="26">
        <v>10.0</v>
      </c>
    </row>
    <row r="1314" ht="17.25" customHeight="1">
      <c r="A1314" s="51">
        <v>46147.462227870376</v>
      </c>
      <c r="B1314" s="25" t="s">
        <v>304</v>
      </c>
      <c r="C1314" s="55" t="s">
        <v>1892</v>
      </c>
      <c r="D1314" s="111">
        <v>46146.0</v>
      </c>
      <c r="E1314" s="52">
        <v>2.0</v>
      </c>
      <c r="F1314" s="55" t="s">
        <v>2124</v>
      </c>
      <c r="G1314" s="26"/>
      <c r="H1314" s="26"/>
      <c r="I1314" s="26" t="s">
        <v>306</v>
      </c>
      <c r="J1314" s="26" t="s">
        <v>1674</v>
      </c>
      <c r="K1314" s="26" t="s">
        <v>1675</v>
      </c>
      <c r="L1314" s="26" t="s">
        <v>1566</v>
      </c>
      <c r="M1314" s="26" t="s">
        <v>1566</v>
      </c>
      <c r="N1314" s="26" t="s">
        <v>1682</v>
      </c>
      <c r="O1314" s="26" t="s">
        <v>1677</v>
      </c>
      <c r="P1314" s="26" t="s">
        <v>290</v>
      </c>
      <c r="Q1314" s="26">
        <v>6.0</v>
      </c>
    </row>
    <row r="1315" ht="17.25" customHeight="1">
      <c r="A1315" s="51">
        <v>46147.46429928241</v>
      </c>
      <c r="B1315" s="25" t="s">
        <v>1928</v>
      </c>
      <c r="C1315" s="55" t="s">
        <v>1560</v>
      </c>
      <c r="D1315" s="111">
        <v>46142.0</v>
      </c>
      <c r="E1315" s="52">
        <v>20.0</v>
      </c>
      <c r="F1315" s="55" t="s">
        <v>1673</v>
      </c>
      <c r="G1315" s="26"/>
      <c r="H1315" s="26"/>
      <c r="I1315" s="26" t="s">
        <v>1929</v>
      </c>
      <c r="J1315" s="26" t="s">
        <v>1812</v>
      </c>
      <c r="K1315" s="26" t="s">
        <v>1815</v>
      </c>
      <c r="L1315" s="26" t="s">
        <v>1566</v>
      </c>
      <c r="M1315" s="26" t="s">
        <v>1566</v>
      </c>
      <c r="N1315" s="26" t="s">
        <v>1566</v>
      </c>
      <c r="O1315" s="26" t="s">
        <v>2079</v>
      </c>
      <c r="P1315" s="26" t="s">
        <v>616</v>
      </c>
      <c r="Q1315" s="26">
        <v>0.0</v>
      </c>
    </row>
    <row r="1316" ht="17.25" customHeight="1">
      <c r="A1316" s="51">
        <v>46147.464748784725</v>
      </c>
      <c r="B1316" s="25" t="s">
        <v>598</v>
      </c>
      <c r="C1316" s="55" t="s">
        <v>1892</v>
      </c>
      <c r="D1316" s="111">
        <v>46141.0</v>
      </c>
      <c r="E1316" s="52">
        <v>5.0</v>
      </c>
      <c r="F1316" s="55" t="s">
        <v>2169</v>
      </c>
      <c r="G1316" s="26"/>
      <c r="H1316" s="26"/>
      <c r="I1316" s="26" t="s">
        <v>604</v>
      </c>
      <c r="J1316" s="26" t="s">
        <v>1812</v>
      </c>
      <c r="K1316" s="26" t="s">
        <v>1815</v>
      </c>
      <c r="L1316" s="26" t="s">
        <v>1566</v>
      </c>
      <c r="M1316" s="26" t="s">
        <v>1566</v>
      </c>
      <c r="N1316" s="26" t="s">
        <v>1566</v>
      </c>
      <c r="O1316" s="26" t="s">
        <v>1812</v>
      </c>
      <c r="P1316" s="26" t="s">
        <v>616</v>
      </c>
      <c r="Q1316" s="26">
        <v>15.0</v>
      </c>
    </row>
    <row r="1317" ht="17.25" customHeight="1">
      <c r="A1317" s="51">
        <v>46147.46477016204</v>
      </c>
      <c r="B1317" s="25" t="s">
        <v>598</v>
      </c>
      <c r="C1317" s="55" t="s">
        <v>1892</v>
      </c>
      <c r="D1317" s="111">
        <v>46146.0</v>
      </c>
      <c r="E1317" s="52">
        <v>5.0</v>
      </c>
      <c r="F1317" s="55" t="s">
        <v>2169</v>
      </c>
      <c r="G1317" s="26"/>
      <c r="H1317" s="26"/>
      <c r="I1317" s="26" t="s">
        <v>604</v>
      </c>
      <c r="J1317" s="26" t="s">
        <v>1812</v>
      </c>
      <c r="K1317" s="26" t="s">
        <v>1815</v>
      </c>
      <c r="L1317" s="26" t="s">
        <v>1566</v>
      </c>
      <c r="M1317" s="26" t="s">
        <v>1566</v>
      </c>
      <c r="N1317" s="26" t="s">
        <v>1566</v>
      </c>
      <c r="O1317" s="26" t="s">
        <v>1812</v>
      </c>
      <c r="P1317" s="26" t="s">
        <v>616</v>
      </c>
      <c r="Q1317" s="26">
        <v>15.0</v>
      </c>
    </row>
    <row r="1318" ht="17.25" customHeight="1">
      <c r="A1318" s="51">
        <v>46147.46508354167</v>
      </c>
      <c r="B1318" s="25" t="s">
        <v>728</v>
      </c>
      <c r="C1318" s="55" t="s">
        <v>1892</v>
      </c>
      <c r="D1318" s="111">
        <v>46142.0</v>
      </c>
      <c r="E1318" s="52">
        <v>5.0</v>
      </c>
      <c r="F1318" s="55" t="s">
        <v>2075</v>
      </c>
      <c r="G1318" s="26"/>
      <c r="H1318" s="26"/>
      <c r="I1318" s="26" t="s">
        <v>729</v>
      </c>
      <c r="J1318" s="26" t="s">
        <v>1812</v>
      </c>
      <c r="K1318" s="26" t="s">
        <v>1815</v>
      </c>
      <c r="L1318" s="26" t="s">
        <v>1566</v>
      </c>
      <c r="M1318" s="26" t="s">
        <v>1566</v>
      </c>
      <c r="N1318" s="26" t="s">
        <v>1566</v>
      </c>
      <c r="O1318" s="26" t="s">
        <v>1566</v>
      </c>
      <c r="P1318" s="26" t="s">
        <v>661</v>
      </c>
      <c r="Q1318" s="26">
        <v>10.0</v>
      </c>
    </row>
    <row r="1319" ht="17.25" customHeight="1">
      <c r="A1319" s="51">
        <v>46147.46613490741</v>
      </c>
      <c r="B1319" s="25" t="s">
        <v>968</v>
      </c>
      <c r="C1319" s="55" t="s">
        <v>1892</v>
      </c>
      <c r="D1319" s="111">
        <v>46142.0</v>
      </c>
      <c r="E1319" s="52">
        <v>1.0</v>
      </c>
      <c r="F1319" s="55" t="s">
        <v>2075</v>
      </c>
      <c r="G1319" s="26"/>
      <c r="H1319" s="26"/>
      <c r="I1319" s="26" t="s">
        <v>969</v>
      </c>
      <c r="J1319" s="26" t="s">
        <v>1807</v>
      </c>
      <c r="K1319" s="26" t="s">
        <v>1807</v>
      </c>
      <c r="L1319" s="26" t="s">
        <v>1566</v>
      </c>
      <c r="M1319" s="26" t="s">
        <v>1566</v>
      </c>
      <c r="N1319" s="26" t="s">
        <v>1566</v>
      </c>
      <c r="O1319" s="26" t="s">
        <v>1566</v>
      </c>
      <c r="P1319" s="26" t="s">
        <v>290</v>
      </c>
      <c r="Q1319" s="26">
        <v>2.0</v>
      </c>
    </row>
    <row r="1320" ht="17.25" customHeight="1">
      <c r="A1320" s="51">
        <v>46147.4668637963</v>
      </c>
      <c r="B1320" s="25" t="s">
        <v>733</v>
      </c>
      <c r="C1320" s="55" t="s">
        <v>1892</v>
      </c>
      <c r="D1320" s="111">
        <v>46142.0</v>
      </c>
      <c r="E1320" s="52">
        <v>1.0</v>
      </c>
      <c r="F1320" s="55" t="s">
        <v>2075</v>
      </c>
      <c r="G1320" s="26"/>
      <c r="H1320" s="26"/>
      <c r="I1320" s="26" t="s">
        <v>739</v>
      </c>
      <c r="J1320" s="26" t="s">
        <v>1833</v>
      </c>
      <c r="K1320" s="26" t="s">
        <v>1833</v>
      </c>
      <c r="L1320" s="26" t="s">
        <v>1566</v>
      </c>
      <c r="M1320" s="26" t="s">
        <v>1566</v>
      </c>
      <c r="N1320" s="26" t="s">
        <v>1566</v>
      </c>
      <c r="O1320" s="26" t="s">
        <v>1566</v>
      </c>
      <c r="P1320" s="26" t="s">
        <v>661</v>
      </c>
      <c r="Q1320" s="26">
        <v>4.0</v>
      </c>
    </row>
    <row r="1321" ht="17.25" customHeight="1">
      <c r="A1321" s="51">
        <v>46147.469364606484</v>
      </c>
      <c r="B1321" s="25" t="s">
        <v>1039</v>
      </c>
      <c r="C1321" s="55" t="s">
        <v>1892</v>
      </c>
      <c r="D1321" s="111">
        <v>46142.0</v>
      </c>
      <c r="E1321" s="52">
        <v>1.0</v>
      </c>
      <c r="F1321" s="55" t="s">
        <v>2256</v>
      </c>
      <c r="G1321" s="26"/>
      <c r="H1321" s="26"/>
      <c r="I1321" s="26" t="s">
        <v>1040</v>
      </c>
      <c r="J1321" s="26" t="s">
        <v>1830</v>
      </c>
      <c r="K1321" s="26" t="s">
        <v>1833</v>
      </c>
      <c r="L1321" s="26" t="s">
        <v>1566</v>
      </c>
      <c r="M1321" s="26" t="s">
        <v>1566</v>
      </c>
      <c r="N1321" s="26" t="s">
        <v>1566</v>
      </c>
      <c r="O1321" s="26" t="s">
        <v>1566</v>
      </c>
      <c r="P1321" s="26" t="s">
        <v>643</v>
      </c>
      <c r="Q1321" s="26">
        <v>6.0</v>
      </c>
    </row>
    <row r="1322" ht="17.25" customHeight="1">
      <c r="A1322" s="51">
        <v>46147.469456875</v>
      </c>
      <c r="B1322" s="25" t="s">
        <v>1039</v>
      </c>
      <c r="C1322" s="55" t="s">
        <v>1892</v>
      </c>
      <c r="D1322" s="111">
        <v>46146.0</v>
      </c>
      <c r="E1322" s="52">
        <v>1.0</v>
      </c>
      <c r="F1322" s="55" t="s">
        <v>630</v>
      </c>
      <c r="G1322" s="26"/>
      <c r="H1322" s="26"/>
      <c r="I1322" s="26" t="s">
        <v>1040</v>
      </c>
      <c r="J1322" s="26" t="s">
        <v>1830</v>
      </c>
      <c r="K1322" s="26" t="s">
        <v>1833</v>
      </c>
      <c r="L1322" s="26" t="s">
        <v>1566</v>
      </c>
      <c r="M1322" s="26" t="s">
        <v>1566</v>
      </c>
      <c r="N1322" s="26" t="s">
        <v>1566</v>
      </c>
      <c r="O1322" s="26" t="s">
        <v>1566</v>
      </c>
      <c r="P1322" s="26" t="s">
        <v>643</v>
      </c>
      <c r="Q1322" s="26">
        <v>6.0</v>
      </c>
    </row>
    <row r="1323" ht="17.25" customHeight="1">
      <c r="A1323" s="51">
        <v>46147.46956907408</v>
      </c>
      <c r="B1323" s="25" t="s">
        <v>1039</v>
      </c>
      <c r="C1323" s="55" t="s">
        <v>1892</v>
      </c>
      <c r="D1323" s="111">
        <v>46147.0</v>
      </c>
      <c r="E1323" s="52">
        <v>3.0</v>
      </c>
      <c r="F1323" s="55" t="s">
        <v>2169</v>
      </c>
      <c r="G1323" s="26"/>
      <c r="H1323" s="26"/>
      <c r="I1323" s="26" t="s">
        <v>1040</v>
      </c>
      <c r="J1323" s="26" t="s">
        <v>1830</v>
      </c>
      <c r="K1323" s="26" t="s">
        <v>1833</v>
      </c>
      <c r="L1323" s="26" t="s">
        <v>1566</v>
      </c>
      <c r="M1323" s="26" t="s">
        <v>1566</v>
      </c>
      <c r="N1323" s="26" t="s">
        <v>1566</v>
      </c>
      <c r="O1323" s="26" t="s">
        <v>1566</v>
      </c>
      <c r="P1323" s="26" t="s">
        <v>643</v>
      </c>
      <c r="Q1323" s="26">
        <v>6.0</v>
      </c>
    </row>
    <row r="1324" ht="17.25" customHeight="1">
      <c r="A1324" s="51">
        <v>46147.7896902662</v>
      </c>
      <c r="B1324" s="25" t="s">
        <v>292</v>
      </c>
      <c r="C1324" s="55" t="s">
        <v>1560</v>
      </c>
      <c r="D1324" s="111">
        <v>46147.0</v>
      </c>
      <c r="E1324" s="52">
        <v>12.0</v>
      </c>
      <c r="F1324" s="55" t="s">
        <v>2015</v>
      </c>
      <c r="G1324" s="26"/>
      <c r="H1324" s="26"/>
      <c r="I1324" s="26" t="s">
        <v>294</v>
      </c>
      <c r="J1324" s="26" t="s">
        <v>1674</v>
      </c>
      <c r="K1324" s="26" t="s">
        <v>1675</v>
      </c>
      <c r="L1324" s="26" t="s">
        <v>1566</v>
      </c>
      <c r="M1324" s="26" t="s">
        <v>1566</v>
      </c>
      <c r="N1324" s="26" t="s">
        <v>1678</v>
      </c>
      <c r="O1324" s="26" t="s">
        <v>1677</v>
      </c>
      <c r="P1324" s="26" t="s">
        <v>290</v>
      </c>
      <c r="Q1324" s="26">
        <v>10.0</v>
      </c>
    </row>
    <row r="1325" ht="17.25" customHeight="1">
      <c r="A1325" s="51">
        <v>46147.78989533565</v>
      </c>
      <c r="B1325" s="25" t="s">
        <v>292</v>
      </c>
      <c r="C1325" s="55" t="s">
        <v>1892</v>
      </c>
      <c r="D1325" s="111">
        <v>46147.0</v>
      </c>
      <c r="E1325" s="52">
        <v>4.0</v>
      </c>
      <c r="F1325" s="55" t="s">
        <v>2169</v>
      </c>
      <c r="G1325" s="26"/>
      <c r="H1325" s="26"/>
      <c r="I1325" s="26" t="s">
        <v>294</v>
      </c>
      <c r="J1325" s="26" t="s">
        <v>1674</v>
      </c>
      <c r="K1325" s="26" t="s">
        <v>1675</v>
      </c>
      <c r="L1325" s="26" t="s">
        <v>1566</v>
      </c>
      <c r="M1325" s="26" t="s">
        <v>1566</v>
      </c>
      <c r="N1325" s="26" t="s">
        <v>1678</v>
      </c>
      <c r="O1325" s="26" t="s">
        <v>1677</v>
      </c>
      <c r="P1325" s="26" t="s">
        <v>290</v>
      </c>
      <c r="Q1325" s="26">
        <v>10.0</v>
      </c>
    </row>
    <row r="1326" ht="17.25" customHeight="1">
      <c r="A1326" s="51">
        <v>46147.79057054398</v>
      </c>
      <c r="B1326" s="25" t="s">
        <v>441</v>
      </c>
      <c r="C1326" s="55" t="s">
        <v>1560</v>
      </c>
      <c r="D1326" s="111">
        <v>46147.0</v>
      </c>
      <c r="E1326" s="52">
        <v>10.0</v>
      </c>
      <c r="F1326" s="55" t="s">
        <v>2271</v>
      </c>
      <c r="G1326" s="26"/>
      <c r="H1326" s="26"/>
      <c r="I1326" s="26" t="s">
        <v>688</v>
      </c>
      <c r="J1326" s="26" t="s">
        <v>1674</v>
      </c>
      <c r="K1326" s="26" t="s">
        <v>1691</v>
      </c>
      <c r="L1326" s="26" t="s">
        <v>1566</v>
      </c>
      <c r="M1326" s="26" t="s">
        <v>1566</v>
      </c>
      <c r="N1326" s="26" t="s">
        <v>1721</v>
      </c>
      <c r="O1326" s="26" t="s">
        <v>1677</v>
      </c>
      <c r="P1326" s="26" t="s">
        <v>290</v>
      </c>
      <c r="Q1326" s="26">
        <v>0.0</v>
      </c>
    </row>
    <row r="1327" ht="17.25" customHeight="1">
      <c r="A1327" s="51">
        <v>46148.44524392361</v>
      </c>
      <c r="B1327" s="26" t="s">
        <v>1994</v>
      </c>
      <c r="C1327" s="55" t="s">
        <v>1560</v>
      </c>
      <c r="D1327" s="111">
        <v>46147.0</v>
      </c>
      <c r="E1327" s="52">
        <v>1.0</v>
      </c>
      <c r="F1327" s="55" t="s">
        <v>2271</v>
      </c>
      <c r="G1327" s="26"/>
      <c r="H1327" s="26"/>
      <c r="I1327" s="26" t="s">
        <v>1996</v>
      </c>
      <c r="J1327" s="26" t="s">
        <v>1674</v>
      </c>
      <c r="K1327" s="26" t="s">
        <v>1691</v>
      </c>
      <c r="L1327" s="26" t="s">
        <v>1566</v>
      </c>
      <c r="M1327" s="26" t="s">
        <v>1566</v>
      </c>
      <c r="N1327" s="26" t="s">
        <v>1566</v>
      </c>
      <c r="O1327" s="26" t="s">
        <v>1682</v>
      </c>
      <c r="P1327" s="26" t="s">
        <v>290</v>
      </c>
      <c r="Q1327" s="26">
        <v>0.0</v>
      </c>
    </row>
    <row r="1328" ht="17.25" customHeight="1">
      <c r="A1328" s="51">
        <v>46148.44525871528</v>
      </c>
      <c r="B1328" s="55" t="s">
        <v>1998</v>
      </c>
      <c r="C1328" s="55" t="s">
        <v>1560</v>
      </c>
      <c r="D1328" s="111">
        <v>46147.0</v>
      </c>
      <c r="E1328" s="52">
        <v>1.0</v>
      </c>
      <c r="F1328" s="55" t="s">
        <v>2271</v>
      </c>
      <c r="G1328" s="26"/>
      <c r="H1328" s="26"/>
      <c r="I1328" s="26" t="s">
        <v>1999</v>
      </c>
      <c r="J1328" s="26" t="s">
        <v>1674</v>
      </c>
      <c r="K1328" s="26" t="s">
        <v>1691</v>
      </c>
      <c r="L1328" s="26" t="s">
        <v>1566</v>
      </c>
      <c r="M1328" s="26" t="s">
        <v>1566</v>
      </c>
      <c r="N1328" s="26" t="s">
        <v>1566</v>
      </c>
      <c r="O1328" s="26" t="s">
        <v>1805</v>
      </c>
      <c r="P1328" s="26" t="s">
        <v>290</v>
      </c>
      <c r="Q1328" s="26">
        <v>0.0</v>
      </c>
    </row>
    <row r="1329" ht="17.25" customHeight="1">
      <c r="A1329" s="51">
        <v>46148.51939408565</v>
      </c>
      <c r="B1329" s="26" t="s">
        <v>1191</v>
      </c>
      <c r="C1329" s="55" t="s">
        <v>1560</v>
      </c>
      <c r="D1329" s="111">
        <v>46141.0</v>
      </c>
      <c r="E1329" s="52">
        <v>1.0</v>
      </c>
      <c r="F1329" s="55" t="s">
        <v>2271</v>
      </c>
      <c r="G1329" s="26"/>
      <c r="H1329" s="26"/>
      <c r="I1329" s="26" t="s">
        <v>1192</v>
      </c>
      <c r="J1329" s="26" t="s">
        <v>1674</v>
      </c>
      <c r="K1329" s="26" t="s">
        <v>1691</v>
      </c>
      <c r="L1329" s="26" t="s">
        <v>1566</v>
      </c>
      <c r="M1329" s="26" t="s">
        <v>1566</v>
      </c>
      <c r="N1329" s="26" t="s">
        <v>1566</v>
      </c>
      <c r="O1329" s="26" t="s">
        <v>2159</v>
      </c>
      <c r="P1329" s="26" t="s">
        <v>290</v>
      </c>
      <c r="Q1329" s="26">
        <v>2.0</v>
      </c>
    </row>
    <row r="1330" ht="17.25" customHeight="1">
      <c r="A1330" s="51">
        <v>46148.519969270834</v>
      </c>
      <c r="B1330" s="25" t="s">
        <v>301</v>
      </c>
      <c r="C1330" s="55" t="s">
        <v>1892</v>
      </c>
      <c r="D1330" s="111">
        <v>46141.0</v>
      </c>
      <c r="E1330" s="52">
        <v>20.0</v>
      </c>
      <c r="F1330" s="55" t="s">
        <v>1899</v>
      </c>
      <c r="G1330" s="26"/>
      <c r="H1330" s="26"/>
      <c r="I1330" s="26" t="s">
        <v>302</v>
      </c>
      <c r="J1330" s="26" t="s">
        <v>1830</v>
      </c>
      <c r="K1330" s="26" t="s">
        <v>302</v>
      </c>
      <c r="L1330" s="26" t="s">
        <v>1566</v>
      </c>
      <c r="M1330" s="26" t="s">
        <v>1566</v>
      </c>
      <c r="N1330" s="26" t="s">
        <v>1566</v>
      </c>
      <c r="O1330" s="26" t="s">
        <v>1566</v>
      </c>
      <c r="P1330" s="26" t="s">
        <v>661</v>
      </c>
      <c r="Q1330" s="26">
        <v>580.0</v>
      </c>
    </row>
    <row r="1331" ht="17.25" customHeight="1">
      <c r="A1331" s="51">
        <v>46148.519961365746</v>
      </c>
      <c r="B1331" s="25" t="s">
        <v>301</v>
      </c>
      <c r="C1331" s="55" t="s">
        <v>1892</v>
      </c>
      <c r="D1331" s="111">
        <v>46142.0</v>
      </c>
      <c r="E1331" s="52">
        <v>20.0</v>
      </c>
      <c r="F1331" s="55" t="s">
        <v>1942</v>
      </c>
      <c r="G1331" s="26"/>
      <c r="H1331" s="26"/>
      <c r="I1331" s="26" t="s">
        <v>302</v>
      </c>
      <c r="J1331" s="26" t="s">
        <v>1830</v>
      </c>
      <c r="K1331" s="26" t="s">
        <v>302</v>
      </c>
      <c r="L1331" s="26" t="s">
        <v>1566</v>
      </c>
      <c r="M1331" s="26" t="s">
        <v>1566</v>
      </c>
      <c r="N1331" s="26" t="s">
        <v>1566</v>
      </c>
      <c r="O1331" s="26" t="s">
        <v>1566</v>
      </c>
      <c r="P1331" s="26" t="s">
        <v>661</v>
      </c>
      <c r="Q1331" s="26">
        <v>580.0</v>
      </c>
    </row>
    <row r="1332" ht="17.25" customHeight="1">
      <c r="A1332" s="51">
        <v>46148.51997145833</v>
      </c>
      <c r="B1332" s="25" t="s">
        <v>301</v>
      </c>
      <c r="C1332" s="55" t="s">
        <v>1892</v>
      </c>
      <c r="D1332" s="111">
        <v>46144.0</v>
      </c>
      <c r="E1332" s="52">
        <v>20.0</v>
      </c>
      <c r="F1332" s="55" t="s">
        <v>2147</v>
      </c>
      <c r="G1332" s="26"/>
      <c r="H1332" s="26"/>
      <c r="I1332" s="26" t="s">
        <v>302</v>
      </c>
      <c r="J1332" s="26" t="s">
        <v>1830</v>
      </c>
      <c r="K1332" s="26" t="s">
        <v>302</v>
      </c>
      <c r="L1332" s="26" t="s">
        <v>1566</v>
      </c>
      <c r="M1332" s="26" t="s">
        <v>1566</v>
      </c>
      <c r="N1332" s="26" t="s">
        <v>1566</v>
      </c>
      <c r="O1332" s="26" t="s">
        <v>1566</v>
      </c>
      <c r="P1332" s="26" t="s">
        <v>661</v>
      </c>
      <c r="Q1332" s="26">
        <v>580.0</v>
      </c>
    </row>
    <row r="1333" ht="17.25" customHeight="1">
      <c r="A1333" s="51">
        <v>46148.520435405095</v>
      </c>
      <c r="B1333" s="25" t="s">
        <v>301</v>
      </c>
      <c r="C1333" s="55" t="s">
        <v>1892</v>
      </c>
      <c r="D1333" s="111">
        <v>46145.0</v>
      </c>
      <c r="E1333" s="52">
        <v>20.0</v>
      </c>
      <c r="F1333" s="55" t="s">
        <v>2075</v>
      </c>
      <c r="G1333" s="26"/>
      <c r="H1333" s="26"/>
      <c r="I1333" s="26" t="s">
        <v>302</v>
      </c>
      <c r="J1333" s="26" t="s">
        <v>1830</v>
      </c>
      <c r="K1333" s="26" t="s">
        <v>302</v>
      </c>
      <c r="L1333" s="26" t="s">
        <v>1566</v>
      </c>
      <c r="M1333" s="26" t="s">
        <v>1566</v>
      </c>
      <c r="N1333" s="26" t="s">
        <v>1566</v>
      </c>
      <c r="O1333" s="26" t="s">
        <v>1566</v>
      </c>
      <c r="P1333" s="26" t="s">
        <v>661</v>
      </c>
      <c r="Q1333" s="26">
        <v>580.0</v>
      </c>
    </row>
    <row r="1334" ht="17.25" customHeight="1">
      <c r="A1334" s="51">
        <v>46148.520525266205</v>
      </c>
      <c r="B1334" s="25" t="s">
        <v>301</v>
      </c>
      <c r="C1334" s="55" t="s">
        <v>1892</v>
      </c>
      <c r="D1334" s="111">
        <v>46146.0</v>
      </c>
      <c r="E1334" s="52">
        <v>20.0</v>
      </c>
      <c r="F1334" s="55" t="s">
        <v>1899</v>
      </c>
      <c r="G1334" s="26"/>
      <c r="H1334" s="26"/>
      <c r="I1334" s="26" t="s">
        <v>302</v>
      </c>
      <c r="J1334" s="26" t="s">
        <v>1830</v>
      </c>
      <c r="K1334" s="26" t="s">
        <v>302</v>
      </c>
      <c r="L1334" s="26" t="s">
        <v>1566</v>
      </c>
      <c r="M1334" s="26" t="s">
        <v>1566</v>
      </c>
      <c r="N1334" s="26" t="s">
        <v>1566</v>
      </c>
      <c r="O1334" s="26" t="s">
        <v>1566</v>
      </c>
      <c r="P1334" s="26" t="s">
        <v>661</v>
      </c>
      <c r="Q1334" s="26">
        <v>580.0</v>
      </c>
    </row>
    <row r="1335" ht="17.25" customHeight="1">
      <c r="A1335" s="51">
        <v>46148.521002905094</v>
      </c>
      <c r="B1335" s="25" t="s">
        <v>301</v>
      </c>
      <c r="C1335" s="55" t="s">
        <v>1892</v>
      </c>
      <c r="D1335" s="111">
        <v>46146.0</v>
      </c>
      <c r="E1335" s="52">
        <v>100.0</v>
      </c>
      <c r="F1335" s="55" t="s">
        <v>1898</v>
      </c>
      <c r="G1335" s="26"/>
      <c r="H1335" s="26"/>
      <c r="I1335" s="26" t="s">
        <v>302</v>
      </c>
      <c r="J1335" s="26" t="s">
        <v>1830</v>
      </c>
      <c r="K1335" s="26" t="s">
        <v>302</v>
      </c>
      <c r="L1335" s="26" t="s">
        <v>1566</v>
      </c>
      <c r="M1335" s="26" t="s">
        <v>1566</v>
      </c>
      <c r="N1335" s="26" t="s">
        <v>1566</v>
      </c>
      <c r="O1335" s="26" t="s">
        <v>1566</v>
      </c>
      <c r="P1335" s="26" t="s">
        <v>661</v>
      </c>
      <c r="Q1335" s="26">
        <v>580.0</v>
      </c>
    </row>
    <row r="1336" ht="17.25" customHeight="1">
      <c r="A1336" s="51">
        <v>46148.60859001157</v>
      </c>
      <c r="B1336" s="25" t="s">
        <v>1045</v>
      </c>
      <c r="C1336" s="55" t="s">
        <v>1892</v>
      </c>
      <c r="D1336" s="111">
        <v>46136.0</v>
      </c>
      <c r="E1336" s="52">
        <v>900.0</v>
      </c>
      <c r="F1336" s="55" t="s">
        <v>1561</v>
      </c>
      <c r="G1336" s="55">
        <v>762.0</v>
      </c>
      <c r="H1336" s="26"/>
      <c r="I1336" s="26" t="s">
        <v>1046</v>
      </c>
      <c r="J1336" s="26" t="s">
        <v>1225</v>
      </c>
      <c r="K1336" s="26" t="s">
        <v>1562</v>
      </c>
      <c r="L1336" s="26" t="s">
        <v>1633</v>
      </c>
      <c r="M1336" s="26" t="s">
        <v>2093</v>
      </c>
      <c r="N1336" s="26" t="s">
        <v>1566</v>
      </c>
      <c r="O1336" s="26" t="s">
        <v>1566</v>
      </c>
      <c r="P1336" s="26" t="s">
        <v>22</v>
      </c>
      <c r="Q1336" s="26">
        <v>950.0</v>
      </c>
    </row>
    <row r="1337" ht="17.25" customHeight="1">
      <c r="A1337" s="51">
        <v>46148.60932358797</v>
      </c>
      <c r="B1337" s="25" t="s">
        <v>1981</v>
      </c>
      <c r="C1337" s="55" t="s">
        <v>1892</v>
      </c>
      <c r="D1337" s="196" t="s">
        <v>2272</v>
      </c>
      <c r="E1337" s="195">
        <v>1008.0</v>
      </c>
      <c r="F1337" s="55" t="s">
        <v>1561</v>
      </c>
      <c r="G1337" s="55">
        <v>763.0</v>
      </c>
      <c r="H1337" s="26"/>
      <c r="I1337" s="26" t="s">
        <v>1982</v>
      </c>
      <c r="J1337" s="26" t="s">
        <v>1225</v>
      </c>
      <c r="K1337" s="26" t="s">
        <v>1653</v>
      </c>
      <c r="L1337" s="26" t="s">
        <v>1584</v>
      </c>
      <c r="M1337" s="26" t="s">
        <v>1595</v>
      </c>
      <c r="N1337" s="26" t="s">
        <v>1566</v>
      </c>
      <c r="O1337" s="26" t="s">
        <v>2100</v>
      </c>
      <c r="P1337" s="26" t="s">
        <v>22</v>
      </c>
      <c r="Q1337" s="26">
        <v>0.0</v>
      </c>
    </row>
    <row r="1338" ht="17.25" customHeight="1">
      <c r="A1338" s="51">
        <v>46148.69771314815</v>
      </c>
      <c r="B1338" s="26" t="s">
        <v>734</v>
      </c>
      <c r="C1338" s="55" t="s">
        <v>1892</v>
      </c>
      <c r="D1338" s="196" t="s">
        <v>2272</v>
      </c>
      <c r="E1338" s="52">
        <v>200.0</v>
      </c>
      <c r="F1338" s="55" t="s">
        <v>1561</v>
      </c>
      <c r="G1338" s="55">
        <v>764.0</v>
      </c>
      <c r="H1338" s="26"/>
      <c r="I1338" s="26" t="s">
        <v>736</v>
      </c>
      <c r="J1338" s="26" t="s">
        <v>1225</v>
      </c>
      <c r="K1338" s="26" t="s">
        <v>1562</v>
      </c>
      <c r="L1338" s="26" t="s">
        <v>1591</v>
      </c>
      <c r="M1338" s="26" t="s">
        <v>1564</v>
      </c>
      <c r="N1338" s="26" t="s">
        <v>1566</v>
      </c>
      <c r="O1338" s="26" t="s">
        <v>1566</v>
      </c>
      <c r="P1338" s="26" t="s">
        <v>22</v>
      </c>
      <c r="Q1338" s="26">
        <v>1000.0</v>
      </c>
    </row>
    <row r="1339" ht="17.25" customHeight="1">
      <c r="A1339" s="51">
        <v>46148.698183773144</v>
      </c>
      <c r="B1339" s="25" t="s">
        <v>932</v>
      </c>
      <c r="C1339" s="55" t="s">
        <v>1892</v>
      </c>
      <c r="D1339" s="111">
        <v>46141.0</v>
      </c>
      <c r="E1339" s="52">
        <v>400.0</v>
      </c>
      <c r="F1339" s="55" t="s">
        <v>1561</v>
      </c>
      <c r="G1339" s="55">
        <v>765.0</v>
      </c>
      <c r="H1339" s="26"/>
      <c r="I1339" s="26" t="s">
        <v>933</v>
      </c>
      <c r="J1339" s="26" t="s">
        <v>1225</v>
      </c>
      <c r="K1339" s="26" t="s">
        <v>1562</v>
      </c>
      <c r="L1339" s="26" t="s">
        <v>1600</v>
      </c>
      <c r="M1339" s="26" t="s">
        <v>1572</v>
      </c>
      <c r="N1339" s="26" t="s">
        <v>1571</v>
      </c>
      <c r="O1339" s="26" t="s">
        <v>1566</v>
      </c>
      <c r="P1339" s="26" t="s">
        <v>22</v>
      </c>
      <c r="Q1339" s="26">
        <v>400.0</v>
      </c>
    </row>
    <row r="1340" ht="17.25" customHeight="1">
      <c r="A1340" s="51">
        <v>46148.69921663194</v>
      </c>
      <c r="B1340" s="25" t="s">
        <v>1979</v>
      </c>
      <c r="C1340" s="55" t="s">
        <v>1892</v>
      </c>
      <c r="D1340" s="111">
        <v>46141.0</v>
      </c>
      <c r="E1340" s="52">
        <v>400.0</v>
      </c>
      <c r="F1340" s="55" t="s">
        <v>1561</v>
      </c>
      <c r="G1340" s="55">
        <v>766.0</v>
      </c>
      <c r="H1340" s="26"/>
      <c r="I1340" s="26" t="s">
        <v>1980</v>
      </c>
      <c r="J1340" s="26" t="s">
        <v>1225</v>
      </c>
      <c r="K1340" s="26" t="s">
        <v>1642</v>
      </c>
      <c r="L1340" s="26" t="s">
        <v>1576</v>
      </c>
      <c r="M1340" s="26" t="s">
        <v>1662</v>
      </c>
      <c r="N1340" s="26" t="s">
        <v>1566</v>
      </c>
      <c r="O1340" s="26" t="s">
        <v>2140</v>
      </c>
      <c r="P1340" s="26" t="s">
        <v>22</v>
      </c>
      <c r="Q1340" s="26">
        <v>0.0</v>
      </c>
    </row>
    <row r="1341" ht="17.25" customHeight="1">
      <c r="A1341" s="51">
        <v>46148.699977129625</v>
      </c>
      <c r="B1341" s="27" t="s">
        <v>1161</v>
      </c>
      <c r="C1341" s="55" t="s">
        <v>1892</v>
      </c>
      <c r="D1341" s="111">
        <v>46141.0</v>
      </c>
      <c r="E1341" s="195">
        <v>1800.0</v>
      </c>
      <c r="F1341" s="55" t="s">
        <v>1561</v>
      </c>
      <c r="G1341" s="55">
        <v>767.0</v>
      </c>
      <c r="H1341" s="26"/>
      <c r="I1341" s="26" t="s">
        <v>1112</v>
      </c>
      <c r="J1341" s="26" t="s">
        <v>1225</v>
      </c>
      <c r="K1341" s="26" t="s">
        <v>1653</v>
      </c>
      <c r="L1341" s="26" t="s">
        <v>2134</v>
      </c>
      <c r="M1341" s="26" t="s">
        <v>1595</v>
      </c>
      <c r="N1341" s="26" t="s">
        <v>1566</v>
      </c>
      <c r="O1341" s="26" t="s">
        <v>2132</v>
      </c>
      <c r="P1341" s="26" t="s">
        <v>22</v>
      </c>
      <c r="Q1341" s="26">
        <v>1800.0</v>
      </c>
    </row>
    <row r="1342" ht="17.25" customHeight="1">
      <c r="A1342" s="51">
        <v>46148.70343760417</v>
      </c>
      <c r="B1342" s="25" t="s">
        <v>1920</v>
      </c>
      <c r="C1342" s="55" t="s">
        <v>1892</v>
      </c>
      <c r="D1342" s="111">
        <v>46141.0</v>
      </c>
      <c r="E1342" s="52">
        <v>1200.0</v>
      </c>
      <c r="F1342" s="55" t="s">
        <v>1561</v>
      </c>
      <c r="G1342" s="55">
        <v>768.0</v>
      </c>
      <c r="H1342" s="26"/>
      <c r="I1342" s="26" t="s">
        <v>1921</v>
      </c>
      <c r="J1342" s="26" t="s">
        <v>1225</v>
      </c>
      <c r="K1342" s="26" t="s">
        <v>1646</v>
      </c>
      <c r="L1342" s="26" t="s">
        <v>1576</v>
      </c>
      <c r="M1342" s="26" t="s">
        <v>2047</v>
      </c>
      <c r="N1342" s="26" t="s">
        <v>1566</v>
      </c>
      <c r="O1342" s="26" t="s">
        <v>1566</v>
      </c>
      <c r="P1342" s="26" t="s">
        <v>22</v>
      </c>
      <c r="Q1342" s="26">
        <v>0.0</v>
      </c>
    </row>
    <row r="1343" ht="17.25" customHeight="1">
      <c r="A1343" s="51">
        <v>46148.70374886574</v>
      </c>
      <c r="B1343" s="25" t="s">
        <v>1920</v>
      </c>
      <c r="C1343" s="55" t="s">
        <v>1892</v>
      </c>
      <c r="D1343" s="111">
        <v>46141.0</v>
      </c>
      <c r="E1343" s="52">
        <v>1200.0</v>
      </c>
      <c r="F1343" s="55" t="s">
        <v>1561</v>
      </c>
      <c r="G1343" s="55">
        <v>769.0</v>
      </c>
      <c r="H1343" s="26"/>
      <c r="I1343" s="26" t="s">
        <v>1921</v>
      </c>
      <c r="J1343" s="26" t="s">
        <v>1225</v>
      </c>
      <c r="K1343" s="26" t="s">
        <v>1646</v>
      </c>
      <c r="L1343" s="26" t="s">
        <v>1576</v>
      </c>
      <c r="M1343" s="26" t="s">
        <v>2047</v>
      </c>
      <c r="N1343" s="26" t="s">
        <v>1566</v>
      </c>
      <c r="O1343" s="26" t="s">
        <v>1566</v>
      </c>
      <c r="P1343" s="26" t="s">
        <v>22</v>
      </c>
      <c r="Q1343" s="26">
        <v>0.0</v>
      </c>
    </row>
    <row r="1344" ht="17.25" customHeight="1">
      <c r="A1344" s="51">
        <v>46148.70375212963</v>
      </c>
      <c r="B1344" s="25" t="s">
        <v>1920</v>
      </c>
      <c r="C1344" s="55" t="s">
        <v>1892</v>
      </c>
      <c r="D1344" s="111">
        <v>46141.0</v>
      </c>
      <c r="E1344" s="52">
        <v>600.0</v>
      </c>
      <c r="F1344" s="55" t="s">
        <v>1561</v>
      </c>
      <c r="G1344" s="55">
        <v>770.0</v>
      </c>
      <c r="H1344" s="26"/>
      <c r="I1344" s="26" t="s">
        <v>1921</v>
      </c>
      <c r="J1344" s="26" t="s">
        <v>1225</v>
      </c>
      <c r="K1344" s="26" t="s">
        <v>1646</v>
      </c>
      <c r="L1344" s="26" t="s">
        <v>1576</v>
      </c>
      <c r="M1344" s="26" t="s">
        <v>2047</v>
      </c>
      <c r="N1344" s="26" t="s">
        <v>1566</v>
      </c>
      <c r="O1344" s="26" t="s">
        <v>1566</v>
      </c>
      <c r="P1344" s="26" t="s">
        <v>22</v>
      </c>
      <c r="Q1344" s="26">
        <v>0.0</v>
      </c>
    </row>
    <row r="1345" ht="17.25" customHeight="1">
      <c r="A1345" s="51">
        <v>46148.70427474537</v>
      </c>
      <c r="B1345" s="25" t="s">
        <v>1170</v>
      </c>
      <c r="C1345" s="55" t="s">
        <v>1892</v>
      </c>
      <c r="D1345" s="111">
        <v>46142.0</v>
      </c>
      <c r="E1345" s="52">
        <v>600.0</v>
      </c>
      <c r="F1345" s="55" t="s">
        <v>1561</v>
      </c>
      <c r="G1345" s="55">
        <v>771.0</v>
      </c>
      <c r="H1345" s="26"/>
      <c r="I1345" s="26" t="s">
        <v>1172</v>
      </c>
      <c r="J1345" s="26" t="s">
        <v>1225</v>
      </c>
      <c r="K1345" s="26" t="s">
        <v>1562</v>
      </c>
      <c r="L1345" s="26" t="s">
        <v>2154</v>
      </c>
      <c r="M1345" s="26" t="s">
        <v>2152</v>
      </c>
      <c r="N1345" s="26" t="s">
        <v>1566</v>
      </c>
      <c r="O1345" s="26" t="s">
        <v>1571</v>
      </c>
      <c r="P1345" s="26" t="s">
        <v>22</v>
      </c>
      <c r="Q1345" s="26">
        <v>2060.0</v>
      </c>
    </row>
    <row r="1346" ht="17.25" customHeight="1">
      <c r="A1346" s="51">
        <v>46148.71164633102</v>
      </c>
      <c r="B1346" s="55" t="s">
        <v>1782</v>
      </c>
      <c r="C1346" s="55" t="s">
        <v>1892</v>
      </c>
      <c r="D1346" s="111">
        <v>46142.0</v>
      </c>
      <c r="E1346" s="52">
        <v>500.0</v>
      </c>
      <c r="F1346" s="55" t="s">
        <v>1561</v>
      </c>
      <c r="G1346" s="55">
        <v>772.0</v>
      </c>
      <c r="H1346" s="26"/>
      <c r="I1346" s="26" t="s">
        <v>1783</v>
      </c>
      <c r="J1346" s="26" t="s">
        <v>1225</v>
      </c>
      <c r="K1346" s="26" t="s">
        <v>1640</v>
      </c>
      <c r="L1346" s="26" t="s">
        <v>1576</v>
      </c>
      <c r="M1346" s="26" t="s">
        <v>1572</v>
      </c>
      <c r="N1346" s="26" t="s">
        <v>1566</v>
      </c>
      <c r="O1346" s="26" t="s">
        <v>1566</v>
      </c>
      <c r="P1346" s="26" t="s">
        <v>22</v>
      </c>
      <c r="Q1346" s="26">
        <v>0.0</v>
      </c>
    </row>
    <row r="1347" ht="17.25" customHeight="1">
      <c r="A1347" s="51">
        <v>46148.712031365736</v>
      </c>
      <c r="B1347" s="25" t="s">
        <v>1923</v>
      </c>
      <c r="C1347" s="55" t="s">
        <v>1892</v>
      </c>
      <c r="D1347" s="111">
        <v>46142.0</v>
      </c>
      <c r="E1347" s="52">
        <v>1500.0</v>
      </c>
      <c r="F1347" s="55" t="s">
        <v>1561</v>
      </c>
      <c r="G1347" s="55">
        <v>773.0</v>
      </c>
      <c r="H1347" s="26"/>
      <c r="I1347" s="26" t="s">
        <v>794</v>
      </c>
      <c r="J1347" s="26" t="s">
        <v>1225</v>
      </c>
      <c r="K1347" s="26" t="s">
        <v>1646</v>
      </c>
      <c r="L1347" s="26" t="s">
        <v>1576</v>
      </c>
      <c r="M1347" s="26" t="s">
        <v>1645</v>
      </c>
      <c r="N1347" s="26" t="s">
        <v>1566</v>
      </c>
      <c r="O1347" s="26" t="s">
        <v>1566</v>
      </c>
      <c r="P1347" s="26" t="s">
        <v>22</v>
      </c>
      <c r="Q1347" s="26">
        <v>0.0</v>
      </c>
    </row>
    <row r="1348" ht="17.25" customHeight="1">
      <c r="A1348" s="51">
        <v>46148.712566111106</v>
      </c>
      <c r="B1348" s="25" t="s">
        <v>1732</v>
      </c>
      <c r="C1348" s="55" t="s">
        <v>1892</v>
      </c>
      <c r="D1348" s="111">
        <v>46144.0</v>
      </c>
      <c r="E1348" s="52">
        <v>600.0</v>
      </c>
      <c r="F1348" s="55" t="s">
        <v>1561</v>
      </c>
      <c r="G1348" s="55">
        <v>774.0</v>
      </c>
      <c r="H1348" s="26"/>
      <c r="I1348" s="26" t="s">
        <v>1733</v>
      </c>
      <c r="J1348" s="26" t="s">
        <v>1225</v>
      </c>
      <c r="K1348" s="26" t="s">
        <v>1562</v>
      </c>
      <c r="L1348" s="26" t="s">
        <v>1582</v>
      </c>
      <c r="M1348" s="26" t="s">
        <v>2157</v>
      </c>
      <c r="N1348" s="26" t="s">
        <v>1566</v>
      </c>
      <c r="O1348" s="26" t="s">
        <v>1571</v>
      </c>
      <c r="P1348" s="26" t="s">
        <v>22</v>
      </c>
      <c r="Q1348" s="26">
        <v>0.0</v>
      </c>
    </row>
    <row r="1349" ht="17.25" customHeight="1">
      <c r="A1349" s="51">
        <v>46148.713009224535</v>
      </c>
      <c r="B1349" s="25" t="s">
        <v>123</v>
      </c>
      <c r="C1349" s="55" t="s">
        <v>1892</v>
      </c>
      <c r="D1349" s="111">
        <v>46146.0</v>
      </c>
      <c r="E1349" s="52">
        <v>1800.0</v>
      </c>
      <c r="F1349" s="55" t="s">
        <v>1561</v>
      </c>
      <c r="G1349" s="55">
        <v>775.0</v>
      </c>
      <c r="H1349" s="26"/>
      <c r="I1349" s="26" t="s">
        <v>124</v>
      </c>
      <c r="J1349" s="26" t="s">
        <v>1225</v>
      </c>
      <c r="K1349" s="26" t="s">
        <v>1562</v>
      </c>
      <c r="L1349" s="26" t="s">
        <v>1587</v>
      </c>
      <c r="M1349" s="26" t="s">
        <v>1575</v>
      </c>
      <c r="N1349" s="26" t="s">
        <v>1566</v>
      </c>
      <c r="O1349" s="26" t="s">
        <v>1571</v>
      </c>
      <c r="P1349" s="26" t="s">
        <v>22</v>
      </c>
      <c r="Q1349" s="26">
        <v>1600.0</v>
      </c>
    </row>
    <row r="1350" ht="17.25" customHeight="1">
      <c r="A1350" s="51">
        <v>46148.713434143516</v>
      </c>
      <c r="B1350" s="25" t="s">
        <v>1163</v>
      </c>
      <c r="C1350" s="55" t="s">
        <v>1892</v>
      </c>
      <c r="D1350" s="111">
        <v>46146.0</v>
      </c>
      <c r="E1350" s="52">
        <v>4000.0</v>
      </c>
      <c r="F1350" s="55" t="s">
        <v>1561</v>
      </c>
      <c r="G1350" s="55">
        <v>776.0</v>
      </c>
      <c r="H1350" s="26"/>
      <c r="I1350" s="26" t="s">
        <v>1164</v>
      </c>
      <c r="J1350" s="26" t="s">
        <v>1225</v>
      </c>
      <c r="K1350" s="26" t="s">
        <v>1562</v>
      </c>
      <c r="L1350" s="26" t="s">
        <v>2116</v>
      </c>
      <c r="M1350" s="26" t="s">
        <v>2152</v>
      </c>
      <c r="N1350" s="26" t="s">
        <v>1566</v>
      </c>
      <c r="O1350" s="26" t="s">
        <v>2128</v>
      </c>
      <c r="P1350" s="26" t="s">
        <v>22</v>
      </c>
      <c r="Q1350" s="26">
        <v>75.0</v>
      </c>
    </row>
    <row r="1351" ht="17.25" customHeight="1">
      <c r="A1351" s="51">
        <v>46148.71389726852</v>
      </c>
      <c r="B1351" s="25" t="s">
        <v>1522</v>
      </c>
      <c r="C1351" s="55" t="s">
        <v>1892</v>
      </c>
      <c r="D1351" s="111">
        <v>46146.0</v>
      </c>
      <c r="E1351" s="52">
        <v>500.0</v>
      </c>
      <c r="F1351" s="55" t="s">
        <v>1561</v>
      </c>
      <c r="G1351" s="55">
        <v>777.0</v>
      </c>
      <c r="H1351" s="26"/>
      <c r="I1351" s="26" t="s">
        <v>1523</v>
      </c>
      <c r="J1351" s="26" t="s">
        <v>1225</v>
      </c>
      <c r="K1351" s="26" t="s">
        <v>1562</v>
      </c>
      <c r="L1351" s="26" t="s">
        <v>1563</v>
      </c>
      <c r="M1351" s="26" t="s">
        <v>1572</v>
      </c>
      <c r="N1351" s="26" t="s">
        <v>1571</v>
      </c>
      <c r="O1351" s="26" t="s">
        <v>1566</v>
      </c>
      <c r="P1351" s="26" t="s">
        <v>22</v>
      </c>
      <c r="Q1351" s="26">
        <v>800.0</v>
      </c>
    </row>
    <row r="1352" ht="17.25" customHeight="1">
      <c r="A1352" s="51">
        <v>46148.714470127314</v>
      </c>
      <c r="B1352" s="25" t="s">
        <v>1992</v>
      </c>
      <c r="C1352" s="55" t="s">
        <v>1892</v>
      </c>
      <c r="D1352" s="111">
        <v>46146.0</v>
      </c>
      <c r="E1352" s="52">
        <v>1440.0</v>
      </c>
      <c r="F1352" s="55" t="s">
        <v>1561</v>
      </c>
      <c r="G1352" s="55">
        <v>778.0</v>
      </c>
      <c r="H1352" s="26"/>
      <c r="I1352" s="26" t="s">
        <v>1993</v>
      </c>
      <c r="J1352" s="26" t="s">
        <v>1225</v>
      </c>
      <c r="K1352" s="26" t="s">
        <v>1653</v>
      </c>
      <c r="L1352" s="26" t="s">
        <v>1633</v>
      </c>
      <c r="M1352" s="26" t="s">
        <v>1595</v>
      </c>
      <c r="N1352" s="26" t="s">
        <v>1566</v>
      </c>
      <c r="O1352" s="26" t="s">
        <v>2132</v>
      </c>
      <c r="P1352" s="26" t="s">
        <v>22</v>
      </c>
      <c r="Q1352" s="26">
        <v>0.0</v>
      </c>
    </row>
    <row r="1353" ht="17.25" customHeight="1">
      <c r="A1353" s="51">
        <v>46148.714895324076</v>
      </c>
      <c r="B1353" s="25" t="s">
        <v>1163</v>
      </c>
      <c r="C1353" s="55" t="s">
        <v>1892</v>
      </c>
      <c r="D1353" s="111">
        <v>46146.0</v>
      </c>
      <c r="E1353" s="52">
        <v>4600.0</v>
      </c>
      <c r="F1353" s="55" t="s">
        <v>1561</v>
      </c>
      <c r="G1353" s="55">
        <v>779.0</v>
      </c>
      <c r="H1353" s="26"/>
      <c r="I1353" s="26" t="s">
        <v>1164</v>
      </c>
      <c r="J1353" s="26" t="s">
        <v>1225</v>
      </c>
      <c r="K1353" s="26" t="s">
        <v>1562</v>
      </c>
      <c r="L1353" s="26" t="s">
        <v>2116</v>
      </c>
      <c r="M1353" s="26" t="s">
        <v>2152</v>
      </c>
      <c r="N1353" s="26" t="s">
        <v>1566</v>
      </c>
      <c r="O1353" s="26" t="s">
        <v>2128</v>
      </c>
      <c r="P1353" s="26" t="s">
        <v>22</v>
      </c>
      <c r="Q1353" s="26">
        <v>75.0</v>
      </c>
    </row>
    <row r="1354" ht="17.25" customHeight="1">
      <c r="A1354" s="51">
        <v>46148.71659137731</v>
      </c>
      <c r="B1354" s="25" t="s">
        <v>932</v>
      </c>
      <c r="C1354" s="55" t="s">
        <v>1892</v>
      </c>
      <c r="D1354" s="111">
        <v>46146.0</v>
      </c>
      <c r="E1354" s="52">
        <v>100.0</v>
      </c>
      <c r="F1354" s="55" t="s">
        <v>1561</v>
      </c>
      <c r="G1354" s="55">
        <v>780.0</v>
      </c>
      <c r="H1354" s="26"/>
      <c r="I1354" s="26" t="s">
        <v>933</v>
      </c>
      <c r="J1354" s="26" t="s">
        <v>1225</v>
      </c>
      <c r="K1354" s="26" t="s">
        <v>1562</v>
      </c>
      <c r="L1354" s="26" t="s">
        <v>1600</v>
      </c>
      <c r="M1354" s="26" t="s">
        <v>1572</v>
      </c>
      <c r="N1354" s="26" t="s">
        <v>1571</v>
      </c>
      <c r="O1354" s="26" t="s">
        <v>1566</v>
      </c>
      <c r="P1354" s="26" t="s">
        <v>22</v>
      </c>
      <c r="Q1354" s="26">
        <v>400.0</v>
      </c>
    </row>
    <row r="1355" ht="17.25" customHeight="1">
      <c r="A1355" s="51">
        <v>46149.41809774305</v>
      </c>
      <c r="B1355" s="25" t="s">
        <v>301</v>
      </c>
      <c r="C1355" s="55" t="s">
        <v>1560</v>
      </c>
      <c r="D1355" s="111">
        <v>46148.0</v>
      </c>
      <c r="E1355" s="52">
        <v>500.0</v>
      </c>
      <c r="F1355" s="55" t="s">
        <v>1673</v>
      </c>
      <c r="G1355" s="26"/>
      <c r="H1355" s="26"/>
      <c r="I1355" s="26" t="s">
        <v>302</v>
      </c>
      <c r="J1355" s="26" t="s">
        <v>1830</v>
      </c>
      <c r="K1355" s="26" t="s">
        <v>302</v>
      </c>
      <c r="L1355" s="26" t="s">
        <v>1566</v>
      </c>
      <c r="M1355" s="26" t="s">
        <v>1566</v>
      </c>
      <c r="N1355" s="26" t="s">
        <v>1566</v>
      </c>
      <c r="O1355" s="26" t="s">
        <v>1566</v>
      </c>
      <c r="P1355" s="26" t="s">
        <v>661</v>
      </c>
      <c r="Q1355" s="26">
        <v>580.0</v>
      </c>
    </row>
    <row r="1356" ht="17.25" customHeight="1">
      <c r="A1356" s="51">
        <v>46149.41810082176</v>
      </c>
      <c r="B1356" s="25" t="s">
        <v>301</v>
      </c>
      <c r="C1356" s="55" t="s">
        <v>1892</v>
      </c>
      <c r="D1356" s="111">
        <v>46149.0</v>
      </c>
      <c r="E1356" s="52">
        <v>15.0</v>
      </c>
      <c r="F1356" s="55" t="s">
        <v>2124</v>
      </c>
      <c r="G1356" s="26"/>
      <c r="H1356" s="26"/>
      <c r="I1356" s="26" t="s">
        <v>302</v>
      </c>
      <c r="J1356" s="26" t="s">
        <v>1830</v>
      </c>
      <c r="K1356" s="26" t="s">
        <v>302</v>
      </c>
      <c r="L1356" s="26" t="s">
        <v>1566</v>
      </c>
      <c r="M1356" s="26" t="s">
        <v>1566</v>
      </c>
      <c r="N1356" s="26" t="s">
        <v>1566</v>
      </c>
      <c r="O1356" s="26" t="s">
        <v>1566</v>
      </c>
      <c r="P1356" s="26" t="s">
        <v>661</v>
      </c>
      <c r="Q1356" s="26">
        <v>580.0</v>
      </c>
    </row>
    <row r="1357" ht="17.25" customHeight="1">
      <c r="A1357" s="51">
        <v>46149.421849328704</v>
      </c>
      <c r="B1357" s="25" t="s">
        <v>1180</v>
      </c>
      <c r="C1357" s="55" t="s">
        <v>1892</v>
      </c>
      <c r="D1357" s="111">
        <v>46147.0</v>
      </c>
      <c r="E1357" s="52">
        <v>400.0</v>
      </c>
      <c r="F1357" s="55" t="s">
        <v>1561</v>
      </c>
      <c r="G1357" s="55">
        <v>781.0</v>
      </c>
      <c r="H1357" s="26"/>
      <c r="I1357" s="26" t="s">
        <v>1181</v>
      </c>
      <c r="J1357" s="26" t="s">
        <v>1225</v>
      </c>
      <c r="K1357" s="26" t="s">
        <v>1562</v>
      </c>
      <c r="L1357" s="26" t="s">
        <v>1603</v>
      </c>
      <c r="M1357" s="26" t="s">
        <v>1597</v>
      </c>
      <c r="N1357" s="26" t="s">
        <v>1566</v>
      </c>
      <c r="O1357" s="26" t="s">
        <v>1571</v>
      </c>
      <c r="P1357" s="26" t="s">
        <v>22</v>
      </c>
      <c r="Q1357" s="26">
        <v>300.0</v>
      </c>
    </row>
    <row r="1358" ht="17.25" customHeight="1">
      <c r="A1358" s="51">
        <v>46149.422482511574</v>
      </c>
      <c r="B1358" s="25" t="s">
        <v>1180</v>
      </c>
      <c r="C1358" s="55" t="s">
        <v>1892</v>
      </c>
      <c r="D1358" s="111">
        <v>46147.0</v>
      </c>
      <c r="E1358" s="52">
        <v>900.0</v>
      </c>
      <c r="F1358" s="55" t="s">
        <v>1561</v>
      </c>
      <c r="G1358" s="55">
        <v>782.0</v>
      </c>
      <c r="H1358" s="26"/>
      <c r="I1358" s="26" t="s">
        <v>1181</v>
      </c>
      <c r="J1358" s="26" t="s">
        <v>1225</v>
      </c>
      <c r="K1358" s="26" t="s">
        <v>1562</v>
      </c>
      <c r="L1358" s="26" t="s">
        <v>1603</v>
      </c>
      <c r="M1358" s="26" t="s">
        <v>1597</v>
      </c>
      <c r="N1358" s="26" t="s">
        <v>1566</v>
      </c>
      <c r="O1358" s="26" t="s">
        <v>1571</v>
      </c>
      <c r="P1358" s="26" t="s">
        <v>22</v>
      </c>
      <c r="Q1358" s="26">
        <v>300.0</v>
      </c>
    </row>
    <row r="1359" ht="17.25" customHeight="1">
      <c r="A1359" s="51">
        <v>46149.42367386574</v>
      </c>
      <c r="B1359" s="25" t="s">
        <v>1042</v>
      </c>
      <c r="C1359" s="55" t="s">
        <v>1560</v>
      </c>
      <c r="D1359" s="111">
        <v>46147.0</v>
      </c>
      <c r="E1359" s="52">
        <v>500.0</v>
      </c>
      <c r="F1359" s="55" t="s">
        <v>1561</v>
      </c>
      <c r="G1359" s="55" t="s">
        <v>2273</v>
      </c>
      <c r="H1359" s="26"/>
      <c r="I1359" s="26" t="s">
        <v>1043</v>
      </c>
      <c r="J1359" s="26" t="s">
        <v>1225</v>
      </c>
      <c r="K1359" s="26" t="s">
        <v>1651</v>
      </c>
      <c r="L1359" s="26" t="s">
        <v>1576</v>
      </c>
      <c r="M1359" s="26" t="s">
        <v>2086</v>
      </c>
      <c r="N1359" s="26" t="s">
        <v>1566</v>
      </c>
      <c r="O1359" s="26" t="s">
        <v>1566</v>
      </c>
      <c r="P1359" s="26" t="s">
        <v>22</v>
      </c>
      <c r="Q1359" s="26">
        <v>250.0</v>
      </c>
    </row>
    <row r="1360" ht="17.25" customHeight="1">
      <c r="A1360" s="51">
        <v>46149.42417770834</v>
      </c>
      <c r="B1360" s="25" t="s">
        <v>1042</v>
      </c>
      <c r="C1360" s="55" t="s">
        <v>1892</v>
      </c>
      <c r="D1360" s="111">
        <v>46147.0</v>
      </c>
      <c r="E1360" s="52">
        <v>250.0</v>
      </c>
      <c r="F1360" s="55" t="s">
        <v>1561</v>
      </c>
      <c r="G1360" s="55">
        <v>783.0</v>
      </c>
      <c r="H1360" s="26"/>
      <c r="I1360" s="26" t="s">
        <v>1043</v>
      </c>
      <c r="J1360" s="26" t="s">
        <v>1225</v>
      </c>
      <c r="K1360" s="26" t="s">
        <v>1651</v>
      </c>
      <c r="L1360" s="26" t="s">
        <v>1576</v>
      </c>
      <c r="M1360" s="26" t="s">
        <v>2086</v>
      </c>
      <c r="N1360" s="26" t="s">
        <v>1566</v>
      </c>
      <c r="O1360" s="26" t="s">
        <v>1566</v>
      </c>
      <c r="P1360" s="26" t="s">
        <v>22</v>
      </c>
      <c r="Q1360" s="26">
        <v>250.0</v>
      </c>
    </row>
    <row r="1361" ht="17.25" customHeight="1">
      <c r="A1361" s="51">
        <v>46149.42533618056</v>
      </c>
      <c r="B1361" s="25" t="s">
        <v>1592</v>
      </c>
      <c r="C1361" s="55" t="s">
        <v>1560</v>
      </c>
      <c r="D1361" s="111">
        <v>46148.0</v>
      </c>
      <c r="E1361" s="52">
        <v>100.0</v>
      </c>
      <c r="F1361" s="55" t="s">
        <v>1561</v>
      </c>
      <c r="G1361" s="55" t="s">
        <v>2096</v>
      </c>
      <c r="H1361" s="26"/>
      <c r="I1361" s="26" t="s">
        <v>1594</v>
      </c>
      <c r="J1361" s="26" t="s">
        <v>1225</v>
      </c>
      <c r="K1361" s="26" t="s">
        <v>1562</v>
      </c>
      <c r="L1361" s="26" t="s">
        <v>1591</v>
      </c>
      <c r="M1361" s="26" t="s">
        <v>1595</v>
      </c>
      <c r="N1361" s="26" t="s">
        <v>1571</v>
      </c>
      <c r="O1361" s="26" t="s">
        <v>1566</v>
      </c>
      <c r="P1361" s="26" t="s">
        <v>22</v>
      </c>
      <c r="Q1361" s="26">
        <v>0.0</v>
      </c>
    </row>
    <row r="1362" ht="17.25" customHeight="1">
      <c r="A1362" s="51">
        <v>46149.425371006946</v>
      </c>
      <c r="B1362" s="25" t="s">
        <v>1592</v>
      </c>
      <c r="C1362" s="55" t="s">
        <v>1892</v>
      </c>
      <c r="D1362" s="111">
        <v>46148.0</v>
      </c>
      <c r="E1362" s="52">
        <v>100.0</v>
      </c>
      <c r="F1362" s="55" t="s">
        <v>1561</v>
      </c>
      <c r="G1362" s="55">
        <v>784.0</v>
      </c>
      <c r="H1362" s="26"/>
      <c r="I1362" s="26" t="s">
        <v>1594</v>
      </c>
      <c r="J1362" s="26" t="s">
        <v>1225</v>
      </c>
      <c r="K1362" s="26" t="s">
        <v>1562</v>
      </c>
      <c r="L1362" s="26" t="s">
        <v>1591</v>
      </c>
      <c r="M1362" s="26" t="s">
        <v>1595</v>
      </c>
      <c r="N1362" s="26" t="s">
        <v>1571</v>
      </c>
      <c r="O1362" s="26" t="s">
        <v>1566</v>
      </c>
      <c r="P1362" s="26" t="s">
        <v>22</v>
      </c>
      <c r="Q1362" s="26">
        <v>0.0</v>
      </c>
    </row>
    <row r="1363" ht="17.25" customHeight="1">
      <c r="A1363" s="51">
        <v>46149.42662190972</v>
      </c>
      <c r="B1363" s="25" t="s">
        <v>175</v>
      </c>
      <c r="C1363" s="55" t="s">
        <v>1560</v>
      </c>
      <c r="D1363" s="111">
        <v>46148.0</v>
      </c>
      <c r="E1363" s="52">
        <v>5000.0</v>
      </c>
      <c r="F1363" s="55" t="s">
        <v>1561</v>
      </c>
      <c r="G1363" s="26"/>
      <c r="H1363" s="26"/>
      <c r="I1363" s="26" t="s">
        <v>176</v>
      </c>
      <c r="J1363" s="26" t="s">
        <v>1225</v>
      </c>
      <c r="K1363" s="26" t="s">
        <v>1562</v>
      </c>
      <c r="L1363" s="26" t="s">
        <v>1633</v>
      </c>
      <c r="M1363" s="26" t="s">
        <v>1634</v>
      </c>
      <c r="N1363" s="26" t="s">
        <v>1571</v>
      </c>
      <c r="O1363" s="26" t="s">
        <v>1566</v>
      </c>
      <c r="P1363" s="26" t="s">
        <v>22</v>
      </c>
      <c r="Q1363" s="26">
        <v>2100.0</v>
      </c>
    </row>
    <row r="1364" ht="17.25" customHeight="1">
      <c r="A1364" s="51">
        <v>46149.42750440972</v>
      </c>
      <c r="B1364" s="25" t="s">
        <v>1064</v>
      </c>
      <c r="C1364" s="55" t="s">
        <v>1560</v>
      </c>
      <c r="D1364" s="111">
        <v>46148.0</v>
      </c>
      <c r="E1364" s="52">
        <v>4400.0</v>
      </c>
      <c r="F1364" s="55" t="s">
        <v>1561</v>
      </c>
      <c r="G1364" s="26"/>
      <c r="H1364" s="26"/>
      <c r="I1364" s="26" t="s">
        <v>1065</v>
      </c>
      <c r="J1364" s="26" t="s">
        <v>1225</v>
      </c>
      <c r="K1364" s="26" t="s">
        <v>1562</v>
      </c>
      <c r="L1364" s="26" t="s">
        <v>1576</v>
      </c>
      <c r="M1364" s="26" t="s">
        <v>1564</v>
      </c>
      <c r="N1364" s="26" t="s">
        <v>1566</v>
      </c>
      <c r="O1364" s="26" t="s">
        <v>1566</v>
      </c>
      <c r="P1364" s="26" t="s">
        <v>22</v>
      </c>
      <c r="Q1364" s="26">
        <v>1500.0</v>
      </c>
    </row>
    <row r="1365" ht="17.25" customHeight="1">
      <c r="A1365" s="51">
        <v>46149.42817520833</v>
      </c>
      <c r="B1365" s="25" t="s">
        <v>942</v>
      </c>
      <c r="C1365" s="55" t="s">
        <v>1560</v>
      </c>
      <c r="D1365" s="111">
        <v>46148.0</v>
      </c>
      <c r="E1365" s="52">
        <v>1500.0</v>
      </c>
      <c r="F1365" s="55" t="s">
        <v>1561</v>
      </c>
      <c r="G1365" s="55"/>
      <c r="H1365" s="26"/>
      <c r="I1365" s="26" t="s">
        <v>943</v>
      </c>
      <c r="J1365" s="26" t="s">
        <v>1225</v>
      </c>
      <c r="K1365" s="26" t="s">
        <v>1562</v>
      </c>
      <c r="L1365" s="26" t="s">
        <v>1591</v>
      </c>
      <c r="M1365" s="26" t="s">
        <v>1575</v>
      </c>
      <c r="N1365" s="26" t="s">
        <v>1566</v>
      </c>
      <c r="O1365" s="26" t="s">
        <v>1566</v>
      </c>
      <c r="P1365" s="26" t="s">
        <v>22</v>
      </c>
      <c r="Q1365" s="26">
        <v>900.0</v>
      </c>
    </row>
    <row r="1366" ht="17.25" customHeight="1">
      <c r="A1366" s="51">
        <v>46149.42983871528</v>
      </c>
      <c r="B1366" s="26" t="s">
        <v>61</v>
      </c>
      <c r="C1366" s="55" t="s">
        <v>1560</v>
      </c>
      <c r="D1366" s="111">
        <v>46148.0</v>
      </c>
      <c r="E1366" s="52">
        <v>1200.0</v>
      </c>
      <c r="F1366" s="55" t="s">
        <v>1561</v>
      </c>
      <c r="G1366" s="26"/>
      <c r="H1366" s="26"/>
      <c r="I1366" s="26" t="s">
        <v>62</v>
      </c>
      <c r="J1366" s="26" t="s">
        <v>1225</v>
      </c>
      <c r="K1366" s="26" t="s">
        <v>1562</v>
      </c>
      <c r="L1366" s="26" t="s">
        <v>1600</v>
      </c>
      <c r="M1366" s="26" t="s">
        <v>1575</v>
      </c>
      <c r="N1366" s="26" t="s">
        <v>1566</v>
      </c>
      <c r="O1366" s="26" t="s">
        <v>2160</v>
      </c>
      <c r="P1366" s="26" t="s">
        <v>22</v>
      </c>
      <c r="Q1366" s="26">
        <v>0.0</v>
      </c>
    </row>
    <row r="1367" ht="17.25" customHeight="1">
      <c r="A1367" s="51">
        <v>46149.43062226852</v>
      </c>
      <c r="B1367" s="25" t="s">
        <v>1074</v>
      </c>
      <c r="C1367" s="55" t="s">
        <v>1560</v>
      </c>
      <c r="D1367" s="111">
        <v>46148.0</v>
      </c>
      <c r="E1367" s="52">
        <v>300.0</v>
      </c>
      <c r="F1367" s="55" t="s">
        <v>1561</v>
      </c>
      <c r="G1367" s="26"/>
      <c r="H1367" s="26"/>
      <c r="I1367" s="26" t="s">
        <v>1075</v>
      </c>
      <c r="J1367" s="26" t="s">
        <v>1225</v>
      </c>
      <c r="K1367" s="26" t="s">
        <v>1562</v>
      </c>
      <c r="L1367" s="26" t="s">
        <v>1573</v>
      </c>
      <c r="M1367" s="26" t="s">
        <v>1597</v>
      </c>
      <c r="N1367" s="26" t="s">
        <v>1566</v>
      </c>
      <c r="O1367" s="26" t="s">
        <v>1566</v>
      </c>
      <c r="P1367" s="26" t="s">
        <v>22</v>
      </c>
      <c r="Q1367" s="26">
        <v>0.0</v>
      </c>
    </row>
    <row r="1368" ht="17.25" customHeight="1">
      <c r="A1368" s="51">
        <v>46149.433976388886</v>
      </c>
      <c r="B1368" s="27" t="s">
        <v>2000</v>
      </c>
      <c r="C1368" s="55" t="s">
        <v>1560</v>
      </c>
      <c r="D1368" s="111">
        <v>46148.0</v>
      </c>
      <c r="E1368" s="52">
        <v>500.0</v>
      </c>
      <c r="F1368" s="55" t="s">
        <v>1561</v>
      </c>
      <c r="G1368" s="26"/>
      <c r="H1368" s="26"/>
      <c r="I1368" s="26" t="s">
        <v>2001</v>
      </c>
      <c r="J1368" s="26" t="s">
        <v>1225</v>
      </c>
      <c r="K1368" s="26" t="s">
        <v>1646</v>
      </c>
      <c r="L1368" s="26" t="s">
        <v>1647</v>
      </c>
      <c r="M1368" s="26" t="s">
        <v>2161</v>
      </c>
      <c r="N1368" s="26" t="s">
        <v>1566</v>
      </c>
      <c r="O1368" s="26" t="s">
        <v>1566</v>
      </c>
      <c r="P1368" s="26" t="s">
        <v>22</v>
      </c>
      <c r="Q1368" s="26">
        <v>0.0</v>
      </c>
    </row>
    <row r="1369" ht="17.25" customHeight="1">
      <c r="A1369" s="51">
        <v>46149.43466621528</v>
      </c>
      <c r="B1369" s="25" t="s">
        <v>91</v>
      </c>
      <c r="C1369" s="55" t="s">
        <v>1560</v>
      </c>
      <c r="D1369" s="111">
        <v>46148.0</v>
      </c>
      <c r="E1369" s="52">
        <v>1000.0</v>
      </c>
      <c r="F1369" s="55" t="s">
        <v>1561</v>
      </c>
      <c r="G1369" s="26"/>
      <c r="H1369" s="26"/>
      <c r="I1369" s="26" t="s">
        <v>92</v>
      </c>
      <c r="J1369" s="26" t="s">
        <v>1225</v>
      </c>
      <c r="K1369" s="26" t="s">
        <v>1562</v>
      </c>
      <c r="L1369" s="26" t="s">
        <v>1576</v>
      </c>
      <c r="M1369" s="26" t="s">
        <v>1572</v>
      </c>
      <c r="N1369" s="26" t="s">
        <v>1566</v>
      </c>
      <c r="O1369" s="26" t="s">
        <v>1566</v>
      </c>
      <c r="P1369" s="26" t="s">
        <v>22</v>
      </c>
      <c r="Q1369" s="26">
        <v>1400.0</v>
      </c>
    </row>
    <row r="1370" ht="17.25" customHeight="1">
      <c r="A1370" s="51">
        <v>46149.46166017361</v>
      </c>
      <c r="B1370" s="27" t="s">
        <v>2000</v>
      </c>
      <c r="C1370" s="55" t="s">
        <v>1892</v>
      </c>
      <c r="D1370" s="111">
        <v>46148.0</v>
      </c>
      <c r="E1370" s="52">
        <v>500.0</v>
      </c>
      <c r="F1370" s="55" t="s">
        <v>1561</v>
      </c>
      <c r="G1370" s="55">
        <v>785.0</v>
      </c>
      <c r="H1370" s="26"/>
      <c r="I1370" s="26" t="s">
        <v>2001</v>
      </c>
      <c r="J1370" s="26" t="s">
        <v>1225</v>
      </c>
      <c r="K1370" s="26" t="s">
        <v>1646</v>
      </c>
      <c r="L1370" s="26" t="s">
        <v>1647</v>
      </c>
      <c r="M1370" s="26" t="s">
        <v>2161</v>
      </c>
      <c r="N1370" s="26" t="s">
        <v>1566</v>
      </c>
      <c r="O1370" s="26" t="s">
        <v>1566</v>
      </c>
      <c r="P1370" s="26" t="s">
        <v>22</v>
      </c>
      <c r="Q1370" s="26">
        <v>0.0</v>
      </c>
    </row>
    <row r="1371" ht="17.25" customHeight="1">
      <c r="A1371" s="51">
        <v>46149.46676329861</v>
      </c>
      <c r="B1371" s="25" t="s">
        <v>1027</v>
      </c>
      <c r="C1371" s="55" t="s">
        <v>1560</v>
      </c>
      <c r="D1371" s="111">
        <v>46147.0</v>
      </c>
      <c r="E1371" s="195">
        <v>7200.0</v>
      </c>
      <c r="F1371" s="55" t="s">
        <v>1561</v>
      </c>
      <c r="G1371" s="26"/>
      <c r="H1371" s="26"/>
      <c r="I1371" s="26" t="s">
        <v>1028</v>
      </c>
      <c r="J1371" s="26" t="s">
        <v>1225</v>
      </c>
      <c r="K1371" s="26" t="s">
        <v>1653</v>
      </c>
      <c r="L1371" s="26" t="s">
        <v>1573</v>
      </c>
      <c r="M1371" s="26" t="s">
        <v>1572</v>
      </c>
      <c r="N1371" s="26" t="s">
        <v>1566</v>
      </c>
      <c r="O1371" s="26" t="s">
        <v>1654</v>
      </c>
      <c r="P1371" s="26" t="s">
        <v>22</v>
      </c>
      <c r="Q1371" s="26">
        <v>1872.0</v>
      </c>
    </row>
    <row r="1372" ht="17.25" customHeight="1">
      <c r="A1372" s="51">
        <v>46149.5115510301</v>
      </c>
      <c r="B1372" s="25" t="s">
        <v>1191</v>
      </c>
      <c r="C1372" s="55" t="s">
        <v>1892</v>
      </c>
      <c r="D1372" s="51">
        <v>46149.5115510301</v>
      </c>
      <c r="E1372" s="52">
        <v>1.0</v>
      </c>
      <c r="F1372" s="55" t="s">
        <v>2169</v>
      </c>
      <c r="G1372" s="55" t="s">
        <v>2274</v>
      </c>
      <c r="H1372" s="26"/>
      <c r="I1372" s="26" t="s">
        <v>1192</v>
      </c>
      <c r="J1372" s="26" t="s">
        <v>1674</v>
      </c>
      <c r="K1372" s="26" t="s">
        <v>1691</v>
      </c>
      <c r="L1372" s="26" t="s">
        <v>1566</v>
      </c>
      <c r="M1372" s="26" t="s">
        <v>1566</v>
      </c>
      <c r="N1372" s="26" t="s">
        <v>1566</v>
      </c>
      <c r="O1372" s="26" t="s">
        <v>2159</v>
      </c>
      <c r="P1372" s="26" t="s">
        <v>290</v>
      </c>
      <c r="Q1372" s="26">
        <v>2.0</v>
      </c>
    </row>
    <row r="1373" ht="17.25" customHeight="1">
      <c r="A1373" s="51">
        <v>46149.61909371528</v>
      </c>
      <c r="B1373" s="25" t="s">
        <v>45</v>
      </c>
      <c r="C1373" s="55" t="s">
        <v>1560</v>
      </c>
      <c r="D1373" s="51">
        <v>46149.5115510301</v>
      </c>
      <c r="E1373" s="52">
        <v>4.0</v>
      </c>
      <c r="F1373" s="55" t="s">
        <v>1673</v>
      </c>
      <c r="G1373" s="26"/>
      <c r="H1373" s="26"/>
      <c r="I1373" s="26" t="s">
        <v>47</v>
      </c>
      <c r="J1373" s="26" t="s">
        <v>1674</v>
      </c>
      <c r="K1373" s="26" t="s">
        <v>1691</v>
      </c>
      <c r="L1373" s="26" t="s">
        <v>1566</v>
      </c>
      <c r="M1373" s="26" t="s">
        <v>1566</v>
      </c>
      <c r="N1373" s="26" t="s">
        <v>1566</v>
      </c>
      <c r="O1373" s="26" t="s">
        <v>1566</v>
      </c>
      <c r="P1373" s="26" t="s">
        <v>661</v>
      </c>
      <c r="Q1373" s="26">
        <v>0.0</v>
      </c>
    </row>
    <row r="1374" ht="17.25" customHeight="1">
      <c r="A1374" s="51">
        <v>46149.62827037037</v>
      </c>
      <c r="B1374" s="27" t="s">
        <v>1133</v>
      </c>
      <c r="C1374" s="55" t="s">
        <v>1892</v>
      </c>
      <c r="D1374" s="51">
        <v>46149.5115510301</v>
      </c>
      <c r="E1374" s="52">
        <v>1.0</v>
      </c>
      <c r="F1374" s="55" t="s">
        <v>1894</v>
      </c>
      <c r="G1374" s="26"/>
      <c r="H1374" s="26"/>
      <c r="I1374" s="26" t="s">
        <v>1134</v>
      </c>
      <c r="J1374" s="26" t="s">
        <v>1821</v>
      </c>
      <c r="K1374" s="26" t="s">
        <v>1821</v>
      </c>
      <c r="L1374" s="26" t="s">
        <v>1566</v>
      </c>
      <c r="M1374" s="26" t="s">
        <v>1566</v>
      </c>
      <c r="N1374" s="26" t="s">
        <v>1566</v>
      </c>
      <c r="O1374" s="26" t="s">
        <v>1566</v>
      </c>
      <c r="P1374" s="26" t="s">
        <v>643</v>
      </c>
      <c r="Q1374" s="26">
        <v>2.0</v>
      </c>
    </row>
    <row r="1375" ht="17.25" customHeight="1">
      <c r="A1375" s="51">
        <v>46149.712284560184</v>
      </c>
      <c r="B1375" s="25" t="s">
        <v>1027</v>
      </c>
      <c r="C1375" s="55" t="s">
        <v>1892</v>
      </c>
      <c r="D1375" s="51">
        <v>46149.5115510301</v>
      </c>
      <c r="E1375" s="195">
        <v>1008.0</v>
      </c>
      <c r="F1375" s="55" t="s">
        <v>1561</v>
      </c>
      <c r="G1375" s="55">
        <v>786.0</v>
      </c>
      <c r="H1375" s="26"/>
      <c r="I1375" s="26" t="s">
        <v>1028</v>
      </c>
      <c r="J1375" s="26" t="s">
        <v>1225</v>
      </c>
      <c r="K1375" s="26" t="s">
        <v>1653</v>
      </c>
      <c r="L1375" s="26" t="s">
        <v>1573</v>
      </c>
      <c r="M1375" s="26" t="s">
        <v>1572</v>
      </c>
      <c r="N1375" s="26" t="s">
        <v>1566</v>
      </c>
      <c r="O1375" s="26" t="s">
        <v>1654</v>
      </c>
      <c r="P1375" s="26" t="s">
        <v>22</v>
      </c>
      <c r="Q1375" s="26">
        <v>1872.0</v>
      </c>
    </row>
    <row r="1376" ht="17.25" customHeight="1">
      <c r="A1376" s="51">
        <v>46149.71355565972</v>
      </c>
      <c r="B1376" s="25" t="s">
        <v>175</v>
      </c>
      <c r="C1376" s="55" t="s">
        <v>1892</v>
      </c>
      <c r="D1376" s="51">
        <v>46149.5115510301</v>
      </c>
      <c r="E1376" s="52">
        <v>1600.0</v>
      </c>
      <c r="F1376" s="55" t="s">
        <v>1561</v>
      </c>
      <c r="G1376" s="55">
        <v>788.0</v>
      </c>
      <c r="H1376" s="26"/>
      <c r="I1376" s="26" t="s">
        <v>176</v>
      </c>
      <c r="J1376" s="26" t="s">
        <v>1225</v>
      </c>
      <c r="K1376" s="26" t="s">
        <v>1562</v>
      </c>
      <c r="L1376" s="26" t="s">
        <v>1633</v>
      </c>
      <c r="M1376" s="26" t="s">
        <v>1634</v>
      </c>
      <c r="N1376" s="26" t="s">
        <v>1571</v>
      </c>
      <c r="O1376" s="26" t="s">
        <v>1566</v>
      </c>
      <c r="P1376" s="26" t="s">
        <v>22</v>
      </c>
      <c r="Q1376" s="26">
        <v>2100.0</v>
      </c>
    </row>
    <row r="1377" ht="17.25" customHeight="1">
      <c r="A1377" s="51">
        <v>46149.71767974537</v>
      </c>
      <c r="B1377" s="25" t="s">
        <v>175</v>
      </c>
      <c r="C1377" s="55" t="s">
        <v>1892</v>
      </c>
      <c r="D1377" s="51">
        <v>46149.5115510301</v>
      </c>
      <c r="E1377" s="52">
        <v>400.0</v>
      </c>
      <c r="F1377" s="55" t="s">
        <v>1561</v>
      </c>
      <c r="G1377" s="55">
        <v>791.0</v>
      </c>
      <c r="H1377" s="26"/>
      <c r="I1377" s="26" t="s">
        <v>176</v>
      </c>
      <c r="J1377" s="26" t="s">
        <v>1225</v>
      </c>
      <c r="K1377" s="26" t="s">
        <v>1562</v>
      </c>
      <c r="L1377" s="26" t="s">
        <v>1633</v>
      </c>
      <c r="M1377" s="26" t="s">
        <v>1634</v>
      </c>
      <c r="N1377" s="26" t="s">
        <v>1571</v>
      </c>
      <c r="O1377" s="26" t="s">
        <v>1566</v>
      </c>
      <c r="P1377" s="26" t="s">
        <v>22</v>
      </c>
      <c r="Q1377" s="26">
        <v>2100.0</v>
      </c>
    </row>
    <row r="1378" ht="17.25" customHeight="1">
      <c r="A1378" s="51">
        <v>46150.45063799768</v>
      </c>
      <c r="B1378" s="25" t="s">
        <v>1064</v>
      </c>
      <c r="C1378" s="55" t="s">
        <v>1892</v>
      </c>
      <c r="D1378" s="51">
        <v>46149.5115510301</v>
      </c>
      <c r="E1378" s="52">
        <v>1400.0</v>
      </c>
      <c r="F1378" s="55" t="s">
        <v>1561</v>
      </c>
      <c r="G1378" s="55">
        <v>792.0</v>
      </c>
      <c r="H1378" s="26"/>
      <c r="I1378" s="26" t="s">
        <v>1065</v>
      </c>
      <c r="J1378" s="26" t="s">
        <v>1225</v>
      </c>
      <c r="K1378" s="26" t="s">
        <v>1562</v>
      </c>
      <c r="L1378" s="26" t="s">
        <v>1576</v>
      </c>
      <c r="M1378" s="26" t="s">
        <v>1564</v>
      </c>
      <c r="N1378" s="26" t="s">
        <v>1566</v>
      </c>
      <c r="O1378" s="26" t="s">
        <v>1566</v>
      </c>
      <c r="P1378" s="26" t="s">
        <v>22</v>
      </c>
      <c r="Q1378" s="26">
        <v>1500.0</v>
      </c>
    </row>
    <row r="1379" ht="17.25" customHeight="1">
      <c r="A1379" s="51">
        <v>46150.45145793982</v>
      </c>
      <c r="B1379" s="25" t="s">
        <v>91</v>
      </c>
      <c r="C1379" s="55" t="s">
        <v>1892</v>
      </c>
      <c r="D1379" s="51">
        <v>46149.5115510301</v>
      </c>
      <c r="E1379" s="52">
        <v>1000.0</v>
      </c>
      <c r="F1379" s="55" t="s">
        <v>1561</v>
      </c>
      <c r="G1379" s="55">
        <v>793.0</v>
      </c>
      <c r="H1379" s="26"/>
      <c r="I1379" s="26" t="s">
        <v>92</v>
      </c>
      <c r="J1379" s="26" t="s">
        <v>1225</v>
      </c>
      <c r="K1379" s="26" t="s">
        <v>1562</v>
      </c>
      <c r="L1379" s="26" t="s">
        <v>1576</v>
      </c>
      <c r="M1379" s="26" t="s">
        <v>1572</v>
      </c>
      <c r="N1379" s="26" t="s">
        <v>1566</v>
      </c>
      <c r="O1379" s="26" t="s">
        <v>1566</v>
      </c>
      <c r="P1379" s="26" t="s">
        <v>22</v>
      </c>
      <c r="Q1379" s="26">
        <v>1400.0</v>
      </c>
    </row>
    <row r="1380" ht="17.25" customHeight="1">
      <c r="A1380" s="51">
        <v>46150.465204884254</v>
      </c>
      <c r="B1380" s="25" t="s">
        <v>1843</v>
      </c>
      <c r="C1380" s="55" t="s">
        <v>1560</v>
      </c>
      <c r="D1380" s="202">
        <v>46147.51155092593</v>
      </c>
      <c r="E1380" s="52">
        <v>1.0</v>
      </c>
      <c r="F1380" s="55" t="s">
        <v>1942</v>
      </c>
      <c r="G1380" s="26"/>
      <c r="H1380" s="26"/>
      <c r="I1380" s="26" t="s">
        <v>1845</v>
      </c>
      <c r="J1380" s="26" t="s">
        <v>1844</v>
      </c>
      <c r="K1380" s="26" t="s">
        <v>1846</v>
      </c>
      <c r="L1380" s="26" t="s">
        <v>1847</v>
      </c>
      <c r="M1380" s="26" t="s">
        <v>1566</v>
      </c>
      <c r="N1380" s="26" t="s">
        <v>1566</v>
      </c>
      <c r="O1380" s="26" t="s">
        <v>1848</v>
      </c>
      <c r="P1380" s="26" t="s">
        <v>661</v>
      </c>
      <c r="Q1380" s="26">
        <v>0.0</v>
      </c>
    </row>
    <row r="1381" ht="17.25" customHeight="1">
      <c r="A1381" s="51">
        <v>46150.46529609954</v>
      </c>
      <c r="B1381" s="25" t="s">
        <v>836</v>
      </c>
      <c r="C1381" s="55" t="s">
        <v>1892</v>
      </c>
      <c r="D1381" s="202">
        <v>46147.51155092593</v>
      </c>
      <c r="E1381" s="52">
        <v>2.0</v>
      </c>
      <c r="F1381" s="55" t="s">
        <v>1942</v>
      </c>
      <c r="G1381" s="26"/>
      <c r="H1381" s="26"/>
      <c r="I1381" s="26" t="s">
        <v>837</v>
      </c>
      <c r="J1381" s="26" t="s">
        <v>1844</v>
      </c>
      <c r="K1381" s="26" t="s">
        <v>1846</v>
      </c>
      <c r="L1381" s="26" t="s">
        <v>1849</v>
      </c>
      <c r="M1381" s="26" t="s">
        <v>1566</v>
      </c>
      <c r="N1381" s="26" t="s">
        <v>1566</v>
      </c>
      <c r="O1381" s="26" t="s">
        <v>1848</v>
      </c>
      <c r="P1381" s="26" t="s">
        <v>661</v>
      </c>
      <c r="Q1381" s="26">
        <v>1.0</v>
      </c>
    </row>
    <row r="1382" ht="17.25" customHeight="1">
      <c r="A1382" s="51">
        <v>46150.46527043982</v>
      </c>
      <c r="B1382" s="25" t="s">
        <v>836</v>
      </c>
      <c r="C1382" s="55" t="s">
        <v>1560</v>
      </c>
      <c r="D1382" s="202">
        <v>46147.51155092593</v>
      </c>
      <c r="E1382" s="52">
        <v>1.0</v>
      </c>
      <c r="F1382" s="55" t="s">
        <v>1942</v>
      </c>
      <c r="G1382" s="26"/>
      <c r="H1382" s="26"/>
      <c r="I1382" s="26" t="s">
        <v>837</v>
      </c>
      <c r="J1382" s="26" t="s">
        <v>1844</v>
      </c>
      <c r="K1382" s="26" t="s">
        <v>1846</v>
      </c>
      <c r="L1382" s="26" t="s">
        <v>1849</v>
      </c>
      <c r="M1382" s="26" t="s">
        <v>1566</v>
      </c>
      <c r="N1382" s="26" t="s">
        <v>1566</v>
      </c>
      <c r="O1382" s="26" t="s">
        <v>1848</v>
      </c>
      <c r="P1382" s="26" t="s">
        <v>661</v>
      </c>
      <c r="Q1382" s="26">
        <v>1.0</v>
      </c>
    </row>
    <row r="1383" ht="17.25" customHeight="1">
      <c r="A1383" s="51">
        <v>46150.465434722224</v>
      </c>
      <c r="B1383" s="25" t="s">
        <v>842</v>
      </c>
      <c r="C1383" s="55" t="s">
        <v>1560</v>
      </c>
      <c r="D1383" s="202">
        <v>46147.51155092593</v>
      </c>
      <c r="E1383" s="52">
        <v>2.0</v>
      </c>
      <c r="F1383" s="55" t="s">
        <v>1942</v>
      </c>
      <c r="G1383" s="26"/>
      <c r="H1383" s="26"/>
      <c r="I1383" s="26" t="s">
        <v>843</v>
      </c>
      <c r="J1383" s="26" t="s">
        <v>1844</v>
      </c>
      <c r="K1383" s="26" t="s">
        <v>1846</v>
      </c>
      <c r="L1383" s="26" t="s">
        <v>1850</v>
      </c>
      <c r="M1383" s="26" t="s">
        <v>1566</v>
      </c>
      <c r="N1383" s="26" t="s">
        <v>1566</v>
      </c>
      <c r="O1383" s="26" t="s">
        <v>1848</v>
      </c>
      <c r="P1383" s="26" t="s">
        <v>661</v>
      </c>
      <c r="Q1383" s="26">
        <v>1.0</v>
      </c>
    </row>
    <row r="1384" ht="17.25" customHeight="1">
      <c r="A1384" s="51">
        <v>46150.46576068287</v>
      </c>
      <c r="B1384" s="25" t="s">
        <v>842</v>
      </c>
      <c r="C1384" s="55" t="s">
        <v>1892</v>
      </c>
      <c r="D1384" s="202">
        <v>46148.51155092593</v>
      </c>
      <c r="E1384" s="52">
        <v>1.0</v>
      </c>
      <c r="F1384" s="55" t="s">
        <v>1942</v>
      </c>
      <c r="G1384" s="26"/>
      <c r="H1384" s="26"/>
      <c r="I1384" s="26" t="s">
        <v>843</v>
      </c>
      <c r="J1384" s="26" t="s">
        <v>1844</v>
      </c>
      <c r="K1384" s="26" t="s">
        <v>1846</v>
      </c>
      <c r="L1384" s="26" t="s">
        <v>1850</v>
      </c>
      <c r="M1384" s="26" t="s">
        <v>1566</v>
      </c>
      <c r="N1384" s="26" t="s">
        <v>1566</v>
      </c>
      <c r="O1384" s="26" t="s">
        <v>1848</v>
      </c>
      <c r="P1384" s="26" t="s">
        <v>661</v>
      </c>
      <c r="Q1384" s="26">
        <v>1.0</v>
      </c>
    </row>
    <row r="1385" ht="17.25" customHeight="1">
      <c r="A1385" s="51">
        <v>46150.466215520835</v>
      </c>
      <c r="B1385" s="25" t="s">
        <v>1061</v>
      </c>
      <c r="C1385" s="55" t="s">
        <v>1560</v>
      </c>
      <c r="D1385" s="202">
        <v>46147.51155092593</v>
      </c>
      <c r="E1385" s="52">
        <v>1.0</v>
      </c>
      <c r="F1385" s="55" t="s">
        <v>1942</v>
      </c>
      <c r="G1385" s="26"/>
      <c r="H1385" s="26"/>
      <c r="I1385" s="26" t="s">
        <v>1062</v>
      </c>
      <c r="J1385" s="26" t="s">
        <v>1844</v>
      </c>
      <c r="K1385" s="26" t="s">
        <v>1807</v>
      </c>
      <c r="L1385" s="26" t="s">
        <v>2109</v>
      </c>
      <c r="M1385" s="26" t="s">
        <v>1566</v>
      </c>
      <c r="N1385" s="26" t="s">
        <v>1566</v>
      </c>
      <c r="O1385" s="26" t="s">
        <v>1566</v>
      </c>
      <c r="P1385" s="26" t="s">
        <v>661</v>
      </c>
      <c r="Q1385" s="26">
        <v>1.0</v>
      </c>
    </row>
    <row r="1386" ht="17.25" customHeight="1">
      <c r="A1386" s="51">
        <v>46150.4680129051</v>
      </c>
      <c r="B1386" s="27" t="s">
        <v>2002</v>
      </c>
      <c r="C1386" s="55" t="s">
        <v>1560</v>
      </c>
      <c r="D1386" s="202">
        <v>46147.51155092593</v>
      </c>
      <c r="E1386" s="52">
        <v>1.0</v>
      </c>
      <c r="F1386" s="55" t="s">
        <v>1942</v>
      </c>
      <c r="G1386" s="26"/>
      <c r="H1386" s="26"/>
      <c r="I1386" s="26" t="s">
        <v>2004</v>
      </c>
      <c r="J1386" s="26" t="s">
        <v>1844</v>
      </c>
      <c r="K1386" s="26" t="s">
        <v>1807</v>
      </c>
      <c r="L1386" s="26" t="s">
        <v>2162</v>
      </c>
      <c r="M1386" s="26" t="s">
        <v>1566</v>
      </c>
      <c r="N1386" s="26" t="s">
        <v>1566</v>
      </c>
      <c r="O1386" s="26" t="s">
        <v>1566</v>
      </c>
      <c r="P1386" s="26" t="s">
        <v>661</v>
      </c>
      <c r="Q1386" s="26">
        <v>0.0</v>
      </c>
    </row>
    <row r="1387" ht="17.25" customHeight="1">
      <c r="A1387" s="51">
        <v>46150.46890951389</v>
      </c>
      <c r="B1387" s="25" t="s">
        <v>45</v>
      </c>
      <c r="C1387" s="55" t="s">
        <v>1892</v>
      </c>
      <c r="D1387" s="51">
        <v>46150.4680129051</v>
      </c>
      <c r="E1387" s="52">
        <v>2.0</v>
      </c>
      <c r="F1387" s="55" t="s">
        <v>2169</v>
      </c>
      <c r="G1387" s="26"/>
      <c r="H1387" s="26"/>
      <c r="I1387" s="26" t="s">
        <v>47</v>
      </c>
      <c r="J1387" s="26" t="s">
        <v>1674</v>
      </c>
      <c r="K1387" s="26" t="s">
        <v>1691</v>
      </c>
      <c r="L1387" s="26" t="s">
        <v>1566</v>
      </c>
      <c r="M1387" s="26" t="s">
        <v>1566</v>
      </c>
      <c r="N1387" s="26" t="s">
        <v>1566</v>
      </c>
      <c r="O1387" s="26" t="s">
        <v>1566</v>
      </c>
      <c r="P1387" s="26" t="s">
        <v>661</v>
      </c>
      <c r="Q1387" s="26">
        <v>0.0</v>
      </c>
    </row>
    <row r="1388" ht="17.25" customHeight="1">
      <c r="A1388" s="51">
        <v>46150.47578981482</v>
      </c>
      <c r="B1388" s="27" t="s">
        <v>1195</v>
      </c>
      <c r="C1388" s="55" t="s">
        <v>1560</v>
      </c>
      <c r="D1388" s="51">
        <v>46150.4680129051</v>
      </c>
      <c r="E1388" s="52">
        <v>2.0</v>
      </c>
      <c r="F1388" s="55" t="s">
        <v>2169</v>
      </c>
      <c r="G1388" s="26"/>
      <c r="H1388" s="26"/>
      <c r="I1388" s="26" t="s">
        <v>1196</v>
      </c>
      <c r="J1388" s="26" t="s">
        <v>1674</v>
      </c>
      <c r="K1388" s="26" t="s">
        <v>1691</v>
      </c>
      <c r="L1388" s="26" t="s">
        <v>1566</v>
      </c>
      <c r="M1388" s="26" t="s">
        <v>1566</v>
      </c>
      <c r="N1388" s="26" t="s">
        <v>1566</v>
      </c>
      <c r="O1388" s="26" t="s">
        <v>1566</v>
      </c>
      <c r="P1388" s="26" t="s">
        <v>290</v>
      </c>
      <c r="Q1388" s="26">
        <v>2.0</v>
      </c>
    </row>
    <row r="1389" ht="17.25" customHeight="1">
      <c r="A1389" s="51">
        <v>46150.502327650465</v>
      </c>
      <c r="B1389" s="25" t="s">
        <v>622</v>
      </c>
      <c r="C1389" s="55" t="s">
        <v>1560</v>
      </c>
      <c r="D1389" s="111">
        <v>46150.0</v>
      </c>
      <c r="E1389" s="52">
        <v>25.0</v>
      </c>
      <c r="F1389" s="55" t="s">
        <v>2271</v>
      </c>
      <c r="G1389" s="26"/>
      <c r="H1389" s="26"/>
      <c r="I1389" s="26" t="s">
        <v>623</v>
      </c>
      <c r="J1389" s="26" t="s">
        <v>1812</v>
      </c>
      <c r="K1389" s="26" t="s">
        <v>1815</v>
      </c>
      <c r="L1389" s="26" t="s">
        <v>1566</v>
      </c>
      <c r="M1389" s="26" t="s">
        <v>1566</v>
      </c>
      <c r="N1389" s="26" t="s">
        <v>1566</v>
      </c>
      <c r="O1389" s="26" t="s">
        <v>1817</v>
      </c>
      <c r="P1389" s="26" t="s">
        <v>616</v>
      </c>
      <c r="Q1389" s="26">
        <v>20.0</v>
      </c>
    </row>
    <row r="1390" ht="17.25" customHeight="1">
      <c r="A1390" s="51">
        <v>46150.502401770835</v>
      </c>
      <c r="B1390" s="25" t="s">
        <v>21</v>
      </c>
      <c r="C1390" s="55" t="s">
        <v>1560</v>
      </c>
      <c r="D1390" s="111">
        <v>46150.0</v>
      </c>
      <c r="E1390" s="52">
        <v>40.0</v>
      </c>
      <c r="F1390" s="55" t="s">
        <v>2271</v>
      </c>
      <c r="G1390" s="26"/>
      <c r="H1390" s="26"/>
      <c r="I1390" s="26" t="s">
        <v>23</v>
      </c>
      <c r="J1390" s="26" t="s">
        <v>1812</v>
      </c>
      <c r="K1390" s="26" t="s">
        <v>1815</v>
      </c>
      <c r="L1390" s="26" t="s">
        <v>1566</v>
      </c>
      <c r="M1390" s="26" t="s">
        <v>1566</v>
      </c>
      <c r="N1390" s="26" t="s">
        <v>1566</v>
      </c>
      <c r="O1390" s="26" t="s">
        <v>1818</v>
      </c>
      <c r="P1390" s="26" t="s">
        <v>616</v>
      </c>
      <c r="Q1390" s="26">
        <v>20.0</v>
      </c>
    </row>
    <row r="1391" ht="17.25" customHeight="1">
      <c r="A1391" s="51">
        <v>46150.50265513889</v>
      </c>
      <c r="B1391" s="25" t="s">
        <v>945</v>
      </c>
      <c r="C1391" s="55" t="s">
        <v>1560</v>
      </c>
      <c r="D1391" s="111">
        <v>46150.0</v>
      </c>
      <c r="E1391" s="52">
        <v>25.0</v>
      </c>
      <c r="F1391" s="55" t="s">
        <v>2271</v>
      </c>
      <c r="G1391" s="26"/>
      <c r="H1391" s="26"/>
      <c r="I1391" s="26" t="s">
        <v>946</v>
      </c>
      <c r="J1391" s="26" t="s">
        <v>1812</v>
      </c>
      <c r="K1391" s="26" t="s">
        <v>1815</v>
      </c>
      <c r="L1391" s="26" t="s">
        <v>1566</v>
      </c>
      <c r="M1391" s="26" t="s">
        <v>1566</v>
      </c>
      <c r="N1391" s="26" t="s">
        <v>1566</v>
      </c>
      <c r="O1391" s="26" t="s">
        <v>1903</v>
      </c>
      <c r="P1391" s="26" t="s">
        <v>616</v>
      </c>
      <c r="Q1391" s="26">
        <v>25.0</v>
      </c>
    </row>
    <row r="1392" ht="17.25" customHeight="1">
      <c r="A1392" s="51">
        <v>46150.502778877315</v>
      </c>
      <c r="B1392" s="25" t="s">
        <v>948</v>
      </c>
      <c r="C1392" s="55" t="s">
        <v>1560</v>
      </c>
      <c r="D1392" s="111">
        <v>46150.0</v>
      </c>
      <c r="E1392" s="52">
        <v>5.0</v>
      </c>
      <c r="F1392" s="55" t="s">
        <v>2271</v>
      </c>
      <c r="G1392" s="26"/>
      <c r="H1392" s="26"/>
      <c r="I1392" s="26" t="s">
        <v>952</v>
      </c>
      <c r="J1392" s="26" t="s">
        <v>1812</v>
      </c>
      <c r="K1392" s="26" t="s">
        <v>1815</v>
      </c>
      <c r="L1392" s="26" t="s">
        <v>1566</v>
      </c>
      <c r="M1392" s="26" t="s">
        <v>1566</v>
      </c>
      <c r="N1392" s="26" t="s">
        <v>1566</v>
      </c>
      <c r="O1392" s="26" t="s">
        <v>2060</v>
      </c>
      <c r="P1392" s="26" t="s">
        <v>616</v>
      </c>
      <c r="Q1392" s="26">
        <v>5.0</v>
      </c>
    </row>
    <row r="1393" ht="17.25" customHeight="1">
      <c r="A1393" s="51">
        <v>46150.50300296296</v>
      </c>
      <c r="B1393" s="25" t="s">
        <v>517</v>
      </c>
      <c r="C1393" s="55" t="s">
        <v>1560</v>
      </c>
      <c r="D1393" s="111">
        <v>46150.0</v>
      </c>
      <c r="E1393" s="52">
        <v>20.0</v>
      </c>
      <c r="F1393" s="55" t="s">
        <v>2271</v>
      </c>
      <c r="G1393" s="26"/>
      <c r="H1393" s="26"/>
      <c r="I1393" s="26" t="s">
        <v>518</v>
      </c>
      <c r="J1393" s="26" t="s">
        <v>1812</v>
      </c>
      <c r="K1393" s="26" t="s">
        <v>1815</v>
      </c>
      <c r="L1393" s="26" t="s">
        <v>1566</v>
      </c>
      <c r="M1393" s="26" t="s">
        <v>1566</v>
      </c>
      <c r="N1393" s="26" t="s">
        <v>1566</v>
      </c>
      <c r="O1393" s="26" t="s">
        <v>2098</v>
      </c>
      <c r="P1393" s="26" t="s">
        <v>290</v>
      </c>
      <c r="Q1393" s="26">
        <v>40.0</v>
      </c>
    </row>
    <row r="1394" ht="17.25" customHeight="1">
      <c r="A1394" s="51">
        <v>46150.50629240741</v>
      </c>
      <c r="B1394" s="27" t="s">
        <v>1021</v>
      </c>
      <c r="C1394" s="55" t="s">
        <v>1560</v>
      </c>
      <c r="D1394" s="111">
        <v>46150.0</v>
      </c>
      <c r="E1394" s="52">
        <v>8.0</v>
      </c>
      <c r="F1394" s="55" t="s">
        <v>2271</v>
      </c>
      <c r="G1394" s="26"/>
      <c r="H1394" s="26"/>
      <c r="I1394" s="26" t="s">
        <v>1022</v>
      </c>
      <c r="J1394" s="26" t="s">
        <v>1807</v>
      </c>
      <c r="K1394" s="26" t="s">
        <v>1889</v>
      </c>
      <c r="L1394" s="26" t="s">
        <v>1566</v>
      </c>
      <c r="M1394" s="26" t="s">
        <v>1566</v>
      </c>
      <c r="N1394" s="26" t="s">
        <v>1876</v>
      </c>
      <c r="O1394" s="26" t="s">
        <v>1566</v>
      </c>
      <c r="P1394" s="26" t="s">
        <v>661</v>
      </c>
      <c r="Q1394" s="26">
        <v>9.0</v>
      </c>
    </row>
    <row r="1395" ht="17.25" customHeight="1">
      <c r="A1395" s="51">
        <v>46150.50648657407</v>
      </c>
      <c r="B1395" s="27" t="s">
        <v>1021</v>
      </c>
      <c r="C1395" s="55" t="s">
        <v>1892</v>
      </c>
      <c r="D1395" s="111">
        <v>46150.0</v>
      </c>
      <c r="E1395" s="52">
        <v>1.0</v>
      </c>
      <c r="F1395" s="55" t="s">
        <v>2046</v>
      </c>
      <c r="G1395" s="26"/>
      <c r="H1395" s="26"/>
      <c r="I1395" s="26" t="s">
        <v>1022</v>
      </c>
      <c r="J1395" s="26" t="s">
        <v>1807</v>
      </c>
      <c r="K1395" s="26" t="s">
        <v>1889</v>
      </c>
      <c r="L1395" s="26" t="s">
        <v>1566</v>
      </c>
      <c r="M1395" s="26" t="s">
        <v>1566</v>
      </c>
      <c r="N1395" s="26" t="s">
        <v>1876</v>
      </c>
      <c r="O1395" s="26" t="s">
        <v>1566</v>
      </c>
      <c r="P1395" s="26" t="s">
        <v>661</v>
      </c>
      <c r="Q1395" s="26">
        <v>9.0</v>
      </c>
    </row>
    <row r="1396" ht="17.25" customHeight="1">
      <c r="A1396" s="51">
        <v>46150.507090266205</v>
      </c>
      <c r="B1396" s="26" t="s">
        <v>1200</v>
      </c>
      <c r="C1396" s="55" t="s">
        <v>1560</v>
      </c>
      <c r="D1396" s="111">
        <v>46150.0</v>
      </c>
      <c r="E1396" s="52">
        <v>4.0</v>
      </c>
      <c r="F1396" s="55" t="s">
        <v>2271</v>
      </c>
      <c r="G1396" s="26"/>
      <c r="H1396" s="26"/>
      <c r="I1396" s="26" t="s">
        <v>1201</v>
      </c>
      <c r="J1396" s="26" t="s">
        <v>1807</v>
      </c>
      <c r="K1396" s="26" t="s">
        <v>1807</v>
      </c>
      <c r="L1396" s="26" t="s">
        <v>1566</v>
      </c>
      <c r="M1396" s="26" t="s">
        <v>1566</v>
      </c>
      <c r="N1396" s="26" t="s">
        <v>1566</v>
      </c>
      <c r="O1396" s="26" t="s">
        <v>2164</v>
      </c>
      <c r="P1396" s="26" t="s">
        <v>661</v>
      </c>
      <c r="Q1396" s="26">
        <v>2.0</v>
      </c>
    </row>
    <row r="1397" ht="17.25" customHeight="1">
      <c r="A1397" s="51">
        <v>46150.7243047338</v>
      </c>
      <c r="B1397" s="153" t="s">
        <v>1039</v>
      </c>
      <c r="C1397" s="55" t="s">
        <v>1560</v>
      </c>
      <c r="D1397" s="111">
        <v>46150.0</v>
      </c>
      <c r="E1397" s="52">
        <v>1.0</v>
      </c>
      <c r="F1397" s="55" t="s">
        <v>2271</v>
      </c>
      <c r="G1397" s="26"/>
      <c r="H1397" s="26"/>
      <c r="I1397" s="26" t="s">
        <v>1040</v>
      </c>
      <c r="J1397" s="26" t="s">
        <v>1830</v>
      </c>
      <c r="K1397" s="26" t="s">
        <v>1833</v>
      </c>
      <c r="L1397" s="26" t="s">
        <v>1566</v>
      </c>
      <c r="M1397" s="26" t="s">
        <v>1566</v>
      </c>
      <c r="N1397" s="26" t="s">
        <v>1566</v>
      </c>
      <c r="O1397" s="26" t="s">
        <v>1566</v>
      </c>
      <c r="P1397" s="26" t="s">
        <v>643</v>
      </c>
      <c r="Q1397" s="26">
        <v>6.0</v>
      </c>
    </row>
    <row r="1398" ht="17.25" customHeight="1">
      <c r="A1398" s="51">
        <v>46150.72435329861</v>
      </c>
      <c r="B1398" s="153" t="s">
        <v>654</v>
      </c>
      <c r="C1398" s="55" t="s">
        <v>1560</v>
      </c>
      <c r="D1398" s="202">
        <v>46147.51155092593</v>
      </c>
      <c r="E1398" s="52">
        <v>5.0</v>
      </c>
      <c r="F1398" s="55" t="s">
        <v>2271</v>
      </c>
      <c r="G1398" s="26"/>
      <c r="H1398" s="26"/>
      <c r="I1398" s="26" t="s">
        <v>655</v>
      </c>
      <c r="J1398" s="26" t="s">
        <v>1821</v>
      </c>
      <c r="K1398" s="26" t="s">
        <v>1822</v>
      </c>
      <c r="L1398" s="26" t="s">
        <v>1566</v>
      </c>
      <c r="M1398" s="26" t="s">
        <v>1566</v>
      </c>
      <c r="N1398" s="26" t="s">
        <v>1566</v>
      </c>
      <c r="O1398" s="26" t="s">
        <v>1566</v>
      </c>
      <c r="P1398" s="26" t="s">
        <v>290</v>
      </c>
      <c r="Q1398" s="26">
        <v>5.0</v>
      </c>
    </row>
    <row r="1399" ht="17.25" customHeight="1">
      <c r="A1399" s="51">
        <v>46150.75801099537</v>
      </c>
      <c r="B1399" s="25" t="s">
        <v>876</v>
      </c>
      <c r="C1399" s="55" t="s">
        <v>1892</v>
      </c>
      <c r="D1399" s="111">
        <v>46150.0</v>
      </c>
      <c r="E1399" s="52">
        <v>4.0</v>
      </c>
      <c r="F1399" s="55" t="s">
        <v>1907</v>
      </c>
      <c r="G1399" s="26"/>
      <c r="H1399" s="26"/>
      <c r="I1399" s="26" t="s">
        <v>878</v>
      </c>
      <c r="J1399" s="26" t="s">
        <v>1830</v>
      </c>
      <c r="K1399" s="26" t="s">
        <v>1879</v>
      </c>
      <c r="L1399" s="26" t="s">
        <v>1566</v>
      </c>
      <c r="M1399" s="26" t="s">
        <v>1566</v>
      </c>
      <c r="N1399" s="26" t="s">
        <v>1566</v>
      </c>
      <c r="O1399" s="26" t="s">
        <v>1566</v>
      </c>
      <c r="P1399" s="26" t="s">
        <v>643</v>
      </c>
      <c r="Q1399" s="26">
        <v>34.0</v>
      </c>
    </row>
    <row r="1400" ht="17.25" customHeight="1">
      <c r="A1400" s="51">
        <v>46150.75810204861</v>
      </c>
      <c r="B1400" s="25" t="s">
        <v>876</v>
      </c>
      <c r="C1400" s="55" t="s">
        <v>1892</v>
      </c>
      <c r="D1400" s="202">
        <v>46147.51155092593</v>
      </c>
      <c r="E1400" s="52">
        <v>4.0</v>
      </c>
      <c r="F1400" s="55" t="s">
        <v>1907</v>
      </c>
      <c r="G1400" s="26"/>
      <c r="H1400" s="26"/>
      <c r="I1400" s="26" t="s">
        <v>878</v>
      </c>
      <c r="J1400" s="26" t="s">
        <v>1830</v>
      </c>
      <c r="K1400" s="26" t="s">
        <v>1879</v>
      </c>
      <c r="L1400" s="26" t="s">
        <v>1566</v>
      </c>
      <c r="M1400" s="26" t="s">
        <v>1566</v>
      </c>
      <c r="N1400" s="26" t="s">
        <v>1566</v>
      </c>
      <c r="O1400" s="26" t="s">
        <v>1566</v>
      </c>
      <c r="P1400" s="26" t="s">
        <v>643</v>
      </c>
      <c r="Q1400" s="26">
        <v>34.0</v>
      </c>
    </row>
    <row r="1401" ht="17.25" customHeight="1">
      <c r="A1401" s="51">
        <v>46150.75814914352</v>
      </c>
      <c r="B1401" s="25" t="s">
        <v>876</v>
      </c>
      <c r="C1401" s="55" t="s">
        <v>1892</v>
      </c>
      <c r="D1401" s="51">
        <v>46149.5115510301</v>
      </c>
      <c r="E1401" s="52">
        <v>4.0</v>
      </c>
      <c r="F1401" s="55" t="s">
        <v>1907</v>
      </c>
      <c r="G1401" s="26"/>
      <c r="H1401" s="26"/>
      <c r="I1401" s="26" t="s">
        <v>878</v>
      </c>
      <c r="J1401" s="26" t="s">
        <v>1830</v>
      </c>
      <c r="K1401" s="26" t="s">
        <v>1879</v>
      </c>
      <c r="L1401" s="26" t="s">
        <v>1566</v>
      </c>
      <c r="M1401" s="26" t="s">
        <v>1566</v>
      </c>
      <c r="N1401" s="26" t="s">
        <v>1566</v>
      </c>
      <c r="O1401" s="26" t="s">
        <v>1566</v>
      </c>
      <c r="P1401" s="26" t="s">
        <v>643</v>
      </c>
      <c r="Q1401" s="26">
        <v>34.0</v>
      </c>
    </row>
    <row r="1402" ht="17.25" customHeight="1">
      <c r="A1402" s="51">
        <v>46153.40427600694</v>
      </c>
      <c r="B1402" s="153" t="s">
        <v>654</v>
      </c>
      <c r="C1402" s="55" t="s">
        <v>1892</v>
      </c>
      <c r="D1402" s="51">
        <v>46149.5115510301</v>
      </c>
      <c r="E1402" s="52">
        <v>5.0</v>
      </c>
      <c r="F1402" s="55" t="s">
        <v>1907</v>
      </c>
      <c r="G1402" s="26"/>
      <c r="H1402" s="26"/>
      <c r="I1402" s="26" t="s">
        <v>655</v>
      </c>
      <c r="J1402" s="26" t="s">
        <v>1821</v>
      </c>
      <c r="K1402" s="26" t="s">
        <v>1822</v>
      </c>
      <c r="L1402" s="26" t="s">
        <v>1566</v>
      </c>
      <c r="M1402" s="26" t="s">
        <v>1566</v>
      </c>
      <c r="N1402" s="26" t="s">
        <v>1566</v>
      </c>
      <c r="O1402" s="26" t="s">
        <v>1566</v>
      </c>
      <c r="P1402" s="26" t="s">
        <v>290</v>
      </c>
      <c r="Q1402" s="26">
        <v>5.0</v>
      </c>
    </row>
    <row r="1403" ht="17.25" customHeight="1">
      <c r="A1403" s="51">
        <v>46153.40509855324</v>
      </c>
      <c r="B1403" s="25" t="s">
        <v>1091</v>
      </c>
      <c r="C1403" s="55" t="s">
        <v>1892</v>
      </c>
      <c r="D1403" s="202">
        <v>46147.51155092593</v>
      </c>
      <c r="E1403" s="52">
        <v>10.0</v>
      </c>
      <c r="F1403" s="55" t="s">
        <v>2275</v>
      </c>
      <c r="G1403" s="26"/>
      <c r="H1403" s="26"/>
      <c r="I1403" s="26" t="s">
        <v>1092</v>
      </c>
      <c r="J1403" s="26" t="s">
        <v>1830</v>
      </c>
      <c r="K1403" s="26" t="s">
        <v>1830</v>
      </c>
      <c r="L1403" s="26" t="s">
        <v>1566</v>
      </c>
      <c r="M1403" s="26" t="s">
        <v>1566</v>
      </c>
      <c r="N1403" s="26" t="s">
        <v>1566</v>
      </c>
      <c r="O1403" s="26" t="s">
        <v>1566</v>
      </c>
      <c r="P1403" s="26" t="s">
        <v>22</v>
      </c>
      <c r="Q1403" s="26">
        <v>52.0</v>
      </c>
    </row>
    <row r="1404" ht="17.25" customHeight="1">
      <c r="A1404" s="51">
        <v>46153.40531559028</v>
      </c>
      <c r="B1404" s="25" t="s">
        <v>1091</v>
      </c>
      <c r="C1404" s="55" t="s">
        <v>1892</v>
      </c>
      <c r="D1404" s="111">
        <v>46151.0</v>
      </c>
      <c r="E1404" s="52">
        <v>10.0</v>
      </c>
      <c r="F1404" s="55" t="s">
        <v>2275</v>
      </c>
      <c r="G1404" s="26"/>
      <c r="H1404" s="26"/>
      <c r="I1404" s="26" t="s">
        <v>1092</v>
      </c>
      <c r="J1404" s="26" t="s">
        <v>1830</v>
      </c>
      <c r="K1404" s="26" t="s">
        <v>1830</v>
      </c>
      <c r="L1404" s="26" t="s">
        <v>1566</v>
      </c>
      <c r="M1404" s="26" t="s">
        <v>1566</v>
      </c>
      <c r="N1404" s="26" t="s">
        <v>1566</v>
      </c>
      <c r="O1404" s="26" t="s">
        <v>1566</v>
      </c>
      <c r="P1404" s="26" t="s">
        <v>22</v>
      </c>
      <c r="Q1404" s="26">
        <v>52.0</v>
      </c>
    </row>
    <row r="1405" ht="17.25" customHeight="1">
      <c r="A1405" s="51">
        <v>46153.405444351854</v>
      </c>
      <c r="B1405" s="25" t="s">
        <v>1091</v>
      </c>
      <c r="C1405" s="55" t="s">
        <v>1892</v>
      </c>
      <c r="D1405" s="111">
        <v>46143.0</v>
      </c>
      <c r="E1405" s="52">
        <v>10.0</v>
      </c>
      <c r="F1405" s="55" t="s">
        <v>2275</v>
      </c>
      <c r="G1405" s="26"/>
      <c r="H1405" s="26"/>
      <c r="I1405" s="26" t="s">
        <v>1092</v>
      </c>
      <c r="J1405" s="26" t="s">
        <v>1830</v>
      </c>
      <c r="K1405" s="26" t="s">
        <v>1830</v>
      </c>
      <c r="L1405" s="26" t="s">
        <v>1566</v>
      </c>
      <c r="M1405" s="26" t="s">
        <v>1566</v>
      </c>
      <c r="N1405" s="26" t="s">
        <v>1566</v>
      </c>
      <c r="O1405" s="26" t="s">
        <v>1566</v>
      </c>
      <c r="P1405" s="26" t="s">
        <v>22</v>
      </c>
      <c r="Q1405" s="26">
        <v>52.0</v>
      </c>
    </row>
    <row r="1406" ht="17.25" customHeight="1">
      <c r="A1406" s="51">
        <v>46164.48460561343</v>
      </c>
      <c r="B1406" s="25" t="s">
        <v>562</v>
      </c>
      <c r="C1406" s="55" t="s">
        <v>1892</v>
      </c>
      <c r="D1406" s="111">
        <v>46151.0</v>
      </c>
      <c r="E1406" s="52">
        <v>1.0</v>
      </c>
      <c r="F1406" s="55" t="s">
        <v>2275</v>
      </c>
      <c r="G1406" s="55"/>
      <c r="H1406" s="26"/>
      <c r="I1406" s="26" t="s">
        <v>567</v>
      </c>
      <c r="J1406" s="26" t="s">
        <v>1812</v>
      </c>
      <c r="K1406" s="26" t="s">
        <v>1815</v>
      </c>
      <c r="L1406" s="26" t="s">
        <v>1566</v>
      </c>
      <c r="M1406" s="26" t="s">
        <v>1566</v>
      </c>
      <c r="N1406" s="26" t="s">
        <v>1566</v>
      </c>
      <c r="O1406" s="26" t="s">
        <v>1838</v>
      </c>
      <c r="P1406" s="26" t="s">
        <v>616</v>
      </c>
      <c r="Q1406" s="26">
        <v>4.0</v>
      </c>
    </row>
    <row r="1407" ht="17.25" customHeight="1">
      <c r="A1407" s="51">
        <v>46153.40558883102</v>
      </c>
      <c r="B1407" s="25" t="s">
        <v>1091</v>
      </c>
      <c r="C1407" s="55" t="s">
        <v>1892</v>
      </c>
      <c r="D1407" s="111">
        <v>46151.0</v>
      </c>
      <c r="E1407" s="52">
        <v>10.0</v>
      </c>
      <c r="F1407" s="55" t="s">
        <v>2275</v>
      </c>
      <c r="G1407" s="55" t="s">
        <v>2094</v>
      </c>
      <c r="H1407" s="26"/>
      <c r="I1407" s="26" t="s">
        <v>1092</v>
      </c>
      <c r="J1407" s="26" t="s">
        <v>1830</v>
      </c>
      <c r="K1407" s="26" t="s">
        <v>1830</v>
      </c>
      <c r="L1407" s="26" t="s">
        <v>1566</v>
      </c>
      <c r="M1407" s="26" t="s">
        <v>1566</v>
      </c>
      <c r="N1407" s="26" t="s">
        <v>1566</v>
      </c>
      <c r="O1407" s="26" t="s">
        <v>1566</v>
      </c>
      <c r="P1407" s="26" t="s">
        <v>22</v>
      </c>
      <c r="Q1407" s="26">
        <v>52.0</v>
      </c>
    </row>
    <row r="1408" ht="17.25" customHeight="1">
      <c r="A1408" s="51">
        <v>46153.40574611111</v>
      </c>
      <c r="B1408" s="25" t="s">
        <v>1091</v>
      </c>
      <c r="C1408" s="55" t="s">
        <v>1560</v>
      </c>
      <c r="D1408" s="111">
        <v>46151.0</v>
      </c>
      <c r="E1408" s="52">
        <v>100.0</v>
      </c>
      <c r="F1408" s="55" t="s">
        <v>1673</v>
      </c>
      <c r="G1408" s="26"/>
      <c r="H1408" s="26"/>
      <c r="I1408" s="26" t="s">
        <v>1092</v>
      </c>
      <c r="J1408" s="26" t="s">
        <v>1830</v>
      </c>
      <c r="K1408" s="26" t="s">
        <v>1830</v>
      </c>
      <c r="L1408" s="26" t="s">
        <v>1566</v>
      </c>
      <c r="M1408" s="26" t="s">
        <v>1566</v>
      </c>
      <c r="N1408" s="26" t="s">
        <v>1566</v>
      </c>
      <c r="O1408" s="26" t="s">
        <v>1566</v>
      </c>
      <c r="P1408" s="26" t="s">
        <v>22</v>
      </c>
      <c r="Q1408" s="26">
        <v>52.0</v>
      </c>
    </row>
    <row r="1409" ht="17.25" customHeight="1">
      <c r="A1409" s="51">
        <v>46153.41004872685</v>
      </c>
      <c r="B1409" s="27" t="s">
        <v>1208</v>
      </c>
      <c r="C1409" s="55" t="s">
        <v>1560</v>
      </c>
      <c r="D1409" s="111">
        <v>46151.0</v>
      </c>
      <c r="E1409" s="52">
        <v>100.0</v>
      </c>
      <c r="F1409" s="55" t="s">
        <v>1673</v>
      </c>
      <c r="G1409" s="26"/>
      <c r="H1409" s="26"/>
      <c r="I1409" s="26" t="s">
        <v>1210</v>
      </c>
      <c r="J1409" s="26" t="s">
        <v>1830</v>
      </c>
      <c r="K1409" s="26" t="s">
        <v>1642</v>
      </c>
      <c r="L1409" s="26" t="s">
        <v>1566</v>
      </c>
      <c r="M1409" s="26"/>
      <c r="N1409" s="26" t="s">
        <v>1566</v>
      </c>
      <c r="O1409" s="26" t="s">
        <v>2165</v>
      </c>
      <c r="P1409" s="26" t="s">
        <v>22</v>
      </c>
      <c r="Q1409" s="26">
        <v>100.0</v>
      </c>
    </row>
    <row r="1410" ht="17.25" customHeight="1">
      <c r="A1410" s="51">
        <v>46153.41011056713</v>
      </c>
      <c r="B1410" s="39" t="s">
        <v>1212</v>
      </c>
      <c r="C1410" s="55" t="s">
        <v>1560</v>
      </c>
      <c r="D1410" s="111">
        <v>46151.0</v>
      </c>
      <c r="E1410" s="52">
        <v>100.0</v>
      </c>
      <c r="F1410" s="55" t="s">
        <v>1673</v>
      </c>
      <c r="G1410" s="26"/>
      <c r="H1410" s="26"/>
      <c r="I1410" s="26" t="s">
        <v>1213</v>
      </c>
      <c r="J1410" s="26" t="s">
        <v>1830</v>
      </c>
      <c r="K1410" s="26" t="s">
        <v>1642</v>
      </c>
      <c r="L1410" s="26" t="s">
        <v>1566</v>
      </c>
      <c r="M1410" s="26" t="s">
        <v>1566</v>
      </c>
      <c r="N1410" s="26" t="s">
        <v>1566</v>
      </c>
      <c r="O1410" s="26" t="s">
        <v>2166</v>
      </c>
      <c r="P1410" s="26" t="s">
        <v>22</v>
      </c>
      <c r="Q1410" s="26">
        <v>100.0</v>
      </c>
    </row>
    <row r="1411" ht="17.25" customHeight="1">
      <c r="A1411" s="51">
        <v>46153.42858230324</v>
      </c>
      <c r="B1411" s="25" t="s">
        <v>104</v>
      </c>
      <c r="C1411" s="55" t="s">
        <v>1892</v>
      </c>
      <c r="D1411" s="111">
        <v>46150.0</v>
      </c>
      <c r="E1411" s="52">
        <v>700.0</v>
      </c>
      <c r="F1411" s="55" t="s">
        <v>1561</v>
      </c>
      <c r="G1411" s="55">
        <v>795.0</v>
      </c>
      <c r="H1411" s="26"/>
      <c r="I1411" s="26" t="s">
        <v>106</v>
      </c>
      <c r="J1411" s="26" t="s">
        <v>1225</v>
      </c>
      <c r="K1411" s="26" t="s">
        <v>1562</v>
      </c>
      <c r="L1411" s="26" t="s">
        <v>1582</v>
      </c>
      <c r="M1411" s="26" t="s">
        <v>1607</v>
      </c>
      <c r="N1411" s="26" t="s">
        <v>1571</v>
      </c>
      <c r="O1411" s="26" t="s">
        <v>1566</v>
      </c>
      <c r="P1411" s="26" t="s">
        <v>22</v>
      </c>
      <c r="Q1411" s="26">
        <v>1000.0</v>
      </c>
    </row>
    <row r="1412" ht="17.25" customHeight="1">
      <c r="A1412" s="51">
        <v>46153.43093778935</v>
      </c>
      <c r="B1412" s="25" t="s">
        <v>942</v>
      </c>
      <c r="C1412" s="55" t="s">
        <v>1892</v>
      </c>
      <c r="D1412" s="111">
        <v>46151.0</v>
      </c>
      <c r="E1412" s="52">
        <v>1400.0</v>
      </c>
      <c r="F1412" s="55" t="s">
        <v>1561</v>
      </c>
      <c r="G1412" s="2">
        <v>796.0</v>
      </c>
      <c r="H1412" s="26"/>
      <c r="I1412" s="26" t="s">
        <v>943</v>
      </c>
      <c r="J1412" s="26" t="s">
        <v>1225</v>
      </c>
      <c r="K1412" s="26" t="s">
        <v>1562</v>
      </c>
      <c r="L1412" s="26" t="s">
        <v>1591</v>
      </c>
      <c r="M1412" s="26" t="s">
        <v>1575</v>
      </c>
      <c r="N1412" s="26" t="s">
        <v>1566</v>
      </c>
      <c r="O1412" s="26" t="s">
        <v>1566</v>
      </c>
      <c r="P1412" s="26" t="s">
        <v>22</v>
      </c>
      <c r="Q1412" s="26">
        <v>900.0</v>
      </c>
    </row>
    <row r="1413" ht="17.25" customHeight="1">
      <c r="A1413" s="51">
        <v>46153.43027512731</v>
      </c>
      <c r="B1413" s="25" t="s">
        <v>61</v>
      </c>
      <c r="C1413" s="55" t="s">
        <v>1892</v>
      </c>
      <c r="D1413" s="111">
        <v>46151.0</v>
      </c>
      <c r="E1413" s="52">
        <v>1200.0</v>
      </c>
      <c r="F1413" s="55" t="s">
        <v>1561</v>
      </c>
      <c r="G1413" s="55">
        <v>797.0</v>
      </c>
      <c r="H1413" s="26"/>
      <c r="I1413" s="26" t="s">
        <v>62</v>
      </c>
      <c r="J1413" s="26" t="s">
        <v>1225</v>
      </c>
      <c r="K1413" s="26" t="s">
        <v>1562</v>
      </c>
      <c r="L1413" s="26" t="s">
        <v>1600</v>
      </c>
      <c r="M1413" s="26" t="s">
        <v>1575</v>
      </c>
      <c r="N1413" s="26" t="s">
        <v>1566</v>
      </c>
      <c r="O1413" s="26" t="s">
        <v>2160</v>
      </c>
      <c r="P1413" s="26" t="s">
        <v>22</v>
      </c>
      <c r="Q1413" s="26">
        <v>0.0</v>
      </c>
    </row>
    <row r="1414" ht="17.25" customHeight="1">
      <c r="A1414" s="51">
        <v>46153.431453680554</v>
      </c>
      <c r="B1414" s="25" t="s">
        <v>104</v>
      </c>
      <c r="C1414" s="55" t="s">
        <v>1892</v>
      </c>
      <c r="D1414" s="111">
        <v>46151.0</v>
      </c>
      <c r="E1414" s="52">
        <v>1000.0</v>
      </c>
      <c r="F1414" s="55" t="s">
        <v>1561</v>
      </c>
      <c r="G1414" s="55">
        <v>798.0</v>
      </c>
      <c r="H1414" s="26"/>
      <c r="I1414" s="26" t="s">
        <v>106</v>
      </c>
      <c r="J1414" s="26" t="s">
        <v>1225</v>
      </c>
      <c r="K1414" s="26" t="s">
        <v>1562</v>
      </c>
      <c r="L1414" s="26" t="s">
        <v>1582</v>
      </c>
      <c r="M1414" s="26" t="s">
        <v>1607</v>
      </c>
      <c r="N1414" s="26" t="s">
        <v>1571</v>
      </c>
      <c r="O1414" s="26" t="s">
        <v>1566</v>
      </c>
      <c r="P1414" s="26" t="s">
        <v>22</v>
      </c>
      <c r="Q1414" s="26">
        <v>1000.0</v>
      </c>
    </row>
    <row r="1415" ht="17.25" customHeight="1">
      <c r="A1415" s="51">
        <v>46153.43399583333</v>
      </c>
      <c r="B1415" s="27" t="s">
        <v>1064</v>
      </c>
      <c r="C1415" s="55" t="s">
        <v>1892</v>
      </c>
      <c r="D1415" s="111">
        <v>46151.0</v>
      </c>
      <c r="E1415" s="52">
        <v>3000.0</v>
      </c>
      <c r="F1415" s="55" t="s">
        <v>1561</v>
      </c>
      <c r="G1415" s="55">
        <v>799.0</v>
      </c>
      <c r="H1415" s="26"/>
      <c r="I1415" s="26" t="s">
        <v>1065</v>
      </c>
      <c r="J1415" s="26" t="s">
        <v>1225</v>
      </c>
      <c r="K1415" s="26" t="s">
        <v>1562</v>
      </c>
      <c r="L1415" s="26" t="s">
        <v>1576</v>
      </c>
      <c r="M1415" s="26" t="s">
        <v>1564</v>
      </c>
      <c r="N1415" s="26" t="s">
        <v>1566</v>
      </c>
      <c r="O1415" s="26" t="s">
        <v>1566</v>
      </c>
      <c r="P1415" s="26" t="s">
        <v>22</v>
      </c>
      <c r="Q1415" s="26">
        <v>1500.0</v>
      </c>
    </row>
    <row r="1416" ht="17.25" customHeight="1">
      <c r="A1416" s="51">
        <v>46153.434817939815</v>
      </c>
      <c r="B1416" s="25" t="s">
        <v>33</v>
      </c>
      <c r="C1416" s="55" t="s">
        <v>1560</v>
      </c>
      <c r="D1416" s="111">
        <v>46151.0</v>
      </c>
      <c r="E1416" s="52">
        <v>3000.0</v>
      </c>
      <c r="F1416" s="55" t="s">
        <v>1561</v>
      </c>
      <c r="G1416" s="55"/>
      <c r="H1416" s="26"/>
      <c r="I1416" s="26" t="s">
        <v>35</v>
      </c>
      <c r="J1416" s="26" t="s">
        <v>1225</v>
      </c>
      <c r="K1416" s="26" t="s">
        <v>1562</v>
      </c>
      <c r="L1416" s="26" t="s">
        <v>1573</v>
      </c>
      <c r="M1416" s="26" t="s">
        <v>1575</v>
      </c>
      <c r="N1416" s="26" t="s">
        <v>1566</v>
      </c>
      <c r="O1416" s="26" t="s">
        <v>1566</v>
      </c>
      <c r="P1416" s="26" t="s">
        <v>22</v>
      </c>
      <c r="Q1416" s="26">
        <v>2600.0</v>
      </c>
    </row>
    <row r="1417" ht="17.25" customHeight="1">
      <c r="A1417" s="51">
        <v>46153.434955439814</v>
      </c>
      <c r="B1417" s="25" t="s">
        <v>33</v>
      </c>
      <c r="C1417" s="55" t="s">
        <v>1892</v>
      </c>
      <c r="D1417" s="111">
        <v>46151.0</v>
      </c>
      <c r="E1417" s="52">
        <v>2600.0</v>
      </c>
      <c r="F1417" s="55" t="s">
        <v>1561</v>
      </c>
      <c r="G1417" s="55">
        <v>800.0</v>
      </c>
      <c r="H1417" s="26"/>
      <c r="I1417" s="26" t="s">
        <v>35</v>
      </c>
      <c r="J1417" s="26" t="s">
        <v>1225</v>
      </c>
      <c r="K1417" s="26" t="s">
        <v>1562</v>
      </c>
      <c r="L1417" s="26" t="s">
        <v>1573</v>
      </c>
      <c r="M1417" s="26" t="s">
        <v>1575</v>
      </c>
      <c r="N1417" s="26" t="s">
        <v>1566</v>
      </c>
      <c r="O1417" s="26" t="s">
        <v>1566</v>
      </c>
      <c r="P1417" s="26" t="s">
        <v>22</v>
      </c>
      <c r="Q1417" s="26">
        <v>2600.0</v>
      </c>
    </row>
    <row r="1418" ht="17.25" customHeight="1">
      <c r="A1418" s="51">
        <v>46153.436287881945</v>
      </c>
      <c r="B1418" s="25" t="s">
        <v>147</v>
      </c>
      <c r="C1418" s="55" t="s">
        <v>1892</v>
      </c>
      <c r="D1418" s="111">
        <v>46151.0</v>
      </c>
      <c r="E1418" s="52">
        <v>2000.0</v>
      </c>
      <c r="F1418" s="55" t="s">
        <v>1561</v>
      </c>
      <c r="G1418" s="55">
        <v>801.0</v>
      </c>
      <c r="H1418" s="26"/>
      <c r="I1418" s="26" t="s">
        <v>148</v>
      </c>
      <c r="J1418" s="26" t="s">
        <v>1225</v>
      </c>
      <c r="K1418" s="26" t="s">
        <v>1562</v>
      </c>
      <c r="L1418" s="26" t="s">
        <v>1633</v>
      </c>
      <c r="M1418" s="26" t="s">
        <v>1574</v>
      </c>
      <c r="N1418" s="26" t="s">
        <v>1566</v>
      </c>
      <c r="O1418" s="26" t="s">
        <v>1566</v>
      </c>
      <c r="P1418" s="26" t="s">
        <v>22</v>
      </c>
      <c r="Q1418" s="26">
        <v>0.0</v>
      </c>
    </row>
    <row r="1419" ht="17.25" customHeight="1">
      <c r="A1419" s="51">
        <v>46153.61612171296</v>
      </c>
      <c r="B1419" s="25" t="s">
        <v>1191</v>
      </c>
      <c r="C1419" s="55" t="s">
        <v>1560</v>
      </c>
      <c r="D1419" s="111">
        <v>46153.0</v>
      </c>
      <c r="E1419" s="52">
        <v>2.0</v>
      </c>
      <c r="F1419" s="55" t="s">
        <v>1673</v>
      </c>
      <c r="G1419" s="26"/>
      <c r="H1419" s="26"/>
      <c r="I1419" s="26" t="s">
        <v>1192</v>
      </c>
      <c r="J1419" s="26" t="s">
        <v>1674</v>
      </c>
      <c r="K1419" s="26" t="s">
        <v>1691</v>
      </c>
      <c r="L1419" s="26" t="s">
        <v>1566</v>
      </c>
      <c r="M1419" s="26" t="s">
        <v>1566</v>
      </c>
      <c r="N1419" s="26" t="s">
        <v>1566</v>
      </c>
      <c r="O1419" s="26" t="s">
        <v>2159</v>
      </c>
      <c r="P1419" s="26" t="s">
        <v>290</v>
      </c>
      <c r="Q1419" s="26">
        <v>2.0</v>
      </c>
    </row>
    <row r="1420" ht="17.25" customHeight="1">
      <c r="A1420" s="51">
        <v>46153.61696503472</v>
      </c>
      <c r="B1420" s="25" t="s">
        <v>21</v>
      </c>
      <c r="C1420" s="55" t="s">
        <v>1560</v>
      </c>
      <c r="D1420" s="111">
        <v>46153.0</v>
      </c>
      <c r="E1420" s="52">
        <v>20.0</v>
      </c>
      <c r="F1420" s="55" t="s">
        <v>1673</v>
      </c>
      <c r="G1420" s="26"/>
      <c r="H1420" s="26"/>
      <c r="I1420" s="26" t="s">
        <v>23</v>
      </c>
      <c r="J1420" s="26" t="s">
        <v>1812</v>
      </c>
      <c r="K1420" s="26" t="s">
        <v>1815</v>
      </c>
      <c r="L1420" s="26" t="s">
        <v>1566</v>
      </c>
      <c r="M1420" s="26" t="s">
        <v>1566</v>
      </c>
      <c r="N1420" s="26" t="s">
        <v>1566</v>
      </c>
      <c r="O1420" s="26" t="s">
        <v>1818</v>
      </c>
      <c r="P1420" s="26" t="s">
        <v>616</v>
      </c>
      <c r="Q1420" s="26">
        <v>20.0</v>
      </c>
    </row>
    <row r="1421" ht="17.25" customHeight="1">
      <c r="A1421" s="51">
        <v>46153.61875327546</v>
      </c>
      <c r="B1421" s="25" t="s">
        <v>222</v>
      </c>
      <c r="C1421" s="55" t="s">
        <v>1892</v>
      </c>
      <c r="D1421" s="111">
        <v>46151.0</v>
      </c>
      <c r="E1421" s="52">
        <v>50.0</v>
      </c>
      <c r="F1421" s="55" t="s">
        <v>2096</v>
      </c>
      <c r="G1421" s="26"/>
      <c r="H1421" s="26"/>
      <c r="I1421" s="26" t="s">
        <v>230</v>
      </c>
      <c r="J1421" s="26" t="s">
        <v>1821</v>
      </c>
      <c r="K1421" s="26" t="s">
        <v>1822</v>
      </c>
      <c r="L1421" s="26" t="s">
        <v>1828</v>
      </c>
      <c r="M1421" s="26" t="s">
        <v>1590</v>
      </c>
      <c r="N1421" s="26" t="s">
        <v>1566</v>
      </c>
      <c r="O1421" s="26" t="s">
        <v>1566</v>
      </c>
      <c r="P1421" s="26" t="s">
        <v>661</v>
      </c>
      <c r="Q1421" s="26">
        <v>60.0</v>
      </c>
    </row>
    <row r="1422" ht="17.25" customHeight="1">
      <c r="A1422" s="51">
        <v>46153.62116173611</v>
      </c>
      <c r="B1422" s="25" t="s">
        <v>222</v>
      </c>
      <c r="C1422" s="55" t="s">
        <v>1560</v>
      </c>
      <c r="D1422" s="111">
        <v>46151.0</v>
      </c>
      <c r="E1422" s="52">
        <v>72.0</v>
      </c>
      <c r="F1422" s="55" t="s">
        <v>1673</v>
      </c>
      <c r="G1422" s="26"/>
      <c r="H1422" s="26"/>
      <c r="I1422" s="26" t="s">
        <v>230</v>
      </c>
      <c r="J1422" s="26" t="s">
        <v>1821</v>
      </c>
      <c r="K1422" s="26" t="s">
        <v>1822</v>
      </c>
      <c r="L1422" s="26" t="s">
        <v>1828</v>
      </c>
      <c r="M1422" s="26" t="s">
        <v>1590</v>
      </c>
      <c r="N1422" s="26" t="s">
        <v>1566</v>
      </c>
      <c r="O1422" s="26" t="s">
        <v>1566</v>
      </c>
      <c r="P1422" s="26" t="s">
        <v>661</v>
      </c>
      <c r="Q1422" s="26">
        <v>60.0</v>
      </c>
    </row>
    <row r="1423" ht="17.25" customHeight="1">
      <c r="A1423" s="51">
        <v>46153.69733228009</v>
      </c>
      <c r="B1423" s="25" t="s">
        <v>1843</v>
      </c>
      <c r="C1423" s="55" t="s">
        <v>1892</v>
      </c>
      <c r="D1423" s="111">
        <v>46153.0</v>
      </c>
      <c r="E1423" s="52">
        <v>1.0</v>
      </c>
      <c r="F1423" s="55" t="s">
        <v>1844</v>
      </c>
      <c r="G1423" s="26"/>
      <c r="H1423" s="26"/>
      <c r="I1423" s="26" t="s">
        <v>1845</v>
      </c>
      <c r="J1423" s="26" t="s">
        <v>1844</v>
      </c>
      <c r="K1423" s="26" t="s">
        <v>1846</v>
      </c>
      <c r="L1423" s="26" t="s">
        <v>1847</v>
      </c>
      <c r="M1423" s="26" t="s">
        <v>1566</v>
      </c>
      <c r="N1423" s="26" t="s">
        <v>1566</v>
      </c>
      <c r="O1423" s="26" t="s">
        <v>1848</v>
      </c>
      <c r="P1423" s="26" t="s">
        <v>661</v>
      </c>
      <c r="Q1423" s="26">
        <v>0.0</v>
      </c>
    </row>
    <row r="1424" ht="17.25" customHeight="1">
      <c r="A1424" s="51">
        <v>46153.69800226852</v>
      </c>
      <c r="B1424" s="25" t="s">
        <v>1855</v>
      </c>
      <c r="C1424" s="55" t="s">
        <v>1892</v>
      </c>
      <c r="D1424" s="111">
        <v>46153.0</v>
      </c>
      <c r="E1424" s="52">
        <v>1.0</v>
      </c>
      <c r="F1424" s="55" t="s">
        <v>1844</v>
      </c>
      <c r="G1424" s="26"/>
      <c r="H1424" s="26"/>
      <c r="I1424" s="26" t="s">
        <v>1858</v>
      </c>
      <c r="J1424" s="26" t="s">
        <v>1844</v>
      </c>
      <c r="K1424" s="26" t="s">
        <v>1846</v>
      </c>
      <c r="L1424" s="26" t="s">
        <v>1860</v>
      </c>
      <c r="M1424" s="26" t="s">
        <v>1566</v>
      </c>
      <c r="N1424" s="26" t="s">
        <v>1566</v>
      </c>
      <c r="O1424" s="26" t="s">
        <v>1808</v>
      </c>
      <c r="P1424" s="26" t="s">
        <v>661</v>
      </c>
      <c r="Q1424" s="26">
        <v>0.0</v>
      </c>
    </row>
    <row r="1425" ht="17.25" customHeight="1">
      <c r="A1425" s="51">
        <v>46154.43160851852</v>
      </c>
      <c r="B1425" s="25" t="s">
        <v>21</v>
      </c>
      <c r="C1425" s="55" t="s">
        <v>1892</v>
      </c>
      <c r="D1425" s="51">
        <v>46154.43160851852</v>
      </c>
      <c r="E1425" s="52">
        <v>20.0</v>
      </c>
      <c r="F1425" s="55" t="s">
        <v>2124</v>
      </c>
      <c r="G1425" s="26"/>
      <c r="H1425" s="26"/>
      <c r="I1425" s="26" t="s">
        <v>23</v>
      </c>
      <c r="J1425" s="26" t="s">
        <v>1812</v>
      </c>
      <c r="K1425" s="26" t="s">
        <v>1815</v>
      </c>
      <c r="L1425" s="26" t="s">
        <v>1566</v>
      </c>
      <c r="M1425" s="26" t="s">
        <v>1566</v>
      </c>
      <c r="N1425" s="26" t="s">
        <v>1566</v>
      </c>
      <c r="O1425" s="26" t="s">
        <v>1818</v>
      </c>
      <c r="P1425" s="26" t="s">
        <v>616</v>
      </c>
      <c r="Q1425" s="26">
        <v>20.0</v>
      </c>
    </row>
    <row r="1426" ht="17.25" customHeight="1">
      <c r="A1426" s="51">
        <v>46154.43205296296</v>
      </c>
      <c r="B1426" s="25" t="s">
        <v>1091</v>
      </c>
      <c r="C1426" s="55" t="s">
        <v>1892</v>
      </c>
      <c r="D1426" s="51">
        <v>46154.43160851852</v>
      </c>
      <c r="E1426" s="52">
        <v>10.0</v>
      </c>
      <c r="F1426" s="55" t="s">
        <v>2124</v>
      </c>
      <c r="G1426" s="26"/>
      <c r="H1426" s="26"/>
      <c r="I1426" s="26" t="s">
        <v>1092</v>
      </c>
      <c r="J1426" s="26" t="s">
        <v>1830</v>
      </c>
      <c r="K1426" s="26" t="s">
        <v>1830</v>
      </c>
      <c r="L1426" s="26" t="s">
        <v>1566</v>
      </c>
      <c r="M1426" s="26" t="s">
        <v>1566</v>
      </c>
      <c r="N1426" s="26" t="s">
        <v>1566</v>
      </c>
      <c r="O1426" s="26" t="s">
        <v>1566</v>
      </c>
      <c r="P1426" s="26" t="s">
        <v>22</v>
      </c>
      <c r="Q1426" s="26">
        <v>52.0</v>
      </c>
    </row>
    <row r="1427" ht="17.25" customHeight="1">
      <c r="A1427" s="51">
        <v>46154.433309699074</v>
      </c>
      <c r="B1427" s="25" t="s">
        <v>517</v>
      </c>
      <c r="C1427" s="55" t="s">
        <v>1892</v>
      </c>
      <c r="D1427" s="51">
        <v>46154.43160851852</v>
      </c>
      <c r="E1427" s="52">
        <v>20.0</v>
      </c>
      <c r="F1427" s="55" t="s">
        <v>2124</v>
      </c>
      <c r="G1427" s="26"/>
      <c r="H1427" s="26"/>
      <c r="I1427" s="26" t="s">
        <v>518</v>
      </c>
      <c r="J1427" s="26" t="s">
        <v>1812</v>
      </c>
      <c r="K1427" s="26" t="s">
        <v>1815</v>
      </c>
      <c r="L1427" s="26" t="s">
        <v>1566</v>
      </c>
      <c r="M1427" s="26" t="s">
        <v>1566</v>
      </c>
      <c r="N1427" s="26" t="s">
        <v>1566</v>
      </c>
      <c r="O1427" s="26" t="s">
        <v>2098</v>
      </c>
      <c r="P1427" s="26" t="s">
        <v>290</v>
      </c>
      <c r="Q1427" s="26">
        <v>40.0</v>
      </c>
    </row>
    <row r="1428" ht="17.25" customHeight="1">
      <c r="A1428" s="51">
        <v>46154.43361519676</v>
      </c>
      <c r="B1428" s="23" t="s">
        <v>301</v>
      </c>
      <c r="C1428" s="55" t="s">
        <v>1892</v>
      </c>
      <c r="D1428" s="51">
        <v>46154.43160851852</v>
      </c>
      <c r="E1428" s="52">
        <v>20.0</v>
      </c>
      <c r="F1428" s="55" t="s">
        <v>2124</v>
      </c>
      <c r="G1428" s="26"/>
      <c r="H1428" s="26"/>
      <c r="I1428" s="26" t="s">
        <v>302</v>
      </c>
      <c r="J1428" s="26" t="s">
        <v>1830</v>
      </c>
      <c r="K1428" s="26" t="s">
        <v>302</v>
      </c>
      <c r="L1428" s="26" t="s">
        <v>1566</v>
      </c>
      <c r="M1428" s="26" t="s">
        <v>1566</v>
      </c>
      <c r="N1428" s="26" t="s">
        <v>1566</v>
      </c>
      <c r="O1428" s="26" t="s">
        <v>1566</v>
      </c>
      <c r="P1428" s="26" t="s">
        <v>661</v>
      </c>
      <c r="Q1428" s="26">
        <v>580.0</v>
      </c>
    </row>
    <row r="1429" ht="17.25" customHeight="1">
      <c r="A1429" s="51">
        <v>46154.448963055554</v>
      </c>
      <c r="B1429" s="25" t="s">
        <v>968</v>
      </c>
      <c r="C1429" s="55" t="s">
        <v>1892</v>
      </c>
      <c r="D1429" s="51">
        <v>46154.43160851852</v>
      </c>
      <c r="E1429" s="52">
        <v>1.0</v>
      </c>
      <c r="F1429" s="55" t="s">
        <v>2026</v>
      </c>
      <c r="G1429" s="26"/>
      <c r="H1429" s="26"/>
      <c r="I1429" s="26" t="s">
        <v>969</v>
      </c>
      <c r="J1429" s="26" t="s">
        <v>1807</v>
      </c>
      <c r="K1429" s="26" t="s">
        <v>1807</v>
      </c>
      <c r="L1429" s="26" t="s">
        <v>1566</v>
      </c>
      <c r="M1429" s="26" t="s">
        <v>1566</v>
      </c>
      <c r="N1429" s="26" t="s">
        <v>1566</v>
      </c>
      <c r="O1429" s="26" t="s">
        <v>1566</v>
      </c>
      <c r="P1429" s="26" t="s">
        <v>290</v>
      </c>
      <c r="Q1429" s="26">
        <v>2.0</v>
      </c>
    </row>
    <row r="1430" ht="17.25" customHeight="1">
      <c r="A1430" s="51">
        <v>46154.49672149305</v>
      </c>
      <c r="B1430" s="23" t="s">
        <v>301</v>
      </c>
      <c r="C1430" s="55" t="s">
        <v>1892</v>
      </c>
      <c r="D1430" s="51">
        <v>46154.43160851852</v>
      </c>
      <c r="E1430" s="52">
        <v>4.0</v>
      </c>
      <c r="F1430" s="55" t="s">
        <v>2076</v>
      </c>
      <c r="G1430" s="26"/>
      <c r="H1430" s="26"/>
      <c r="I1430" s="26" t="s">
        <v>302</v>
      </c>
      <c r="J1430" s="26" t="s">
        <v>1830</v>
      </c>
      <c r="K1430" s="26" t="s">
        <v>302</v>
      </c>
      <c r="L1430" s="26" t="s">
        <v>1566</v>
      </c>
      <c r="M1430" s="26" t="s">
        <v>1566</v>
      </c>
      <c r="N1430" s="26" t="s">
        <v>1566</v>
      </c>
      <c r="O1430" s="26" t="s">
        <v>1566</v>
      </c>
      <c r="P1430" s="26" t="s">
        <v>661</v>
      </c>
      <c r="Q1430" s="26">
        <v>580.0</v>
      </c>
    </row>
    <row r="1431" ht="17.25" customHeight="1">
      <c r="A1431" s="51">
        <v>46154.49691006944</v>
      </c>
      <c r="B1431" s="25" t="s">
        <v>271</v>
      </c>
      <c r="C1431" s="55" t="s">
        <v>1892</v>
      </c>
      <c r="D1431" s="51">
        <v>46154.43160851852</v>
      </c>
      <c r="E1431" s="52">
        <v>2.0</v>
      </c>
      <c r="F1431" s="55" t="s">
        <v>2076</v>
      </c>
      <c r="G1431" s="26"/>
      <c r="H1431" s="26"/>
      <c r="I1431" s="26" t="s">
        <v>277</v>
      </c>
      <c r="J1431" s="26" t="s">
        <v>1821</v>
      </c>
      <c r="K1431" s="26" t="s">
        <v>1822</v>
      </c>
      <c r="L1431" s="26" t="s">
        <v>1824</v>
      </c>
      <c r="M1431" s="26" t="s">
        <v>1566</v>
      </c>
      <c r="N1431" s="26" t="s">
        <v>1566</v>
      </c>
      <c r="O1431" s="26" t="s">
        <v>1566</v>
      </c>
      <c r="P1431" s="26" t="s">
        <v>661</v>
      </c>
      <c r="Q1431" s="26">
        <v>45.0</v>
      </c>
    </row>
    <row r="1432" ht="17.25" customHeight="1">
      <c r="A1432" s="51">
        <v>46154.497031921295</v>
      </c>
      <c r="B1432" s="25" t="s">
        <v>971</v>
      </c>
      <c r="C1432" s="55" t="s">
        <v>1560</v>
      </c>
      <c r="D1432" s="51">
        <v>46154.43160851852</v>
      </c>
      <c r="E1432" s="52">
        <v>5.0</v>
      </c>
      <c r="F1432" s="55" t="s">
        <v>1673</v>
      </c>
      <c r="G1432" s="26"/>
      <c r="H1432" s="26"/>
      <c r="I1432" s="26" t="s">
        <v>972</v>
      </c>
      <c r="J1432" s="26" t="s">
        <v>1821</v>
      </c>
      <c r="K1432" s="26" t="s">
        <v>1822</v>
      </c>
      <c r="L1432" s="26" t="s">
        <v>1995</v>
      </c>
      <c r="M1432" s="26" t="s">
        <v>1566</v>
      </c>
      <c r="N1432" s="26" t="s">
        <v>1566</v>
      </c>
      <c r="O1432" s="26" t="s">
        <v>1997</v>
      </c>
      <c r="P1432" s="26" t="s">
        <v>661</v>
      </c>
      <c r="Q1432" s="26">
        <v>6.0</v>
      </c>
    </row>
    <row r="1433" ht="17.25" customHeight="1">
      <c r="A1433" s="51">
        <v>46154.49720878473</v>
      </c>
      <c r="B1433" s="25" t="s">
        <v>312</v>
      </c>
      <c r="C1433" s="55" t="s">
        <v>1892</v>
      </c>
      <c r="D1433" s="51">
        <v>46154.43160851852</v>
      </c>
      <c r="E1433" s="52">
        <v>2.0</v>
      </c>
      <c r="F1433" s="55" t="s">
        <v>2076</v>
      </c>
      <c r="G1433" s="26"/>
      <c r="H1433" s="26"/>
      <c r="I1433" s="26" t="s">
        <v>319</v>
      </c>
      <c r="J1433" s="26" t="s">
        <v>1821</v>
      </c>
      <c r="K1433" s="26" t="s">
        <v>1822</v>
      </c>
      <c r="L1433" s="26" t="s">
        <v>1566</v>
      </c>
      <c r="M1433" s="26" t="s">
        <v>1566</v>
      </c>
      <c r="N1433" s="26" t="s">
        <v>1566</v>
      </c>
      <c r="O1433" s="26" t="s">
        <v>1829</v>
      </c>
      <c r="P1433" s="26" t="s">
        <v>661</v>
      </c>
      <c r="Q1433" s="26">
        <v>17.0</v>
      </c>
    </row>
    <row r="1434" ht="17.25" customHeight="1">
      <c r="A1434" s="51">
        <v>46154.52099462963</v>
      </c>
      <c r="B1434" s="25" t="s">
        <v>975</v>
      </c>
      <c r="C1434" s="55" t="s">
        <v>1892</v>
      </c>
      <c r="D1434" s="51">
        <v>46154.43160851852</v>
      </c>
      <c r="E1434" s="52">
        <v>6.0</v>
      </c>
      <c r="F1434" s="55" t="s">
        <v>2124</v>
      </c>
      <c r="G1434" s="26"/>
      <c r="H1434" s="26"/>
      <c r="I1434" s="26" t="s">
        <v>976</v>
      </c>
      <c r="J1434" s="26" t="s">
        <v>1830</v>
      </c>
      <c r="K1434" s="26" t="s">
        <v>1642</v>
      </c>
      <c r="L1434" s="26" t="s">
        <v>1566</v>
      </c>
      <c r="M1434" s="26" t="s">
        <v>1566</v>
      </c>
      <c r="N1434" s="26" t="s">
        <v>1566</v>
      </c>
      <c r="O1434" s="26" t="s">
        <v>1566</v>
      </c>
      <c r="P1434" s="26" t="s">
        <v>661</v>
      </c>
      <c r="Q1434" s="26">
        <v>80.0</v>
      </c>
    </row>
    <row r="1435" ht="17.25" customHeight="1">
      <c r="A1435" s="51">
        <v>46154.53250232639</v>
      </c>
      <c r="B1435" s="25" t="s">
        <v>287</v>
      </c>
      <c r="C1435" s="55" t="s">
        <v>1892</v>
      </c>
      <c r="D1435" s="51">
        <v>46154.43160851852</v>
      </c>
      <c r="E1435" s="52">
        <v>2.0</v>
      </c>
      <c r="F1435" s="55" t="s">
        <v>2124</v>
      </c>
      <c r="G1435" s="26"/>
      <c r="H1435" s="26"/>
      <c r="I1435" s="26" t="s">
        <v>288</v>
      </c>
      <c r="J1435" s="26" t="s">
        <v>1674</v>
      </c>
      <c r="K1435" s="26" t="s">
        <v>1675</v>
      </c>
      <c r="L1435" s="26" t="s">
        <v>1566</v>
      </c>
      <c r="M1435" s="26" t="s">
        <v>1566</v>
      </c>
      <c r="N1435" s="26" t="s">
        <v>1676</v>
      </c>
      <c r="O1435" s="26" t="s">
        <v>1677</v>
      </c>
      <c r="P1435" s="26" t="s">
        <v>290</v>
      </c>
      <c r="Q1435" s="26">
        <v>16.0</v>
      </c>
    </row>
    <row r="1436" ht="17.25" customHeight="1">
      <c r="A1436" s="51">
        <v>46154.532516562496</v>
      </c>
      <c r="B1436" s="2" t="s">
        <v>292</v>
      </c>
      <c r="C1436" s="55" t="s">
        <v>1892</v>
      </c>
      <c r="D1436" s="51">
        <v>46154.43160851852</v>
      </c>
      <c r="E1436" s="52">
        <v>2.0</v>
      </c>
      <c r="F1436" s="55" t="s">
        <v>2124</v>
      </c>
      <c r="G1436" s="26"/>
      <c r="H1436" s="26"/>
      <c r="I1436" s="26" t="s">
        <v>294</v>
      </c>
      <c r="J1436" s="26" t="s">
        <v>1674</v>
      </c>
      <c r="K1436" s="26" t="s">
        <v>1675</v>
      </c>
      <c r="L1436" s="26" t="s">
        <v>1566</v>
      </c>
      <c r="M1436" s="26" t="s">
        <v>1566</v>
      </c>
      <c r="N1436" s="26" t="s">
        <v>1678</v>
      </c>
      <c r="O1436" s="26" t="s">
        <v>1677</v>
      </c>
      <c r="P1436" s="26" t="s">
        <v>290</v>
      </c>
      <c r="Q1436" s="26">
        <v>10.0</v>
      </c>
    </row>
    <row r="1437" ht="17.25" customHeight="1">
      <c r="A1437" s="51">
        <v>46154.532523263886</v>
      </c>
      <c r="B1437" s="2" t="s">
        <v>297</v>
      </c>
      <c r="C1437" s="55" t="s">
        <v>1892</v>
      </c>
      <c r="D1437" s="51">
        <v>46154.43160851852</v>
      </c>
      <c r="E1437" s="52">
        <v>2.0</v>
      </c>
      <c r="F1437" s="55" t="s">
        <v>2124</v>
      </c>
      <c r="G1437" s="26"/>
      <c r="H1437" s="26"/>
      <c r="I1437" s="26" t="s">
        <v>298</v>
      </c>
      <c r="J1437" s="26" t="s">
        <v>1674</v>
      </c>
      <c r="K1437" s="26" t="s">
        <v>1675</v>
      </c>
      <c r="L1437" s="26" t="s">
        <v>1566</v>
      </c>
      <c r="M1437" s="26" t="s">
        <v>1566</v>
      </c>
      <c r="N1437" s="26" t="s">
        <v>1680</v>
      </c>
      <c r="O1437" s="26" t="s">
        <v>1677</v>
      </c>
      <c r="P1437" s="26" t="s">
        <v>290</v>
      </c>
      <c r="Q1437" s="26">
        <v>10.0</v>
      </c>
    </row>
    <row r="1438" ht="17.25" customHeight="1">
      <c r="A1438" s="51">
        <v>46154.53252554398</v>
      </c>
      <c r="B1438" s="2" t="s">
        <v>304</v>
      </c>
      <c r="C1438" s="55" t="s">
        <v>1892</v>
      </c>
      <c r="D1438" s="51">
        <v>46154.43160851852</v>
      </c>
      <c r="E1438" s="52">
        <v>2.0</v>
      </c>
      <c r="F1438" s="55" t="s">
        <v>2124</v>
      </c>
      <c r="G1438" s="26"/>
      <c r="H1438" s="26"/>
      <c r="I1438" s="26" t="s">
        <v>306</v>
      </c>
      <c r="J1438" s="26" t="s">
        <v>1674</v>
      </c>
      <c r="K1438" s="26" t="s">
        <v>1675</v>
      </c>
      <c r="L1438" s="26" t="s">
        <v>1566</v>
      </c>
      <c r="M1438" s="26" t="s">
        <v>1566</v>
      </c>
      <c r="N1438" s="26" t="s">
        <v>1682</v>
      </c>
      <c r="O1438" s="26" t="s">
        <v>1677</v>
      </c>
      <c r="P1438" s="26" t="s">
        <v>290</v>
      </c>
      <c r="Q1438" s="26">
        <v>6.0</v>
      </c>
    </row>
    <row r="1439" ht="17.25" customHeight="1">
      <c r="A1439" s="51">
        <v>46154.65640199074</v>
      </c>
      <c r="B1439" s="25" t="s">
        <v>2002</v>
      </c>
      <c r="C1439" s="55" t="s">
        <v>1892</v>
      </c>
      <c r="D1439" s="51">
        <v>46154.43160851852</v>
      </c>
      <c r="E1439" s="52">
        <v>1.0</v>
      </c>
      <c r="F1439" s="55" t="s">
        <v>1844</v>
      </c>
      <c r="G1439" s="26"/>
      <c r="H1439" s="26"/>
      <c r="I1439" s="26" t="s">
        <v>2004</v>
      </c>
      <c r="J1439" s="26" t="s">
        <v>1844</v>
      </c>
      <c r="K1439" s="26" t="s">
        <v>1807</v>
      </c>
      <c r="L1439" s="26" t="s">
        <v>2162</v>
      </c>
      <c r="M1439" s="26" t="s">
        <v>1566</v>
      </c>
      <c r="N1439" s="26" t="s">
        <v>1566</v>
      </c>
      <c r="O1439" s="26" t="s">
        <v>1566</v>
      </c>
      <c r="P1439" s="26" t="s">
        <v>661</v>
      </c>
      <c r="Q1439" s="26">
        <v>0.0</v>
      </c>
    </row>
    <row r="1440" ht="17.25" customHeight="1">
      <c r="A1440" s="51">
        <v>46154.656528101856</v>
      </c>
      <c r="B1440" s="25" t="s">
        <v>836</v>
      </c>
      <c r="C1440" s="55" t="s">
        <v>1892</v>
      </c>
      <c r="D1440" s="51">
        <v>46154.43160851852</v>
      </c>
      <c r="E1440" s="52">
        <v>1.0</v>
      </c>
      <c r="F1440" s="55" t="s">
        <v>1844</v>
      </c>
      <c r="G1440" s="26"/>
      <c r="H1440" s="26"/>
      <c r="I1440" s="26" t="s">
        <v>837</v>
      </c>
      <c r="J1440" s="26" t="s">
        <v>1844</v>
      </c>
      <c r="K1440" s="26" t="s">
        <v>1846</v>
      </c>
      <c r="L1440" s="26" t="s">
        <v>1849</v>
      </c>
      <c r="M1440" s="26" t="s">
        <v>1566</v>
      </c>
      <c r="N1440" s="26" t="s">
        <v>1566</v>
      </c>
      <c r="O1440" s="26" t="s">
        <v>1848</v>
      </c>
      <c r="P1440" s="26" t="s">
        <v>661</v>
      </c>
      <c r="Q1440" s="26">
        <v>1.0</v>
      </c>
    </row>
    <row r="1441" ht="17.25" customHeight="1">
      <c r="A1441" s="51">
        <v>46154.65669019676</v>
      </c>
      <c r="B1441" s="25" t="s">
        <v>998</v>
      </c>
      <c r="C1441" s="55" t="s">
        <v>1892</v>
      </c>
      <c r="D1441" s="51">
        <v>46154.43160851852</v>
      </c>
      <c r="E1441" s="52">
        <v>1.0</v>
      </c>
      <c r="F1441" s="55" t="s">
        <v>1844</v>
      </c>
      <c r="G1441" s="26"/>
      <c r="H1441" s="26"/>
      <c r="I1441" s="26" t="s">
        <v>999</v>
      </c>
      <c r="J1441" s="26" t="s">
        <v>1844</v>
      </c>
      <c r="K1441" s="26" t="s">
        <v>1846</v>
      </c>
      <c r="L1441" s="26" t="s">
        <v>2038</v>
      </c>
      <c r="M1441" s="26" t="s">
        <v>1566</v>
      </c>
      <c r="N1441" s="26" t="s">
        <v>1566</v>
      </c>
      <c r="O1441" s="26" t="s">
        <v>1566</v>
      </c>
      <c r="P1441" s="26" t="s">
        <v>661</v>
      </c>
      <c r="Q1441" s="26">
        <v>1.0</v>
      </c>
    </row>
    <row r="1442" ht="17.25" customHeight="1">
      <c r="A1442" s="51">
        <v>46154.66395849537</v>
      </c>
      <c r="B1442" s="25" t="s">
        <v>1001</v>
      </c>
      <c r="C1442" s="55" t="s">
        <v>1560</v>
      </c>
      <c r="D1442" s="51">
        <v>46154.43160851852</v>
      </c>
      <c r="E1442" s="52">
        <v>2.0</v>
      </c>
      <c r="F1442" s="55" t="s">
        <v>1673</v>
      </c>
      <c r="G1442" s="26"/>
      <c r="H1442" s="26"/>
      <c r="I1442" s="26" t="s">
        <v>1002</v>
      </c>
      <c r="J1442" s="26" t="s">
        <v>1674</v>
      </c>
      <c r="K1442" s="26" t="s">
        <v>1691</v>
      </c>
      <c r="L1442" s="26" t="s">
        <v>1566</v>
      </c>
      <c r="M1442" s="26" t="s">
        <v>1566</v>
      </c>
      <c r="N1442" s="26" t="s">
        <v>1566</v>
      </c>
      <c r="O1442" s="26" t="s">
        <v>2040</v>
      </c>
      <c r="P1442" s="26" t="s">
        <v>290</v>
      </c>
      <c r="Q1442" s="26">
        <v>1.0</v>
      </c>
    </row>
    <row r="1443" ht="17.25" customHeight="1">
      <c r="A1443" s="51">
        <v>46154.75329623843</v>
      </c>
      <c r="B1443" s="25" t="s">
        <v>1715</v>
      </c>
      <c r="C1443" s="55" t="s">
        <v>1560</v>
      </c>
      <c r="D1443" s="51">
        <v>46154.43160851852</v>
      </c>
      <c r="E1443" s="2">
        <v>600.0</v>
      </c>
      <c r="F1443" s="55" t="s">
        <v>2214</v>
      </c>
      <c r="G1443" s="55" t="s">
        <v>2276</v>
      </c>
      <c r="H1443" s="26"/>
      <c r="I1443" s="26" t="s">
        <v>1716</v>
      </c>
      <c r="J1443" s="26" t="s">
        <v>1225</v>
      </c>
      <c r="K1443" s="26" t="s">
        <v>1562</v>
      </c>
      <c r="L1443" s="26" t="s">
        <v>1603</v>
      </c>
      <c r="M1443" s="26" t="s">
        <v>1586</v>
      </c>
      <c r="N1443" s="26" t="s">
        <v>1566</v>
      </c>
      <c r="O1443" s="26" t="s">
        <v>1566</v>
      </c>
      <c r="P1443" s="26" t="s">
        <v>22</v>
      </c>
      <c r="Q1443" s="26">
        <v>0.0</v>
      </c>
    </row>
    <row r="1444" ht="17.25" customHeight="1">
      <c r="A1444" s="51">
        <v>46155.43710065972</v>
      </c>
      <c r="B1444" s="25" t="s">
        <v>1130</v>
      </c>
      <c r="C1444" s="55" t="s">
        <v>1892</v>
      </c>
      <c r="D1444" s="51">
        <v>46155.43710065972</v>
      </c>
      <c r="E1444" s="52">
        <v>1.0</v>
      </c>
      <c r="F1444" s="55" t="s">
        <v>2026</v>
      </c>
      <c r="G1444" s="26"/>
      <c r="H1444" s="26"/>
      <c r="I1444" s="26" t="s">
        <v>1131</v>
      </c>
      <c r="J1444" s="26" t="s">
        <v>1833</v>
      </c>
      <c r="K1444" s="26" t="s">
        <v>1833</v>
      </c>
      <c r="L1444" s="26" t="s">
        <v>1566</v>
      </c>
      <c r="M1444" s="26" t="s">
        <v>1566</v>
      </c>
      <c r="N1444" s="26" t="s">
        <v>1566</v>
      </c>
      <c r="O1444" s="26" t="s">
        <v>1566</v>
      </c>
      <c r="P1444" s="26" t="s">
        <v>290</v>
      </c>
      <c r="Q1444" s="26">
        <v>3.0</v>
      </c>
    </row>
    <row r="1445" ht="17.25" customHeight="1">
      <c r="A1445" s="51">
        <v>46155.50445783565</v>
      </c>
      <c r="B1445" s="27" t="s">
        <v>1200</v>
      </c>
      <c r="C1445" s="55" t="s">
        <v>1892</v>
      </c>
      <c r="D1445" s="51">
        <v>46155.43710065972</v>
      </c>
      <c r="E1445" s="52">
        <v>2.0</v>
      </c>
      <c r="F1445" s="55" t="s">
        <v>2076</v>
      </c>
      <c r="G1445" s="26"/>
      <c r="H1445" s="26"/>
      <c r="I1445" s="26" t="s">
        <v>1201</v>
      </c>
      <c r="J1445" s="26" t="s">
        <v>1807</v>
      </c>
      <c r="K1445" s="26" t="s">
        <v>1807</v>
      </c>
      <c r="L1445" s="26" t="s">
        <v>1566</v>
      </c>
      <c r="M1445" s="26" t="s">
        <v>1566</v>
      </c>
      <c r="N1445" s="26" t="s">
        <v>1566</v>
      </c>
      <c r="O1445" s="26" t="s">
        <v>2164</v>
      </c>
      <c r="P1445" s="26" t="s">
        <v>661</v>
      </c>
      <c r="Q1445" s="26">
        <v>2.0</v>
      </c>
    </row>
    <row r="1446" ht="17.25" customHeight="1">
      <c r="A1446" s="51">
        <v>46155.50462908565</v>
      </c>
      <c r="B1446" s="23" t="s">
        <v>301</v>
      </c>
      <c r="C1446" s="55" t="s">
        <v>1892</v>
      </c>
      <c r="D1446" s="51">
        <v>46155.43710065972</v>
      </c>
      <c r="E1446" s="52">
        <v>5.0</v>
      </c>
      <c r="F1446" s="55" t="s">
        <v>2076</v>
      </c>
      <c r="G1446" s="26"/>
      <c r="H1446" s="26"/>
      <c r="I1446" s="26" t="s">
        <v>302</v>
      </c>
      <c r="J1446" s="26" t="s">
        <v>1830</v>
      </c>
      <c r="K1446" s="26" t="s">
        <v>302</v>
      </c>
      <c r="L1446" s="26" t="s">
        <v>1566</v>
      </c>
      <c r="M1446" s="26" t="s">
        <v>1566</v>
      </c>
      <c r="N1446" s="26" t="s">
        <v>1566</v>
      </c>
      <c r="O1446" s="26" t="s">
        <v>1566</v>
      </c>
      <c r="P1446" s="26" t="s">
        <v>661</v>
      </c>
      <c r="Q1446" s="26">
        <v>580.0</v>
      </c>
    </row>
    <row r="1447" ht="17.25" customHeight="1">
      <c r="A1447" s="51">
        <v>46155.50503324074</v>
      </c>
      <c r="B1447" s="25" t="s">
        <v>1998</v>
      </c>
      <c r="C1447" s="55" t="s">
        <v>1892</v>
      </c>
      <c r="D1447" s="51">
        <v>46155.43710065972</v>
      </c>
      <c r="E1447" s="52">
        <v>1.0</v>
      </c>
      <c r="F1447" s="55" t="s">
        <v>2124</v>
      </c>
      <c r="G1447" s="26"/>
      <c r="H1447" s="26"/>
      <c r="I1447" s="26" t="s">
        <v>1999</v>
      </c>
      <c r="J1447" s="26" t="s">
        <v>1674</v>
      </c>
      <c r="K1447" s="26" t="s">
        <v>1691</v>
      </c>
      <c r="L1447" s="26" t="s">
        <v>1566</v>
      </c>
      <c r="M1447" s="26" t="s">
        <v>1566</v>
      </c>
      <c r="N1447" s="26" t="s">
        <v>1566</v>
      </c>
      <c r="O1447" s="26" t="s">
        <v>1805</v>
      </c>
      <c r="P1447" s="26" t="s">
        <v>290</v>
      </c>
      <c r="Q1447" s="26">
        <v>0.0</v>
      </c>
    </row>
    <row r="1448" ht="17.25" customHeight="1">
      <c r="A1448" s="51">
        <v>46155.5053931713</v>
      </c>
      <c r="B1448" s="25" t="s">
        <v>1994</v>
      </c>
      <c r="C1448" s="55" t="s">
        <v>1892</v>
      </c>
      <c r="D1448" s="51">
        <v>46155.43710065972</v>
      </c>
      <c r="E1448" s="52">
        <v>1.0</v>
      </c>
      <c r="F1448" s="55" t="s">
        <v>2124</v>
      </c>
      <c r="G1448" s="26"/>
      <c r="H1448" s="26"/>
      <c r="I1448" s="26" t="s">
        <v>1996</v>
      </c>
      <c r="J1448" s="26" t="s">
        <v>1674</v>
      </c>
      <c r="K1448" s="26" t="s">
        <v>1691</v>
      </c>
      <c r="L1448" s="26" t="s">
        <v>1566</v>
      </c>
      <c r="M1448" s="26" t="s">
        <v>1566</v>
      </c>
      <c r="N1448" s="26" t="s">
        <v>1566</v>
      </c>
      <c r="O1448" s="26" t="s">
        <v>1682</v>
      </c>
      <c r="P1448" s="26" t="s">
        <v>290</v>
      </c>
      <c r="Q1448" s="26">
        <v>0.0</v>
      </c>
    </row>
    <row r="1449" ht="17.25" customHeight="1">
      <c r="A1449" s="51">
        <v>46155.50867577546</v>
      </c>
      <c r="B1449" s="25" t="s">
        <v>1715</v>
      </c>
      <c r="C1449" s="55" t="s">
        <v>1892</v>
      </c>
      <c r="D1449" s="51">
        <v>46155.43710065972</v>
      </c>
      <c r="E1449" s="52">
        <v>600.0</v>
      </c>
      <c r="F1449" s="55" t="s">
        <v>1561</v>
      </c>
      <c r="G1449" s="55">
        <v>803.0</v>
      </c>
      <c r="H1449" s="26"/>
      <c r="I1449" s="26" t="s">
        <v>1716</v>
      </c>
      <c r="J1449" s="26" t="s">
        <v>1225</v>
      </c>
      <c r="K1449" s="26" t="s">
        <v>1562</v>
      </c>
      <c r="L1449" s="26" t="s">
        <v>1603</v>
      </c>
      <c r="M1449" s="26" t="s">
        <v>1586</v>
      </c>
      <c r="N1449" s="26" t="s">
        <v>1566</v>
      </c>
      <c r="O1449" s="26" t="s">
        <v>1566</v>
      </c>
      <c r="P1449" s="26" t="s">
        <v>22</v>
      </c>
      <c r="Q1449" s="26">
        <v>0.0</v>
      </c>
    </row>
    <row r="1450" ht="17.25" customHeight="1">
      <c r="A1450" s="51">
        <v>46155.513082418984</v>
      </c>
      <c r="B1450" s="25" t="s">
        <v>1027</v>
      </c>
      <c r="C1450" s="55" t="s">
        <v>1892</v>
      </c>
      <c r="D1450" s="51">
        <v>46155.43710065972</v>
      </c>
      <c r="E1450" s="52">
        <v>4320.0</v>
      </c>
      <c r="F1450" s="55" t="s">
        <v>1561</v>
      </c>
      <c r="G1450" s="55">
        <v>804.0</v>
      </c>
      <c r="H1450" s="26"/>
      <c r="I1450" s="26" t="s">
        <v>1028</v>
      </c>
      <c r="J1450" s="26" t="s">
        <v>1225</v>
      </c>
      <c r="K1450" s="26" t="s">
        <v>1653</v>
      </c>
      <c r="L1450" s="26" t="s">
        <v>1573</v>
      </c>
      <c r="M1450" s="26" t="s">
        <v>1572</v>
      </c>
      <c r="N1450" s="26" t="s">
        <v>1566</v>
      </c>
      <c r="O1450" s="26" t="s">
        <v>1654</v>
      </c>
      <c r="P1450" s="26" t="s">
        <v>22</v>
      </c>
      <c r="Q1450" s="26">
        <v>1872.0</v>
      </c>
    </row>
    <row r="1451" ht="17.25" customHeight="1">
      <c r="A1451" s="51">
        <v>46156.43796083333</v>
      </c>
      <c r="B1451" s="25" t="s">
        <v>1708</v>
      </c>
      <c r="C1451" s="55" t="s">
        <v>1560</v>
      </c>
      <c r="D1451" s="51">
        <v>46155.43710065972</v>
      </c>
      <c r="E1451" s="52">
        <v>504.0</v>
      </c>
      <c r="F1451" s="55" t="s">
        <v>1561</v>
      </c>
      <c r="G1451" s="55" t="s">
        <v>2277</v>
      </c>
      <c r="H1451" s="26"/>
      <c r="I1451" s="26" t="s">
        <v>1709</v>
      </c>
      <c r="J1451" s="26" t="s">
        <v>1225</v>
      </c>
      <c r="K1451" s="26" t="s">
        <v>1562</v>
      </c>
      <c r="L1451" s="26" t="s">
        <v>1582</v>
      </c>
      <c r="M1451" s="26" t="s">
        <v>1572</v>
      </c>
      <c r="N1451" s="26" t="s">
        <v>1566</v>
      </c>
      <c r="O1451" s="26" t="s">
        <v>1566</v>
      </c>
      <c r="P1451" s="26" t="s">
        <v>22</v>
      </c>
      <c r="Q1451" s="26">
        <v>0.0</v>
      </c>
    </row>
    <row r="1452" ht="17.25" customHeight="1">
      <c r="A1452" s="51">
        <v>46156.438116875</v>
      </c>
      <c r="B1452" s="25" t="s">
        <v>1708</v>
      </c>
      <c r="C1452" s="55" t="s">
        <v>1892</v>
      </c>
      <c r="D1452" s="51">
        <v>46155.43710065972</v>
      </c>
      <c r="E1452" s="52">
        <v>504.0</v>
      </c>
      <c r="F1452" s="55" t="s">
        <v>1561</v>
      </c>
      <c r="G1452" s="55">
        <v>805.0</v>
      </c>
      <c r="H1452" s="26"/>
      <c r="I1452" s="26" t="s">
        <v>1709</v>
      </c>
      <c r="J1452" s="26" t="s">
        <v>1225</v>
      </c>
      <c r="K1452" s="26" t="s">
        <v>1562</v>
      </c>
      <c r="L1452" s="26" t="s">
        <v>1582</v>
      </c>
      <c r="M1452" s="26" t="s">
        <v>1572</v>
      </c>
      <c r="N1452" s="26" t="s">
        <v>1566</v>
      </c>
      <c r="O1452" s="26" t="s">
        <v>1566</v>
      </c>
      <c r="P1452" s="26" t="s">
        <v>22</v>
      </c>
      <c r="Q1452" s="26">
        <v>0.0</v>
      </c>
    </row>
    <row r="1453" ht="17.25" customHeight="1">
      <c r="A1453" s="51">
        <v>46156.44169989583</v>
      </c>
      <c r="B1453" s="26" t="s">
        <v>760</v>
      </c>
      <c r="C1453" s="55" t="s">
        <v>1560</v>
      </c>
      <c r="D1453" s="51">
        <v>46155.43710065972</v>
      </c>
      <c r="E1453" s="52">
        <v>5000.0</v>
      </c>
      <c r="F1453" s="55" t="s">
        <v>1561</v>
      </c>
      <c r="G1453" s="55" t="s">
        <v>2278</v>
      </c>
      <c r="H1453" s="26"/>
      <c r="I1453" s="26" t="s">
        <v>762</v>
      </c>
      <c r="J1453" s="26" t="s">
        <v>1225</v>
      </c>
      <c r="K1453" s="26" t="s">
        <v>1562</v>
      </c>
      <c r="L1453" s="26" t="s">
        <v>2168</v>
      </c>
      <c r="M1453" s="26" t="s">
        <v>1575</v>
      </c>
      <c r="N1453" s="26" t="s">
        <v>1566</v>
      </c>
      <c r="O1453" s="26" t="s">
        <v>1566</v>
      </c>
      <c r="P1453" s="26" t="s">
        <v>22</v>
      </c>
      <c r="Q1453" s="26">
        <v>0.0</v>
      </c>
    </row>
    <row r="1454" ht="17.25" customHeight="1">
      <c r="A1454" s="51">
        <v>46157.40634307871</v>
      </c>
      <c r="B1454" s="25" t="s">
        <v>760</v>
      </c>
      <c r="C1454" s="55" t="s">
        <v>1892</v>
      </c>
      <c r="D1454" s="51">
        <v>46155.43710065972</v>
      </c>
      <c r="E1454" s="52">
        <v>2500.0</v>
      </c>
      <c r="F1454" s="55" t="s">
        <v>1561</v>
      </c>
      <c r="G1454" s="55">
        <v>806.0</v>
      </c>
      <c r="H1454" s="26"/>
      <c r="I1454" s="26" t="s">
        <v>762</v>
      </c>
      <c r="J1454" s="26" t="s">
        <v>1225</v>
      </c>
      <c r="K1454" s="26" t="s">
        <v>1562</v>
      </c>
      <c r="L1454" s="26" t="s">
        <v>2168</v>
      </c>
      <c r="M1454" s="26" t="s">
        <v>1575</v>
      </c>
      <c r="N1454" s="26" t="s">
        <v>1566</v>
      </c>
      <c r="O1454" s="26" t="s">
        <v>1566</v>
      </c>
      <c r="P1454" s="26" t="s">
        <v>22</v>
      </c>
      <c r="Q1454" s="26">
        <v>0.0</v>
      </c>
    </row>
    <row r="1455" ht="17.25" customHeight="1">
      <c r="A1455" s="51">
        <v>46157.7355015625</v>
      </c>
      <c r="B1455" s="26" t="s">
        <v>1215</v>
      </c>
      <c r="C1455" s="55" t="s">
        <v>1560</v>
      </c>
      <c r="D1455" s="51">
        <v>46157.7355015625</v>
      </c>
      <c r="E1455" s="52">
        <v>2.0</v>
      </c>
      <c r="F1455" s="55" t="s">
        <v>1844</v>
      </c>
      <c r="G1455" s="26"/>
      <c r="H1455" s="26"/>
      <c r="I1455" s="26" t="s">
        <v>1216</v>
      </c>
      <c r="J1455" s="26" t="s">
        <v>1844</v>
      </c>
      <c r="K1455" s="26" t="s">
        <v>1807</v>
      </c>
      <c r="L1455" s="26">
        <v>16.5</v>
      </c>
      <c r="M1455" s="26" t="s">
        <v>1566</v>
      </c>
      <c r="N1455" s="26" t="s">
        <v>1566</v>
      </c>
      <c r="O1455" s="26" t="s">
        <v>1566</v>
      </c>
      <c r="P1455" s="26" t="s">
        <v>661</v>
      </c>
      <c r="Q1455" s="26">
        <v>2.0</v>
      </c>
    </row>
    <row r="1456" ht="17.25" customHeight="1">
      <c r="A1456" s="51">
        <v>46157.73635503472</v>
      </c>
      <c r="B1456" s="27" t="s">
        <v>1221</v>
      </c>
      <c r="C1456" s="55" t="s">
        <v>1560</v>
      </c>
      <c r="D1456" s="51">
        <v>46157.7355015625</v>
      </c>
      <c r="E1456" s="52">
        <v>2.0</v>
      </c>
      <c r="F1456" s="55" t="s">
        <v>1844</v>
      </c>
      <c r="G1456" s="26"/>
      <c r="H1456" s="26"/>
      <c r="I1456" s="26" t="s">
        <v>1222</v>
      </c>
      <c r="J1456" s="26" t="s">
        <v>1844</v>
      </c>
      <c r="K1456" s="26" t="s">
        <v>1807</v>
      </c>
      <c r="L1456" s="26">
        <v>18.5</v>
      </c>
      <c r="M1456" s="26" t="s">
        <v>1566</v>
      </c>
      <c r="N1456" s="26" t="s">
        <v>1566</v>
      </c>
      <c r="O1456" s="26" t="s">
        <v>1566</v>
      </c>
      <c r="P1456" s="26" t="s">
        <v>661</v>
      </c>
      <c r="Q1456" s="26">
        <v>2.0</v>
      </c>
    </row>
    <row r="1457" ht="17.25" customHeight="1">
      <c r="A1457" s="51">
        <v>46157.73650934028</v>
      </c>
      <c r="B1457" s="23" t="s">
        <v>301</v>
      </c>
      <c r="C1457" s="55" t="s">
        <v>1892</v>
      </c>
      <c r="D1457" s="51">
        <v>46157.7355015625</v>
      </c>
      <c r="E1457" s="52">
        <v>10.0</v>
      </c>
      <c r="F1457" s="55" t="s">
        <v>2026</v>
      </c>
      <c r="G1457" s="26"/>
      <c r="H1457" s="26"/>
      <c r="I1457" s="26" t="s">
        <v>302</v>
      </c>
      <c r="J1457" s="26" t="s">
        <v>1830</v>
      </c>
      <c r="K1457" s="26" t="s">
        <v>302</v>
      </c>
      <c r="L1457" s="26" t="s">
        <v>1566</v>
      </c>
      <c r="M1457" s="26" t="s">
        <v>1566</v>
      </c>
      <c r="N1457" s="26" t="s">
        <v>1566</v>
      </c>
      <c r="O1457" s="26" t="s">
        <v>1566</v>
      </c>
      <c r="P1457" s="26" t="s">
        <v>661</v>
      </c>
      <c r="Q1457" s="26">
        <v>580.0</v>
      </c>
    </row>
    <row r="1458" ht="17.25" customHeight="1">
      <c r="A1458" s="51">
        <v>46157.73689990741</v>
      </c>
      <c r="B1458" s="25" t="s">
        <v>222</v>
      </c>
      <c r="C1458" s="55" t="s">
        <v>1892</v>
      </c>
      <c r="D1458" s="51">
        <v>46157.7355015625</v>
      </c>
      <c r="E1458" s="52">
        <v>2.0</v>
      </c>
      <c r="F1458" s="55" t="s">
        <v>2026</v>
      </c>
      <c r="G1458" s="26"/>
      <c r="H1458" s="26"/>
      <c r="I1458" s="26" t="s">
        <v>230</v>
      </c>
      <c r="J1458" s="26" t="s">
        <v>1821</v>
      </c>
      <c r="K1458" s="26" t="s">
        <v>1822</v>
      </c>
      <c r="L1458" s="26" t="s">
        <v>1828</v>
      </c>
      <c r="M1458" s="26" t="s">
        <v>1590</v>
      </c>
      <c r="N1458" s="26" t="s">
        <v>1566</v>
      </c>
      <c r="O1458" s="26" t="s">
        <v>1566</v>
      </c>
      <c r="P1458" s="26" t="s">
        <v>661</v>
      </c>
      <c r="Q1458" s="26">
        <v>60.0</v>
      </c>
    </row>
    <row r="1459" ht="17.25" customHeight="1">
      <c r="A1459" s="51">
        <v>46157.738539768514</v>
      </c>
      <c r="B1459" s="25" t="s">
        <v>948</v>
      </c>
      <c r="C1459" s="55" t="s">
        <v>1892</v>
      </c>
      <c r="D1459" s="51">
        <v>46157.7355015625</v>
      </c>
      <c r="E1459" s="52">
        <v>5.0</v>
      </c>
      <c r="F1459" s="55" t="s">
        <v>2026</v>
      </c>
      <c r="G1459" s="26"/>
      <c r="H1459" s="26"/>
      <c r="I1459" s="26" t="s">
        <v>952</v>
      </c>
      <c r="J1459" s="26" t="s">
        <v>1812</v>
      </c>
      <c r="K1459" s="26" t="s">
        <v>1815</v>
      </c>
      <c r="L1459" s="26" t="s">
        <v>1566</v>
      </c>
      <c r="M1459" s="26" t="s">
        <v>1566</v>
      </c>
      <c r="N1459" s="26" t="s">
        <v>1566</v>
      </c>
      <c r="O1459" s="26" t="s">
        <v>2060</v>
      </c>
      <c r="P1459" s="26" t="s">
        <v>616</v>
      </c>
      <c r="Q1459" s="26">
        <v>5.0</v>
      </c>
    </row>
    <row r="1460" ht="17.25" customHeight="1">
      <c r="A1460" s="51">
        <v>46157.73898834491</v>
      </c>
      <c r="B1460" s="25" t="s">
        <v>598</v>
      </c>
      <c r="C1460" s="55" t="s">
        <v>1560</v>
      </c>
      <c r="D1460" s="51">
        <v>46157.7355015625</v>
      </c>
      <c r="E1460" s="52">
        <v>10.0</v>
      </c>
      <c r="F1460" s="55" t="s">
        <v>1673</v>
      </c>
      <c r="G1460" s="26"/>
      <c r="H1460" s="26"/>
      <c r="I1460" s="26" t="s">
        <v>604</v>
      </c>
      <c r="J1460" s="26" t="s">
        <v>1812</v>
      </c>
      <c r="K1460" s="26" t="s">
        <v>1815</v>
      </c>
      <c r="L1460" s="26" t="s">
        <v>1566</v>
      </c>
      <c r="M1460" s="26" t="s">
        <v>1566</v>
      </c>
      <c r="N1460" s="26" t="s">
        <v>1566</v>
      </c>
      <c r="O1460" s="26" t="s">
        <v>1812</v>
      </c>
      <c r="P1460" s="26" t="s">
        <v>616</v>
      </c>
      <c r="Q1460" s="26">
        <v>15.0</v>
      </c>
    </row>
    <row r="1461" ht="17.25" customHeight="1">
      <c r="A1461" s="51">
        <v>46158.433572800925</v>
      </c>
      <c r="B1461" s="27" t="s">
        <v>2005</v>
      </c>
      <c r="C1461" s="55" t="s">
        <v>1560</v>
      </c>
      <c r="D1461" s="51">
        <v>46157.7355015625</v>
      </c>
      <c r="E1461" s="52">
        <v>1400.0</v>
      </c>
      <c r="F1461" s="55" t="s">
        <v>1561</v>
      </c>
      <c r="G1461" s="55" t="s">
        <v>2279</v>
      </c>
      <c r="H1461" s="26"/>
      <c r="I1461" s="26" t="s">
        <v>2006</v>
      </c>
      <c r="J1461" s="26" t="s">
        <v>1225</v>
      </c>
      <c r="K1461" s="26" t="s">
        <v>1642</v>
      </c>
      <c r="L1461" s="26" t="s">
        <v>2170</v>
      </c>
      <c r="M1461" s="26" t="s">
        <v>1622</v>
      </c>
      <c r="N1461" s="26" t="s">
        <v>1566</v>
      </c>
      <c r="O1461" s="26" t="s">
        <v>1566</v>
      </c>
      <c r="P1461" s="26" t="s">
        <v>22</v>
      </c>
      <c r="Q1461" s="26">
        <v>0.0</v>
      </c>
    </row>
    <row r="1462" ht="17.25" customHeight="1">
      <c r="A1462" s="51">
        <v>46158.43362098379</v>
      </c>
      <c r="B1462" s="39" t="s">
        <v>2008</v>
      </c>
      <c r="C1462" s="55" t="s">
        <v>1560</v>
      </c>
      <c r="D1462" s="51">
        <v>46157.7355015625</v>
      </c>
      <c r="E1462" s="52">
        <v>500.0</v>
      </c>
      <c r="F1462" s="55" t="s">
        <v>1561</v>
      </c>
      <c r="G1462" s="55" t="s">
        <v>2280</v>
      </c>
      <c r="H1462" s="26"/>
      <c r="I1462" s="26" t="s">
        <v>2009</v>
      </c>
      <c r="J1462" s="26" t="s">
        <v>1225</v>
      </c>
      <c r="K1462" s="26" t="s">
        <v>1642</v>
      </c>
      <c r="L1462" s="26" t="s">
        <v>2170</v>
      </c>
      <c r="M1462" s="26" t="s">
        <v>1574</v>
      </c>
      <c r="N1462" s="26" t="s">
        <v>1566</v>
      </c>
      <c r="O1462" s="26" t="s">
        <v>1566</v>
      </c>
      <c r="P1462" s="26" t="s">
        <v>22</v>
      </c>
      <c r="Q1462" s="26">
        <v>0.0</v>
      </c>
    </row>
    <row r="1463" ht="17.25" customHeight="1">
      <c r="A1463" s="51">
        <v>46158.43385922453</v>
      </c>
      <c r="B1463" s="25" t="s">
        <v>1117</v>
      </c>
      <c r="C1463" s="55" t="s">
        <v>1560</v>
      </c>
      <c r="D1463" s="51">
        <v>46157.7355015625</v>
      </c>
      <c r="E1463" s="52">
        <v>800.0</v>
      </c>
      <c r="F1463" s="55" t="s">
        <v>1561</v>
      </c>
      <c r="G1463" s="55" t="s">
        <v>2281</v>
      </c>
      <c r="H1463" s="26"/>
      <c r="I1463" s="26" t="s">
        <v>1118</v>
      </c>
      <c r="J1463" s="26" t="s">
        <v>1225</v>
      </c>
      <c r="K1463" s="26" t="s">
        <v>1642</v>
      </c>
      <c r="L1463" s="26" t="s">
        <v>2136</v>
      </c>
      <c r="M1463" s="26" t="s">
        <v>1622</v>
      </c>
      <c r="N1463" s="26" t="s">
        <v>1566</v>
      </c>
      <c r="O1463" s="26" t="s">
        <v>1566</v>
      </c>
      <c r="P1463" s="26" t="s">
        <v>22</v>
      </c>
      <c r="Q1463" s="26">
        <v>800.0</v>
      </c>
    </row>
    <row r="1464" ht="17.25" customHeight="1">
      <c r="A1464" s="51">
        <v>46158.43548068287</v>
      </c>
      <c r="B1464" s="26" t="s">
        <v>1224</v>
      </c>
      <c r="C1464" s="55" t="s">
        <v>1560</v>
      </c>
      <c r="D1464" s="51">
        <v>46157.7355015625</v>
      </c>
      <c r="E1464" s="52">
        <v>9200.0</v>
      </c>
      <c r="F1464" s="55" t="s">
        <v>1561</v>
      </c>
      <c r="G1464" s="55" t="s">
        <v>2282</v>
      </c>
      <c r="H1464" s="26"/>
      <c r="I1464" s="26" t="s">
        <v>1226</v>
      </c>
      <c r="J1464" s="26" t="s">
        <v>1225</v>
      </c>
      <c r="K1464" s="26" t="s">
        <v>1562</v>
      </c>
      <c r="L1464" s="26" t="s">
        <v>2171</v>
      </c>
      <c r="M1464" s="26" t="s">
        <v>2172</v>
      </c>
      <c r="N1464" s="26" t="s">
        <v>1566</v>
      </c>
      <c r="O1464" s="26" t="s">
        <v>1566</v>
      </c>
      <c r="P1464" s="26" t="s">
        <v>22</v>
      </c>
      <c r="Q1464" s="26">
        <v>4700.0</v>
      </c>
    </row>
    <row r="1465" ht="17.25" customHeight="1">
      <c r="A1465" s="51">
        <v>46158.43627855324</v>
      </c>
      <c r="B1465" s="26" t="s">
        <v>854</v>
      </c>
      <c r="C1465" s="55" t="s">
        <v>1560</v>
      </c>
      <c r="D1465" s="51">
        <v>46157.7355015625</v>
      </c>
      <c r="E1465" s="52">
        <v>900.0</v>
      </c>
      <c r="F1465" s="55" t="s">
        <v>1561</v>
      </c>
      <c r="G1465" s="55" t="s">
        <v>2283</v>
      </c>
      <c r="H1465" s="26"/>
      <c r="I1465" s="26" t="s">
        <v>855</v>
      </c>
      <c r="J1465" s="26" t="s">
        <v>1225</v>
      </c>
      <c r="K1465" s="26" t="s">
        <v>1562</v>
      </c>
      <c r="L1465" s="26" t="s">
        <v>1633</v>
      </c>
      <c r="M1465" s="26" t="s">
        <v>1572</v>
      </c>
      <c r="N1465" s="26" t="s">
        <v>1566</v>
      </c>
      <c r="O1465" s="26" t="s">
        <v>1566</v>
      </c>
      <c r="P1465" s="26" t="s">
        <v>22</v>
      </c>
      <c r="Q1465" s="26">
        <v>1200.0</v>
      </c>
    </row>
    <row r="1466" ht="17.25" customHeight="1">
      <c r="A1466" s="51">
        <v>46158.436615115745</v>
      </c>
      <c r="B1466" s="25" t="s">
        <v>65</v>
      </c>
      <c r="C1466" s="55" t="s">
        <v>1560</v>
      </c>
      <c r="D1466" s="51">
        <v>46157.7355015625</v>
      </c>
      <c r="E1466" s="52">
        <v>1000.0</v>
      </c>
      <c r="F1466" s="55" t="s">
        <v>1561</v>
      </c>
      <c r="G1466" s="55" t="s">
        <v>2284</v>
      </c>
      <c r="H1466" s="26"/>
      <c r="I1466" s="26" t="s">
        <v>67</v>
      </c>
      <c r="J1466" s="26" t="s">
        <v>1225</v>
      </c>
      <c r="K1466" s="26" t="s">
        <v>1562</v>
      </c>
      <c r="L1466" s="26" t="s">
        <v>1587</v>
      </c>
      <c r="M1466" s="26" t="s">
        <v>1572</v>
      </c>
      <c r="N1466" s="26" t="s">
        <v>1571</v>
      </c>
      <c r="O1466" s="26" t="s">
        <v>1566</v>
      </c>
      <c r="P1466" s="26" t="s">
        <v>22</v>
      </c>
      <c r="Q1466" s="26">
        <v>1000.0</v>
      </c>
    </row>
    <row r="1467" ht="17.25" customHeight="1">
      <c r="A1467" s="51">
        <v>46158.43681696759</v>
      </c>
      <c r="B1467" s="25" t="s">
        <v>1522</v>
      </c>
      <c r="C1467" s="55" t="s">
        <v>1560</v>
      </c>
      <c r="D1467" s="51">
        <v>46157.7355015625</v>
      </c>
      <c r="E1467" s="52">
        <v>1600.0</v>
      </c>
      <c r="F1467" s="55" t="s">
        <v>1561</v>
      </c>
      <c r="G1467" s="55" t="s">
        <v>2285</v>
      </c>
      <c r="H1467" s="26"/>
      <c r="I1467" s="26" t="s">
        <v>1523</v>
      </c>
      <c r="J1467" s="26" t="s">
        <v>1225</v>
      </c>
      <c r="K1467" s="26" t="s">
        <v>1562</v>
      </c>
      <c r="L1467" s="26" t="s">
        <v>1563</v>
      </c>
      <c r="M1467" s="26" t="s">
        <v>1572</v>
      </c>
      <c r="N1467" s="26" t="s">
        <v>1571</v>
      </c>
      <c r="O1467" s="26" t="s">
        <v>1566</v>
      </c>
      <c r="P1467" s="26" t="s">
        <v>22</v>
      </c>
      <c r="Q1467" s="26">
        <v>800.0</v>
      </c>
    </row>
    <row r="1468" ht="17.25" customHeight="1">
      <c r="A1468" s="51">
        <v>46158.5459484375</v>
      </c>
      <c r="B1468" s="25" t="s">
        <v>509</v>
      </c>
      <c r="C1468" s="55" t="s">
        <v>1560</v>
      </c>
      <c r="D1468" s="51">
        <v>46158.5459484375</v>
      </c>
      <c r="E1468" s="52">
        <v>1.0</v>
      </c>
      <c r="F1468" s="55" t="s">
        <v>1673</v>
      </c>
      <c r="G1468" s="55" t="s">
        <v>2286</v>
      </c>
      <c r="H1468" s="26"/>
      <c r="I1468" s="26" t="s">
        <v>510</v>
      </c>
      <c r="J1468" s="26" t="s">
        <v>1674</v>
      </c>
      <c r="K1468" s="26" t="s">
        <v>1691</v>
      </c>
      <c r="L1468" s="26" t="s">
        <v>1566</v>
      </c>
      <c r="M1468" s="26" t="s">
        <v>1566</v>
      </c>
      <c r="N1468" s="26" t="s">
        <v>1768</v>
      </c>
      <c r="O1468" s="26" t="s">
        <v>1769</v>
      </c>
      <c r="P1468" s="26" t="s">
        <v>290</v>
      </c>
      <c r="Q1468" s="26">
        <v>1.0</v>
      </c>
    </row>
    <row r="1469" ht="17.25" customHeight="1">
      <c r="A1469" s="51">
        <v>46158.71459546297</v>
      </c>
      <c r="B1469" s="25" t="s">
        <v>753</v>
      </c>
      <c r="C1469" s="55" t="s">
        <v>1560</v>
      </c>
      <c r="D1469" s="51">
        <v>46158.5459484375</v>
      </c>
      <c r="E1469" s="52">
        <v>25.0</v>
      </c>
      <c r="F1469" s="55" t="s">
        <v>1673</v>
      </c>
      <c r="G1469" s="26"/>
      <c r="H1469" s="26"/>
      <c r="I1469" s="26" t="s">
        <v>755</v>
      </c>
      <c r="J1469" s="26" t="s">
        <v>1812</v>
      </c>
      <c r="K1469" s="26" t="s">
        <v>1815</v>
      </c>
      <c r="L1469" s="26" t="s">
        <v>1566</v>
      </c>
      <c r="M1469" s="26" t="s">
        <v>1566</v>
      </c>
      <c r="N1469" s="26" t="s">
        <v>1566</v>
      </c>
      <c r="O1469" s="26" t="s">
        <v>2014</v>
      </c>
      <c r="P1469" s="26" t="s">
        <v>290</v>
      </c>
      <c r="Q1469" s="26">
        <v>25.0</v>
      </c>
    </row>
    <row r="1470" ht="17.25" customHeight="1">
      <c r="A1470" s="51">
        <v>46158.715564328704</v>
      </c>
      <c r="B1470" s="25" t="s">
        <v>948</v>
      </c>
      <c r="C1470" s="55" t="s">
        <v>1560</v>
      </c>
      <c r="D1470" s="51">
        <v>46158.5459484375</v>
      </c>
      <c r="E1470" s="52">
        <v>5.0</v>
      </c>
      <c r="F1470" s="55" t="s">
        <v>1673</v>
      </c>
      <c r="G1470" s="26"/>
      <c r="H1470" s="26"/>
      <c r="I1470" s="26" t="s">
        <v>952</v>
      </c>
      <c r="J1470" s="26" t="s">
        <v>1812</v>
      </c>
      <c r="K1470" s="26" t="s">
        <v>1815</v>
      </c>
      <c r="L1470" s="26" t="s">
        <v>1566</v>
      </c>
      <c r="M1470" s="26" t="s">
        <v>1566</v>
      </c>
      <c r="N1470" s="26" t="s">
        <v>1566</v>
      </c>
      <c r="O1470" s="26" t="s">
        <v>2060</v>
      </c>
      <c r="P1470" s="26" t="s">
        <v>616</v>
      </c>
      <c r="Q1470" s="26">
        <v>5.0</v>
      </c>
    </row>
    <row r="1471" ht="17.25" customHeight="1">
      <c r="A1471" s="51">
        <v>46158.71574697917</v>
      </c>
      <c r="B1471" s="23" t="s">
        <v>301</v>
      </c>
      <c r="C1471" s="55" t="s">
        <v>1892</v>
      </c>
      <c r="D1471" s="51">
        <v>46158.5459484375</v>
      </c>
      <c r="E1471" s="52">
        <v>15.0</v>
      </c>
      <c r="F1471" s="55" t="s">
        <v>2124</v>
      </c>
      <c r="G1471" s="26"/>
      <c r="H1471" s="26"/>
      <c r="I1471" s="26" t="s">
        <v>302</v>
      </c>
      <c r="J1471" s="26" t="s">
        <v>1830</v>
      </c>
      <c r="K1471" s="26" t="s">
        <v>302</v>
      </c>
      <c r="L1471" s="26" t="s">
        <v>1566</v>
      </c>
      <c r="M1471" s="26" t="s">
        <v>1566</v>
      </c>
      <c r="N1471" s="26" t="s">
        <v>1566</v>
      </c>
      <c r="O1471" s="26" t="s">
        <v>1566</v>
      </c>
      <c r="P1471" s="26" t="s">
        <v>661</v>
      </c>
      <c r="Q1471" s="26">
        <v>580.0</v>
      </c>
    </row>
    <row r="1472" ht="17.25" customHeight="1">
      <c r="A1472" s="51">
        <v>46158.71670974537</v>
      </c>
      <c r="B1472" s="27" t="s">
        <v>1230</v>
      </c>
      <c r="C1472" s="55" t="s">
        <v>1560</v>
      </c>
      <c r="D1472" s="111">
        <v>46122.0</v>
      </c>
      <c r="E1472" s="52">
        <v>50.0</v>
      </c>
      <c r="F1472" s="55" t="s">
        <v>2015</v>
      </c>
      <c r="G1472" s="26"/>
      <c r="H1472" s="26"/>
      <c r="I1472" s="26" t="s">
        <v>1231</v>
      </c>
      <c r="J1472" s="26" t="s">
        <v>1830</v>
      </c>
      <c r="K1472" s="26" t="s">
        <v>1642</v>
      </c>
      <c r="L1472" s="26" t="s">
        <v>1566</v>
      </c>
      <c r="M1472" s="26" t="s">
        <v>1566</v>
      </c>
      <c r="N1472" s="26" t="s">
        <v>1566</v>
      </c>
      <c r="O1472" s="26" t="s">
        <v>1566</v>
      </c>
      <c r="P1472" s="26" t="s">
        <v>661</v>
      </c>
      <c r="Q1472" s="26">
        <v>48.0</v>
      </c>
    </row>
    <row r="1473" ht="17.25" customHeight="1">
      <c r="A1473" s="51">
        <v>46158.71686940972</v>
      </c>
      <c r="B1473" s="27" t="s">
        <v>1230</v>
      </c>
      <c r="C1473" s="55" t="s">
        <v>1892</v>
      </c>
      <c r="D1473" s="51">
        <v>46158.5459484375</v>
      </c>
      <c r="E1473" s="52">
        <v>2.0</v>
      </c>
      <c r="F1473" s="55" t="s">
        <v>2124</v>
      </c>
      <c r="G1473" s="26"/>
      <c r="H1473" s="26"/>
      <c r="I1473" s="26" t="s">
        <v>1231</v>
      </c>
      <c r="J1473" s="26" t="s">
        <v>1830</v>
      </c>
      <c r="K1473" s="26" t="s">
        <v>1642</v>
      </c>
      <c r="L1473" s="26" t="s">
        <v>1566</v>
      </c>
      <c r="M1473" s="26" t="s">
        <v>1566</v>
      </c>
      <c r="N1473" s="26" t="s">
        <v>1566</v>
      </c>
      <c r="O1473" s="26" t="s">
        <v>1566</v>
      </c>
      <c r="P1473" s="26" t="s">
        <v>661</v>
      </c>
      <c r="Q1473" s="26">
        <v>48.0</v>
      </c>
    </row>
    <row r="1474" ht="17.25" customHeight="1">
      <c r="A1474" s="51">
        <v>46160.40807777778</v>
      </c>
      <c r="B1474" s="23" t="s">
        <v>301</v>
      </c>
      <c r="C1474" s="55" t="s">
        <v>1892</v>
      </c>
      <c r="D1474" s="51">
        <v>46160.40807777778</v>
      </c>
      <c r="E1474" s="52">
        <v>5.0</v>
      </c>
      <c r="F1474" s="55" t="s">
        <v>1844</v>
      </c>
      <c r="G1474" s="26"/>
      <c r="H1474" s="26"/>
      <c r="I1474" s="26" t="s">
        <v>302</v>
      </c>
      <c r="J1474" s="26" t="s">
        <v>1830</v>
      </c>
      <c r="K1474" s="26" t="s">
        <v>302</v>
      </c>
      <c r="L1474" s="26" t="s">
        <v>1566</v>
      </c>
      <c r="M1474" s="26" t="s">
        <v>1566</v>
      </c>
      <c r="N1474" s="26" t="s">
        <v>1566</v>
      </c>
      <c r="O1474" s="26" t="s">
        <v>1566</v>
      </c>
      <c r="P1474" s="26" t="s">
        <v>661</v>
      </c>
      <c r="Q1474" s="26">
        <v>580.0</v>
      </c>
    </row>
    <row r="1475" ht="17.25" customHeight="1">
      <c r="A1475" s="51">
        <v>46161.49963450231</v>
      </c>
      <c r="B1475" s="27" t="s">
        <v>364</v>
      </c>
      <c r="C1475" s="55" t="s">
        <v>1892</v>
      </c>
      <c r="D1475" s="51">
        <v>46160.40807777778</v>
      </c>
      <c r="E1475" s="52">
        <v>2.0</v>
      </c>
      <c r="F1475" s="55" t="s">
        <v>2124</v>
      </c>
      <c r="G1475" s="26"/>
      <c r="H1475" s="26"/>
      <c r="I1475" s="26" t="s">
        <v>366</v>
      </c>
      <c r="J1475" s="26" t="s">
        <v>1674</v>
      </c>
      <c r="K1475" s="26" t="s">
        <v>1675</v>
      </c>
      <c r="L1475" s="26" t="s">
        <v>1566</v>
      </c>
      <c r="M1475" s="26" t="s">
        <v>1566</v>
      </c>
      <c r="N1475" s="26" t="s">
        <v>1676</v>
      </c>
      <c r="O1475" s="26" t="s">
        <v>1690</v>
      </c>
      <c r="P1475" s="26" t="s">
        <v>290</v>
      </c>
      <c r="Q1475" s="26">
        <v>0.0</v>
      </c>
    </row>
    <row r="1476" ht="17.25" customHeight="1">
      <c r="A1476" s="51">
        <v>46161.499782349536</v>
      </c>
      <c r="B1476" s="25" t="s">
        <v>664</v>
      </c>
      <c r="C1476" s="55" t="s">
        <v>1892</v>
      </c>
      <c r="D1476" s="51">
        <v>46160.40807777778</v>
      </c>
      <c r="E1476" s="52">
        <v>1.0</v>
      </c>
      <c r="F1476" s="55" t="s">
        <v>2124</v>
      </c>
      <c r="G1476" s="26"/>
      <c r="H1476" s="26"/>
      <c r="I1476" s="26" t="s">
        <v>665</v>
      </c>
      <c r="J1476" s="26" t="s">
        <v>1674</v>
      </c>
      <c r="K1476" s="26" t="s">
        <v>1675</v>
      </c>
      <c r="L1476" s="26" t="s">
        <v>1566</v>
      </c>
      <c r="M1476" s="26" t="s">
        <v>1566</v>
      </c>
      <c r="N1476" s="26" t="s">
        <v>1565</v>
      </c>
      <c r="O1476" s="26" t="s">
        <v>1566</v>
      </c>
      <c r="P1476" s="26" t="s">
        <v>290</v>
      </c>
      <c r="Q1476" s="26">
        <v>2.0</v>
      </c>
    </row>
    <row r="1477" ht="17.25" customHeight="1">
      <c r="A1477" s="51">
        <v>46161.50028787037</v>
      </c>
      <c r="B1477" s="25" t="s">
        <v>753</v>
      </c>
      <c r="C1477" s="55" t="s">
        <v>1892</v>
      </c>
      <c r="D1477" s="51">
        <v>46160.40807777778</v>
      </c>
      <c r="E1477" s="52">
        <v>25.0</v>
      </c>
      <c r="F1477" s="55" t="s">
        <v>2124</v>
      </c>
      <c r="G1477" s="26"/>
      <c r="H1477" s="26"/>
      <c r="I1477" s="26" t="s">
        <v>755</v>
      </c>
      <c r="J1477" s="26" t="s">
        <v>1812</v>
      </c>
      <c r="K1477" s="26" t="s">
        <v>1815</v>
      </c>
      <c r="L1477" s="26" t="s">
        <v>1566</v>
      </c>
      <c r="M1477" s="26" t="s">
        <v>1566</v>
      </c>
      <c r="N1477" s="26" t="s">
        <v>1566</v>
      </c>
      <c r="O1477" s="26" t="s">
        <v>2014</v>
      </c>
      <c r="P1477" s="26" t="s">
        <v>290</v>
      </c>
      <c r="Q1477" s="26">
        <v>25.0</v>
      </c>
    </row>
    <row r="1478" ht="17.25" customHeight="1">
      <c r="A1478" s="51">
        <v>46161.5006369676</v>
      </c>
      <c r="B1478" s="25" t="s">
        <v>292</v>
      </c>
      <c r="C1478" s="55" t="s">
        <v>1892</v>
      </c>
      <c r="D1478" s="51">
        <v>46160.40807777778</v>
      </c>
      <c r="E1478" s="52">
        <v>2.0</v>
      </c>
      <c r="F1478" s="55" t="s">
        <v>2124</v>
      </c>
      <c r="G1478" s="26"/>
      <c r="H1478" s="26"/>
      <c r="I1478" s="26" t="s">
        <v>294</v>
      </c>
      <c r="J1478" s="26" t="s">
        <v>1674</v>
      </c>
      <c r="K1478" s="26" t="s">
        <v>1675</v>
      </c>
      <c r="L1478" s="26" t="s">
        <v>1566</v>
      </c>
      <c r="M1478" s="26" t="s">
        <v>1566</v>
      </c>
      <c r="N1478" s="26" t="s">
        <v>1678</v>
      </c>
      <c r="O1478" s="26" t="s">
        <v>1677</v>
      </c>
      <c r="P1478" s="26" t="s">
        <v>290</v>
      </c>
      <c r="Q1478" s="26">
        <v>10.0</v>
      </c>
    </row>
    <row r="1479" ht="17.25" customHeight="1">
      <c r="A1479" s="51">
        <v>46161.50087574074</v>
      </c>
      <c r="B1479" s="23" t="s">
        <v>301</v>
      </c>
      <c r="C1479" s="55" t="s">
        <v>1892</v>
      </c>
      <c r="D1479" s="51">
        <v>46160.40807777778</v>
      </c>
      <c r="E1479" s="52">
        <v>5.0</v>
      </c>
      <c r="F1479" s="55" t="s">
        <v>2124</v>
      </c>
      <c r="G1479" s="26"/>
      <c r="H1479" s="26"/>
      <c r="I1479" s="26" t="s">
        <v>302</v>
      </c>
      <c r="J1479" s="26" t="s">
        <v>1830</v>
      </c>
      <c r="K1479" s="26" t="s">
        <v>302</v>
      </c>
      <c r="L1479" s="26" t="s">
        <v>1566</v>
      </c>
      <c r="M1479" s="26" t="s">
        <v>1566</v>
      </c>
      <c r="N1479" s="26" t="s">
        <v>1566</v>
      </c>
      <c r="O1479" s="26" t="s">
        <v>1566</v>
      </c>
      <c r="P1479" s="26" t="s">
        <v>661</v>
      </c>
      <c r="Q1479" s="26">
        <v>580.0</v>
      </c>
    </row>
    <row r="1480" ht="17.25" customHeight="1">
      <c r="A1480" s="51">
        <v>46161.50094244213</v>
      </c>
      <c r="B1480" s="23" t="s">
        <v>301</v>
      </c>
      <c r="C1480" s="55" t="s">
        <v>1892</v>
      </c>
      <c r="D1480" s="51">
        <v>46160.40807777778</v>
      </c>
      <c r="E1480" s="52">
        <v>10.0</v>
      </c>
      <c r="F1480" s="55" t="s">
        <v>2124</v>
      </c>
      <c r="G1480" s="26"/>
      <c r="H1480" s="26"/>
      <c r="I1480" s="26" t="s">
        <v>302</v>
      </c>
      <c r="J1480" s="26" t="s">
        <v>1830</v>
      </c>
      <c r="K1480" s="26" t="s">
        <v>302</v>
      </c>
      <c r="L1480" s="26" t="s">
        <v>1566</v>
      </c>
      <c r="M1480" s="26" t="s">
        <v>1566</v>
      </c>
      <c r="N1480" s="26" t="s">
        <v>1566</v>
      </c>
      <c r="O1480" s="26" t="s">
        <v>1566</v>
      </c>
      <c r="P1480" s="26" t="s">
        <v>661</v>
      </c>
      <c r="Q1480" s="26">
        <v>580.0</v>
      </c>
    </row>
    <row r="1481" ht="17.25" customHeight="1">
      <c r="A1481" s="51">
        <v>46161.50112141204</v>
      </c>
      <c r="B1481" s="23" t="s">
        <v>301</v>
      </c>
      <c r="C1481" s="55" t="s">
        <v>1892</v>
      </c>
      <c r="D1481" s="51">
        <v>46160.40807777778</v>
      </c>
      <c r="E1481" s="52">
        <v>10.0</v>
      </c>
      <c r="F1481" s="55" t="s">
        <v>2026</v>
      </c>
      <c r="G1481" s="26"/>
      <c r="H1481" s="26"/>
      <c r="I1481" s="26" t="s">
        <v>302</v>
      </c>
      <c r="J1481" s="26" t="s">
        <v>1830</v>
      </c>
      <c r="K1481" s="26" t="s">
        <v>302</v>
      </c>
      <c r="L1481" s="26" t="s">
        <v>1566</v>
      </c>
      <c r="M1481" s="26" t="s">
        <v>1566</v>
      </c>
      <c r="N1481" s="26" t="s">
        <v>1566</v>
      </c>
      <c r="O1481" s="26" t="s">
        <v>1566</v>
      </c>
      <c r="P1481" s="26" t="s">
        <v>661</v>
      </c>
      <c r="Q1481" s="26">
        <v>580.0</v>
      </c>
    </row>
    <row r="1482" ht="17.25" customHeight="1">
      <c r="A1482" s="51">
        <v>46161.50144472222</v>
      </c>
      <c r="B1482" s="25" t="s">
        <v>21</v>
      </c>
      <c r="C1482" s="55" t="s">
        <v>1892</v>
      </c>
      <c r="D1482" s="51">
        <v>46160.40807777778</v>
      </c>
      <c r="E1482" s="52">
        <v>20.0</v>
      </c>
      <c r="F1482" s="55" t="s">
        <v>1844</v>
      </c>
      <c r="G1482" s="26"/>
      <c r="H1482" s="26"/>
      <c r="I1482" s="26" t="s">
        <v>23</v>
      </c>
      <c r="J1482" s="26" t="s">
        <v>1812</v>
      </c>
      <c r="K1482" s="26" t="s">
        <v>1815</v>
      </c>
      <c r="L1482" s="26" t="s">
        <v>1566</v>
      </c>
      <c r="M1482" s="26" t="s">
        <v>1566</v>
      </c>
      <c r="N1482" s="26" t="s">
        <v>1566</v>
      </c>
      <c r="O1482" s="26" t="s">
        <v>1818</v>
      </c>
      <c r="P1482" s="26" t="s">
        <v>616</v>
      </c>
      <c r="Q1482" s="26">
        <v>20.0</v>
      </c>
    </row>
    <row r="1483" ht="17.25" customHeight="1">
      <c r="A1483" s="51">
        <v>46161.50156783564</v>
      </c>
      <c r="B1483" s="25" t="s">
        <v>622</v>
      </c>
      <c r="C1483" s="55" t="s">
        <v>1892</v>
      </c>
      <c r="D1483" s="51">
        <v>46160.40807777778</v>
      </c>
      <c r="E1483" s="52">
        <v>25.0</v>
      </c>
      <c r="F1483" s="55" t="s">
        <v>2124</v>
      </c>
      <c r="G1483" s="26"/>
      <c r="H1483" s="26"/>
      <c r="I1483" s="26" t="s">
        <v>623</v>
      </c>
      <c r="J1483" s="26" t="s">
        <v>1812</v>
      </c>
      <c r="K1483" s="26" t="s">
        <v>1815</v>
      </c>
      <c r="L1483" s="26" t="s">
        <v>1566</v>
      </c>
      <c r="M1483" s="26" t="s">
        <v>1566</v>
      </c>
      <c r="N1483" s="26" t="s">
        <v>1566</v>
      </c>
      <c r="O1483" s="26" t="s">
        <v>1817</v>
      </c>
      <c r="P1483" s="26" t="s">
        <v>616</v>
      </c>
      <c r="Q1483" s="26">
        <v>20.0</v>
      </c>
    </row>
    <row r="1484" ht="17.25" customHeight="1">
      <c r="A1484" s="51">
        <v>46161.501863136575</v>
      </c>
      <c r="B1484" s="25" t="s">
        <v>598</v>
      </c>
      <c r="C1484" s="55" t="s">
        <v>1892</v>
      </c>
      <c r="D1484" s="111">
        <v>46161.0</v>
      </c>
      <c r="E1484" s="52">
        <v>5.0</v>
      </c>
      <c r="F1484" s="55" t="s">
        <v>2124</v>
      </c>
      <c r="G1484" s="26"/>
      <c r="H1484" s="26"/>
      <c r="I1484" s="26" t="s">
        <v>604</v>
      </c>
      <c r="J1484" s="26" t="s">
        <v>1812</v>
      </c>
      <c r="K1484" s="26" t="s">
        <v>1815</v>
      </c>
      <c r="L1484" s="26" t="s">
        <v>1566</v>
      </c>
      <c r="M1484" s="26" t="s">
        <v>1566</v>
      </c>
      <c r="N1484" s="26" t="s">
        <v>1566</v>
      </c>
      <c r="O1484" s="26" t="s">
        <v>1812</v>
      </c>
      <c r="P1484" s="26" t="s">
        <v>616</v>
      </c>
      <c r="Q1484" s="26">
        <v>15.0</v>
      </c>
    </row>
    <row r="1485" ht="17.25" customHeight="1">
      <c r="A1485" s="51">
        <v>46161.50196336806</v>
      </c>
      <c r="B1485" s="23" t="s">
        <v>301</v>
      </c>
      <c r="C1485" s="55" t="s">
        <v>1892</v>
      </c>
      <c r="D1485" s="111">
        <v>46161.0</v>
      </c>
      <c r="E1485" s="52">
        <v>10.0</v>
      </c>
      <c r="F1485" s="55" t="s">
        <v>2124</v>
      </c>
      <c r="G1485" s="26"/>
      <c r="H1485" s="26"/>
      <c r="I1485" s="26" t="s">
        <v>302</v>
      </c>
      <c r="J1485" s="26" t="s">
        <v>1830</v>
      </c>
      <c r="K1485" s="26" t="s">
        <v>302</v>
      </c>
      <c r="L1485" s="26" t="s">
        <v>1566</v>
      </c>
      <c r="M1485" s="26" t="s">
        <v>1566</v>
      </c>
      <c r="N1485" s="26" t="s">
        <v>1566</v>
      </c>
      <c r="O1485" s="26" t="s">
        <v>1566</v>
      </c>
      <c r="P1485" s="26" t="s">
        <v>661</v>
      </c>
      <c r="Q1485" s="26">
        <v>580.0</v>
      </c>
    </row>
    <row r="1486" ht="17.25" customHeight="1">
      <c r="A1486" s="51">
        <v>46161.5044862037</v>
      </c>
      <c r="B1486" s="26" t="s">
        <v>2010</v>
      </c>
      <c r="C1486" s="55" t="s">
        <v>1560</v>
      </c>
      <c r="D1486" s="51">
        <v>46160.40807777778</v>
      </c>
      <c r="E1486" s="52">
        <v>2.0</v>
      </c>
      <c r="F1486" s="55" t="s">
        <v>2124</v>
      </c>
      <c r="G1486" s="26"/>
      <c r="H1486" s="26"/>
      <c r="I1486" s="26" t="s">
        <v>2011</v>
      </c>
      <c r="J1486" s="26" t="s">
        <v>1674</v>
      </c>
      <c r="K1486" s="26" t="s">
        <v>1691</v>
      </c>
      <c r="L1486" s="26" t="s">
        <v>1566</v>
      </c>
      <c r="M1486" s="26" t="s">
        <v>1566</v>
      </c>
      <c r="N1486" s="26" t="s">
        <v>1566</v>
      </c>
      <c r="O1486" s="26" t="s">
        <v>1566</v>
      </c>
      <c r="P1486" s="26" t="s">
        <v>290</v>
      </c>
      <c r="Q1486" s="26">
        <v>0.0</v>
      </c>
    </row>
    <row r="1487" ht="17.25" customHeight="1">
      <c r="A1487" s="51">
        <v>46161.50449668981</v>
      </c>
      <c r="B1487" s="26" t="s">
        <v>2010</v>
      </c>
      <c r="C1487" s="55" t="s">
        <v>1892</v>
      </c>
      <c r="D1487" s="111">
        <v>46161.0</v>
      </c>
      <c r="E1487" s="52">
        <v>2.0</v>
      </c>
      <c r="F1487" s="55" t="s">
        <v>2076</v>
      </c>
      <c r="G1487" s="26"/>
      <c r="H1487" s="26"/>
      <c r="I1487" s="26" t="s">
        <v>2011</v>
      </c>
      <c r="J1487" s="26" t="s">
        <v>1674</v>
      </c>
      <c r="K1487" s="26" t="s">
        <v>1691</v>
      </c>
      <c r="L1487" s="26" t="s">
        <v>1566</v>
      </c>
      <c r="M1487" s="26" t="s">
        <v>1566</v>
      </c>
      <c r="N1487" s="26" t="s">
        <v>1566</v>
      </c>
      <c r="O1487" s="26" t="s">
        <v>1566</v>
      </c>
      <c r="P1487" s="26" t="s">
        <v>290</v>
      </c>
      <c r="Q1487" s="26">
        <v>0.0</v>
      </c>
    </row>
    <row r="1488" ht="17.25" customHeight="1">
      <c r="A1488" s="51">
        <v>46161.506611793986</v>
      </c>
      <c r="B1488" s="25" t="s">
        <v>640</v>
      </c>
      <c r="C1488" s="55" t="s">
        <v>1892</v>
      </c>
      <c r="D1488" s="111">
        <v>46161.0</v>
      </c>
      <c r="E1488" s="52">
        <v>1.0</v>
      </c>
      <c r="F1488" s="55" t="s">
        <v>2124</v>
      </c>
      <c r="G1488" s="26"/>
      <c r="H1488" s="26"/>
      <c r="I1488" s="26" t="s">
        <v>641</v>
      </c>
      <c r="J1488" s="26" t="s">
        <v>1812</v>
      </c>
      <c r="K1488" s="26" t="s">
        <v>1815</v>
      </c>
      <c r="L1488" s="26" t="s">
        <v>1566</v>
      </c>
      <c r="M1488" s="26" t="s">
        <v>1566</v>
      </c>
      <c r="N1488" s="26" t="s">
        <v>1566</v>
      </c>
      <c r="O1488" s="26" t="s">
        <v>1566</v>
      </c>
      <c r="P1488" s="26" t="s">
        <v>643</v>
      </c>
      <c r="Q1488" s="26">
        <v>3.0</v>
      </c>
    </row>
    <row r="1489" ht="17.25" customHeight="1">
      <c r="A1489" s="51">
        <v>46161.506922361106</v>
      </c>
      <c r="B1489" s="25" t="s">
        <v>710</v>
      </c>
      <c r="C1489" s="55" t="s">
        <v>1892</v>
      </c>
      <c r="D1489" s="51">
        <v>46160.40807777778</v>
      </c>
      <c r="E1489" s="52">
        <v>50.0</v>
      </c>
      <c r="F1489" s="55" t="s">
        <v>2287</v>
      </c>
      <c r="G1489" s="26"/>
      <c r="H1489" s="26"/>
      <c r="I1489" s="26" t="s">
        <v>711</v>
      </c>
      <c r="J1489" s="26" t="s">
        <v>1821</v>
      </c>
      <c r="K1489" s="26" t="s">
        <v>1821</v>
      </c>
      <c r="L1489" s="26" t="s">
        <v>1566</v>
      </c>
      <c r="M1489" s="26" t="s">
        <v>1566</v>
      </c>
      <c r="N1489" s="26" t="s">
        <v>1566</v>
      </c>
      <c r="O1489" s="26" t="s">
        <v>1566</v>
      </c>
      <c r="P1489" s="26" t="s">
        <v>290</v>
      </c>
      <c r="Q1489" s="26">
        <v>50.0</v>
      </c>
    </row>
    <row r="1490" ht="17.25" customHeight="1">
      <c r="A1490" s="51">
        <v>46161.50707546296</v>
      </c>
      <c r="B1490" s="25" t="s">
        <v>710</v>
      </c>
      <c r="C1490" s="55" t="s">
        <v>1560</v>
      </c>
      <c r="D1490" s="51">
        <v>46160.40807777778</v>
      </c>
      <c r="E1490" s="52">
        <v>50.0</v>
      </c>
      <c r="F1490" s="55" t="s">
        <v>1673</v>
      </c>
      <c r="G1490" s="26"/>
      <c r="H1490" s="26"/>
      <c r="I1490" s="26" t="s">
        <v>711</v>
      </c>
      <c r="J1490" s="26" t="s">
        <v>1821</v>
      </c>
      <c r="K1490" s="26" t="s">
        <v>1821</v>
      </c>
      <c r="L1490" s="26" t="s">
        <v>1566</v>
      </c>
      <c r="M1490" s="26" t="s">
        <v>1566</v>
      </c>
      <c r="N1490" s="26" t="s">
        <v>1566</v>
      </c>
      <c r="O1490" s="26" t="s">
        <v>1566</v>
      </c>
      <c r="P1490" s="26" t="s">
        <v>290</v>
      </c>
      <c r="Q1490" s="26">
        <v>50.0</v>
      </c>
    </row>
    <row r="1491" ht="17.25" customHeight="1">
      <c r="A1491" s="51">
        <v>46161.507335092596</v>
      </c>
      <c r="B1491" s="25" t="s">
        <v>716</v>
      </c>
      <c r="C1491" s="55" t="s">
        <v>1560</v>
      </c>
      <c r="D1491" s="51">
        <v>46160.40807777778</v>
      </c>
      <c r="E1491" s="52">
        <v>50.0</v>
      </c>
      <c r="F1491" s="55" t="s">
        <v>1673</v>
      </c>
      <c r="G1491" s="26"/>
      <c r="H1491" s="26"/>
      <c r="I1491" s="26" t="s">
        <v>718</v>
      </c>
      <c r="J1491" s="26" t="s">
        <v>1821</v>
      </c>
      <c r="K1491" s="26" t="s">
        <v>1821</v>
      </c>
      <c r="L1491" s="26" t="s">
        <v>1566</v>
      </c>
      <c r="M1491" s="26" t="s">
        <v>1566</v>
      </c>
      <c r="N1491" s="26" t="s">
        <v>1566</v>
      </c>
      <c r="O1491" s="26" t="s">
        <v>1566</v>
      </c>
      <c r="P1491" s="26" t="s">
        <v>290</v>
      </c>
      <c r="Q1491" s="26">
        <v>50.0</v>
      </c>
    </row>
    <row r="1492" ht="17.25" customHeight="1">
      <c r="A1492" s="51">
        <v>46161.50760297454</v>
      </c>
      <c r="B1492" s="25" t="s">
        <v>222</v>
      </c>
      <c r="C1492" s="55" t="s">
        <v>1892</v>
      </c>
      <c r="D1492" s="51">
        <v>46160.40807777778</v>
      </c>
      <c r="E1492" s="52">
        <v>4.0</v>
      </c>
      <c r="F1492" s="55" t="s">
        <v>2044</v>
      </c>
      <c r="G1492" s="26"/>
      <c r="H1492" s="26"/>
      <c r="I1492" s="26" t="s">
        <v>230</v>
      </c>
      <c r="J1492" s="26" t="s">
        <v>1821</v>
      </c>
      <c r="K1492" s="26" t="s">
        <v>1822</v>
      </c>
      <c r="L1492" s="26" t="s">
        <v>1828</v>
      </c>
      <c r="M1492" s="26" t="s">
        <v>1590</v>
      </c>
      <c r="N1492" s="26" t="s">
        <v>1566</v>
      </c>
      <c r="O1492" s="26" t="s">
        <v>1566</v>
      </c>
      <c r="P1492" s="26" t="s">
        <v>661</v>
      </c>
      <c r="Q1492" s="26">
        <v>60.0</v>
      </c>
    </row>
    <row r="1493" ht="17.25" customHeight="1">
      <c r="A1493" s="51">
        <v>46161.50799789352</v>
      </c>
      <c r="B1493" s="25" t="s">
        <v>876</v>
      </c>
      <c r="C1493" s="55" t="s">
        <v>1892</v>
      </c>
      <c r="D1493" s="51">
        <v>46160.40807777778</v>
      </c>
      <c r="E1493" s="52">
        <v>4.0</v>
      </c>
      <c r="F1493" s="55" t="s">
        <v>1907</v>
      </c>
      <c r="G1493" s="26"/>
      <c r="H1493" s="26"/>
      <c r="I1493" s="26" t="s">
        <v>878</v>
      </c>
      <c r="J1493" s="26" t="s">
        <v>1830</v>
      </c>
      <c r="K1493" s="26" t="s">
        <v>1879</v>
      </c>
      <c r="L1493" s="26" t="s">
        <v>1566</v>
      </c>
      <c r="M1493" s="26" t="s">
        <v>1566</v>
      </c>
      <c r="N1493" s="26" t="s">
        <v>1566</v>
      </c>
      <c r="O1493" s="26" t="s">
        <v>1566</v>
      </c>
      <c r="P1493" s="26" t="s">
        <v>643</v>
      </c>
      <c r="Q1493" s="26">
        <v>34.0</v>
      </c>
    </row>
    <row r="1494" ht="17.25" customHeight="1">
      <c r="A1494" s="51">
        <v>46161.619505787035</v>
      </c>
      <c r="B1494" s="25" t="s">
        <v>41</v>
      </c>
      <c r="C1494" s="55" t="s">
        <v>1560</v>
      </c>
      <c r="D1494" s="51">
        <v>46161.619505787035</v>
      </c>
      <c r="E1494" s="52">
        <v>600.0</v>
      </c>
      <c r="F1494" s="55" t="s">
        <v>2214</v>
      </c>
      <c r="G1494" s="55" t="s">
        <v>2288</v>
      </c>
      <c r="H1494" s="26"/>
      <c r="I1494" s="26" t="s">
        <v>42</v>
      </c>
      <c r="J1494" s="26" t="s">
        <v>1225</v>
      </c>
      <c r="K1494" s="26" t="s">
        <v>1562</v>
      </c>
      <c r="L1494" s="26" t="s">
        <v>1576</v>
      </c>
      <c r="M1494" s="26" t="s">
        <v>1575</v>
      </c>
      <c r="N1494" s="26" t="s">
        <v>1571</v>
      </c>
      <c r="O1494" s="26" t="s">
        <v>1566</v>
      </c>
      <c r="P1494" s="26" t="s">
        <v>22</v>
      </c>
      <c r="Q1494" s="26">
        <v>200.0</v>
      </c>
    </row>
    <row r="1495" ht="17.25" customHeight="1">
      <c r="A1495" s="51">
        <v>46161.62037631945</v>
      </c>
      <c r="B1495" s="27" t="s">
        <v>79</v>
      </c>
      <c r="C1495" s="55" t="s">
        <v>1560</v>
      </c>
      <c r="D1495" s="51">
        <v>46161.619505787035</v>
      </c>
      <c r="E1495" s="52">
        <v>600.0</v>
      </c>
      <c r="F1495" s="55" t="s">
        <v>2214</v>
      </c>
      <c r="G1495" s="55" t="s">
        <v>2289</v>
      </c>
      <c r="H1495" s="26"/>
      <c r="I1495" s="26" t="s">
        <v>80</v>
      </c>
      <c r="J1495" s="26" t="s">
        <v>1225</v>
      </c>
      <c r="K1495" s="26" t="s">
        <v>1562</v>
      </c>
      <c r="L1495" s="26" t="s">
        <v>1563</v>
      </c>
      <c r="M1495" s="26" t="s">
        <v>1575</v>
      </c>
      <c r="N1495" s="26" t="s">
        <v>1566</v>
      </c>
      <c r="O1495" s="26" t="s">
        <v>1566</v>
      </c>
      <c r="P1495" s="26" t="s">
        <v>22</v>
      </c>
      <c r="Q1495" s="26">
        <v>700.0</v>
      </c>
    </row>
    <row r="1496" ht="17.25" customHeight="1">
      <c r="A1496" s="51">
        <v>46161.63315086806</v>
      </c>
      <c r="B1496" s="25" t="s">
        <v>1726</v>
      </c>
      <c r="C1496" s="55" t="s">
        <v>1560</v>
      </c>
      <c r="D1496" s="51">
        <v>46161.619505787035</v>
      </c>
      <c r="E1496" s="52">
        <v>1400.0</v>
      </c>
      <c r="F1496" s="55" t="s">
        <v>2214</v>
      </c>
      <c r="G1496" s="55" t="s">
        <v>2290</v>
      </c>
      <c r="H1496" s="26"/>
      <c r="I1496" s="26" t="s">
        <v>1727</v>
      </c>
      <c r="J1496" s="26" t="s">
        <v>1225</v>
      </c>
      <c r="K1496" s="26" t="s">
        <v>1562</v>
      </c>
      <c r="L1496" s="26" t="s">
        <v>2133</v>
      </c>
      <c r="M1496" s="26" t="s">
        <v>1564</v>
      </c>
      <c r="N1496" s="26" t="s">
        <v>1566</v>
      </c>
      <c r="O1496" s="26" t="s">
        <v>1566</v>
      </c>
      <c r="P1496" s="26" t="s">
        <v>22</v>
      </c>
      <c r="Q1496" s="26">
        <v>0.0</v>
      </c>
    </row>
    <row r="1497" ht="17.25" customHeight="1">
      <c r="A1497" s="51">
        <v>46161.63373219907</v>
      </c>
      <c r="B1497" s="25" t="s">
        <v>308</v>
      </c>
      <c r="C1497" s="55" t="s">
        <v>1560</v>
      </c>
      <c r="D1497" s="51">
        <v>46160.40807777778</v>
      </c>
      <c r="E1497" s="52">
        <v>900.0</v>
      </c>
      <c r="F1497" s="55" t="s">
        <v>2214</v>
      </c>
      <c r="G1497" s="55" t="s">
        <v>2291</v>
      </c>
      <c r="H1497" s="26"/>
      <c r="I1497" s="26" t="s">
        <v>309</v>
      </c>
      <c r="J1497" s="26" t="s">
        <v>1225</v>
      </c>
      <c r="K1497" s="26" t="s">
        <v>1562</v>
      </c>
      <c r="L1497" s="26" t="s">
        <v>1563</v>
      </c>
      <c r="M1497" s="26" t="s">
        <v>1574</v>
      </c>
      <c r="N1497" s="26" t="s">
        <v>1566</v>
      </c>
      <c r="O1497" s="26" t="s">
        <v>1566</v>
      </c>
      <c r="P1497" s="26" t="s">
        <v>22</v>
      </c>
      <c r="Q1497" s="26">
        <v>0.0</v>
      </c>
    </row>
    <row r="1498" ht="17.25" customHeight="1">
      <c r="A1498" s="51">
        <v>46161.63601120371</v>
      </c>
      <c r="B1498" s="25" t="s">
        <v>1583</v>
      </c>
      <c r="C1498" s="55" t="s">
        <v>1560</v>
      </c>
      <c r="D1498" s="51">
        <v>46160.40807777778</v>
      </c>
      <c r="E1498" s="52">
        <v>3500.0</v>
      </c>
      <c r="F1498" s="55" t="s">
        <v>2214</v>
      </c>
      <c r="G1498" s="2" t="s">
        <v>2292</v>
      </c>
      <c r="H1498" s="26"/>
      <c r="I1498" s="26" t="s">
        <v>1901</v>
      </c>
      <c r="J1498" s="26" t="s">
        <v>1225</v>
      </c>
      <c r="K1498" s="26" t="s">
        <v>1651</v>
      </c>
      <c r="L1498" s="26" t="s">
        <v>1563</v>
      </c>
      <c r="M1498" s="26" t="s">
        <v>1902</v>
      </c>
      <c r="N1498" s="26" t="s">
        <v>1566</v>
      </c>
      <c r="O1498" s="26" t="s">
        <v>1566</v>
      </c>
      <c r="P1498" s="26" t="s">
        <v>22</v>
      </c>
      <c r="Q1498" s="26">
        <v>0.0</v>
      </c>
    </row>
    <row r="1499" ht="17.25" customHeight="1">
      <c r="A1499" s="51">
        <v>46161.63783143519</v>
      </c>
      <c r="B1499" s="26" t="s">
        <v>424</v>
      </c>
      <c r="C1499" s="55" t="s">
        <v>1560</v>
      </c>
      <c r="D1499" s="51">
        <v>46160.40807777778</v>
      </c>
      <c r="E1499" s="52">
        <v>6000.0</v>
      </c>
      <c r="F1499" s="55" t="s">
        <v>2214</v>
      </c>
      <c r="G1499" s="55" t="s">
        <v>2293</v>
      </c>
      <c r="H1499" s="26"/>
      <c r="I1499" s="26" t="s">
        <v>425</v>
      </c>
      <c r="J1499" s="26" t="s">
        <v>1225</v>
      </c>
      <c r="K1499" s="26" t="s">
        <v>1651</v>
      </c>
      <c r="L1499" s="26" t="s">
        <v>1647</v>
      </c>
      <c r="M1499" s="26" t="s">
        <v>2174</v>
      </c>
      <c r="N1499" s="26" t="s">
        <v>1566</v>
      </c>
      <c r="O1499" s="26" t="s">
        <v>1566</v>
      </c>
      <c r="P1499" s="26" t="s">
        <v>22</v>
      </c>
      <c r="Q1499" s="26">
        <v>9000.0</v>
      </c>
    </row>
    <row r="1500" ht="17.25" customHeight="1">
      <c r="A1500" s="51">
        <v>46161.63850407407</v>
      </c>
      <c r="B1500" s="25" t="s">
        <v>1664</v>
      </c>
      <c r="C1500" s="55" t="s">
        <v>1892</v>
      </c>
      <c r="D1500" s="51">
        <v>46160.40807777778</v>
      </c>
      <c r="E1500" s="52">
        <v>1008.0</v>
      </c>
      <c r="F1500" s="55" t="s">
        <v>2214</v>
      </c>
      <c r="G1500" s="55" t="s">
        <v>2096</v>
      </c>
      <c r="H1500" s="26"/>
      <c r="I1500" s="26" t="s">
        <v>1665</v>
      </c>
      <c r="J1500" s="26" t="s">
        <v>1225</v>
      </c>
      <c r="K1500" s="26" t="s">
        <v>1653</v>
      </c>
      <c r="L1500" s="26" t="s">
        <v>1667</v>
      </c>
      <c r="M1500" s="26" t="s">
        <v>1572</v>
      </c>
      <c r="N1500" s="26" t="s">
        <v>1654</v>
      </c>
      <c r="O1500" s="26" t="s">
        <v>1566</v>
      </c>
      <c r="P1500" s="26" t="s">
        <v>22</v>
      </c>
      <c r="Q1500" s="26">
        <v>0.0</v>
      </c>
    </row>
    <row r="1501" ht="17.25" customHeight="1">
      <c r="A1501" s="51">
        <v>46161.63854289352</v>
      </c>
      <c r="B1501" s="25" t="s">
        <v>1664</v>
      </c>
      <c r="C1501" s="55" t="s">
        <v>1560</v>
      </c>
      <c r="D1501" s="51">
        <v>46160.40807777778</v>
      </c>
      <c r="E1501" s="52">
        <v>1152.0</v>
      </c>
      <c r="F1501" s="55" t="s">
        <v>2214</v>
      </c>
      <c r="G1501" s="55" t="s">
        <v>2294</v>
      </c>
      <c r="H1501" s="26"/>
      <c r="I1501" s="26" t="s">
        <v>1665</v>
      </c>
      <c r="J1501" s="26" t="s">
        <v>1225</v>
      </c>
      <c r="K1501" s="26" t="s">
        <v>1653</v>
      </c>
      <c r="L1501" s="26" t="s">
        <v>1667</v>
      </c>
      <c r="M1501" s="26" t="s">
        <v>1572</v>
      </c>
      <c r="N1501" s="26" t="s">
        <v>1654</v>
      </c>
      <c r="O1501" s="26" t="s">
        <v>1566</v>
      </c>
      <c r="P1501" s="26" t="s">
        <v>22</v>
      </c>
      <c r="Q1501" s="26">
        <v>0.0</v>
      </c>
    </row>
    <row r="1502" ht="17.25" customHeight="1">
      <c r="A1502" s="51">
        <v>46161.63854289352</v>
      </c>
      <c r="B1502" s="23" t="s">
        <v>301</v>
      </c>
      <c r="C1502" s="55" t="s">
        <v>1892</v>
      </c>
      <c r="D1502" s="51">
        <v>46160.40807777778</v>
      </c>
      <c r="E1502" s="52">
        <v>20.0</v>
      </c>
      <c r="F1502" s="55" t="s">
        <v>2124</v>
      </c>
      <c r="G1502" s="55"/>
      <c r="H1502" s="26"/>
      <c r="I1502" s="26" t="s">
        <v>302</v>
      </c>
      <c r="J1502" s="26" t="s">
        <v>1830</v>
      </c>
      <c r="K1502" s="26" t="s">
        <v>302</v>
      </c>
      <c r="L1502" s="26" t="s">
        <v>1566</v>
      </c>
      <c r="M1502" s="26" t="s">
        <v>1566</v>
      </c>
      <c r="N1502" s="26" t="s">
        <v>1566</v>
      </c>
      <c r="O1502" s="26" t="s">
        <v>1566</v>
      </c>
      <c r="P1502" s="26" t="s">
        <v>661</v>
      </c>
      <c r="Q1502" s="26">
        <v>580.0</v>
      </c>
    </row>
    <row r="1503" ht="17.25" customHeight="1">
      <c r="A1503" s="51">
        <v>46161.639313182866</v>
      </c>
      <c r="B1503" s="25" t="s">
        <v>179</v>
      </c>
      <c r="C1503" s="55" t="s">
        <v>1560</v>
      </c>
      <c r="D1503" s="51">
        <v>46160.40807777778</v>
      </c>
      <c r="E1503" s="52">
        <v>1440.0</v>
      </c>
      <c r="F1503" s="55" t="s">
        <v>2214</v>
      </c>
      <c r="G1503" s="55" t="s">
        <v>2218</v>
      </c>
      <c r="H1503" s="26"/>
      <c r="I1503" s="26" t="s">
        <v>180</v>
      </c>
      <c r="J1503" s="26" t="s">
        <v>1225</v>
      </c>
      <c r="K1503" s="26" t="s">
        <v>1653</v>
      </c>
      <c r="L1503" s="26" t="s">
        <v>1563</v>
      </c>
      <c r="M1503" s="26" t="s">
        <v>1572</v>
      </c>
      <c r="N1503" s="26" t="s">
        <v>1654</v>
      </c>
      <c r="O1503" s="26" t="s">
        <v>1566</v>
      </c>
      <c r="P1503" s="26" t="s">
        <v>22</v>
      </c>
      <c r="Q1503" s="26">
        <v>0.0</v>
      </c>
    </row>
    <row r="1504" ht="17.25" customHeight="1">
      <c r="A1504" s="51">
        <v>46161.64036927083</v>
      </c>
      <c r="B1504" s="26" t="s">
        <v>1237</v>
      </c>
      <c r="C1504" s="55" t="s">
        <v>1560</v>
      </c>
      <c r="D1504" s="51">
        <v>46160.40807777778</v>
      </c>
      <c r="E1504" s="52">
        <v>720.0</v>
      </c>
      <c r="F1504" s="55" t="s">
        <v>2214</v>
      </c>
      <c r="G1504" s="55" t="s">
        <v>2295</v>
      </c>
      <c r="H1504" s="26"/>
      <c r="I1504" s="26" t="s">
        <v>1238</v>
      </c>
      <c r="J1504" s="26" t="s">
        <v>1225</v>
      </c>
      <c r="K1504" s="26" t="s">
        <v>1653</v>
      </c>
      <c r="L1504" s="26" t="s">
        <v>1603</v>
      </c>
      <c r="M1504" s="26" t="s">
        <v>1572</v>
      </c>
      <c r="N1504" s="26" t="s">
        <v>1566</v>
      </c>
      <c r="O1504" s="26" t="s">
        <v>1566</v>
      </c>
      <c r="P1504" s="26" t="s">
        <v>22</v>
      </c>
      <c r="Q1504" s="26">
        <v>720.0</v>
      </c>
    </row>
    <row r="1505" ht="17.25" customHeight="1">
      <c r="A1505" s="51">
        <v>46161.66435726851</v>
      </c>
      <c r="B1505" s="25" t="s">
        <v>1098</v>
      </c>
      <c r="C1505" s="55" t="s">
        <v>1560</v>
      </c>
      <c r="D1505" s="51">
        <v>46158.0</v>
      </c>
      <c r="E1505" s="52">
        <v>3100.0</v>
      </c>
      <c r="F1505" s="55" t="s">
        <v>2214</v>
      </c>
      <c r="G1505" s="55" t="s">
        <v>2296</v>
      </c>
      <c r="H1505" s="26"/>
      <c r="I1505" s="26" t="s">
        <v>1099</v>
      </c>
      <c r="J1505" s="26" t="s">
        <v>1225</v>
      </c>
      <c r="K1505" s="26" t="s">
        <v>1562</v>
      </c>
      <c r="L1505" s="26" t="s">
        <v>1584</v>
      </c>
      <c r="M1505" s="26" t="s">
        <v>1575</v>
      </c>
      <c r="N1505" s="26" t="s">
        <v>1566</v>
      </c>
      <c r="O1505" s="26" t="s">
        <v>1566</v>
      </c>
      <c r="P1505" s="26" t="s">
        <v>22</v>
      </c>
      <c r="Q1505" s="26">
        <v>6700.0</v>
      </c>
    </row>
    <row r="1506" ht="17.25" customHeight="1">
      <c r="A1506" s="51">
        <v>46161.664754247686</v>
      </c>
      <c r="B1506" s="25" t="s">
        <v>1098</v>
      </c>
      <c r="C1506" s="55" t="s">
        <v>1892</v>
      </c>
      <c r="D1506" s="51">
        <v>46160.40807777778</v>
      </c>
      <c r="E1506" s="52">
        <v>3100.0</v>
      </c>
      <c r="F1506" s="55" t="s">
        <v>2214</v>
      </c>
      <c r="G1506" s="55">
        <v>807.0</v>
      </c>
      <c r="H1506" s="26"/>
      <c r="I1506" s="26" t="s">
        <v>1099</v>
      </c>
      <c r="J1506" s="26" t="s">
        <v>1225</v>
      </c>
      <c r="K1506" s="26" t="s">
        <v>1562</v>
      </c>
      <c r="L1506" s="26" t="s">
        <v>1584</v>
      </c>
      <c r="M1506" s="26" t="s">
        <v>1575</v>
      </c>
      <c r="N1506" s="26" t="s">
        <v>1566</v>
      </c>
      <c r="O1506" s="26" t="s">
        <v>1566</v>
      </c>
      <c r="P1506" s="26" t="s">
        <v>22</v>
      </c>
      <c r="Q1506" s="26">
        <v>6700.0</v>
      </c>
    </row>
    <row r="1507" ht="17.25" customHeight="1">
      <c r="A1507" s="51">
        <v>46161.66513234953</v>
      </c>
      <c r="B1507" s="26" t="s">
        <v>424</v>
      </c>
      <c r="C1507" s="55" t="s">
        <v>1892</v>
      </c>
      <c r="D1507" s="51">
        <v>46160.40807777778</v>
      </c>
      <c r="E1507" s="195">
        <v>4600.0</v>
      </c>
      <c r="F1507" s="55" t="s">
        <v>2214</v>
      </c>
      <c r="G1507" s="55">
        <v>808.0</v>
      </c>
      <c r="H1507" s="26"/>
      <c r="I1507" s="26" t="s">
        <v>425</v>
      </c>
      <c r="J1507" s="26" t="s">
        <v>1225</v>
      </c>
      <c r="K1507" s="26" t="s">
        <v>1651</v>
      </c>
      <c r="L1507" s="26" t="s">
        <v>1647</v>
      </c>
      <c r="M1507" s="26" t="s">
        <v>2174</v>
      </c>
      <c r="N1507" s="26" t="s">
        <v>1566</v>
      </c>
      <c r="O1507" s="26" t="s">
        <v>1566</v>
      </c>
      <c r="P1507" s="26" t="s">
        <v>22</v>
      </c>
      <c r="Q1507" s="26">
        <v>9000.0</v>
      </c>
    </row>
    <row r="1508" ht="17.25" customHeight="1">
      <c r="A1508" s="51">
        <v>46161.66610369213</v>
      </c>
      <c r="B1508" s="25" t="s">
        <v>1522</v>
      </c>
      <c r="C1508" s="55" t="s">
        <v>1892</v>
      </c>
      <c r="D1508" s="51">
        <v>46160.40807777778</v>
      </c>
      <c r="E1508" s="52">
        <v>1600.0</v>
      </c>
      <c r="F1508" s="55" t="s">
        <v>2214</v>
      </c>
      <c r="G1508" s="55">
        <v>809.0</v>
      </c>
      <c r="H1508" s="26"/>
      <c r="I1508" s="26" t="s">
        <v>1523</v>
      </c>
      <c r="J1508" s="26" t="s">
        <v>1225</v>
      </c>
      <c r="K1508" s="26" t="s">
        <v>1562</v>
      </c>
      <c r="L1508" s="26" t="s">
        <v>1563</v>
      </c>
      <c r="M1508" s="26" t="s">
        <v>1572</v>
      </c>
      <c r="N1508" s="26" t="s">
        <v>1571</v>
      </c>
      <c r="O1508" s="26" t="s">
        <v>1566</v>
      </c>
      <c r="P1508" s="26" t="s">
        <v>22</v>
      </c>
      <c r="Q1508" s="26">
        <v>800.0</v>
      </c>
    </row>
    <row r="1509" ht="17.25" customHeight="1">
      <c r="A1509" s="51">
        <v>46161.66671619213</v>
      </c>
      <c r="B1509" s="25" t="s">
        <v>308</v>
      </c>
      <c r="C1509" s="55" t="s">
        <v>1892</v>
      </c>
      <c r="D1509" s="51">
        <v>46161.67666599537</v>
      </c>
      <c r="E1509" s="52">
        <v>900.0</v>
      </c>
      <c r="F1509" s="55" t="s">
        <v>2214</v>
      </c>
      <c r="G1509" s="55">
        <v>811.0</v>
      </c>
      <c r="H1509" s="26"/>
      <c r="I1509" s="26" t="s">
        <v>309</v>
      </c>
      <c r="J1509" s="26" t="s">
        <v>1225</v>
      </c>
      <c r="K1509" s="26" t="s">
        <v>1562</v>
      </c>
      <c r="L1509" s="26" t="s">
        <v>1563</v>
      </c>
      <c r="M1509" s="26" t="s">
        <v>1574</v>
      </c>
      <c r="N1509" s="26" t="s">
        <v>1566</v>
      </c>
      <c r="O1509" s="26" t="s">
        <v>1566</v>
      </c>
      <c r="P1509" s="26" t="s">
        <v>22</v>
      </c>
      <c r="Q1509" s="26">
        <v>0.0</v>
      </c>
    </row>
    <row r="1510" ht="17.25" customHeight="1">
      <c r="A1510" s="51">
        <v>46161.67666599537</v>
      </c>
      <c r="B1510" s="25" t="s">
        <v>2005</v>
      </c>
      <c r="C1510" s="55" t="s">
        <v>1892</v>
      </c>
      <c r="D1510" s="51">
        <v>46161.67666599537</v>
      </c>
      <c r="E1510" s="52">
        <v>1400.0</v>
      </c>
      <c r="F1510" s="55" t="s">
        <v>2214</v>
      </c>
      <c r="G1510" s="55">
        <v>812.0</v>
      </c>
      <c r="H1510" s="26"/>
      <c r="I1510" s="26" t="s">
        <v>2006</v>
      </c>
      <c r="J1510" s="26" t="s">
        <v>1225</v>
      </c>
      <c r="K1510" s="26" t="s">
        <v>1642</v>
      </c>
      <c r="L1510" s="26" t="s">
        <v>2170</v>
      </c>
      <c r="M1510" s="26" t="s">
        <v>1622</v>
      </c>
      <c r="N1510" s="26" t="s">
        <v>1566</v>
      </c>
      <c r="O1510" s="26" t="s">
        <v>1566</v>
      </c>
      <c r="P1510" s="26" t="s">
        <v>22</v>
      </c>
      <c r="Q1510" s="26">
        <v>0.0</v>
      </c>
    </row>
    <row r="1511" ht="17.25" customHeight="1">
      <c r="A1511" s="51">
        <v>46161.678837604166</v>
      </c>
      <c r="B1511" s="25" t="s">
        <v>1224</v>
      </c>
      <c r="C1511" s="55" t="s">
        <v>1892</v>
      </c>
      <c r="D1511" s="51">
        <v>46161.67666599537</v>
      </c>
      <c r="E1511" s="52">
        <v>4500.0</v>
      </c>
      <c r="F1511" s="55" t="s">
        <v>2214</v>
      </c>
      <c r="G1511" s="55">
        <v>814.0</v>
      </c>
      <c r="H1511" s="26"/>
      <c r="I1511" s="26" t="s">
        <v>1226</v>
      </c>
      <c r="J1511" s="26" t="s">
        <v>1225</v>
      </c>
      <c r="K1511" s="26" t="s">
        <v>1562</v>
      </c>
      <c r="L1511" s="26" t="s">
        <v>2171</v>
      </c>
      <c r="M1511" s="26" t="s">
        <v>2172</v>
      </c>
      <c r="N1511" s="26" t="s">
        <v>1566</v>
      </c>
      <c r="O1511" s="26" t="s">
        <v>1566</v>
      </c>
      <c r="P1511" s="26" t="s">
        <v>22</v>
      </c>
      <c r="Q1511" s="26">
        <v>4700.0</v>
      </c>
    </row>
    <row r="1512" ht="17.25" customHeight="1">
      <c r="A1512" s="51">
        <v>46161.67926260417</v>
      </c>
      <c r="B1512" s="27" t="s">
        <v>854</v>
      </c>
      <c r="C1512" s="55" t="s">
        <v>1892</v>
      </c>
      <c r="D1512" s="51">
        <v>46161.67666599537</v>
      </c>
      <c r="E1512" s="52">
        <v>900.0</v>
      </c>
      <c r="F1512" s="55" t="s">
        <v>2214</v>
      </c>
      <c r="G1512" s="55">
        <v>815.0</v>
      </c>
      <c r="H1512" s="26"/>
      <c r="I1512" s="26" t="s">
        <v>855</v>
      </c>
      <c r="J1512" s="26" t="s">
        <v>1225</v>
      </c>
      <c r="K1512" s="26" t="s">
        <v>1562</v>
      </c>
      <c r="L1512" s="26" t="s">
        <v>1633</v>
      </c>
      <c r="M1512" s="26" t="s">
        <v>1572</v>
      </c>
      <c r="N1512" s="26" t="s">
        <v>1566</v>
      </c>
      <c r="O1512" s="26" t="s">
        <v>1566</v>
      </c>
      <c r="P1512" s="26" t="s">
        <v>22</v>
      </c>
      <c r="Q1512" s="26">
        <v>1200.0</v>
      </c>
    </row>
    <row r="1513" ht="17.25" customHeight="1">
      <c r="A1513" s="51">
        <v>46161.67969208333</v>
      </c>
      <c r="B1513" s="25" t="s">
        <v>175</v>
      </c>
      <c r="C1513" s="55" t="s">
        <v>1892</v>
      </c>
      <c r="D1513" s="51">
        <v>46161.67666599537</v>
      </c>
      <c r="E1513" s="52">
        <v>900.0</v>
      </c>
      <c r="F1513" s="55" t="s">
        <v>2214</v>
      </c>
      <c r="G1513" s="55">
        <v>816.0</v>
      </c>
      <c r="H1513" s="26"/>
      <c r="I1513" s="26" t="s">
        <v>176</v>
      </c>
      <c r="J1513" s="26" t="s">
        <v>1225</v>
      </c>
      <c r="K1513" s="26" t="s">
        <v>1562</v>
      </c>
      <c r="L1513" s="26" t="s">
        <v>1633</v>
      </c>
      <c r="M1513" s="26" t="s">
        <v>1634</v>
      </c>
      <c r="N1513" s="26" t="s">
        <v>1571</v>
      </c>
      <c r="O1513" s="26" t="s">
        <v>1566</v>
      </c>
      <c r="P1513" s="26" t="s">
        <v>22</v>
      </c>
      <c r="Q1513" s="26">
        <v>2100.0</v>
      </c>
    </row>
    <row r="1514" ht="17.25" customHeight="1">
      <c r="A1514" s="51">
        <v>46162.41868434028</v>
      </c>
      <c r="B1514" s="25" t="s">
        <v>123</v>
      </c>
      <c r="C1514" s="55" t="s">
        <v>1560</v>
      </c>
      <c r="D1514" s="51">
        <v>46161.67666599537</v>
      </c>
      <c r="E1514" s="52">
        <v>4000.0</v>
      </c>
      <c r="F1514" s="55" t="s">
        <v>2214</v>
      </c>
      <c r="G1514" s="55" t="s">
        <v>578</v>
      </c>
      <c r="H1514" s="26"/>
      <c r="I1514" s="26" t="s">
        <v>124</v>
      </c>
      <c r="J1514" s="26" t="s">
        <v>1225</v>
      </c>
      <c r="K1514" s="26" t="s">
        <v>1562</v>
      </c>
      <c r="L1514" s="26" t="s">
        <v>1587</v>
      </c>
      <c r="M1514" s="26" t="s">
        <v>1575</v>
      </c>
      <c r="N1514" s="26" t="s">
        <v>1566</v>
      </c>
      <c r="O1514" s="26" t="s">
        <v>1571</v>
      </c>
      <c r="P1514" s="26" t="s">
        <v>22</v>
      </c>
      <c r="Q1514" s="26">
        <v>1600.0</v>
      </c>
    </row>
    <row r="1515" ht="17.25" customHeight="1">
      <c r="A1515" s="51">
        <v>46162.42037878472</v>
      </c>
      <c r="B1515" s="25" t="s">
        <v>1133</v>
      </c>
      <c r="C1515" s="55" t="s">
        <v>1560</v>
      </c>
      <c r="D1515" s="51">
        <v>46160.40807777778</v>
      </c>
      <c r="E1515" s="52">
        <v>2.0</v>
      </c>
      <c r="F1515" s="55" t="s">
        <v>2297</v>
      </c>
      <c r="G1515" s="26"/>
      <c r="H1515" s="26"/>
      <c r="I1515" s="26" t="s">
        <v>1134</v>
      </c>
      <c r="J1515" s="26" t="s">
        <v>1821</v>
      </c>
      <c r="K1515" s="26" t="s">
        <v>1821</v>
      </c>
      <c r="L1515" s="26" t="s">
        <v>1566</v>
      </c>
      <c r="M1515" s="26" t="s">
        <v>1566</v>
      </c>
      <c r="N1515" s="26" t="s">
        <v>1566</v>
      </c>
      <c r="O1515" s="26" t="s">
        <v>1566</v>
      </c>
      <c r="P1515" s="26" t="s">
        <v>643</v>
      </c>
      <c r="Q1515" s="26">
        <v>2.0</v>
      </c>
    </row>
    <row r="1516" ht="17.25" customHeight="1">
      <c r="A1516" s="51">
        <v>46162.420578391204</v>
      </c>
      <c r="B1516" s="25" t="s">
        <v>647</v>
      </c>
      <c r="C1516" s="55" t="s">
        <v>1892</v>
      </c>
      <c r="D1516" s="51">
        <v>46161.67666599537</v>
      </c>
      <c r="E1516" s="52">
        <v>1.0</v>
      </c>
      <c r="F1516" s="55" t="s">
        <v>1561</v>
      </c>
      <c r="G1516" s="26"/>
      <c r="H1516" s="26"/>
      <c r="I1516" s="26" t="s">
        <v>648</v>
      </c>
      <c r="J1516" s="26" t="s">
        <v>1821</v>
      </c>
      <c r="K1516" s="26" t="s">
        <v>1821</v>
      </c>
      <c r="L1516" s="26" t="s">
        <v>1566</v>
      </c>
      <c r="M1516" s="26" t="s">
        <v>1566</v>
      </c>
      <c r="N1516" s="26" t="s">
        <v>1566</v>
      </c>
      <c r="O1516" s="26" t="s">
        <v>1566</v>
      </c>
      <c r="P1516" s="26" t="s">
        <v>290</v>
      </c>
      <c r="Q1516" s="26">
        <v>2.0</v>
      </c>
    </row>
    <row r="1517" ht="17.25" customHeight="1">
      <c r="A1517" s="51">
        <v>46162.42124826389</v>
      </c>
      <c r="B1517" s="25" t="s">
        <v>647</v>
      </c>
      <c r="C1517" s="55" t="s">
        <v>1892</v>
      </c>
      <c r="D1517" s="202">
        <v>46154.676666666666</v>
      </c>
      <c r="E1517" s="52">
        <v>1.0</v>
      </c>
      <c r="F1517" s="55" t="s">
        <v>1894</v>
      </c>
      <c r="G1517" s="26"/>
      <c r="H1517" s="26"/>
      <c r="I1517" s="26" t="s">
        <v>648</v>
      </c>
      <c r="J1517" s="26" t="s">
        <v>1821</v>
      </c>
      <c r="K1517" s="26" t="s">
        <v>1821</v>
      </c>
      <c r="L1517" s="26" t="s">
        <v>1566</v>
      </c>
      <c r="M1517" s="26" t="s">
        <v>1566</v>
      </c>
      <c r="N1517" s="26" t="s">
        <v>1566</v>
      </c>
      <c r="O1517" s="26" t="s">
        <v>1566</v>
      </c>
      <c r="P1517" s="26" t="s">
        <v>290</v>
      </c>
      <c r="Q1517" s="26">
        <v>2.0</v>
      </c>
    </row>
    <row r="1518" ht="17.25" customHeight="1">
      <c r="A1518" s="51">
        <v>46162.54228515046</v>
      </c>
      <c r="B1518" s="25" t="s">
        <v>710</v>
      </c>
      <c r="C1518" s="55" t="s">
        <v>1892</v>
      </c>
      <c r="D1518" s="111">
        <v>46162.0</v>
      </c>
      <c r="E1518" s="52">
        <v>50.0</v>
      </c>
      <c r="F1518" s="55" t="s">
        <v>1908</v>
      </c>
      <c r="G1518" s="26"/>
      <c r="H1518" s="26"/>
      <c r="I1518" s="26" t="s">
        <v>711</v>
      </c>
      <c r="J1518" s="26" t="s">
        <v>1821</v>
      </c>
      <c r="K1518" s="26" t="s">
        <v>1821</v>
      </c>
      <c r="L1518" s="26" t="s">
        <v>1566</v>
      </c>
      <c r="M1518" s="26" t="s">
        <v>1566</v>
      </c>
      <c r="N1518" s="26" t="s">
        <v>1566</v>
      </c>
      <c r="O1518" s="26" t="s">
        <v>1566</v>
      </c>
      <c r="P1518" s="26" t="s">
        <v>290</v>
      </c>
      <c r="Q1518" s="26">
        <v>50.0</v>
      </c>
    </row>
    <row r="1519" ht="17.25" customHeight="1">
      <c r="A1519" s="51">
        <v>46162.65876760417</v>
      </c>
      <c r="B1519" s="25" t="s">
        <v>876</v>
      </c>
      <c r="C1519" s="55" t="s">
        <v>1892</v>
      </c>
      <c r="D1519" s="111">
        <v>46162.0</v>
      </c>
      <c r="E1519" s="52">
        <v>2.0</v>
      </c>
      <c r="F1519" s="55" t="s">
        <v>1907</v>
      </c>
      <c r="G1519" s="26"/>
      <c r="H1519" s="26"/>
      <c r="I1519" s="26" t="s">
        <v>878</v>
      </c>
      <c r="J1519" s="26" t="s">
        <v>1830</v>
      </c>
      <c r="K1519" s="26" t="s">
        <v>1879</v>
      </c>
      <c r="L1519" s="26" t="s">
        <v>1566</v>
      </c>
      <c r="M1519" s="26" t="s">
        <v>1566</v>
      </c>
      <c r="N1519" s="26" t="s">
        <v>1566</v>
      </c>
      <c r="O1519" s="26" t="s">
        <v>1566</v>
      </c>
      <c r="P1519" s="26" t="s">
        <v>643</v>
      </c>
      <c r="Q1519" s="26">
        <v>34.0</v>
      </c>
    </row>
    <row r="1520" ht="17.25" customHeight="1">
      <c r="A1520" s="51">
        <v>46162.702372581014</v>
      </c>
      <c r="B1520" s="25" t="s">
        <v>147</v>
      </c>
      <c r="C1520" s="55" t="s">
        <v>1892</v>
      </c>
      <c r="D1520" s="111">
        <v>46162.0</v>
      </c>
      <c r="E1520" s="52">
        <v>270.0</v>
      </c>
      <c r="F1520" s="26"/>
      <c r="G1520" s="26"/>
      <c r="H1520" s="26"/>
      <c r="I1520" s="26" t="s">
        <v>148</v>
      </c>
      <c r="J1520" s="26" t="s">
        <v>1225</v>
      </c>
      <c r="K1520" s="26" t="s">
        <v>1562</v>
      </c>
      <c r="L1520" s="26" t="s">
        <v>1633</v>
      </c>
      <c r="M1520" s="26" t="s">
        <v>1574</v>
      </c>
      <c r="N1520" s="26" t="s">
        <v>1566</v>
      </c>
      <c r="O1520" s="26" t="s">
        <v>1566</v>
      </c>
      <c r="P1520" s="26" t="s">
        <v>22</v>
      </c>
      <c r="Q1520" s="26">
        <v>0.0</v>
      </c>
    </row>
    <row r="1521" ht="17.25" customHeight="1">
      <c r="A1521" s="51">
        <v>46162.70258144676</v>
      </c>
      <c r="B1521" s="25" t="s">
        <v>147</v>
      </c>
      <c r="C1521" s="55" t="s">
        <v>1560</v>
      </c>
      <c r="D1521" s="111">
        <v>46162.0</v>
      </c>
      <c r="E1521" s="52">
        <v>500.0</v>
      </c>
      <c r="F1521" s="55" t="s">
        <v>2214</v>
      </c>
      <c r="G1521" s="55" t="s">
        <v>2298</v>
      </c>
      <c r="H1521" s="26"/>
      <c r="I1521" s="26" t="s">
        <v>148</v>
      </c>
      <c r="J1521" s="26" t="s">
        <v>1225</v>
      </c>
      <c r="K1521" s="26" t="s">
        <v>1562</v>
      </c>
      <c r="L1521" s="26" t="s">
        <v>1633</v>
      </c>
      <c r="M1521" s="26" t="s">
        <v>1574</v>
      </c>
      <c r="N1521" s="26" t="s">
        <v>1566</v>
      </c>
      <c r="O1521" s="26" t="s">
        <v>1566</v>
      </c>
      <c r="P1521" s="26" t="s">
        <v>22</v>
      </c>
      <c r="Q1521" s="26">
        <v>0.0</v>
      </c>
    </row>
    <row r="1522" ht="17.25" customHeight="1">
      <c r="A1522" s="51">
        <v>46163.45076317129</v>
      </c>
      <c r="B1522" s="25" t="s">
        <v>123</v>
      </c>
      <c r="C1522" s="55" t="s">
        <v>1892</v>
      </c>
      <c r="D1522" s="111">
        <v>46162.0</v>
      </c>
      <c r="E1522" s="52">
        <v>1500.0</v>
      </c>
      <c r="F1522" s="55" t="s">
        <v>2214</v>
      </c>
      <c r="G1522" s="55">
        <v>810.0</v>
      </c>
      <c r="H1522" s="26"/>
      <c r="I1522" s="26" t="s">
        <v>124</v>
      </c>
      <c r="J1522" s="26" t="s">
        <v>1225</v>
      </c>
      <c r="K1522" s="26" t="s">
        <v>1562</v>
      </c>
      <c r="L1522" s="26" t="s">
        <v>1587</v>
      </c>
      <c r="M1522" s="26" t="s">
        <v>1575</v>
      </c>
      <c r="N1522" s="26" t="s">
        <v>1566</v>
      </c>
      <c r="O1522" s="26" t="s">
        <v>1571</v>
      </c>
      <c r="P1522" s="26" t="s">
        <v>22</v>
      </c>
      <c r="Q1522" s="26">
        <v>1600.0</v>
      </c>
    </row>
    <row r="1523" ht="17.25" customHeight="1">
      <c r="A1523" s="51">
        <v>46163.61392979167</v>
      </c>
      <c r="B1523" s="25" t="s">
        <v>41</v>
      </c>
      <c r="C1523" s="55" t="s">
        <v>1892</v>
      </c>
      <c r="D1523" s="111">
        <v>46162.0</v>
      </c>
      <c r="E1523" s="52">
        <v>600.0</v>
      </c>
      <c r="F1523" s="55" t="s">
        <v>2214</v>
      </c>
      <c r="G1523" s="55">
        <v>817.0</v>
      </c>
      <c r="H1523" s="26"/>
      <c r="I1523" s="26" t="s">
        <v>42</v>
      </c>
      <c r="J1523" s="26" t="s">
        <v>1225</v>
      </c>
      <c r="K1523" s="26" t="s">
        <v>1562</v>
      </c>
      <c r="L1523" s="26" t="s">
        <v>1576</v>
      </c>
      <c r="M1523" s="26" t="s">
        <v>1575</v>
      </c>
      <c r="N1523" s="26" t="s">
        <v>1571</v>
      </c>
      <c r="O1523" s="26" t="s">
        <v>1566</v>
      </c>
      <c r="P1523" s="26" t="s">
        <v>22</v>
      </c>
      <c r="Q1523" s="26">
        <v>200.0</v>
      </c>
    </row>
    <row r="1524" ht="17.25" customHeight="1">
      <c r="A1524" s="51">
        <v>46182.443604224536</v>
      </c>
      <c r="B1524" s="25" t="s">
        <v>359</v>
      </c>
      <c r="C1524" s="55" t="s">
        <v>1892</v>
      </c>
      <c r="D1524" s="111">
        <v>46162.0</v>
      </c>
      <c r="E1524" s="52">
        <v>20.0</v>
      </c>
      <c r="F1524" s="55" t="s">
        <v>2206</v>
      </c>
      <c r="G1524" s="55"/>
      <c r="H1524" s="26"/>
      <c r="I1524" s="26" t="s">
        <v>370</v>
      </c>
      <c r="J1524" s="26" t="s">
        <v>370</v>
      </c>
      <c r="K1524" s="26" t="s">
        <v>370</v>
      </c>
      <c r="L1524" s="26" t="s">
        <v>1566</v>
      </c>
      <c r="M1524" s="26" t="s">
        <v>1566</v>
      </c>
      <c r="N1524" s="26" t="s">
        <v>1566</v>
      </c>
      <c r="O1524" s="26" t="s">
        <v>1566</v>
      </c>
      <c r="P1524" s="26" t="s">
        <v>661</v>
      </c>
      <c r="Q1524" s="26">
        <v>100.0</v>
      </c>
    </row>
    <row r="1525" ht="17.25" customHeight="1">
      <c r="A1525" s="51">
        <v>46163.61458256944</v>
      </c>
      <c r="B1525" s="27" t="s">
        <v>79</v>
      </c>
      <c r="C1525" s="55" t="s">
        <v>1892</v>
      </c>
      <c r="D1525" s="111">
        <v>46162.0</v>
      </c>
      <c r="E1525" s="52">
        <v>600.0</v>
      </c>
      <c r="F1525" s="55" t="s">
        <v>2214</v>
      </c>
      <c r="G1525" s="55">
        <v>818.0</v>
      </c>
      <c r="H1525" s="26"/>
      <c r="I1525" s="26" t="s">
        <v>80</v>
      </c>
      <c r="J1525" s="26" t="s">
        <v>1225</v>
      </c>
      <c r="K1525" s="26" t="s">
        <v>1562</v>
      </c>
      <c r="L1525" s="26" t="s">
        <v>1563</v>
      </c>
      <c r="M1525" s="26" t="s">
        <v>1575</v>
      </c>
      <c r="N1525" s="26" t="s">
        <v>1566</v>
      </c>
      <c r="O1525" s="26" t="s">
        <v>1566</v>
      </c>
      <c r="P1525" s="26" t="s">
        <v>22</v>
      </c>
      <c r="Q1525" s="26">
        <v>700.0</v>
      </c>
    </row>
    <row r="1526" ht="17.25" customHeight="1">
      <c r="A1526" s="51">
        <v>46163.61821641204</v>
      </c>
      <c r="B1526" s="25" t="s">
        <v>1583</v>
      </c>
      <c r="C1526" s="55" t="s">
        <v>1892</v>
      </c>
      <c r="D1526" s="111">
        <v>46162.0</v>
      </c>
      <c r="E1526" s="52">
        <v>3500.0</v>
      </c>
      <c r="F1526" s="55" t="s">
        <v>2214</v>
      </c>
      <c r="G1526" s="55">
        <v>820.0</v>
      </c>
      <c r="H1526" s="26"/>
      <c r="I1526" s="26" t="s">
        <v>1901</v>
      </c>
      <c r="J1526" s="26" t="s">
        <v>1225</v>
      </c>
      <c r="K1526" s="26" t="s">
        <v>1651</v>
      </c>
      <c r="L1526" s="26" t="s">
        <v>1563</v>
      </c>
      <c r="M1526" s="26" t="s">
        <v>1902</v>
      </c>
      <c r="N1526" s="26" t="s">
        <v>1566</v>
      </c>
      <c r="O1526" s="26" t="s">
        <v>1566</v>
      </c>
      <c r="P1526" s="26" t="s">
        <v>22</v>
      </c>
      <c r="Q1526" s="26">
        <v>0.0</v>
      </c>
    </row>
    <row r="1527" ht="17.25" customHeight="1">
      <c r="A1527" s="51">
        <v>46163.61954939815</v>
      </c>
      <c r="B1527" s="25" t="s">
        <v>147</v>
      </c>
      <c r="C1527" s="55" t="s">
        <v>1892</v>
      </c>
      <c r="D1527" s="111">
        <v>46162.0</v>
      </c>
      <c r="E1527" s="52">
        <v>500.0</v>
      </c>
      <c r="F1527" s="55" t="s">
        <v>2214</v>
      </c>
      <c r="G1527" s="55" t="s">
        <v>2096</v>
      </c>
      <c r="H1527" s="26"/>
      <c r="I1527" s="26" t="s">
        <v>148</v>
      </c>
      <c r="J1527" s="26" t="s">
        <v>1225</v>
      </c>
      <c r="K1527" s="26" t="s">
        <v>1562</v>
      </c>
      <c r="L1527" s="26" t="s">
        <v>1633</v>
      </c>
      <c r="M1527" s="26" t="s">
        <v>1574</v>
      </c>
      <c r="N1527" s="26" t="s">
        <v>1566</v>
      </c>
      <c r="O1527" s="26" t="s">
        <v>1566</v>
      </c>
      <c r="P1527" s="26" t="s">
        <v>22</v>
      </c>
      <c r="Q1527" s="26">
        <v>0.0</v>
      </c>
    </row>
    <row r="1528" ht="17.25" customHeight="1">
      <c r="A1528" s="51">
        <v>46163.64153388889</v>
      </c>
      <c r="B1528" s="27" t="s">
        <v>1240</v>
      </c>
      <c r="C1528" s="55" t="s">
        <v>1560</v>
      </c>
      <c r="D1528" s="111">
        <v>46162.0</v>
      </c>
      <c r="E1528" s="52">
        <v>500.0</v>
      </c>
      <c r="F1528" s="55" t="s">
        <v>2214</v>
      </c>
      <c r="G1528" s="55" t="s">
        <v>2299</v>
      </c>
      <c r="H1528" s="26"/>
      <c r="I1528" s="26" t="s">
        <v>1241</v>
      </c>
      <c r="J1528" s="26" t="s">
        <v>1225</v>
      </c>
      <c r="K1528" s="26" t="s">
        <v>1562</v>
      </c>
      <c r="L1528" s="26" t="s">
        <v>1633</v>
      </c>
      <c r="M1528" s="26" t="s">
        <v>1586</v>
      </c>
      <c r="N1528" s="26" t="s">
        <v>1566</v>
      </c>
      <c r="O1528" s="26" t="s">
        <v>1566</v>
      </c>
      <c r="P1528" s="26" t="s">
        <v>22</v>
      </c>
      <c r="Q1528" s="26">
        <v>700.0</v>
      </c>
    </row>
    <row r="1529" ht="17.25" customHeight="1">
      <c r="A1529" s="51">
        <v>46163.64153388889</v>
      </c>
      <c r="B1529" s="27" t="s">
        <v>1240</v>
      </c>
      <c r="C1529" s="55" t="s">
        <v>1892</v>
      </c>
      <c r="D1529" s="111">
        <v>46162.0</v>
      </c>
      <c r="E1529" s="52">
        <v>500.0</v>
      </c>
      <c r="F1529" s="55" t="s">
        <v>2214</v>
      </c>
      <c r="G1529" s="55">
        <v>821.0</v>
      </c>
      <c r="H1529" s="26"/>
      <c r="I1529" s="26" t="s">
        <v>1241</v>
      </c>
      <c r="J1529" s="26" t="s">
        <v>1225</v>
      </c>
      <c r="K1529" s="26" t="s">
        <v>1562</v>
      </c>
      <c r="L1529" s="26" t="s">
        <v>1633</v>
      </c>
      <c r="M1529" s="26" t="s">
        <v>1586</v>
      </c>
      <c r="N1529" s="26" t="s">
        <v>1566</v>
      </c>
      <c r="O1529" s="26" t="s">
        <v>1566</v>
      </c>
      <c r="P1529" s="26" t="s">
        <v>22</v>
      </c>
      <c r="Q1529" s="26">
        <v>700.0</v>
      </c>
    </row>
    <row r="1530" ht="17.25" customHeight="1">
      <c r="A1530" s="51">
        <v>46164.422204699076</v>
      </c>
      <c r="B1530" s="25" t="s">
        <v>654</v>
      </c>
      <c r="C1530" s="55" t="s">
        <v>1560</v>
      </c>
      <c r="D1530" s="51">
        <v>46163.64239033565</v>
      </c>
      <c r="E1530" s="52">
        <v>5.0</v>
      </c>
      <c r="F1530" s="55" t="s">
        <v>1673</v>
      </c>
      <c r="G1530" s="26"/>
      <c r="H1530" s="26"/>
      <c r="I1530" s="26" t="s">
        <v>655</v>
      </c>
      <c r="J1530" s="26" t="s">
        <v>1821</v>
      </c>
      <c r="K1530" s="26" t="s">
        <v>1822</v>
      </c>
      <c r="L1530" s="26" t="s">
        <v>1566</v>
      </c>
      <c r="M1530" s="26" t="s">
        <v>1566</v>
      </c>
      <c r="N1530" s="26" t="s">
        <v>1566</v>
      </c>
      <c r="O1530" s="26" t="s">
        <v>1566</v>
      </c>
      <c r="P1530" s="26" t="s">
        <v>290</v>
      </c>
      <c r="Q1530" s="26">
        <v>5.0</v>
      </c>
    </row>
    <row r="1531" ht="17.25" customHeight="1">
      <c r="A1531" s="51">
        <v>46164.4228027662</v>
      </c>
      <c r="B1531" s="25" t="s">
        <v>647</v>
      </c>
      <c r="C1531" s="55" t="s">
        <v>1560</v>
      </c>
      <c r="D1531" s="51">
        <v>46163.64239033565</v>
      </c>
      <c r="E1531" s="52">
        <v>3.0</v>
      </c>
      <c r="F1531" s="55" t="s">
        <v>1673</v>
      </c>
      <c r="G1531" s="26"/>
      <c r="H1531" s="26"/>
      <c r="I1531" s="26" t="s">
        <v>648</v>
      </c>
      <c r="J1531" s="26" t="s">
        <v>1821</v>
      </c>
      <c r="K1531" s="26" t="s">
        <v>1821</v>
      </c>
      <c r="L1531" s="26" t="s">
        <v>1566</v>
      </c>
      <c r="M1531" s="26" t="s">
        <v>1566</v>
      </c>
      <c r="N1531" s="26" t="s">
        <v>1566</v>
      </c>
      <c r="O1531" s="26" t="s">
        <v>1566</v>
      </c>
      <c r="P1531" s="26" t="s">
        <v>290</v>
      </c>
      <c r="Q1531" s="26">
        <v>2.0</v>
      </c>
    </row>
    <row r="1532" ht="17.25" customHeight="1">
      <c r="A1532" s="51">
        <v>46164.42293207176</v>
      </c>
      <c r="B1532" s="25" t="s">
        <v>647</v>
      </c>
      <c r="C1532" s="55" t="s">
        <v>1892</v>
      </c>
      <c r="D1532" s="51">
        <v>46164.42293207176</v>
      </c>
      <c r="E1532" s="52">
        <v>1.0</v>
      </c>
      <c r="F1532" s="55" t="s">
        <v>2300</v>
      </c>
      <c r="G1532" s="26"/>
      <c r="H1532" s="26"/>
      <c r="I1532" s="26" t="s">
        <v>648</v>
      </c>
      <c r="J1532" s="26" t="s">
        <v>1821</v>
      </c>
      <c r="K1532" s="26" t="s">
        <v>1821</v>
      </c>
      <c r="L1532" s="26" t="s">
        <v>1566</v>
      </c>
      <c r="M1532" s="26" t="s">
        <v>1566</v>
      </c>
      <c r="N1532" s="26" t="s">
        <v>1566</v>
      </c>
      <c r="O1532" s="26" t="s">
        <v>1566</v>
      </c>
      <c r="P1532" s="26" t="s">
        <v>290</v>
      </c>
      <c r="Q1532" s="26">
        <v>2.0</v>
      </c>
    </row>
    <row r="1533" ht="17.25" customHeight="1">
      <c r="A1533" s="51">
        <v>46164.4234775463</v>
      </c>
      <c r="B1533" s="25" t="s">
        <v>667</v>
      </c>
      <c r="C1533" s="55" t="s">
        <v>1892</v>
      </c>
      <c r="D1533" s="51">
        <v>46164.42293207176</v>
      </c>
      <c r="E1533" s="52">
        <v>4.0</v>
      </c>
      <c r="F1533" s="55" t="s">
        <v>1892</v>
      </c>
      <c r="G1533" s="55" t="s">
        <v>1898</v>
      </c>
      <c r="H1533" s="26"/>
      <c r="I1533" s="26" t="s">
        <v>668</v>
      </c>
      <c r="J1533" s="26" t="s">
        <v>1821</v>
      </c>
      <c r="K1533" s="26" t="s">
        <v>1822</v>
      </c>
      <c r="L1533" s="26" t="s">
        <v>1824</v>
      </c>
      <c r="M1533" s="26" t="s">
        <v>1566</v>
      </c>
      <c r="N1533" s="26" t="s">
        <v>1566</v>
      </c>
      <c r="O1533" s="26" t="s">
        <v>1566</v>
      </c>
      <c r="P1533" s="26" t="s">
        <v>661</v>
      </c>
      <c r="Q1533" s="26">
        <v>8.0</v>
      </c>
    </row>
    <row r="1534" ht="17.25" customHeight="1">
      <c r="A1534" s="51">
        <v>46164.42360895833</v>
      </c>
      <c r="B1534" s="25" t="s">
        <v>667</v>
      </c>
      <c r="C1534" s="55" t="s">
        <v>1560</v>
      </c>
      <c r="D1534" s="51">
        <v>46163.64239033565</v>
      </c>
      <c r="E1534" s="52">
        <v>6.0</v>
      </c>
      <c r="F1534" s="55" t="s">
        <v>1673</v>
      </c>
      <c r="G1534" s="26"/>
      <c r="H1534" s="26"/>
      <c r="I1534" s="26" t="s">
        <v>668</v>
      </c>
      <c r="J1534" s="26" t="s">
        <v>1821</v>
      </c>
      <c r="K1534" s="26" t="s">
        <v>1822</v>
      </c>
      <c r="L1534" s="26" t="s">
        <v>1824</v>
      </c>
      <c r="M1534" s="26" t="s">
        <v>1566</v>
      </c>
      <c r="N1534" s="26" t="s">
        <v>1566</v>
      </c>
      <c r="O1534" s="26" t="s">
        <v>1566</v>
      </c>
      <c r="P1534" s="26" t="s">
        <v>661</v>
      </c>
      <c r="Q1534" s="26">
        <v>8.0</v>
      </c>
    </row>
    <row r="1535" ht="17.25" customHeight="1">
      <c r="A1535" s="51">
        <v>46164.425079340275</v>
      </c>
      <c r="B1535" s="27" t="s">
        <v>1244</v>
      </c>
      <c r="C1535" s="55" t="s">
        <v>1560</v>
      </c>
      <c r="D1535" s="51">
        <v>46163.64239033565</v>
      </c>
      <c r="E1535" s="52">
        <v>10.0</v>
      </c>
      <c r="F1535" s="55" t="s">
        <v>1673</v>
      </c>
      <c r="G1535" s="26"/>
      <c r="H1535" s="26"/>
      <c r="I1535" s="26" t="s">
        <v>1245</v>
      </c>
      <c r="J1535" s="26" t="s">
        <v>1821</v>
      </c>
      <c r="K1535" s="26" t="s">
        <v>1821</v>
      </c>
      <c r="L1535" s="26" t="s">
        <v>1566</v>
      </c>
      <c r="M1535" s="26">
        <v>12.5</v>
      </c>
      <c r="N1535" s="26" t="s">
        <v>1566</v>
      </c>
      <c r="O1535" s="26" t="s">
        <v>1566</v>
      </c>
      <c r="P1535" s="26" t="s">
        <v>661</v>
      </c>
      <c r="Q1535" s="26">
        <v>6.0</v>
      </c>
    </row>
    <row r="1536" ht="17.25" customHeight="1">
      <c r="A1536" s="51">
        <v>46164.42541473379</v>
      </c>
      <c r="B1536" s="25" t="s">
        <v>1130</v>
      </c>
      <c r="C1536" s="55" t="s">
        <v>1560</v>
      </c>
      <c r="D1536" s="51">
        <v>46163.64239033565</v>
      </c>
      <c r="E1536" s="52">
        <v>3.0</v>
      </c>
      <c r="F1536" s="55" t="s">
        <v>1673</v>
      </c>
      <c r="G1536" s="26"/>
      <c r="H1536" s="26"/>
      <c r="I1536" s="26" t="s">
        <v>1131</v>
      </c>
      <c r="J1536" s="26" t="s">
        <v>1833</v>
      </c>
      <c r="K1536" s="26" t="s">
        <v>1833</v>
      </c>
      <c r="L1536" s="26" t="s">
        <v>1566</v>
      </c>
      <c r="M1536" s="26" t="s">
        <v>1566</v>
      </c>
      <c r="N1536" s="26" t="s">
        <v>1566</v>
      </c>
      <c r="O1536" s="26" t="s">
        <v>1566</v>
      </c>
      <c r="P1536" s="26" t="s">
        <v>290</v>
      </c>
      <c r="Q1536" s="26">
        <v>3.0</v>
      </c>
    </row>
    <row r="1537" ht="17.25" customHeight="1">
      <c r="A1537" s="51">
        <v>46164.42552710648</v>
      </c>
      <c r="B1537" s="25" t="s">
        <v>1130</v>
      </c>
      <c r="C1537" s="55" t="s">
        <v>1892</v>
      </c>
      <c r="D1537" s="51">
        <v>46164.42552710648</v>
      </c>
      <c r="E1537" s="52">
        <v>1.0</v>
      </c>
      <c r="F1537" s="55" t="s">
        <v>2026</v>
      </c>
      <c r="G1537" s="26"/>
      <c r="H1537" s="26"/>
      <c r="I1537" s="26" t="s">
        <v>1131</v>
      </c>
      <c r="J1537" s="26" t="s">
        <v>1833</v>
      </c>
      <c r="K1537" s="26" t="s">
        <v>1833</v>
      </c>
      <c r="L1537" s="26" t="s">
        <v>1566</v>
      </c>
      <c r="M1537" s="26" t="s">
        <v>1566</v>
      </c>
      <c r="N1537" s="26" t="s">
        <v>1566</v>
      </c>
      <c r="O1537" s="26" t="s">
        <v>1566</v>
      </c>
      <c r="P1537" s="26" t="s">
        <v>290</v>
      </c>
      <c r="Q1537" s="26">
        <v>3.0</v>
      </c>
    </row>
    <row r="1538" ht="17.25" customHeight="1">
      <c r="A1538" s="51">
        <v>46164.48149681713</v>
      </c>
      <c r="B1538" s="25" t="s">
        <v>682</v>
      </c>
      <c r="C1538" s="55" t="s">
        <v>1892</v>
      </c>
      <c r="D1538" s="51">
        <v>46163.64239033565</v>
      </c>
      <c r="E1538" s="52">
        <v>2.0</v>
      </c>
      <c r="F1538" s="55" t="s">
        <v>2124</v>
      </c>
      <c r="G1538" s="26"/>
      <c r="H1538" s="26"/>
      <c r="I1538" s="26" t="s">
        <v>690</v>
      </c>
      <c r="J1538" s="26" t="s">
        <v>1830</v>
      </c>
      <c r="K1538" s="26" t="s">
        <v>1830</v>
      </c>
      <c r="L1538" s="26" t="s">
        <v>1566</v>
      </c>
      <c r="M1538" s="26" t="s">
        <v>1566</v>
      </c>
      <c r="N1538" s="26" t="s">
        <v>1566</v>
      </c>
      <c r="O1538" s="26" t="s">
        <v>1566</v>
      </c>
      <c r="P1538" s="26" t="s">
        <v>661</v>
      </c>
      <c r="Q1538" s="26">
        <v>14.0</v>
      </c>
    </row>
    <row r="1539" ht="17.25" customHeight="1">
      <c r="A1539" s="51">
        <v>46164.48392092592</v>
      </c>
      <c r="B1539" s="25" t="s">
        <v>640</v>
      </c>
      <c r="C1539" s="55" t="s">
        <v>1892</v>
      </c>
      <c r="D1539" s="51">
        <v>46164.42552710648</v>
      </c>
      <c r="E1539" s="52">
        <v>1.0</v>
      </c>
      <c r="F1539" s="55" t="s">
        <v>2124</v>
      </c>
      <c r="G1539" s="26"/>
      <c r="H1539" s="26"/>
      <c r="I1539" s="26" t="s">
        <v>641</v>
      </c>
      <c r="J1539" s="26" t="s">
        <v>1812</v>
      </c>
      <c r="K1539" s="26" t="s">
        <v>1815</v>
      </c>
      <c r="L1539" s="26" t="s">
        <v>1566</v>
      </c>
      <c r="M1539" s="26" t="s">
        <v>1566</v>
      </c>
      <c r="N1539" s="26" t="s">
        <v>1566</v>
      </c>
      <c r="O1539" s="26" t="s">
        <v>1566</v>
      </c>
      <c r="P1539" s="26" t="s">
        <v>643</v>
      </c>
      <c r="Q1539" s="26">
        <v>3.0</v>
      </c>
    </row>
    <row r="1540" ht="17.25" customHeight="1">
      <c r="A1540" s="51">
        <v>46164.58638982639</v>
      </c>
      <c r="B1540" s="25" t="s">
        <v>304</v>
      </c>
      <c r="C1540" s="55" t="s">
        <v>1892</v>
      </c>
      <c r="D1540" s="51">
        <v>46164.42552710648</v>
      </c>
      <c r="E1540" s="52">
        <v>2.0</v>
      </c>
      <c r="F1540" s="55" t="s">
        <v>2124</v>
      </c>
      <c r="G1540" s="26"/>
      <c r="H1540" s="26"/>
      <c r="I1540" s="26" t="s">
        <v>306</v>
      </c>
      <c r="J1540" s="26" t="s">
        <v>1674</v>
      </c>
      <c r="K1540" s="26" t="s">
        <v>1675</v>
      </c>
      <c r="L1540" s="26" t="s">
        <v>1566</v>
      </c>
      <c r="M1540" s="26" t="s">
        <v>1566</v>
      </c>
      <c r="N1540" s="26" t="s">
        <v>1682</v>
      </c>
      <c r="O1540" s="26" t="s">
        <v>1677</v>
      </c>
      <c r="P1540" s="26" t="s">
        <v>290</v>
      </c>
      <c r="Q1540" s="26">
        <v>6.0</v>
      </c>
    </row>
    <row r="1541" ht="17.25" customHeight="1">
      <c r="A1541" s="51">
        <v>46164.722132083334</v>
      </c>
      <c r="B1541" s="25" t="s">
        <v>373</v>
      </c>
      <c r="C1541" s="55" t="s">
        <v>1892</v>
      </c>
      <c r="D1541" s="51">
        <v>46164.42552710648</v>
      </c>
      <c r="E1541" s="52">
        <v>2.0</v>
      </c>
      <c r="F1541" s="55" t="s">
        <v>2124</v>
      </c>
      <c r="G1541" s="26"/>
      <c r="H1541" s="26"/>
      <c r="I1541" s="26" t="s">
        <v>375</v>
      </c>
      <c r="J1541" s="26" t="s">
        <v>1674</v>
      </c>
      <c r="K1541" s="26" t="s">
        <v>1691</v>
      </c>
      <c r="L1541" s="26" t="s">
        <v>1566</v>
      </c>
      <c r="M1541" s="26" t="s">
        <v>1566</v>
      </c>
      <c r="N1541" s="26" t="s">
        <v>1692</v>
      </c>
      <c r="O1541" s="26" t="s">
        <v>1677</v>
      </c>
      <c r="P1541" s="26" t="s">
        <v>290</v>
      </c>
      <c r="Q1541" s="26">
        <v>2.0</v>
      </c>
    </row>
    <row r="1542" ht="17.25" customHeight="1">
      <c r="A1542" s="51">
        <v>46164.722237546295</v>
      </c>
      <c r="B1542" s="25" t="s">
        <v>373</v>
      </c>
      <c r="C1542" s="55" t="s">
        <v>1560</v>
      </c>
      <c r="D1542" s="51">
        <v>46164.42552710648</v>
      </c>
      <c r="E1542" s="52">
        <v>4.0</v>
      </c>
      <c r="F1542" s="55" t="s">
        <v>1673</v>
      </c>
      <c r="G1542" s="26"/>
      <c r="H1542" s="26"/>
      <c r="I1542" s="26" t="s">
        <v>375</v>
      </c>
      <c r="J1542" s="26" t="s">
        <v>1674</v>
      </c>
      <c r="K1542" s="26" t="s">
        <v>1691</v>
      </c>
      <c r="L1542" s="26" t="s">
        <v>1566</v>
      </c>
      <c r="M1542" s="26" t="s">
        <v>1566</v>
      </c>
      <c r="N1542" s="26" t="s">
        <v>1692</v>
      </c>
      <c r="O1542" s="26" t="s">
        <v>1677</v>
      </c>
      <c r="P1542" s="26" t="s">
        <v>290</v>
      </c>
      <c r="Q1542" s="26">
        <v>2.0</v>
      </c>
    </row>
    <row r="1543" ht="17.25" customHeight="1">
      <c r="A1543" s="51">
        <v>46164.722343912035</v>
      </c>
      <c r="B1543" s="25" t="s">
        <v>373</v>
      </c>
      <c r="C1543" s="55" t="s">
        <v>1892</v>
      </c>
      <c r="D1543" s="51">
        <v>46164.42552710648</v>
      </c>
      <c r="E1543" s="52">
        <v>2.0</v>
      </c>
      <c r="F1543" s="55" t="s">
        <v>2124</v>
      </c>
      <c r="G1543" s="26"/>
      <c r="H1543" s="26"/>
      <c r="I1543" s="26" t="s">
        <v>375</v>
      </c>
      <c r="J1543" s="26" t="s">
        <v>1674</v>
      </c>
      <c r="K1543" s="26" t="s">
        <v>1691</v>
      </c>
      <c r="L1543" s="26" t="s">
        <v>1566</v>
      </c>
      <c r="M1543" s="26" t="s">
        <v>1566</v>
      </c>
      <c r="N1543" s="26" t="s">
        <v>1692</v>
      </c>
      <c r="O1543" s="26" t="s">
        <v>1677</v>
      </c>
      <c r="P1543" s="26" t="s">
        <v>290</v>
      </c>
      <c r="Q1543" s="26">
        <v>2.0</v>
      </c>
    </row>
    <row r="1544" ht="17.25" customHeight="1">
      <c r="A1544" s="51">
        <v>46164.73556310185</v>
      </c>
      <c r="B1544" s="25" t="s">
        <v>79</v>
      </c>
      <c r="C1544" s="55" t="s">
        <v>1560</v>
      </c>
      <c r="D1544" s="51">
        <v>46164.42552710648</v>
      </c>
      <c r="E1544" s="52">
        <v>7700.0</v>
      </c>
      <c r="F1544" s="55" t="s">
        <v>2214</v>
      </c>
      <c r="G1544" s="55" t="s">
        <v>2301</v>
      </c>
      <c r="H1544" s="26"/>
      <c r="I1544" s="26" t="s">
        <v>80</v>
      </c>
      <c r="J1544" s="26" t="s">
        <v>1225</v>
      </c>
      <c r="K1544" s="26" t="s">
        <v>1562</v>
      </c>
      <c r="L1544" s="26" t="s">
        <v>1563</v>
      </c>
      <c r="M1544" s="26" t="s">
        <v>1575</v>
      </c>
      <c r="N1544" s="26" t="s">
        <v>1566</v>
      </c>
      <c r="O1544" s="26" t="s">
        <v>1566</v>
      </c>
      <c r="P1544" s="26" t="s">
        <v>22</v>
      </c>
      <c r="Q1544" s="26">
        <v>700.0</v>
      </c>
    </row>
    <row r="1545" ht="17.25" customHeight="1">
      <c r="A1545" s="51">
        <v>46164.73595113426</v>
      </c>
      <c r="B1545" s="25" t="s">
        <v>1098</v>
      </c>
      <c r="C1545" s="55" t="s">
        <v>1560</v>
      </c>
      <c r="D1545" s="51">
        <v>46164.42552710648</v>
      </c>
      <c r="E1545" s="52">
        <v>1100.0</v>
      </c>
      <c r="F1545" s="55" t="s">
        <v>2214</v>
      </c>
      <c r="G1545" s="55" t="s">
        <v>2302</v>
      </c>
      <c r="H1545" s="26"/>
      <c r="I1545" s="26" t="s">
        <v>1099</v>
      </c>
      <c r="J1545" s="26" t="s">
        <v>1225</v>
      </c>
      <c r="K1545" s="26" t="s">
        <v>1562</v>
      </c>
      <c r="L1545" s="26" t="s">
        <v>1584</v>
      </c>
      <c r="M1545" s="26" t="s">
        <v>1575</v>
      </c>
      <c r="N1545" s="26" t="s">
        <v>1566</v>
      </c>
      <c r="O1545" s="26" t="s">
        <v>1566</v>
      </c>
      <c r="P1545" s="26" t="s">
        <v>22</v>
      </c>
      <c r="Q1545" s="26">
        <v>6700.0</v>
      </c>
    </row>
    <row r="1546" ht="17.25" customHeight="1">
      <c r="A1546" s="51">
        <v>46165.41633349537</v>
      </c>
      <c r="B1546" s="27" t="s">
        <v>79</v>
      </c>
      <c r="C1546" s="55" t="s">
        <v>1560</v>
      </c>
      <c r="D1546" s="51">
        <v>46165.41633349537</v>
      </c>
      <c r="E1546" s="52">
        <v>700.0</v>
      </c>
      <c r="F1546" s="55" t="s">
        <v>2214</v>
      </c>
      <c r="G1546" s="55" t="s">
        <v>2303</v>
      </c>
      <c r="H1546" s="26"/>
      <c r="I1546" s="26" t="s">
        <v>80</v>
      </c>
      <c r="J1546" s="26" t="s">
        <v>1225</v>
      </c>
      <c r="K1546" s="26" t="s">
        <v>1562</v>
      </c>
      <c r="L1546" s="26" t="s">
        <v>1563</v>
      </c>
      <c r="M1546" s="26" t="s">
        <v>1575</v>
      </c>
      <c r="N1546" s="26" t="s">
        <v>1566</v>
      </c>
      <c r="O1546" s="26" t="s">
        <v>1566</v>
      </c>
      <c r="P1546" s="26" t="s">
        <v>22</v>
      </c>
      <c r="Q1546" s="26">
        <v>700.0</v>
      </c>
    </row>
    <row r="1547" ht="17.25" customHeight="1">
      <c r="A1547" s="51">
        <v>46165.45378561343</v>
      </c>
      <c r="B1547" s="25" t="s">
        <v>1183</v>
      </c>
      <c r="C1547" s="55" t="s">
        <v>1892</v>
      </c>
      <c r="D1547" s="51">
        <v>46165.41633349537</v>
      </c>
      <c r="E1547" s="52">
        <v>400.0</v>
      </c>
      <c r="F1547" s="55" t="s">
        <v>2214</v>
      </c>
      <c r="G1547" s="55" t="s">
        <v>1898</v>
      </c>
      <c r="H1547" s="26"/>
      <c r="I1547" s="26" t="s">
        <v>1184</v>
      </c>
      <c r="J1547" s="26" t="s">
        <v>1225</v>
      </c>
      <c r="K1547" s="26" t="s">
        <v>1562</v>
      </c>
      <c r="L1547" s="26" t="s">
        <v>1582</v>
      </c>
      <c r="M1547" s="26" t="s">
        <v>2155</v>
      </c>
      <c r="N1547" s="26" t="s">
        <v>1566</v>
      </c>
      <c r="O1547" s="26" t="s">
        <v>1571</v>
      </c>
      <c r="P1547" s="26" t="s">
        <v>22</v>
      </c>
      <c r="Q1547" s="26">
        <v>100.0</v>
      </c>
    </row>
    <row r="1548" ht="17.25" customHeight="1">
      <c r="A1548" s="51">
        <v>46165.45393712963</v>
      </c>
      <c r="B1548" s="25" t="s">
        <v>1183</v>
      </c>
      <c r="C1548" s="55" t="s">
        <v>1892</v>
      </c>
      <c r="D1548" s="51">
        <v>46164.42552710648</v>
      </c>
      <c r="E1548" s="52">
        <v>100.0</v>
      </c>
      <c r="F1548" s="55" t="s">
        <v>2214</v>
      </c>
      <c r="G1548" s="55">
        <v>822.0</v>
      </c>
      <c r="H1548" s="26"/>
      <c r="I1548" s="26" t="s">
        <v>1184</v>
      </c>
      <c r="J1548" s="26" t="s">
        <v>1225</v>
      </c>
      <c r="K1548" s="26" t="s">
        <v>1562</v>
      </c>
      <c r="L1548" s="26" t="s">
        <v>1582</v>
      </c>
      <c r="M1548" s="26" t="s">
        <v>2155</v>
      </c>
      <c r="N1548" s="26" t="s">
        <v>1566</v>
      </c>
      <c r="O1548" s="26" t="s">
        <v>1571</v>
      </c>
      <c r="P1548" s="26" t="s">
        <v>22</v>
      </c>
      <c r="Q1548" s="26">
        <v>100.0</v>
      </c>
    </row>
    <row r="1549" ht="17.25" customHeight="1">
      <c r="A1549" s="51">
        <v>46165.4548177199</v>
      </c>
      <c r="B1549" s="25" t="s">
        <v>79</v>
      </c>
      <c r="C1549" s="55" t="s">
        <v>1892</v>
      </c>
      <c r="D1549" s="51">
        <v>46164.42552710648</v>
      </c>
      <c r="E1549" s="52">
        <v>1000.0</v>
      </c>
      <c r="F1549" s="55" t="s">
        <v>2214</v>
      </c>
      <c r="G1549" s="2">
        <v>825.0</v>
      </c>
      <c r="H1549" s="26"/>
      <c r="I1549" s="26" t="s">
        <v>80</v>
      </c>
      <c r="J1549" s="26" t="s">
        <v>1225</v>
      </c>
      <c r="K1549" s="26" t="s">
        <v>1562</v>
      </c>
      <c r="L1549" s="26" t="s">
        <v>1563</v>
      </c>
      <c r="M1549" s="26" t="s">
        <v>1575</v>
      </c>
      <c r="N1549" s="26" t="s">
        <v>1566</v>
      </c>
      <c r="O1549" s="26" t="s">
        <v>1566</v>
      </c>
      <c r="P1549" s="26" t="s">
        <v>22</v>
      </c>
      <c r="Q1549" s="26">
        <v>700.0</v>
      </c>
    </row>
    <row r="1550" ht="17.25" customHeight="1">
      <c r="A1550" s="51">
        <v>46165.46244398148</v>
      </c>
      <c r="B1550" s="25" t="s">
        <v>79</v>
      </c>
      <c r="C1550" s="55" t="s">
        <v>1892</v>
      </c>
      <c r="D1550" s="51">
        <v>46164.42552710648</v>
      </c>
      <c r="E1550" s="52">
        <v>8400.0</v>
      </c>
      <c r="F1550" s="55" t="s">
        <v>2214</v>
      </c>
      <c r="G1550" s="55">
        <v>826.0</v>
      </c>
      <c r="H1550" s="26"/>
      <c r="I1550" s="26" t="s">
        <v>80</v>
      </c>
      <c r="J1550" s="26" t="s">
        <v>1225</v>
      </c>
      <c r="K1550" s="26" t="s">
        <v>1562</v>
      </c>
      <c r="L1550" s="26" t="s">
        <v>1563</v>
      </c>
      <c r="M1550" s="26" t="s">
        <v>1575</v>
      </c>
      <c r="N1550" s="26" t="s">
        <v>1566</v>
      </c>
      <c r="O1550" s="26" t="s">
        <v>1566</v>
      </c>
      <c r="P1550" s="26" t="s">
        <v>22</v>
      </c>
      <c r="Q1550" s="26">
        <v>700.0</v>
      </c>
    </row>
    <row r="1551" ht="17.25" customHeight="1">
      <c r="A1551" s="51">
        <v>46165.46444751158</v>
      </c>
      <c r="B1551" s="25" t="s">
        <v>287</v>
      </c>
      <c r="C1551" s="55" t="s">
        <v>1892</v>
      </c>
      <c r="D1551" s="51">
        <v>46165.41633349537</v>
      </c>
      <c r="E1551" s="52">
        <v>2.0</v>
      </c>
      <c r="F1551" s="55" t="s">
        <v>2124</v>
      </c>
      <c r="G1551" s="55"/>
      <c r="H1551" s="26"/>
      <c r="I1551" s="26" t="s">
        <v>288</v>
      </c>
      <c r="J1551" s="26" t="s">
        <v>1674</v>
      </c>
      <c r="K1551" s="26" t="s">
        <v>1675</v>
      </c>
      <c r="L1551" s="26" t="s">
        <v>1566</v>
      </c>
      <c r="M1551" s="26" t="s">
        <v>1566</v>
      </c>
      <c r="N1551" s="26" t="s">
        <v>1676</v>
      </c>
      <c r="O1551" s="26" t="s">
        <v>1677</v>
      </c>
      <c r="P1551" s="26" t="s">
        <v>290</v>
      </c>
      <c r="Q1551" s="26">
        <v>16.0</v>
      </c>
    </row>
    <row r="1552" ht="17.25" customHeight="1">
      <c r="A1552" s="51">
        <v>46165.464519664354</v>
      </c>
      <c r="B1552" s="25" t="s">
        <v>304</v>
      </c>
      <c r="C1552" s="55" t="s">
        <v>1892</v>
      </c>
      <c r="D1552" s="51">
        <v>46165.41633349537</v>
      </c>
      <c r="E1552" s="52">
        <v>2.0</v>
      </c>
      <c r="F1552" s="55" t="s">
        <v>2124</v>
      </c>
      <c r="G1552" s="26"/>
      <c r="H1552" s="26"/>
      <c r="I1552" s="26" t="s">
        <v>306</v>
      </c>
      <c r="J1552" s="26" t="s">
        <v>1674</v>
      </c>
      <c r="K1552" s="26" t="s">
        <v>1675</v>
      </c>
      <c r="L1552" s="26" t="s">
        <v>1566</v>
      </c>
      <c r="M1552" s="26" t="s">
        <v>1566</v>
      </c>
      <c r="N1552" s="26" t="s">
        <v>1682</v>
      </c>
      <c r="O1552" s="26" t="s">
        <v>1677</v>
      </c>
      <c r="P1552" s="26" t="s">
        <v>290</v>
      </c>
      <c r="Q1552" s="26">
        <v>6.0</v>
      </c>
    </row>
    <row r="1553" ht="17.25" customHeight="1">
      <c r="A1553" s="51">
        <v>46165.469643923614</v>
      </c>
      <c r="B1553" s="25" t="s">
        <v>304</v>
      </c>
      <c r="C1553" s="55" t="s">
        <v>1892</v>
      </c>
      <c r="D1553" s="111">
        <v>46164.0</v>
      </c>
      <c r="E1553" s="52">
        <v>2.0</v>
      </c>
      <c r="G1553" s="26"/>
      <c r="H1553" s="26"/>
      <c r="I1553" s="26" t="s">
        <v>306</v>
      </c>
      <c r="J1553" s="26" t="s">
        <v>1674</v>
      </c>
      <c r="K1553" s="26" t="s">
        <v>1675</v>
      </c>
      <c r="L1553" s="26" t="s">
        <v>1566</v>
      </c>
      <c r="M1553" s="26" t="s">
        <v>1566</v>
      </c>
      <c r="N1553" s="26" t="s">
        <v>1682</v>
      </c>
      <c r="O1553" s="26" t="s">
        <v>1677</v>
      </c>
      <c r="P1553" s="26" t="s">
        <v>290</v>
      </c>
      <c r="Q1553" s="26">
        <v>6.0</v>
      </c>
    </row>
    <row r="1554" ht="17.25" customHeight="1">
      <c r="A1554" s="51">
        <v>46165.638009409726</v>
      </c>
      <c r="B1554" s="25" t="s">
        <v>975</v>
      </c>
      <c r="C1554" s="55" t="s">
        <v>1560</v>
      </c>
      <c r="D1554" s="51">
        <v>46165.638009409726</v>
      </c>
      <c r="E1554" s="52">
        <v>50.0</v>
      </c>
      <c r="F1554" s="55" t="s">
        <v>1673</v>
      </c>
      <c r="G1554" s="26"/>
      <c r="H1554" s="26"/>
      <c r="I1554" s="26" t="s">
        <v>976</v>
      </c>
      <c r="J1554" s="26" t="s">
        <v>1830</v>
      </c>
      <c r="K1554" s="26" t="s">
        <v>1642</v>
      </c>
      <c r="L1554" s="26" t="s">
        <v>1566</v>
      </c>
      <c r="M1554" s="26" t="s">
        <v>1566</v>
      </c>
      <c r="N1554" s="26" t="s">
        <v>1566</v>
      </c>
      <c r="O1554" s="26" t="s">
        <v>1566</v>
      </c>
      <c r="P1554" s="26" t="s">
        <v>661</v>
      </c>
      <c r="Q1554" s="26">
        <v>80.0</v>
      </c>
    </row>
    <row r="1555" ht="17.25" customHeight="1">
      <c r="A1555" s="51">
        <v>46165.638093761576</v>
      </c>
      <c r="B1555" s="25" t="s">
        <v>975</v>
      </c>
      <c r="C1555" s="55" t="s">
        <v>1892</v>
      </c>
      <c r="D1555" s="51">
        <v>46165.638009409726</v>
      </c>
      <c r="E1555" s="52">
        <v>44.0</v>
      </c>
      <c r="F1555" s="55" t="s">
        <v>1673</v>
      </c>
      <c r="G1555" s="55" t="s">
        <v>1898</v>
      </c>
      <c r="H1555" s="26"/>
      <c r="I1555" s="26" t="s">
        <v>976</v>
      </c>
      <c r="J1555" s="26" t="s">
        <v>1830</v>
      </c>
      <c r="K1555" s="26" t="s">
        <v>1642</v>
      </c>
      <c r="L1555" s="26" t="s">
        <v>1566</v>
      </c>
      <c r="M1555" s="26" t="s">
        <v>1566</v>
      </c>
      <c r="N1555" s="26" t="s">
        <v>1566</v>
      </c>
      <c r="O1555" s="26" t="s">
        <v>1566</v>
      </c>
      <c r="P1555" s="26" t="s">
        <v>661</v>
      </c>
      <c r="Q1555" s="26">
        <v>80.0</v>
      </c>
    </row>
    <row r="1556" ht="17.25" customHeight="1">
      <c r="A1556" s="51">
        <v>46165.73362273148</v>
      </c>
      <c r="B1556" s="25" t="s">
        <v>876</v>
      </c>
      <c r="C1556" s="55" t="s">
        <v>1892</v>
      </c>
      <c r="D1556" s="51">
        <v>46165.638009409726</v>
      </c>
      <c r="E1556" s="52">
        <v>4.0</v>
      </c>
      <c r="F1556" s="55" t="s">
        <v>1907</v>
      </c>
      <c r="G1556" s="26"/>
      <c r="H1556" s="26"/>
      <c r="I1556" s="26" t="s">
        <v>878</v>
      </c>
      <c r="J1556" s="26" t="s">
        <v>1830</v>
      </c>
      <c r="K1556" s="26" t="s">
        <v>1879</v>
      </c>
      <c r="L1556" s="26" t="s">
        <v>1566</v>
      </c>
      <c r="M1556" s="26" t="s">
        <v>1566</v>
      </c>
      <c r="N1556" s="26" t="s">
        <v>1566</v>
      </c>
      <c r="O1556" s="26" t="s">
        <v>1566</v>
      </c>
      <c r="P1556" s="26" t="s">
        <v>643</v>
      </c>
      <c r="Q1556" s="26">
        <v>34.0</v>
      </c>
    </row>
    <row r="1557" ht="17.25" customHeight="1">
      <c r="A1557" s="51">
        <v>46167.487993518516</v>
      </c>
      <c r="B1557" s="26" t="s">
        <v>163</v>
      </c>
      <c r="C1557" s="55" t="s">
        <v>1560</v>
      </c>
      <c r="D1557" s="51">
        <v>46167.487993518516</v>
      </c>
      <c r="E1557" s="196">
        <v>3500.0</v>
      </c>
      <c r="F1557" s="55" t="s">
        <v>1561</v>
      </c>
      <c r="G1557" s="55" t="s">
        <v>2304</v>
      </c>
      <c r="H1557" s="26"/>
      <c r="I1557" s="26" t="s">
        <v>1737</v>
      </c>
      <c r="J1557" s="26" t="s">
        <v>1225</v>
      </c>
      <c r="K1557" s="26" t="s">
        <v>1562</v>
      </c>
      <c r="L1557" s="26" t="s">
        <v>1587</v>
      </c>
      <c r="M1557" s="26" t="s">
        <v>2172</v>
      </c>
      <c r="N1557" s="26" t="s">
        <v>1566</v>
      </c>
      <c r="O1557" s="26" t="s">
        <v>1566</v>
      </c>
      <c r="P1557" s="26" t="s">
        <v>22</v>
      </c>
      <c r="Q1557" s="26">
        <v>4000.0</v>
      </c>
    </row>
    <row r="1558" ht="17.25" customHeight="1">
      <c r="A1558" s="51">
        <v>46167.48918831018</v>
      </c>
      <c r="B1558" s="26" t="s">
        <v>1250</v>
      </c>
      <c r="C1558" s="55" t="s">
        <v>1560</v>
      </c>
      <c r="D1558" s="51">
        <v>46167.487993518516</v>
      </c>
      <c r="E1558" s="52">
        <v>3500.0</v>
      </c>
      <c r="F1558" s="55" t="s">
        <v>1561</v>
      </c>
      <c r="G1558" s="55" t="s">
        <v>2304</v>
      </c>
      <c r="H1558" s="26"/>
      <c r="I1558" s="26" t="s">
        <v>1251</v>
      </c>
      <c r="J1558" s="26" t="s">
        <v>1225</v>
      </c>
      <c r="K1558" s="26" t="s">
        <v>1562</v>
      </c>
      <c r="L1558" s="26" t="s">
        <v>1600</v>
      </c>
      <c r="M1558" s="26" t="s">
        <v>2172</v>
      </c>
      <c r="N1558" s="26" t="s">
        <v>1566</v>
      </c>
      <c r="O1558" s="26" t="s">
        <v>1566</v>
      </c>
      <c r="P1558" s="26" t="s">
        <v>22</v>
      </c>
      <c r="Q1558" s="26">
        <v>100.0</v>
      </c>
    </row>
    <row r="1559" ht="17.25" customHeight="1">
      <c r="A1559" s="51">
        <v>46167.48968270833</v>
      </c>
      <c r="B1559" s="25" t="s">
        <v>308</v>
      </c>
      <c r="C1559" s="55" t="s">
        <v>1560</v>
      </c>
      <c r="D1559" s="51">
        <v>46167.487993518516</v>
      </c>
      <c r="E1559" s="52">
        <v>1000.0</v>
      </c>
      <c r="F1559" s="55" t="s">
        <v>1561</v>
      </c>
      <c r="G1559" s="55" t="s">
        <v>2305</v>
      </c>
      <c r="H1559" s="26"/>
      <c r="I1559" s="26" t="s">
        <v>309</v>
      </c>
      <c r="J1559" s="26" t="s">
        <v>1225</v>
      </c>
      <c r="K1559" s="26" t="s">
        <v>1562</v>
      </c>
      <c r="L1559" s="26" t="s">
        <v>1563</v>
      </c>
      <c r="M1559" s="26" t="s">
        <v>1574</v>
      </c>
      <c r="N1559" s="26" t="s">
        <v>1566</v>
      </c>
      <c r="O1559" s="26" t="s">
        <v>1566</v>
      </c>
      <c r="P1559" s="26" t="s">
        <v>22</v>
      </c>
      <c r="Q1559" s="26">
        <v>0.0</v>
      </c>
    </row>
    <row r="1560" ht="17.25" customHeight="1">
      <c r="A1560" s="51">
        <v>46191.64880092593</v>
      </c>
      <c r="B1560" s="25" t="s">
        <v>538</v>
      </c>
      <c r="C1560" s="55" t="s">
        <v>1560</v>
      </c>
      <c r="D1560" s="51">
        <v>46167.487993518516</v>
      </c>
      <c r="E1560" s="52">
        <v>576.0</v>
      </c>
      <c r="F1560" s="55" t="s">
        <v>1561</v>
      </c>
      <c r="G1560" s="55"/>
      <c r="H1560" s="26"/>
      <c r="I1560" s="26" t="s">
        <v>539</v>
      </c>
      <c r="J1560" s="26" t="s">
        <v>1225</v>
      </c>
      <c r="K1560" s="26" t="s">
        <v>1653</v>
      </c>
      <c r="L1560" s="26" t="s">
        <v>1600</v>
      </c>
      <c r="M1560" s="26" t="s">
        <v>1572</v>
      </c>
      <c r="N1560" s="26" t="s">
        <v>1566</v>
      </c>
      <c r="O1560" s="26" t="s">
        <v>1654</v>
      </c>
      <c r="P1560" s="26" t="s">
        <v>22</v>
      </c>
      <c r="Q1560" s="26">
        <v>576.0</v>
      </c>
    </row>
    <row r="1561" ht="17.25" customHeight="1">
      <c r="A1561" s="51">
        <v>46167.490504918984</v>
      </c>
      <c r="B1561" s="25" t="s">
        <v>1522</v>
      </c>
      <c r="C1561" s="55" t="s">
        <v>1560</v>
      </c>
      <c r="D1561" s="51">
        <v>46167.487993518516</v>
      </c>
      <c r="E1561" s="52">
        <v>2000.0</v>
      </c>
      <c r="F1561" s="55" t="s">
        <v>1561</v>
      </c>
      <c r="G1561" s="55" t="s">
        <v>2306</v>
      </c>
      <c r="H1561" s="26"/>
      <c r="I1561" s="26" t="s">
        <v>1523</v>
      </c>
      <c r="J1561" s="26" t="s">
        <v>1225</v>
      </c>
      <c r="K1561" s="26" t="s">
        <v>1562</v>
      </c>
      <c r="L1561" s="26" t="s">
        <v>1563</v>
      </c>
      <c r="M1561" s="26" t="s">
        <v>1572</v>
      </c>
      <c r="N1561" s="26" t="s">
        <v>1571</v>
      </c>
      <c r="O1561" s="26" t="s">
        <v>1566</v>
      </c>
      <c r="P1561" s="26" t="s">
        <v>22</v>
      </c>
      <c r="Q1561" s="26">
        <v>800.0</v>
      </c>
    </row>
    <row r="1562" ht="17.25" customHeight="1">
      <c r="A1562" s="51">
        <v>46167.62878211806</v>
      </c>
      <c r="B1562" s="25" t="s">
        <v>32</v>
      </c>
      <c r="C1562" s="55" t="s">
        <v>1892</v>
      </c>
      <c r="D1562" s="51">
        <v>46167.487993518516</v>
      </c>
      <c r="E1562" s="52">
        <v>2.0</v>
      </c>
      <c r="F1562" s="55" t="s">
        <v>2307</v>
      </c>
      <c r="G1562" s="26"/>
      <c r="H1562" s="26"/>
      <c r="I1562" s="26" t="s">
        <v>34</v>
      </c>
      <c r="J1562" s="26" t="s">
        <v>1807</v>
      </c>
      <c r="K1562" s="26" t="s">
        <v>1807</v>
      </c>
      <c r="L1562" s="26" t="s">
        <v>1566</v>
      </c>
      <c r="M1562" s="26" t="s">
        <v>1566</v>
      </c>
      <c r="N1562" s="26" t="s">
        <v>1566</v>
      </c>
      <c r="O1562" s="26" t="s">
        <v>1808</v>
      </c>
      <c r="P1562" s="26" t="s">
        <v>290</v>
      </c>
      <c r="Q1562" s="26">
        <v>7.0</v>
      </c>
    </row>
    <row r="1563" ht="17.25" customHeight="1">
      <c r="A1563" s="51">
        <v>46167.62877971065</v>
      </c>
      <c r="B1563" s="25" t="s">
        <v>968</v>
      </c>
      <c r="C1563" s="55" t="s">
        <v>1560</v>
      </c>
      <c r="D1563" s="51">
        <v>46167.487993518516</v>
      </c>
      <c r="E1563" s="52">
        <v>2.0</v>
      </c>
      <c r="F1563" s="55" t="s">
        <v>1673</v>
      </c>
      <c r="G1563" s="26"/>
      <c r="H1563" s="26"/>
      <c r="I1563" s="26" t="s">
        <v>969</v>
      </c>
      <c r="J1563" s="26" t="s">
        <v>1807</v>
      </c>
      <c r="K1563" s="26" t="s">
        <v>1807</v>
      </c>
      <c r="L1563" s="26" t="s">
        <v>1566</v>
      </c>
      <c r="M1563" s="26" t="s">
        <v>1566</v>
      </c>
      <c r="N1563" s="26" t="s">
        <v>1566</v>
      </c>
      <c r="O1563" s="26" t="s">
        <v>1566</v>
      </c>
      <c r="P1563" s="26" t="s">
        <v>290</v>
      </c>
      <c r="Q1563" s="26">
        <v>2.0</v>
      </c>
    </row>
    <row r="1564" ht="17.25" customHeight="1">
      <c r="A1564" s="51">
        <v>46167.62937710648</v>
      </c>
      <c r="B1564" s="159" t="s">
        <v>562</v>
      </c>
      <c r="C1564" s="55" t="s">
        <v>1892</v>
      </c>
      <c r="D1564" s="51">
        <v>46167.487993518516</v>
      </c>
      <c r="E1564" s="52">
        <v>1.0</v>
      </c>
      <c r="F1564" s="55" t="s">
        <v>2307</v>
      </c>
      <c r="G1564" s="26"/>
      <c r="H1564" s="26"/>
      <c r="I1564" s="26" t="s">
        <v>567</v>
      </c>
      <c r="J1564" s="26" t="s">
        <v>1812</v>
      </c>
      <c r="K1564" s="26" t="s">
        <v>1815</v>
      </c>
      <c r="L1564" s="26" t="s">
        <v>1566</v>
      </c>
      <c r="M1564" s="26" t="s">
        <v>1566</v>
      </c>
      <c r="N1564" s="26" t="s">
        <v>1566</v>
      </c>
      <c r="O1564" s="26" t="s">
        <v>1838</v>
      </c>
      <c r="P1564" s="26" t="s">
        <v>616</v>
      </c>
      <c r="Q1564" s="26">
        <v>4.0</v>
      </c>
    </row>
    <row r="1565" ht="17.25" customHeight="1">
      <c r="A1565" s="51">
        <v>46167.680586284725</v>
      </c>
      <c r="B1565" s="25" t="s">
        <v>287</v>
      </c>
      <c r="C1565" s="55" t="s">
        <v>1560</v>
      </c>
      <c r="D1565" s="51">
        <v>46167.487993518516</v>
      </c>
      <c r="E1565" s="52">
        <v>12.0</v>
      </c>
      <c r="F1565" s="55" t="s">
        <v>2015</v>
      </c>
      <c r="G1565" s="26"/>
      <c r="H1565" s="26"/>
      <c r="I1565" s="26" t="s">
        <v>288</v>
      </c>
      <c r="J1565" s="26" t="s">
        <v>1674</v>
      </c>
      <c r="K1565" s="26" t="s">
        <v>1675</v>
      </c>
      <c r="L1565" s="26" t="s">
        <v>1566</v>
      </c>
      <c r="M1565" s="26" t="s">
        <v>1566</v>
      </c>
      <c r="N1565" s="26" t="s">
        <v>1676</v>
      </c>
      <c r="O1565" s="26" t="s">
        <v>1677</v>
      </c>
      <c r="P1565" s="26" t="s">
        <v>290</v>
      </c>
      <c r="Q1565" s="26">
        <v>16.0</v>
      </c>
    </row>
    <row r="1566" ht="17.25" customHeight="1">
      <c r="A1566" s="51">
        <v>46192.6319418287</v>
      </c>
      <c r="B1566" s="25" t="s">
        <v>441</v>
      </c>
      <c r="C1566" s="55" t="s">
        <v>1892</v>
      </c>
      <c r="D1566" s="51">
        <v>46167.487993518516</v>
      </c>
      <c r="E1566" s="52">
        <v>4.0</v>
      </c>
      <c r="F1566" s="55" t="s">
        <v>2124</v>
      </c>
      <c r="G1566" s="26"/>
      <c r="H1566" s="26"/>
      <c r="I1566" s="26" t="s">
        <v>688</v>
      </c>
      <c r="J1566" s="26" t="s">
        <v>1674</v>
      </c>
      <c r="K1566" s="26" t="s">
        <v>1691</v>
      </c>
      <c r="L1566" s="26" t="s">
        <v>1566</v>
      </c>
      <c r="M1566" s="26" t="s">
        <v>1566</v>
      </c>
      <c r="N1566" s="26" t="s">
        <v>1721</v>
      </c>
      <c r="O1566" s="26" t="s">
        <v>1677</v>
      </c>
      <c r="P1566" s="26" t="s">
        <v>290</v>
      </c>
      <c r="Q1566" s="26">
        <v>0.0</v>
      </c>
    </row>
    <row r="1567" ht="17.25" customHeight="1">
      <c r="A1567" s="51">
        <v>46167.680586284725</v>
      </c>
      <c r="B1567" s="25" t="s">
        <v>292</v>
      </c>
      <c r="C1567" s="55" t="s">
        <v>1560</v>
      </c>
      <c r="D1567" s="51">
        <v>46167.487993518516</v>
      </c>
      <c r="E1567" s="52">
        <v>12.0</v>
      </c>
      <c r="F1567" s="55" t="s">
        <v>2015</v>
      </c>
      <c r="G1567" s="26"/>
      <c r="H1567" s="26"/>
      <c r="I1567" s="26" t="s">
        <v>294</v>
      </c>
      <c r="J1567" s="26" t="s">
        <v>1674</v>
      </c>
      <c r="K1567" s="26" t="s">
        <v>1675</v>
      </c>
      <c r="L1567" s="26" t="s">
        <v>1566</v>
      </c>
      <c r="M1567" s="26" t="s">
        <v>1566</v>
      </c>
      <c r="N1567" s="26" t="s">
        <v>1678</v>
      </c>
      <c r="O1567" s="26" t="s">
        <v>1677</v>
      </c>
      <c r="P1567" s="26" t="s">
        <v>290</v>
      </c>
      <c r="Q1567" s="26">
        <v>10.0</v>
      </c>
    </row>
    <row r="1568" ht="17.25" customHeight="1">
      <c r="A1568" s="51">
        <v>46167.680586284725</v>
      </c>
      <c r="B1568" s="25" t="s">
        <v>297</v>
      </c>
      <c r="C1568" s="55" t="s">
        <v>1560</v>
      </c>
      <c r="D1568" s="51">
        <v>46167.487993518516</v>
      </c>
      <c r="E1568" s="52">
        <v>12.0</v>
      </c>
      <c r="F1568" s="55" t="s">
        <v>2015</v>
      </c>
      <c r="G1568" s="26"/>
      <c r="H1568" s="26"/>
      <c r="I1568" s="26" t="s">
        <v>298</v>
      </c>
      <c r="J1568" s="26" t="s">
        <v>1674</v>
      </c>
      <c r="K1568" s="26" t="s">
        <v>1675</v>
      </c>
      <c r="L1568" s="26" t="s">
        <v>1566</v>
      </c>
      <c r="M1568" s="26" t="s">
        <v>1566</v>
      </c>
      <c r="N1568" s="26" t="s">
        <v>1680</v>
      </c>
      <c r="O1568" s="26" t="s">
        <v>1677</v>
      </c>
      <c r="P1568" s="26" t="s">
        <v>290</v>
      </c>
      <c r="Q1568" s="26">
        <v>10.0</v>
      </c>
    </row>
    <row r="1569" ht="17.25" customHeight="1">
      <c r="A1569" s="51">
        <v>46167.680586284725</v>
      </c>
      <c r="B1569" s="25" t="s">
        <v>304</v>
      </c>
      <c r="C1569" s="55" t="s">
        <v>1560</v>
      </c>
      <c r="D1569" s="51">
        <v>46167.487993518516</v>
      </c>
      <c r="E1569" s="52">
        <v>12.0</v>
      </c>
      <c r="F1569" s="55" t="s">
        <v>2015</v>
      </c>
      <c r="G1569" s="26"/>
      <c r="H1569" s="26"/>
      <c r="I1569" s="26" t="s">
        <v>306</v>
      </c>
      <c r="J1569" s="26" t="s">
        <v>1674</v>
      </c>
      <c r="K1569" s="26" t="s">
        <v>1675</v>
      </c>
      <c r="L1569" s="26" t="s">
        <v>1566</v>
      </c>
      <c r="M1569" s="26" t="s">
        <v>1566</v>
      </c>
      <c r="N1569" s="26" t="s">
        <v>1682</v>
      </c>
      <c r="O1569" s="26" t="s">
        <v>1677</v>
      </c>
      <c r="P1569" s="26" t="s">
        <v>290</v>
      </c>
      <c r="Q1569" s="26">
        <v>6.0</v>
      </c>
    </row>
    <row r="1570" ht="17.25" customHeight="1">
      <c r="A1570" s="51">
        <v>46171.43704069444</v>
      </c>
      <c r="B1570" s="25" t="s">
        <v>21</v>
      </c>
      <c r="C1570" s="55" t="s">
        <v>1892</v>
      </c>
      <c r="D1570" s="51">
        <v>46167.487993518516</v>
      </c>
      <c r="E1570" s="52">
        <v>20.0</v>
      </c>
      <c r="F1570" s="55" t="s">
        <v>2124</v>
      </c>
      <c r="G1570" s="26"/>
      <c r="H1570" s="26"/>
      <c r="I1570" s="26" t="s">
        <v>23</v>
      </c>
      <c r="J1570" s="26" t="s">
        <v>1812</v>
      </c>
      <c r="K1570" s="26" t="s">
        <v>1815</v>
      </c>
      <c r="L1570" s="26" t="s">
        <v>1566</v>
      </c>
      <c r="M1570" s="26" t="s">
        <v>1566</v>
      </c>
      <c r="N1570" s="26" t="s">
        <v>1566</v>
      </c>
      <c r="O1570" s="26" t="s">
        <v>1818</v>
      </c>
      <c r="P1570" s="26" t="s">
        <v>616</v>
      </c>
      <c r="Q1570" s="26">
        <v>20.0</v>
      </c>
    </row>
    <row r="1571" ht="17.25" customHeight="1">
      <c r="A1571" s="51">
        <v>46167.71066077546</v>
      </c>
      <c r="B1571" s="25" t="s">
        <v>21</v>
      </c>
      <c r="C1571" s="55" t="s">
        <v>1560</v>
      </c>
      <c r="D1571" s="51">
        <v>46167.487993518516</v>
      </c>
      <c r="E1571" s="52">
        <v>20.0</v>
      </c>
      <c r="F1571" s="55" t="s">
        <v>2015</v>
      </c>
      <c r="G1571" s="26"/>
      <c r="H1571" s="26"/>
      <c r="I1571" s="26" t="s">
        <v>23</v>
      </c>
      <c r="J1571" s="26" t="s">
        <v>1812</v>
      </c>
      <c r="K1571" s="26" t="s">
        <v>1815</v>
      </c>
      <c r="L1571" s="26" t="s">
        <v>1566</v>
      </c>
      <c r="M1571" s="26" t="s">
        <v>1566</v>
      </c>
      <c r="N1571" s="26" t="s">
        <v>1566</v>
      </c>
      <c r="O1571" s="26" t="s">
        <v>1818</v>
      </c>
      <c r="P1571" s="26" t="s">
        <v>616</v>
      </c>
      <c r="Q1571" s="26">
        <v>20.0</v>
      </c>
    </row>
    <row r="1572" ht="17.25" customHeight="1">
      <c r="A1572" s="51">
        <v>46167.71088994213</v>
      </c>
      <c r="B1572" s="25" t="s">
        <v>622</v>
      </c>
      <c r="C1572" s="55" t="s">
        <v>1560</v>
      </c>
      <c r="D1572" s="51">
        <v>46167.487993518516</v>
      </c>
      <c r="E1572" s="52">
        <v>25.0</v>
      </c>
      <c r="F1572" s="55" t="s">
        <v>2015</v>
      </c>
      <c r="G1572" s="26"/>
      <c r="H1572" s="26"/>
      <c r="I1572" s="26" t="s">
        <v>623</v>
      </c>
      <c r="J1572" s="26" t="s">
        <v>1812</v>
      </c>
      <c r="K1572" s="26" t="s">
        <v>1815</v>
      </c>
      <c r="L1572" s="26" t="s">
        <v>1566</v>
      </c>
      <c r="M1572" s="26" t="s">
        <v>1566</v>
      </c>
      <c r="N1572" s="26" t="s">
        <v>1566</v>
      </c>
      <c r="O1572" s="26" t="s">
        <v>1817</v>
      </c>
      <c r="P1572" s="26" t="s">
        <v>616</v>
      </c>
      <c r="Q1572" s="26">
        <v>20.0</v>
      </c>
    </row>
    <row r="1573" ht="17.25" customHeight="1">
      <c r="A1573" s="51">
        <v>46167.71151519676</v>
      </c>
      <c r="B1573" s="25" t="s">
        <v>901</v>
      </c>
      <c r="C1573" s="55" t="s">
        <v>1892</v>
      </c>
      <c r="D1573" s="51">
        <v>46167.487993518516</v>
      </c>
      <c r="E1573" s="52">
        <v>20.0</v>
      </c>
      <c r="F1573" s="55" t="s">
        <v>2015</v>
      </c>
      <c r="G1573" s="26"/>
      <c r="H1573" s="26"/>
      <c r="I1573" s="26" t="s">
        <v>904</v>
      </c>
      <c r="J1573" s="26" t="s">
        <v>1807</v>
      </c>
      <c r="K1573" s="26" t="s">
        <v>1807</v>
      </c>
      <c r="L1573" s="26" t="s">
        <v>1566</v>
      </c>
      <c r="M1573" s="26" t="s">
        <v>1566</v>
      </c>
      <c r="N1573" s="26" t="s">
        <v>1566</v>
      </c>
      <c r="O1573" s="26" t="s">
        <v>1808</v>
      </c>
      <c r="P1573" s="26" t="s">
        <v>290</v>
      </c>
      <c r="Q1573" s="26">
        <v>20.0</v>
      </c>
    </row>
    <row r="1574" ht="17.25" customHeight="1">
      <c r="A1574" s="51">
        <v>46167.71166900463</v>
      </c>
      <c r="B1574" s="25" t="s">
        <v>901</v>
      </c>
      <c r="C1574" s="55" t="s">
        <v>1560</v>
      </c>
      <c r="D1574" s="51">
        <v>46167.487993518516</v>
      </c>
      <c r="E1574" s="52">
        <v>20.0</v>
      </c>
      <c r="F1574" s="55" t="s">
        <v>2015</v>
      </c>
      <c r="G1574" s="26"/>
      <c r="H1574" s="26"/>
      <c r="I1574" s="26" t="s">
        <v>904</v>
      </c>
      <c r="J1574" s="26" t="s">
        <v>1807</v>
      </c>
      <c r="K1574" s="26" t="s">
        <v>1807</v>
      </c>
      <c r="L1574" s="26" t="s">
        <v>1566</v>
      </c>
      <c r="M1574" s="26" t="s">
        <v>1566</v>
      </c>
      <c r="N1574" s="26" t="s">
        <v>1566</v>
      </c>
      <c r="O1574" s="26" t="s">
        <v>1808</v>
      </c>
      <c r="P1574" s="26" t="s">
        <v>290</v>
      </c>
      <c r="Q1574" s="26">
        <v>20.0</v>
      </c>
    </row>
    <row r="1575" ht="17.25" customHeight="1">
      <c r="A1575" s="51">
        <v>46167.713824328705</v>
      </c>
      <c r="B1575" s="25" t="s">
        <v>32</v>
      </c>
      <c r="C1575" s="55" t="s">
        <v>1560</v>
      </c>
      <c r="D1575" s="51">
        <v>46167.487993518516</v>
      </c>
      <c r="E1575" s="52">
        <v>3.0</v>
      </c>
      <c r="F1575" s="55" t="s">
        <v>2015</v>
      </c>
      <c r="G1575" s="26"/>
      <c r="H1575" s="26"/>
      <c r="I1575" s="26" t="s">
        <v>34</v>
      </c>
      <c r="J1575" s="26" t="s">
        <v>1807</v>
      </c>
      <c r="K1575" s="26" t="s">
        <v>1807</v>
      </c>
      <c r="L1575" s="26" t="s">
        <v>1566</v>
      </c>
      <c r="M1575" s="26" t="s">
        <v>1566</v>
      </c>
      <c r="N1575" s="26" t="s">
        <v>1566</v>
      </c>
      <c r="O1575" s="26" t="s">
        <v>1808</v>
      </c>
      <c r="P1575" s="26" t="s">
        <v>290</v>
      </c>
      <c r="Q1575" s="26">
        <v>7.0</v>
      </c>
    </row>
    <row r="1576" ht="17.25" customHeight="1">
      <c r="A1576" s="51">
        <v>46168.52860130787</v>
      </c>
      <c r="B1576" s="25" t="s">
        <v>975</v>
      </c>
      <c r="C1576" s="55" t="s">
        <v>1892</v>
      </c>
      <c r="D1576" s="51">
        <v>46168.52860130787</v>
      </c>
      <c r="E1576" s="52">
        <v>10.0</v>
      </c>
      <c r="F1576" s="55" t="s">
        <v>2124</v>
      </c>
      <c r="G1576" s="26"/>
      <c r="H1576" s="26"/>
      <c r="I1576" s="26" t="s">
        <v>976</v>
      </c>
      <c r="J1576" s="26" t="s">
        <v>1830</v>
      </c>
      <c r="K1576" s="26" t="s">
        <v>1642</v>
      </c>
      <c r="L1576" s="26" t="s">
        <v>1566</v>
      </c>
      <c r="M1576" s="26" t="s">
        <v>1566</v>
      </c>
      <c r="N1576" s="26" t="s">
        <v>1566</v>
      </c>
      <c r="O1576" s="26" t="s">
        <v>1566</v>
      </c>
      <c r="P1576" s="26" t="s">
        <v>661</v>
      </c>
      <c r="Q1576" s="26">
        <v>80.0</v>
      </c>
    </row>
    <row r="1577" ht="17.25" customHeight="1">
      <c r="A1577" s="51">
        <v>46168.55951283565</v>
      </c>
      <c r="B1577" s="25" t="s">
        <v>1098</v>
      </c>
      <c r="C1577" s="55" t="s">
        <v>1892</v>
      </c>
      <c r="D1577" s="51">
        <v>46168.52860130787</v>
      </c>
      <c r="E1577" s="52">
        <v>1100.0</v>
      </c>
      <c r="F1577" s="55" t="s">
        <v>2124</v>
      </c>
      <c r="G1577" s="55">
        <v>827.0</v>
      </c>
      <c r="H1577" s="26"/>
      <c r="I1577" s="26" t="s">
        <v>1099</v>
      </c>
      <c r="J1577" s="26" t="s">
        <v>1225</v>
      </c>
      <c r="K1577" s="26" t="s">
        <v>1562</v>
      </c>
      <c r="L1577" s="26" t="s">
        <v>1584</v>
      </c>
      <c r="M1577" s="26" t="s">
        <v>1575</v>
      </c>
      <c r="N1577" s="26" t="s">
        <v>1566</v>
      </c>
      <c r="O1577" s="26" t="s">
        <v>1566</v>
      </c>
      <c r="P1577" s="26" t="s">
        <v>22</v>
      </c>
      <c r="Q1577" s="26">
        <v>6700.0</v>
      </c>
    </row>
    <row r="1578" ht="17.25" customHeight="1">
      <c r="A1578" s="51">
        <v>46168.56719640046</v>
      </c>
      <c r="B1578" s="25" t="s">
        <v>778</v>
      </c>
      <c r="C1578" s="55" t="s">
        <v>1560</v>
      </c>
      <c r="D1578" s="111">
        <v>46164.0</v>
      </c>
      <c r="E1578" s="195">
        <v>3600.0</v>
      </c>
      <c r="F1578" s="55" t="s">
        <v>1561</v>
      </c>
      <c r="G1578" s="55" t="s">
        <v>2308</v>
      </c>
      <c r="H1578" s="26"/>
      <c r="I1578" s="26" t="s">
        <v>779</v>
      </c>
      <c r="J1578" s="26" t="s">
        <v>1225</v>
      </c>
      <c r="K1578" s="26" t="s">
        <v>1653</v>
      </c>
      <c r="L1578" s="26" t="s">
        <v>1576</v>
      </c>
      <c r="M1578" s="26" t="s">
        <v>1572</v>
      </c>
      <c r="N1578" s="26" t="s">
        <v>1566</v>
      </c>
      <c r="O1578" s="26" t="s">
        <v>1654</v>
      </c>
      <c r="P1578" s="26" t="s">
        <v>22</v>
      </c>
      <c r="Q1578" s="26">
        <v>0.0</v>
      </c>
    </row>
    <row r="1579" ht="17.25" customHeight="1">
      <c r="A1579" s="51">
        <v>46168.56847896991</v>
      </c>
      <c r="B1579" s="26" t="s">
        <v>1253</v>
      </c>
      <c r="C1579" s="55" t="s">
        <v>1560</v>
      </c>
      <c r="D1579" s="111">
        <v>46164.0</v>
      </c>
      <c r="E1579" s="195">
        <v>1080.0</v>
      </c>
      <c r="F1579" s="55" t="s">
        <v>1561</v>
      </c>
      <c r="G1579" s="55" t="s">
        <v>2309</v>
      </c>
      <c r="H1579" s="26"/>
      <c r="I1579" s="26" t="s">
        <v>1254</v>
      </c>
      <c r="J1579" s="26" t="s">
        <v>1225</v>
      </c>
      <c r="K1579" s="26" t="s">
        <v>1653</v>
      </c>
      <c r="L1579" s="26" t="s">
        <v>1582</v>
      </c>
      <c r="M1579" s="26" t="s">
        <v>1572</v>
      </c>
      <c r="N1579" s="26" t="s">
        <v>1566</v>
      </c>
      <c r="O1579" s="26" t="s">
        <v>1654</v>
      </c>
      <c r="P1579" s="26" t="s">
        <v>22</v>
      </c>
      <c r="Q1579" s="26">
        <v>792.0</v>
      </c>
    </row>
    <row r="1580" ht="17.25" customHeight="1">
      <c r="A1580" s="51">
        <v>46168.56912010416</v>
      </c>
      <c r="B1580" s="26" t="s">
        <v>187</v>
      </c>
      <c r="C1580" s="55" t="s">
        <v>1560</v>
      </c>
      <c r="D1580" s="111">
        <v>46164.0</v>
      </c>
      <c r="E1580" s="52">
        <v>720.0</v>
      </c>
      <c r="F1580" s="55" t="s">
        <v>1561</v>
      </c>
      <c r="G1580" s="55" t="s">
        <v>2284</v>
      </c>
      <c r="H1580" s="26"/>
      <c r="I1580" s="26" t="s">
        <v>188</v>
      </c>
      <c r="J1580" s="26" t="s">
        <v>1225</v>
      </c>
      <c r="K1580" s="26" t="s">
        <v>1653</v>
      </c>
      <c r="L1580" s="26" t="s">
        <v>1587</v>
      </c>
      <c r="M1580" s="26" t="s">
        <v>1572</v>
      </c>
      <c r="N1580" s="26" t="s">
        <v>1566</v>
      </c>
      <c r="O1580" s="26" t="s">
        <v>1654</v>
      </c>
      <c r="P1580" s="26" t="s">
        <v>22</v>
      </c>
      <c r="Q1580" s="26">
        <v>0.0</v>
      </c>
    </row>
    <row r="1581" ht="17.25" customHeight="1">
      <c r="A1581" s="51">
        <v>46168.59568471065</v>
      </c>
      <c r="B1581" s="26" t="s">
        <v>187</v>
      </c>
      <c r="C1581" s="55" t="s">
        <v>1892</v>
      </c>
      <c r="D1581" s="51">
        <v>46168.59568471065</v>
      </c>
      <c r="E1581" s="52">
        <v>720.0</v>
      </c>
      <c r="F1581" s="55" t="s">
        <v>1561</v>
      </c>
      <c r="G1581" s="55">
        <v>828.0</v>
      </c>
      <c r="H1581" s="26"/>
      <c r="I1581" s="26" t="s">
        <v>188</v>
      </c>
      <c r="J1581" s="26" t="s">
        <v>1225</v>
      </c>
      <c r="K1581" s="26" t="s">
        <v>1653</v>
      </c>
      <c r="L1581" s="26" t="s">
        <v>1587</v>
      </c>
      <c r="M1581" s="26" t="s">
        <v>1572</v>
      </c>
      <c r="N1581" s="26" t="s">
        <v>1566</v>
      </c>
      <c r="O1581" s="26" t="s">
        <v>1654</v>
      </c>
      <c r="P1581" s="26" t="s">
        <v>22</v>
      </c>
      <c r="Q1581" s="26">
        <v>0.0</v>
      </c>
    </row>
    <row r="1582" ht="17.25" customHeight="1">
      <c r="A1582" s="51">
        <v>46168.63844978009</v>
      </c>
      <c r="B1582" s="26" t="s">
        <v>1256</v>
      </c>
      <c r="C1582" s="55" t="s">
        <v>1560</v>
      </c>
      <c r="D1582" s="51">
        <v>46168.59568471065</v>
      </c>
      <c r="E1582" s="52">
        <v>10.0</v>
      </c>
      <c r="F1582" s="55" t="s">
        <v>1673</v>
      </c>
      <c r="G1582" s="26"/>
      <c r="H1582" s="26"/>
      <c r="I1582" s="26" t="s">
        <v>1257</v>
      </c>
      <c r="J1582" s="26" t="s">
        <v>1674</v>
      </c>
      <c r="K1582" s="26" t="s">
        <v>1691</v>
      </c>
      <c r="L1582" s="26" t="s">
        <v>1566</v>
      </c>
      <c r="M1582" s="26" t="s">
        <v>1566</v>
      </c>
      <c r="N1582" s="26" t="s">
        <v>1566</v>
      </c>
      <c r="O1582" s="26" t="s">
        <v>2177</v>
      </c>
      <c r="P1582" s="26" t="s">
        <v>290</v>
      </c>
      <c r="Q1582" s="26">
        <v>6.0</v>
      </c>
    </row>
    <row r="1583" ht="17.25" customHeight="1">
      <c r="A1583" s="51">
        <v>46168.639673275466</v>
      </c>
      <c r="B1583" s="26" t="s">
        <v>1260</v>
      </c>
      <c r="C1583" s="55" t="s">
        <v>1560</v>
      </c>
      <c r="D1583" s="51">
        <v>46168.59568471065</v>
      </c>
      <c r="E1583" s="52">
        <v>1.0</v>
      </c>
      <c r="F1583" s="55" t="s">
        <v>1673</v>
      </c>
      <c r="G1583" s="26"/>
      <c r="H1583" s="26"/>
      <c r="I1583" s="26" t="s">
        <v>1261</v>
      </c>
      <c r="J1583" s="26" t="s">
        <v>1674</v>
      </c>
      <c r="K1583" s="26" t="s">
        <v>1642</v>
      </c>
      <c r="L1583" s="26" t="s">
        <v>1566</v>
      </c>
      <c r="M1583" s="26" t="s">
        <v>1566</v>
      </c>
      <c r="N1583" s="26" t="s">
        <v>1566</v>
      </c>
      <c r="O1583" s="26" t="s">
        <v>2178</v>
      </c>
      <c r="P1583" s="26" t="s">
        <v>290</v>
      </c>
      <c r="Q1583" s="26">
        <v>1.0</v>
      </c>
    </row>
    <row r="1584" ht="17.25" customHeight="1">
      <c r="A1584" s="51">
        <v>46168.639702361106</v>
      </c>
      <c r="B1584" s="55" t="s">
        <v>1265</v>
      </c>
      <c r="C1584" s="55" t="s">
        <v>1560</v>
      </c>
      <c r="D1584" s="51">
        <v>46168.59568471065</v>
      </c>
      <c r="E1584" s="52">
        <v>1.0</v>
      </c>
      <c r="F1584" s="55" t="s">
        <v>1673</v>
      </c>
      <c r="G1584" s="26"/>
      <c r="H1584" s="26"/>
      <c r="I1584" s="26" t="s">
        <v>1266</v>
      </c>
      <c r="J1584" s="26" t="s">
        <v>1674</v>
      </c>
      <c r="K1584" s="26" t="s">
        <v>1642</v>
      </c>
      <c r="L1584" s="26" t="s">
        <v>1566</v>
      </c>
      <c r="M1584" s="26" t="s">
        <v>1566</v>
      </c>
      <c r="N1584" s="26" t="s">
        <v>1566</v>
      </c>
      <c r="O1584" s="26" t="s">
        <v>2179</v>
      </c>
      <c r="P1584" s="26" t="s">
        <v>290</v>
      </c>
      <c r="Q1584" s="26">
        <v>1.0</v>
      </c>
    </row>
    <row r="1585" ht="17.25" customHeight="1">
      <c r="A1585" s="51">
        <v>46169.49191162037</v>
      </c>
      <c r="B1585" s="26" t="s">
        <v>1739</v>
      </c>
      <c r="C1585" s="55" t="s">
        <v>1560</v>
      </c>
      <c r="D1585" s="51">
        <v>46168.59568471065</v>
      </c>
      <c r="E1585" s="195">
        <v>5350.0</v>
      </c>
      <c r="F1585" s="55" t="s">
        <v>1561</v>
      </c>
      <c r="G1585" s="26"/>
      <c r="H1585" s="26"/>
      <c r="I1585" s="26" t="s">
        <v>1740</v>
      </c>
      <c r="J1585" s="26" t="s">
        <v>1225</v>
      </c>
      <c r="K1585" s="26" t="s">
        <v>1562</v>
      </c>
      <c r="L1585" s="26" t="s">
        <v>2180</v>
      </c>
      <c r="M1585" s="26" t="s">
        <v>1572</v>
      </c>
      <c r="N1585" s="26" t="s">
        <v>1566</v>
      </c>
      <c r="O1585" s="26" t="s">
        <v>1566</v>
      </c>
      <c r="P1585" s="26" t="s">
        <v>22</v>
      </c>
      <c r="Q1585" s="26">
        <v>0.0</v>
      </c>
    </row>
    <row r="1586" ht="17.25" customHeight="1">
      <c r="A1586" s="51">
        <v>46169.492654236106</v>
      </c>
      <c r="B1586" s="26" t="s">
        <v>1739</v>
      </c>
      <c r="C1586" s="55" t="s">
        <v>1892</v>
      </c>
      <c r="D1586" s="51">
        <v>46169.0</v>
      </c>
      <c r="E1586" s="195">
        <v>5350.0</v>
      </c>
      <c r="F1586" s="55" t="s">
        <v>1561</v>
      </c>
      <c r="G1586" s="55">
        <v>833.0</v>
      </c>
      <c r="H1586" s="26"/>
      <c r="I1586" s="26" t="s">
        <v>1740</v>
      </c>
      <c r="J1586" s="26" t="s">
        <v>1225</v>
      </c>
      <c r="K1586" s="26" t="s">
        <v>1562</v>
      </c>
      <c r="L1586" s="26" t="s">
        <v>2180</v>
      </c>
      <c r="M1586" s="26" t="s">
        <v>1572</v>
      </c>
      <c r="N1586" s="26" t="s">
        <v>1566</v>
      </c>
      <c r="O1586" s="26" t="s">
        <v>1566</v>
      </c>
      <c r="P1586" s="26" t="s">
        <v>22</v>
      </c>
      <c r="Q1586" s="26">
        <v>0.0</v>
      </c>
    </row>
    <row r="1587" ht="17.25" customHeight="1">
      <c r="A1587" s="51">
        <v>46169.4935109838</v>
      </c>
      <c r="B1587" s="25" t="s">
        <v>1522</v>
      </c>
      <c r="C1587" s="55" t="s">
        <v>1892</v>
      </c>
      <c r="D1587" s="51">
        <v>46167.487993518516</v>
      </c>
      <c r="E1587" s="52">
        <v>600.0</v>
      </c>
      <c r="F1587" s="55" t="s">
        <v>1561</v>
      </c>
      <c r="G1587" s="55">
        <v>829.0</v>
      </c>
      <c r="H1587" s="26"/>
      <c r="I1587" s="26" t="s">
        <v>1523</v>
      </c>
      <c r="J1587" s="26" t="s">
        <v>1225</v>
      </c>
      <c r="K1587" s="26" t="s">
        <v>1562</v>
      </c>
      <c r="L1587" s="26" t="s">
        <v>1563</v>
      </c>
      <c r="M1587" s="26" t="s">
        <v>1572</v>
      </c>
      <c r="N1587" s="26" t="s">
        <v>1571</v>
      </c>
      <c r="O1587" s="26" t="s">
        <v>1566</v>
      </c>
      <c r="P1587" s="26" t="s">
        <v>22</v>
      </c>
      <c r="Q1587" s="26">
        <v>800.0</v>
      </c>
    </row>
    <row r="1588" ht="17.25" customHeight="1">
      <c r="A1588" s="51">
        <v>46169.493845324076</v>
      </c>
      <c r="B1588" s="25" t="s">
        <v>1522</v>
      </c>
      <c r="C1588" s="55" t="s">
        <v>1892</v>
      </c>
      <c r="D1588" s="51">
        <v>46167.487993518516</v>
      </c>
      <c r="E1588" s="52">
        <v>100.0</v>
      </c>
      <c r="F1588" s="55" t="s">
        <v>1561</v>
      </c>
      <c r="G1588" s="55">
        <v>830.0</v>
      </c>
      <c r="H1588" s="26"/>
      <c r="I1588" s="26" t="s">
        <v>1523</v>
      </c>
      <c r="J1588" s="26" t="s">
        <v>1225</v>
      </c>
      <c r="K1588" s="26" t="s">
        <v>1562</v>
      </c>
      <c r="L1588" s="26" t="s">
        <v>1563</v>
      </c>
      <c r="M1588" s="26" t="s">
        <v>1572</v>
      </c>
      <c r="N1588" s="26" t="s">
        <v>1571</v>
      </c>
      <c r="O1588" s="26" t="s">
        <v>1566</v>
      </c>
      <c r="P1588" s="26" t="s">
        <v>22</v>
      </c>
      <c r="Q1588" s="26">
        <v>800.0</v>
      </c>
    </row>
    <row r="1589" ht="17.25" customHeight="1">
      <c r="A1589" s="51">
        <v>46169.49434449074</v>
      </c>
      <c r="B1589" s="25" t="s">
        <v>1726</v>
      </c>
      <c r="C1589" s="55" t="s">
        <v>1892</v>
      </c>
      <c r="D1589" s="51">
        <v>46167.487993518516</v>
      </c>
      <c r="E1589" s="52">
        <v>1400.0</v>
      </c>
      <c r="F1589" s="55" t="s">
        <v>1561</v>
      </c>
      <c r="G1589" s="55">
        <v>831.0</v>
      </c>
      <c r="H1589" s="26"/>
      <c r="I1589" s="26" t="s">
        <v>1727</v>
      </c>
      <c r="J1589" s="26" t="s">
        <v>1225</v>
      </c>
      <c r="K1589" s="26" t="s">
        <v>1562</v>
      </c>
      <c r="L1589" s="26" t="s">
        <v>2133</v>
      </c>
      <c r="M1589" s="26" t="s">
        <v>1564</v>
      </c>
      <c r="N1589" s="26" t="s">
        <v>1566</v>
      </c>
      <c r="O1589" s="26" t="s">
        <v>1566</v>
      </c>
      <c r="P1589" s="26" t="s">
        <v>22</v>
      </c>
      <c r="Q1589" s="26">
        <v>0.0</v>
      </c>
    </row>
    <row r="1590" ht="17.25" customHeight="1">
      <c r="A1590" s="51">
        <v>46169.50205303241</v>
      </c>
      <c r="B1590" s="23" t="s">
        <v>301</v>
      </c>
      <c r="C1590" s="55" t="s">
        <v>1892</v>
      </c>
      <c r="D1590" s="202">
        <v>46169.48799768519</v>
      </c>
      <c r="E1590" s="52">
        <v>10.0</v>
      </c>
      <c r="F1590" s="55" t="s">
        <v>2124</v>
      </c>
      <c r="G1590" s="26"/>
      <c r="H1590" s="26"/>
      <c r="I1590" s="26" t="s">
        <v>302</v>
      </c>
      <c r="J1590" s="26" t="s">
        <v>1830</v>
      </c>
      <c r="K1590" s="26" t="s">
        <v>302</v>
      </c>
      <c r="L1590" s="26" t="s">
        <v>1566</v>
      </c>
      <c r="M1590" s="26" t="s">
        <v>1566</v>
      </c>
      <c r="N1590" s="26" t="s">
        <v>1566</v>
      </c>
      <c r="O1590" s="26" t="s">
        <v>1566</v>
      </c>
      <c r="P1590" s="26" t="s">
        <v>661</v>
      </c>
      <c r="Q1590" s="26">
        <v>580.0</v>
      </c>
    </row>
    <row r="1591" ht="17.25" customHeight="1">
      <c r="A1591" s="51">
        <v>46170.43549646991</v>
      </c>
      <c r="B1591" s="27" t="s">
        <v>1269</v>
      </c>
      <c r="C1591" s="55" t="s">
        <v>1560</v>
      </c>
      <c r="D1591" s="202">
        <v>46169.48799768519</v>
      </c>
      <c r="E1591" s="52">
        <v>1.0</v>
      </c>
      <c r="F1591" s="55" t="s">
        <v>1673</v>
      </c>
      <c r="G1591" s="26"/>
      <c r="H1591" s="26"/>
      <c r="I1591" s="26" t="s">
        <v>1270</v>
      </c>
      <c r="J1591" s="26" t="s">
        <v>1812</v>
      </c>
      <c r="K1591" s="26" t="s">
        <v>1815</v>
      </c>
      <c r="L1591" s="26" t="s">
        <v>1566</v>
      </c>
      <c r="M1591" s="26" t="s">
        <v>1566</v>
      </c>
      <c r="N1591" s="26" t="s">
        <v>1566</v>
      </c>
      <c r="O1591" s="26" t="s">
        <v>1566</v>
      </c>
      <c r="P1591" s="26" t="s">
        <v>616</v>
      </c>
      <c r="Q1591" s="26">
        <v>2.0</v>
      </c>
    </row>
    <row r="1592" ht="17.25" customHeight="1">
      <c r="A1592" s="51">
        <v>46170.43582216435</v>
      </c>
      <c r="B1592" s="23" t="s">
        <v>32</v>
      </c>
      <c r="C1592" s="55" t="s">
        <v>1560</v>
      </c>
      <c r="D1592" s="202">
        <v>46169.48799768519</v>
      </c>
      <c r="E1592" s="52">
        <v>2.0</v>
      </c>
      <c r="F1592" s="55" t="s">
        <v>1673</v>
      </c>
      <c r="G1592" s="26"/>
      <c r="H1592" s="26"/>
      <c r="I1592" s="26" t="s">
        <v>34</v>
      </c>
      <c r="J1592" s="26" t="s">
        <v>1807</v>
      </c>
      <c r="K1592" s="26" t="s">
        <v>1807</v>
      </c>
      <c r="L1592" s="26" t="s">
        <v>1566</v>
      </c>
      <c r="M1592" s="26" t="s">
        <v>1566</v>
      </c>
      <c r="N1592" s="26" t="s">
        <v>1566</v>
      </c>
      <c r="O1592" s="26" t="s">
        <v>1808</v>
      </c>
      <c r="P1592" s="26" t="s">
        <v>290</v>
      </c>
      <c r="Q1592" s="26">
        <v>7.0</v>
      </c>
    </row>
    <row r="1593" ht="17.25" customHeight="1">
      <c r="A1593" s="51">
        <v>46170.43590790509</v>
      </c>
      <c r="B1593" s="23" t="s">
        <v>682</v>
      </c>
      <c r="C1593" s="55" t="s">
        <v>1560</v>
      </c>
      <c r="D1593" s="202">
        <v>46169.48799768519</v>
      </c>
      <c r="E1593" s="52">
        <v>10.0</v>
      </c>
      <c r="F1593" s="55" t="s">
        <v>1673</v>
      </c>
      <c r="G1593" s="26"/>
      <c r="H1593" s="26"/>
      <c r="I1593" s="26" t="s">
        <v>690</v>
      </c>
      <c r="J1593" s="26" t="s">
        <v>1830</v>
      </c>
      <c r="K1593" s="26" t="s">
        <v>1830</v>
      </c>
      <c r="L1593" s="26" t="s">
        <v>1566</v>
      </c>
      <c r="M1593" s="26" t="s">
        <v>1566</v>
      </c>
      <c r="N1593" s="26" t="s">
        <v>1566</v>
      </c>
      <c r="O1593" s="26" t="s">
        <v>1566</v>
      </c>
      <c r="P1593" s="26" t="s">
        <v>661</v>
      </c>
      <c r="Q1593" s="26">
        <v>14.0</v>
      </c>
    </row>
    <row r="1594" ht="17.25" customHeight="1">
      <c r="A1594" s="51">
        <v>46170.43610298611</v>
      </c>
      <c r="B1594" s="27" t="s">
        <v>1269</v>
      </c>
      <c r="C1594" s="55" t="s">
        <v>1892</v>
      </c>
      <c r="D1594" s="51">
        <v>46170.43610298611</v>
      </c>
      <c r="E1594" s="52">
        <v>0.5</v>
      </c>
      <c r="F1594" s="55" t="s">
        <v>2124</v>
      </c>
      <c r="G1594" s="26"/>
      <c r="H1594" s="26"/>
      <c r="I1594" s="26" t="s">
        <v>1270</v>
      </c>
      <c r="J1594" s="26" t="s">
        <v>1812</v>
      </c>
      <c r="K1594" s="26" t="s">
        <v>1815</v>
      </c>
      <c r="L1594" s="26" t="s">
        <v>1566</v>
      </c>
      <c r="M1594" s="26" t="s">
        <v>1566</v>
      </c>
      <c r="N1594" s="26" t="s">
        <v>1566</v>
      </c>
      <c r="O1594" s="26" t="s">
        <v>1566</v>
      </c>
      <c r="P1594" s="26" t="s">
        <v>616</v>
      </c>
      <c r="Q1594" s="26">
        <v>2.0</v>
      </c>
    </row>
    <row r="1595" ht="17.25" customHeight="1">
      <c r="A1595" s="51">
        <v>46170.43626081018</v>
      </c>
      <c r="B1595" s="23" t="s">
        <v>301</v>
      </c>
      <c r="C1595" s="55" t="s">
        <v>1892</v>
      </c>
      <c r="D1595" s="51">
        <v>46170.43610298611</v>
      </c>
      <c r="E1595" s="52">
        <v>10.0</v>
      </c>
      <c r="F1595" s="55" t="s">
        <v>2124</v>
      </c>
      <c r="G1595" s="26"/>
      <c r="H1595" s="26"/>
      <c r="I1595" s="26" t="s">
        <v>302</v>
      </c>
      <c r="J1595" s="26" t="s">
        <v>1830</v>
      </c>
      <c r="K1595" s="26" t="s">
        <v>302</v>
      </c>
      <c r="L1595" s="26" t="s">
        <v>1566</v>
      </c>
      <c r="M1595" s="26" t="s">
        <v>1566</v>
      </c>
      <c r="N1595" s="26" t="s">
        <v>1566</v>
      </c>
      <c r="O1595" s="26" t="s">
        <v>1566</v>
      </c>
      <c r="P1595" s="26" t="s">
        <v>661</v>
      </c>
      <c r="Q1595" s="26">
        <v>580.0</v>
      </c>
    </row>
    <row r="1596" ht="17.25" customHeight="1">
      <c r="A1596" s="51">
        <v>46170.436683611115</v>
      </c>
      <c r="B1596" s="23" t="s">
        <v>32</v>
      </c>
      <c r="C1596" s="55" t="s">
        <v>1892</v>
      </c>
      <c r="D1596" s="111">
        <v>46169.0</v>
      </c>
      <c r="E1596" s="52">
        <v>2.0</v>
      </c>
      <c r="F1596" s="55" t="s">
        <v>2124</v>
      </c>
      <c r="G1596" s="26"/>
      <c r="H1596" s="26"/>
      <c r="I1596" s="26" t="s">
        <v>34</v>
      </c>
      <c r="J1596" s="26" t="s">
        <v>1807</v>
      </c>
      <c r="K1596" s="26" t="s">
        <v>1807</v>
      </c>
      <c r="L1596" s="26" t="s">
        <v>1566</v>
      </c>
      <c r="M1596" s="26" t="s">
        <v>1566</v>
      </c>
      <c r="N1596" s="26" t="s">
        <v>1566</v>
      </c>
      <c r="O1596" s="26" t="s">
        <v>1808</v>
      </c>
      <c r="P1596" s="26" t="s">
        <v>290</v>
      </c>
      <c r="Q1596" s="26">
        <v>7.0</v>
      </c>
    </row>
    <row r="1597" ht="17.25" customHeight="1">
      <c r="A1597" s="51">
        <v>46172.743939837965</v>
      </c>
      <c r="B1597" s="25" t="s">
        <v>892</v>
      </c>
      <c r="C1597" s="55" t="s">
        <v>1892</v>
      </c>
      <c r="D1597" s="111">
        <v>46169.0</v>
      </c>
      <c r="E1597" s="52">
        <v>20.0</v>
      </c>
      <c r="F1597" s="55" t="s">
        <v>2124</v>
      </c>
      <c r="G1597" s="26"/>
      <c r="H1597" s="26"/>
      <c r="I1597" s="26" t="s">
        <v>893</v>
      </c>
      <c r="J1597" s="26" t="s">
        <v>1812</v>
      </c>
      <c r="K1597" s="26" t="s">
        <v>1813</v>
      </c>
      <c r="L1597" s="26" t="s">
        <v>1566</v>
      </c>
      <c r="M1597" s="26" t="s">
        <v>1566</v>
      </c>
      <c r="N1597" s="26" t="s">
        <v>1566</v>
      </c>
      <c r="O1597" s="26" t="s">
        <v>1809</v>
      </c>
      <c r="P1597" s="26" t="s">
        <v>290</v>
      </c>
      <c r="Q1597" s="26">
        <v>20.0</v>
      </c>
    </row>
    <row r="1598" ht="17.25" customHeight="1">
      <c r="A1598" s="51">
        <v>46170.44142296296</v>
      </c>
      <c r="B1598" s="27" t="s">
        <v>2016</v>
      </c>
      <c r="C1598" s="55" t="s">
        <v>1560</v>
      </c>
      <c r="D1598" s="111">
        <v>46169.0</v>
      </c>
      <c r="E1598" s="52">
        <v>4.0</v>
      </c>
      <c r="F1598" s="55" t="s">
        <v>1673</v>
      </c>
      <c r="G1598" s="26"/>
      <c r="H1598" s="26"/>
      <c r="I1598" s="26" t="s">
        <v>2017</v>
      </c>
      <c r="J1598" s="26" t="s">
        <v>1844</v>
      </c>
      <c r="K1598" s="26" t="s">
        <v>1846</v>
      </c>
      <c r="L1598" s="26" t="s">
        <v>1566</v>
      </c>
      <c r="M1598" s="26" t="s">
        <v>1865</v>
      </c>
      <c r="N1598" s="26" t="s">
        <v>1566</v>
      </c>
      <c r="O1598" s="26" t="s">
        <v>1566</v>
      </c>
      <c r="P1598" s="26" t="s">
        <v>643</v>
      </c>
      <c r="Q1598" s="26">
        <v>0.0</v>
      </c>
    </row>
    <row r="1599" ht="17.25" customHeight="1">
      <c r="A1599" s="51">
        <v>46170.643170219904</v>
      </c>
      <c r="B1599" s="25" t="s">
        <v>312</v>
      </c>
      <c r="C1599" s="55" t="s">
        <v>1892</v>
      </c>
      <c r="D1599" s="111">
        <v>46169.0</v>
      </c>
      <c r="E1599" s="52">
        <v>4.0</v>
      </c>
      <c r="F1599" s="55" t="s">
        <v>1894</v>
      </c>
      <c r="G1599" s="26"/>
      <c r="H1599" s="26"/>
      <c r="I1599" s="26" t="s">
        <v>319</v>
      </c>
      <c r="J1599" s="26" t="s">
        <v>1821</v>
      </c>
      <c r="K1599" s="26" t="s">
        <v>1822</v>
      </c>
      <c r="L1599" s="26" t="s">
        <v>1566</v>
      </c>
      <c r="M1599" s="26" t="s">
        <v>1566</v>
      </c>
      <c r="N1599" s="26" t="s">
        <v>1566</v>
      </c>
      <c r="O1599" s="26" t="s">
        <v>1829</v>
      </c>
      <c r="P1599" s="26" t="s">
        <v>661</v>
      </c>
      <c r="Q1599" s="26">
        <v>17.0</v>
      </c>
    </row>
    <row r="1600" ht="17.25" customHeight="1">
      <c r="A1600" s="51">
        <v>46170.64335252315</v>
      </c>
      <c r="B1600" s="25" t="s">
        <v>271</v>
      </c>
      <c r="C1600" s="55" t="s">
        <v>1892</v>
      </c>
      <c r="D1600" s="111">
        <v>46169.0</v>
      </c>
      <c r="E1600" s="52">
        <v>4.0</v>
      </c>
      <c r="F1600" s="55" t="s">
        <v>1894</v>
      </c>
      <c r="G1600" s="26"/>
      <c r="H1600" s="26"/>
      <c r="I1600" s="26" t="s">
        <v>277</v>
      </c>
      <c r="J1600" s="26" t="s">
        <v>1821</v>
      </c>
      <c r="K1600" s="26" t="s">
        <v>1822</v>
      </c>
      <c r="L1600" s="26" t="s">
        <v>1824</v>
      </c>
      <c r="M1600" s="26" t="s">
        <v>1566</v>
      </c>
      <c r="N1600" s="26" t="s">
        <v>1566</v>
      </c>
      <c r="O1600" s="26" t="s">
        <v>1566</v>
      </c>
      <c r="P1600" s="26" t="s">
        <v>661</v>
      </c>
      <c r="Q1600" s="26">
        <v>45.0</v>
      </c>
    </row>
    <row r="1601" ht="17.25" customHeight="1">
      <c r="A1601" s="51">
        <v>46170.64370706018</v>
      </c>
      <c r="B1601" s="25" t="s">
        <v>667</v>
      </c>
      <c r="C1601" s="55" t="s">
        <v>1892</v>
      </c>
      <c r="D1601" s="111">
        <v>46169.0</v>
      </c>
      <c r="E1601" s="52">
        <v>2.0</v>
      </c>
      <c r="F1601" s="55" t="s">
        <v>1894</v>
      </c>
      <c r="G1601" s="26"/>
      <c r="H1601" s="26"/>
      <c r="I1601" s="26" t="s">
        <v>668</v>
      </c>
      <c r="J1601" s="26" t="s">
        <v>1821</v>
      </c>
      <c r="K1601" s="26" t="s">
        <v>1822</v>
      </c>
      <c r="L1601" s="26" t="s">
        <v>1824</v>
      </c>
      <c r="M1601" s="26" t="s">
        <v>1566</v>
      </c>
      <c r="N1601" s="26" t="s">
        <v>1566</v>
      </c>
      <c r="O1601" s="26" t="s">
        <v>1566</v>
      </c>
      <c r="P1601" s="26" t="s">
        <v>661</v>
      </c>
      <c r="Q1601" s="26">
        <v>8.0</v>
      </c>
    </row>
    <row r="1602" ht="17.25" customHeight="1">
      <c r="A1602" s="51">
        <v>46170.68347615741</v>
      </c>
      <c r="B1602" s="25" t="s">
        <v>1039</v>
      </c>
      <c r="C1602" s="55" t="s">
        <v>1892</v>
      </c>
      <c r="D1602" s="51">
        <v>46170.68347615741</v>
      </c>
      <c r="E1602" s="52">
        <v>1.0</v>
      </c>
      <c r="F1602" s="55" t="s">
        <v>2169</v>
      </c>
      <c r="G1602" s="26"/>
      <c r="H1602" s="26"/>
      <c r="I1602" s="26" t="s">
        <v>1040</v>
      </c>
      <c r="J1602" s="26" t="s">
        <v>1830</v>
      </c>
      <c r="K1602" s="26" t="s">
        <v>1833</v>
      </c>
      <c r="L1602" s="26" t="s">
        <v>1566</v>
      </c>
      <c r="M1602" s="26" t="s">
        <v>1566</v>
      </c>
      <c r="N1602" s="26" t="s">
        <v>1566</v>
      </c>
      <c r="O1602" s="26" t="s">
        <v>1566</v>
      </c>
      <c r="P1602" s="26" t="s">
        <v>643</v>
      </c>
      <c r="Q1602" s="26">
        <v>6.0</v>
      </c>
    </row>
    <row r="1603" ht="17.25" customHeight="1">
      <c r="A1603" s="51">
        <v>46170.68373079861</v>
      </c>
      <c r="B1603" s="25" t="s">
        <v>292</v>
      </c>
      <c r="C1603" s="55" t="s">
        <v>1892</v>
      </c>
      <c r="D1603" s="51">
        <v>46170.68347615741</v>
      </c>
      <c r="E1603" s="52">
        <v>2.0</v>
      </c>
      <c r="F1603" s="55" t="s">
        <v>2169</v>
      </c>
      <c r="G1603" s="26"/>
      <c r="H1603" s="26"/>
      <c r="I1603" s="26" t="s">
        <v>294</v>
      </c>
      <c r="J1603" s="26" t="s">
        <v>1674</v>
      </c>
      <c r="K1603" s="26" t="s">
        <v>1675</v>
      </c>
      <c r="L1603" s="26" t="s">
        <v>1566</v>
      </c>
      <c r="M1603" s="26" t="s">
        <v>1566</v>
      </c>
      <c r="N1603" s="26" t="s">
        <v>1678</v>
      </c>
      <c r="O1603" s="26" t="s">
        <v>1677</v>
      </c>
      <c r="P1603" s="26" t="s">
        <v>290</v>
      </c>
      <c r="Q1603" s="26">
        <v>10.0</v>
      </c>
    </row>
    <row r="1604" ht="17.25" customHeight="1">
      <c r="A1604" s="51">
        <v>46170.68373079861</v>
      </c>
      <c r="B1604" s="25" t="s">
        <v>297</v>
      </c>
      <c r="C1604" s="55" t="s">
        <v>1892</v>
      </c>
      <c r="D1604" s="51">
        <v>46170.68347615741</v>
      </c>
      <c r="E1604" s="52">
        <v>2.0</v>
      </c>
      <c r="F1604" s="55" t="s">
        <v>2169</v>
      </c>
      <c r="G1604" s="26"/>
      <c r="H1604" s="26"/>
      <c r="I1604" s="26" t="s">
        <v>298</v>
      </c>
      <c r="J1604" s="26" t="s">
        <v>1674</v>
      </c>
      <c r="K1604" s="26" t="s">
        <v>1675</v>
      </c>
      <c r="L1604" s="26" t="s">
        <v>1566</v>
      </c>
      <c r="M1604" s="26" t="s">
        <v>1566</v>
      </c>
      <c r="N1604" s="26" t="s">
        <v>1680</v>
      </c>
      <c r="O1604" s="26" t="s">
        <v>1677</v>
      </c>
      <c r="P1604" s="26" t="s">
        <v>290</v>
      </c>
      <c r="Q1604" s="26">
        <v>10.0</v>
      </c>
    </row>
    <row r="1605" ht="17.25" customHeight="1">
      <c r="A1605" s="51">
        <v>46170.68373079861</v>
      </c>
      <c r="B1605" s="25" t="s">
        <v>304</v>
      </c>
      <c r="C1605" s="55" t="s">
        <v>1892</v>
      </c>
      <c r="D1605" s="51">
        <v>46170.68347615741</v>
      </c>
      <c r="E1605" s="52">
        <v>2.0</v>
      </c>
      <c r="F1605" s="55" t="s">
        <v>2169</v>
      </c>
      <c r="G1605" s="26"/>
      <c r="H1605" s="26"/>
      <c r="I1605" s="26" t="s">
        <v>306</v>
      </c>
      <c r="J1605" s="26" t="s">
        <v>1674</v>
      </c>
      <c r="K1605" s="26" t="s">
        <v>1675</v>
      </c>
      <c r="L1605" s="26" t="s">
        <v>1566</v>
      </c>
      <c r="M1605" s="26" t="s">
        <v>1566</v>
      </c>
      <c r="N1605" s="26" t="s">
        <v>1682</v>
      </c>
      <c r="O1605" s="26" t="s">
        <v>1677</v>
      </c>
      <c r="P1605" s="26" t="s">
        <v>290</v>
      </c>
      <c r="Q1605" s="26">
        <v>6.0</v>
      </c>
    </row>
    <row r="1606" ht="17.25" customHeight="1">
      <c r="A1606" s="51">
        <v>46171.43201175926</v>
      </c>
      <c r="B1606" s="23" t="s">
        <v>21</v>
      </c>
      <c r="C1606" s="55" t="s">
        <v>1892</v>
      </c>
      <c r="D1606" s="51">
        <v>46171.43201175926</v>
      </c>
      <c r="E1606" s="24">
        <v>20.0</v>
      </c>
      <c r="F1606" s="55" t="s">
        <v>2169</v>
      </c>
      <c r="G1606" s="26"/>
      <c r="H1606" s="26"/>
      <c r="I1606" s="26" t="s">
        <v>23</v>
      </c>
      <c r="J1606" s="26" t="s">
        <v>1812</v>
      </c>
      <c r="K1606" s="26" t="s">
        <v>1815</v>
      </c>
      <c r="L1606" s="26" t="s">
        <v>1566</v>
      </c>
      <c r="M1606" s="26" t="s">
        <v>1566</v>
      </c>
      <c r="N1606" s="26" t="s">
        <v>1566</v>
      </c>
      <c r="O1606" s="26" t="s">
        <v>1818</v>
      </c>
      <c r="P1606" s="26" t="s">
        <v>616</v>
      </c>
      <c r="Q1606" s="26">
        <v>20.0</v>
      </c>
    </row>
    <row r="1607" ht="17.25" customHeight="1">
      <c r="A1607" s="51">
        <v>46171.45804679398</v>
      </c>
      <c r="B1607" s="23" t="s">
        <v>301</v>
      </c>
      <c r="C1607" s="55" t="s">
        <v>1892</v>
      </c>
      <c r="D1607" s="51">
        <v>46171.43201175926</v>
      </c>
      <c r="E1607" s="52">
        <v>5.0</v>
      </c>
      <c r="F1607" s="55" t="s">
        <v>1894</v>
      </c>
      <c r="G1607" s="26"/>
      <c r="H1607" s="26"/>
      <c r="I1607" s="26" t="s">
        <v>302</v>
      </c>
      <c r="J1607" s="26" t="s">
        <v>1830</v>
      </c>
      <c r="K1607" s="26" t="s">
        <v>302</v>
      </c>
      <c r="L1607" s="26" t="s">
        <v>1566</v>
      </c>
      <c r="M1607" s="26" t="s">
        <v>1566</v>
      </c>
      <c r="N1607" s="26" t="s">
        <v>1566</v>
      </c>
      <c r="O1607" s="26" t="s">
        <v>1566</v>
      </c>
      <c r="P1607" s="26" t="s">
        <v>661</v>
      </c>
      <c r="Q1607" s="26">
        <v>580.0</v>
      </c>
    </row>
    <row r="1608" ht="17.25" customHeight="1">
      <c r="A1608" s="51">
        <v>46171.474495625</v>
      </c>
      <c r="B1608" s="25" t="s">
        <v>948</v>
      </c>
      <c r="C1608" s="55" t="s">
        <v>1892</v>
      </c>
      <c r="D1608" s="51">
        <v>46171.43201175926</v>
      </c>
      <c r="E1608" s="52">
        <v>2.0</v>
      </c>
      <c r="F1608" s="55" t="s">
        <v>2075</v>
      </c>
      <c r="G1608" s="26"/>
      <c r="H1608" s="26"/>
      <c r="I1608" s="26" t="s">
        <v>952</v>
      </c>
      <c r="J1608" s="26" t="s">
        <v>1812</v>
      </c>
      <c r="K1608" s="26" t="s">
        <v>1815</v>
      </c>
      <c r="L1608" s="26" t="s">
        <v>1566</v>
      </c>
      <c r="M1608" s="26" t="s">
        <v>1566</v>
      </c>
      <c r="N1608" s="26" t="s">
        <v>1566</v>
      </c>
      <c r="O1608" s="26" t="s">
        <v>2060</v>
      </c>
      <c r="P1608" s="26" t="s">
        <v>616</v>
      </c>
      <c r="Q1608" s="26">
        <v>5.0</v>
      </c>
    </row>
    <row r="1609" ht="17.25" customHeight="1">
      <c r="A1609" s="51">
        <v>46171.57271806713</v>
      </c>
      <c r="B1609" s="55" t="s">
        <v>33</v>
      </c>
      <c r="C1609" s="55" t="s">
        <v>1892</v>
      </c>
      <c r="D1609" s="51">
        <v>46171.43201175926</v>
      </c>
      <c r="E1609" s="52">
        <v>400.0</v>
      </c>
      <c r="F1609" s="55" t="s">
        <v>2096</v>
      </c>
      <c r="G1609" s="26"/>
      <c r="H1609" s="26"/>
      <c r="I1609" s="26" t="s">
        <v>35</v>
      </c>
      <c r="J1609" s="26" t="s">
        <v>1225</v>
      </c>
      <c r="K1609" s="26" t="s">
        <v>1562</v>
      </c>
      <c r="L1609" s="26" t="s">
        <v>1573</v>
      </c>
      <c r="M1609" s="26" t="s">
        <v>1575</v>
      </c>
      <c r="N1609" s="26" t="s">
        <v>1566</v>
      </c>
      <c r="O1609" s="26" t="s">
        <v>1566</v>
      </c>
      <c r="P1609" s="26" t="s">
        <v>22</v>
      </c>
      <c r="Q1609" s="26">
        <v>2600.0</v>
      </c>
    </row>
    <row r="1610" ht="17.25" customHeight="1">
      <c r="A1610" s="51">
        <v>46171.57283547454</v>
      </c>
      <c r="B1610" s="25" t="s">
        <v>33</v>
      </c>
      <c r="C1610" s="55" t="s">
        <v>1560</v>
      </c>
      <c r="D1610" s="111">
        <v>46169.0</v>
      </c>
      <c r="E1610" s="52">
        <v>1500.0</v>
      </c>
      <c r="F1610" s="55" t="s">
        <v>1561</v>
      </c>
      <c r="G1610" s="55" t="s">
        <v>2310</v>
      </c>
      <c r="H1610" s="26"/>
      <c r="I1610" s="26" t="s">
        <v>35</v>
      </c>
      <c r="J1610" s="26" t="s">
        <v>1225</v>
      </c>
      <c r="K1610" s="26" t="s">
        <v>1562</v>
      </c>
      <c r="L1610" s="26" t="s">
        <v>1573</v>
      </c>
      <c r="M1610" s="26" t="s">
        <v>1575</v>
      </c>
      <c r="N1610" s="26" t="s">
        <v>1566</v>
      </c>
      <c r="O1610" s="26" t="s">
        <v>1566</v>
      </c>
      <c r="P1610" s="26" t="s">
        <v>22</v>
      </c>
      <c r="Q1610" s="26">
        <v>2600.0</v>
      </c>
    </row>
    <row r="1611" ht="17.25" customHeight="1">
      <c r="A1611" s="51">
        <v>46171.5732684838</v>
      </c>
      <c r="B1611" s="25" t="s">
        <v>1098</v>
      </c>
      <c r="C1611" s="55" t="s">
        <v>1560</v>
      </c>
      <c r="D1611" s="111">
        <v>46169.0</v>
      </c>
      <c r="E1611" s="52">
        <v>1100.0</v>
      </c>
      <c r="F1611" s="55" t="s">
        <v>1561</v>
      </c>
      <c r="G1611" s="55" t="s">
        <v>2311</v>
      </c>
      <c r="H1611" s="26"/>
      <c r="I1611" s="26" t="s">
        <v>1099</v>
      </c>
      <c r="J1611" s="26" t="s">
        <v>1225</v>
      </c>
      <c r="K1611" s="26" t="s">
        <v>1562</v>
      </c>
      <c r="L1611" s="26" t="s">
        <v>1584</v>
      </c>
      <c r="M1611" s="26" t="s">
        <v>1575</v>
      </c>
      <c r="N1611" s="26" t="s">
        <v>1566</v>
      </c>
      <c r="O1611" s="26" t="s">
        <v>1566</v>
      </c>
      <c r="P1611" s="26" t="s">
        <v>22</v>
      </c>
      <c r="Q1611" s="26">
        <v>6700.0</v>
      </c>
    </row>
    <row r="1612" ht="17.25" customHeight="1">
      <c r="A1612" s="51">
        <v>46171.574531122686</v>
      </c>
      <c r="B1612" s="26" t="s">
        <v>1741</v>
      </c>
      <c r="C1612" s="55" t="s">
        <v>1560</v>
      </c>
      <c r="D1612" s="111">
        <v>46169.0</v>
      </c>
      <c r="E1612" s="52">
        <v>1400.0</v>
      </c>
      <c r="F1612" s="55" t="s">
        <v>1561</v>
      </c>
      <c r="G1612" s="55" t="s">
        <v>2312</v>
      </c>
      <c r="H1612" s="26"/>
      <c r="I1612" s="26" t="s">
        <v>1742</v>
      </c>
      <c r="J1612" s="26" t="s">
        <v>1225</v>
      </c>
      <c r="K1612" s="26" t="s">
        <v>1562</v>
      </c>
      <c r="L1612" s="26" t="s">
        <v>1656</v>
      </c>
      <c r="M1612" s="26" t="s">
        <v>1575</v>
      </c>
      <c r="N1612" s="26" t="s">
        <v>1566</v>
      </c>
      <c r="O1612" s="26" t="s">
        <v>1566</v>
      </c>
      <c r="P1612" s="26" t="s">
        <v>22</v>
      </c>
      <c r="Q1612" s="26">
        <v>0.0</v>
      </c>
    </row>
    <row r="1613" ht="17.25" customHeight="1">
      <c r="A1613" s="51">
        <v>46171.575055740745</v>
      </c>
      <c r="B1613" s="25" t="s">
        <v>1240</v>
      </c>
      <c r="C1613" s="55" t="s">
        <v>1560</v>
      </c>
      <c r="D1613" s="111">
        <v>46169.0</v>
      </c>
      <c r="E1613" s="52">
        <v>1000.0</v>
      </c>
      <c r="F1613" s="55" t="s">
        <v>1561</v>
      </c>
      <c r="G1613" s="55" t="s">
        <v>2313</v>
      </c>
      <c r="H1613" s="26"/>
      <c r="I1613" s="26" t="s">
        <v>1241</v>
      </c>
      <c r="J1613" s="26" t="s">
        <v>1225</v>
      </c>
      <c r="K1613" s="26" t="s">
        <v>1562</v>
      </c>
      <c r="L1613" s="26" t="s">
        <v>1633</v>
      </c>
      <c r="M1613" s="26" t="s">
        <v>1586</v>
      </c>
      <c r="N1613" s="26" t="s">
        <v>1566</v>
      </c>
      <c r="O1613" s="26" t="s">
        <v>1566</v>
      </c>
      <c r="P1613" s="26" t="s">
        <v>22</v>
      </c>
      <c r="Q1613" s="26">
        <v>700.0</v>
      </c>
    </row>
    <row r="1614" ht="17.25" customHeight="1">
      <c r="A1614" s="51">
        <v>46171.57562232639</v>
      </c>
      <c r="B1614" s="25" t="s">
        <v>18</v>
      </c>
      <c r="C1614" s="55" t="s">
        <v>1560</v>
      </c>
      <c r="D1614" s="111">
        <v>46169.0</v>
      </c>
      <c r="E1614" s="52">
        <v>400.0</v>
      </c>
      <c r="F1614" s="55" t="s">
        <v>1561</v>
      </c>
      <c r="G1614" s="55" t="s">
        <v>2314</v>
      </c>
      <c r="H1614" s="26"/>
      <c r="I1614" s="26" t="s">
        <v>20</v>
      </c>
      <c r="J1614" s="26" t="s">
        <v>1225</v>
      </c>
      <c r="K1614" s="26" t="s">
        <v>1562</v>
      </c>
      <c r="L1614" s="26" t="s">
        <v>1563</v>
      </c>
      <c r="M1614" s="26" t="s">
        <v>1572</v>
      </c>
      <c r="N1614" s="26" t="s">
        <v>1565</v>
      </c>
      <c r="O1614" s="26" t="s">
        <v>1566</v>
      </c>
      <c r="P1614" s="26" t="s">
        <v>22</v>
      </c>
      <c r="Q1614" s="26">
        <v>400.0</v>
      </c>
    </row>
    <row r="1615" ht="17.25" customHeight="1">
      <c r="A1615" s="51">
        <v>46171.581918055555</v>
      </c>
      <c r="B1615" s="26" t="s">
        <v>1743</v>
      </c>
      <c r="C1615" s="55" t="s">
        <v>1560</v>
      </c>
      <c r="D1615" s="111">
        <v>46168.0</v>
      </c>
      <c r="E1615" s="52">
        <v>12600.0</v>
      </c>
      <c r="F1615" s="55" t="s">
        <v>1561</v>
      </c>
      <c r="G1615" s="55" t="s">
        <v>2315</v>
      </c>
      <c r="H1615" s="26"/>
      <c r="I1615" s="26" t="s">
        <v>1744</v>
      </c>
      <c r="J1615" s="26" t="s">
        <v>1225</v>
      </c>
      <c r="K1615" s="26" t="s">
        <v>1562</v>
      </c>
      <c r="L1615" s="26" t="s">
        <v>1591</v>
      </c>
      <c r="M1615" s="26" t="s">
        <v>1572</v>
      </c>
      <c r="N1615" s="26" t="s">
        <v>1566</v>
      </c>
      <c r="O1615" s="26" t="s">
        <v>1566</v>
      </c>
      <c r="P1615" s="26" t="s">
        <v>22</v>
      </c>
      <c r="Q1615" s="26">
        <v>0.0</v>
      </c>
    </row>
    <row r="1616" ht="17.25" customHeight="1">
      <c r="A1616" s="51">
        <v>46171.582150057875</v>
      </c>
      <c r="B1616" s="26" t="s">
        <v>1743</v>
      </c>
      <c r="C1616" s="55" t="s">
        <v>1892</v>
      </c>
      <c r="D1616" s="51">
        <v>46171.581918055555</v>
      </c>
      <c r="E1616" s="52">
        <v>12600.0</v>
      </c>
      <c r="F1616" s="55" t="s">
        <v>1561</v>
      </c>
      <c r="G1616" s="55">
        <v>841.0</v>
      </c>
      <c r="H1616" s="26"/>
      <c r="I1616" s="26" t="s">
        <v>1744</v>
      </c>
      <c r="J1616" s="26" t="s">
        <v>1225</v>
      </c>
      <c r="K1616" s="26" t="s">
        <v>1562</v>
      </c>
      <c r="L1616" s="26" t="s">
        <v>1591</v>
      </c>
      <c r="M1616" s="26" t="s">
        <v>1572</v>
      </c>
      <c r="N1616" s="26" t="s">
        <v>1566</v>
      </c>
      <c r="O1616" s="26" t="s">
        <v>1566</v>
      </c>
      <c r="P1616" s="26" t="s">
        <v>22</v>
      </c>
      <c r="Q1616" s="26">
        <v>0.0</v>
      </c>
    </row>
    <row r="1617" ht="17.25" customHeight="1">
      <c r="A1617" s="51">
        <v>46172.44735642361</v>
      </c>
      <c r="B1617" s="25" t="s">
        <v>33</v>
      </c>
      <c r="C1617" s="55" t="s">
        <v>1892</v>
      </c>
      <c r="D1617" s="51">
        <v>46171.581918055555</v>
      </c>
      <c r="E1617" s="52">
        <v>1400.0</v>
      </c>
      <c r="F1617" s="55" t="s">
        <v>1561</v>
      </c>
      <c r="G1617" s="55">
        <v>836.0</v>
      </c>
      <c r="H1617" s="26"/>
      <c r="I1617" s="26" t="s">
        <v>35</v>
      </c>
      <c r="J1617" s="26" t="s">
        <v>1225</v>
      </c>
      <c r="K1617" s="26" t="s">
        <v>1562</v>
      </c>
      <c r="L1617" s="26" t="s">
        <v>1573</v>
      </c>
      <c r="M1617" s="26" t="s">
        <v>1575</v>
      </c>
      <c r="N1617" s="26" t="s">
        <v>1566</v>
      </c>
      <c r="O1617" s="26" t="s">
        <v>1566</v>
      </c>
      <c r="P1617" s="26" t="s">
        <v>22</v>
      </c>
      <c r="Q1617" s="26">
        <v>2600.0</v>
      </c>
    </row>
    <row r="1618" ht="17.25" customHeight="1">
      <c r="A1618" s="51">
        <v>46172.4482350926</v>
      </c>
      <c r="B1618" s="25" t="s">
        <v>179</v>
      </c>
      <c r="C1618" s="55" t="s">
        <v>1892</v>
      </c>
      <c r="D1618" s="51">
        <v>46171.581918055555</v>
      </c>
      <c r="E1618" s="52">
        <v>1440.0</v>
      </c>
      <c r="F1618" s="55" t="s">
        <v>1561</v>
      </c>
      <c r="G1618" s="55">
        <v>837.0</v>
      </c>
      <c r="H1618" s="26"/>
      <c r="I1618" s="26" t="s">
        <v>180</v>
      </c>
      <c r="J1618" s="26" t="s">
        <v>1225</v>
      </c>
      <c r="K1618" s="26" t="s">
        <v>1653</v>
      </c>
      <c r="L1618" s="26" t="s">
        <v>1563</v>
      </c>
      <c r="M1618" s="26" t="s">
        <v>1572</v>
      </c>
      <c r="N1618" s="26" t="s">
        <v>1654</v>
      </c>
      <c r="O1618" s="26" t="s">
        <v>1566</v>
      </c>
      <c r="P1618" s="26" t="s">
        <v>22</v>
      </c>
      <c r="Q1618" s="26">
        <v>0.0</v>
      </c>
    </row>
    <row r="1619" ht="17.25" customHeight="1">
      <c r="A1619" s="51">
        <v>46172.4487228125</v>
      </c>
      <c r="B1619" s="25" t="s">
        <v>778</v>
      </c>
      <c r="C1619" s="55" t="s">
        <v>1892</v>
      </c>
      <c r="D1619" s="51">
        <v>46171.581918055555</v>
      </c>
      <c r="E1619" s="52">
        <v>3600.0</v>
      </c>
      <c r="F1619" s="55" t="s">
        <v>1561</v>
      </c>
      <c r="G1619" s="55">
        <v>838.0</v>
      </c>
      <c r="H1619" s="26"/>
      <c r="I1619" s="26" t="s">
        <v>779</v>
      </c>
      <c r="J1619" s="26" t="s">
        <v>1225</v>
      </c>
      <c r="K1619" s="26" t="s">
        <v>1653</v>
      </c>
      <c r="L1619" s="26" t="s">
        <v>1576</v>
      </c>
      <c r="M1619" s="26" t="s">
        <v>1572</v>
      </c>
      <c r="N1619" s="26" t="s">
        <v>1566</v>
      </c>
      <c r="O1619" s="26" t="s">
        <v>1654</v>
      </c>
      <c r="P1619" s="26" t="s">
        <v>22</v>
      </c>
      <c r="Q1619" s="26">
        <v>0.0</v>
      </c>
    </row>
    <row r="1620" ht="17.25" customHeight="1">
      <c r="A1620" s="51">
        <v>46172.44927025463</v>
      </c>
      <c r="B1620" s="25" t="s">
        <v>1253</v>
      </c>
      <c r="C1620" s="55" t="s">
        <v>1892</v>
      </c>
      <c r="D1620" s="51">
        <v>46171.581918055555</v>
      </c>
      <c r="E1620" s="52">
        <v>1080.0</v>
      </c>
      <c r="F1620" s="55" t="s">
        <v>1561</v>
      </c>
      <c r="G1620" s="55">
        <v>839.0</v>
      </c>
      <c r="H1620" s="26"/>
      <c r="I1620" s="26" t="s">
        <v>1254</v>
      </c>
      <c r="J1620" s="26" t="s">
        <v>1225</v>
      </c>
      <c r="K1620" s="26" t="s">
        <v>1653</v>
      </c>
      <c r="L1620" s="26" t="s">
        <v>1582</v>
      </c>
      <c r="M1620" s="26" t="s">
        <v>1572</v>
      </c>
      <c r="N1620" s="26" t="s">
        <v>1566</v>
      </c>
      <c r="O1620" s="26" t="s">
        <v>1654</v>
      </c>
      <c r="P1620" s="26" t="s">
        <v>22</v>
      </c>
      <c r="Q1620" s="26">
        <v>792.0</v>
      </c>
    </row>
    <row r="1621" ht="17.25" customHeight="1">
      <c r="A1621" s="51">
        <v>46172.449731875</v>
      </c>
      <c r="B1621" s="25" t="s">
        <v>538</v>
      </c>
      <c r="C1621" s="55" t="s">
        <v>1892</v>
      </c>
      <c r="D1621" s="51">
        <v>46171.581918055555</v>
      </c>
      <c r="E1621" s="52">
        <v>576.0</v>
      </c>
      <c r="F1621" s="55" t="s">
        <v>1561</v>
      </c>
      <c r="G1621" s="55">
        <v>840.0</v>
      </c>
      <c r="H1621" s="26"/>
      <c r="I1621" s="26" t="s">
        <v>539</v>
      </c>
      <c r="J1621" s="26" t="s">
        <v>1225</v>
      </c>
      <c r="K1621" s="26" t="s">
        <v>1653</v>
      </c>
      <c r="L1621" s="26" t="s">
        <v>1600</v>
      </c>
      <c r="M1621" s="26" t="s">
        <v>1572</v>
      </c>
      <c r="N1621" s="26" t="s">
        <v>1566</v>
      </c>
      <c r="O1621" s="26" t="s">
        <v>1654</v>
      </c>
      <c r="P1621" s="26" t="s">
        <v>22</v>
      </c>
      <c r="Q1621" s="26">
        <v>576.0</v>
      </c>
    </row>
    <row r="1622" ht="17.25" customHeight="1">
      <c r="A1622" s="51">
        <v>46172.465989432865</v>
      </c>
      <c r="B1622" s="25" t="s">
        <v>2008</v>
      </c>
      <c r="C1622" s="55" t="s">
        <v>1892</v>
      </c>
      <c r="D1622" s="51">
        <v>46171.581918055555</v>
      </c>
      <c r="E1622" s="52">
        <v>500.0</v>
      </c>
      <c r="F1622" s="55" t="s">
        <v>1561</v>
      </c>
      <c r="G1622" s="55">
        <v>843.0</v>
      </c>
      <c r="H1622" s="26"/>
      <c r="I1622" s="26" t="s">
        <v>2009</v>
      </c>
      <c r="J1622" s="26" t="s">
        <v>1225</v>
      </c>
      <c r="K1622" s="26" t="s">
        <v>1642</v>
      </c>
      <c r="L1622" s="26" t="s">
        <v>2170</v>
      </c>
      <c r="M1622" s="26" t="s">
        <v>1574</v>
      </c>
      <c r="N1622" s="26" t="s">
        <v>1566</v>
      </c>
      <c r="O1622" s="26" t="s">
        <v>1566</v>
      </c>
      <c r="P1622" s="26" t="s">
        <v>22</v>
      </c>
      <c r="Q1622" s="26">
        <v>0.0</v>
      </c>
    </row>
    <row r="1623" ht="17.25" customHeight="1">
      <c r="A1623" s="51">
        <v>46172.471256770834</v>
      </c>
      <c r="B1623" s="27" t="s">
        <v>1746</v>
      </c>
      <c r="C1623" s="55" t="s">
        <v>1560</v>
      </c>
      <c r="D1623" s="51">
        <v>46171.581918055555</v>
      </c>
      <c r="E1623" s="52">
        <v>4650.0</v>
      </c>
      <c r="F1623" s="55" t="s">
        <v>1561</v>
      </c>
      <c r="G1623" s="55" t="s">
        <v>2316</v>
      </c>
      <c r="H1623" s="26"/>
      <c r="I1623" s="26" t="s">
        <v>1747</v>
      </c>
      <c r="J1623" s="26" t="s">
        <v>1225</v>
      </c>
      <c r="K1623" s="26" t="s">
        <v>1562</v>
      </c>
      <c r="L1623" s="26" t="s">
        <v>2181</v>
      </c>
      <c r="M1623" s="26" t="s">
        <v>1607</v>
      </c>
      <c r="N1623" s="26" t="s">
        <v>1566</v>
      </c>
      <c r="O1623" s="26" t="s">
        <v>1566</v>
      </c>
      <c r="P1623" s="26" t="s">
        <v>22</v>
      </c>
      <c r="Q1623" s="26">
        <v>0.0</v>
      </c>
    </row>
    <row r="1624" ht="17.25" customHeight="1">
      <c r="A1624" s="51">
        <v>46172.472897071755</v>
      </c>
      <c r="B1624" s="26" t="s">
        <v>1272</v>
      </c>
      <c r="C1624" s="55" t="s">
        <v>1560</v>
      </c>
      <c r="D1624" s="51">
        <v>46171.581918055555</v>
      </c>
      <c r="E1624" s="52">
        <v>7315.0</v>
      </c>
      <c r="F1624" s="55" t="s">
        <v>1561</v>
      </c>
      <c r="G1624" s="55" t="s">
        <v>2316</v>
      </c>
      <c r="H1624" s="26"/>
      <c r="I1624" s="26" t="s">
        <v>1273</v>
      </c>
      <c r="J1624" s="26" t="s">
        <v>1225</v>
      </c>
      <c r="K1624" s="26" t="s">
        <v>1562</v>
      </c>
      <c r="L1624" s="26" t="s">
        <v>2182</v>
      </c>
      <c r="M1624" s="26" t="s">
        <v>1607</v>
      </c>
      <c r="N1624" s="26" t="s">
        <v>1566</v>
      </c>
      <c r="O1624" s="26" t="s">
        <v>1566</v>
      </c>
      <c r="P1624" s="26" t="s">
        <v>22</v>
      </c>
      <c r="Q1624" s="26">
        <v>3887.0</v>
      </c>
    </row>
    <row r="1625" ht="17.25" customHeight="1">
      <c r="A1625" s="51">
        <v>46172.47422363426</v>
      </c>
      <c r="B1625" s="26" t="s">
        <v>1275</v>
      </c>
      <c r="C1625" s="55" t="s">
        <v>1560</v>
      </c>
      <c r="D1625" s="51">
        <v>46171.581918055555</v>
      </c>
      <c r="E1625" s="52">
        <v>2850.0</v>
      </c>
      <c r="F1625" s="55" t="s">
        <v>1561</v>
      </c>
      <c r="G1625" s="55" t="s">
        <v>2316</v>
      </c>
      <c r="H1625" s="26"/>
      <c r="I1625" s="26" t="s">
        <v>1276</v>
      </c>
      <c r="J1625" s="26" t="s">
        <v>1225</v>
      </c>
      <c r="K1625" s="26" t="s">
        <v>1562</v>
      </c>
      <c r="L1625" s="26" t="s">
        <v>2183</v>
      </c>
      <c r="M1625" s="26" t="s">
        <v>1607</v>
      </c>
      <c r="N1625" s="26" t="s">
        <v>1566</v>
      </c>
      <c r="O1625" s="26" t="s">
        <v>1566</v>
      </c>
      <c r="P1625" s="26" t="s">
        <v>22</v>
      </c>
      <c r="Q1625" s="26">
        <v>700.0</v>
      </c>
    </row>
    <row r="1626" ht="17.25" customHeight="1">
      <c r="A1626" s="51">
        <v>46172.47507770833</v>
      </c>
      <c r="B1626" s="26" t="s">
        <v>1272</v>
      </c>
      <c r="C1626" s="55" t="s">
        <v>1560</v>
      </c>
      <c r="D1626" s="51">
        <v>46171.581918055555</v>
      </c>
      <c r="E1626" s="52">
        <v>5072.0</v>
      </c>
      <c r="F1626" s="55" t="s">
        <v>1561</v>
      </c>
      <c r="G1626" s="55" t="s">
        <v>2316</v>
      </c>
      <c r="H1626" s="26"/>
      <c r="I1626" s="26" t="s">
        <v>1273</v>
      </c>
      <c r="J1626" s="26" t="s">
        <v>1225</v>
      </c>
      <c r="K1626" s="26" t="s">
        <v>1562</v>
      </c>
      <c r="L1626" s="26" t="s">
        <v>2182</v>
      </c>
      <c r="M1626" s="26" t="s">
        <v>1607</v>
      </c>
      <c r="N1626" s="26" t="s">
        <v>1566</v>
      </c>
      <c r="O1626" s="26" t="s">
        <v>1566</v>
      </c>
      <c r="P1626" s="26" t="s">
        <v>22</v>
      </c>
      <c r="Q1626" s="26">
        <v>3887.0</v>
      </c>
    </row>
    <row r="1627" ht="17.25" customHeight="1">
      <c r="A1627" s="51">
        <v>46172.536318680555</v>
      </c>
      <c r="B1627" s="25" t="s">
        <v>1746</v>
      </c>
      <c r="C1627" s="55" t="s">
        <v>1560</v>
      </c>
      <c r="D1627" s="51">
        <v>46171.581918055555</v>
      </c>
      <c r="E1627" s="52">
        <v>3150.0</v>
      </c>
      <c r="F1627" s="55" t="s">
        <v>1561</v>
      </c>
      <c r="G1627" s="55" t="s">
        <v>2316</v>
      </c>
      <c r="H1627" s="26"/>
      <c r="I1627" s="26" t="s">
        <v>1747</v>
      </c>
      <c r="J1627" s="26" t="s">
        <v>1225</v>
      </c>
      <c r="K1627" s="26" t="s">
        <v>1562</v>
      </c>
      <c r="L1627" s="26" t="s">
        <v>2181</v>
      </c>
      <c r="M1627" s="26" t="s">
        <v>1607</v>
      </c>
      <c r="N1627" s="26" t="s">
        <v>1566</v>
      </c>
      <c r="O1627" s="26" t="s">
        <v>1566</v>
      </c>
      <c r="P1627" s="26" t="s">
        <v>22</v>
      </c>
      <c r="Q1627" s="26">
        <v>0.0</v>
      </c>
    </row>
    <row r="1628" ht="17.25" customHeight="1">
      <c r="A1628" s="51">
        <v>46172.53756793981</v>
      </c>
      <c r="B1628" s="27" t="s">
        <v>1278</v>
      </c>
      <c r="C1628" s="55" t="s">
        <v>1560</v>
      </c>
      <c r="D1628" s="51">
        <v>46171.581918055555</v>
      </c>
      <c r="E1628" s="52">
        <v>2400.0</v>
      </c>
      <c r="F1628" s="55" t="s">
        <v>1561</v>
      </c>
      <c r="G1628" s="55" t="s">
        <v>2317</v>
      </c>
      <c r="H1628" s="26"/>
      <c r="I1628" s="26" t="s">
        <v>1279</v>
      </c>
      <c r="J1628" s="26" t="s">
        <v>1225</v>
      </c>
      <c r="K1628" s="26" t="s">
        <v>1562</v>
      </c>
      <c r="L1628" s="26" t="s">
        <v>1563</v>
      </c>
      <c r="M1628" s="26" t="s">
        <v>1607</v>
      </c>
      <c r="N1628" s="26" t="s">
        <v>1566</v>
      </c>
      <c r="O1628" s="26" t="s">
        <v>1566</v>
      </c>
      <c r="P1628" s="26" t="s">
        <v>22</v>
      </c>
      <c r="Q1628" s="26">
        <v>400.0</v>
      </c>
    </row>
    <row r="1629" ht="17.25" customHeight="1">
      <c r="A1629" s="51">
        <v>46172.689776886575</v>
      </c>
      <c r="B1629" s="25" t="s">
        <v>2016</v>
      </c>
      <c r="C1629" s="55" t="s">
        <v>1892</v>
      </c>
      <c r="D1629" s="51">
        <v>46172.689776886575</v>
      </c>
      <c r="E1629" s="52">
        <v>4.0</v>
      </c>
      <c r="F1629" s="55" t="s">
        <v>1561</v>
      </c>
      <c r="G1629" s="26"/>
      <c r="H1629" s="26"/>
      <c r="I1629" s="26" t="s">
        <v>2017</v>
      </c>
      <c r="J1629" s="26" t="s">
        <v>1844</v>
      </c>
      <c r="K1629" s="26" t="s">
        <v>1846</v>
      </c>
      <c r="L1629" s="26" t="s">
        <v>1566</v>
      </c>
      <c r="M1629" s="26" t="s">
        <v>1865</v>
      </c>
      <c r="N1629" s="26" t="s">
        <v>1566</v>
      </c>
      <c r="O1629" s="26" t="s">
        <v>1566</v>
      </c>
      <c r="P1629" s="26" t="s">
        <v>643</v>
      </c>
      <c r="Q1629" s="26">
        <v>0.0</v>
      </c>
    </row>
    <row r="1630" ht="17.25" customHeight="1">
      <c r="A1630" s="51">
        <v>46172.690314189815</v>
      </c>
      <c r="B1630" s="25" t="s">
        <v>994</v>
      </c>
      <c r="C1630" s="55" t="s">
        <v>1892</v>
      </c>
      <c r="D1630" s="51">
        <v>46172.689776886575</v>
      </c>
      <c r="E1630" s="52">
        <v>5.0</v>
      </c>
      <c r="F1630" s="55" t="s">
        <v>1894</v>
      </c>
      <c r="G1630" s="26"/>
      <c r="H1630" s="26"/>
      <c r="I1630" s="26" t="s">
        <v>995</v>
      </c>
      <c r="J1630" s="26" t="s">
        <v>1807</v>
      </c>
      <c r="K1630" s="26" t="s">
        <v>1889</v>
      </c>
      <c r="L1630" s="26" t="s">
        <v>1566</v>
      </c>
      <c r="M1630" s="26" t="s">
        <v>1566</v>
      </c>
      <c r="N1630" s="26" t="s">
        <v>1566</v>
      </c>
      <c r="O1630" s="26" t="s">
        <v>1566</v>
      </c>
      <c r="P1630" s="26" t="s">
        <v>661</v>
      </c>
      <c r="Q1630" s="26">
        <v>9.0</v>
      </c>
    </row>
    <row r="1631" ht="17.25" customHeight="1">
      <c r="A1631" s="51">
        <v>46175.45951458333</v>
      </c>
      <c r="B1631" s="25" t="s">
        <v>21</v>
      </c>
      <c r="C1631" s="55" t="s">
        <v>1560</v>
      </c>
      <c r="D1631" s="111">
        <v>46174.0</v>
      </c>
      <c r="E1631" s="52">
        <v>40.0</v>
      </c>
      <c r="F1631" s="55" t="s">
        <v>1673</v>
      </c>
      <c r="G1631" s="26"/>
      <c r="H1631" s="26"/>
      <c r="I1631" s="26" t="s">
        <v>23</v>
      </c>
      <c r="J1631" s="26" t="s">
        <v>1812</v>
      </c>
      <c r="K1631" s="26" t="s">
        <v>1815</v>
      </c>
      <c r="L1631" s="26" t="s">
        <v>1566</v>
      </c>
      <c r="M1631" s="26" t="s">
        <v>1566</v>
      </c>
      <c r="N1631" s="26" t="s">
        <v>1566</v>
      </c>
      <c r="O1631" s="26" t="s">
        <v>1818</v>
      </c>
      <c r="P1631" s="26" t="s">
        <v>616</v>
      </c>
      <c r="Q1631" s="26">
        <v>20.0</v>
      </c>
    </row>
    <row r="1632" ht="17.25" customHeight="1">
      <c r="A1632" s="51">
        <v>46175.45997167824</v>
      </c>
      <c r="B1632" s="23" t="s">
        <v>892</v>
      </c>
      <c r="C1632" s="55" t="s">
        <v>1560</v>
      </c>
      <c r="D1632" s="111">
        <v>46174.0</v>
      </c>
      <c r="E1632" s="52">
        <v>25.0</v>
      </c>
      <c r="F1632" s="55" t="s">
        <v>1673</v>
      </c>
      <c r="G1632" s="26"/>
      <c r="H1632" s="26"/>
      <c r="I1632" s="26" t="s">
        <v>893</v>
      </c>
      <c r="J1632" s="26" t="s">
        <v>1812</v>
      </c>
      <c r="K1632" s="26" t="s">
        <v>1813</v>
      </c>
      <c r="L1632" s="26" t="s">
        <v>1566</v>
      </c>
      <c r="M1632" s="26" t="s">
        <v>1566</v>
      </c>
      <c r="N1632" s="26" t="s">
        <v>1566</v>
      </c>
      <c r="O1632" s="26" t="s">
        <v>1809</v>
      </c>
      <c r="P1632" s="26" t="s">
        <v>290</v>
      </c>
      <c r="Q1632" s="26">
        <v>20.0</v>
      </c>
    </row>
    <row r="1633" ht="17.25" customHeight="1">
      <c r="A1633" s="51">
        <v>46182.44321726852</v>
      </c>
      <c r="B1633" s="25" t="s">
        <v>359</v>
      </c>
      <c r="C1633" s="55" t="s">
        <v>1892</v>
      </c>
      <c r="D1633" s="111">
        <v>46174.0</v>
      </c>
      <c r="E1633" s="52">
        <v>15.0</v>
      </c>
      <c r="F1633" s="55" t="s">
        <v>2046</v>
      </c>
      <c r="G1633" s="26"/>
      <c r="H1633" s="26"/>
      <c r="I1633" s="26" t="s">
        <v>370</v>
      </c>
      <c r="J1633" s="26" t="s">
        <v>370</v>
      </c>
      <c r="K1633" s="26" t="s">
        <v>370</v>
      </c>
      <c r="L1633" s="26" t="s">
        <v>1566</v>
      </c>
      <c r="M1633" s="26" t="s">
        <v>1566</v>
      </c>
      <c r="N1633" s="26" t="s">
        <v>1566</v>
      </c>
      <c r="O1633" s="26" t="s">
        <v>1566</v>
      </c>
      <c r="P1633" s="26" t="s">
        <v>661</v>
      </c>
      <c r="Q1633" s="26">
        <v>100.0</v>
      </c>
    </row>
    <row r="1634" ht="17.25" customHeight="1">
      <c r="A1634" s="51">
        <v>46175.46007224537</v>
      </c>
      <c r="B1634" s="23" t="s">
        <v>892</v>
      </c>
      <c r="C1634" s="55" t="s">
        <v>1892</v>
      </c>
      <c r="D1634" s="111">
        <v>46174.0</v>
      </c>
      <c r="E1634" s="52">
        <v>25.0</v>
      </c>
      <c r="F1634" s="55" t="s">
        <v>2124</v>
      </c>
      <c r="G1634" s="26"/>
      <c r="H1634" s="26"/>
      <c r="I1634" s="26" t="s">
        <v>893</v>
      </c>
      <c r="J1634" s="26" t="s">
        <v>1812</v>
      </c>
      <c r="K1634" s="26" t="s">
        <v>1813</v>
      </c>
      <c r="L1634" s="26" t="s">
        <v>1566</v>
      </c>
      <c r="M1634" s="26" t="s">
        <v>1566</v>
      </c>
      <c r="N1634" s="26" t="s">
        <v>1566</v>
      </c>
      <c r="O1634" s="26" t="s">
        <v>1809</v>
      </c>
      <c r="P1634" s="26" t="s">
        <v>290</v>
      </c>
      <c r="Q1634" s="26">
        <v>20.0</v>
      </c>
    </row>
    <row r="1635" ht="17.25" customHeight="1">
      <c r="A1635" s="51">
        <v>46175.46032699074</v>
      </c>
      <c r="B1635" s="23" t="s">
        <v>301</v>
      </c>
      <c r="C1635" s="55" t="s">
        <v>1892</v>
      </c>
      <c r="D1635" s="111">
        <v>46174.0</v>
      </c>
      <c r="E1635" s="52">
        <v>10.0</v>
      </c>
      <c r="F1635" s="55" t="s">
        <v>2124</v>
      </c>
      <c r="G1635" s="26"/>
      <c r="H1635" s="26"/>
      <c r="I1635" s="26" t="s">
        <v>302</v>
      </c>
      <c r="J1635" s="26" t="s">
        <v>1830</v>
      </c>
      <c r="K1635" s="26" t="s">
        <v>302</v>
      </c>
      <c r="L1635" s="26" t="s">
        <v>1566</v>
      </c>
      <c r="M1635" s="26" t="s">
        <v>1566</v>
      </c>
      <c r="N1635" s="26" t="s">
        <v>1566</v>
      </c>
      <c r="O1635" s="26" t="s">
        <v>1566</v>
      </c>
      <c r="P1635" s="26" t="s">
        <v>661</v>
      </c>
      <c r="Q1635" s="26">
        <v>580.0</v>
      </c>
    </row>
    <row r="1636" ht="17.25" customHeight="1">
      <c r="A1636" s="51">
        <v>46179.78985219907</v>
      </c>
      <c r="B1636" s="25" t="s">
        <v>304</v>
      </c>
      <c r="C1636" s="55" t="s">
        <v>1892</v>
      </c>
      <c r="D1636" s="111">
        <v>46174.0</v>
      </c>
      <c r="E1636" s="52">
        <v>4.0</v>
      </c>
      <c r="F1636" s="55" t="s">
        <v>2124</v>
      </c>
      <c r="G1636" s="26"/>
      <c r="H1636" s="26"/>
      <c r="I1636" s="26" t="s">
        <v>306</v>
      </c>
      <c r="J1636" s="26" t="s">
        <v>1674</v>
      </c>
      <c r="K1636" s="26" t="s">
        <v>1675</v>
      </c>
      <c r="L1636" s="26" t="s">
        <v>1566</v>
      </c>
      <c r="M1636" s="26" t="s">
        <v>1566</v>
      </c>
      <c r="N1636" s="26" t="s">
        <v>1682</v>
      </c>
      <c r="O1636" s="26" t="s">
        <v>1677</v>
      </c>
      <c r="P1636" s="26" t="s">
        <v>290</v>
      </c>
      <c r="Q1636" s="26">
        <v>6.0</v>
      </c>
    </row>
    <row r="1637" ht="17.25" customHeight="1">
      <c r="A1637" s="51">
        <v>46175.46040603009</v>
      </c>
      <c r="B1637" s="23" t="s">
        <v>301</v>
      </c>
      <c r="C1637" s="55" t="s">
        <v>1892</v>
      </c>
      <c r="D1637" s="51">
        <v>46175.46040603009</v>
      </c>
      <c r="E1637" s="52">
        <v>10.0</v>
      </c>
      <c r="F1637" s="55" t="s">
        <v>2124</v>
      </c>
      <c r="G1637" s="26"/>
      <c r="H1637" s="26"/>
      <c r="I1637" s="26" t="s">
        <v>302</v>
      </c>
      <c r="J1637" s="26" t="s">
        <v>1830</v>
      </c>
      <c r="K1637" s="26" t="s">
        <v>302</v>
      </c>
      <c r="L1637" s="26" t="s">
        <v>1566</v>
      </c>
      <c r="M1637" s="26" t="s">
        <v>1566</v>
      </c>
      <c r="N1637" s="26" t="s">
        <v>1566</v>
      </c>
      <c r="O1637" s="26" t="s">
        <v>1566</v>
      </c>
      <c r="P1637" s="26" t="s">
        <v>661</v>
      </c>
      <c r="Q1637" s="26">
        <v>580.0</v>
      </c>
    </row>
    <row r="1638" ht="17.25" customHeight="1">
      <c r="A1638" s="51">
        <v>46175.46057225694</v>
      </c>
      <c r="B1638" s="25" t="s">
        <v>21</v>
      </c>
      <c r="C1638" s="55" t="s">
        <v>1892</v>
      </c>
      <c r="D1638" s="51">
        <v>46175.46040603009</v>
      </c>
      <c r="E1638" s="52">
        <v>20.0</v>
      </c>
      <c r="F1638" s="55" t="s">
        <v>2124</v>
      </c>
      <c r="G1638" s="26"/>
      <c r="H1638" s="26"/>
      <c r="I1638" s="26" t="s">
        <v>23</v>
      </c>
      <c r="J1638" s="26" t="s">
        <v>1812</v>
      </c>
      <c r="K1638" s="26" t="s">
        <v>1815</v>
      </c>
      <c r="L1638" s="26" t="s">
        <v>1566</v>
      </c>
      <c r="M1638" s="26" t="s">
        <v>1566</v>
      </c>
      <c r="N1638" s="26" t="s">
        <v>1566</v>
      </c>
      <c r="O1638" s="26" t="s">
        <v>1818</v>
      </c>
      <c r="P1638" s="26" t="s">
        <v>616</v>
      </c>
      <c r="Q1638" s="26">
        <v>20.0</v>
      </c>
    </row>
    <row r="1639" ht="17.25" customHeight="1">
      <c r="A1639" s="51">
        <v>46175.460828055555</v>
      </c>
      <c r="B1639" s="25" t="s">
        <v>1039</v>
      </c>
      <c r="C1639" s="55" t="s">
        <v>1892</v>
      </c>
      <c r="D1639" s="51">
        <v>46175.46040603009</v>
      </c>
      <c r="E1639" s="52">
        <v>1.0</v>
      </c>
      <c r="F1639" s="55" t="s">
        <v>2124</v>
      </c>
      <c r="G1639" s="26"/>
      <c r="H1639" s="26"/>
      <c r="I1639" s="26" t="s">
        <v>1040</v>
      </c>
      <c r="J1639" s="26" t="s">
        <v>1830</v>
      </c>
      <c r="K1639" s="26" t="s">
        <v>1833</v>
      </c>
      <c r="L1639" s="26" t="s">
        <v>1566</v>
      </c>
      <c r="M1639" s="26" t="s">
        <v>1566</v>
      </c>
      <c r="N1639" s="26" t="s">
        <v>1566</v>
      </c>
      <c r="O1639" s="26" t="s">
        <v>1566</v>
      </c>
      <c r="P1639" s="26" t="s">
        <v>643</v>
      </c>
      <c r="Q1639" s="26">
        <v>6.0</v>
      </c>
    </row>
    <row r="1640" ht="17.25" customHeight="1">
      <c r="A1640" s="51">
        <v>46175.52970035879</v>
      </c>
      <c r="B1640" s="27" t="s">
        <v>1746</v>
      </c>
      <c r="C1640" s="55" t="s">
        <v>1892</v>
      </c>
      <c r="D1640" s="51">
        <v>46172.689776886575</v>
      </c>
      <c r="E1640" s="52">
        <v>5000.0</v>
      </c>
      <c r="F1640" s="55" t="s">
        <v>1561</v>
      </c>
      <c r="G1640" s="55">
        <v>844.0</v>
      </c>
      <c r="H1640" s="26"/>
      <c r="I1640" s="26" t="s">
        <v>1747</v>
      </c>
      <c r="J1640" s="26" t="s">
        <v>1225</v>
      </c>
      <c r="K1640" s="26" t="s">
        <v>1562</v>
      </c>
      <c r="L1640" s="26" t="s">
        <v>2181</v>
      </c>
      <c r="M1640" s="26" t="s">
        <v>1607</v>
      </c>
      <c r="N1640" s="26" t="s">
        <v>1566</v>
      </c>
      <c r="O1640" s="26" t="s">
        <v>1566</v>
      </c>
      <c r="P1640" s="26" t="s">
        <v>22</v>
      </c>
      <c r="Q1640" s="26">
        <v>0.0</v>
      </c>
    </row>
    <row r="1641" ht="17.25" customHeight="1">
      <c r="A1641" s="51">
        <v>46175.53770055556</v>
      </c>
      <c r="B1641" s="25" t="s">
        <v>1719</v>
      </c>
      <c r="C1641" s="55" t="s">
        <v>1892</v>
      </c>
      <c r="D1641" s="51">
        <v>46172.689776886575</v>
      </c>
      <c r="E1641" s="52">
        <v>1500.0</v>
      </c>
      <c r="F1641" s="55" t="s">
        <v>1561</v>
      </c>
      <c r="G1641" s="26"/>
      <c r="H1641" s="26"/>
      <c r="I1641" s="26" t="s">
        <v>1720</v>
      </c>
      <c r="J1641" s="26" t="s">
        <v>1225</v>
      </c>
      <c r="K1641" s="26" t="s">
        <v>1562</v>
      </c>
      <c r="L1641" s="26" t="s">
        <v>2117</v>
      </c>
      <c r="M1641" s="26" t="s">
        <v>1622</v>
      </c>
      <c r="N1641" s="26" t="s">
        <v>1566</v>
      </c>
      <c r="O1641" s="26" t="s">
        <v>1566</v>
      </c>
      <c r="P1641" s="26" t="s">
        <v>22</v>
      </c>
      <c r="Q1641" s="26">
        <v>0.0</v>
      </c>
    </row>
    <row r="1642" ht="17.25" customHeight="1">
      <c r="A1642" s="51">
        <v>46175.7026903125</v>
      </c>
      <c r="B1642" s="25" t="s">
        <v>359</v>
      </c>
      <c r="C1642" s="55" t="s">
        <v>1560</v>
      </c>
      <c r="D1642" s="51">
        <v>46175.7026903125</v>
      </c>
      <c r="E1642" s="52">
        <v>100.0</v>
      </c>
      <c r="F1642" s="55" t="s">
        <v>1561</v>
      </c>
      <c r="G1642" s="26"/>
      <c r="H1642" s="26"/>
      <c r="I1642" s="26" t="s">
        <v>370</v>
      </c>
      <c r="J1642" s="26" t="s">
        <v>370</v>
      </c>
      <c r="K1642" s="26" t="s">
        <v>370</v>
      </c>
      <c r="L1642" s="26" t="s">
        <v>1566</v>
      </c>
      <c r="M1642" s="26" t="s">
        <v>1566</v>
      </c>
      <c r="N1642" s="26" t="s">
        <v>1566</v>
      </c>
      <c r="O1642" s="26" t="s">
        <v>1566</v>
      </c>
      <c r="P1642" s="26" t="s">
        <v>661</v>
      </c>
      <c r="Q1642" s="26">
        <v>100.0</v>
      </c>
    </row>
    <row r="1643" ht="17.25" customHeight="1">
      <c r="A1643" s="51">
        <v>46175.76949590278</v>
      </c>
      <c r="B1643" s="27" t="s">
        <v>1281</v>
      </c>
      <c r="C1643" s="55" t="s">
        <v>1560</v>
      </c>
      <c r="D1643" s="51">
        <v>46175.7026903125</v>
      </c>
      <c r="E1643" s="52">
        <v>1500.0</v>
      </c>
      <c r="F1643" s="55" t="s">
        <v>1561</v>
      </c>
      <c r="G1643" s="55"/>
      <c r="H1643" s="26"/>
      <c r="I1643" s="26" t="s">
        <v>1282</v>
      </c>
      <c r="J1643" s="26" t="s">
        <v>1225</v>
      </c>
      <c r="K1643" s="26" t="s">
        <v>1646</v>
      </c>
      <c r="L1643" s="26" t="s">
        <v>1563</v>
      </c>
      <c r="M1643" s="26" t="s">
        <v>2161</v>
      </c>
      <c r="N1643" s="26" t="s">
        <v>1566</v>
      </c>
      <c r="O1643" s="26" t="s">
        <v>1566</v>
      </c>
      <c r="P1643" s="26" t="s">
        <v>22</v>
      </c>
      <c r="Q1643" s="26">
        <v>1500.0</v>
      </c>
    </row>
    <row r="1644" ht="17.25" customHeight="1">
      <c r="A1644" s="51">
        <v>46175.770109756944</v>
      </c>
      <c r="B1644" s="25" t="s">
        <v>211</v>
      </c>
      <c r="C1644" s="55" t="s">
        <v>1560</v>
      </c>
      <c r="D1644" s="51">
        <v>46175.7026903125</v>
      </c>
      <c r="E1644" s="52">
        <v>500.0</v>
      </c>
      <c r="F1644" s="55" t="s">
        <v>1561</v>
      </c>
      <c r="G1644" s="26"/>
      <c r="H1644" s="26"/>
      <c r="I1644" s="26" t="s">
        <v>212</v>
      </c>
      <c r="J1644" s="26" t="s">
        <v>1225</v>
      </c>
      <c r="K1644" s="26" t="s">
        <v>1646</v>
      </c>
      <c r="L1644" s="26" t="s">
        <v>1647</v>
      </c>
      <c r="M1644" s="26" t="s">
        <v>1645</v>
      </c>
      <c r="N1644" s="26" t="s">
        <v>1566</v>
      </c>
      <c r="O1644" s="26" t="s">
        <v>1566</v>
      </c>
      <c r="P1644" s="26" t="s">
        <v>22</v>
      </c>
      <c r="Q1644" s="26">
        <v>450.0</v>
      </c>
    </row>
    <row r="1645" ht="17.25" customHeight="1">
      <c r="A1645" s="51">
        <v>46176.45900653936</v>
      </c>
      <c r="B1645" s="25" t="s">
        <v>640</v>
      </c>
      <c r="C1645" s="55" t="s">
        <v>1892</v>
      </c>
      <c r="D1645" s="51">
        <v>46172.689776886575</v>
      </c>
      <c r="E1645" s="52">
        <v>1.0</v>
      </c>
      <c r="F1645" s="55" t="s">
        <v>2124</v>
      </c>
      <c r="G1645" s="26"/>
      <c r="H1645" s="26"/>
      <c r="I1645" s="26" t="s">
        <v>641</v>
      </c>
      <c r="J1645" s="26" t="s">
        <v>1812</v>
      </c>
      <c r="K1645" s="26" t="s">
        <v>1815</v>
      </c>
      <c r="L1645" s="26" t="s">
        <v>1566</v>
      </c>
      <c r="M1645" s="26" t="s">
        <v>1566</v>
      </c>
      <c r="N1645" s="26" t="s">
        <v>1566</v>
      </c>
      <c r="O1645" s="26" t="s">
        <v>1566</v>
      </c>
      <c r="P1645" s="26" t="s">
        <v>643</v>
      </c>
      <c r="Q1645" s="26">
        <v>3.0</v>
      </c>
    </row>
    <row r="1646" ht="17.25" customHeight="1">
      <c r="A1646" s="51">
        <v>46176.45954026621</v>
      </c>
      <c r="B1646" s="25" t="s">
        <v>562</v>
      </c>
      <c r="C1646" s="55" t="s">
        <v>1892</v>
      </c>
      <c r="D1646" s="51">
        <v>46175.7026903125</v>
      </c>
      <c r="E1646" s="52">
        <v>1.0</v>
      </c>
      <c r="F1646" s="55" t="s">
        <v>2124</v>
      </c>
      <c r="G1646" s="26"/>
      <c r="H1646" s="26"/>
      <c r="I1646" s="26" t="s">
        <v>567</v>
      </c>
      <c r="J1646" s="26" t="s">
        <v>1812</v>
      </c>
      <c r="K1646" s="26" t="s">
        <v>1815</v>
      </c>
      <c r="L1646" s="26" t="s">
        <v>1566</v>
      </c>
      <c r="M1646" s="26" t="s">
        <v>1566</v>
      </c>
      <c r="N1646" s="26" t="s">
        <v>1566</v>
      </c>
      <c r="O1646" s="26" t="s">
        <v>1838</v>
      </c>
      <c r="P1646" s="26" t="s">
        <v>616</v>
      </c>
      <c r="Q1646" s="26">
        <v>4.0</v>
      </c>
    </row>
    <row r="1647" ht="17.25" customHeight="1">
      <c r="A1647" s="51">
        <v>46176.672743020834</v>
      </c>
      <c r="B1647" s="25" t="s">
        <v>640</v>
      </c>
      <c r="C1647" s="55" t="s">
        <v>1560</v>
      </c>
      <c r="D1647" s="51">
        <v>46176.672743020834</v>
      </c>
      <c r="E1647" s="52">
        <v>5.0</v>
      </c>
      <c r="F1647" s="55" t="s">
        <v>1673</v>
      </c>
      <c r="G1647" s="26"/>
      <c r="H1647" s="26"/>
      <c r="I1647" s="26" t="s">
        <v>641</v>
      </c>
      <c r="J1647" s="26" t="s">
        <v>1812</v>
      </c>
      <c r="K1647" s="26" t="s">
        <v>1815</v>
      </c>
      <c r="L1647" s="26" t="s">
        <v>1566</v>
      </c>
      <c r="M1647" s="26" t="s">
        <v>1566</v>
      </c>
      <c r="N1647" s="26" t="s">
        <v>1566</v>
      </c>
      <c r="O1647" s="26" t="s">
        <v>1566</v>
      </c>
      <c r="P1647" s="26" t="s">
        <v>643</v>
      </c>
      <c r="Q1647" s="26">
        <v>3.0</v>
      </c>
    </row>
    <row r="1648" ht="17.25" customHeight="1">
      <c r="A1648" s="51">
        <v>46176.67277267361</v>
      </c>
      <c r="B1648" s="25" t="s">
        <v>562</v>
      </c>
      <c r="C1648" s="55" t="s">
        <v>1560</v>
      </c>
      <c r="D1648" s="51">
        <v>46176.672743020834</v>
      </c>
      <c r="E1648" s="52">
        <v>6.0</v>
      </c>
      <c r="F1648" s="55" t="s">
        <v>1673</v>
      </c>
      <c r="G1648" s="26"/>
      <c r="H1648" s="26"/>
      <c r="I1648" s="26" t="s">
        <v>567</v>
      </c>
      <c r="J1648" s="26" t="s">
        <v>1812</v>
      </c>
      <c r="K1648" s="26" t="s">
        <v>1815</v>
      </c>
      <c r="L1648" s="26" t="s">
        <v>1566</v>
      </c>
      <c r="M1648" s="26" t="s">
        <v>1566</v>
      </c>
      <c r="N1648" s="26" t="s">
        <v>1566</v>
      </c>
      <c r="O1648" s="26" t="s">
        <v>1838</v>
      </c>
      <c r="P1648" s="26" t="s">
        <v>616</v>
      </c>
      <c r="Q1648" s="26">
        <v>4.0</v>
      </c>
    </row>
    <row r="1649" ht="17.25" customHeight="1">
      <c r="A1649" s="51">
        <v>46176.6735996875</v>
      </c>
      <c r="B1649" s="25" t="s">
        <v>523</v>
      </c>
      <c r="C1649" s="55" t="s">
        <v>1892</v>
      </c>
      <c r="D1649" s="51">
        <v>46176.672743020834</v>
      </c>
      <c r="E1649" s="52">
        <v>5.0</v>
      </c>
      <c r="F1649" s="55" t="s">
        <v>2124</v>
      </c>
      <c r="G1649" s="26"/>
      <c r="H1649" s="26"/>
      <c r="I1649" s="26" t="s">
        <v>528</v>
      </c>
      <c r="J1649" s="26" t="s">
        <v>1812</v>
      </c>
      <c r="K1649" s="26" t="s">
        <v>1815</v>
      </c>
      <c r="L1649" s="26" t="s">
        <v>1566</v>
      </c>
      <c r="M1649" s="26" t="s">
        <v>1566</v>
      </c>
      <c r="N1649" s="26" t="s">
        <v>1566</v>
      </c>
      <c r="O1649" s="26" t="s">
        <v>1837</v>
      </c>
      <c r="P1649" s="26" t="s">
        <v>616</v>
      </c>
      <c r="Q1649" s="26">
        <v>15.0</v>
      </c>
    </row>
    <row r="1650" ht="17.25" customHeight="1">
      <c r="A1650" s="51">
        <v>46176.673691828706</v>
      </c>
      <c r="B1650" s="25" t="s">
        <v>523</v>
      </c>
      <c r="C1650" s="55" t="s">
        <v>1560</v>
      </c>
      <c r="D1650" s="51">
        <v>46176.672743020834</v>
      </c>
      <c r="E1650" s="52">
        <v>10.0</v>
      </c>
      <c r="F1650" s="55" t="s">
        <v>1673</v>
      </c>
      <c r="G1650" s="26"/>
      <c r="H1650" s="26"/>
      <c r="I1650" s="26" t="s">
        <v>528</v>
      </c>
      <c r="J1650" s="26" t="s">
        <v>1812</v>
      </c>
      <c r="K1650" s="26" t="s">
        <v>1815</v>
      </c>
      <c r="L1650" s="26" t="s">
        <v>1566</v>
      </c>
      <c r="M1650" s="26" t="s">
        <v>1566</v>
      </c>
      <c r="N1650" s="26" t="s">
        <v>1566</v>
      </c>
      <c r="O1650" s="26" t="s">
        <v>1837</v>
      </c>
      <c r="P1650" s="26" t="s">
        <v>616</v>
      </c>
      <c r="Q1650" s="26">
        <v>15.0</v>
      </c>
    </row>
    <row r="1651" ht="17.25" customHeight="1">
      <c r="A1651" s="51">
        <v>46176.67390045139</v>
      </c>
      <c r="B1651" s="25" t="s">
        <v>598</v>
      </c>
      <c r="C1651" s="55" t="s">
        <v>1560</v>
      </c>
      <c r="D1651" s="51">
        <v>46176.672743020834</v>
      </c>
      <c r="E1651" s="52">
        <v>10.0</v>
      </c>
      <c r="F1651" s="55" t="s">
        <v>1673</v>
      </c>
      <c r="G1651" s="26"/>
      <c r="H1651" s="26"/>
      <c r="I1651" s="26" t="s">
        <v>604</v>
      </c>
      <c r="J1651" s="26" t="s">
        <v>1812</v>
      </c>
      <c r="K1651" s="26" t="s">
        <v>1815</v>
      </c>
      <c r="L1651" s="26" t="s">
        <v>1566</v>
      </c>
      <c r="M1651" s="26" t="s">
        <v>1566</v>
      </c>
      <c r="N1651" s="26" t="s">
        <v>1566</v>
      </c>
      <c r="O1651" s="26" t="s">
        <v>1812</v>
      </c>
      <c r="P1651" s="26" t="s">
        <v>616</v>
      </c>
      <c r="Q1651" s="26">
        <v>15.0</v>
      </c>
    </row>
    <row r="1652" ht="17.25" customHeight="1">
      <c r="A1652" s="51">
        <v>46176.674182476854</v>
      </c>
      <c r="B1652" s="25" t="s">
        <v>948</v>
      </c>
      <c r="C1652" s="55" t="s">
        <v>1560</v>
      </c>
      <c r="D1652" s="51">
        <v>46176.672743020834</v>
      </c>
      <c r="E1652" s="52">
        <v>5.0</v>
      </c>
      <c r="F1652" s="55" t="s">
        <v>1673</v>
      </c>
      <c r="G1652" s="26"/>
      <c r="H1652" s="26"/>
      <c r="I1652" s="26" t="s">
        <v>952</v>
      </c>
      <c r="J1652" s="26" t="s">
        <v>1812</v>
      </c>
      <c r="K1652" s="26" t="s">
        <v>1815</v>
      </c>
      <c r="L1652" s="26" t="s">
        <v>1566</v>
      </c>
      <c r="M1652" s="26" t="s">
        <v>1566</v>
      </c>
      <c r="N1652" s="26" t="s">
        <v>1566</v>
      </c>
      <c r="O1652" s="26" t="s">
        <v>2060</v>
      </c>
      <c r="P1652" s="26" t="s">
        <v>616</v>
      </c>
      <c r="Q1652" s="26">
        <v>5.0</v>
      </c>
    </row>
    <row r="1653" ht="17.25" customHeight="1">
      <c r="A1653" s="51">
        <v>46176.674802002315</v>
      </c>
      <c r="B1653" s="23" t="s">
        <v>301</v>
      </c>
      <c r="C1653" s="55" t="s">
        <v>1892</v>
      </c>
      <c r="D1653" s="51">
        <v>46176.672743020834</v>
      </c>
      <c r="E1653" s="52">
        <v>20.0</v>
      </c>
      <c r="F1653" s="55" t="s">
        <v>2318</v>
      </c>
      <c r="G1653" s="26"/>
      <c r="H1653" s="26"/>
      <c r="I1653" s="26" t="s">
        <v>302</v>
      </c>
      <c r="J1653" s="26" t="s">
        <v>1830</v>
      </c>
      <c r="K1653" s="26" t="s">
        <v>302</v>
      </c>
      <c r="L1653" s="26" t="s">
        <v>1566</v>
      </c>
      <c r="M1653" s="26" t="s">
        <v>1566</v>
      </c>
      <c r="N1653" s="26" t="s">
        <v>1566</v>
      </c>
      <c r="O1653" s="26" t="s">
        <v>1566</v>
      </c>
      <c r="P1653" s="26" t="s">
        <v>661</v>
      </c>
      <c r="Q1653" s="26">
        <v>580.0</v>
      </c>
    </row>
    <row r="1654" ht="17.25" customHeight="1">
      <c r="A1654" s="51">
        <v>46176.677686828705</v>
      </c>
      <c r="B1654" s="25" t="s">
        <v>74</v>
      </c>
      <c r="C1654" s="55" t="s">
        <v>1892</v>
      </c>
      <c r="D1654" s="111">
        <v>46174.0</v>
      </c>
      <c r="E1654" s="52">
        <v>300.0</v>
      </c>
      <c r="F1654" s="55" t="s">
        <v>1561</v>
      </c>
      <c r="G1654" s="55">
        <v>847.0</v>
      </c>
      <c r="H1654" s="26"/>
      <c r="I1654" s="26" t="s">
        <v>75</v>
      </c>
      <c r="J1654" s="26" t="s">
        <v>1225</v>
      </c>
      <c r="K1654" s="26" t="s">
        <v>1562</v>
      </c>
      <c r="L1654" s="26" t="s">
        <v>1591</v>
      </c>
      <c r="M1654" s="26" t="s">
        <v>1597</v>
      </c>
      <c r="N1654" s="26" t="s">
        <v>1566</v>
      </c>
      <c r="O1654" s="26" t="s">
        <v>1566</v>
      </c>
      <c r="P1654" s="26" t="s">
        <v>22</v>
      </c>
      <c r="Q1654" s="26">
        <v>0.0</v>
      </c>
    </row>
    <row r="1655" ht="17.25" customHeight="1">
      <c r="A1655" s="51">
        <v>46176.68085842593</v>
      </c>
      <c r="B1655" s="25" t="s">
        <v>104</v>
      </c>
      <c r="C1655" s="55" t="s">
        <v>1560</v>
      </c>
      <c r="D1655" s="51">
        <v>46175.7026903125</v>
      </c>
      <c r="E1655" s="52">
        <v>2400.0</v>
      </c>
      <c r="F1655" s="55" t="s">
        <v>1561</v>
      </c>
      <c r="G1655" s="26"/>
      <c r="H1655" s="26"/>
      <c r="I1655" s="26" t="s">
        <v>106</v>
      </c>
      <c r="J1655" s="26" t="s">
        <v>1225</v>
      </c>
      <c r="K1655" s="26" t="s">
        <v>1562</v>
      </c>
      <c r="L1655" s="26" t="s">
        <v>1582</v>
      </c>
      <c r="M1655" s="26" t="s">
        <v>1607</v>
      </c>
      <c r="N1655" s="26" t="s">
        <v>1571</v>
      </c>
      <c r="O1655" s="26" t="s">
        <v>1566</v>
      </c>
      <c r="P1655" s="26" t="s">
        <v>22</v>
      </c>
      <c r="Q1655" s="26">
        <v>1000.0</v>
      </c>
    </row>
    <row r="1656" ht="17.25" customHeight="1">
      <c r="A1656" s="51">
        <v>46176.68280787037</v>
      </c>
      <c r="B1656" s="25" t="s">
        <v>1108</v>
      </c>
      <c r="C1656" s="55" t="s">
        <v>1560</v>
      </c>
      <c r="D1656" s="51">
        <v>46175.7026903125</v>
      </c>
      <c r="E1656" s="52">
        <v>864.0</v>
      </c>
      <c r="F1656" s="26"/>
      <c r="G1656" s="26"/>
      <c r="H1656" s="26"/>
      <c r="I1656" s="26" t="s">
        <v>1109</v>
      </c>
      <c r="J1656" s="26" t="s">
        <v>1225</v>
      </c>
      <c r="K1656" s="26" t="s">
        <v>1653</v>
      </c>
      <c r="L1656" s="26" t="s">
        <v>1656</v>
      </c>
      <c r="M1656" s="26" t="s">
        <v>1595</v>
      </c>
      <c r="N1656" s="26" t="s">
        <v>1566</v>
      </c>
      <c r="O1656" s="26" t="s">
        <v>2122</v>
      </c>
      <c r="P1656" s="26" t="s">
        <v>22</v>
      </c>
      <c r="Q1656" s="26">
        <v>144.0</v>
      </c>
    </row>
    <row r="1657" ht="17.25" customHeight="1">
      <c r="A1657" s="51">
        <v>46176.683240405095</v>
      </c>
      <c r="B1657" s="25" t="s">
        <v>1108</v>
      </c>
      <c r="C1657" s="55" t="s">
        <v>1892</v>
      </c>
      <c r="D1657" s="51">
        <v>46175.7026903125</v>
      </c>
      <c r="E1657" s="52">
        <v>576.0</v>
      </c>
      <c r="F1657" s="26"/>
      <c r="G1657" s="55">
        <v>848.0</v>
      </c>
      <c r="H1657" s="26"/>
      <c r="I1657" s="26" t="s">
        <v>1109</v>
      </c>
      <c r="J1657" s="26" t="s">
        <v>1225</v>
      </c>
      <c r="K1657" s="26" t="s">
        <v>1653</v>
      </c>
      <c r="L1657" s="26" t="s">
        <v>1656</v>
      </c>
      <c r="M1657" s="26" t="s">
        <v>1595</v>
      </c>
      <c r="N1657" s="26" t="s">
        <v>1566</v>
      </c>
      <c r="O1657" s="26" t="s">
        <v>2122</v>
      </c>
      <c r="P1657" s="26" t="s">
        <v>22</v>
      </c>
      <c r="Q1657" s="26">
        <v>144.0</v>
      </c>
    </row>
    <row r="1658" ht="17.25" customHeight="1">
      <c r="A1658" s="51">
        <v>46176.68383578704</v>
      </c>
      <c r="B1658" s="25" t="s">
        <v>1275</v>
      </c>
      <c r="C1658" s="55" t="s">
        <v>1892</v>
      </c>
      <c r="D1658" s="51">
        <v>46175.7026903125</v>
      </c>
      <c r="E1658" s="52">
        <v>2150.0</v>
      </c>
      <c r="F1658" s="26"/>
      <c r="G1658" s="55">
        <v>849.0</v>
      </c>
      <c r="H1658" s="26"/>
      <c r="I1658" s="26" t="s">
        <v>1276</v>
      </c>
      <c r="J1658" s="26" t="s">
        <v>1225</v>
      </c>
      <c r="K1658" s="26" t="s">
        <v>1562</v>
      </c>
      <c r="L1658" s="26" t="s">
        <v>2183</v>
      </c>
      <c r="M1658" s="26" t="s">
        <v>1607</v>
      </c>
      <c r="N1658" s="26" t="s">
        <v>1566</v>
      </c>
      <c r="O1658" s="26" t="s">
        <v>1566</v>
      </c>
      <c r="P1658" s="26" t="s">
        <v>22</v>
      </c>
      <c r="Q1658" s="26">
        <v>700.0</v>
      </c>
    </row>
    <row r="1659" ht="17.25" customHeight="1">
      <c r="A1659" s="51">
        <v>46176.68871164352</v>
      </c>
      <c r="B1659" s="25" t="s">
        <v>1278</v>
      </c>
      <c r="C1659" s="55" t="s">
        <v>1892</v>
      </c>
      <c r="D1659" s="51">
        <v>46175.7026903125</v>
      </c>
      <c r="E1659" s="52">
        <v>2000.0</v>
      </c>
      <c r="F1659" s="26"/>
      <c r="G1659" s="55">
        <v>850.0</v>
      </c>
      <c r="H1659" s="26"/>
      <c r="I1659" s="26" t="s">
        <v>1279</v>
      </c>
      <c r="J1659" s="26" t="s">
        <v>1225</v>
      </c>
      <c r="K1659" s="26" t="s">
        <v>1562</v>
      </c>
      <c r="L1659" s="26" t="s">
        <v>1563</v>
      </c>
      <c r="M1659" s="26" t="s">
        <v>1607</v>
      </c>
      <c r="N1659" s="26" t="s">
        <v>1566</v>
      </c>
      <c r="O1659" s="26" t="s">
        <v>1566</v>
      </c>
      <c r="P1659" s="26" t="s">
        <v>22</v>
      </c>
      <c r="Q1659" s="26">
        <v>400.0</v>
      </c>
    </row>
    <row r="1660" ht="17.25" customHeight="1">
      <c r="A1660" s="51">
        <v>46176.69283608797</v>
      </c>
      <c r="B1660" s="27" t="s">
        <v>1285</v>
      </c>
      <c r="C1660" s="55" t="s">
        <v>1560</v>
      </c>
      <c r="D1660" s="51">
        <v>46175.7026903125</v>
      </c>
      <c r="E1660" s="52">
        <v>1500.0</v>
      </c>
      <c r="F1660" s="26"/>
      <c r="G1660" s="55" t="s">
        <v>2319</v>
      </c>
      <c r="H1660" s="26"/>
      <c r="I1660" s="26" t="s">
        <v>1286</v>
      </c>
      <c r="J1660" s="26" t="s">
        <v>1225</v>
      </c>
      <c r="K1660" s="26" t="s">
        <v>1896</v>
      </c>
      <c r="L1660" s="26" t="s">
        <v>1563</v>
      </c>
      <c r="M1660" s="26" t="s">
        <v>1572</v>
      </c>
      <c r="N1660" s="26" t="s">
        <v>1566</v>
      </c>
      <c r="O1660" s="26" t="s">
        <v>1566</v>
      </c>
      <c r="P1660" s="26" t="s">
        <v>22</v>
      </c>
      <c r="Q1660" s="26">
        <v>300.0</v>
      </c>
    </row>
    <row r="1661" ht="17.25" customHeight="1">
      <c r="A1661" s="51">
        <v>46178.55944856482</v>
      </c>
      <c r="B1661" s="23" t="s">
        <v>301</v>
      </c>
      <c r="C1661" s="55" t="s">
        <v>1560</v>
      </c>
      <c r="D1661" s="111">
        <v>46177.0</v>
      </c>
      <c r="E1661" s="52">
        <v>400.0</v>
      </c>
      <c r="F1661" s="26"/>
      <c r="G1661" s="26"/>
      <c r="H1661" s="26"/>
      <c r="I1661" s="26" t="s">
        <v>302</v>
      </c>
      <c r="J1661" s="26" t="s">
        <v>1830</v>
      </c>
      <c r="K1661" s="26" t="s">
        <v>302</v>
      </c>
      <c r="L1661" s="26" t="s">
        <v>1566</v>
      </c>
      <c r="M1661" s="26" t="s">
        <v>1566</v>
      </c>
      <c r="N1661" s="26" t="s">
        <v>1566</v>
      </c>
      <c r="O1661" s="26" t="s">
        <v>1566</v>
      </c>
      <c r="P1661" s="26" t="s">
        <v>661</v>
      </c>
      <c r="Q1661" s="26">
        <v>580.0</v>
      </c>
    </row>
    <row r="1662" ht="17.25" customHeight="1">
      <c r="A1662" s="51">
        <v>46178.55944856482</v>
      </c>
      <c r="B1662" s="25" t="s">
        <v>287</v>
      </c>
      <c r="C1662" s="55" t="s">
        <v>1892</v>
      </c>
      <c r="D1662" s="111">
        <v>46177.0</v>
      </c>
      <c r="E1662" s="52">
        <v>4.0</v>
      </c>
      <c r="F1662" s="26"/>
      <c r="G1662" s="55"/>
      <c r="H1662" s="26"/>
      <c r="I1662" s="26" t="s">
        <v>288</v>
      </c>
      <c r="J1662" s="26" t="s">
        <v>1674</v>
      </c>
      <c r="K1662" s="26" t="s">
        <v>1675</v>
      </c>
      <c r="L1662" s="26" t="s">
        <v>1566</v>
      </c>
      <c r="M1662" s="26" t="s">
        <v>1566</v>
      </c>
      <c r="N1662" s="26" t="s">
        <v>1676</v>
      </c>
      <c r="O1662" s="26" t="s">
        <v>1677</v>
      </c>
      <c r="P1662" s="26" t="s">
        <v>290</v>
      </c>
      <c r="Q1662" s="26">
        <v>16.0</v>
      </c>
    </row>
    <row r="1663" ht="17.25" customHeight="1">
      <c r="A1663" s="51">
        <v>46178.56844903935</v>
      </c>
      <c r="B1663" s="25" t="s">
        <v>211</v>
      </c>
      <c r="C1663" s="55" t="s">
        <v>1892</v>
      </c>
      <c r="D1663" s="111">
        <v>46176.0</v>
      </c>
      <c r="E1663" s="52">
        <v>300.0</v>
      </c>
      <c r="F1663" s="26"/>
      <c r="G1663" s="55">
        <v>901.0</v>
      </c>
      <c r="H1663" s="26"/>
      <c r="I1663" s="26" t="s">
        <v>212</v>
      </c>
      <c r="J1663" s="26" t="s">
        <v>1225</v>
      </c>
      <c r="K1663" s="26" t="s">
        <v>1646</v>
      </c>
      <c r="L1663" s="26" t="s">
        <v>1647</v>
      </c>
      <c r="M1663" s="26" t="s">
        <v>1645</v>
      </c>
      <c r="N1663" s="26" t="s">
        <v>1566</v>
      </c>
      <c r="O1663" s="26" t="s">
        <v>1566</v>
      </c>
      <c r="P1663" s="26" t="s">
        <v>22</v>
      </c>
      <c r="Q1663" s="26">
        <v>450.0</v>
      </c>
    </row>
    <row r="1664" ht="17.25" customHeight="1">
      <c r="A1664" s="51">
        <v>46178.571610625004</v>
      </c>
      <c r="B1664" s="25" t="s">
        <v>104</v>
      </c>
      <c r="C1664" s="55" t="s">
        <v>1892</v>
      </c>
      <c r="D1664" s="111">
        <v>46176.0</v>
      </c>
      <c r="E1664" s="52">
        <v>1000.0</v>
      </c>
      <c r="F1664" s="55" t="s">
        <v>1561</v>
      </c>
      <c r="G1664" s="55">
        <v>903.0</v>
      </c>
      <c r="H1664" s="26"/>
      <c r="I1664" s="26" t="s">
        <v>106</v>
      </c>
      <c r="J1664" s="26" t="s">
        <v>1225</v>
      </c>
      <c r="K1664" s="26" t="s">
        <v>1562</v>
      </c>
      <c r="L1664" s="26" t="s">
        <v>1582</v>
      </c>
      <c r="M1664" s="26" t="s">
        <v>1607</v>
      </c>
      <c r="N1664" s="26" t="s">
        <v>1571</v>
      </c>
      <c r="O1664" s="26" t="s">
        <v>1566</v>
      </c>
      <c r="P1664" s="26" t="s">
        <v>22</v>
      </c>
      <c r="Q1664" s="26">
        <v>1000.0</v>
      </c>
    </row>
    <row r="1665" ht="17.25" customHeight="1">
      <c r="A1665" s="51">
        <v>46179.78889231481</v>
      </c>
      <c r="B1665" s="25" t="s">
        <v>304</v>
      </c>
      <c r="C1665" s="55" t="s">
        <v>1892</v>
      </c>
      <c r="D1665" s="51">
        <v>46179.78889231481</v>
      </c>
      <c r="E1665" s="52">
        <v>4.0</v>
      </c>
      <c r="F1665" s="55" t="s">
        <v>2169</v>
      </c>
      <c r="G1665" s="26"/>
      <c r="H1665" s="26"/>
      <c r="I1665" s="26" t="s">
        <v>306</v>
      </c>
      <c r="J1665" s="26" t="s">
        <v>1674</v>
      </c>
      <c r="K1665" s="26" t="s">
        <v>1675</v>
      </c>
      <c r="L1665" s="26" t="s">
        <v>1566</v>
      </c>
      <c r="M1665" s="26" t="s">
        <v>1566</v>
      </c>
      <c r="N1665" s="26" t="s">
        <v>1682</v>
      </c>
      <c r="O1665" s="26" t="s">
        <v>1677</v>
      </c>
      <c r="P1665" s="26" t="s">
        <v>290</v>
      </c>
      <c r="Q1665" s="26">
        <v>6.0</v>
      </c>
    </row>
    <row r="1666" ht="17.25" customHeight="1">
      <c r="A1666" s="51">
        <v>46179.79014693287</v>
      </c>
      <c r="B1666" s="25" t="s">
        <v>292</v>
      </c>
      <c r="C1666" s="55" t="s">
        <v>1892</v>
      </c>
      <c r="D1666" s="51">
        <v>46179.78889231481</v>
      </c>
      <c r="E1666" s="52">
        <v>2.0</v>
      </c>
      <c r="F1666" s="55" t="s">
        <v>2169</v>
      </c>
      <c r="G1666" s="26"/>
      <c r="H1666" s="26"/>
      <c r="I1666" s="26" t="s">
        <v>294</v>
      </c>
      <c r="J1666" s="26" t="s">
        <v>1674</v>
      </c>
      <c r="K1666" s="26" t="s">
        <v>1675</v>
      </c>
      <c r="L1666" s="26" t="s">
        <v>1566</v>
      </c>
      <c r="M1666" s="26" t="s">
        <v>1566</v>
      </c>
      <c r="N1666" s="26" t="s">
        <v>1678</v>
      </c>
      <c r="O1666" s="26" t="s">
        <v>1677</v>
      </c>
      <c r="P1666" s="26" t="s">
        <v>290</v>
      </c>
      <c r="Q1666" s="26">
        <v>10.0</v>
      </c>
    </row>
    <row r="1667" ht="17.25" customHeight="1">
      <c r="A1667" s="51">
        <v>46179.79038141204</v>
      </c>
      <c r="B1667" s="25" t="s">
        <v>598</v>
      </c>
      <c r="C1667" s="55" t="s">
        <v>1892</v>
      </c>
      <c r="D1667" s="51">
        <v>46179.78889231481</v>
      </c>
      <c r="E1667" s="52">
        <v>10.0</v>
      </c>
      <c r="F1667" s="55" t="s">
        <v>2169</v>
      </c>
      <c r="G1667" s="26"/>
      <c r="H1667" s="26"/>
      <c r="I1667" s="26" t="s">
        <v>604</v>
      </c>
      <c r="J1667" s="26" t="s">
        <v>1812</v>
      </c>
      <c r="K1667" s="26" t="s">
        <v>1815</v>
      </c>
      <c r="L1667" s="26" t="s">
        <v>1566</v>
      </c>
      <c r="M1667" s="26" t="s">
        <v>1566</v>
      </c>
      <c r="N1667" s="26" t="s">
        <v>1566</v>
      </c>
      <c r="O1667" s="26" t="s">
        <v>1812</v>
      </c>
      <c r="P1667" s="26" t="s">
        <v>616</v>
      </c>
      <c r="Q1667" s="26">
        <v>15.0</v>
      </c>
    </row>
    <row r="1668" ht="17.25" customHeight="1">
      <c r="A1668" s="51">
        <v>46181.53330380787</v>
      </c>
      <c r="B1668" s="25" t="s">
        <v>304</v>
      </c>
      <c r="C1668" s="55" t="s">
        <v>1892</v>
      </c>
      <c r="D1668" s="51">
        <v>46181.53330380787</v>
      </c>
      <c r="E1668" s="52">
        <v>8.0</v>
      </c>
      <c r="F1668" s="55" t="s">
        <v>2169</v>
      </c>
      <c r="G1668" s="26"/>
      <c r="H1668" s="26"/>
      <c r="I1668" s="26" t="s">
        <v>306</v>
      </c>
      <c r="J1668" s="26" t="s">
        <v>1674</v>
      </c>
      <c r="K1668" s="26" t="s">
        <v>1675</v>
      </c>
      <c r="L1668" s="26" t="s">
        <v>1566</v>
      </c>
      <c r="M1668" s="26" t="s">
        <v>1566</v>
      </c>
      <c r="N1668" s="26" t="s">
        <v>1682</v>
      </c>
      <c r="O1668" s="26" t="s">
        <v>1677</v>
      </c>
      <c r="P1668" s="26" t="s">
        <v>290</v>
      </c>
      <c r="Q1668" s="26">
        <v>6.0</v>
      </c>
    </row>
    <row r="1669" ht="17.25" customHeight="1">
      <c r="A1669" s="51">
        <v>46181.53340861111</v>
      </c>
      <c r="B1669" s="25" t="s">
        <v>304</v>
      </c>
      <c r="C1669" s="55" t="s">
        <v>1560</v>
      </c>
      <c r="D1669" s="51">
        <v>46181.53330380787</v>
      </c>
      <c r="E1669" s="52">
        <v>12.0</v>
      </c>
      <c r="F1669" s="55" t="s">
        <v>2271</v>
      </c>
      <c r="G1669" s="26"/>
      <c r="H1669" s="26"/>
      <c r="I1669" s="26" t="s">
        <v>306</v>
      </c>
      <c r="J1669" s="26" t="s">
        <v>1674</v>
      </c>
      <c r="K1669" s="26" t="s">
        <v>1675</v>
      </c>
      <c r="L1669" s="26" t="s">
        <v>1566</v>
      </c>
      <c r="M1669" s="26" t="s">
        <v>1566</v>
      </c>
      <c r="N1669" s="26" t="s">
        <v>1682</v>
      </c>
      <c r="O1669" s="26" t="s">
        <v>1677</v>
      </c>
      <c r="P1669" s="26" t="s">
        <v>290</v>
      </c>
      <c r="Q1669" s="26">
        <v>6.0</v>
      </c>
    </row>
    <row r="1670" ht="17.25" customHeight="1">
      <c r="A1670" s="51">
        <v>46181.533619803246</v>
      </c>
      <c r="B1670" s="25" t="s">
        <v>21</v>
      </c>
      <c r="C1670" s="55" t="s">
        <v>1892</v>
      </c>
      <c r="D1670" s="51">
        <v>46181.53330380787</v>
      </c>
      <c r="E1670" s="52">
        <v>20.0</v>
      </c>
      <c r="F1670" s="55" t="s">
        <v>2169</v>
      </c>
      <c r="G1670" s="26"/>
      <c r="H1670" s="26"/>
      <c r="I1670" s="26" t="s">
        <v>23</v>
      </c>
      <c r="J1670" s="26" t="s">
        <v>1812</v>
      </c>
      <c r="K1670" s="26" t="s">
        <v>1815</v>
      </c>
      <c r="L1670" s="26" t="s">
        <v>1566</v>
      </c>
      <c r="M1670" s="26" t="s">
        <v>1566</v>
      </c>
      <c r="N1670" s="26" t="s">
        <v>1566</v>
      </c>
      <c r="O1670" s="26" t="s">
        <v>1818</v>
      </c>
      <c r="P1670" s="26" t="s">
        <v>616</v>
      </c>
      <c r="Q1670" s="26">
        <v>20.0</v>
      </c>
    </row>
    <row r="1671" ht="17.25" customHeight="1">
      <c r="A1671" s="51">
        <v>46181.5338625</v>
      </c>
      <c r="B1671" s="25" t="s">
        <v>945</v>
      </c>
      <c r="C1671" s="55" t="s">
        <v>1892</v>
      </c>
      <c r="D1671" s="51">
        <v>46181.53330380787</v>
      </c>
      <c r="E1671" s="52">
        <v>25.0</v>
      </c>
      <c r="F1671" s="55" t="s">
        <v>2169</v>
      </c>
      <c r="G1671" s="26"/>
      <c r="H1671" s="26"/>
      <c r="I1671" s="26" t="s">
        <v>946</v>
      </c>
      <c r="J1671" s="26" t="s">
        <v>1812</v>
      </c>
      <c r="K1671" s="26" t="s">
        <v>1815</v>
      </c>
      <c r="L1671" s="26" t="s">
        <v>1566</v>
      </c>
      <c r="M1671" s="26" t="s">
        <v>1566</v>
      </c>
      <c r="N1671" s="26" t="s">
        <v>1566</v>
      </c>
      <c r="O1671" s="26" t="s">
        <v>1903</v>
      </c>
      <c r="P1671" s="26" t="s">
        <v>616</v>
      </c>
      <c r="Q1671" s="26">
        <v>25.0</v>
      </c>
    </row>
    <row r="1672" ht="17.25" customHeight="1">
      <c r="A1672" s="51">
        <v>46181.53409403935</v>
      </c>
      <c r="B1672" s="25" t="s">
        <v>622</v>
      </c>
      <c r="C1672" s="55" t="s">
        <v>1892</v>
      </c>
      <c r="D1672" s="51">
        <v>46181.53330380787</v>
      </c>
      <c r="E1672" s="52">
        <v>25.0</v>
      </c>
      <c r="F1672" s="55" t="s">
        <v>2169</v>
      </c>
      <c r="G1672" s="26"/>
      <c r="H1672" s="26"/>
      <c r="I1672" s="26" t="s">
        <v>623</v>
      </c>
      <c r="J1672" s="26" t="s">
        <v>1812</v>
      </c>
      <c r="K1672" s="26" t="s">
        <v>1815</v>
      </c>
      <c r="L1672" s="26" t="s">
        <v>1566</v>
      </c>
      <c r="M1672" s="26" t="s">
        <v>1566</v>
      </c>
      <c r="N1672" s="26" t="s">
        <v>1566</v>
      </c>
      <c r="O1672" s="26" t="s">
        <v>1817</v>
      </c>
      <c r="P1672" s="26" t="s">
        <v>616</v>
      </c>
      <c r="Q1672" s="26">
        <v>20.0</v>
      </c>
    </row>
    <row r="1673" ht="17.25" customHeight="1">
      <c r="A1673" s="51">
        <v>46181.534408101856</v>
      </c>
      <c r="B1673" s="25" t="s">
        <v>1091</v>
      </c>
      <c r="C1673" s="55" t="s">
        <v>1892</v>
      </c>
      <c r="D1673" s="51">
        <v>46181.53330380787</v>
      </c>
      <c r="E1673" s="52">
        <v>8.0</v>
      </c>
      <c r="F1673" s="55" t="s">
        <v>2169</v>
      </c>
      <c r="G1673" s="26"/>
      <c r="H1673" s="26"/>
      <c r="I1673" s="26" t="s">
        <v>1092</v>
      </c>
      <c r="J1673" s="26" t="s">
        <v>1830</v>
      </c>
      <c r="K1673" s="26" t="s">
        <v>1830</v>
      </c>
      <c r="L1673" s="26" t="s">
        <v>1566</v>
      </c>
      <c r="M1673" s="26" t="s">
        <v>1566</v>
      </c>
      <c r="N1673" s="26" t="s">
        <v>1566</v>
      </c>
      <c r="O1673" s="26" t="s">
        <v>1566</v>
      </c>
      <c r="P1673" s="26" t="s">
        <v>22</v>
      </c>
      <c r="Q1673" s="26">
        <v>52.0</v>
      </c>
    </row>
    <row r="1674" ht="17.25" customHeight="1">
      <c r="A1674" s="51">
        <v>46181.534601377316</v>
      </c>
      <c r="B1674" s="25" t="s">
        <v>301</v>
      </c>
      <c r="C1674" s="55" t="s">
        <v>1892</v>
      </c>
      <c r="D1674" s="51">
        <v>46181.53330380787</v>
      </c>
      <c r="E1674" s="52">
        <v>10.0</v>
      </c>
      <c r="F1674" s="55" t="s">
        <v>1894</v>
      </c>
      <c r="G1674" s="26"/>
      <c r="H1674" s="26"/>
      <c r="I1674" s="26" t="s">
        <v>302</v>
      </c>
      <c r="J1674" s="26" t="s">
        <v>1830</v>
      </c>
      <c r="K1674" s="26" t="s">
        <v>302</v>
      </c>
      <c r="L1674" s="26" t="s">
        <v>1566</v>
      </c>
      <c r="M1674" s="26" t="s">
        <v>1566</v>
      </c>
      <c r="N1674" s="26" t="s">
        <v>1566</v>
      </c>
      <c r="O1674" s="26" t="s">
        <v>1566</v>
      </c>
      <c r="P1674" s="26" t="s">
        <v>661</v>
      </c>
      <c r="Q1674" s="26">
        <v>580.0</v>
      </c>
    </row>
    <row r="1675" ht="17.25" customHeight="1">
      <c r="A1675" s="51">
        <v>46181.58776645834</v>
      </c>
      <c r="B1675" s="25" t="s">
        <v>1569</v>
      </c>
      <c r="C1675" s="55" t="s">
        <v>1560</v>
      </c>
      <c r="D1675" s="111">
        <v>46179.0</v>
      </c>
      <c r="E1675" s="52">
        <v>10200.0</v>
      </c>
      <c r="F1675" s="55" t="s">
        <v>1561</v>
      </c>
      <c r="G1675" s="55" t="s">
        <v>2320</v>
      </c>
      <c r="H1675" s="26"/>
      <c r="I1675" s="26" t="s">
        <v>1570</v>
      </c>
      <c r="J1675" s="26" t="s">
        <v>1225</v>
      </c>
      <c r="K1675" s="26" t="s">
        <v>1562</v>
      </c>
      <c r="L1675" s="26" t="s">
        <v>1563</v>
      </c>
      <c r="M1675" s="26" t="s">
        <v>1564</v>
      </c>
      <c r="N1675" s="26" t="s">
        <v>1571</v>
      </c>
      <c r="O1675" s="26" t="s">
        <v>1566</v>
      </c>
      <c r="P1675" s="26" t="s">
        <v>22</v>
      </c>
      <c r="Q1675" s="26">
        <v>0.0</v>
      </c>
    </row>
    <row r="1676" ht="17.25" customHeight="1">
      <c r="A1676" s="51">
        <v>46181.58915799769</v>
      </c>
      <c r="B1676" s="25" t="s">
        <v>734</v>
      </c>
      <c r="C1676" s="55" t="s">
        <v>1560</v>
      </c>
      <c r="D1676" s="111">
        <v>46179.0</v>
      </c>
      <c r="E1676" s="52">
        <v>3600.0</v>
      </c>
      <c r="F1676" s="55" t="s">
        <v>1561</v>
      </c>
      <c r="G1676" s="55" t="s">
        <v>2321</v>
      </c>
      <c r="H1676" s="26"/>
      <c r="I1676" s="26" t="s">
        <v>736</v>
      </c>
      <c r="J1676" s="26" t="s">
        <v>1225</v>
      </c>
      <c r="K1676" s="26" t="s">
        <v>1562</v>
      </c>
      <c r="L1676" s="26" t="s">
        <v>1591</v>
      </c>
      <c r="M1676" s="26" t="s">
        <v>1564</v>
      </c>
      <c r="N1676" s="26" t="s">
        <v>1566</v>
      </c>
      <c r="O1676" s="26" t="s">
        <v>1566</v>
      </c>
      <c r="P1676" s="26" t="s">
        <v>22</v>
      </c>
      <c r="Q1676" s="26">
        <v>1000.0</v>
      </c>
    </row>
    <row r="1677" ht="17.25" customHeight="1">
      <c r="A1677" s="51">
        <v>46181.58978289352</v>
      </c>
      <c r="B1677" s="25" t="s">
        <v>91</v>
      </c>
      <c r="C1677" s="55" t="s">
        <v>1560</v>
      </c>
      <c r="D1677" s="111">
        <v>46179.0</v>
      </c>
      <c r="E1677" s="52">
        <v>1000.0</v>
      </c>
      <c r="F1677" s="55" t="s">
        <v>1561</v>
      </c>
      <c r="G1677" s="55" t="s">
        <v>2322</v>
      </c>
      <c r="H1677" s="26"/>
      <c r="I1677" s="26" t="s">
        <v>92</v>
      </c>
      <c r="J1677" s="26" t="s">
        <v>1225</v>
      </c>
      <c r="K1677" s="26" t="s">
        <v>1562</v>
      </c>
      <c r="L1677" s="26" t="s">
        <v>1576</v>
      </c>
      <c r="M1677" s="26" t="s">
        <v>1572</v>
      </c>
      <c r="N1677" s="26" t="s">
        <v>1566</v>
      </c>
      <c r="O1677" s="26" t="s">
        <v>1566</v>
      </c>
      <c r="P1677" s="26" t="s">
        <v>22</v>
      </c>
      <c r="Q1677" s="26">
        <v>1400.0</v>
      </c>
    </row>
    <row r="1678" ht="17.25" customHeight="1">
      <c r="A1678" s="51">
        <v>46181.59033993055</v>
      </c>
      <c r="B1678" s="25" t="s">
        <v>913</v>
      </c>
      <c r="C1678" s="55" t="s">
        <v>1560</v>
      </c>
      <c r="D1678" s="111">
        <v>46179.0</v>
      </c>
      <c r="E1678" s="52">
        <v>400.0</v>
      </c>
      <c r="F1678" s="55" t="s">
        <v>1561</v>
      </c>
      <c r="G1678" s="55" t="s">
        <v>2323</v>
      </c>
      <c r="H1678" s="26"/>
      <c r="I1678" s="26" t="s">
        <v>915</v>
      </c>
      <c r="J1678" s="26" t="s">
        <v>1225</v>
      </c>
      <c r="K1678" s="26" t="s">
        <v>1562</v>
      </c>
      <c r="L1678" s="26" t="s">
        <v>1633</v>
      </c>
      <c r="M1678" s="26" t="s">
        <v>1564</v>
      </c>
      <c r="N1678" s="26" t="s">
        <v>1571</v>
      </c>
      <c r="O1678" s="26" t="s">
        <v>1566</v>
      </c>
      <c r="P1678" s="26" t="s">
        <v>22</v>
      </c>
      <c r="Q1678" s="26">
        <v>0.0</v>
      </c>
    </row>
    <row r="1679" ht="17.25" customHeight="1">
      <c r="A1679" s="51">
        <v>46181.59318980324</v>
      </c>
      <c r="B1679" s="25" t="s">
        <v>1108</v>
      </c>
      <c r="C1679" s="55" t="s">
        <v>1892</v>
      </c>
      <c r="D1679" s="111">
        <v>46177.0</v>
      </c>
      <c r="E1679" s="52">
        <v>288.0</v>
      </c>
      <c r="F1679" s="55" t="s">
        <v>1561</v>
      </c>
      <c r="G1679" s="55" t="s">
        <v>2324</v>
      </c>
      <c r="H1679" s="26"/>
      <c r="I1679" s="26" t="s">
        <v>1109</v>
      </c>
      <c r="J1679" s="26" t="s">
        <v>1225</v>
      </c>
      <c r="K1679" s="26" t="s">
        <v>1653</v>
      </c>
      <c r="L1679" s="26" t="s">
        <v>1656</v>
      </c>
      <c r="M1679" s="26" t="s">
        <v>1595</v>
      </c>
      <c r="N1679" s="26" t="s">
        <v>1566</v>
      </c>
      <c r="O1679" s="26" t="s">
        <v>2122</v>
      </c>
      <c r="P1679" s="26" t="s">
        <v>22</v>
      </c>
      <c r="Q1679" s="26">
        <v>144.0</v>
      </c>
    </row>
    <row r="1680" ht="17.25" customHeight="1">
      <c r="A1680" s="51">
        <v>46181.593963182866</v>
      </c>
      <c r="B1680" s="25" t="s">
        <v>104</v>
      </c>
      <c r="C1680" s="55" t="s">
        <v>1892</v>
      </c>
      <c r="D1680" s="111">
        <v>46177.0</v>
      </c>
      <c r="E1680" s="52">
        <v>700.0</v>
      </c>
      <c r="F1680" s="55" t="s">
        <v>1561</v>
      </c>
      <c r="G1680" s="55" t="s">
        <v>2325</v>
      </c>
      <c r="H1680" s="26"/>
      <c r="I1680" s="26" t="s">
        <v>106</v>
      </c>
      <c r="J1680" s="26" t="s">
        <v>1225</v>
      </c>
      <c r="K1680" s="26" t="s">
        <v>1562</v>
      </c>
      <c r="L1680" s="26" t="s">
        <v>1582</v>
      </c>
      <c r="M1680" s="26" t="s">
        <v>1607</v>
      </c>
      <c r="N1680" s="26" t="s">
        <v>1571</v>
      </c>
      <c r="O1680" s="26" t="s">
        <v>1566</v>
      </c>
      <c r="P1680" s="26" t="s">
        <v>22</v>
      </c>
      <c r="Q1680" s="26">
        <v>1000.0</v>
      </c>
    </row>
    <row r="1681" ht="17.25" customHeight="1">
      <c r="A1681" s="51">
        <v>46181.59411543982</v>
      </c>
      <c r="B1681" s="25" t="s">
        <v>104</v>
      </c>
      <c r="C1681" s="55" t="s">
        <v>1892</v>
      </c>
      <c r="D1681" s="111">
        <v>46177.0</v>
      </c>
      <c r="E1681" s="52">
        <v>700.0</v>
      </c>
      <c r="F1681" s="55" t="s">
        <v>1561</v>
      </c>
      <c r="G1681" s="55" t="s">
        <v>2326</v>
      </c>
      <c r="H1681" s="26"/>
      <c r="I1681" s="26" t="s">
        <v>106</v>
      </c>
      <c r="J1681" s="26" t="s">
        <v>1225</v>
      </c>
      <c r="K1681" s="26" t="s">
        <v>1562</v>
      </c>
      <c r="L1681" s="26" t="s">
        <v>1582</v>
      </c>
      <c r="M1681" s="26" t="s">
        <v>1607</v>
      </c>
      <c r="N1681" s="26" t="s">
        <v>1571</v>
      </c>
      <c r="O1681" s="26" t="s">
        <v>1566</v>
      </c>
      <c r="P1681" s="26" t="s">
        <v>22</v>
      </c>
      <c r="Q1681" s="26">
        <v>1000.0</v>
      </c>
    </row>
    <row r="1682" ht="17.25" customHeight="1">
      <c r="A1682" s="51">
        <v>46181.59582333334</v>
      </c>
      <c r="B1682" s="25" t="s">
        <v>1108</v>
      </c>
      <c r="C1682" s="55" t="s">
        <v>1560</v>
      </c>
      <c r="D1682" s="111">
        <v>46177.0</v>
      </c>
      <c r="E1682" s="52">
        <v>1296.0</v>
      </c>
      <c r="F1682" s="55" t="s">
        <v>1561</v>
      </c>
      <c r="G1682" s="55">
        <v>907.0</v>
      </c>
      <c r="H1682" s="26"/>
      <c r="I1682" s="26" t="s">
        <v>1109</v>
      </c>
      <c r="J1682" s="26" t="s">
        <v>1225</v>
      </c>
      <c r="K1682" s="26" t="s">
        <v>1653</v>
      </c>
      <c r="L1682" s="26" t="s">
        <v>1656</v>
      </c>
      <c r="M1682" s="26" t="s">
        <v>1595</v>
      </c>
      <c r="N1682" s="26" t="s">
        <v>1566</v>
      </c>
      <c r="O1682" s="26" t="s">
        <v>2122</v>
      </c>
      <c r="P1682" s="26" t="s">
        <v>22</v>
      </c>
      <c r="Q1682" s="26">
        <v>144.0</v>
      </c>
    </row>
    <row r="1683" ht="17.25" customHeight="1">
      <c r="A1683" s="51">
        <v>46181.59609622685</v>
      </c>
      <c r="B1683" s="25" t="s">
        <v>1108</v>
      </c>
      <c r="C1683" s="55" t="s">
        <v>1892</v>
      </c>
      <c r="D1683" s="111">
        <v>46177.0</v>
      </c>
      <c r="E1683" s="52">
        <v>1296.0</v>
      </c>
      <c r="F1683" s="55" t="s">
        <v>1561</v>
      </c>
      <c r="G1683" s="55">
        <v>907.0</v>
      </c>
      <c r="H1683" s="26"/>
      <c r="I1683" s="26" t="s">
        <v>1109</v>
      </c>
      <c r="J1683" s="26" t="s">
        <v>1225</v>
      </c>
      <c r="K1683" s="26" t="s">
        <v>1653</v>
      </c>
      <c r="L1683" s="26" t="s">
        <v>1656</v>
      </c>
      <c r="M1683" s="26" t="s">
        <v>1595</v>
      </c>
      <c r="N1683" s="26" t="s">
        <v>1566</v>
      </c>
      <c r="O1683" s="26" t="s">
        <v>2122</v>
      </c>
      <c r="P1683" s="26" t="s">
        <v>22</v>
      </c>
      <c r="Q1683" s="26">
        <v>144.0</v>
      </c>
    </row>
    <row r="1684" ht="17.25" customHeight="1">
      <c r="A1684" s="51">
        <v>46181.64787195602</v>
      </c>
      <c r="B1684" s="25" t="s">
        <v>654</v>
      </c>
      <c r="C1684" s="55" t="s">
        <v>1892</v>
      </c>
      <c r="D1684" s="111">
        <v>46177.0</v>
      </c>
      <c r="E1684" s="52">
        <v>5.0</v>
      </c>
      <c r="F1684" s="55" t="s">
        <v>2044</v>
      </c>
      <c r="G1684" s="26"/>
      <c r="H1684" s="26"/>
      <c r="I1684" s="26" t="s">
        <v>655</v>
      </c>
      <c r="J1684" s="26" t="s">
        <v>1821</v>
      </c>
      <c r="K1684" s="26" t="s">
        <v>1822</v>
      </c>
      <c r="L1684" s="26" t="s">
        <v>1566</v>
      </c>
      <c r="M1684" s="26" t="s">
        <v>1566</v>
      </c>
      <c r="N1684" s="26" t="s">
        <v>1566</v>
      </c>
      <c r="O1684" s="26" t="s">
        <v>1566</v>
      </c>
      <c r="P1684" s="26" t="s">
        <v>290</v>
      </c>
      <c r="Q1684" s="26">
        <v>5.0</v>
      </c>
    </row>
    <row r="1685" ht="17.25" customHeight="1">
      <c r="A1685" s="51">
        <v>46181.64802783565</v>
      </c>
      <c r="B1685" s="25" t="s">
        <v>654</v>
      </c>
      <c r="C1685" s="55" t="s">
        <v>1560</v>
      </c>
      <c r="D1685" s="51">
        <v>46181.593963182866</v>
      </c>
      <c r="E1685" s="52">
        <v>5.0</v>
      </c>
      <c r="F1685" s="55" t="s">
        <v>1673</v>
      </c>
      <c r="G1685" s="26"/>
      <c r="H1685" s="26"/>
      <c r="I1685" s="26" t="s">
        <v>655</v>
      </c>
      <c r="J1685" s="26" t="s">
        <v>1821</v>
      </c>
      <c r="K1685" s="26" t="s">
        <v>1822</v>
      </c>
      <c r="L1685" s="26" t="s">
        <v>1566</v>
      </c>
      <c r="M1685" s="26" t="s">
        <v>1566</v>
      </c>
      <c r="N1685" s="26" t="s">
        <v>1566</v>
      </c>
      <c r="O1685" s="26" t="s">
        <v>1566</v>
      </c>
      <c r="P1685" s="26" t="s">
        <v>290</v>
      </c>
      <c r="Q1685" s="26">
        <v>5.0</v>
      </c>
    </row>
    <row r="1686" ht="17.25" customHeight="1">
      <c r="A1686" s="51">
        <v>46181.64841844907</v>
      </c>
      <c r="B1686" s="25" t="s">
        <v>271</v>
      </c>
      <c r="C1686" s="55" t="s">
        <v>1560</v>
      </c>
      <c r="D1686" s="51">
        <v>46181.593963182866</v>
      </c>
      <c r="E1686" s="52">
        <v>12.0</v>
      </c>
      <c r="F1686" s="55" t="s">
        <v>1673</v>
      </c>
      <c r="G1686" s="26"/>
      <c r="H1686" s="26"/>
      <c r="I1686" s="26" t="s">
        <v>277</v>
      </c>
      <c r="J1686" s="26" t="s">
        <v>1821</v>
      </c>
      <c r="K1686" s="26" t="s">
        <v>1822</v>
      </c>
      <c r="L1686" s="26" t="s">
        <v>1824</v>
      </c>
      <c r="M1686" s="26" t="s">
        <v>1566</v>
      </c>
      <c r="N1686" s="26" t="s">
        <v>1566</v>
      </c>
      <c r="O1686" s="26" t="s">
        <v>1566</v>
      </c>
      <c r="P1686" s="26" t="s">
        <v>661</v>
      </c>
      <c r="Q1686" s="26">
        <v>45.0</v>
      </c>
    </row>
    <row r="1687" ht="17.25" customHeight="1">
      <c r="A1687" s="51">
        <v>46181.64914127315</v>
      </c>
      <c r="B1687" s="25" t="s">
        <v>968</v>
      </c>
      <c r="C1687" s="55" t="s">
        <v>1892</v>
      </c>
      <c r="D1687" s="111">
        <v>46177.0</v>
      </c>
      <c r="E1687" s="52">
        <v>1.0</v>
      </c>
      <c r="F1687" s="55" t="s">
        <v>1673</v>
      </c>
      <c r="G1687" s="26"/>
      <c r="H1687" s="26"/>
      <c r="I1687" s="26" t="s">
        <v>969</v>
      </c>
      <c r="J1687" s="26" t="s">
        <v>1807</v>
      </c>
      <c r="K1687" s="26" t="s">
        <v>1807</v>
      </c>
      <c r="L1687" s="26" t="s">
        <v>1566</v>
      </c>
      <c r="M1687" s="26" t="s">
        <v>1566</v>
      </c>
      <c r="N1687" s="26" t="s">
        <v>1566</v>
      </c>
      <c r="O1687" s="26" t="s">
        <v>1566</v>
      </c>
      <c r="P1687" s="26" t="s">
        <v>290</v>
      </c>
      <c r="Q1687" s="26">
        <v>2.0</v>
      </c>
    </row>
    <row r="1688" ht="17.25" customHeight="1">
      <c r="A1688" s="51">
        <v>46181.64925739584</v>
      </c>
      <c r="B1688" s="25" t="s">
        <v>994</v>
      </c>
      <c r="C1688" s="55" t="s">
        <v>1892</v>
      </c>
      <c r="D1688" s="111">
        <v>46177.0</v>
      </c>
      <c r="E1688" s="52">
        <v>8.0</v>
      </c>
      <c r="F1688" s="55" t="s">
        <v>1673</v>
      </c>
      <c r="G1688" s="26"/>
      <c r="H1688" s="26"/>
      <c r="I1688" s="26" t="s">
        <v>995</v>
      </c>
      <c r="J1688" s="26" t="s">
        <v>1807</v>
      </c>
      <c r="K1688" s="26" t="s">
        <v>1889</v>
      </c>
      <c r="L1688" s="26" t="s">
        <v>1566</v>
      </c>
      <c r="M1688" s="26" t="s">
        <v>1566</v>
      </c>
      <c r="N1688" s="26" t="s">
        <v>1566</v>
      </c>
      <c r="O1688" s="26" t="s">
        <v>1566</v>
      </c>
      <c r="P1688" s="26" t="s">
        <v>661</v>
      </c>
      <c r="Q1688" s="26">
        <v>9.0</v>
      </c>
    </row>
    <row r="1689" ht="17.25" customHeight="1">
      <c r="A1689" s="51">
        <v>46181.65261273149</v>
      </c>
      <c r="B1689" s="27" t="s">
        <v>988</v>
      </c>
      <c r="C1689" s="55" t="s">
        <v>1560</v>
      </c>
      <c r="D1689" s="51">
        <v>46181.593963182866</v>
      </c>
      <c r="E1689" s="52">
        <v>2.0</v>
      </c>
      <c r="F1689" s="55" t="s">
        <v>1673</v>
      </c>
      <c r="G1689" s="26"/>
      <c r="H1689" s="26"/>
      <c r="I1689" s="26" t="s">
        <v>990</v>
      </c>
      <c r="J1689" s="26" t="s">
        <v>1830</v>
      </c>
      <c r="K1689" s="26" t="s">
        <v>1830</v>
      </c>
      <c r="L1689" s="26" t="s">
        <v>1566</v>
      </c>
      <c r="M1689" s="26" t="s">
        <v>1566</v>
      </c>
      <c r="N1689" s="26" t="s">
        <v>1566</v>
      </c>
      <c r="O1689" s="26" t="s">
        <v>1566</v>
      </c>
      <c r="P1689" s="26" t="s">
        <v>661</v>
      </c>
      <c r="Q1689" s="26">
        <v>2.0</v>
      </c>
    </row>
    <row r="1690" ht="17.25" customHeight="1">
      <c r="A1690" s="51">
        <v>46181.65285380787</v>
      </c>
      <c r="B1690" s="25" t="s">
        <v>983</v>
      </c>
      <c r="C1690" s="55" t="s">
        <v>1892</v>
      </c>
      <c r="D1690" s="51">
        <v>46181.593963182866</v>
      </c>
      <c r="E1690" s="52">
        <v>3.0</v>
      </c>
      <c r="F1690" s="55" t="s">
        <v>1673</v>
      </c>
      <c r="G1690" s="26"/>
      <c r="H1690" s="26"/>
      <c r="I1690" s="26" t="s">
        <v>984</v>
      </c>
      <c r="J1690" s="26" t="s">
        <v>1830</v>
      </c>
      <c r="K1690" s="26" t="s">
        <v>1830</v>
      </c>
      <c r="L1690" s="26" t="s">
        <v>1566</v>
      </c>
      <c r="M1690" s="26" t="s">
        <v>1566</v>
      </c>
      <c r="N1690" s="26" t="s">
        <v>1566</v>
      </c>
      <c r="O1690" s="26" t="s">
        <v>1566</v>
      </c>
      <c r="P1690" s="26" t="s">
        <v>661</v>
      </c>
      <c r="Q1690" s="26">
        <v>8.0</v>
      </c>
    </row>
    <row r="1691" ht="17.25" customHeight="1">
      <c r="A1691" s="51">
        <v>46181.65293077547</v>
      </c>
      <c r="B1691" s="25" t="s">
        <v>983</v>
      </c>
      <c r="C1691" s="55" t="s">
        <v>1560</v>
      </c>
      <c r="D1691" s="51">
        <v>46181.593963182866</v>
      </c>
      <c r="E1691" s="52">
        <v>8.0</v>
      </c>
      <c r="F1691" s="55" t="s">
        <v>1673</v>
      </c>
      <c r="G1691" s="26"/>
      <c r="H1691" s="26"/>
      <c r="I1691" s="26" t="s">
        <v>984</v>
      </c>
      <c r="J1691" s="26" t="s">
        <v>1830</v>
      </c>
      <c r="K1691" s="26" t="s">
        <v>1830</v>
      </c>
      <c r="L1691" s="26" t="s">
        <v>1566</v>
      </c>
      <c r="M1691" s="26" t="s">
        <v>1566</v>
      </c>
      <c r="N1691" s="26" t="s">
        <v>1566</v>
      </c>
      <c r="O1691" s="26" t="s">
        <v>1566</v>
      </c>
      <c r="P1691" s="26" t="s">
        <v>661</v>
      </c>
      <c r="Q1691" s="26">
        <v>8.0</v>
      </c>
    </row>
    <row r="1692" ht="17.25" customHeight="1">
      <c r="A1692" s="51">
        <v>46181.653743159724</v>
      </c>
      <c r="B1692" s="27" t="s">
        <v>728</v>
      </c>
      <c r="C1692" s="55" t="s">
        <v>1892</v>
      </c>
      <c r="D1692" s="111">
        <v>46177.0</v>
      </c>
      <c r="E1692" s="52">
        <v>5.0</v>
      </c>
      <c r="F1692" s="55" t="s">
        <v>2075</v>
      </c>
      <c r="G1692" s="26"/>
      <c r="H1692" s="26"/>
      <c r="I1692" s="26" t="s">
        <v>729</v>
      </c>
      <c r="J1692" s="26" t="s">
        <v>1812</v>
      </c>
      <c r="K1692" s="26" t="s">
        <v>1815</v>
      </c>
      <c r="L1692" s="26" t="s">
        <v>1566</v>
      </c>
      <c r="M1692" s="26" t="s">
        <v>1566</v>
      </c>
      <c r="N1692" s="26" t="s">
        <v>1566</v>
      </c>
      <c r="O1692" s="26" t="s">
        <v>1566</v>
      </c>
      <c r="P1692" s="26" t="s">
        <v>661</v>
      </c>
      <c r="Q1692" s="26">
        <v>10.0</v>
      </c>
    </row>
    <row r="1693" ht="17.25" customHeight="1">
      <c r="A1693" s="51">
        <v>46181.65396439815</v>
      </c>
      <c r="B1693" s="27" t="s">
        <v>728</v>
      </c>
      <c r="C1693" s="55" t="s">
        <v>1560</v>
      </c>
      <c r="D1693" s="51">
        <v>46181.593963182866</v>
      </c>
      <c r="E1693" s="52">
        <v>10.0</v>
      </c>
      <c r="F1693" s="55" t="s">
        <v>2015</v>
      </c>
      <c r="G1693" s="26"/>
      <c r="H1693" s="26"/>
      <c r="I1693" s="26" t="s">
        <v>729</v>
      </c>
      <c r="J1693" s="26" t="s">
        <v>1812</v>
      </c>
      <c r="K1693" s="26" t="s">
        <v>1815</v>
      </c>
      <c r="L1693" s="26" t="s">
        <v>1566</v>
      </c>
      <c r="M1693" s="26" t="s">
        <v>1566</v>
      </c>
      <c r="N1693" s="26" t="s">
        <v>1566</v>
      </c>
      <c r="O1693" s="26" t="s">
        <v>1566</v>
      </c>
      <c r="P1693" s="26" t="s">
        <v>661</v>
      </c>
      <c r="Q1693" s="26">
        <v>10.0</v>
      </c>
    </row>
    <row r="1694" ht="17.25" customHeight="1">
      <c r="A1694" s="51">
        <v>46181.77863444445</v>
      </c>
      <c r="B1694" s="25" t="s">
        <v>359</v>
      </c>
      <c r="C1694" s="55" t="s">
        <v>1892</v>
      </c>
      <c r="D1694" s="51">
        <v>46181.593963182866</v>
      </c>
      <c r="E1694" s="52">
        <v>10.0</v>
      </c>
      <c r="F1694" s="55" t="s">
        <v>1894</v>
      </c>
      <c r="G1694" s="26"/>
      <c r="H1694" s="26"/>
      <c r="I1694" s="26" t="s">
        <v>370</v>
      </c>
      <c r="J1694" s="26" t="s">
        <v>370</v>
      </c>
      <c r="K1694" s="26" t="s">
        <v>370</v>
      </c>
      <c r="L1694" s="26" t="s">
        <v>1566</v>
      </c>
      <c r="M1694" s="26" t="s">
        <v>1566</v>
      </c>
      <c r="N1694" s="26" t="s">
        <v>1566</v>
      </c>
      <c r="O1694" s="26" t="s">
        <v>1566</v>
      </c>
      <c r="P1694" s="26" t="s">
        <v>661</v>
      </c>
      <c r="Q1694" s="26">
        <v>100.0</v>
      </c>
    </row>
    <row r="1695" ht="17.25" customHeight="1">
      <c r="A1695" s="202">
        <v>46182.44284859954</v>
      </c>
      <c r="B1695" s="25" t="s">
        <v>359</v>
      </c>
      <c r="C1695" s="55" t="s">
        <v>1892</v>
      </c>
      <c r="D1695" s="111">
        <v>46182.0</v>
      </c>
      <c r="E1695" s="52">
        <v>10.0</v>
      </c>
      <c r="F1695" s="55" t="s">
        <v>1894</v>
      </c>
      <c r="G1695" s="26"/>
      <c r="H1695" s="26"/>
      <c r="I1695" s="26" t="s">
        <v>370</v>
      </c>
      <c r="J1695" s="26" t="s">
        <v>370</v>
      </c>
      <c r="K1695" s="26" t="s">
        <v>370</v>
      </c>
      <c r="L1695" s="26" t="s">
        <v>1566</v>
      </c>
      <c r="M1695" s="26" t="s">
        <v>1566</v>
      </c>
      <c r="N1695" s="26" t="s">
        <v>1566</v>
      </c>
      <c r="O1695" s="26" t="s">
        <v>1566</v>
      </c>
      <c r="P1695" s="26" t="s">
        <v>661</v>
      </c>
      <c r="Q1695" s="26">
        <v>100.0</v>
      </c>
    </row>
    <row r="1696" ht="17.25" customHeight="1">
      <c r="A1696" s="51">
        <v>46182.44626642361</v>
      </c>
      <c r="B1696" s="25" t="s">
        <v>1741</v>
      </c>
      <c r="C1696" s="55" t="s">
        <v>1892</v>
      </c>
      <c r="D1696" s="223">
        <v>46179.0</v>
      </c>
      <c r="E1696" s="52">
        <v>250.0</v>
      </c>
      <c r="F1696" s="55" t="s">
        <v>1561</v>
      </c>
      <c r="G1696" s="55">
        <v>909.0</v>
      </c>
      <c r="H1696" s="26"/>
      <c r="I1696" s="26" t="s">
        <v>1742</v>
      </c>
      <c r="J1696" s="26" t="s">
        <v>1225</v>
      </c>
      <c r="K1696" s="26" t="s">
        <v>1562</v>
      </c>
      <c r="L1696" s="26" t="s">
        <v>1656</v>
      </c>
      <c r="M1696" s="26" t="s">
        <v>1575</v>
      </c>
      <c r="N1696" s="26" t="s">
        <v>1566</v>
      </c>
      <c r="O1696" s="26" t="s">
        <v>1566</v>
      </c>
      <c r="P1696" s="26" t="s">
        <v>22</v>
      </c>
      <c r="Q1696" s="26">
        <v>0.0</v>
      </c>
    </row>
    <row r="1697" ht="17.25" customHeight="1">
      <c r="A1697" s="51">
        <v>46182.447138171294</v>
      </c>
      <c r="B1697" s="25" t="s">
        <v>1008</v>
      </c>
      <c r="C1697" s="55" t="s">
        <v>1892</v>
      </c>
      <c r="D1697" s="223">
        <v>46179.0</v>
      </c>
      <c r="E1697" s="52">
        <v>100.0</v>
      </c>
      <c r="F1697" s="55" t="s">
        <v>1561</v>
      </c>
      <c r="G1697" s="55">
        <v>910.0</v>
      </c>
      <c r="H1697" s="26"/>
      <c r="I1697" s="26" t="s">
        <v>1009</v>
      </c>
      <c r="J1697" s="26" t="s">
        <v>1225</v>
      </c>
      <c r="K1697" s="26" t="s">
        <v>1562</v>
      </c>
      <c r="L1697" s="26" t="s">
        <v>1603</v>
      </c>
      <c r="M1697" s="26" t="s">
        <v>2049</v>
      </c>
      <c r="N1697" s="26" t="s">
        <v>1566</v>
      </c>
      <c r="O1697" s="26" t="s">
        <v>1566</v>
      </c>
      <c r="P1697" s="26" t="s">
        <v>22</v>
      </c>
      <c r="Q1697" s="26">
        <v>200.0</v>
      </c>
    </row>
    <row r="1698" ht="17.25" customHeight="1">
      <c r="A1698" s="51">
        <v>46182.447741909724</v>
      </c>
      <c r="B1698" s="25" t="s">
        <v>734</v>
      </c>
      <c r="C1698" s="55" t="s">
        <v>1892</v>
      </c>
      <c r="D1698" s="223">
        <v>46179.0</v>
      </c>
      <c r="E1698" s="52">
        <v>1400.0</v>
      </c>
      <c r="F1698" s="55" t="s">
        <v>1561</v>
      </c>
      <c r="G1698" s="55">
        <v>911.0</v>
      </c>
      <c r="H1698" s="26"/>
      <c r="I1698" s="26" t="s">
        <v>736</v>
      </c>
      <c r="J1698" s="26" t="s">
        <v>1225</v>
      </c>
      <c r="K1698" s="26" t="s">
        <v>1562</v>
      </c>
      <c r="L1698" s="26" t="s">
        <v>1591</v>
      </c>
      <c r="M1698" s="26" t="s">
        <v>1564</v>
      </c>
      <c r="N1698" s="26" t="s">
        <v>1566</v>
      </c>
      <c r="O1698" s="26" t="s">
        <v>1566</v>
      </c>
      <c r="P1698" s="26" t="s">
        <v>22</v>
      </c>
      <c r="Q1698" s="26">
        <v>1000.0</v>
      </c>
    </row>
    <row r="1699" ht="17.25" customHeight="1">
      <c r="A1699" s="51">
        <v>46182.448376134256</v>
      </c>
      <c r="B1699" s="25" t="s">
        <v>913</v>
      </c>
      <c r="C1699" s="55" t="s">
        <v>1892</v>
      </c>
      <c r="D1699" s="223">
        <v>46179.0</v>
      </c>
      <c r="E1699" s="52">
        <v>50.0</v>
      </c>
      <c r="F1699" s="55" t="s">
        <v>1561</v>
      </c>
      <c r="G1699" s="55">
        <v>912.0</v>
      </c>
      <c r="H1699" s="26"/>
      <c r="I1699" s="26" t="s">
        <v>915</v>
      </c>
      <c r="J1699" s="26" t="s">
        <v>1225</v>
      </c>
      <c r="K1699" s="26" t="s">
        <v>1562</v>
      </c>
      <c r="L1699" s="26" t="s">
        <v>1633</v>
      </c>
      <c r="M1699" s="26" t="s">
        <v>1564</v>
      </c>
      <c r="N1699" s="26" t="s">
        <v>1571</v>
      </c>
      <c r="O1699" s="26" t="s">
        <v>1566</v>
      </c>
      <c r="P1699" s="26" t="s">
        <v>22</v>
      </c>
      <c r="Q1699" s="26">
        <v>0.0</v>
      </c>
    </row>
    <row r="1700" ht="17.25" customHeight="1">
      <c r="A1700" s="51">
        <v>46182.44902641204</v>
      </c>
      <c r="B1700" s="25" t="s">
        <v>1285</v>
      </c>
      <c r="C1700" s="55" t="s">
        <v>1892</v>
      </c>
      <c r="D1700" s="223">
        <v>46179.0</v>
      </c>
      <c r="E1700" s="52">
        <v>1500.0</v>
      </c>
      <c r="F1700" s="55" t="s">
        <v>1561</v>
      </c>
      <c r="G1700" s="55">
        <v>913.0</v>
      </c>
      <c r="H1700" s="26"/>
      <c r="I1700" s="26" t="s">
        <v>1286</v>
      </c>
      <c r="J1700" s="26" t="s">
        <v>1225</v>
      </c>
      <c r="K1700" s="26" t="s">
        <v>1896</v>
      </c>
      <c r="L1700" s="26" t="s">
        <v>1563</v>
      </c>
      <c r="M1700" s="26" t="s">
        <v>1572</v>
      </c>
      <c r="N1700" s="26" t="s">
        <v>1566</v>
      </c>
      <c r="O1700" s="26" t="s">
        <v>1566</v>
      </c>
      <c r="P1700" s="26" t="s">
        <v>22</v>
      </c>
      <c r="Q1700" s="26">
        <v>300.0</v>
      </c>
    </row>
    <row r="1701" ht="17.25" customHeight="1">
      <c r="A1701" s="51">
        <v>46182.44902641204</v>
      </c>
      <c r="B1701" s="25" t="s">
        <v>1569</v>
      </c>
      <c r="C1701" s="55" t="s">
        <v>1892</v>
      </c>
      <c r="D1701" s="223">
        <v>46179.0</v>
      </c>
      <c r="E1701" s="52">
        <v>10200.0</v>
      </c>
      <c r="F1701" s="55" t="s">
        <v>1561</v>
      </c>
      <c r="G1701" s="55">
        <v>914.0</v>
      </c>
      <c r="H1701" s="26"/>
      <c r="I1701" s="26" t="s">
        <v>1570</v>
      </c>
      <c r="J1701" s="26" t="s">
        <v>1225</v>
      </c>
      <c r="K1701" s="26" t="s">
        <v>1562</v>
      </c>
      <c r="L1701" s="26" t="s">
        <v>1563</v>
      </c>
      <c r="M1701" s="26" t="s">
        <v>1564</v>
      </c>
      <c r="N1701" s="26" t="s">
        <v>1571</v>
      </c>
      <c r="O1701" s="26" t="s">
        <v>1566</v>
      </c>
      <c r="P1701" s="26" t="s">
        <v>22</v>
      </c>
      <c r="Q1701" s="26">
        <v>0.0</v>
      </c>
    </row>
    <row r="1702" ht="17.25" customHeight="1">
      <c r="A1702" s="51">
        <v>46182.45206361111</v>
      </c>
      <c r="B1702" s="25" t="s">
        <v>1522</v>
      </c>
      <c r="C1702" s="55" t="s">
        <v>1892</v>
      </c>
      <c r="D1702" s="223">
        <v>46181.0</v>
      </c>
      <c r="E1702" s="52">
        <v>2000.0</v>
      </c>
      <c r="F1702" s="55" t="s">
        <v>1561</v>
      </c>
      <c r="G1702" s="55">
        <v>915.0</v>
      </c>
      <c r="H1702" s="26"/>
      <c r="I1702" s="26" t="s">
        <v>1523</v>
      </c>
      <c r="J1702" s="26" t="s">
        <v>1225</v>
      </c>
      <c r="K1702" s="26" t="s">
        <v>1562</v>
      </c>
      <c r="L1702" s="26" t="s">
        <v>1563</v>
      </c>
      <c r="M1702" s="26" t="s">
        <v>1572</v>
      </c>
      <c r="N1702" s="26" t="s">
        <v>1571</v>
      </c>
      <c r="O1702" s="26" t="s">
        <v>1566</v>
      </c>
      <c r="P1702" s="26" t="s">
        <v>22</v>
      </c>
      <c r="Q1702" s="26">
        <v>800.0</v>
      </c>
    </row>
    <row r="1703" ht="17.25" customHeight="1">
      <c r="A1703" s="51">
        <v>46182.46111533565</v>
      </c>
      <c r="B1703" s="27" t="s">
        <v>1291</v>
      </c>
      <c r="C1703" s="55" t="s">
        <v>1560</v>
      </c>
      <c r="D1703" s="111">
        <v>46177.0</v>
      </c>
      <c r="E1703" s="195">
        <v>1152.0</v>
      </c>
      <c r="F1703" s="55" t="s">
        <v>1561</v>
      </c>
      <c r="G1703" s="26"/>
      <c r="H1703" s="26"/>
      <c r="I1703" s="26" t="s">
        <v>1292</v>
      </c>
      <c r="J1703" s="26" t="s">
        <v>1225</v>
      </c>
      <c r="K1703" s="26" t="s">
        <v>1653</v>
      </c>
      <c r="L1703" s="26" t="s">
        <v>1573</v>
      </c>
      <c r="M1703" s="26" t="s">
        <v>2131</v>
      </c>
      <c r="N1703" s="26" t="s">
        <v>1566</v>
      </c>
      <c r="O1703" s="26" t="s">
        <v>1566</v>
      </c>
      <c r="P1703" s="26" t="s">
        <v>22</v>
      </c>
      <c r="Q1703" s="26">
        <v>720.0</v>
      </c>
    </row>
    <row r="1704" ht="17.25" customHeight="1">
      <c r="A1704" s="51">
        <v>46199.78221990741</v>
      </c>
      <c r="B1704" s="27" t="s">
        <v>994</v>
      </c>
      <c r="C1704" s="55" t="s">
        <v>1892</v>
      </c>
      <c r="D1704" s="111">
        <v>46177.0</v>
      </c>
      <c r="E1704" s="52">
        <v>4.0</v>
      </c>
      <c r="F1704" s="55" t="s">
        <v>1561</v>
      </c>
      <c r="G1704" s="55"/>
      <c r="H1704" s="26"/>
      <c r="I1704" s="26" t="s">
        <v>995</v>
      </c>
      <c r="J1704" s="26" t="s">
        <v>1807</v>
      </c>
      <c r="K1704" s="26" t="s">
        <v>1889</v>
      </c>
      <c r="L1704" s="26" t="s">
        <v>1566</v>
      </c>
      <c r="M1704" s="26" t="s">
        <v>1566</v>
      </c>
      <c r="N1704" s="26" t="s">
        <v>1566</v>
      </c>
      <c r="O1704" s="26" t="s">
        <v>1566</v>
      </c>
      <c r="P1704" s="26" t="s">
        <v>661</v>
      </c>
      <c r="Q1704" s="26">
        <v>9.0</v>
      </c>
    </row>
    <row r="1705" ht="17.25" customHeight="1">
      <c r="A1705" s="51">
        <v>46182.46189089121</v>
      </c>
      <c r="B1705" s="27" t="s">
        <v>1291</v>
      </c>
      <c r="C1705" s="55" t="s">
        <v>1892</v>
      </c>
      <c r="D1705" s="223">
        <v>46181.0</v>
      </c>
      <c r="E1705" s="52">
        <v>432.0</v>
      </c>
      <c r="F1705" s="55" t="s">
        <v>1561</v>
      </c>
      <c r="G1705" s="55">
        <v>916.0</v>
      </c>
      <c r="H1705" s="26"/>
      <c r="I1705" s="26" t="s">
        <v>1292</v>
      </c>
      <c r="J1705" s="26" t="s">
        <v>1225</v>
      </c>
      <c r="K1705" s="26" t="s">
        <v>1653</v>
      </c>
      <c r="L1705" s="26" t="s">
        <v>1573</v>
      </c>
      <c r="M1705" s="26" t="s">
        <v>2131</v>
      </c>
      <c r="N1705" s="26" t="s">
        <v>1566</v>
      </c>
      <c r="O1705" s="26" t="s">
        <v>1566</v>
      </c>
      <c r="P1705" s="26" t="s">
        <v>22</v>
      </c>
      <c r="Q1705" s="26">
        <v>720.0</v>
      </c>
    </row>
    <row r="1706" ht="17.25" customHeight="1">
      <c r="A1706" s="51">
        <v>46182.46912736111</v>
      </c>
      <c r="B1706" s="25" t="s">
        <v>175</v>
      </c>
      <c r="C1706" s="55" t="s">
        <v>1892</v>
      </c>
      <c r="D1706" s="51">
        <v>46182.46912736111</v>
      </c>
      <c r="E1706" s="52">
        <v>1600.0</v>
      </c>
      <c r="F1706" s="55" t="s">
        <v>1561</v>
      </c>
      <c r="G1706" s="55">
        <v>917.0</v>
      </c>
      <c r="H1706" s="26"/>
      <c r="I1706" s="26" t="s">
        <v>176</v>
      </c>
      <c r="J1706" s="26" t="s">
        <v>1225</v>
      </c>
      <c r="K1706" s="26" t="s">
        <v>1562</v>
      </c>
      <c r="L1706" s="26" t="s">
        <v>1633</v>
      </c>
      <c r="M1706" s="26" t="s">
        <v>1634</v>
      </c>
      <c r="N1706" s="26" t="s">
        <v>1571</v>
      </c>
      <c r="O1706" s="26" t="s">
        <v>1566</v>
      </c>
      <c r="P1706" s="26" t="s">
        <v>22</v>
      </c>
      <c r="Q1706" s="26">
        <v>2100.0</v>
      </c>
    </row>
    <row r="1707" ht="17.25" customHeight="1">
      <c r="A1707" s="51">
        <v>46182.46953805556</v>
      </c>
      <c r="B1707" s="25" t="s">
        <v>292</v>
      </c>
      <c r="C1707" s="55" t="s">
        <v>1892</v>
      </c>
      <c r="D1707" s="51">
        <v>46182.46912736111</v>
      </c>
      <c r="E1707" s="52">
        <v>2.0</v>
      </c>
      <c r="F1707" s="55" t="s">
        <v>2169</v>
      </c>
      <c r="G1707" s="26"/>
      <c r="H1707" s="26"/>
      <c r="I1707" s="26" t="s">
        <v>294</v>
      </c>
      <c r="J1707" s="26" t="s">
        <v>1674</v>
      </c>
      <c r="K1707" s="26" t="s">
        <v>1675</v>
      </c>
      <c r="L1707" s="26" t="s">
        <v>1566</v>
      </c>
      <c r="M1707" s="26" t="s">
        <v>1566</v>
      </c>
      <c r="N1707" s="26" t="s">
        <v>1678</v>
      </c>
      <c r="O1707" s="26" t="s">
        <v>1677</v>
      </c>
      <c r="P1707" s="26" t="s">
        <v>290</v>
      </c>
      <c r="Q1707" s="26">
        <v>10.0</v>
      </c>
    </row>
    <row r="1708" ht="17.25" customHeight="1">
      <c r="A1708" s="51">
        <v>46182.46953805556</v>
      </c>
      <c r="B1708" s="25" t="s">
        <v>297</v>
      </c>
      <c r="C1708" s="55" t="s">
        <v>1892</v>
      </c>
      <c r="D1708" s="51">
        <v>46182.46912736111</v>
      </c>
      <c r="E1708" s="52">
        <v>2.0</v>
      </c>
      <c r="F1708" s="55" t="s">
        <v>2169</v>
      </c>
      <c r="G1708" s="26"/>
      <c r="H1708" s="26"/>
      <c r="I1708" s="26" t="s">
        <v>298</v>
      </c>
      <c r="J1708" s="26" t="s">
        <v>1674</v>
      </c>
      <c r="K1708" s="26" t="s">
        <v>1675</v>
      </c>
      <c r="L1708" s="26" t="s">
        <v>1566</v>
      </c>
      <c r="M1708" s="26" t="s">
        <v>1566</v>
      </c>
      <c r="N1708" s="26" t="s">
        <v>1680</v>
      </c>
      <c r="O1708" s="26" t="s">
        <v>1677</v>
      </c>
      <c r="P1708" s="26" t="s">
        <v>290</v>
      </c>
      <c r="Q1708" s="26">
        <v>10.0</v>
      </c>
    </row>
    <row r="1709" ht="17.25" customHeight="1">
      <c r="A1709" s="51">
        <v>46182.49238596065</v>
      </c>
      <c r="B1709" s="25" t="s">
        <v>622</v>
      </c>
      <c r="C1709" s="55" t="s">
        <v>1560</v>
      </c>
      <c r="D1709" s="51">
        <v>46182.46912736111</v>
      </c>
      <c r="E1709" s="52">
        <v>25.0</v>
      </c>
      <c r="F1709" s="55" t="s">
        <v>1673</v>
      </c>
      <c r="G1709" s="26"/>
      <c r="H1709" s="26"/>
      <c r="I1709" s="26" t="s">
        <v>623</v>
      </c>
      <c r="J1709" s="26" t="s">
        <v>1812</v>
      </c>
      <c r="K1709" s="26" t="s">
        <v>1815</v>
      </c>
      <c r="L1709" s="26" t="s">
        <v>1566</v>
      </c>
      <c r="M1709" s="26" t="s">
        <v>1566</v>
      </c>
      <c r="N1709" s="26" t="s">
        <v>1566</v>
      </c>
      <c r="O1709" s="26" t="s">
        <v>1817</v>
      </c>
      <c r="P1709" s="26" t="s">
        <v>616</v>
      </c>
      <c r="Q1709" s="26">
        <v>20.0</v>
      </c>
    </row>
    <row r="1710" ht="17.25" customHeight="1">
      <c r="A1710" s="51">
        <v>46182.49246206018</v>
      </c>
      <c r="B1710" s="25" t="s">
        <v>21</v>
      </c>
      <c r="C1710" s="55" t="s">
        <v>1560</v>
      </c>
      <c r="D1710" s="51">
        <v>46182.46912736111</v>
      </c>
      <c r="E1710" s="52">
        <v>40.0</v>
      </c>
      <c r="F1710" s="55" t="s">
        <v>1673</v>
      </c>
      <c r="G1710" s="26"/>
      <c r="H1710" s="26"/>
      <c r="I1710" s="26" t="s">
        <v>23</v>
      </c>
      <c r="J1710" s="26" t="s">
        <v>1812</v>
      </c>
      <c r="K1710" s="26" t="s">
        <v>1815</v>
      </c>
      <c r="L1710" s="26" t="s">
        <v>1566</v>
      </c>
      <c r="M1710" s="26" t="s">
        <v>1566</v>
      </c>
      <c r="N1710" s="26" t="s">
        <v>1566</v>
      </c>
      <c r="O1710" s="26" t="s">
        <v>1818</v>
      </c>
      <c r="P1710" s="26" t="s">
        <v>616</v>
      </c>
      <c r="Q1710" s="26">
        <v>20.0</v>
      </c>
    </row>
    <row r="1711" ht="17.25" customHeight="1">
      <c r="A1711" s="51">
        <v>46182.4926074074</v>
      </c>
      <c r="B1711" s="25" t="s">
        <v>892</v>
      </c>
      <c r="C1711" s="55" t="s">
        <v>1560</v>
      </c>
      <c r="D1711" s="51">
        <v>46182.46912736111</v>
      </c>
      <c r="E1711" s="52">
        <v>20.0</v>
      </c>
      <c r="F1711" s="55" t="s">
        <v>1673</v>
      </c>
      <c r="G1711" s="26"/>
      <c r="H1711" s="26"/>
      <c r="I1711" s="26" t="s">
        <v>893</v>
      </c>
      <c r="J1711" s="26" t="s">
        <v>1812</v>
      </c>
      <c r="K1711" s="26" t="s">
        <v>1813</v>
      </c>
      <c r="L1711" s="26" t="s">
        <v>1566</v>
      </c>
      <c r="M1711" s="26" t="s">
        <v>1566</v>
      </c>
      <c r="N1711" s="26" t="s">
        <v>1566</v>
      </c>
      <c r="O1711" s="26" t="s">
        <v>1809</v>
      </c>
      <c r="P1711" s="26" t="s">
        <v>290</v>
      </c>
      <c r="Q1711" s="26">
        <v>20.0</v>
      </c>
    </row>
    <row r="1712" ht="17.25" customHeight="1">
      <c r="A1712" s="51">
        <v>46182.492671608794</v>
      </c>
      <c r="B1712" s="25" t="s">
        <v>598</v>
      </c>
      <c r="C1712" s="55" t="s">
        <v>1560</v>
      </c>
      <c r="D1712" s="51">
        <v>46182.46912736111</v>
      </c>
      <c r="E1712" s="52">
        <v>10.0</v>
      </c>
      <c r="F1712" s="55" t="s">
        <v>1673</v>
      </c>
      <c r="G1712" s="26"/>
      <c r="H1712" s="26"/>
      <c r="I1712" s="26" t="s">
        <v>604</v>
      </c>
      <c r="J1712" s="26" t="s">
        <v>1812</v>
      </c>
      <c r="K1712" s="26" t="s">
        <v>1815</v>
      </c>
      <c r="L1712" s="26" t="s">
        <v>1566</v>
      </c>
      <c r="M1712" s="26" t="s">
        <v>1566</v>
      </c>
      <c r="N1712" s="26" t="s">
        <v>1566</v>
      </c>
      <c r="O1712" s="26" t="s">
        <v>1812</v>
      </c>
      <c r="P1712" s="26" t="s">
        <v>616</v>
      </c>
      <c r="Q1712" s="26">
        <v>15.0</v>
      </c>
    </row>
    <row r="1713" ht="17.25" customHeight="1">
      <c r="A1713" s="51">
        <v>46182.49274798611</v>
      </c>
      <c r="B1713" s="25" t="s">
        <v>945</v>
      </c>
      <c r="C1713" s="55" t="s">
        <v>1560</v>
      </c>
      <c r="D1713" s="51">
        <v>46182.46912736111</v>
      </c>
      <c r="E1713" s="52">
        <v>25.0</v>
      </c>
      <c r="F1713" s="55" t="s">
        <v>1673</v>
      </c>
      <c r="G1713" s="26"/>
      <c r="H1713" s="26"/>
      <c r="I1713" s="26" t="s">
        <v>946</v>
      </c>
      <c r="J1713" s="26" t="s">
        <v>1812</v>
      </c>
      <c r="K1713" s="26" t="s">
        <v>1815</v>
      </c>
      <c r="L1713" s="26" t="s">
        <v>1566</v>
      </c>
      <c r="M1713" s="26" t="s">
        <v>1566</v>
      </c>
      <c r="N1713" s="26" t="s">
        <v>1566</v>
      </c>
      <c r="O1713" s="26" t="s">
        <v>1903</v>
      </c>
      <c r="P1713" s="26" t="s">
        <v>616</v>
      </c>
      <c r="Q1713" s="26">
        <v>25.0</v>
      </c>
    </row>
    <row r="1714" ht="17.25" customHeight="1">
      <c r="A1714" s="51">
        <v>46182.49281546296</v>
      </c>
      <c r="B1714" s="25" t="s">
        <v>753</v>
      </c>
      <c r="C1714" s="55" t="s">
        <v>1560</v>
      </c>
      <c r="D1714" s="51">
        <v>46182.46912736111</v>
      </c>
      <c r="E1714" s="52">
        <v>20.0</v>
      </c>
      <c r="F1714" s="55" t="s">
        <v>1673</v>
      </c>
      <c r="G1714" s="26"/>
      <c r="H1714" s="26"/>
      <c r="I1714" s="26" t="s">
        <v>755</v>
      </c>
      <c r="J1714" s="26" t="s">
        <v>1812</v>
      </c>
      <c r="K1714" s="26" t="s">
        <v>1815</v>
      </c>
      <c r="L1714" s="26" t="s">
        <v>1566</v>
      </c>
      <c r="M1714" s="26" t="s">
        <v>1566</v>
      </c>
      <c r="N1714" s="26" t="s">
        <v>1566</v>
      </c>
      <c r="O1714" s="26" t="s">
        <v>2014</v>
      </c>
      <c r="P1714" s="26" t="s">
        <v>290</v>
      </c>
      <c r="Q1714" s="26">
        <v>25.0</v>
      </c>
    </row>
    <row r="1715" ht="17.25" customHeight="1">
      <c r="A1715" s="51">
        <v>46182.49355960648</v>
      </c>
      <c r="B1715" s="25" t="s">
        <v>301</v>
      </c>
      <c r="C1715" s="55" t="s">
        <v>1892</v>
      </c>
      <c r="D1715" s="51">
        <v>46182.46912736111</v>
      </c>
      <c r="E1715" s="52">
        <v>10.0</v>
      </c>
      <c r="F1715" s="55" t="s">
        <v>2124</v>
      </c>
      <c r="G1715" s="26"/>
      <c r="H1715" s="26"/>
      <c r="I1715" s="26" t="s">
        <v>302</v>
      </c>
      <c r="J1715" s="26" t="s">
        <v>1830</v>
      </c>
      <c r="K1715" s="26" t="s">
        <v>302</v>
      </c>
      <c r="L1715" s="26" t="s">
        <v>1566</v>
      </c>
      <c r="M1715" s="26" t="s">
        <v>1566</v>
      </c>
      <c r="N1715" s="26" t="s">
        <v>1566</v>
      </c>
      <c r="O1715" s="26" t="s">
        <v>1566</v>
      </c>
      <c r="P1715" s="26" t="s">
        <v>661</v>
      </c>
      <c r="Q1715" s="26">
        <v>580.0</v>
      </c>
    </row>
    <row r="1716" ht="17.25" customHeight="1">
      <c r="A1716" s="51">
        <v>46182.75552438658</v>
      </c>
      <c r="B1716" s="25" t="s">
        <v>105</v>
      </c>
      <c r="C1716" s="55" t="s">
        <v>1560</v>
      </c>
      <c r="D1716" s="51">
        <v>46182.46912736111</v>
      </c>
      <c r="E1716" s="52">
        <v>3900.0</v>
      </c>
      <c r="F1716" s="55" t="s">
        <v>1561</v>
      </c>
      <c r="G1716" s="55" t="s">
        <v>2327</v>
      </c>
      <c r="H1716" s="26"/>
      <c r="I1716" s="26" t="s">
        <v>107</v>
      </c>
      <c r="J1716" s="26" t="s">
        <v>1225</v>
      </c>
      <c r="K1716" s="26" t="s">
        <v>1562</v>
      </c>
      <c r="L1716" s="26" t="s">
        <v>1603</v>
      </c>
      <c r="M1716" s="26" t="s">
        <v>1575</v>
      </c>
      <c r="N1716" s="26" t="s">
        <v>1571</v>
      </c>
      <c r="O1716" s="26" t="s">
        <v>1566</v>
      </c>
      <c r="P1716" s="26" t="s">
        <v>22</v>
      </c>
      <c r="Q1716" s="26">
        <v>1200.0</v>
      </c>
    </row>
    <row r="1717" ht="17.25" customHeight="1">
      <c r="A1717" s="51">
        <v>46182.76232828703</v>
      </c>
      <c r="B1717" s="25" t="s">
        <v>123</v>
      </c>
      <c r="C1717" s="55" t="s">
        <v>1560</v>
      </c>
      <c r="D1717" s="51">
        <v>46182.46912736111</v>
      </c>
      <c r="E1717" s="52">
        <v>500.0</v>
      </c>
      <c r="F1717" s="55" t="s">
        <v>1561</v>
      </c>
      <c r="G1717" s="55" t="s">
        <v>2230</v>
      </c>
      <c r="H1717" s="26"/>
      <c r="I1717" s="26" t="s">
        <v>124</v>
      </c>
      <c r="J1717" s="26" t="s">
        <v>1225</v>
      </c>
      <c r="K1717" s="26" t="s">
        <v>1562</v>
      </c>
      <c r="L1717" s="26" t="s">
        <v>1587</v>
      </c>
      <c r="M1717" s="26" t="s">
        <v>1575</v>
      </c>
      <c r="N1717" s="26" t="s">
        <v>1566</v>
      </c>
      <c r="O1717" s="26" t="s">
        <v>1571</v>
      </c>
      <c r="P1717" s="26" t="s">
        <v>22</v>
      </c>
      <c r="Q1717" s="26">
        <v>1600.0</v>
      </c>
    </row>
    <row r="1718" ht="17.25" customHeight="1">
      <c r="A1718" s="51">
        <v>46182.763188240744</v>
      </c>
      <c r="B1718" s="25" t="s">
        <v>1253</v>
      </c>
      <c r="C1718" s="55" t="s">
        <v>1560</v>
      </c>
      <c r="D1718" s="111">
        <v>46171.0</v>
      </c>
      <c r="E1718" s="195">
        <v>1728.0</v>
      </c>
      <c r="F1718" s="55" t="s">
        <v>1561</v>
      </c>
      <c r="G1718" s="26"/>
      <c r="H1718" s="26"/>
      <c r="I1718" s="26" t="s">
        <v>1254</v>
      </c>
      <c r="J1718" s="26" t="s">
        <v>1225</v>
      </c>
      <c r="K1718" s="26" t="s">
        <v>1653</v>
      </c>
      <c r="L1718" s="26" t="s">
        <v>1582</v>
      </c>
      <c r="M1718" s="26" t="s">
        <v>1572</v>
      </c>
      <c r="N1718" s="26" t="s">
        <v>1566</v>
      </c>
      <c r="O1718" s="26" t="s">
        <v>1654</v>
      </c>
      <c r="P1718" s="26" t="s">
        <v>22</v>
      </c>
      <c r="Q1718" s="26">
        <v>792.0</v>
      </c>
    </row>
    <row r="1719" ht="17.25" customHeight="1">
      <c r="A1719" s="51">
        <v>46182.7679234838</v>
      </c>
      <c r="B1719" s="25" t="s">
        <v>365</v>
      </c>
      <c r="C1719" s="55" t="s">
        <v>1560</v>
      </c>
      <c r="D1719" s="111">
        <v>46171.0</v>
      </c>
      <c r="E1719" s="52">
        <v>720.0</v>
      </c>
      <c r="F1719" s="55" t="s">
        <v>1561</v>
      </c>
      <c r="G1719" s="26"/>
      <c r="H1719" s="26"/>
      <c r="I1719" s="26" t="s">
        <v>367</v>
      </c>
      <c r="J1719" s="26" t="s">
        <v>1225</v>
      </c>
      <c r="K1719" s="26" t="s">
        <v>1653</v>
      </c>
      <c r="L1719" s="26" t="s">
        <v>1584</v>
      </c>
      <c r="M1719" s="26" t="s">
        <v>1572</v>
      </c>
      <c r="N1719" s="26" t="s">
        <v>1654</v>
      </c>
      <c r="O1719" s="26" t="s">
        <v>1566</v>
      </c>
      <c r="P1719" s="26" t="s">
        <v>22</v>
      </c>
      <c r="Q1719" s="26">
        <v>0.0</v>
      </c>
    </row>
    <row r="1720" ht="17.25" customHeight="1">
      <c r="A1720" s="51">
        <v>46182.770168159725</v>
      </c>
      <c r="B1720" s="25" t="s">
        <v>287</v>
      </c>
      <c r="C1720" s="55" t="s">
        <v>1892</v>
      </c>
      <c r="D1720" s="111">
        <v>46171.0</v>
      </c>
      <c r="E1720" s="52">
        <v>6.0</v>
      </c>
      <c r="F1720" s="55" t="s">
        <v>2124</v>
      </c>
      <c r="G1720" s="26"/>
      <c r="H1720" s="26"/>
      <c r="I1720" s="26" t="s">
        <v>288</v>
      </c>
      <c r="J1720" s="26" t="s">
        <v>1674</v>
      </c>
      <c r="K1720" s="26" t="s">
        <v>1675</v>
      </c>
      <c r="L1720" s="26" t="s">
        <v>1566</v>
      </c>
      <c r="M1720" s="26" t="s">
        <v>1566</v>
      </c>
      <c r="N1720" s="26" t="s">
        <v>1676</v>
      </c>
      <c r="O1720" s="26" t="s">
        <v>1677</v>
      </c>
      <c r="P1720" s="26" t="s">
        <v>290</v>
      </c>
      <c r="Q1720" s="26">
        <v>16.0</v>
      </c>
    </row>
    <row r="1721" ht="17.25" customHeight="1">
      <c r="A1721" s="51">
        <v>46182.77071486111</v>
      </c>
      <c r="B1721" s="25" t="s">
        <v>297</v>
      </c>
      <c r="C1721" s="55" t="s">
        <v>1892</v>
      </c>
      <c r="D1721" s="111">
        <v>46171.0</v>
      </c>
      <c r="E1721" s="52">
        <v>6.0</v>
      </c>
      <c r="F1721" s="55" t="s">
        <v>2124</v>
      </c>
      <c r="G1721" s="26"/>
      <c r="H1721" s="26"/>
      <c r="I1721" s="26" t="s">
        <v>298</v>
      </c>
      <c r="J1721" s="26" t="s">
        <v>1674</v>
      </c>
      <c r="K1721" s="26" t="s">
        <v>1675</v>
      </c>
      <c r="L1721" s="26" t="s">
        <v>1566</v>
      </c>
      <c r="M1721" s="26" t="s">
        <v>1566</v>
      </c>
      <c r="N1721" s="26" t="s">
        <v>1680</v>
      </c>
      <c r="O1721" s="26" t="s">
        <v>1677</v>
      </c>
      <c r="P1721" s="26" t="s">
        <v>290</v>
      </c>
      <c r="Q1721" s="26">
        <v>10.0</v>
      </c>
    </row>
    <row r="1722" ht="17.25" customHeight="1">
      <c r="A1722" s="51">
        <v>46182.7728575463</v>
      </c>
      <c r="B1722" s="25" t="s">
        <v>301</v>
      </c>
      <c r="C1722" s="55" t="s">
        <v>1892</v>
      </c>
      <c r="D1722" s="51">
        <v>46182.7728575463</v>
      </c>
      <c r="E1722" s="52">
        <v>5.0</v>
      </c>
      <c r="F1722" s="55" t="s">
        <v>1894</v>
      </c>
      <c r="G1722" s="26"/>
      <c r="H1722" s="26"/>
      <c r="I1722" s="26" t="s">
        <v>302</v>
      </c>
      <c r="J1722" s="26" t="s">
        <v>1830</v>
      </c>
      <c r="K1722" s="26" t="s">
        <v>302</v>
      </c>
      <c r="L1722" s="26" t="s">
        <v>1566</v>
      </c>
      <c r="M1722" s="26" t="s">
        <v>1566</v>
      </c>
      <c r="N1722" s="26" t="s">
        <v>1566</v>
      </c>
      <c r="O1722" s="26" t="s">
        <v>1566</v>
      </c>
      <c r="P1722" s="26" t="s">
        <v>661</v>
      </c>
      <c r="Q1722" s="26">
        <v>580.0</v>
      </c>
    </row>
    <row r="1723" ht="17.25" customHeight="1">
      <c r="A1723" s="51">
        <v>46182.7739552662</v>
      </c>
      <c r="B1723" s="27" t="s">
        <v>1295</v>
      </c>
      <c r="C1723" s="55" t="s">
        <v>1560</v>
      </c>
      <c r="D1723" s="111">
        <v>46177.0</v>
      </c>
      <c r="E1723" s="52">
        <v>1.0</v>
      </c>
      <c r="F1723" s="55" t="s">
        <v>2271</v>
      </c>
      <c r="G1723" s="26"/>
      <c r="H1723" s="26"/>
      <c r="I1723" s="26" t="s">
        <v>1296</v>
      </c>
      <c r="J1723" s="26" t="s">
        <v>1674</v>
      </c>
      <c r="K1723" s="26" t="s">
        <v>1691</v>
      </c>
      <c r="L1723" s="26" t="s">
        <v>1566</v>
      </c>
      <c r="M1723" s="26" t="s">
        <v>1566</v>
      </c>
      <c r="N1723" s="26" t="s">
        <v>1566</v>
      </c>
      <c r="O1723" s="26" t="s">
        <v>1566</v>
      </c>
      <c r="P1723" s="26" t="s">
        <v>290</v>
      </c>
      <c r="Q1723" s="26">
        <v>1.0</v>
      </c>
    </row>
    <row r="1724" ht="17.25" customHeight="1">
      <c r="A1724" s="51">
        <v>46182.77417149306</v>
      </c>
      <c r="B1724" s="27" t="s">
        <v>1295</v>
      </c>
      <c r="C1724" s="55" t="s">
        <v>1892</v>
      </c>
      <c r="D1724" s="111">
        <v>46181.0</v>
      </c>
      <c r="E1724" s="52">
        <v>1.0</v>
      </c>
      <c r="F1724" s="55" t="s">
        <v>2271</v>
      </c>
      <c r="G1724" s="26"/>
      <c r="H1724" s="26"/>
      <c r="I1724" s="26" t="s">
        <v>1296</v>
      </c>
      <c r="J1724" s="26" t="s">
        <v>1674</v>
      </c>
      <c r="K1724" s="26" t="s">
        <v>1691</v>
      </c>
      <c r="L1724" s="26" t="s">
        <v>1566</v>
      </c>
      <c r="M1724" s="26" t="s">
        <v>1566</v>
      </c>
      <c r="N1724" s="26" t="s">
        <v>1566</v>
      </c>
      <c r="O1724" s="26" t="s">
        <v>1566</v>
      </c>
      <c r="P1724" s="26" t="s">
        <v>290</v>
      </c>
      <c r="Q1724" s="26">
        <v>1.0</v>
      </c>
    </row>
    <row r="1725" ht="17.25" customHeight="1">
      <c r="A1725" s="51">
        <v>46183.648184641206</v>
      </c>
      <c r="B1725" s="25" t="s">
        <v>753</v>
      </c>
      <c r="C1725" s="55" t="s">
        <v>1892</v>
      </c>
      <c r="D1725" s="51">
        <v>46183.648184641206</v>
      </c>
      <c r="E1725" s="52">
        <v>20.0</v>
      </c>
      <c r="F1725" s="55" t="s">
        <v>2169</v>
      </c>
      <c r="G1725" s="26"/>
      <c r="H1725" s="26"/>
      <c r="I1725" s="26" t="s">
        <v>755</v>
      </c>
      <c r="J1725" s="26" t="s">
        <v>1812</v>
      </c>
      <c r="K1725" s="26" t="s">
        <v>1815</v>
      </c>
      <c r="L1725" s="26" t="s">
        <v>1566</v>
      </c>
      <c r="M1725" s="26" t="s">
        <v>1566</v>
      </c>
      <c r="N1725" s="26" t="s">
        <v>1566</v>
      </c>
      <c r="O1725" s="26" t="s">
        <v>2014</v>
      </c>
      <c r="P1725" s="26" t="s">
        <v>290</v>
      </c>
      <c r="Q1725" s="26">
        <v>25.0</v>
      </c>
    </row>
    <row r="1726" ht="17.25" customHeight="1">
      <c r="A1726" s="51">
        <v>46183.64834231482</v>
      </c>
      <c r="B1726" s="25" t="s">
        <v>301</v>
      </c>
      <c r="C1726" s="55" t="s">
        <v>1892</v>
      </c>
      <c r="D1726" s="51">
        <v>46183.648184641206</v>
      </c>
      <c r="E1726" s="52">
        <v>5.0</v>
      </c>
      <c r="F1726" s="55" t="s">
        <v>2241</v>
      </c>
      <c r="G1726" s="26"/>
      <c r="H1726" s="26"/>
      <c r="I1726" s="26" t="s">
        <v>302</v>
      </c>
      <c r="J1726" s="26" t="s">
        <v>1830</v>
      </c>
      <c r="K1726" s="26" t="s">
        <v>302</v>
      </c>
      <c r="L1726" s="26" t="s">
        <v>1566</v>
      </c>
      <c r="M1726" s="26" t="s">
        <v>1566</v>
      </c>
      <c r="N1726" s="26" t="s">
        <v>1566</v>
      </c>
      <c r="O1726" s="26" t="s">
        <v>1566</v>
      </c>
      <c r="P1726" s="26" t="s">
        <v>661</v>
      </c>
      <c r="Q1726" s="26">
        <v>580.0</v>
      </c>
    </row>
    <row r="1727" ht="17.25" customHeight="1">
      <c r="A1727" s="51">
        <v>46183.64845237268</v>
      </c>
      <c r="B1727" s="25" t="s">
        <v>301</v>
      </c>
      <c r="C1727" s="55" t="s">
        <v>1892</v>
      </c>
      <c r="D1727" s="51">
        <v>46183.648184641206</v>
      </c>
      <c r="E1727" s="52">
        <v>10.0</v>
      </c>
      <c r="F1727" s="55" t="s">
        <v>2169</v>
      </c>
      <c r="G1727" s="26"/>
      <c r="H1727" s="26"/>
      <c r="I1727" s="26" t="s">
        <v>302</v>
      </c>
      <c r="J1727" s="26" t="s">
        <v>1830</v>
      </c>
      <c r="K1727" s="26" t="s">
        <v>302</v>
      </c>
      <c r="L1727" s="26" t="s">
        <v>1566</v>
      </c>
      <c r="M1727" s="26" t="s">
        <v>1566</v>
      </c>
      <c r="N1727" s="26" t="s">
        <v>1566</v>
      </c>
      <c r="O1727" s="26" t="s">
        <v>1566</v>
      </c>
      <c r="P1727" s="26" t="s">
        <v>661</v>
      </c>
      <c r="Q1727" s="26">
        <v>580.0</v>
      </c>
    </row>
    <row r="1728" ht="17.25" customHeight="1">
      <c r="A1728" s="51">
        <v>46184.528676180555</v>
      </c>
      <c r="B1728" s="25" t="s">
        <v>406</v>
      </c>
      <c r="C1728" s="55" t="s">
        <v>1892</v>
      </c>
      <c r="D1728" s="51">
        <v>46184.529454675925</v>
      </c>
      <c r="E1728" s="52">
        <v>5.0</v>
      </c>
      <c r="F1728" s="55" t="s">
        <v>2169</v>
      </c>
      <c r="G1728" s="26"/>
      <c r="H1728" s="26"/>
      <c r="I1728" s="26" t="s">
        <v>409</v>
      </c>
      <c r="J1728" s="26" t="s">
        <v>1812</v>
      </c>
      <c r="K1728" s="26" t="s">
        <v>1831</v>
      </c>
      <c r="L1728" s="26" t="s">
        <v>1566</v>
      </c>
      <c r="M1728" s="26" t="s">
        <v>1566</v>
      </c>
      <c r="N1728" s="26" t="s">
        <v>1566</v>
      </c>
      <c r="O1728" s="26" t="s">
        <v>1566</v>
      </c>
      <c r="P1728" s="26" t="s">
        <v>616</v>
      </c>
      <c r="Q1728" s="26">
        <v>0.0</v>
      </c>
    </row>
    <row r="1729" ht="17.25" customHeight="1">
      <c r="A1729" s="51">
        <v>46184.528944537036</v>
      </c>
      <c r="B1729" s="25" t="s">
        <v>523</v>
      </c>
      <c r="C1729" s="55" t="s">
        <v>1892</v>
      </c>
      <c r="D1729" s="51">
        <v>46184.529454675925</v>
      </c>
      <c r="E1729" s="52">
        <v>5.0</v>
      </c>
      <c r="F1729" s="55" t="s">
        <v>2169</v>
      </c>
      <c r="G1729" s="26"/>
      <c r="H1729" s="26"/>
      <c r="I1729" s="26" t="s">
        <v>528</v>
      </c>
      <c r="J1729" s="26" t="s">
        <v>1812</v>
      </c>
      <c r="K1729" s="26" t="s">
        <v>1815</v>
      </c>
      <c r="L1729" s="26" t="s">
        <v>1566</v>
      </c>
      <c r="M1729" s="26" t="s">
        <v>1566</v>
      </c>
      <c r="N1729" s="26" t="s">
        <v>1566</v>
      </c>
      <c r="O1729" s="26" t="s">
        <v>1837</v>
      </c>
      <c r="P1729" s="26" t="s">
        <v>616</v>
      </c>
      <c r="Q1729" s="26">
        <v>15.0</v>
      </c>
    </row>
    <row r="1730" ht="17.25" customHeight="1">
      <c r="A1730" s="51">
        <v>46184.529351805555</v>
      </c>
      <c r="B1730" s="25" t="s">
        <v>682</v>
      </c>
      <c r="C1730" s="55" t="s">
        <v>1892</v>
      </c>
      <c r="D1730" s="51">
        <v>46184.529454675925</v>
      </c>
      <c r="E1730" s="52">
        <v>1.0</v>
      </c>
      <c r="F1730" s="55" t="s">
        <v>2169</v>
      </c>
      <c r="G1730" s="26"/>
      <c r="H1730" s="26"/>
      <c r="I1730" s="26" t="s">
        <v>690</v>
      </c>
      <c r="J1730" s="26" t="s">
        <v>1830</v>
      </c>
      <c r="K1730" s="26" t="s">
        <v>1830</v>
      </c>
      <c r="L1730" s="26" t="s">
        <v>1566</v>
      </c>
      <c r="M1730" s="26" t="s">
        <v>1566</v>
      </c>
      <c r="N1730" s="26" t="s">
        <v>1566</v>
      </c>
      <c r="O1730" s="26" t="s">
        <v>1566</v>
      </c>
      <c r="P1730" s="26" t="s">
        <v>661</v>
      </c>
      <c r="Q1730" s="26">
        <v>14.0</v>
      </c>
    </row>
    <row r="1731" ht="17.25" customHeight="1">
      <c r="A1731" s="51">
        <v>46184.529454675925</v>
      </c>
      <c r="B1731" s="25" t="s">
        <v>301</v>
      </c>
      <c r="C1731" s="55" t="s">
        <v>1892</v>
      </c>
      <c r="D1731" s="51">
        <v>46184.529454675925</v>
      </c>
      <c r="E1731" s="52">
        <v>15.0</v>
      </c>
      <c r="F1731" s="55" t="s">
        <v>2169</v>
      </c>
      <c r="G1731" s="26"/>
      <c r="H1731" s="26"/>
      <c r="I1731" s="26" t="s">
        <v>302</v>
      </c>
      <c r="J1731" s="26" t="s">
        <v>1830</v>
      </c>
      <c r="K1731" s="26" t="s">
        <v>302</v>
      </c>
      <c r="L1731" s="26" t="s">
        <v>1566</v>
      </c>
      <c r="M1731" s="26" t="s">
        <v>1566</v>
      </c>
      <c r="N1731" s="26" t="s">
        <v>1566</v>
      </c>
      <c r="O1731" s="26" t="s">
        <v>1566</v>
      </c>
      <c r="P1731" s="26" t="s">
        <v>661</v>
      </c>
      <c r="Q1731" s="26">
        <v>580.0</v>
      </c>
    </row>
    <row r="1732" ht="17.25" customHeight="1">
      <c r="A1732" s="51">
        <v>46184.52978503473</v>
      </c>
      <c r="B1732" s="23" t="s">
        <v>359</v>
      </c>
      <c r="C1732" s="55" t="s">
        <v>1892</v>
      </c>
      <c r="D1732" s="51">
        <v>46184.529454675925</v>
      </c>
      <c r="E1732" s="52">
        <v>15.0</v>
      </c>
      <c r="F1732" s="55" t="s">
        <v>2328</v>
      </c>
      <c r="G1732" s="26"/>
      <c r="H1732" s="26"/>
      <c r="I1732" s="26" t="s">
        <v>370</v>
      </c>
      <c r="J1732" s="26" t="s">
        <v>370</v>
      </c>
      <c r="K1732" s="26" t="s">
        <v>370</v>
      </c>
      <c r="L1732" s="26" t="s">
        <v>1566</v>
      </c>
      <c r="M1732" s="26" t="s">
        <v>1566</v>
      </c>
      <c r="N1732" s="26" t="s">
        <v>1566</v>
      </c>
      <c r="O1732" s="26" t="s">
        <v>1566</v>
      </c>
      <c r="P1732" s="26" t="s">
        <v>661</v>
      </c>
      <c r="Q1732" s="26">
        <v>100.0</v>
      </c>
    </row>
    <row r="1733" ht="17.25" customHeight="1">
      <c r="A1733" s="51">
        <v>46184.56588146991</v>
      </c>
      <c r="B1733" s="27" t="s">
        <v>1295</v>
      </c>
      <c r="C1733" s="55" t="s">
        <v>1560</v>
      </c>
      <c r="D1733" s="111">
        <v>46183.0</v>
      </c>
      <c r="E1733" s="52">
        <v>1.0</v>
      </c>
      <c r="F1733" s="55" t="s">
        <v>2271</v>
      </c>
      <c r="G1733" s="26"/>
      <c r="H1733" s="26"/>
      <c r="I1733" s="26" t="s">
        <v>1296</v>
      </c>
      <c r="J1733" s="26" t="s">
        <v>1674</v>
      </c>
      <c r="K1733" s="26" t="s">
        <v>1691</v>
      </c>
      <c r="L1733" s="26" t="s">
        <v>1566</v>
      </c>
      <c r="M1733" s="26" t="s">
        <v>1566</v>
      </c>
      <c r="N1733" s="26" t="s">
        <v>1566</v>
      </c>
      <c r="O1733" s="26" t="s">
        <v>1566</v>
      </c>
      <c r="P1733" s="26" t="s">
        <v>290</v>
      </c>
      <c r="Q1733" s="26">
        <v>1.0</v>
      </c>
    </row>
    <row r="1734" ht="17.25" customHeight="1">
      <c r="A1734" s="51">
        <v>46184.56612797454</v>
      </c>
      <c r="B1734" s="27" t="s">
        <v>989</v>
      </c>
      <c r="C1734" s="55" t="s">
        <v>1560</v>
      </c>
      <c r="D1734" s="111">
        <v>46183.0</v>
      </c>
      <c r="E1734" s="52">
        <v>5.0</v>
      </c>
      <c r="F1734" s="55" t="s">
        <v>2271</v>
      </c>
      <c r="G1734" s="26"/>
      <c r="H1734" s="26"/>
      <c r="I1734" s="26" t="s">
        <v>991</v>
      </c>
      <c r="J1734" s="26" t="s">
        <v>1674</v>
      </c>
      <c r="K1734" s="26" t="s">
        <v>1691</v>
      </c>
      <c r="L1734" s="26" t="s">
        <v>1566</v>
      </c>
      <c r="M1734" s="26" t="s">
        <v>1566</v>
      </c>
      <c r="N1734" s="26" t="s">
        <v>2110</v>
      </c>
      <c r="O1734" s="26" t="s">
        <v>1566</v>
      </c>
      <c r="P1734" s="26" t="s">
        <v>290</v>
      </c>
      <c r="Q1734" s="26">
        <v>15.0</v>
      </c>
    </row>
    <row r="1735" ht="17.25" customHeight="1">
      <c r="A1735" s="51">
        <v>46184.62919096065</v>
      </c>
      <c r="B1735" s="26" t="s">
        <v>2019</v>
      </c>
      <c r="C1735" s="55" t="s">
        <v>1560</v>
      </c>
      <c r="D1735" s="111">
        <v>46183.0</v>
      </c>
      <c r="E1735" s="195">
        <v>1152.0</v>
      </c>
      <c r="F1735" s="55" t="s">
        <v>2241</v>
      </c>
      <c r="G1735" s="26"/>
      <c r="H1735" s="26"/>
      <c r="I1735" s="26" t="s">
        <v>2020</v>
      </c>
      <c r="J1735" s="26" t="s">
        <v>1225</v>
      </c>
      <c r="K1735" s="26" t="s">
        <v>1653</v>
      </c>
      <c r="L1735" s="26" t="s">
        <v>1584</v>
      </c>
      <c r="M1735" s="26" t="s">
        <v>2131</v>
      </c>
      <c r="N1735" s="26" t="s">
        <v>1566</v>
      </c>
      <c r="O1735" s="26" t="s">
        <v>2132</v>
      </c>
      <c r="P1735" s="26" t="s">
        <v>22</v>
      </c>
      <c r="Q1735" s="26">
        <v>0.0</v>
      </c>
    </row>
    <row r="1736" ht="17.25" customHeight="1">
      <c r="A1736" s="51">
        <v>46184.629525763885</v>
      </c>
      <c r="B1736" s="26" t="s">
        <v>61</v>
      </c>
      <c r="C1736" s="55" t="s">
        <v>1560</v>
      </c>
      <c r="D1736" s="111">
        <v>46183.0</v>
      </c>
      <c r="E1736" s="52">
        <v>800.0</v>
      </c>
      <c r="F1736" s="55" t="s">
        <v>2241</v>
      </c>
      <c r="G1736" s="55" t="s">
        <v>2329</v>
      </c>
      <c r="H1736" s="26"/>
      <c r="I1736" s="26" t="s">
        <v>62</v>
      </c>
      <c r="J1736" s="26" t="s">
        <v>1225</v>
      </c>
      <c r="K1736" s="26" t="s">
        <v>1562</v>
      </c>
      <c r="L1736" s="26" t="s">
        <v>1600</v>
      </c>
      <c r="M1736" s="26" t="s">
        <v>1575</v>
      </c>
      <c r="N1736" s="26" t="s">
        <v>1566</v>
      </c>
      <c r="O1736" s="26" t="s">
        <v>2160</v>
      </c>
      <c r="P1736" s="26" t="s">
        <v>22</v>
      </c>
      <c r="Q1736" s="26">
        <v>0.0</v>
      </c>
    </row>
    <row r="1737" ht="17.25" customHeight="1">
      <c r="A1737" s="51">
        <v>46185.42447450232</v>
      </c>
      <c r="B1737" s="27" t="s">
        <v>21</v>
      </c>
      <c r="C1737" s="55" t="s">
        <v>1892</v>
      </c>
      <c r="D1737" s="51">
        <v>46185.42447450232</v>
      </c>
      <c r="E1737" s="52">
        <v>20.0</v>
      </c>
      <c r="F1737" s="55" t="s">
        <v>2124</v>
      </c>
      <c r="G1737" s="26"/>
      <c r="H1737" s="26"/>
      <c r="I1737" s="26" t="s">
        <v>23</v>
      </c>
      <c r="J1737" s="26" t="s">
        <v>1812</v>
      </c>
      <c r="K1737" s="26" t="s">
        <v>1815</v>
      </c>
      <c r="L1737" s="26" t="s">
        <v>1566</v>
      </c>
      <c r="M1737" s="26" t="s">
        <v>1566</v>
      </c>
      <c r="N1737" s="26" t="s">
        <v>1566</v>
      </c>
      <c r="O1737" s="26" t="s">
        <v>1818</v>
      </c>
      <c r="P1737" s="26" t="s">
        <v>616</v>
      </c>
      <c r="Q1737" s="26">
        <v>20.0</v>
      </c>
    </row>
    <row r="1738" ht="17.25" customHeight="1">
      <c r="A1738" s="51">
        <v>46185.42483527778</v>
      </c>
      <c r="B1738" s="25" t="s">
        <v>297</v>
      </c>
      <c r="C1738" s="55" t="s">
        <v>1892</v>
      </c>
      <c r="D1738" s="51">
        <v>46185.42447450232</v>
      </c>
      <c r="E1738" s="52">
        <v>4.0</v>
      </c>
      <c r="F1738" s="55" t="s">
        <v>2124</v>
      </c>
      <c r="G1738" s="26"/>
      <c r="H1738" s="26"/>
      <c r="I1738" s="26" t="s">
        <v>298</v>
      </c>
      <c r="J1738" s="26" t="s">
        <v>1674</v>
      </c>
      <c r="K1738" s="26" t="s">
        <v>1675</v>
      </c>
      <c r="L1738" s="26" t="s">
        <v>1566</v>
      </c>
      <c r="M1738" s="26" t="s">
        <v>1566</v>
      </c>
      <c r="N1738" s="26" t="s">
        <v>1680</v>
      </c>
      <c r="O1738" s="26" t="s">
        <v>1677</v>
      </c>
      <c r="P1738" s="26" t="s">
        <v>290</v>
      </c>
      <c r="Q1738" s="26">
        <v>10.0</v>
      </c>
    </row>
    <row r="1739" ht="17.25" customHeight="1">
      <c r="A1739" s="51">
        <v>46185.426767083336</v>
      </c>
      <c r="B1739" s="25" t="s">
        <v>292</v>
      </c>
      <c r="C1739" s="55" t="s">
        <v>1892</v>
      </c>
      <c r="D1739" s="51">
        <v>46185.42447450232</v>
      </c>
      <c r="E1739" s="52">
        <v>2.0</v>
      </c>
      <c r="F1739" s="55" t="s">
        <v>2124</v>
      </c>
      <c r="G1739" s="26"/>
      <c r="H1739" s="26"/>
      <c r="I1739" s="26" t="s">
        <v>294</v>
      </c>
      <c r="J1739" s="26" t="s">
        <v>1674</v>
      </c>
      <c r="K1739" s="26" t="s">
        <v>1675</v>
      </c>
      <c r="L1739" s="26" t="s">
        <v>1566</v>
      </c>
      <c r="M1739" s="26" t="s">
        <v>1566</v>
      </c>
      <c r="N1739" s="26" t="s">
        <v>1678</v>
      </c>
      <c r="O1739" s="26" t="s">
        <v>1677</v>
      </c>
      <c r="P1739" s="26" t="s">
        <v>290</v>
      </c>
      <c r="Q1739" s="26">
        <v>10.0</v>
      </c>
    </row>
    <row r="1740" ht="17.25" customHeight="1">
      <c r="A1740" s="51">
        <v>46185.42730490741</v>
      </c>
      <c r="B1740" s="25" t="s">
        <v>287</v>
      </c>
      <c r="C1740" s="55" t="s">
        <v>1892</v>
      </c>
      <c r="D1740" s="51">
        <v>46185.42447450232</v>
      </c>
      <c r="E1740" s="52">
        <v>2.0</v>
      </c>
      <c r="F1740" s="55" t="s">
        <v>2124</v>
      </c>
      <c r="G1740" s="26"/>
      <c r="H1740" s="26"/>
      <c r="I1740" s="26" t="s">
        <v>288</v>
      </c>
      <c r="J1740" s="26" t="s">
        <v>1674</v>
      </c>
      <c r="K1740" s="26" t="s">
        <v>1675</v>
      </c>
      <c r="L1740" s="26" t="s">
        <v>1566</v>
      </c>
      <c r="M1740" s="26" t="s">
        <v>1566</v>
      </c>
      <c r="N1740" s="26" t="s">
        <v>1676</v>
      </c>
      <c r="O1740" s="26" t="s">
        <v>1677</v>
      </c>
      <c r="P1740" s="26" t="s">
        <v>290</v>
      </c>
      <c r="Q1740" s="26">
        <v>16.0</v>
      </c>
    </row>
    <row r="1741" ht="17.25" customHeight="1">
      <c r="A1741" s="51">
        <v>46185.432992800925</v>
      </c>
      <c r="B1741" s="25" t="s">
        <v>948</v>
      </c>
      <c r="C1741" s="55" t="s">
        <v>1892</v>
      </c>
      <c r="D1741" s="51">
        <v>46184.529454675925</v>
      </c>
      <c r="E1741" s="52">
        <v>5.0</v>
      </c>
      <c r="F1741" s="55" t="s">
        <v>2330</v>
      </c>
      <c r="G1741" s="26"/>
      <c r="H1741" s="26"/>
      <c r="I1741" s="26" t="s">
        <v>952</v>
      </c>
      <c r="J1741" s="26" t="s">
        <v>1812</v>
      </c>
      <c r="K1741" s="26" t="s">
        <v>1815</v>
      </c>
      <c r="L1741" s="26" t="s">
        <v>1566</v>
      </c>
      <c r="M1741" s="26" t="s">
        <v>1566</v>
      </c>
      <c r="N1741" s="26" t="s">
        <v>1566</v>
      </c>
      <c r="O1741" s="26" t="s">
        <v>2060</v>
      </c>
      <c r="P1741" s="26" t="s">
        <v>616</v>
      </c>
      <c r="Q1741" s="26">
        <v>5.0</v>
      </c>
    </row>
    <row r="1742" ht="17.25" customHeight="1">
      <c r="A1742" s="51">
        <v>46186.43276096065</v>
      </c>
      <c r="B1742" s="25" t="s">
        <v>1136</v>
      </c>
      <c r="C1742" s="55" t="s">
        <v>1892</v>
      </c>
      <c r="D1742" s="51">
        <v>46186.43276096065</v>
      </c>
      <c r="E1742" s="52">
        <v>1.0</v>
      </c>
      <c r="F1742" s="55" t="s">
        <v>2124</v>
      </c>
      <c r="G1742" s="26"/>
      <c r="H1742" s="26"/>
      <c r="I1742" s="26" t="s">
        <v>1137</v>
      </c>
      <c r="J1742" s="26" t="s">
        <v>1812</v>
      </c>
      <c r="K1742" s="26" t="s">
        <v>1815</v>
      </c>
      <c r="L1742" s="26" t="s">
        <v>1566</v>
      </c>
      <c r="M1742" s="26" t="s">
        <v>1566</v>
      </c>
      <c r="N1742" s="26" t="s">
        <v>1566</v>
      </c>
      <c r="O1742" s="26" t="s">
        <v>1566</v>
      </c>
      <c r="P1742" s="26" t="s">
        <v>290</v>
      </c>
      <c r="Q1742" s="26">
        <v>2.0</v>
      </c>
    </row>
    <row r="1743" ht="17.25" customHeight="1">
      <c r="A1743" s="51">
        <v>46186.43291517362</v>
      </c>
      <c r="B1743" s="25" t="s">
        <v>301</v>
      </c>
      <c r="C1743" s="55" t="s">
        <v>1892</v>
      </c>
      <c r="D1743" s="51">
        <v>46186.43276096065</v>
      </c>
      <c r="E1743" s="52">
        <v>10.0</v>
      </c>
      <c r="F1743" s="55" t="s">
        <v>2124</v>
      </c>
      <c r="G1743" s="26"/>
      <c r="H1743" s="26"/>
      <c r="I1743" s="26" t="s">
        <v>302</v>
      </c>
      <c r="J1743" s="26" t="s">
        <v>1830</v>
      </c>
      <c r="K1743" s="26" t="s">
        <v>302</v>
      </c>
      <c r="L1743" s="26" t="s">
        <v>1566</v>
      </c>
      <c r="M1743" s="26" t="s">
        <v>1566</v>
      </c>
      <c r="N1743" s="26" t="s">
        <v>1566</v>
      </c>
      <c r="O1743" s="26" t="s">
        <v>1566</v>
      </c>
      <c r="P1743" s="26" t="s">
        <v>661</v>
      </c>
      <c r="Q1743" s="26">
        <v>580.0</v>
      </c>
    </row>
    <row r="1744" ht="17.25" customHeight="1">
      <c r="A1744" s="51">
        <v>46186.4560647801</v>
      </c>
      <c r="B1744" s="25" t="s">
        <v>79</v>
      </c>
      <c r="C1744" s="55" t="s">
        <v>1560</v>
      </c>
      <c r="D1744" s="51">
        <v>46185.426767083336</v>
      </c>
      <c r="E1744" s="52">
        <v>800.0</v>
      </c>
      <c r="F1744" s="55" t="s">
        <v>1561</v>
      </c>
      <c r="G1744" s="26"/>
      <c r="H1744" s="26"/>
      <c r="I1744" s="26" t="s">
        <v>80</v>
      </c>
      <c r="J1744" s="26" t="s">
        <v>1225</v>
      </c>
      <c r="K1744" s="26" t="s">
        <v>1562</v>
      </c>
      <c r="L1744" s="26" t="s">
        <v>1563</v>
      </c>
      <c r="M1744" s="26" t="s">
        <v>1575</v>
      </c>
      <c r="N1744" s="26" t="s">
        <v>1566</v>
      </c>
      <c r="O1744" s="26" t="s">
        <v>1566</v>
      </c>
      <c r="P1744" s="26" t="s">
        <v>22</v>
      </c>
      <c r="Q1744" s="26">
        <v>700.0</v>
      </c>
    </row>
    <row r="1745" ht="17.25" customHeight="1">
      <c r="A1745" s="51">
        <v>46186.45734090278</v>
      </c>
      <c r="B1745" s="26" t="s">
        <v>415</v>
      </c>
      <c r="C1745" s="55" t="s">
        <v>1560</v>
      </c>
      <c r="D1745" s="51">
        <v>46185.426767083336</v>
      </c>
      <c r="E1745" s="2">
        <v>2750.0</v>
      </c>
      <c r="F1745" s="55" t="s">
        <v>1561</v>
      </c>
      <c r="G1745" s="26"/>
      <c r="H1745" s="26"/>
      <c r="I1745" s="26" t="s">
        <v>416</v>
      </c>
      <c r="J1745" s="26" t="s">
        <v>1225</v>
      </c>
      <c r="K1745" s="26" t="s">
        <v>1646</v>
      </c>
      <c r="L1745" s="26" t="s">
        <v>1563</v>
      </c>
      <c r="M1745" s="26" t="s">
        <v>1648</v>
      </c>
      <c r="N1745" s="26" t="s">
        <v>1566</v>
      </c>
      <c r="O1745" s="26" t="s">
        <v>1566</v>
      </c>
      <c r="P1745" s="26" t="s">
        <v>22</v>
      </c>
      <c r="Q1745" s="26">
        <v>250.0</v>
      </c>
    </row>
    <row r="1746" ht="17.25" customHeight="1">
      <c r="A1746" s="51">
        <v>46186.45814287037</v>
      </c>
      <c r="B1746" s="25" t="s">
        <v>175</v>
      </c>
      <c r="C1746" s="55" t="s">
        <v>1560</v>
      </c>
      <c r="D1746" s="51">
        <v>46185.426767083336</v>
      </c>
      <c r="E1746" s="52">
        <v>3000.0</v>
      </c>
      <c r="F1746" s="55" t="s">
        <v>1561</v>
      </c>
      <c r="G1746" s="26"/>
      <c r="H1746" s="26"/>
      <c r="I1746" s="26" t="s">
        <v>176</v>
      </c>
      <c r="J1746" s="26" t="s">
        <v>1225</v>
      </c>
      <c r="K1746" s="26" t="s">
        <v>1562</v>
      </c>
      <c r="L1746" s="26" t="s">
        <v>1633</v>
      </c>
      <c r="M1746" s="26" t="s">
        <v>1634</v>
      </c>
      <c r="N1746" s="26" t="s">
        <v>1571</v>
      </c>
      <c r="O1746" s="26" t="s">
        <v>1566</v>
      </c>
      <c r="P1746" s="26" t="s">
        <v>22</v>
      </c>
      <c r="Q1746" s="26">
        <v>2100.0</v>
      </c>
    </row>
    <row r="1747" ht="17.25" customHeight="1">
      <c r="A1747" s="51">
        <v>46186.45849081018</v>
      </c>
      <c r="B1747" s="25" t="s">
        <v>175</v>
      </c>
      <c r="C1747" s="55" t="s">
        <v>1560</v>
      </c>
      <c r="D1747" s="51">
        <v>46185.426767083336</v>
      </c>
      <c r="E1747" s="52">
        <v>2400.0</v>
      </c>
      <c r="F1747" s="55" t="s">
        <v>1561</v>
      </c>
      <c r="G1747" s="26"/>
      <c r="H1747" s="26"/>
      <c r="I1747" s="26" t="s">
        <v>176</v>
      </c>
      <c r="J1747" s="26" t="s">
        <v>1225</v>
      </c>
      <c r="K1747" s="26" t="s">
        <v>1562</v>
      </c>
      <c r="L1747" s="26" t="s">
        <v>1633</v>
      </c>
      <c r="M1747" s="26" t="s">
        <v>1634</v>
      </c>
      <c r="N1747" s="26" t="s">
        <v>1571</v>
      </c>
      <c r="O1747" s="26" t="s">
        <v>1566</v>
      </c>
      <c r="P1747" s="26" t="s">
        <v>22</v>
      </c>
      <c r="Q1747" s="26">
        <v>2100.0</v>
      </c>
    </row>
    <row r="1748" ht="17.25" customHeight="1">
      <c r="A1748" s="51">
        <v>46186.45966771991</v>
      </c>
      <c r="B1748" s="26" t="s">
        <v>1752</v>
      </c>
      <c r="C1748" s="55" t="s">
        <v>1560</v>
      </c>
      <c r="D1748" s="51">
        <v>46185.426767083336</v>
      </c>
      <c r="E1748" s="52">
        <v>2700.0</v>
      </c>
      <c r="F1748" s="55" t="s">
        <v>1561</v>
      </c>
      <c r="G1748" s="55" t="s">
        <v>2331</v>
      </c>
      <c r="H1748" s="26"/>
      <c r="I1748" s="26" t="s">
        <v>1753</v>
      </c>
      <c r="J1748" s="26" t="s">
        <v>1225</v>
      </c>
      <c r="K1748" s="26" t="s">
        <v>1562</v>
      </c>
      <c r="L1748" s="26" t="s">
        <v>1573</v>
      </c>
      <c r="M1748" s="26" t="s">
        <v>2172</v>
      </c>
      <c r="N1748" s="26" t="s">
        <v>1566</v>
      </c>
      <c r="O1748" s="26" t="s">
        <v>1566</v>
      </c>
      <c r="P1748" s="26" t="s">
        <v>22</v>
      </c>
      <c r="Q1748" s="26">
        <v>0.0</v>
      </c>
    </row>
    <row r="1749" ht="17.25" customHeight="1">
      <c r="A1749" s="51">
        <v>46186.46030861112</v>
      </c>
      <c r="B1749" s="25" t="s">
        <v>105</v>
      </c>
      <c r="C1749" s="55" t="s">
        <v>1560</v>
      </c>
      <c r="D1749" s="51">
        <v>46185.426767083336</v>
      </c>
      <c r="E1749" s="52">
        <v>800.0</v>
      </c>
      <c r="F1749" s="55" t="s">
        <v>1561</v>
      </c>
      <c r="G1749" s="55" t="s">
        <v>2332</v>
      </c>
      <c r="H1749" s="26"/>
      <c r="I1749" s="26" t="s">
        <v>107</v>
      </c>
      <c r="J1749" s="26" t="s">
        <v>1225</v>
      </c>
      <c r="K1749" s="26" t="s">
        <v>1562</v>
      </c>
      <c r="L1749" s="26" t="s">
        <v>1603</v>
      </c>
      <c r="M1749" s="26" t="s">
        <v>1575</v>
      </c>
      <c r="N1749" s="26" t="s">
        <v>1571</v>
      </c>
      <c r="O1749" s="26" t="s">
        <v>1566</v>
      </c>
      <c r="P1749" s="26" t="s">
        <v>22</v>
      </c>
      <c r="Q1749" s="26">
        <v>1200.0</v>
      </c>
    </row>
    <row r="1750" ht="17.25" customHeight="1">
      <c r="A1750" s="51">
        <v>46186.51644825231</v>
      </c>
      <c r="B1750" s="153" t="s">
        <v>710</v>
      </c>
      <c r="C1750" s="55" t="s">
        <v>1560</v>
      </c>
      <c r="D1750" s="51">
        <v>46185.426767083336</v>
      </c>
      <c r="E1750" s="52">
        <v>50.0</v>
      </c>
      <c r="F1750" s="55" t="s">
        <v>2015</v>
      </c>
      <c r="G1750" s="26"/>
      <c r="H1750" s="26"/>
      <c r="I1750" s="26" t="s">
        <v>711</v>
      </c>
      <c r="J1750" s="26" t="s">
        <v>1821</v>
      </c>
      <c r="K1750" s="26" t="s">
        <v>1821</v>
      </c>
      <c r="L1750" s="26" t="s">
        <v>1566</v>
      </c>
      <c r="M1750" s="26" t="s">
        <v>1566</v>
      </c>
      <c r="N1750" s="26" t="s">
        <v>1566</v>
      </c>
      <c r="O1750" s="26" t="s">
        <v>1566</v>
      </c>
      <c r="P1750" s="26" t="s">
        <v>290</v>
      </c>
      <c r="Q1750" s="26">
        <v>50.0</v>
      </c>
    </row>
    <row r="1751" ht="17.25" customHeight="1">
      <c r="A1751" s="51">
        <v>46191.51780041667</v>
      </c>
      <c r="B1751" s="25" t="s">
        <v>892</v>
      </c>
      <c r="C1751" s="55" t="s">
        <v>1892</v>
      </c>
      <c r="D1751" s="111">
        <v>46187.0</v>
      </c>
      <c r="E1751" s="52">
        <v>20.0</v>
      </c>
      <c r="F1751" s="55" t="s">
        <v>2124</v>
      </c>
      <c r="G1751" s="26"/>
      <c r="H1751" s="26"/>
      <c r="I1751" s="26" t="s">
        <v>893</v>
      </c>
      <c r="J1751" s="26" t="s">
        <v>1812</v>
      </c>
      <c r="K1751" s="26" t="s">
        <v>1813</v>
      </c>
      <c r="L1751" s="26" t="s">
        <v>1566</v>
      </c>
      <c r="M1751" s="26" t="s">
        <v>1566</v>
      </c>
      <c r="N1751" s="26" t="s">
        <v>1566</v>
      </c>
      <c r="O1751" s="26" t="s">
        <v>1809</v>
      </c>
      <c r="P1751" s="26" t="s">
        <v>290</v>
      </c>
      <c r="Q1751" s="26">
        <v>20.0</v>
      </c>
    </row>
    <row r="1752" ht="17.25" customHeight="1">
      <c r="A1752" s="51">
        <v>46191.52595289352</v>
      </c>
      <c r="B1752" s="25" t="s">
        <v>297</v>
      </c>
      <c r="C1752" s="55" t="s">
        <v>1560</v>
      </c>
      <c r="D1752" s="111">
        <v>46186.0</v>
      </c>
      <c r="E1752" s="52">
        <v>12.0</v>
      </c>
      <c r="F1752" s="55" t="s">
        <v>1673</v>
      </c>
      <c r="G1752" s="26"/>
      <c r="H1752" s="26"/>
      <c r="I1752" s="26" t="s">
        <v>298</v>
      </c>
      <c r="J1752" s="26" t="s">
        <v>1674</v>
      </c>
      <c r="K1752" s="26" t="s">
        <v>1675</v>
      </c>
      <c r="L1752" s="26" t="s">
        <v>1566</v>
      </c>
      <c r="M1752" s="26" t="s">
        <v>1566</v>
      </c>
      <c r="N1752" s="26" t="s">
        <v>1680</v>
      </c>
      <c r="O1752" s="26" t="s">
        <v>1677</v>
      </c>
      <c r="P1752" s="26" t="s">
        <v>290</v>
      </c>
      <c r="Q1752" s="26">
        <v>10.0</v>
      </c>
    </row>
    <row r="1753" ht="17.25" customHeight="1">
      <c r="A1753" s="51">
        <v>46191.52609142361</v>
      </c>
      <c r="B1753" s="25" t="s">
        <v>292</v>
      </c>
      <c r="C1753" s="55" t="s">
        <v>1560</v>
      </c>
      <c r="D1753" s="111">
        <v>46186.0</v>
      </c>
      <c r="E1753" s="52">
        <v>12.0</v>
      </c>
      <c r="F1753" s="55" t="s">
        <v>1673</v>
      </c>
      <c r="G1753" s="26"/>
      <c r="H1753" s="26"/>
      <c r="I1753" s="26" t="s">
        <v>294</v>
      </c>
      <c r="J1753" s="26" t="s">
        <v>1674</v>
      </c>
      <c r="K1753" s="26" t="s">
        <v>1675</v>
      </c>
      <c r="L1753" s="26" t="s">
        <v>1566</v>
      </c>
      <c r="M1753" s="26" t="s">
        <v>1566</v>
      </c>
      <c r="N1753" s="26" t="s">
        <v>1678</v>
      </c>
      <c r="O1753" s="26" t="s">
        <v>1677</v>
      </c>
      <c r="P1753" s="26" t="s">
        <v>290</v>
      </c>
      <c r="Q1753" s="26">
        <v>10.0</v>
      </c>
    </row>
    <row r="1754" ht="17.25" customHeight="1">
      <c r="A1754" s="51">
        <v>46191.52609142361</v>
      </c>
      <c r="B1754" s="25" t="s">
        <v>287</v>
      </c>
      <c r="C1754" s="55" t="s">
        <v>1560</v>
      </c>
      <c r="D1754" s="111">
        <v>46186.0</v>
      </c>
      <c r="E1754" s="52">
        <v>12.0</v>
      </c>
      <c r="F1754" s="55" t="s">
        <v>1673</v>
      </c>
      <c r="G1754" s="26"/>
      <c r="H1754" s="26"/>
      <c r="I1754" s="26" t="s">
        <v>288</v>
      </c>
      <c r="J1754" s="26" t="s">
        <v>1674</v>
      </c>
      <c r="K1754" s="26" t="s">
        <v>1675</v>
      </c>
      <c r="L1754" s="26" t="s">
        <v>1566</v>
      </c>
      <c r="M1754" s="26" t="s">
        <v>1566</v>
      </c>
      <c r="N1754" s="26" t="s">
        <v>1676</v>
      </c>
      <c r="O1754" s="26" t="s">
        <v>1677</v>
      </c>
      <c r="P1754" s="26" t="s">
        <v>290</v>
      </c>
      <c r="Q1754" s="26">
        <v>16.0</v>
      </c>
    </row>
    <row r="1755" ht="17.25" customHeight="1">
      <c r="A1755" s="51">
        <v>46202.529432870375</v>
      </c>
      <c r="B1755" s="25" t="s">
        <v>753</v>
      </c>
      <c r="C1755" s="55" t="s">
        <v>1560</v>
      </c>
      <c r="D1755" s="51">
        <v>46191.52609142361</v>
      </c>
      <c r="E1755" s="52">
        <v>20.0</v>
      </c>
      <c r="F1755" s="55" t="s">
        <v>1673</v>
      </c>
      <c r="G1755" s="26"/>
      <c r="H1755" s="26"/>
      <c r="I1755" s="26" t="s">
        <v>755</v>
      </c>
      <c r="J1755" s="26" t="s">
        <v>1812</v>
      </c>
      <c r="K1755" s="26" t="s">
        <v>1815</v>
      </c>
      <c r="L1755" s="26" t="s">
        <v>1566</v>
      </c>
      <c r="M1755" s="26" t="s">
        <v>1566</v>
      </c>
      <c r="N1755" s="26" t="s">
        <v>1566</v>
      </c>
      <c r="O1755" s="26" t="s">
        <v>2014</v>
      </c>
      <c r="P1755" s="26" t="s">
        <v>290</v>
      </c>
      <c r="Q1755" s="26">
        <v>25.0</v>
      </c>
    </row>
    <row r="1756" ht="17.25" customHeight="1">
      <c r="A1756" s="51">
        <v>46202.52806990741</v>
      </c>
      <c r="B1756" s="201" t="s">
        <v>892</v>
      </c>
      <c r="C1756" s="55" t="s">
        <v>1560</v>
      </c>
      <c r="D1756" s="51">
        <v>46191.52609142361</v>
      </c>
      <c r="E1756" s="52">
        <v>20.0</v>
      </c>
      <c r="F1756" s="55" t="s">
        <v>1673</v>
      </c>
      <c r="G1756" s="26"/>
      <c r="H1756" s="26"/>
      <c r="I1756" s="26" t="s">
        <v>893</v>
      </c>
      <c r="J1756" s="26" t="s">
        <v>1812</v>
      </c>
      <c r="K1756" s="26" t="s">
        <v>1813</v>
      </c>
      <c r="L1756" s="26" t="s">
        <v>1566</v>
      </c>
      <c r="M1756" s="26" t="s">
        <v>1566</v>
      </c>
      <c r="N1756" s="26" t="s">
        <v>1566</v>
      </c>
      <c r="O1756" s="26" t="s">
        <v>1809</v>
      </c>
      <c r="P1756" s="26" t="s">
        <v>290</v>
      </c>
      <c r="Q1756" s="26">
        <v>20.0</v>
      </c>
    </row>
    <row r="1757" ht="17.25" customHeight="1">
      <c r="A1757" s="51">
        <v>46191.52609142361</v>
      </c>
      <c r="B1757" s="2" t="s">
        <v>304</v>
      </c>
      <c r="C1757" s="55" t="s">
        <v>1560</v>
      </c>
      <c r="D1757" s="111">
        <v>46186.0</v>
      </c>
      <c r="E1757" s="52">
        <v>12.0</v>
      </c>
      <c r="F1757" s="55" t="s">
        <v>1673</v>
      </c>
      <c r="G1757" s="26"/>
      <c r="H1757" s="26"/>
      <c r="I1757" s="26" t="s">
        <v>306</v>
      </c>
      <c r="J1757" s="26" t="s">
        <v>1674</v>
      </c>
      <c r="K1757" s="26" t="s">
        <v>1675</v>
      </c>
      <c r="L1757" s="26" t="s">
        <v>1566</v>
      </c>
      <c r="M1757" s="26" t="s">
        <v>1566</v>
      </c>
      <c r="N1757" s="26" t="s">
        <v>1682</v>
      </c>
      <c r="O1757" s="26" t="s">
        <v>1677</v>
      </c>
      <c r="P1757" s="26" t="s">
        <v>290</v>
      </c>
      <c r="Q1757" s="26">
        <v>6.0</v>
      </c>
    </row>
    <row r="1758" ht="17.25" customHeight="1">
      <c r="A1758" s="51">
        <v>46191.52662275463</v>
      </c>
      <c r="B1758" s="25" t="s">
        <v>297</v>
      </c>
      <c r="C1758" s="55" t="s">
        <v>1892</v>
      </c>
      <c r="D1758" s="111">
        <v>46188.0</v>
      </c>
      <c r="E1758" s="52">
        <v>2.0</v>
      </c>
      <c r="F1758" s="55" t="s">
        <v>2124</v>
      </c>
      <c r="G1758" s="26"/>
      <c r="H1758" s="26"/>
      <c r="I1758" s="26" t="s">
        <v>298</v>
      </c>
      <c r="J1758" s="26" t="s">
        <v>1674</v>
      </c>
      <c r="K1758" s="26" t="s">
        <v>1675</v>
      </c>
      <c r="L1758" s="26" t="s">
        <v>1566</v>
      </c>
      <c r="M1758" s="26" t="s">
        <v>1566</v>
      </c>
      <c r="N1758" s="26" t="s">
        <v>1680</v>
      </c>
      <c r="O1758" s="26" t="s">
        <v>1677</v>
      </c>
      <c r="P1758" s="26" t="s">
        <v>290</v>
      </c>
      <c r="Q1758" s="26">
        <v>10.0</v>
      </c>
    </row>
    <row r="1759" ht="17.25" customHeight="1">
      <c r="A1759" s="51">
        <v>46191.52830939815</v>
      </c>
      <c r="B1759" s="2" t="s">
        <v>304</v>
      </c>
      <c r="C1759" s="55" t="s">
        <v>1892</v>
      </c>
      <c r="D1759" s="111">
        <v>46188.0</v>
      </c>
      <c r="E1759" s="52">
        <v>4.0</v>
      </c>
      <c r="F1759" s="55" t="s">
        <v>2124</v>
      </c>
      <c r="G1759" s="26"/>
      <c r="H1759" s="26"/>
      <c r="I1759" s="26" t="s">
        <v>306</v>
      </c>
      <c r="J1759" s="26" t="s">
        <v>1674</v>
      </c>
      <c r="K1759" s="26" t="s">
        <v>1675</v>
      </c>
      <c r="L1759" s="26" t="s">
        <v>1566</v>
      </c>
      <c r="M1759" s="26" t="s">
        <v>1566</v>
      </c>
      <c r="N1759" s="26" t="s">
        <v>1682</v>
      </c>
      <c r="O1759" s="26" t="s">
        <v>1677</v>
      </c>
      <c r="P1759" s="26" t="s">
        <v>290</v>
      </c>
      <c r="Q1759" s="26">
        <v>6.0</v>
      </c>
    </row>
    <row r="1760" ht="17.25" customHeight="1">
      <c r="A1760" s="51">
        <v>46191.52998032408</v>
      </c>
      <c r="B1760" s="25" t="s">
        <v>1001</v>
      </c>
      <c r="C1760" s="55" t="s">
        <v>1892</v>
      </c>
      <c r="D1760" s="111">
        <v>46188.0</v>
      </c>
      <c r="E1760" s="52">
        <v>1.0</v>
      </c>
      <c r="F1760" s="55" t="s">
        <v>2124</v>
      </c>
      <c r="G1760" s="26"/>
      <c r="H1760" s="26"/>
      <c r="I1760" s="26" t="s">
        <v>1002</v>
      </c>
      <c r="J1760" s="26" t="s">
        <v>1674</v>
      </c>
      <c r="K1760" s="26" t="s">
        <v>1691</v>
      </c>
      <c r="L1760" s="26" t="s">
        <v>1566</v>
      </c>
      <c r="M1760" s="26" t="s">
        <v>1566</v>
      </c>
      <c r="N1760" s="26" t="s">
        <v>1566</v>
      </c>
      <c r="O1760" s="26" t="s">
        <v>2040</v>
      </c>
      <c r="P1760" s="26" t="s">
        <v>290</v>
      </c>
      <c r="Q1760" s="26">
        <v>1.0</v>
      </c>
    </row>
    <row r="1761" ht="17.25" customHeight="1">
      <c r="A1761" s="51">
        <v>46191.53004912037</v>
      </c>
      <c r="B1761" s="25" t="s">
        <v>1001</v>
      </c>
      <c r="C1761" s="55" t="s">
        <v>1560</v>
      </c>
      <c r="D1761" s="51">
        <v>46191.53004912037</v>
      </c>
      <c r="E1761" s="52">
        <v>2.0</v>
      </c>
      <c r="F1761" s="55" t="s">
        <v>2015</v>
      </c>
      <c r="G1761" s="26"/>
      <c r="H1761" s="26"/>
      <c r="I1761" s="26" t="s">
        <v>1002</v>
      </c>
      <c r="J1761" s="26" t="s">
        <v>1674</v>
      </c>
      <c r="K1761" s="26" t="s">
        <v>1691</v>
      </c>
      <c r="L1761" s="26" t="s">
        <v>1566</v>
      </c>
      <c r="M1761" s="26" t="s">
        <v>1566</v>
      </c>
      <c r="N1761" s="26" t="s">
        <v>1566</v>
      </c>
      <c r="O1761" s="26" t="s">
        <v>2040</v>
      </c>
      <c r="P1761" s="26" t="s">
        <v>290</v>
      </c>
      <c r="Q1761" s="26">
        <v>1.0</v>
      </c>
    </row>
    <row r="1762" ht="17.25" customHeight="1">
      <c r="A1762" s="51">
        <v>46191.53029247685</v>
      </c>
      <c r="B1762" s="27" t="s">
        <v>989</v>
      </c>
      <c r="C1762" s="55" t="s">
        <v>1892</v>
      </c>
      <c r="D1762" s="111">
        <v>46188.0</v>
      </c>
      <c r="E1762" s="52">
        <v>5.0</v>
      </c>
      <c r="F1762" s="55" t="s">
        <v>2124</v>
      </c>
      <c r="G1762" s="26"/>
      <c r="H1762" s="26"/>
      <c r="I1762" s="26" t="s">
        <v>991</v>
      </c>
      <c r="J1762" s="26" t="s">
        <v>1674</v>
      </c>
      <c r="K1762" s="26" t="s">
        <v>1691</v>
      </c>
      <c r="L1762" s="26" t="s">
        <v>1566</v>
      </c>
      <c r="M1762" s="26" t="s">
        <v>1566</v>
      </c>
      <c r="N1762" s="26" t="s">
        <v>2110</v>
      </c>
      <c r="O1762" s="26" t="s">
        <v>1566</v>
      </c>
      <c r="P1762" s="26" t="s">
        <v>290</v>
      </c>
      <c r="Q1762" s="26">
        <v>15.0</v>
      </c>
    </row>
    <row r="1763" ht="17.25" customHeight="1">
      <c r="A1763" s="51">
        <v>46191.53047025463</v>
      </c>
      <c r="B1763" s="27" t="s">
        <v>989</v>
      </c>
      <c r="C1763" s="55" t="s">
        <v>1560</v>
      </c>
      <c r="D1763" s="111">
        <v>46191.0</v>
      </c>
      <c r="E1763" s="52">
        <v>2.0</v>
      </c>
      <c r="F1763" s="55" t="s">
        <v>1673</v>
      </c>
      <c r="G1763" s="26"/>
      <c r="H1763" s="26"/>
      <c r="I1763" s="26" t="s">
        <v>991</v>
      </c>
      <c r="J1763" s="26" t="s">
        <v>1674</v>
      </c>
      <c r="K1763" s="26" t="s">
        <v>1691</v>
      </c>
      <c r="L1763" s="26" t="s">
        <v>1566</v>
      </c>
      <c r="M1763" s="26" t="s">
        <v>1566</v>
      </c>
      <c r="N1763" s="26" t="s">
        <v>2110</v>
      </c>
      <c r="O1763" s="26" t="s">
        <v>1566</v>
      </c>
      <c r="P1763" s="26" t="s">
        <v>290</v>
      </c>
      <c r="Q1763" s="26">
        <v>15.0</v>
      </c>
    </row>
    <row r="1764" ht="17.25" customHeight="1">
      <c r="A1764" s="51">
        <v>46191.624946979166</v>
      </c>
      <c r="B1764" s="27" t="s">
        <v>1754</v>
      </c>
      <c r="C1764" s="55" t="s">
        <v>1560</v>
      </c>
      <c r="D1764" s="111">
        <v>46190.0</v>
      </c>
      <c r="E1764" s="52">
        <v>400.0</v>
      </c>
      <c r="F1764" s="55" t="s">
        <v>1673</v>
      </c>
      <c r="G1764" s="2" t="s">
        <v>2333</v>
      </c>
      <c r="H1764" s="26"/>
      <c r="I1764" s="26" t="s">
        <v>1755</v>
      </c>
      <c r="J1764" s="26" t="s">
        <v>1225</v>
      </c>
      <c r="K1764" s="26" t="s">
        <v>1562</v>
      </c>
      <c r="L1764" s="26" t="s">
        <v>1600</v>
      </c>
      <c r="M1764" s="26" t="s">
        <v>1586</v>
      </c>
      <c r="N1764" s="26" t="s">
        <v>1566</v>
      </c>
      <c r="O1764" s="26" t="s">
        <v>1566</v>
      </c>
      <c r="P1764" s="26" t="s">
        <v>22</v>
      </c>
      <c r="Q1764" s="26">
        <v>0.0</v>
      </c>
    </row>
    <row r="1765" ht="17.25" customHeight="1">
      <c r="A1765" s="51">
        <v>46191.626527546294</v>
      </c>
      <c r="B1765" s="25" t="s">
        <v>1743</v>
      </c>
      <c r="C1765" s="55" t="s">
        <v>1560</v>
      </c>
      <c r="D1765" s="111">
        <v>46190.0</v>
      </c>
      <c r="E1765" s="52">
        <v>2000.0</v>
      </c>
      <c r="F1765" s="55" t="s">
        <v>1673</v>
      </c>
      <c r="G1765" s="26"/>
      <c r="H1765" s="26"/>
      <c r="I1765" s="26" t="s">
        <v>1744</v>
      </c>
      <c r="J1765" s="26" t="s">
        <v>1225</v>
      </c>
      <c r="K1765" s="26" t="s">
        <v>1562</v>
      </c>
      <c r="L1765" s="26" t="s">
        <v>1591</v>
      </c>
      <c r="M1765" s="26" t="s">
        <v>1572</v>
      </c>
      <c r="N1765" s="26" t="s">
        <v>1566</v>
      </c>
      <c r="O1765" s="26" t="s">
        <v>1566</v>
      </c>
      <c r="P1765" s="26" t="s">
        <v>22</v>
      </c>
      <c r="Q1765" s="26">
        <v>0.0</v>
      </c>
    </row>
    <row r="1766" ht="17.25" customHeight="1">
      <c r="A1766" s="51">
        <v>46191.62838659722</v>
      </c>
      <c r="B1766" s="25" t="s">
        <v>79</v>
      </c>
      <c r="C1766" s="55" t="s">
        <v>1560</v>
      </c>
      <c r="D1766" s="111">
        <v>46190.0</v>
      </c>
      <c r="E1766" s="52">
        <v>1000.0</v>
      </c>
      <c r="F1766" s="55" t="s">
        <v>1673</v>
      </c>
      <c r="G1766" s="26"/>
      <c r="H1766" s="26"/>
      <c r="I1766" s="26" t="s">
        <v>80</v>
      </c>
      <c r="J1766" s="26" t="s">
        <v>1225</v>
      </c>
      <c r="K1766" s="26" t="s">
        <v>1562</v>
      </c>
      <c r="L1766" s="26" t="s">
        <v>1563</v>
      </c>
      <c r="M1766" s="26" t="s">
        <v>1575</v>
      </c>
      <c r="N1766" s="26" t="s">
        <v>1566</v>
      </c>
      <c r="O1766" s="26" t="s">
        <v>1566</v>
      </c>
      <c r="P1766" s="26" t="s">
        <v>22</v>
      </c>
      <c r="Q1766" s="26">
        <v>700.0</v>
      </c>
    </row>
    <row r="1767" ht="17.25" customHeight="1">
      <c r="A1767" s="51">
        <v>46191.631597071755</v>
      </c>
      <c r="B1767" s="27" t="s">
        <v>1299</v>
      </c>
      <c r="C1767" s="55" t="s">
        <v>1560</v>
      </c>
      <c r="D1767" s="111">
        <v>46188.0</v>
      </c>
      <c r="E1767" s="52">
        <v>1080.0</v>
      </c>
      <c r="F1767" s="55" t="s">
        <v>1673</v>
      </c>
      <c r="G1767" s="55" t="s">
        <v>2334</v>
      </c>
      <c r="H1767" s="26"/>
      <c r="I1767" s="26" t="s">
        <v>1300</v>
      </c>
      <c r="J1767" s="26" t="s">
        <v>1225</v>
      </c>
      <c r="K1767" s="26" t="s">
        <v>1653</v>
      </c>
      <c r="L1767" s="26" t="s">
        <v>1656</v>
      </c>
      <c r="M1767" s="26" t="s">
        <v>2187</v>
      </c>
      <c r="N1767" s="26" t="s">
        <v>1566</v>
      </c>
      <c r="O1767" s="26" t="s">
        <v>1654</v>
      </c>
      <c r="P1767" s="26" t="s">
        <v>22</v>
      </c>
      <c r="Q1767" s="26">
        <v>560.0</v>
      </c>
    </row>
    <row r="1768" ht="17.25" customHeight="1">
      <c r="A1768" s="51">
        <v>46191.63338488426</v>
      </c>
      <c r="B1768" s="26" t="s">
        <v>1302</v>
      </c>
      <c r="C1768" s="55" t="s">
        <v>1560</v>
      </c>
      <c r="D1768" s="111">
        <v>46188.0</v>
      </c>
      <c r="E1768" s="52">
        <v>2016.0</v>
      </c>
      <c r="F1768" s="55" t="s">
        <v>1673</v>
      </c>
      <c r="G1768" s="55" t="s">
        <v>2334</v>
      </c>
      <c r="H1768" s="26"/>
      <c r="I1768" s="26" t="s">
        <v>1303</v>
      </c>
      <c r="J1768" s="26" t="s">
        <v>1225</v>
      </c>
      <c r="K1768" s="26" t="s">
        <v>1653</v>
      </c>
      <c r="L1768" s="26" t="s">
        <v>1563</v>
      </c>
      <c r="M1768" s="26" t="s">
        <v>2187</v>
      </c>
      <c r="N1768" s="26" t="s">
        <v>1566</v>
      </c>
      <c r="O1768" s="26" t="s">
        <v>1654</v>
      </c>
      <c r="P1768" s="26" t="s">
        <v>22</v>
      </c>
      <c r="Q1768" s="26">
        <v>1000.0</v>
      </c>
    </row>
    <row r="1769" ht="17.25" customHeight="1">
      <c r="A1769" s="51">
        <v>46191.63446327546</v>
      </c>
      <c r="B1769" s="27" t="s">
        <v>2021</v>
      </c>
      <c r="C1769" s="55" t="s">
        <v>1560</v>
      </c>
      <c r="D1769" s="111">
        <v>46188.0</v>
      </c>
      <c r="E1769" s="52">
        <v>1008.0</v>
      </c>
      <c r="F1769" s="55" t="s">
        <v>1673</v>
      </c>
      <c r="G1769" s="55" t="s">
        <v>2334</v>
      </c>
      <c r="H1769" s="26"/>
      <c r="I1769" s="26" t="s">
        <v>2022</v>
      </c>
      <c r="J1769" s="26" t="s">
        <v>1225</v>
      </c>
      <c r="K1769" s="26" t="s">
        <v>1653</v>
      </c>
      <c r="L1769" s="26" t="s">
        <v>1600</v>
      </c>
      <c r="M1769" s="26" t="s">
        <v>2187</v>
      </c>
      <c r="N1769" s="26" t="s">
        <v>1566</v>
      </c>
      <c r="O1769" s="26" t="s">
        <v>1654</v>
      </c>
      <c r="P1769" s="26" t="s">
        <v>22</v>
      </c>
      <c r="Q1769" s="26">
        <v>0.0</v>
      </c>
    </row>
    <row r="1770" ht="17.25" customHeight="1">
      <c r="A1770" s="51">
        <v>46191.637507962965</v>
      </c>
      <c r="B1770" s="27" t="s">
        <v>1306</v>
      </c>
      <c r="C1770" s="55" t="s">
        <v>1560</v>
      </c>
      <c r="D1770" s="111">
        <v>46183.0</v>
      </c>
      <c r="E1770" s="52">
        <v>6048.0</v>
      </c>
      <c r="F1770" s="55" t="s">
        <v>1561</v>
      </c>
      <c r="G1770" s="26"/>
      <c r="H1770" s="26"/>
      <c r="I1770" s="26" t="s">
        <v>1307</v>
      </c>
      <c r="J1770" s="26" t="s">
        <v>1225</v>
      </c>
      <c r="K1770" s="26" t="s">
        <v>1653</v>
      </c>
      <c r="L1770" s="26" t="s">
        <v>1591</v>
      </c>
      <c r="M1770" s="26" t="s">
        <v>1572</v>
      </c>
      <c r="N1770" s="26" t="s">
        <v>1566</v>
      </c>
      <c r="O1770" s="26" t="s">
        <v>1654</v>
      </c>
      <c r="P1770" s="26" t="s">
        <v>22</v>
      </c>
      <c r="Q1770" s="26">
        <v>1048.0</v>
      </c>
    </row>
    <row r="1771" ht="17.25" customHeight="1">
      <c r="A1771" s="51">
        <v>46191.637811782406</v>
      </c>
      <c r="B1771" s="39" t="s">
        <v>538</v>
      </c>
      <c r="C1771" s="55" t="s">
        <v>1560</v>
      </c>
      <c r="D1771" s="111">
        <v>46183.0</v>
      </c>
      <c r="E1771" s="52">
        <v>1152.0</v>
      </c>
      <c r="F1771" s="55" t="s">
        <v>1561</v>
      </c>
      <c r="G1771" s="26"/>
      <c r="H1771" s="26"/>
      <c r="I1771" s="26" t="s">
        <v>539</v>
      </c>
      <c r="J1771" s="26" t="s">
        <v>1225</v>
      </c>
      <c r="K1771" s="26" t="s">
        <v>1653</v>
      </c>
      <c r="L1771" s="26" t="s">
        <v>1600</v>
      </c>
      <c r="M1771" s="26" t="s">
        <v>1572</v>
      </c>
      <c r="N1771" s="26" t="s">
        <v>1566</v>
      </c>
      <c r="O1771" s="26" t="s">
        <v>1654</v>
      </c>
      <c r="P1771" s="26" t="s">
        <v>22</v>
      </c>
      <c r="Q1771" s="26">
        <v>576.0</v>
      </c>
    </row>
    <row r="1772" ht="17.25" customHeight="1">
      <c r="A1772" s="51">
        <v>46191.64112655092</v>
      </c>
      <c r="B1772" s="25" t="s">
        <v>365</v>
      </c>
      <c r="C1772" s="55" t="s">
        <v>1892</v>
      </c>
      <c r="D1772" s="111">
        <v>46182.0</v>
      </c>
      <c r="E1772" s="52">
        <v>432.0</v>
      </c>
      <c r="F1772" s="55" t="s">
        <v>1561</v>
      </c>
      <c r="G1772" s="55">
        <v>919.0</v>
      </c>
      <c r="H1772" s="26"/>
      <c r="I1772" s="26" t="s">
        <v>367</v>
      </c>
      <c r="J1772" s="26" t="s">
        <v>1225</v>
      </c>
      <c r="K1772" s="26" t="s">
        <v>1653</v>
      </c>
      <c r="L1772" s="26" t="s">
        <v>1584</v>
      </c>
      <c r="M1772" s="26" t="s">
        <v>1572</v>
      </c>
      <c r="N1772" s="26" t="s">
        <v>1654</v>
      </c>
      <c r="O1772" s="26" t="s">
        <v>1566</v>
      </c>
      <c r="P1772" s="26" t="s">
        <v>22</v>
      </c>
      <c r="Q1772" s="26">
        <v>0.0</v>
      </c>
    </row>
    <row r="1773" ht="17.25" customHeight="1">
      <c r="A1773" s="51">
        <v>46191.64119430556</v>
      </c>
      <c r="B1773" s="25" t="s">
        <v>365</v>
      </c>
      <c r="C1773" s="55" t="s">
        <v>1892</v>
      </c>
      <c r="D1773" s="111">
        <v>46185.0</v>
      </c>
      <c r="E1773" s="52">
        <v>288.0</v>
      </c>
      <c r="F1773" s="55" t="s">
        <v>1561</v>
      </c>
      <c r="G1773" s="55">
        <v>918.0</v>
      </c>
      <c r="H1773" s="26"/>
      <c r="I1773" s="26" t="s">
        <v>367</v>
      </c>
      <c r="J1773" s="26" t="s">
        <v>1225</v>
      </c>
      <c r="K1773" s="26" t="s">
        <v>1653</v>
      </c>
      <c r="L1773" s="26" t="s">
        <v>1584</v>
      </c>
      <c r="M1773" s="26" t="s">
        <v>1572</v>
      </c>
      <c r="N1773" s="26" t="s">
        <v>1654</v>
      </c>
      <c r="O1773" s="26" t="s">
        <v>1566</v>
      </c>
      <c r="P1773" s="26" t="s">
        <v>22</v>
      </c>
      <c r="Q1773" s="26">
        <v>0.0</v>
      </c>
    </row>
    <row r="1774" ht="17.25" customHeight="1">
      <c r="A1774" s="51">
        <v>46191.64180189815</v>
      </c>
      <c r="B1774" s="26" t="s">
        <v>2019</v>
      </c>
      <c r="C1774" s="55" t="s">
        <v>1892</v>
      </c>
      <c r="D1774" s="111">
        <v>46185.0</v>
      </c>
      <c r="E1774" s="52">
        <v>1152.0</v>
      </c>
      <c r="F1774" s="55" t="s">
        <v>1561</v>
      </c>
      <c r="G1774" s="55">
        <v>918.0</v>
      </c>
      <c r="H1774" s="26"/>
      <c r="I1774" s="26" t="s">
        <v>2020</v>
      </c>
      <c r="J1774" s="26" t="s">
        <v>1225</v>
      </c>
      <c r="K1774" s="26" t="s">
        <v>1653</v>
      </c>
      <c r="L1774" s="26" t="s">
        <v>1584</v>
      </c>
      <c r="M1774" s="26" t="s">
        <v>2131</v>
      </c>
      <c r="N1774" s="26" t="s">
        <v>1566</v>
      </c>
      <c r="O1774" s="26" t="s">
        <v>2132</v>
      </c>
      <c r="P1774" s="26" t="s">
        <v>22</v>
      </c>
      <c r="Q1774" s="26">
        <v>0.0</v>
      </c>
    </row>
    <row r="1775" ht="17.25" customHeight="1">
      <c r="A1775" s="51">
        <v>46191.650999722224</v>
      </c>
      <c r="B1775" s="25" t="s">
        <v>1250</v>
      </c>
      <c r="C1775" s="55" t="s">
        <v>1892</v>
      </c>
      <c r="D1775" s="111">
        <v>46183.0</v>
      </c>
      <c r="E1775" s="52">
        <v>3500.0</v>
      </c>
      <c r="F1775" s="55" t="s">
        <v>1561</v>
      </c>
      <c r="G1775" s="55">
        <v>920.0</v>
      </c>
      <c r="H1775" s="26"/>
      <c r="I1775" s="26" t="s">
        <v>1251</v>
      </c>
      <c r="J1775" s="26" t="s">
        <v>1225</v>
      </c>
      <c r="K1775" s="26" t="s">
        <v>1562</v>
      </c>
      <c r="L1775" s="26" t="s">
        <v>1600</v>
      </c>
      <c r="M1775" s="26" t="s">
        <v>2172</v>
      </c>
      <c r="N1775" s="26" t="s">
        <v>1566</v>
      </c>
      <c r="O1775" s="26" t="s">
        <v>1566</v>
      </c>
      <c r="P1775" s="26" t="s">
        <v>22</v>
      </c>
      <c r="Q1775" s="26">
        <v>100.0</v>
      </c>
    </row>
    <row r="1776" ht="17.25" customHeight="1">
      <c r="A1776" s="51">
        <v>46191.66846339121</v>
      </c>
      <c r="B1776" s="25" t="s">
        <v>1746</v>
      </c>
      <c r="C1776" s="55" t="s">
        <v>1892</v>
      </c>
      <c r="D1776" s="111">
        <v>46183.0</v>
      </c>
      <c r="E1776" s="52">
        <v>2800.0</v>
      </c>
      <c r="F1776" s="55" t="s">
        <v>1561</v>
      </c>
      <c r="G1776" s="55">
        <v>921.0</v>
      </c>
      <c r="H1776" s="26"/>
      <c r="I1776" s="26" t="s">
        <v>1747</v>
      </c>
      <c r="J1776" s="26" t="s">
        <v>1225</v>
      </c>
      <c r="K1776" s="26" t="s">
        <v>1562</v>
      </c>
      <c r="L1776" s="26" t="s">
        <v>2181</v>
      </c>
      <c r="M1776" s="26" t="s">
        <v>1607</v>
      </c>
      <c r="N1776" s="26" t="s">
        <v>1566</v>
      </c>
      <c r="O1776" s="26" t="s">
        <v>1566</v>
      </c>
      <c r="P1776" s="26" t="s">
        <v>22</v>
      </c>
      <c r="Q1776" s="26">
        <v>0.0</v>
      </c>
    </row>
    <row r="1777" ht="17.25" customHeight="1">
      <c r="A1777" s="51">
        <v>46191.67057400463</v>
      </c>
      <c r="B1777" s="25" t="s">
        <v>105</v>
      </c>
      <c r="C1777" s="55" t="s">
        <v>1892</v>
      </c>
      <c r="D1777" s="111">
        <v>46183.0</v>
      </c>
      <c r="E1777" s="52">
        <v>2100.0</v>
      </c>
      <c r="F1777" s="55" t="s">
        <v>1561</v>
      </c>
      <c r="G1777" s="55">
        <v>922.0</v>
      </c>
      <c r="H1777" s="26"/>
      <c r="I1777" s="26" t="s">
        <v>107</v>
      </c>
      <c r="J1777" s="26" t="s">
        <v>1225</v>
      </c>
      <c r="K1777" s="26" t="s">
        <v>1562</v>
      </c>
      <c r="L1777" s="26" t="s">
        <v>1603</v>
      </c>
      <c r="M1777" s="26" t="s">
        <v>1575</v>
      </c>
      <c r="N1777" s="26" t="s">
        <v>1571</v>
      </c>
      <c r="O1777" s="26" t="s">
        <v>1566</v>
      </c>
      <c r="P1777" s="26" t="s">
        <v>22</v>
      </c>
      <c r="Q1777" s="26">
        <v>1200.0</v>
      </c>
    </row>
    <row r="1778" ht="17.25" customHeight="1">
      <c r="A1778" s="51">
        <v>46191.67209623843</v>
      </c>
      <c r="B1778" s="25" t="s">
        <v>1306</v>
      </c>
      <c r="C1778" s="55" t="s">
        <v>1892</v>
      </c>
      <c r="D1778" s="111">
        <v>46183.0</v>
      </c>
      <c r="E1778" s="52">
        <v>5000.0</v>
      </c>
      <c r="F1778" s="55" t="s">
        <v>1561</v>
      </c>
      <c r="G1778" s="55">
        <v>923.0</v>
      </c>
      <c r="H1778" s="26"/>
      <c r="I1778" s="26" t="s">
        <v>1307</v>
      </c>
      <c r="J1778" s="26" t="s">
        <v>1225</v>
      </c>
      <c r="K1778" s="26" t="s">
        <v>1653</v>
      </c>
      <c r="L1778" s="26" t="s">
        <v>1591</v>
      </c>
      <c r="M1778" s="26" t="s">
        <v>1572</v>
      </c>
      <c r="N1778" s="26" t="s">
        <v>1566</v>
      </c>
      <c r="O1778" s="26" t="s">
        <v>1654</v>
      </c>
      <c r="P1778" s="26" t="s">
        <v>22</v>
      </c>
      <c r="Q1778" s="26">
        <v>1048.0</v>
      </c>
    </row>
    <row r="1779" ht="17.25" customHeight="1">
      <c r="A1779" s="51">
        <v>46191.67635513889</v>
      </c>
      <c r="B1779" s="27" t="s">
        <v>1310</v>
      </c>
      <c r="C1779" s="55" t="s">
        <v>1560</v>
      </c>
      <c r="D1779" s="111">
        <v>46180.0</v>
      </c>
      <c r="E1779" s="52">
        <v>8425.0</v>
      </c>
      <c r="F1779" s="55" t="s">
        <v>1561</v>
      </c>
      <c r="G1779" s="55" t="s">
        <v>2335</v>
      </c>
      <c r="H1779" s="26"/>
      <c r="I1779" s="26" t="s">
        <v>1311</v>
      </c>
      <c r="J1779" s="26" t="s">
        <v>1225</v>
      </c>
      <c r="K1779" s="26" t="s">
        <v>1896</v>
      </c>
      <c r="L1779" s="26" t="s">
        <v>2188</v>
      </c>
      <c r="M1779" s="26" t="s">
        <v>1572</v>
      </c>
      <c r="N1779" s="26" t="s">
        <v>1566</v>
      </c>
      <c r="O1779" s="26" t="s">
        <v>1654</v>
      </c>
      <c r="P1779" s="26" t="s">
        <v>22</v>
      </c>
      <c r="Q1779" s="26">
        <v>3225.0</v>
      </c>
    </row>
    <row r="1780" ht="17.25" customHeight="1">
      <c r="A1780" s="51">
        <v>46191.67740731481</v>
      </c>
      <c r="B1780" s="26" t="s">
        <v>2023</v>
      </c>
      <c r="C1780" s="55" t="s">
        <v>1560</v>
      </c>
      <c r="D1780" s="111">
        <v>46180.0</v>
      </c>
      <c r="E1780" s="52">
        <v>4740.0</v>
      </c>
      <c r="F1780" s="55" t="s">
        <v>1561</v>
      </c>
      <c r="G1780" s="55" t="s">
        <v>2335</v>
      </c>
      <c r="H1780" s="26"/>
      <c r="I1780" s="26" t="s">
        <v>2024</v>
      </c>
      <c r="J1780" s="26" t="s">
        <v>1225</v>
      </c>
      <c r="K1780" s="26" t="s">
        <v>1896</v>
      </c>
      <c r="L1780" s="26" t="s">
        <v>2189</v>
      </c>
      <c r="M1780" s="26" t="s">
        <v>1572</v>
      </c>
      <c r="N1780" s="26" t="s">
        <v>1566</v>
      </c>
      <c r="O1780" s="26" t="s">
        <v>1654</v>
      </c>
      <c r="P1780" s="26" t="s">
        <v>22</v>
      </c>
      <c r="Q1780" s="26">
        <v>0.0</v>
      </c>
    </row>
    <row r="1781" ht="17.25" customHeight="1">
      <c r="A1781" s="51">
        <v>46191.67791846065</v>
      </c>
      <c r="B1781" s="27" t="s">
        <v>1310</v>
      </c>
      <c r="C1781" s="55" t="s">
        <v>1892</v>
      </c>
      <c r="D1781" s="111">
        <v>46184.0</v>
      </c>
      <c r="E1781" s="52">
        <v>5200.0</v>
      </c>
      <c r="F1781" s="55" t="s">
        <v>1561</v>
      </c>
      <c r="G1781" s="55">
        <v>926.0</v>
      </c>
      <c r="H1781" s="26"/>
      <c r="I1781" s="26" t="s">
        <v>1311</v>
      </c>
      <c r="J1781" s="26" t="s">
        <v>1225</v>
      </c>
      <c r="K1781" s="26" t="s">
        <v>1896</v>
      </c>
      <c r="L1781" s="26" t="s">
        <v>2188</v>
      </c>
      <c r="M1781" s="26" t="s">
        <v>1572</v>
      </c>
      <c r="N1781" s="26" t="s">
        <v>1566</v>
      </c>
      <c r="O1781" s="26" t="s">
        <v>1654</v>
      </c>
      <c r="P1781" s="26" t="s">
        <v>22</v>
      </c>
      <c r="Q1781" s="26">
        <v>3225.0</v>
      </c>
    </row>
    <row r="1782" ht="17.25" customHeight="1">
      <c r="A1782" s="51">
        <v>46191.677929247686</v>
      </c>
      <c r="B1782" s="26" t="s">
        <v>2023</v>
      </c>
      <c r="C1782" s="55" t="s">
        <v>1892</v>
      </c>
      <c r="D1782" s="111">
        <v>46184.0</v>
      </c>
      <c r="E1782" s="52">
        <v>4740.0</v>
      </c>
      <c r="F1782" s="55" t="s">
        <v>1561</v>
      </c>
      <c r="G1782" s="55">
        <v>927.0</v>
      </c>
      <c r="H1782" s="26"/>
      <c r="I1782" s="26" t="s">
        <v>2024</v>
      </c>
      <c r="J1782" s="26" t="s">
        <v>1225</v>
      </c>
      <c r="K1782" s="26" t="s">
        <v>1896</v>
      </c>
      <c r="L1782" s="26" t="s">
        <v>2189</v>
      </c>
      <c r="M1782" s="26" t="s">
        <v>1572</v>
      </c>
      <c r="N1782" s="26" t="s">
        <v>1566</v>
      </c>
      <c r="O1782" s="26" t="s">
        <v>1654</v>
      </c>
      <c r="P1782" s="26" t="s">
        <v>22</v>
      </c>
      <c r="Q1782" s="26">
        <v>0.0</v>
      </c>
    </row>
    <row r="1783" ht="17.25" customHeight="1">
      <c r="A1783" s="51">
        <v>46191.67867689815</v>
      </c>
      <c r="B1783" s="25" t="s">
        <v>734</v>
      </c>
      <c r="C1783" s="55" t="s">
        <v>1892</v>
      </c>
      <c r="D1783" s="111">
        <v>46184.0</v>
      </c>
      <c r="E1783" s="52">
        <v>2200.0</v>
      </c>
      <c r="F1783" s="55" t="s">
        <v>1561</v>
      </c>
      <c r="G1783" s="55">
        <v>928.0</v>
      </c>
      <c r="H1783" s="26"/>
      <c r="I1783" s="26" t="s">
        <v>736</v>
      </c>
      <c r="J1783" s="26" t="s">
        <v>1225</v>
      </c>
      <c r="K1783" s="26" t="s">
        <v>1562</v>
      </c>
      <c r="L1783" s="26" t="s">
        <v>1591</v>
      </c>
      <c r="M1783" s="26" t="s">
        <v>1564</v>
      </c>
      <c r="N1783" s="26" t="s">
        <v>1566</v>
      </c>
      <c r="O1783" s="26" t="s">
        <v>1566</v>
      </c>
      <c r="P1783" s="26" t="s">
        <v>22</v>
      </c>
      <c r="Q1783" s="26">
        <v>1000.0</v>
      </c>
    </row>
    <row r="1784" ht="17.25" customHeight="1">
      <c r="A1784" s="51">
        <v>46191.680150115746</v>
      </c>
      <c r="B1784" s="25" t="s">
        <v>123</v>
      </c>
      <c r="C1784" s="55" t="s">
        <v>1892</v>
      </c>
      <c r="D1784" s="111">
        <v>46184.0</v>
      </c>
      <c r="E1784" s="52">
        <v>1000.0</v>
      </c>
      <c r="F1784" s="55" t="s">
        <v>1561</v>
      </c>
      <c r="G1784" s="55">
        <v>929.0</v>
      </c>
      <c r="H1784" s="26"/>
      <c r="I1784" s="26" t="s">
        <v>124</v>
      </c>
      <c r="J1784" s="26" t="s">
        <v>1225</v>
      </c>
      <c r="K1784" s="26" t="s">
        <v>1562</v>
      </c>
      <c r="L1784" s="26" t="s">
        <v>1587</v>
      </c>
      <c r="M1784" s="26" t="s">
        <v>1575</v>
      </c>
      <c r="N1784" s="26" t="s">
        <v>1566</v>
      </c>
      <c r="O1784" s="26" t="s">
        <v>1571</v>
      </c>
      <c r="P1784" s="26" t="s">
        <v>22</v>
      </c>
      <c r="Q1784" s="26">
        <v>1600.0</v>
      </c>
    </row>
    <row r="1785" ht="17.25" customHeight="1">
      <c r="A1785" s="51">
        <v>46191.68392966435</v>
      </c>
      <c r="B1785" s="25" t="s">
        <v>61</v>
      </c>
      <c r="C1785" s="55" t="s">
        <v>1892</v>
      </c>
      <c r="D1785" s="111">
        <v>46184.0</v>
      </c>
      <c r="E1785" s="52">
        <v>800.0</v>
      </c>
      <c r="F1785" s="55" t="s">
        <v>1561</v>
      </c>
      <c r="G1785" s="55">
        <v>930.0</v>
      </c>
      <c r="H1785" s="26"/>
      <c r="I1785" s="26" t="s">
        <v>62</v>
      </c>
      <c r="J1785" s="26" t="s">
        <v>1225</v>
      </c>
      <c r="K1785" s="26" t="s">
        <v>1562</v>
      </c>
      <c r="L1785" s="26" t="s">
        <v>1600</v>
      </c>
      <c r="M1785" s="26" t="s">
        <v>1575</v>
      </c>
      <c r="N1785" s="26" t="s">
        <v>1566</v>
      </c>
      <c r="O1785" s="26" t="s">
        <v>2160</v>
      </c>
      <c r="P1785" s="26" t="s">
        <v>22</v>
      </c>
      <c r="Q1785" s="26">
        <v>0.0</v>
      </c>
    </row>
    <row r="1786" ht="17.25" customHeight="1">
      <c r="A1786" s="51">
        <v>46191.68535508102</v>
      </c>
      <c r="B1786" s="25" t="s">
        <v>91</v>
      </c>
      <c r="C1786" s="55" t="s">
        <v>1892</v>
      </c>
      <c r="D1786" s="111">
        <v>46184.0</v>
      </c>
      <c r="E1786" s="52">
        <v>1000.0</v>
      </c>
      <c r="F1786" s="55" t="s">
        <v>1561</v>
      </c>
      <c r="G1786" s="55">
        <v>931.0</v>
      </c>
      <c r="H1786" s="26"/>
      <c r="I1786" s="26" t="s">
        <v>92</v>
      </c>
      <c r="J1786" s="26" t="s">
        <v>1225</v>
      </c>
      <c r="K1786" s="26" t="s">
        <v>1562</v>
      </c>
      <c r="L1786" s="26" t="s">
        <v>1576</v>
      </c>
      <c r="M1786" s="26" t="s">
        <v>1572</v>
      </c>
      <c r="N1786" s="26" t="s">
        <v>1566</v>
      </c>
      <c r="O1786" s="26" t="s">
        <v>1566</v>
      </c>
      <c r="P1786" s="26" t="s">
        <v>22</v>
      </c>
      <c r="Q1786" s="26">
        <v>1400.0</v>
      </c>
    </row>
    <row r="1787" ht="17.25" customHeight="1">
      <c r="A1787" s="51">
        <v>46191.68598023149</v>
      </c>
      <c r="B1787" s="25" t="s">
        <v>1240</v>
      </c>
      <c r="C1787" s="55" t="s">
        <v>1892</v>
      </c>
      <c r="D1787" s="111">
        <v>46184.0</v>
      </c>
      <c r="E1787" s="52">
        <v>500.0</v>
      </c>
      <c r="F1787" s="55" t="s">
        <v>1561</v>
      </c>
      <c r="G1787" s="55">
        <v>931.0</v>
      </c>
      <c r="H1787" s="26"/>
      <c r="I1787" s="26" t="s">
        <v>1241</v>
      </c>
      <c r="J1787" s="26" t="s">
        <v>1225</v>
      </c>
      <c r="K1787" s="26" t="s">
        <v>1562</v>
      </c>
      <c r="L1787" s="26" t="s">
        <v>1633</v>
      </c>
      <c r="M1787" s="26" t="s">
        <v>1586</v>
      </c>
      <c r="N1787" s="26" t="s">
        <v>1566</v>
      </c>
      <c r="O1787" s="26" t="s">
        <v>1566</v>
      </c>
      <c r="P1787" s="26" t="s">
        <v>22</v>
      </c>
      <c r="Q1787" s="26">
        <v>700.0</v>
      </c>
    </row>
    <row r="1788" ht="17.25" customHeight="1">
      <c r="A1788" s="51">
        <v>46191.685978194444</v>
      </c>
      <c r="B1788" s="25" t="s">
        <v>1240</v>
      </c>
      <c r="C1788" s="55" t="s">
        <v>1892</v>
      </c>
      <c r="D1788" s="111">
        <v>46184.0</v>
      </c>
      <c r="E1788" s="52">
        <v>400.0</v>
      </c>
      <c r="F1788" s="55" t="s">
        <v>1561</v>
      </c>
      <c r="G1788" s="55">
        <v>932.0</v>
      </c>
      <c r="I1788" s="25" t="s">
        <v>1241</v>
      </c>
      <c r="J1788" s="26" t="s">
        <v>1225</v>
      </c>
      <c r="K1788" s="26" t="s">
        <v>1562</v>
      </c>
      <c r="L1788" s="26" t="s">
        <v>1633</v>
      </c>
      <c r="M1788" s="26" t="s">
        <v>1586</v>
      </c>
      <c r="N1788" s="26" t="s">
        <v>1566</v>
      </c>
      <c r="O1788" s="26" t="s">
        <v>1566</v>
      </c>
      <c r="P1788" s="26" t="s">
        <v>22</v>
      </c>
      <c r="Q1788" s="26">
        <v>700.0</v>
      </c>
    </row>
    <row r="1789" ht="17.25" customHeight="1">
      <c r="A1789" s="51">
        <v>46191.68708908565</v>
      </c>
      <c r="B1789" s="25" t="s">
        <v>913</v>
      </c>
      <c r="C1789" s="55" t="s">
        <v>1892</v>
      </c>
      <c r="D1789" s="111">
        <v>46185.0</v>
      </c>
      <c r="E1789" s="52">
        <v>400.0</v>
      </c>
      <c r="F1789" s="55" t="s">
        <v>1561</v>
      </c>
      <c r="G1789" s="55">
        <v>933.0</v>
      </c>
      <c r="H1789" s="26"/>
      <c r="I1789" s="26" t="s">
        <v>915</v>
      </c>
      <c r="J1789" s="26" t="s">
        <v>1225</v>
      </c>
      <c r="K1789" s="26" t="s">
        <v>1562</v>
      </c>
      <c r="L1789" s="26" t="s">
        <v>1633</v>
      </c>
      <c r="M1789" s="26" t="s">
        <v>1564</v>
      </c>
      <c r="N1789" s="26" t="s">
        <v>1571</v>
      </c>
      <c r="O1789" s="26" t="s">
        <v>1566</v>
      </c>
      <c r="P1789" s="26" t="s">
        <v>22</v>
      </c>
      <c r="Q1789" s="26">
        <v>0.0</v>
      </c>
    </row>
    <row r="1790" ht="17.25" customHeight="1">
      <c r="A1790" s="51">
        <v>46191.68860300926</v>
      </c>
      <c r="B1790" s="25" t="s">
        <v>105</v>
      </c>
      <c r="C1790" s="55" t="s">
        <v>1892</v>
      </c>
      <c r="D1790" s="111">
        <v>46185.0</v>
      </c>
      <c r="E1790" s="52">
        <v>1800.0</v>
      </c>
      <c r="F1790" s="55" t="s">
        <v>1561</v>
      </c>
      <c r="G1790" s="55">
        <v>935.0</v>
      </c>
      <c r="H1790" s="26"/>
      <c r="I1790" s="26" t="s">
        <v>107</v>
      </c>
      <c r="J1790" s="26" t="s">
        <v>1225</v>
      </c>
      <c r="K1790" s="26" t="s">
        <v>1562</v>
      </c>
      <c r="L1790" s="26" t="s">
        <v>1603</v>
      </c>
      <c r="M1790" s="26" t="s">
        <v>1575</v>
      </c>
      <c r="N1790" s="26" t="s">
        <v>1571</v>
      </c>
      <c r="O1790" s="26" t="s">
        <v>1566</v>
      </c>
      <c r="P1790" s="26" t="s">
        <v>22</v>
      </c>
      <c r="Q1790" s="26">
        <v>1200.0</v>
      </c>
    </row>
    <row r="1791" ht="17.25" customHeight="1">
      <c r="A1791" s="51">
        <v>46191.69065283565</v>
      </c>
      <c r="B1791" s="25" t="s">
        <v>1752</v>
      </c>
      <c r="C1791" s="55" t="s">
        <v>1892</v>
      </c>
      <c r="D1791" s="111">
        <v>46185.0</v>
      </c>
      <c r="E1791" s="52">
        <v>2700.0</v>
      </c>
      <c r="F1791" s="55" t="s">
        <v>1561</v>
      </c>
      <c r="G1791" s="55">
        <v>937.0</v>
      </c>
      <c r="H1791" s="26"/>
      <c r="I1791" s="26" t="s">
        <v>1753</v>
      </c>
      <c r="J1791" s="26" t="s">
        <v>1225</v>
      </c>
      <c r="K1791" s="26" t="s">
        <v>1562</v>
      </c>
      <c r="L1791" s="26" t="s">
        <v>1573</v>
      </c>
      <c r="M1791" s="26" t="s">
        <v>2172</v>
      </c>
      <c r="N1791" s="26" t="s">
        <v>1566</v>
      </c>
      <c r="O1791" s="26" t="s">
        <v>1566</v>
      </c>
      <c r="P1791" s="26" t="s">
        <v>22</v>
      </c>
      <c r="Q1791" s="26">
        <v>0.0</v>
      </c>
    </row>
    <row r="1792" ht="17.25" customHeight="1">
      <c r="A1792" s="51">
        <v>46191.69158711805</v>
      </c>
      <c r="B1792" s="25" t="s">
        <v>1741</v>
      </c>
      <c r="C1792" s="55" t="s">
        <v>1892</v>
      </c>
      <c r="D1792" s="111">
        <v>46185.0</v>
      </c>
      <c r="E1792" s="52">
        <v>800.0</v>
      </c>
      <c r="F1792" s="55" t="s">
        <v>1561</v>
      </c>
      <c r="G1792" s="55">
        <v>939.0</v>
      </c>
      <c r="H1792" s="26"/>
      <c r="I1792" s="26" t="s">
        <v>1742</v>
      </c>
      <c r="J1792" s="26" t="s">
        <v>1225</v>
      </c>
      <c r="K1792" s="26" t="s">
        <v>1562</v>
      </c>
      <c r="L1792" s="26" t="s">
        <v>1656</v>
      </c>
      <c r="M1792" s="26" t="s">
        <v>1575</v>
      </c>
      <c r="N1792" s="26" t="s">
        <v>1566</v>
      </c>
      <c r="O1792" s="26" t="s">
        <v>1566</v>
      </c>
      <c r="P1792" s="26" t="s">
        <v>22</v>
      </c>
      <c r="Q1792" s="26">
        <v>0.0</v>
      </c>
    </row>
    <row r="1793" ht="17.25" customHeight="1">
      <c r="A1793" s="51">
        <v>46191.6971709375</v>
      </c>
      <c r="B1793" s="25" t="s">
        <v>1272</v>
      </c>
      <c r="C1793" s="55" t="s">
        <v>1892</v>
      </c>
      <c r="D1793" s="111">
        <v>46185.0</v>
      </c>
      <c r="E1793" s="52">
        <v>3300.0</v>
      </c>
      <c r="F1793" s="55" t="s">
        <v>1561</v>
      </c>
      <c r="G1793" s="55">
        <v>940.0</v>
      </c>
      <c r="H1793" s="26"/>
      <c r="I1793" s="26" t="s">
        <v>1273</v>
      </c>
      <c r="J1793" s="26" t="s">
        <v>1225</v>
      </c>
      <c r="K1793" s="26" t="s">
        <v>1562</v>
      </c>
      <c r="L1793" s="26" t="s">
        <v>2182</v>
      </c>
      <c r="M1793" s="26" t="s">
        <v>1607</v>
      </c>
      <c r="N1793" s="26" t="s">
        <v>1566</v>
      </c>
      <c r="O1793" s="26" t="s">
        <v>1566</v>
      </c>
      <c r="P1793" s="26" t="s">
        <v>22</v>
      </c>
      <c r="Q1793" s="26">
        <v>3887.0</v>
      </c>
    </row>
    <row r="1794" ht="17.25" customHeight="1">
      <c r="A1794" s="51">
        <v>46191.7056928588</v>
      </c>
      <c r="B1794" s="25" t="s">
        <v>105</v>
      </c>
      <c r="C1794" s="55" t="s">
        <v>1892</v>
      </c>
      <c r="D1794" s="111">
        <v>46185.0</v>
      </c>
      <c r="E1794" s="52">
        <v>800.0</v>
      </c>
      <c r="F1794" s="55" t="s">
        <v>1561</v>
      </c>
      <c r="G1794" s="55">
        <v>936.0</v>
      </c>
      <c r="H1794" s="26"/>
      <c r="I1794" s="26" t="s">
        <v>107</v>
      </c>
      <c r="J1794" s="26" t="s">
        <v>1225</v>
      </c>
      <c r="K1794" s="26" t="s">
        <v>1562</v>
      </c>
      <c r="L1794" s="26" t="s">
        <v>1603</v>
      </c>
      <c r="M1794" s="26" t="s">
        <v>1575</v>
      </c>
      <c r="N1794" s="26" t="s">
        <v>1571</v>
      </c>
      <c r="O1794" s="26" t="s">
        <v>1566</v>
      </c>
      <c r="P1794" s="26" t="s">
        <v>22</v>
      </c>
      <c r="Q1794" s="26">
        <v>1200.0</v>
      </c>
    </row>
    <row r="1795" ht="17.25" customHeight="1">
      <c r="A1795" s="51">
        <v>46191.723548344904</v>
      </c>
      <c r="B1795" s="25" t="s">
        <v>48</v>
      </c>
      <c r="C1795" s="55" t="s">
        <v>1892</v>
      </c>
      <c r="D1795" s="111">
        <v>46185.0</v>
      </c>
      <c r="E1795" s="52">
        <v>500.0</v>
      </c>
      <c r="F1795" s="55" t="s">
        <v>1561</v>
      </c>
      <c r="G1795" s="55">
        <v>941.0</v>
      </c>
      <c r="H1795" s="26"/>
      <c r="I1795" s="26" t="s">
        <v>49</v>
      </c>
      <c r="J1795" s="26" t="s">
        <v>1225</v>
      </c>
      <c r="K1795" s="26" t="s">
        <v>1562</v>
      </c>
      <c r="L1795" s="26" t="s">
        <v>1582</v>
      </c>
      <c r="M1795" s="26" t="s">
        <v>1574</v>
      </c>
      <c r="N1795" s="26" t="s">
        <v>1571</v>
      </c>
      <c r="O1795" s="26" t="s">
        <v>1566</v>
      </c>
      <c r="P1795" s="26" t="s">
        <v>22</v>
      </c>
      <c r="Q1795" s="26">
        <v>30.0</v>
      </c>
    </row>
    <row r="1796" ht="17.25" customHeight="1">
      <c r="A1796" s="51">
        <v>46191.728499687495</v>
      </c>
      <c r="B1796" s="25" t="s">
        <v>83</v>
      </c>
      <c r="C1796" s="55" t="s">
        <v>1892</v>
      </c>
      <c r="D1796" s="111">
        <v>46189.0</v>
      </c>
      <c r="E1796" s="52">
        <v>800.0</v>
      </c>
      <c r="F1796" s="55" t="s">
        <v>1561</v>
      </c>
      <c r="G1796" s="55">
        <v>945.0</v>
      </c>
      <c r="H1796" s="26"/>
      <c r="I1796" s="26" t="s">
        <v>84</v>
      </c>
      <c r="J1796" s="26" t="s">
        <v>1225</v>
      </c>
      <c r="K1796" s="26" t="s">
        <v>1562</v>
      </c>
      <c r="L1796" s="26" t="s">
        <v>1600</v>
      </c>
      <c r="M1796" s="26" t="s">
        <v>1597</v>
      </c>
      <c r="N1796" s="26" t="s">
        <v>1571</v>
      </c>
      <c r="O1796" s="26" t="s">
        <v>1566</v>
      </c>
      <c r="P1796" s="26" t="s">
        <v>22</v>
      </c>
      <c r="Q1796" s="26">
        <v>2000.0</v>
      </c>
    </row>
    <row r="1797" ht="17.25" customHeight="1">
      <c r="A1797" s="51">
        <v>46191.72912721065</v>
      </c>
      <c r="B1797" s="25" t="s">
        <v>79</v>
      </c>
      <c r="C1797" s="55" t="s">
        <v>1892</v>
      </c>
      <c r="D1797" s="111">
        <v>46189.0</v>
      </c>
      <c r="E1797" s="52">
        <v>800.0</v>
      </c>
      <c r="F1797" s="55" t="s">
        <v>1561</v>
      </c>
      <c r="G1797" s="55" t="s">
        <v>2336</v>
      </c>
      <c r="H1797" s="26"/>
      <c r="I1797" s="26" t="s">
        <v>80</v>
      </c>
      <c r="J1797" s="26" t="s">
        <v>1225</v>
      </c>
      <c r="K1797" s="26" t="s">
        <v>1562</v>
      </c>
      <c r="L1797" s="26" t="s">
        <v>1563</v>
      </c>
      <c r="M1797" s="26" t="s">
        <v>1575</v>
      </c>
      <c r="N1797" s="26" t="s">
        <v>1566</v>
      </c>
      <c r="O1797" s="26" t="s">
        <v>1566</v>
      </c>
      <c r="P1797" s="26" t="s">
        <v>22</v>
      </c>
      <c r="Q1797" s="26">
        <v>700.0</v>
      </c>
    </row>
    <row r="1798" ht="17.25" customHeight="1">
      <c r="A1798" s="51">
        <v>46191.72912721065</v>
      </c>
      <c r="B1798" s="25" t="s">
        <v>1299</v>
      </c>
      <c r="C1798" s="55" t="s">
        <v>1892</v>
      </c>
      <c r="D1798" s="111">
        <v>46190.0</v>
      </c>
      <c r="E1798" s="52">
        <v>1008.0</v>
      </c>
      <c r="F1798" s="55" t="s">
        <v>1561</v>
      </c>
      <c r="G1798" s="55">
        <v>947.0</v>
      </c>
      <c r="H1798" s="26"/>
      <c r="I1798" s="26" t="s">
        <v>1300</v>
      </c>
      <c r="J1798" s="26" t="s">
        <v>1225</v>
      </c>
      <c r="K1798" s="26" t="s">
        <v>1653</v>
      </c>
      <c r="L1798" s="26" t="s">
        <v>1656</v>
      </c>
      <c r="M1798" s="26" t="s">
        <v>2187</v>
      </c>
      <c r="N1798" s="26" t="s">
        <v>1566</v>
      </c>
      <c r="O1798" s="26" t="s">
        <v>1654</v>
      </c>
      <c r="P1798" s="26" t="s">
        <v>22</v>
      </c>
      <c r="Q1798" s="26">
        <v>560.0</v>
      </c>
    </row>
    <row r="1799" ht="17.25" customHeight="1">
      <c r="A1799" s="51">
        <v>46191.730570196756</v>
      </c>
      <c r="B1799" s="25" t="s">
        <v>1302</v>
      </c>
      <c r="C1799" s="55" t="s">
        <v>1892</v>
      </c>
      <c r="D1799" s="111">
        <v>46190.0</v>
      </c>
      <c r="E1799" s="52">
        <v>2016.0</v>
      </c>
      <c r="F1799" s="55" t="s">
        <v>1561</v>
      </c>
      <c r="G1799" s="55">
        <v>948.0</v>
      </c>
      <c r="H1799" s="26"/>
      <c r="I1799" s="26" t="s">
        <v>1303</v>
      </c>
      <c r="J1799" s="26" t="s">
        <v>1225</v>
      </c>
      <c r="K1799" s="26" t="s">
        <v>1653</v>
      </c>
      <c r="L1799" s="26" t="s">
        <v>1563</v>
      </c>
      <c r="M1799" s="26" t="s">
        <v>2187</v>
      </c>
      <c r="N1799" s="26" t="s">
        <v>1566</v>
      </c>
      <c r="O1799" s="26" t="s">
        <v>1654</v>
      </c>
      <c r="P1799" s="26" t="s">
        <v>22</v>
      </c>
      <c r="Q1799" s="26">
        <v>1000.0</v>
      </c>
    </row>
    <row r="1800" ht="17.25" customHeight="1">
      <c r="A1800" s="51">
        <v>46191.73102747685</v>
      </c>
      <c r="B1800" s="25" t="s">
        <v>2021</v>
      </c>
      <c r="C1800" s="55" t="s">
        <v>1892</v>
      </c>
      <c r="D1800" s="111">
        <v>46190.0</v>
      </c>
      <c r="E1800" s="52">
        <v>504.0</v>
      </c>
      <c r="F1800" s="55" t="s">
        <v>1561</v>
      </c>
      <c r="G1800" s="55">
        <v>949.0</v>
      </c>
      <c r="H1800" s="26"/>
      <c r="I1800" s="26" t="s">
        <v>2022</v>
      </c>
      <c r="J1800" s="26" t="s">
        <v>1225</v>
      </c>
      <c r="K1800" s="26" t="s">
        <v>1653</v>
      </c>
      <c r="L1800" s="26" t="s">
        <v>1600</v>
      </c>
      <c r="M1800" s="26" t="s">
        <v>2187</v>
      </c>
      <c r="N1800" s="26" t="s">
        <v>1566</v>
      </c>
      <c r="O1800" s="26" t="s">
        <v>1654</v>
      </c>
      <c r="P1800" s="26" t="s">
        <v>22</v>
      </c>
      <c r="Q1800" s="26">
        <v>0.0</v>
      </c>
    </row>
    <row r="1801" ht="17.25" customHeight="1">
      <c r="A1801" s="51">
        <v>46191.731085810185</v>
      </c>
      <c r="B1801" s="25" t="s">
        <v>2021</v>
      </c>
      <c r="C1801" s="55" t="s">
        <v>1892</v>
      </c>
      <c r="D1801" s="111">
        <v>46190.0</v>
      </c>
      <c r="E1801" s="52">
        <v>504.0</v>
      </c>
      <c r="F1801" s="55" t="s">
        <v>1561</v>
      </c>
      <c r="G1801" s="55">
        <v>950.0</v>
      </c>
      <c r="H1801" s="26"/>
      <c r="I1801" s="26" t="s">
        <v>2022</v>
      </c>
      <c r="J1801" s="26" t="s">
        <v>1225</v>
      </c>
      <c r="K1801" s="26" t="s">
        <v>1653</v>
      </c>
      <c r="L1801" s="26" t="s">
        <v>1600</v>
      </c>
      <c r="M1801" s="26" t="s">
        <v>2187</v>
      </c>
      <c r="N1801" s="26" t="s">
        <v>1566</v>
      </c>
      <c r="O1801" s="26" t="s">
        <v>1654</v>
      </c>
      <c r="P1801" s="26" t="s">
        <v>22</v>
      </c>
      <c r="Q1801" s="26">
        <v>0.0</v>
      </c>
    </row>
    <row r="1802" ht="17.25" customHeight="1">
      <c r="A1802" s="51">
        <v>46191.731085810185</v>
      </c>
      <c r="B1802" s="23" t="s">
        <v>359</v>
      </c>
      <c r="C1802" s="55" t="s">
        <v>1892</v>
      </c>
      <c r="D1802" s="111">
        <v>46190.0</v>
      </c>
      <c r="E1802" s="52">
        <v>40.0</v>
      </c>
      <c r="F1802" s="55" t="s">
        <v>2328</v>
      </c>
      <c r="G1802" s="55" t="s">
        <v>2096</v>
      </c>
      <c r="H1802" s="26"/>
      <c r="I1802" s="26" t="s">
        <v>370</v>
      </c>
      <c r="J1802" s="26" t="s">
        <v>370</v>
      </c>
      <c r="K1802" s="26" t="s">
        <v>370</v>
      </c>
      <c r="L1802" s="26" t="s">
        <v>1566</v>
      </c>
      <c r="M1802" s="26" t="s">
        <v>1566</v>
      </c>
      <c r="N1802" s="26" t="s">
        <v>1566</v>
      </c>
      <c r="O1802" s="26" t="s">
        <v>1566</v>
      </c>
      <c r="P1802" s="26" t="s">
        <v>661</v>
      </c>
      <c r="Q1802" s="26">
        <v>100.0</v>
      </c>
    </row>
    <row r="1803" ht="17.25" customHeight="1">
      <c r="A1803" s="51">
        <v>46192.43256087963</v>
      </c>
      <c r="B1803" s="25" t="s">
        <v>598</v>
      </c>
      <c r="C1803" s="55" t="s">
        <v>1892</v>
      </c>
      <c r="D1803" s="51">
        <v>46192.43256087963</v>
      </c>
      <c r="E1803" s="52">
        <v>5.0</v>
      </c>
      <c r="F1803" s="55" t="s">
        <v>2169</v>
      </c>
      <c r="G1803" s="26"/>
      <c r="H1803" s="26"/>
      <c r="I1803" s="26" t="s">
        <v>604</v>
      </c>
      <c r="J1803" s="26" t="s">
        <v>1812</v>
      </c>
      <c r="K1803" s="26" t="s">
        <v>1815</v>
      </c>
      <c r="L1803" s="26" t="s">
        <v>1566</v>
      </c>
      <c r="M1803" s="26" t="s">
        <v>1566</v>
      </c>
      <c r="N1803" s="26" t="s">
        <v>1566</v>
      </c>
      <c r="O1803" s="26" t="s">
        <v>1812</v>
      </c>
      <c r="P1803" s="26" t="s">
        <v>616</v>
      </c>
      <c r="Q1803" s="26">
        <v>15.0</v>
      </c>
    </row>
    <row r="1804" ht="17.25" customHeight="1">
      <c r="A1804" s="51">
        <v>46192.43295780093</v>
      </c>
      <c r="B1804" s="25" t="s">
        <v>562</v>
      </c>
      <c r="C1804" s="55" t="s">
        <v>1892</v>
      </c>
      <c r="D1804" s="51">
        <v>46192.43256087963</v>
      </c>
      <c r="E1804" s="52">
        <v>2.0</v>
      </c>
      <c r="F1804" s="55" t="s">
        <v>2169</v>
      </c>
      <c r="G1804" s="26"/>
      <c r="H1804" s="26"/>
      <c r="I1804" s="26" t="s">
        <v>567</v>
      </c>
      <c r="J1804" s="26" t="s">
        <v>1812</v>
      </c>
      <c r="K1804" s="26" t="s">
        <v>1815</v>
      </c>
      <c r="L1804" s="26" t="s">
        <v>1566</v>
      </c>
      <c r="M1804" s="26" t="s">
        <v>1566</v>
      </c>
      <c r="N1804" s="26" t="s">
        <v>1566</v>
      </c>
      <c r="O1804" s="26" t="s">
        <v>1838</v>
      </c>
      <c r="P1804" s="26" t="s">
        <v>616</v>
      </c>
      <c r="Q1804" s="26">
        <v>4.0</v>
      </c>
    </row>
    <row r="1805" ht="17.25" customHeight="1">
      <c r="A1805" s="51">
        <v>46192.4333334375</v>
      </c>
      <c r="B1805" s="23" t="s">
        <v>301</v>
      </c>
      <c r="C1805" s="55" t="s">
        <v>1892</v>
      </c>
      <c r="D1805" s="51">
        <v>46192.43256087963</v>
      </c>
      <c r="E1805" s="52">
        <v>10.0</v>
      </c>
      <c r="F1805" s="55" t="s">
        <v>2169</v>
      </c>
      <c r="G1805" s="26"/>
      <c r="H1805" s="26"/>
      <c r="I1805" s="26" t="s">
        <v>302</v>
      </c>
      <c r="J1805" s="26" t="s">
        <v>1830</v>
      </c>
      <c r="K1805" s="26" t="s">
        <v>302</v>
      </c>
      <c r="L1805" s="26" t="s">
        <v>1566</v>
      </c>
      <c r="M1805" s="26" t="s">
        <v>1566</v>
      </c>
      <c r="N1805" s="26" t="s">
        <v>1566</v>
      </c>
      <c r="O1805" s="26" t="s">
        <v>1566</v>
      </c>
      <c r="P1805" s="26" t="s">
        <v>661</v>
      </c>
      <c r="Q1805" s="26">
        <v>580.0</v>
      </c>
    </row>
    <row r="1806" ht="17.25" customHeight="1">
      <c r="A1806" s="51">
        <v>46192.43578240741</v>
      </c>
      <c r="B1806" s="23" t="s">
        <v>301</v>
      </c>
      <c r="C1806" s="55" t="s">
        <v>1892</v>
      </c>
      <c r="D1806" s="111">
        <v>46186.0</v>
      </c>
      <c r="E1806" s="52">
        <v>100.0</v>
      </c>
      <c r="F1806" s="55" t="s">
        <v>2094</v>
      </c>
      <c r="G1806" s="26"/>
      <c r="H1806" s="26"/>
      <c r="I1806" s="26" t="s">
        <v>302</v>
      </c>
      <c r="J1806" s="26" t="s">
        <v>1830</v>
      </c>
      <c r="K1806" s="26" t="s">
        <v>302</v>
      </c>
      <c r="L1806" s="26" t="s">
        <v>1566</v>
      </c>
      <c r="M1806" s="26" t="s">
        <v>1566</v>
      </c>
      <c r="N1806" s="26" t="s">
        <v>1566</v>
      </c>
      <c r="O1806" s="26" t="s">
        <v>1566</v>
      </c>
      <c r="P1806" s="26" t="s">
        <v>661</v>
      </c>
      <c r="Q1806" s="26">
        <v>580.0</v>
      </c>
    </row>
    <row r="1807" ht="17.25" customHeight="1">
      <c r="A1807" s="51">
        <v>46192.648498078706</v>
      </c>
      <c r="B1807" s="25" t="s">
        <v>664</v>
      </c>
      <c r="C1807" s="55" t="s">
        <v>1560</v>
      </c>
      <c r="D1807" s="51">
        <v>46192.648498078706</v>
      </c>
      <c r="E1807" s="52">
        <v>4.0</v>
      </c>
      <c r="F1807" s="55" t="s">
        <v>1673</v>
      </c>
      <c r="G1807" s="26"/>
      <c r="H1807" s="26"/>
      <c r="I1807" s="26" t="s">
        <v>665</v>
      </c>
      <c r="J1807" s="26" t="s">
        <v>1674</v>
      </c>
      <c r="K1807" s="26" t="s">
        <v>1675</v>
      </c>
      <c r="L1807" s="26" t="s">
        <v>1566</v>
      </c>
      <c r="M1807" s="26" t="s">
        <v>1566</v>
      </c>
      <c r="N1807" s="26" t="s">
        <v>1565</v>
      </c>
      <c r="O1807" s="26" t="s">
        <v>1566</v>
      </c>
      <c r="P1807" s="26" t="s">
        <v>290</v>
      </c>
      <c r="Q1807" s="26">
        <v>2.0</v>
      </c>
    </row>
    <row r="1808" ht="17.25" customHeight="1">
      <c r="A1808" s="51">
        <v>46192.648498078706</v>
      </c>
      <c r="B1808" s="23" t="s">
        <v>21</v>
      </c>
      <c r="C1808" s="55" t="s">
        <v>1892</v>
      </c>
      <c r="D1808" s="111">
        <v>46184.0</v>
      </c>
      <c r="E1808" s="52">
        <v>20.0</v>
      </c>
      <c r="F1808" s="55" t="s">
        <v>2124</v>
      </c>
      <c r="G1808" s="26"/>
      <c r="H1808" s="26"/>
      <c r="I1808" s="26" t="s">
        <v>23</v>
      </c>
      <c r="J1808" s="26" t="s">
        <v>1812</v>
      </c>
      <c r="K1808" s="26" t="s">
        <v>1815</v>
      </c>
      <c r="L1808" s="26" t="s">
        <v>1566</v>
      </c>
      <c r="M1808" s="26" t="s">
        <v>1566</v>
      </c>
      <c r="N1808" s="26" t="s">
        <v>1566</v>
      </c>
      <c r="O1808" s="26" t="s">
        <v>1818</v>
      </c>
      <c r="P1808" s="26" t="s">
        <v>616</v>
      </c>
      <c r="Q1808" s="26">
        <v>20.0</v>
      </c>
    </row>
    <row r="1809" ht="17.25" customHeight="1">
      <c r="A1809" s="51">
        <v>46192.672802800924</v>
      </c>
      <c r="B1809" s="23" t="s">
        <v>21</v>
      </c>
      <c r="C1809" s="55" t="s">
        <v>1560</v>
      </c>
      <c r="D1809" s="111">
        <v>46192.0</v>
      </c>
      <c r="E1809" s="52">
        <v>40.0</v>
      </c>
      <c r="F1809" s="55" t="s">
        <v>1673</v>
      </c>
      <c r="G1809" s="26"/>
      <c r="H1809" s="26"/>
      <c r="I1809" s="26" t="s">
        <v>23</v>
      </c>
      <c r="J1809" s="26" t="s">
        <v>1812</v>
      </c>
      <c r="K1809" s="26" t="s">
        <v>1815</v>
      </c>
      <c r="L1809" s="26" t="s">
        <v>1566</v>
      </c>
      <c r="M1809" s="26" t="s">
        <v>1566</v>
      </c>
      <c r="N1809" s="26" t="s">
        <v>1566</v>
      </c>
      <c r="O1809" s="26" t="s">
        <v>1818</v>
      </c>
      <c r="P1809" s="26" t="s">
        <v>616</v>
      </c>
      <c r="Q1809" s="26">
        <v>20.0</v>
      </c>
    </row>
    <row r="1810" ht="17.25" customHeight="1">
      <c r="A1810" s="51">
        <v>46192.67335091435</v>
      </c>
      <c r="B1810" s="25" t="s">
        <v>948</v>
      </c>
      <c r="C1810" s="55" t="s">
        <v>1560</v>
      </c>
      <c r="D1810" s="111">
        <v>46192.0</v>
      </c>
      <c r="E1810" s="52">
        <v>5.0</v>
      </c>
      <c r="F1810" s="55" t="s">
        <v>1673</v>
      </c>
      <c r="G1810" s="26"/>
      <c r="H1810" s="26"/>
      <c r="I1810" s="26" t="s">
        <v>952</v>
      </c>
      <c r="J1810" s="26" t="s">
        <v>1812</v>
      </c>
      <c r="K1810" s="26" t="s">
        <v>1815</v>
      </c>
      <c r="L1810" s="26" t="s">
        <v>1566</v>
      </c>
      <c r="M1810" s="26" t="s">
        <v>1566</v>
      </c>
      <c r="N1810" s="26" t="s">
        <v>1566</v>
      </c>
      <c r="O1810" s="26" t="s">
        <v>2060</v>
      </c>
      <c r="P1810" s="26" t="s">
        <v>616</v>
      </c>
      <c r="Q1810" s="26">
        <v>5.0</v>
      </c>
    </row>
    <row r="1811" ht="17.25" customHeight="1">
      <c r="A1811" s="51">
        <v>46193.4176637037</v>
      </c>
      <c r="B1811" s="25" t="s">
        <v>355</v>
      </c>
      <c r="C1811" s="55" t="s">
        <v>1892</v>
      </c>
      <c r="D1811" s="111">
        <v>46192.0</v>
      </c>
      <c r="E1811" s="52">
        <v>4.0</v>
      </c>
      <c r="F1811" s="55" t="s">
        <v>2124</v>
      </c>
      <c r="G1811" s="26"/>
      <c r="H1811" s="26"/>
      <c r="I1811" s="26" t="s">
        <v>357</v>
      </c>
      <c r="J1811" s="26" t="s">
        <v>1674</v>
      </c>
      <c r="K1811" s="26" t="s">
        <v>1675</v>
      </c>
      <c r="L1811" s="26" t="s">
        <v>1566</v>
      </c>
      <c r="M1811" s="26" t="s">
        <v>1566</v>
      </c>
      <c r="N1811" s="26" t="s">
        <v>1682</v>
      </c>
      <c r="O1811" s="26" t="s">
        <v>1690</v>
      </c>
      <c r="P1811" s="26" t="s">
        <v>290</v>
      </c>
      <c r="Q1811" s="26">
        <v>0.0</v>
      </c>
    </row>
    <row r="1812" ht="17.25" customHeight="1">
      <c r="A1812" s="51">
        <v>46193.41822432871</v>
      </c>
      <c r="B1812" s="23" t="s">
        <v>359</v>
      </c>
      <c r="C1812" s="55" t="s">
        <v>1892</v>
      </c>
      <c r="D1812" s="111">
        <v>46190.0</v>
      </c>
      <c r="E1812" s="52">
        <v>5.0</v>
      </c>
      <c r="F1812" s="55" t="s">
        <v>2328</v>
      </c>
      <c r="G1812" s="26"/>
      <c r="H1812" s="26"/>
      <c r="I1812" s="26" t="s">
        <v>370</v>
      </c>
      <c r="J1812" s="26" t="s">
        <v>370</v>
      </c>
      <c r="K1812" s="26" t="s">
        <v>370</v>
      </c>
      <c r="L1812" s="26" t="s">
        <v>1566</v>
      </c>
      <c r="M1812" s="26" t="s">
        <v>1566</v>
      </c>
      <c r="N1812" s="26" t="s">
        <v>1566</v>
      </c>
      <c r="O1812" s="26" t="s">
        <v>1566</v>
      </c>
      <c r="P1812" s="26" t="s">
        <v>661</v>
      </c>
      <c r="Q1812" s="26">
        <v>100.0</v>
      </c>
    </row>
    <row r="1813" ht="17.25" customHeight="1">
      <c r="A1813" s="51">
        <v>46193.41824165509</v>
      </c>
      <c r="B1813" s="23" t="s">
        <v>359</v>
      </c>
      <c r="C1813" s="55" t="s">
        <v>1892</v>
      </c>
      <c r="D1813" s="111">
        <v>46192.0</v>
      </c>
      <c r="E1813" s="52">
        <v>10.0</v>
      </c>
      <c r="F1813" s="55" t="s">
        <v>2328</v>
      </c>
      <c r="G1813" s="26"/>
      <c r="H1813" s="26"/>
      <c r="I1813" s="26" t="s">
        <v>370</v>
      </c>
      <c r="J1813" s="26" t="s">
        <v>370</v>
      </c>
      <c r="K1813" s="26" t="s">
        <v>370</v>
      </c>
      <c r="L1813" s="26" t="s">
        <v>1566</v>
      </c>
      <c r="M1813" s="26" t="s">
        <v>1566</v>
      </c>
      <c r="N1813" s="26" t="s">
        <v>1566</v>
      </c>
      <c r="O1813" s="26" t="s">
        <v>1566</v>
      </c>
      <c r="P1813" s="26" t="s">
        <v>661</v>
      </c>
      <c r="Q1813" s="26">
        <v>100.0</v>
      </c>
    </row>
    <row r="1814" ht="17.25" customHeight="1">
      <c r="A1814" s="51">
        <v>46193.75170501157</v>
      </c>
      <c r="B1814" s="23" t="s">
        <v>359</v>
      </c>
      <c r="C1814" s="55" t="s">
        <v>1892</v>
      </c>
      <c r="D1814" s="51">
        <v>46193.75170501157</v>
      </c>
      <c r="E1814" s="52">
        <v>10.0</v>
      </c>
      <c r="F1814" s="55" t="s">
        <v>2328</v>
      </c>
      <c r="G1814" s="26"/>
      <c r="H1814" s="26"/>
      <c r="I1814" s="26" t="s">
        <v>370</v>
      </c>
      <c r="J1814" s="26" t="s">
        <v>370</v>
      </c>
      <c r="K1814" s="26" t="s">
        <v>370</v>
      </c>
      <c r="L1814" s="26" t="s">
        <v>1566</v>
      </c>
      <c r="M1814" s="26" t="s">
        <v>1566</v>
      </c>
      <c r="N1814" s="26" t="s">
        <v>1566</v>
      </c>
      <c r="O1814" s="26" t="s">
        <v>1566</v>
      </c>
      <c r="P1814" s="26" t="s">
        <v>661</v>
      </c>
      <c r="Q1814" s="26">
        <v>100.0</v>
      </c>
    </row>
    <row r="1815" ht="17.25" customHeight="1">
      <c r="A1815" s="51">
        <v>46193.75187491898</v>
      </c>
      <c r="B1815" s="23" t="s">
        <v>301</v>
      </c>
      <c r="C1815" s="55" t="s">
        <v>1560</v>
      </c>
      <c r="D1815" s="51">
        <v>46193.75170501157</v>
      </c>
      <c r="E1815" s="52">
        <v>500.0</v>
      </c>
      <c r="F1815" s="55" t="s">
        <v>2271</v>
      </c>
      <c r="G1815" s="26"/>
      <c r="H1815" s="26"/>
      <c r="I1815" s="26" t="s">
        <v>302</v>
      </c>
      <c r="J1815" s="26" t="s">
        <v>1830</v>
      </c>
      <c r="K1815" s="26" t="s">
        <v>302</v>
      </c>
      <c r="L1815" s="26" t="s">
        <v>1566</v>
      </c>
      <c r="M1815" s="26" t="s">
        <v>1566</v>
      </c>
      <c r="N1815" s="26" t="s">
        <v>1566</v>
      </c>
      <c r="O1815" s="26" t="s">
        <v>1566</v>
      </c>
      <c r="P1815" s="26" t="s">
        <v>661</v>
      </c>
      <c r="Q1815" s="26">
        <v>580.0</v>
      </c>
    </row>
    <row r="1816" ht="17.25" customHeight="1">
      <c r="A1816" s="51">
        <v>46193.75188326389</v>
      </c>
      <c r="B1816" s="23" t="s">
        <v>301</v>
      </c>
      <c r="C1816" s="55" t="s">
        <v>1892</v>
      </c>
      <c r="D1816" s="51">
        <v>46193.75170501157</v>
      </c>
      <c r="E1816" s="52">
        <v>10.0</v>
      </c>
      <c r="F1816" s="55" t="s">
        <v>2169</v>
      </c>
      <c r="G1816" s="26"/>
      <c r="H1816" s="26"/>
      <c r="I1816" s="26" t="s">
        <v>302</v>
      </c>
      <c r="J1816" s="26" t="s">
        <v>1830</v>
      </c>
      <c r="K1816" s="26" t="s">
        <v>302</v>
      </c>
      <c r="L1816" s="26" t="s">
        <v>1566</v>
      </c>
      <c r="M1816" s="26" t="s">
        <v>1566</v>
      </c>
      <c r="N1816" s="26" t="s">
        <v>1566</v>
      </c>
      <c r="O1816" s="26" t="s">
        <v>1566</v>
      </c>
      <c r="P1816" s="26" t="s">
        <v>661</v>
      </c>
      <c r="Q1816" s="26">
        <v>580.0</v>
      </c>
    </row>
    <row r="1817" ht="17.25" customHeight="1">
      <c r="A1817" s="51">
        <v>46199.779496250005</v>
      </c>
      <c r="B1817" s="23" t="s">
        <v>21</v>
      </c>
      <c r="C1817" s="55" t="s">
        <v>1892</v>
      </c>
      <c r="D1817" s="111">
        <v>46198.0</v>
      </c>
      <c r="E1817" s="52">
        <v>20.0</v>
      </c>
      <c r="F1817" s="55" t="s">
        <v>2169</v>
      </c>
      <c r="G1817" s="26"/>
      <c r="H1817" s="26"/>
      <c r="I1817" s="26" t="s">
        <v>23</v>
      </c>
      <c r="J1817" s="26" t="s">
        <v>1812</v>
      </c>
      <c r="K1817" s="26" t="s">
        <v>1815</v>
      </c>
      <c r="L1817" s="26" t="s">
        <v>1566</v>
      </c>
      <c r="M1817" s="26" t="s">
        <v>1566</v>
      </c>
      <c r="N1817" s="26" t="s">
        <v>1566</v>
      </c>
      <c r="O1817" s="26" t="s">
        <v>1818</v>
      </c>
      <c r="P1817" s="26" t="s">
        <v>616</v>
      </c>
      <c r="Q1817" s="26">
        <v>20.0</v>
      </c>
    </row>
    <row r="1818" ht="17.25" customHeight="1">
      <c r="A1818" s="51">
        <v>46199.7797730787</v>
      </c>
      <c r="B1818" s="25" t="s">
        <v>509</v>
      </c>
      <c r="C1818" s="55" t="s">
        <v>1560</v>
      </c>
      <c r="D1818" s="111">
        <v>46199.0</v>
      </c>
      <c r="E1818" s="52">
        <v>2.0</v>
      </c>
      <c r="F1818" s="55" t="s">
        <v>2015</v>
      </c>
      <c r="G1818" s="26"/>
      <c r="H1818" s="26"/>
      <c r="I1818" s="26" t="s">
        <v>510</v>
      </c>
      <c r="J1818" s="26" t="s">
        <v>1674</v>
      </c>
      <c r="K1818" s="26" t="s">
        <v>1691</v>
      </c>
      <c r="L1818" s="26" t="s">
        <v>1566</v>
      </c>
      <c r="M1818" s="26" t="s">
        <v>1566</v>
      </c>
      <c r="N1818" s="26" t="s">
        <v>1768</v>
      </c>
      <c r="O1818" s="26" t="s">
        <v>1769</v>
      </c>
      <c r="P1818" s="26" t="s">
        <v>290</v>
      </c>
      <c r="Q1818" s="26">
        <v>1.0</v>
      </c>
    </row>
    <row r="1819" ht="17.25" customHeight="1">
      <c r="A1819" s="51">
        <v>46199.77982506945</v>
      </c>
      <c r="B1819" s="23" t="s">
        <v>301</v>
      </c>
      <c r="C1819" s="55" t="s">
        <v>1892</v>
      </c>
      <c r="D1819" s="111">
        <v>46198.0</v>
      </c>
      <c r="E1819" s="52">
        <v>5.0</v>
      </c>
      <c r="F1819" s="55" t="s">
        <v>2124</v>
      </c>
      <c r="G1819" s="26"/>
      <c r="H1819" s="26"/>
      <c r="I1819" s="26" t="s">
        <v>302</v>
      </c>
      <c r="J1819" s="26" t="s">
        <v>1830</v>
      </c>
      <c r="K1819" s="26" t="s">
        <v>302</v>
      </c>
      <c r="L1819" s="26" t="s">
        <v>1566</v>
      </c>
      <c r="M1819" s="26" t="s">
        <v>1566</v>
      </c>
      <c r="N1819" s="26" t="s">
        <v>1566</v>
      </c>
      <c r="O1819" s="26" t="s">
        <v>1566</v>
      </c>
      <c r="P1819" s="26" t="s">
        <v>661</v>
      </c>
      <c r="Q1819" s="26">
        <v>580.0</v>
      </c>
    </row>
    <row r="1820" ht="17.25" customHeight="1">
      <c r="A1820" s="51">
        <v>46199.77983457176</v>
      </c>
      <c r="B1820" s="23" t="s">
        <v>301</v>
      </c>
      <c r="C1820" s="55" t="s">
        <v>1892</v>
      </c>
      <c r="D1820" s="111">
        <v>46199.0</v>
      </c>
      <c r="E1820" s="52">
        <v>5.0</v>
      </c>
      <c r="F1820" s="55" t="s">
        <v>2124</v>
      </c>
      <c r="G1820" s="26"/>
      <c r="H1820" s="26"/>
      <c r="I1820" s="26" t="s">
        <v>302</v>
      </c>
      <c r="J1820" s="26" t="s">
        <v>1830</v>
      </c>
      <c r="K1820" s="26" t="s">
        <v>302</v>
      </c>
      <c r="L1820" s="26" t="s">
        <v>1566</v>
      </c>
      <c r="M1820" s="26" t="s">
        <v>1566</v>
      </c>
      <c r="N1820" s="26" t="s">
        <v>1566</v>
      </c>
      <c r="O1820" s="26" t="s">
        <v>1566</v>
      </c>
      <c r="P1820" s="26" t="s">
        <v>661</v>
      </c>
      <c r="Q1820" s="26">
        <v>580.0</v>
      </c>
    </row>
    <row r="1821" ht="17.25" customHeight="1">
      <c r="A1821" s="51">
        <v>46199.77983855324</v>
      </c>
      <c r="B1821" s="23" t="s">
        <v>301</v>
      </c>
      <c r="C1821" s="55" t="s">
        <v>1892</v>
      </c>
      <c r="D1821" s="111">
        <v>46199.0</v>
      </c>
      <c r="E1821" s="52">
        <v>5.0</v>
      </c>
      <c r="F1821" s="55" t="s">
        <v>1942</v>
      </c>
      <c r="G1821" s="26"/>
      <c r="H1821" s="26"/>
      <c r="I1821" s="26" t="s">
        <v>302</v>
      </c>
      <c r="J1821" s="26" t="s">
        <v>1830</v>
      </c>
      <c r="K1821" s="26" t="s">
        <v>302</v>
      </c>
      <c r="L1821" s="26" t="s">
        <v>1566</v>
      </c>
      <c r="M1821" s="26" t="s">
        <v>1566</v>
      </c>
      <c r="N1821" s="26" t="s">
        <v>1566</v>
      </c>
      <c r="O1821" s="26" t="s">
        <v>1566</v>
      </c>
      <c r="P1821" s="26" t="s">
        <v>661</v>
      </c>
      <c r="Q1821" s="26">
        <v>580.0</v>
      </c>
    </row>
    <row r="1822" ht="17.25" customHeight="1">
      <c r="A1822" s="51">
        <v>46199.78044701389</v>
      </c>
      <c r="B1822" s="25" t="s">
        <v>682</v>
      </c>
      <c r="C1822" s="55" t="s">
        <v>1892</v>
      </c>
      <c r="D1822" s="111">
        <v>46199.0</v>
      </c>
      <c r="E1822" s="52">
        <v>2.0</v>
      </c>
      <c r="F1822" s="55" t="s">
        <v>2124</v>
      </c>
      <c r="G1822" s="26"/>
      <c r="H1822" s="26"/>
      <c r="I1822" s="26" t="s">
        <v>690</v>
      </c>
      <c r="J1822" s="26" t="s">
        <v>1830</v>
      </c>
      <c r="K1822" s="26" t="s">
        <v>1830</v>
      </c>
      <c r="L1822" s="26" t="s">
        <v>1566</v>
      </c>
      <c r="M1822" s="26" t="s">
        <v>1566</v>
      </c>
      <c r="N1822" s="26" t="s">
        <v>1566</v>
      </c>
      <c r="O1822" s="26" t="s">
        <v>1566</v>
      </c>
      <c r="P1822" s="26" t="s">
        <v>661</v>
      </c>
      <c r="Q1822" s="26">
        <v>14.0</v>
      </c>
    </row>
    <row r="1823" ht="17.25" customHeight="1">
      <c r="A1823" s="51">
        <v>46199.78131269676</v>
      </c>
      <c r="B1823" s="25" t="s">
        <v>1039</v>
      </c>
      <c r="C1823" s="55" t="s">
        <v>1892</v>
      </c>
      <c r="D1823" s="111">
        <v>46199.0</v>
      </c>
      <c r="E1823" s="52">
        <v>1.0</v>
      </c>
      <c r="F1823" s="55" t="s">
        <v>2124</v>
      </c>
      <c r="G1823" s="26"/>
      <c r="H1823" s="26"/>
      <c r="I1823" s="26" t="s">
        <v>1040</v>
      </c>
      <c r="J1823" s="26" t="s">
        <v>1830</v>
      </c>
      <c r="K1823" s="26" t="s">
        <v>1833</v>
      </c>
      <c r="L1823" s="26" t="s">
        <v>1566</v>
      </c>
      <c r="M1823" s="26" t="s">
        <v>1566</v>
      </c>
      <c r="N1823" s="26" t="s">
        <v>1566</v>
      </c>
      <c r="O1823" s="26" t="s">
        <v>1566</v>
      </c>
      <c r="P1823" s="26" t="s">
        <v>643</v>
      </c>
      <c r="Q1823" s="26">
        <v>6.0</v>
      </c>
    </row>
    <row r="1824" ht="17.25" customHeight="1">
      <c r="A1824" s="51">
        <v>46199.781535891205</v>
      </c>
      <c r="B1824" s="25" t="s">
        <v>287</v>
      </c>
      <c r="C1824" s="55" t="s">
        <v>1892</v>
      </c>
      <c r="D1824" s="111">
        <v>46198.0</v>
      </c>
      <c r="E1824" s="52">
        <v>2.0</v>
      </c>
      <c r="F1824" s="55" t="s">
        <v>2124</v>
      </c>
      <c r="G1824" s="26"/>
      <c r="H1824" s="26"/>
      <c r="I1824" s="26" t="s">
        <v>288</v>
      </c>
      <c r="J1824" s="26" t="s">
        <v>1674</v>
      </c>
      <c r="K1824" s="26" t="s">
        <v>1675</v>
      </c>
      <c r="L1824" s="26" t="s">
        <v>1566</v>
      </c>
      <c r="M1824" s="26" t="s">
        <v>1566</v>
      </c>
      <c r="N1824" s="26" t="s">
        <v>1676</v>
      </c>
      <c r="O1824" s="26" t="s">
        <v>1677</v>
      </c>
      <c r="P1824" s="26" t="s">
        <v>290</v>
      </c>
      <c r="Q1824" s="26">
        <v>16.0</v>
      </c>
    </row>
    <row r="1825" ht="17.25" customHeight="1">
      <c r="A1825" s="51">
        <v>46199.781535891205</v>
      </c>
      <c r="B1825" s="25" t="s">
        <v>292</v>
      </c>
      <c r="C1825" s="55" t="s">
        <v>1892</v>
      </c>
      <c r="D1825" s="111">
        <v>46198.0</v>
      </c>
      <c r="E1825" s="52">
        <v>2.0</v>
      </c>
      <c r="F1825" s="55" t="s">
        <v>2124</v>
      </c>
      <c r="G1825" s="26"/>
      <c r="H1825" s="26"/>
      <c r="I1825" s="26" t="s">
        <v>294</v>
      </c>
      <c r="J1825" s="26" t="s">
        <v>1674</v>
      </c>
      <c r="K1825" s="26" t="s">
        <v>1675</v>
      </c>
      <c r="L1825" s="26" t="s">
        <v>1566</v>
      </c>
      <c r="M1825" s="26" t="s">
        <v>1566</v>
      </c>
      <c r="N1825" s="26" t="s">
        <v>1678</v>
      </c>
      <c r="O1825" s="26" t="s">
        <v>1677</v>
      </c>
      <c r="P1825" s="26" t="s">
        <v>290</v>
      </c>
      <c r="Q1825" s="26">
        <v>10.0</v>
      </c>
    </row>
    <row r="1826" ht="17.25" customHeight="1">
      <c r="A1826" s="51">
        <v>46199.781535891205</v>
      </c>
      <c r="B1826" s="25" t="s">
        <v>297</v>
      </c>
      <c r="C1826" s="55" t="s">
        <v>1892</v>
      </c>
      <c r="D1826" s="111">
        <v>46198.0</v>
      </c>
      <c r="E1826" s="52">
        <v>2.0</v>
      </c>
      <c r="F1826" s="55" t="s">
        <v>2124</v>
      </c>
      <c r="G1826" s="26"/>
      <c r="H1826" s="26"/>
      <c r="I1826" s="26" t="s">
        <v>298</v>
      </c>
      <c r="J1826" s="26" t="s">
        <v>1674</v>
      </c>
      <c r="K1826" s="26" t="s">
        <v>1675</v>
      </c>
      <c r="L1826" s="26" t="s">
        <v>1566</v>
      </c>
      <c r="M1826" s="26" t="s">
        <v>1566</v>
      </c>
      <c r="N1826" s="26" t="s">
        <v>1680</v>
      </c>
      <c r="O1826" s="26" t="s">
        <v>1677</v>
      </c>
      <c r="P1826" s="26" t="s">
        <v>290</v>
      </c>
      <c r="Q1826" s="26">
        <v>10.0</v>
      </c>
    </row>
    <row r="1827" ht="17.25" customHeight="1">
      <c r="A1827" s="51">
        <v>46199.781535891205</v>
      </c>
      <c r="B1827" s="25" t="s">
        <v>304</v>
      </c>
      <c r="C1827" s="55" t="s">
        <v>1892</v>
      </c>
      <c r="D1827" s="111">
        <v>46198.0</v>
      </c>
      <c r="E1827" s="52">
        <v>8.0</v>
      </c>
      <c r="F1827" s="55" t="s">
        <v>2124</v>
      </c>
      <c r="G1827" s="26"/>
      <c r="H1827" s="26"/>
      <c r="I1827" s="26" t="s">
        <v>306</v>
      </c>
      <c r="J1827" s="26" t="s">
        <v>1674</v>
      </c>
      <c r="K1827" s="26" t="s">
        <v>1675</v>
      </c>
      <c r="L1827" s="26" t="s">
        <v>1566</v>
      </c>
      <c r="M1827" s="26" t="s">
        <v>1566</v>
      </c>
      <c r="N1827" s="26" t="s">
        <v>1682</v>
      </c>
      <c r="O1827" s="26" t="s">
        <v>1677</v>
      </c>
      <c r="P1827" s="26" t="s">
        <v>290</v>
      </c>
      <c r="Q1827" s="26">
        <v>6.0</v>
      </c>
    </row>
    <row r="1828" ht="17.25" customHeight="1">
      <c r="A1828" s="51">
        <v>46199.78175708333</v>
      </c>
      <c r="B1828" s="23" t="s">
        <v>359</v>
      </c>
      <c r="C1828" s="55" t="s">
        <v>1892</v>
      </c>
      <c r="D1828" s="111">
        <v>46197.0</v>
      </c>
      <c r="E1828" s="52">
        <v>6.0</v>
      </c>
      <c r="F1828" s="55" t="s">
        <v>2328</v>
      </c>
      <c r="G1828" s="26"/>
      <c r="H1828" s="26"/>
      <c r="I1828" s="26" t="s">
        <v>370</v>
      </c>
      <c r="J1828" s="26" t="s">
        <v>370</v>
      </c>
      <c r="K1828" s="26" t="s">
        <v>370</v>
      </c>
      <c r="L1828" s="26" t="s">
        <v>1566</v>
      </c>
      <c r="M1828" s="26" t="s">
        <v>1566</v>
      </c>
      <c r="N1828" s="26" t="s">
        <v>1566</v>
      </c>
      <c r="O1828" s="26" t="s">
        <v>1566</v>
      </c>
      <c r="P1828" s="26" t="s">
        <v>661</v>
      </c>
      <c r="Q1828" s="26">
        <v>100.0</v>
      </c>
    </row>
    <row r="1829" ht="17.25" customHeight="1">
      <c r="A1829" s="51">
        <v>46199.78201587963</v>
      </c>
      <c r="B1829" s="27" t="s">
        <v>994</v>
      </c>
      <c r="C1829" s="55" t="s">
        <v>1892</v>
      </c>
      <c r="D1829" s="111">
        <v>46197.0</v>
      </c>
      <c r="E1829" s="52">
        <v>3.0</v>
      </c>
      <c r="F1829" s="55" t="s">
        <v>2328</v>
      </c>
      <c r="G1829" s="26"/>
      <c r="H1829" s="26"/>
      <c r="I1829" s="26" t="s">
        <v>995</v>
      </c>
      <c r="J1829" s="26" t="s">
        <v>1807</v>
      </c>
      <c r="K1829" s="26" t="s">
        <v>1889</v>
      </c>
      <c r="L1829" s="26" t="s">
        <v>1566</v>
      </c>
      <c r="M1829" s="26" t="s">
        <v>1566</v>
      </c>
      <c r="N1829" s="26" t="s">
        <v>1566</v>
      </c>
      <c r="O1829" s="26" t="s">
        <v>1566</v>
      </c>
      <c r="P1829" s="26" t="s">
        <v>661</v>
      </c>
      <c r="Q1829" s="26">
        <v>9.0</v>
      </c>
    </row>
    <row r="1830" ht="17.25" customHeight="1">
      <c r="A1830" s="51">
        <v>46202.52729041666</v>
      </c>
      <c r="B1830" s="25" t="s">
        <v>733</v>
      </c>
      <c r="C1830" s="55" t="s">
        <v>1892</v>
      </c>
      <c r="D1830" s="111">
        <v>46197.0</v>
      </c>
      <c r="E1830" s="52">
        <v>1.0</v>
      </c>
      <c r="F1830" s="55" t="s">
        <v>2026</v>
      </c>
      <c r="G1830" s="26"/>
      <c r="H1830" s="26"/>
      <c r="I1830" s="26" t="s">
        <v>739</v>
      </c>
      <c r="J1830" s="26" t="s">
        <v>1833</v>
      </c>
      <c r="K1830" s="26" t="s">
        <v>1833</v>
      </c>
      <c r="L1830" s="26" t="s">
        <v>1566</v>
      </c>
      <c r="M1830" s="26" t="s">
        <v>1566</v>
      </c>
      <c r="N1830" s="26" t="s">
        <v>1566</v>
      </c>
      <c r="O1830" s="26" t="s">
        <v>1566</v>
      </c>
      <c r="P1830" s="26" t="s">
        <v>661</v>
      </c>
      <c r="Q1830" s="26">
        <v>4.0</v>
      </c>
    </row>
    <row r="1831" ht="17.25" customHeight="1">
      <c r="A1831" s="51">
        <v>46202.529819641204</v>
      </c>
      <c r="B1831" s="25" t="s">
        <v>892</v>
      </c>
      <c r="C1831" s="55" t="s">
        <v>1892</v>
      </c>
      <c r="D1831" s="51">
        <v>46202.529819641204</v>
      </c>
      <c r="E1831" s="52">
        <v>20.0</v>
      </c>
      <c r="F1831" s="55" t="s">
        <v>2124</v>
      </c>
      <c r="G1831" s="26"/>
      <c r="H1831" s="26"/>
      <c r="I1831" s="26" t="s">
        <v>893</v>
      </c>
      <c r="J1831" s="26" t="s">
        <v>1812</v>
      </c>
      <c r="K1831" s="26" t="s">
        <v>1813</v>
      </c>
      <c r="L1831" s="26" t="s">
        <v>1566</v>
      </c>
      <c r="M1831" s="26" t="s">
        <v>1566</v>
      </c>
      <c r="N1831" s="26" t="s">
        <v>1566</v>
      </c>
      <c r="O1831" s="26" t="s">
        <v>1809</v>
      </c>
      <c r="P1831" s="26" t="s">
        <v>290</v>
      </c>
      <c r="Q1831" s="26">
        <v>20.0</v>
      </c>
    </row>
    <row r="1832" ht="17.25" customHeight="1">
      <c r="A1832" s="51">
        <v>46202.531410868054</v>
      </c>
      <c r="B1832" s="25" t="s">
        <v>728</v>
      </c>
      <c r="C1832" s="55" t="s">
        <v>1892</v>
      </c>
      <c r="D1832" s="51">
        <v>46193.75170501157</v>
      </c>
      <c r="E1832" s="52">
        <v>10.0</v>
      </c>
      <c r="F1832" s="55" t="s">
        <v>2026</v>
      </c>
      <c r="G1832" s="26"/>
      <c r="H1832" s="26"/>
      <c r="I1832" s="26" t="s">
        <v>729</v>
      </c>
      <c r="J1832" s="26" t="s">
        <v>1812</v>
      </c>
      <c r="K1832" s="26" t="s">
        <v>1815</v>
      </c>
      <c r="L1832" s="26" t="s">
        <v>1566</v>
      </c>
      <c r="M1832" s="26" t="s">
        <v>1566</v>
      </c>
      <c r="N1832" s="26" t="s">
        <v>1566</v>
      </c>
      <c r="O1832" s="26" t="s">
        <v>1566</v>
      </c>
      <c r="P1832" s="26" t="s">
        <v>661</v>
      </c>
      <c r="Q1832" s="26">
        <v>10.0</v>
      </c>
    </row>
    <row r="1833" ht="17.25" customHeight="1">
      <c r="A1833" s="51">
        <v>46202.670075636575</v>
      </c>
      <c r="B1833" s="23" t="s">
        <v>301</v>
      </c>
      <c r="C1833" s="55" t="s">
        <v>1892</v>
      </c>
      <c r="D1833" s="51">
        <v>46202.670075636575</v>
      </c>
      <c r="E1833" s="2">
        <v>5.0</v>
      </c>
      <c r="F1833" s="52" t="s">
        <v>2169</v>
      </c>
      <c r="G1833" s="26"/>
      <c r="H1833" s="26"/>
      <c r="I1833" s="26" t="s">
        <v>302</v>
      </c>
      <c r="J1833" s="26" t="s">
        <v>1830</v>
      </c>
      <c r="K1833" s="26" t="s">
        <v>302</v>
      </c>
      <c r="L1833" s="26" t="s">
        <v>1566</v>
      </c>
      <c r="M1833" s="26" t="s">
        <v>1566</v>
      </c>
      <c r="N1833" s="26" t="s">
        <v>1566</v>
      </c>
      <c r="O1833" s="26" t="s">
        <v>1566</v>
      </c>
      <c r="P1833" s="26" t="s">
        <v>661</v>
      </c>
      <c r="Q1833" s="26">
        <v>580.0</v>
      </c>
    </row>
    <row r="1834" ht="17.25" customHeight="1">
      <c r="A1834" s="51">
        <v>46202.67007341435</v>
      </c>
      <c r="B1834" s="23" t="s">
        <v>301</v>
      </c>
      <c r="C1834" s="55" t="s">
        <v>1892</v>
      </c>
      <c r="D1834" s="51">
        <v>46202.670075636575</v>
      </c>
      <c r="E1834" s="2">
        <v>5.0</v>
      </c>
      <c r="F1834" s="52" t="s">
        <v>2256</v>
      </c>
      <c r="G1834" s="26"/>
      <c r="H1834" s="26"/>
      <c r="I1834" s="26" t="s">
        <v>302</v>
      </c>
      <c r="J1834" s="26" t="s">
        <v>1830</v>
      </c>
      <c r="K1834" s="26" t="s">
        <v>302</v>
      </c>
      <c r="L1834" s="26" t="s">
        <v>1566</v>
      </c>
      <c r="M1834" s="26" t="s">
        <v>1566</v>
      </c>
      <c r="N1834" s="26" t="s">
        <v>1566</v>
      </c>
      <c r="O1834" s="26" t="s">
        <v>1566</v>
      </c>
      <c r="P1834" s="26" t="s">
        <v>661</v>
      </c>
      <c r="Q1834" s="26">
        <v>580.0</v>
      </c>
    </row>
    <row r="1835" ht="17.25" customHeight="1">
      <c r="A1835" s="51">
        <v>46202.67287663194</v>
      </c>
      <c r="B1835" s="25" t="s">
        <v>1091</v>
      </c>
      <c r="C1835" s="55" t="s">
        <v>1892</v>
      </c>
      <c r="D1835" s="51">
        <v>46202.670075636575</v>
      </c>
      <c r="E1835" s="52">
        <v>10.0</v>
      </c>
      <c r="F1835" s="55" t="s">
        <v>2169</v>
      </c>
      <c r="G1835" s="26"/>
      <c r="H1835" s="26"/>
      <c r="I1835" s="26" t="s">
        <v>1092</v>
      </c>
      <c r="J1835" s="26" t="s">
        <v>1830</v>
      </c>
      <c r="K1835" s="26" t="s">
        <v>1830</v>
      </c>
      <c r="L1835" s="26" t="s">
        <v>1566</v>
      </c>
      <c r="M1835" s="26" t="s">
        <v>1566</v>
      </c>
      <c r="N1835" s="26" t="s">
        <v>1566</v>
      </c>
      <c r="O1835" s="26" t="s">
        <v>1566</v>
      </c>
      <c r="P1835" s="26" t="s">
        <v>22</v>
      </c>
      <c r="Q1835" s="26">
        <v>52.0</v>
      </c>
    </row>
    <row r="1836" ht="17.25" customHeight="1">
      <c r="A1836" s="51">
        <v>46202.67382040509</v>
      </c>
      <c r="B1836" s="23" t="s">
        <v>359</v>
      </c>
      <c r="C1836" s="55" t="s">
        <v>1892</v>
      </c>
      <c r="D1836" s="51">
        <v>46202.670075636575</v>
      </c>
      <c r="E1836" s="52">
        <v>7.0</v>
      </c>
      <c r="F1836" s="55" t="s">
        <v>1894</v>
      </c>
      <c r="G1836" s="26"/>
      <c r="H1836" s="26"/>
      <c r="I1836" s="26" t="s">
        <v>370</v>
      </c>
      <c r="J1836" s="26" t="s">
        <v>370</v>
      </c>
      <c r="K1836" s="26" t="s">
        <v>370</v>
      </c>
      <c r="L1836" s="26" t="s">
        <v>1566</v>
      </c>
      <c r="M1836" s="26" t="s">
        <v>1566</v>
      </c>
      <c r="N1836" s="26" t="s">
        <v>1566</v>
      </c>
      <c r="O1836" s="26" t="s">
        <v>1566</v>
      </c>
      <c r="P1836" s="26" t="s">
        <v>661</v>
      </c>
      <c r="Q1836" s="26">
        <v>100.0</v>
      </c>
    </row>
    <row r="1837" ht="17.25" customHeight="1">
      <c r="A1837" s="51">
        <v>46203.43591851852</v>
      </c>
      <c r="B1837" s="25" t="s">
        <v>33</v>
      </c>
      <c r="C1837" s="55" t="s">
        <v>1560</v>
      </c>
      <c r="D1837" s="51">
        <v>46202.670075636575</v>
      </c>
      <c r="E1837" s="52">
        <v>600.0</v>
      </c>
      <c r="F1837" s="55" t="s">
        <v>1561</v>
      </c>
      <c r="G1837" s="26"/>
      <c r="H1837" s="26"/>
      <c r="I1837" s="26" t="s">
        <v>35</v>
      </c>
      <c r="J1837" s="26" t="s">
        <v>1225</v>
      </c>
      <c r="K1837" s="26" t="s">
        <v>1562</v>
      </c>
      <c r="L1837" s="26" t="s">
        <v>1573</v>
      </c>
      <c r="M1837" s="26" t="s">
        <v>1575</v>
      </c>
      <c r="N1837" s="26" t="s">
        <v>1566</v>
      </c>
      <c r="O1837" s="26" t="s">
        <v>1566</v>
      </c>
      <c r="P1837" s="26" t="s">
        <v>22</v>
      </c>
      <c r="Q1837" s="26">
        <v>2600.0</v>
      </c>
    </row>
    <row r="1838" ht="17.25" customHeight="1">
      <c r="A1838" s="51">
        <v>46203.43674078704</v>
      </c>
      <c r="B1838" s="27" t="s">
        <v>70</v>
      </c>
      <c r="C1838" s="55" t="s">
        <v>1560</v>
      </c>
      <c r="D1838" s="51">
        <v>46202.670075636575</v>
      </c>
      <c r="E1838" s="52">
        <v>1200.0</v>
      </c>
      <c r="F1838" s="55" t="s">
        <v>1561</v>
      </c>
      <c r="G1838" s="55"/>
      <c r="H1838" s="26"/>
      <c r="I1838" s="26" t="s">
        <v>71</v>
      </c>
      <c r="J1838" s="26" t="s">
        <v>1225</v>
      </c>
      <c r="K1838" s="26" t="s">
        <v>1562</v>
      </c>
      <c r="L1838" s="26" t="s">
        <v>1591</v>
      </c>
      <c r="M1838" s="26" t="s">
        <v>2172</v>
      </c>
      <c r="N1838" s="26" t="s">
        <v>1566</v>
      </c>
      <c r="O1838" s="26" t="s">
        <v>1571</v>
      </c>
      <c r="P1838" s="26" t="s">
        <v>22</v>
      </c>
      <c r="Q1838" s="26">
        <v>0.0</v>
      </c>
    </row>
    <row r="1839" ht="17.25" customHeight="1">
      <c r="A1839" s="51">
        <v>46203.437809537034</v>
      </c>
      <c r="B1839" s="25" t="s">
        <v>33</v>
      </c>
      <c r="C1839" s="55" t="s">
        <v>1560</v>
      </c>
      <c r="D1839" s="111">
        <v>46199.0</v>
      </c>
      <c r="E1839" s="52">
        <v>700.0</v>
      </c>
      <c r="F1839" s="55" t="s">
        <v>1561</v>
      </c>
      <c r="G1839" s="26"/>
      <c r="H1839" s="26"/>
      <c r="I1839" s="26" t="s">
        <v>35</v>
      </c>
      <c r="J1839" s="26" t="s">
        <v>1225</v>
      </c>
      <c r="K1839" s="26" t="s">
        <v>1562</v>
      </c>
      <c r="L1839" s="26" t="s">
        <v>1573</v>
      </c>
      <c r="M1839" s="26" t="s">
        <v>1575</v>
      </c>
      <c r="N1839" s="26" t="s">
        <v>1566</v>
      </c>
      <c r="O1839" s="26" t="s">
        <v>1566</v>
      </c>
      <c r="P1839" s="26" t="s">
        <v>22</v>
      </c>
      <c r="Q1839" s="26">
        <v>2600.0</v>
      </c>
    </row>
    <row r="1840" ht="17.25" customHeight="1">
      <c r="A1840" s="51">
        <v>46203.43878964121</v>
      </c>
      <c r="B1840" s="26" t="s">
        <v>1314</v>
      </c>
      <c r="C1840" s="55" t="s">
        <v>1560</v>
      </c>
      <c r="D1840" s="111">
        <v>46199.0</v>
      </c>
      <c r="E1840" s="52">
        <v>300.0</v>
      </c>
      <c r="F1840" s="55" t="s">
        <v>1561</v>
      </c>
      <c r="G1840" s="26"/>
      <c r="H1840" s="26"/>
      <c r="I1840" s="26" t="s">
        <v>1315</v>
      </c>
      <c r="J1840" s="26" t="s">
        <v>1225</v>
      </c>
      <c r="K1840" s="26" t="s">
        <v>1562</v>
      </c>
      <c r="L1840" s="26" t="s">
        <v>1573</v>
      </c>
      <c r="M1840" s="26" t="s">
        <v>1586</v>
      </c>
      <c r="N1840" s="26" t="s">
        <v>1566</v>
      </c>
      <c r="O1840" s="26" t="s">
        <v>1571</v>
      </c>
      <c r="P1840" s="26" t="s">
        <v>22</v>
      </c>
      <c r="Q1840" s="26">
        <v>0.0</v>
      </c>
    </row>
    <row r="1841" ht="17.25" customHeight="1">
      <c r="A1841" s="51">
        <v>46203.439599722224</v>
      </c>
      <c r="B1841" s="25" t="s">
        <v>1250</v>
      </c>
      <c r="C1841" s="55" t="s">
        <v>1560</v>
      </c>
      <c r="D1841" s="111">
        <v>46198.0</v>
      </c>
      <c r="E1841" s="52">
        <v>1300.0</v>
      </c>
      <c r="F1841" s="55" t="s">
        <v>1561</v>
      </c>
      <c r="G1841" s="26"/>
      <c r="H1841" s="26"/>
      <c r="I1841" s="26" t="s">
        <v>1251</v>
      </c>
      <c r="J1841" s="26" t="s">
        <v>1225</v>
      </c>
      <c r="K1841" s="26" t="s">
        <v>1562</v>
      </c>
      <c r="L1841" s="26" t="s">
        <v>1600</v>
      </c>
      <c r="M1841" s="26" t="s">
        <v>2172</v>
      </c>
      <c r="N1841" s="26" t="s">
        <v>1566</v>
      </c>
      <c r="O1841" s="26" t="s">
        <v>1566</v>
      </c>
      <c r="P1841" s="26" t="s">
        <v>22</v>
      </c>
      <c r="Q1841" s="26">
        <v>100.0</v>
      </c>
    </row>
    <row r="1842" ht="17.25" customHeight="1">
      <c r="A1842" s="51">
        <v>46203.440212511574</v>
      </c>
      <c r="B1842" s="27" t="s">
        <v>70</v>
      </c>
      <c r="C1842" s="55" t="s">
        <v>1560</v>
      </c>
      <c r="D1842" s="111">
        <v>46198.0</v>
      </c>
      <c r="E1842" s="52">
        <v>3000.0</v>
      </c>
      <c r="F1842" s="55" t="s">
        <v>1561</v>
      </c>
      <c r="G1842" s="55"/>
      <c r="H1842" s="26"/>
      <c r="I1842" s="26" t="s">
        <v>71</v>
      </c>
      <c r="J1842" s="26" t="s">
        <v>1225</v>
      </c>
      <c r="K1842" s="26" t="s">
        <v>1562</v>
      </c>
      <c r="L1842" s="26" t="s">
        <v>1591</v>
      </c>
      <c r="M1842" s="26" t="s">
        <v>2172</v>
      </c>
      <c r="N1842" s="26" t="s">
        <v>1566</v>
      </c>
      <c r="O1842" s="26" t="s">
        <v>1571</v>
      </c>
      <c r="P1842" s="26" t="s">
        <v>22</v>
      </c>
      <c r="Q1842" s="26">
        <v>0.0</v>
      </c>
    </row>
    <row r="1843" ht="17.25" customHeight="1">
      <c r="A1843" s="51">
        <v>46203.441111203705</v>
      </c>
      <c r="B1843" s="23" t="s">
        <v>359</v>
      </c>
      <c r="C1843" s="55" t="s">
        <v>1892</v>
      </c>
      <c r="D1843" s="51">
        <v>46202.670075636575</v>
      </c>
      <c r="E1843" s="52">
        <v>5.0</v>
      </c>
      <c r="F1843" s="55" t="s">
        <v>1894</v>
      </c>
      <c r="G1843" s="26"/>
      <c r="H1843" s="26"/>
      <c r="I1843" s="26" t="s">
        <v>370</v>
      </c>
      <c r="J1843" s="26" t="s">
        <v>370</v>
      </c>
      <c r="K1843" s="26" t="s">
        <v>370</v>
      </c>
      <c r="L1843" s="26" t="s">
        <v>1566</v>
      </c>
      <c r="M1843" s="26" t="s">
        <v>1566</v>
      </c>
      <c r="N1843" s="26" t="s">
        <v>1566</v>
      </c>
      <c r="O1843" s="26" t="s">
        <v>1566</v>
      </c>
      <c r="P1843" s="26" t="s">
        <v>661</v>
      </c>
      <c r="Q1843" s="26">
        <v>100.0</v>
      </c>
    </row>
    <row r="1844" ht="17.25" customHeight="1">
      <c r="A1844" s="51">
        <v>46203.44354263889</v>
      </c>
      <c r="B1844" s="27" t="s">
        <v>1754</v>
      </c>
      <c r="C1844" s="55" t="s">
        <v>1892</v>
      </c>
      <c r="D1844" s="111">
        <v>46191.0</v>
      </c>
      <c r="E1844" s="52">
        <v>400.0</v>
      </c>
      <c r="F1844" s="55" t="s">
        <v>2337</v>
      </c>
      <c r="G1844" s="55">
        <v>851.0</v>
      </c>
      <c r="H1844" s="26"/>
      <c r="I1844" s="26" t="s">
        <v>1755</v>
      </c>
      <c r="J1844" s="26" t="s">
        <v>1225</v>
      </c>
      <c r="K1844" s="26" t="s">
        <v>1562</v>
      </c>
      <c r="L1844" s="26" t="s">
        <v>1600</v>
      </c>
      <c r="M1844" s="26" t="s">
        <v>1586</v>
      </c>
      <c r="N1844" s="26" t="s">
        <v>1566</v>
      </c>
      <c r="O1844" s="26" t="s">
        <v>1566</v>
      </c>
      <c r="P1844" s="26" t="s">
        <v>22</v>
      </c>
      <c r="Q1844" s="26">
        <v>0.0</v>
      </c>
    </row>
    <row r="1845" ht="17.25" customHeight="1">
      <c r="A1845" s="51">
        <v>46203.58243038194</v>
      </c>
      <c r="B1845" s="25" t="s">
        <v>932</v>
      </c>
      <c r="C1845" s="55" t="s">
        <v>1560</v>
      </c>
      <c r="D1845" s="111">
        <v>46196.0</v>
      </c>
      <c r="E1845" s="52">
        <v>2200.0</v>
      </c>
      <c r="F1845" s="55" t="s">
        <v>2337</v>
      </c>
      <c r="G1845" s="26"/>
      <c r="H1845" s="26"/>
      <c r="I1845" s="26" t="s">
        <v>933</v>
      </c>
      <c r="J1845" s="26" t="s">
        <v>1225</v>
      </c>
      <c r="K1845" s="26" t="s">
        <v>1562</v>
      </c>
      <c r="L1845" s="26" t="s">
        <v>1600</v>
      </c>
      <c r="M1845" s="26" t="s">
        <v>1572</v>
      </c>
      <c r="N1845" s="26" t="s">
        <v>1571</v>
      </c>
      <c r="O1845" s="26" t="s">
        <v>1566</v>
      </c>
      <c r="P1845" s="26" t="s">
        <v>22</v>
      </c>
      <c r="Q1845" s="26">
        <v>400.0</v>
      </c>
    </row>
    <row r="1846" ht="17.25" customHeight="1">
      <c r="A1846" s="51">
        <v>46203.44773997685</v>
      </c>
      <c r="B1846" s="25" t="s">
        <v>79</v>
      </c>
      <c r="C1846" s="55" t="s">
        <v>1892</v>
      </c>
      <c r="D1846" s="111">
        <v>46191.0</v>
      </c>
      <c r="E1846" s="52">
        <v>1000.0</v>
      </c>
      <c r="F1846" s="55" t="s">
        <v>2337</v>
      </c>
      <c r="G1846" s="55">
        <v>852.0</v>
      </c>
      <c r="H1846" s="26"/>
      <c r="I1846" s="26" t="s">
        <v>80</v>
      </c>
      <c r="J1846" s="26" t="s">
        <v>1225</v>
      </c>
      <c r="K1846" s="26" t="s">
        <v>1562</v>
      </c>
      <c r="L1846" s="26" t="s">
        <v>1563</v>
      </c>
      <c r="M1846" s="26" t="s">
        <v>1575</v>
      </c>
      <c r="N1846" s="26" t="s">
        <v>1566</v>
      </c>
      <c r="O1846" s="26" t="s">
        <v>1566</v>
      </c>
      <c r="P1846" s="26" t="s">
        <v>22</v>
      </c>
      <c r="Q1846" s="26">
        <v>700.0</v>
      </c>
    </row>
    <row r="1847" ht="17.25" customHeight="1">
      <c r="A1847" s="51">
        <v>46203.44860451389</v>
      </c>
      <c r="B1847" s="25" t="s">
        <v>175</v>
      </c>
      <c r="C1847" s="55" t="s">
        <v>1892</v>
      </c>
      <c r="D1847" s="111">
        <v>46193.0</v>
      </c>
      <c r="E1847" s="52">
        <v>1600.0</v>
      </c>
      <c r="F1847" s="55" t="s">
        <v>2337</v>
      </c>
      <c r="G1847" s="55">
        <v>856.0</v>
      </c>
      <c r="H1847" s="26"/>
      <c r="I1847" s="26" t="s">
        <v>176</v>
      </c>
      <c r="J1847" s="26" t="s">
        <v>1225</v>
      </c>
      <c r="K1847" s="26" t="s">
        <v>1562</v>
      </c>
      <c r="L1847" s="26" t="s">
        <v>1633</v>
      </c>
      <c r="M1847" s="26" t="s">
        <v>1634</v>
      </c>
      <c r="N1847" s="26" t="s">
        <v>1571</v>
      </c>
      <c r="O1847" s="26" t="s">
        <v>1566</v>
      </c>
      <c r="P1847" s="26" t="s">
        <v>22</v>
      </c>
      <c r="Q1847" s="26">
        <v>2100.0</v>
      </c>
    </row>
    <row r="1848" ht="17.25" customHeight="1">
      <c r="A1848" s="51">
        <v>46203.53689594907</v>
      </c>
      <c r="B1848" s="25" t="s">
        <v>147</v>
      </c>
      <c r="C1848" s="55" t="s">
        <v>1560</v>
      </c>
      <c r="D1848" s="111">
        <v>46191.0</v>
      </c>
      <c r="E1848" s="52">
        <v>900.0</v>
      </c>
      <c r="F1848" s="55" t="s">
        <v>2337</v>
      </c>
      <c r="G1848" s="55"/>
      <c r="H1848" s="26"/>
      <c r="I1848" s="26" t="s">
        <v>148</v>
      </c>
      <c r="J1848" s="26" t="s">
        <v>1225</v>
      </c>
      <c r="K1848" s="26" t="s">
        <v>1562</v>
      </c>
      <c r="L1848" s="26" t="s">
        <v>1633</v>
      </c>
      <c r="M1848" s="26" t="s">
        <v>1574</v>
      </c>
      <c r="N1848" s="26" t="s">
        <v>1566</v>
      </c>
      <c r="O1848" s="26" t="s">
        <v>1566</v>
      </c>
      <c r="P1848" s="26" t="s">
        <v>22</v>
      </c>
      <c r="Q1848" s="26">
        <v>0.0</v>
      </c>
    </row>
    <row r="1849" ht="17.25" customHeight="1">
      <c r="A1849" s="51">
        <v>46203.57589516204</v>
      </c>
      <c r="B1849" s="25" t="s">
        <v>147</v>
      </c>
      <c r="C1849" s="55" t="s">
        <v>1560</v>
      </c>
      <c r="D1849" s="111">
        <v>46192.0</v>
      </c>
      <c r="E1849" s="52">
        <v>400.0</v>
      </c>
      <c r="F1849" s="55" t="s">
        <v>2337</v>
      </c>
      <c r="G1849" s="26"/>
      <c r="H1849" s="26"/>
      <c r="I1849" s="26" t="s">
        <v>148</v>
      </c>
      <c r="J1849" s="26" t="s">
        <v>1225</v>
      </c>
      <c r="K1849" s="26" t="s">
        <v>1562</v>
      </c>
      <c r="L1849" s="26" t="s">
        <v>1633</v>
      </c>
      <c r="M1849" s="26" t="s">
        <v>1574</v>
      </c>
      <c r="N1849" s="26" t="s">
        <v>1566</v>
      </c>
      <c r="O1849" s="26" t="s">
        <v>1566</v>
      </c>
      <c r="P1849" s="26" t="s">
        <v>22</v>
      </c>
      <c r="Q1849" s="26">
        <v>0.0</v>
      </c>
    </row>
    <row r="1850" ht="17.25" customHeight="1">
      <c r="A1850" s="51">
        <v>46203.58350975694</v>
      </c>
      <c r="B1850" s="25" t="s">
        <v>79</v>
      </c>
      <c r="C1850" s="55" t="s">
        <v>1560</v>
      </c>
      <c r="D1850" s="111">
        <v>46191.0</v>
      </c>
      <c r="E1850" s="52">
        <v>1000.0</v>
      </c>
      <c r="F1850" s="55" t="s">
        <v>2337</v>
      </c>
      <c r="G1850" s="26"/>
      <c r="H1850" s="26"/>
      <c r="I1850" s="26" t="s">
        <v>80</v>
      </c>
      <c r="J1850" s="26" t="s">
        <v>1225</v>
      </c>
      <c r="K1850" s="26" t="s">
        <v>1562</v>
      </c>
      <c r="L1850" s="26" t="s">
        <v>1563</v>
      </c>
      <c r="M1850" s="26" t="s">
        <v>1575</v>
      </c>
      <c r="N1850" s="26" t="s">
        <v>1566</v>
      </c>
      <c r="O1850" s="26" t="s">
        <v>1566</v>
      </c>
      <c r="P1850" s="26" t="s">
        <v>22</v>
      </c>
      <c r="Q1850" s="26">
        <v>700.0</v>
      </c>
    </row>
    <row r="1851" ht="17.25" customHeight="1">
      <c r="A1851" s="51">
        <v>46203.5876115162</v>
      </c>
      <c r="B1851" s="25" t="s">
        <v>179</v>
      </c>
      <c r="C1851" s="55" t="s">
        <v>1560</v>
      </c>
      <c r="D1851" s="111">
        <v>46193.0</v>
      </c>
      <c r="E1851" s="52">
        <v>720.0</v>
      </c>
      <c r="F1851" s="55" t="s">
        <v>2337</v>
      </c>
      <c r="G1851" s="26"/>
      <c r="H1851" s="26"/>
      <c r="I1851" s="26" t="s">
        <v>180</v>
      </c>
      <c r="J1851" s="26" t="s">
        <v>1225</v>
      </c>
      <c r="K1851" s="26" t="s">
        <v>1653</v>
      </c>
      <c r="L1851" s="26" t="s">
        <v>1563</v>
      </c>
      <c r="M1851" s="26" t="s">
        <v>1572</v>
      </c>
      <c r="N1851" s="26" t="s">
        <v>1654</v>
      </c>
      <c r="O1851" s="26" t="s">
        <v>1566</v>
      </c>
      <c r="P1851" s="26" t="s">
        <v>22</v>
      </c>
      <c r="Q1851" s="26">
        <v>0.0</v>
      </c>
    </row>
    <row r="1852" ht="17.25" customHeight="1">
      <c r="A1852" s="51">
        <v>46203.58834462963</v>
      </c>
      <c r="B1852" s="25" t="s">
        <v>1237</v>
      </c>
      <c r="C1852" s="55" t="s">
        <v>1560</v>
      </c>
      <c r="D1852" s="111">
        <v>46193.0</v>
      </c>
      <c r="E1852" s="52">
        <v>1008.0</v>
      </c>
      <c r="F1852" s="55" t="s">
        <v>2337</v>
      </c>
      <c r="G1852" s="26"/>
      <c r="H1852" s="26"/>
      <c r="I1852" s="26" t="s">
        <v>1238</v>
      </c>
      <c r="J1852" s="26" t="s">
        <v>1225</v>
      </c>
      <c r="K1852" s="26" t="s">
        <v>1653</v>
      </c>
      <c r="L1852" s="26" t="s">
        <v>1603</v>
      </c>
      <c r="M1852" s="26" t="s">
        <v>1572</v>
      </c>
      <c r="N1852" s="26" t="s">
        <v>1566</v>
      </c>
      <c r="O1852" s="26" t="s">
        <v>1566</v>
      </c>
      <c r="P1852" s="26" t="s">
        <v>22</v>
      </c>
      <c r="Q1852" s="26">
        <v>720.0</v>
      </c>
    </row>
    <row r="1853" ht="17.25" customHeight="1">
      <c r="A1853" s="51">
        <v>46203.58888678241</v>
      </c>
      <c r="B1853" s="25" t="s">
        <v>365</v>
      </c>
      <c r="C1853" s="55" t="s">
        <v>1560</v>
      </c>
      <c r="D1853" s="111">
        <v>46193.0</v>
      </c>
      <c r="E1853" s="52">
        <v>3744.0</v>
      </c>
      <c r="F1853" s="55" t="s">
        <v>2337</v>
      </c>
      <c r="G1853" s="26"/>
      <c r="H1853" s="26"/>
      <c r="I1853" s="26" t="s">
        <v>367</v>
      </c>
      <c r="J1853" s="26" t="s">
        <v>1225</v>
      </c>
      <c r="K1853" s="26" t="s">
        <v>1653</v>
      </c>
      <c r="L1853" s="26" t="s">
        <v>1584</v>
      </c>
      <c r="M1853" s="26" t="s">
        <v>1572</v>
      </c>
      <c r="N1853" s="26" t="s">
        <v>1654</v>
      </c>
      <c r="O1853" s="26" t="s">
        <v>1566</v>
      </c>
      <c r="P1853" s="26" t="s">
        <v>22</v>
      </c>
      <c r="Q1853" s="26">
        <v>0.0</v>
      </c>
    </row>
    <row r="1854" ht="17.25" customHeight="1">
      <c r="A1854" s="51">
        <v>46203.591674201394</v>
      </c>
      <c r="B1854" s="25" t="s">
        <v>179</v>
      </c>
      <c r="C1854" s="55" t="s">
        <v>1892</v>
      </c>
      <c r="D1854" s="111">
        <v>46195.0</v>
      </c>
      <c r="E1854" s="52">
        <v>720.0</v>
      </c>
      <c r="F1854" s="55" t="s">
        <v>2337</v>
      </c>
      <c r="G1854" s="55">
        <v>857.0</v>
      </c>
      <c r="H1854" s="26"/>
      <c r="I1854" s="26" t="s">
        <v>180</v>
      </c>
      <c r="J1854" s="26" t="s">
        <v>1225</v>
      </c>
      <c r="K1854" s="26" t="s">
        <v>1653</v>
      </c>
      <c r="L1854" s="26" t="s">
        <v>1563</v>
      </c>
      <c r="M1854" s="26" t="s">
        <v>1572</v>
      </c>
      <c r="N1854" s="26" t="s">
        <v>1654</v>
      </c>
      <c r="O1854" s="26" t="s">
        <v>1566</v>
      </c>
      <c r="P1854" s="26" t="s">
        <v>22</v>
      </c>
      <c r="Q1854" s="26">
        <v>0.0</v>
      </c>
    </row>
    <row r="1855" ht="17.25" customHeight="1">
      <c r="A1855" s="51">
        <v>46203.59260767361</v>
      </c>
      <c r="B1855" s="25" t="s">
        <v>1743</v>
      </c>
      <c r="C1855" s="55" t="s">
        <v>1892</v>
      </c>
      <c r="D1855" s="111">
        <v>46195.0</v>
      </c>
      <c r="E1855" s="52">
        <v>2000.0</v>
      </c>
      <c r="F1855" s="55" t="s">
        <v>2337</v>
      </c>
      <c r="G1855" s="55">
        <v>858.0</v>
      </c>
      <c r="H1855" s="26"/>
      <c r="I1855" s="26" t="s">
        <v>1744</v>
      </c>
      <c r="J1855" s="26" t="s">
        <v>1225</v>
      </c>
      <c r="K1855" s="26" t="s">
        <v>1562</v>
      </c>
      <c r="L1855" s="26" t="s">
        <v>1591</v>
      </c>
      <c r="M1855" s="26" t="s">
        <v>1572</v>
      </c>
      <c r="N1855" s="26" t="s">
        <v>1566</v>
      </c>
      <c r="O1855" s="26" t="s">
        <v>1566</v>
      </c>
      <c r="P1855" s="26" t="s">
        <v>22</v>
      </c>
      <c r="Q1855" s="26">
        <v>0.0</v>
      </c>
    </row>
    <row r="1856" ht="17.25" customHeight="1">
      <c r="A1856" s="51">
        <v>46203.592907488426</v>
      </c>
      <c r="B1856" s="25" t="s">
        <v>1237</v>
      </c>
      <c r="C1856" s="55" t="s">
        <v>1892</v>
      </c>
      <c r="D1856" s="111">
        <v>46195.0</v>
      </c>
      <c r="E1856" s="52">
        <v>1008.0</v>
      </c>
      <c r="F1856" s="55" t="s">
        <v>2337</v>
      </c>
      <c r="G1856" s="55">
        <v>859.0</v>
      </c>
      <c r="H1856" s="26"/>
      <c r="I1856" s="26" t="s">
        <v>1238</v>
      </c>
      <c r="J1856" s="26" t="s">
        <v>1225</v>
      </c>
      <c r="K1856" s="26" t="s">
        <v>1653</v>
      </c>
      <c r="L1856" s="26" t="s">
        <v>1603</v>
      </c>
      <c r="M1856" s="26" t="s">
        <v>1572</v>
      </c>
      <c r="N1856" s="26" t="s">
        <v>1566</v>
      </c>
      <c r="O1856" s="26" t="s">
        <v>1566</v>
      </c>
      <c r="P1856" s="26" t="s">
        <v>22</v>
      </c>
      <c r="Q1856" s="26">
        <v>720.0</v>
      </c>
    </row>
    <row r="1857" ht="17.25" customHeight="1">
      <c r="A1857" s="51">
        <v>46203.59396612269</v>
      </c>
      <c r="B1857" s="25" t="s">
        <v>365</v>
      </c>
      <c r="C1857" s="55" t="s">
        <v>1892</v>
      </c>
      <c r="D1857" s="111">
        <v>46195.0</v>
      </c>
      <c r="E1857" s="238">
        <v>1296.0</v>
      </c>
      <c r="F1857" s="55" t="s">
        <v>2337</v>
      </c>
      <c r="G1857" s="55">
        <v>860.0</v>
      </c>
      <c r="H1857" s="26"/>
      <c r="I1857" s="26" t="s">
        <v>367</v>
      </c>
      <c r="J1857" s="26" t="s">
        <v>1225</v>
      </c>
      <c r="K1857" s="26" t="s">
        <v>1653</v>
      </c>
      <c r="L1857" s="26" t="s">
        <v>1584</v>
      </c>
      <c r="M1857" s="26" t="s">
        <v>1572</v>
      </c>
      <c r="N1857" s="26" t="s">
        <v>1654</v>
      </c>
      <c r="O1857" s="26" t="s">
        <v>1566</v>
      </c>
      <c r="P1857" s="26" t="s">
        <v>22</v>
      </c>
      <c r="Q1857" s="26">
        <v>0.0</v>
      </c>
    </row>
    <row r="1858" ht="17.25" customHeight="1">
      <c r="A1858" s="51">
        <v>46203.59396612269</v>
      </c>
      <c r="B1858" s="25" t="s">
        <v>365</v>
      </c>
      <c r="C1858" s="55" t="s">
        <v>1892</v>
      </c>
      <c r="D1858" s="111">
        <v>46195.0</v>
      </c>
      <c r="E1858" s="238">
        <v>864.0</v>
      </c>
      <c r="F1858" s="55" t="s">
        <v>2337</v>
      </c>
      <c r="G1858" s="55">
        <v>861.0</v>
      </c>
      <c r="H1858" s="26"/>
      <c r="I1858" s="26" t="s">
        <v>367</v>
      </c>
      <c r="J1858" s="26" t="s">
        <v>1225</v>
      </c>
      <c r="K1858" s="26" t="s">
        <v>1653</v>
      </c>
      <c r="L1858" s="26" t="s">
        <v>1584</v>
      </c>
      <c r="M1858" s="26" t="s">
        <v>1572</v>
      </c>
      <c r="N1858" s="26" t="s">
        <v>1654</v>
      </c>
      <c r="O1858" s="26" t="s">
        <v>1566</v>
      </c>
      <c r="P1858" s="26" t="s">
        <v>22</v>
      </c>
      <c r="Q1858" s="26">
        <v>0.0</v>
      </c>
    </row>
    <row r="1859" ht="17.25" customHeight="1">
      <c r="A1859" s="51">
        <v>46203.59472326389</v>
      </c>
      <c r="B1859" s="25" t="s">
        <v>147</v>
      </c>
      <c r="C1859" s="55" t="s">
        <v>1892</v>
      </c>
      <c r="D1859" s="111">
        <v>46195.0</v>
      </c>
      <c r="E1859" s="52">
        <v>900.0</v>
      </c>
      <c r="F1859" s="55" t="s">
        <v>2337</v>
      </c>
      <c r="G1859" s="55">
        <v>862.0</v>
      </c>
      <c r="H1859" s="26"/>
      <c r="I1859" s="26" t="s">
        <v>148</v>
      </c>
      <c r="J1859" s="26" t="s">
        <v>1225</v>
      </c>
      <c r="K1859" s="26" t="s">
        <v>1562</v>
      </c>
      <c r="L1859" s="26" t="s">
        <v>1633</v>
      </c>
      <c r="M1859" s="26" t="s">
        <v>1574</v>
      </c>
      <c r="N1859" s="26" t="s">
        <v>1566</v>
      </c>
      <c r="O1859" s="26" t="s">
        <v>1566</v>
      </c>
      <c r="P1859" s="26" t="s">
        <v>22</v>
      </c>
      <c r="Q1859" s="26">
        <v>0.0</v>
      </c>
    </row>
    <row r="1860" ht="17.25" customHeight="1">
      <c r="A1860" s="51">
        <v>46203.59472326389</v>
      </c>
      <c r="B1860" s="25" t="s">
        <v>365</v>
      </c>
      <c r="C1860" s="55" t="s">
        <v>1892</v>
      </c>
      <c r="D1860" s="111">
        <v>46197.0</v>
      </c>
      <c r="E1860" s="238">
        <v>1584.0</v>
      </c>
      <c r="F1860" s="55" t="s">
        <v>2337</v>
      </c>
      <c r="G1860" s="55">
        <v>863.0</v>
      </c>
      <c r="H1860" s="26"/>
      <c r="I1860" s="26" t="s">
        <v>367</v>
      </c>
      <c r="J1860" s="26" t="s">
        <v>1225</v>
      </c>
      <c r="K1860" s="26" t="s">
        <v>1653</v>
      </c>
      <c r="L1860" s="26" t="s">
        <v>1584</v>
      </c>
      <c r="M1860" s="26" t="s">
        <v>1572</v>
      </c>
      <c r="N1860" s="26" t="s">
        <v>1654</v>
      </c>
      <c r="O1860" s="26" t="s">
        <v>1566</v>
      </c>
      <c r="P1860" s="26" t="s">
        <v>22</v>
      </c>
      <c r="Q1860" s="26">
        <v>0.0</v>
      </c>
    </row>
    <row r="1861" ht="17.25" customHeight="1">
      <c r="A1861" s="51">
        <v>46203.59786197917</v>
      </c>
      <c r="B1861" s="25" t="s">
        <v>538</v>
      </c>
      <c r="C1861" s="55" t="s">
        <v>1892</v>
      </c>
      <c r="D1861" s="111">
        <v>46197.0</v>
      </c>
      <c r="E1861" s="52">
        <v>1152.0</v>
      </c>
      <c r="F1861" s="55" t="s">
        <v>2337</v>
      </c>
      <c r="G1861" s="55">
        <v>864.0</v>
      </c>
      <c r="H1861" s="26"/>
      <c r="I1861" s="26" t="s">
        <v>539</v>
      </c>
      <c r="J1861" s="26" t="s">
        <v>1225</v>
      </c>
      <c r="K1861" s="26" t="s">
        <v>1653</v>
      </c>
      <c r="L1861" s="26" t="s">
        <v>1600</v>
      </c>
      <c r="M1861" s="26" t="s">
        <v>1572</v>
      </c>
      <c r="N1861" s="26" t="s">
        <v>1566</v>
      </c>
      <c r="O1861" s="26" t="s">
        <v>1654</v>
      </c>
      <c r="P1861" s="26" t="s">
        <v>22</v>
      </c>
      <c r="Q1861" s="26">
        <v>576.0</v>
      </c>
    </row>
    <row r="1862" ht="17.25" customHeight="1">
      <c r="A1862" s="51">
        <v>46203.598650995365</v>
      </c>
      <c r="B1862" s="25" t="s">
        <v>778</v>
      </c>
      <c r="C1862" s="55" t="s">
        <v>1560</v>
      </c>
      <c r="D1862" s="111">
        <v>46197.0</v>
      </c>
      <c r="E1862" s="52">
        <v>1440.0</v>
      </c>
      <c r="F1862" s="55" t="s">
        <v>2337</v>
      </c>
      <c r="G1862" s="55">
        <v>865.0</v>
      </c>
      <c r="H1862" s="26"/>
      <c r="I1862" s="26" t="s">
        <v>779</v>
      </c>
      <c r="J1862" s="26" t="s">
        <v>1225</v>
      </c>
      <c r="K1862" s="26" t="s">
        <v>1653</v>
      </c>
      <c r="L1862" s="26" t="s">
        <v>1576</v>
      </c>
      <c r="M1862" s="26" t="s">
        <v>1572</v>
      </c>
      <c r="N1862" s="26" t="s">
        <v>1566</v>
      </c>
      <c r="O1862" s="26" t="s">
        <v>1654</v>
      </c>
      <c r="P1862" s="26" t="s">
        <v>22</v>
      </c>
      <c r="Q1862" s="26">
        <v>0.0</v>
      </c>
    </row>
    <row r="1863" ht="17.25" customHeight="1">
      <c r="A1863" s="51">
        <v>46203.6018897801</v>
      </c>
      <c r="B1863" s="25" t="s">
        <v>778</v>
      </c>
      <c r="C1863" s="55" t="s">
        <v>1892</v>
      </c>
      <c r="D1863" s="111">
        <v>46197.0</v>
      </c>
      <c r="E1863" s="52">
        <v>1440.0</v>
      </c>
      <c r="F1863" s="55" t="s">
        <v>2337</v>
      </c>
      <c r="G1863" s="55">
        <v>865.0</v>
      </c>
      <c r="H1863" s="26"/>
      <c r="I1863" s="26" t="s">
        <v>779</v>
      </c>
      <c r="J1863" s="26" t="s">
        <v>1225</v>
      </c>
      <c r="K1863" s="26" t="s">
        <v>1653</v>
      </c>
      <c r="L1863" s="26" t="s">
        <v>1576</v>
      </c>
      <c r="M1863" s="26" t="s">
        <v>1572</v>
      </c>
      <c r="N1863" s="26" t="s">
        <v>1566</v>
      </c>
      <c r="O1863" s="26" t="s">
        <v>1654</v>
      </c>
      <c r="P1863" s="26" t="s">
        <v>22</v>
      </c>
      <c r="Q1863" s="26">
        <v>0.0</v>
      </c>
    </row>
    <row r="1864" ht="17.25" customHeight="1">
      <c r="A1864" s="51">
        <v>46203.60241763889</v>
      </c>
      <c r="B1864" s="25" t="s">
        <v>1664</v>
      </c>
      <c r="C1864" s="55" t="s">
        <v>1892</v>
      </c>
      <c r="D1864" s="111">
        <v>46198.0</v>
      </c>
      <c r="E1864" s="52">
        <v>576.0</v>
      </c>
      <c r="F1864" s="55" t="s">
        <v>2337</v>
      </c>
      <c r="G1864" s="55">
        <v>866.0</v>
      </c>
      <c r="H1864" s="26"/>
      <c r="I1864" s="26" t="s">
        <v>1665</v>
      </c>
      <c r="J1864" s="26" t="s">
        <v>1225</v>
      </c>
      <c r="K1864" s="26" t="s">
        <v>1653</v>
      </c>
      <c r="L1864" s="26" t="s">
        <v>1667</v>
      </c>
      <c r="M1864" s="26" t="s">
        <v>1572</v>
      </c>
      <c r="N1864" s="26" t="s">
        <v>1654</v>
      </c>
      <c r="O1864" s="26" t="s">
        <v>1566</v>
      </c>
      <c r="P1864" s="26" t="s">
        <v>22</v>
      </c>
      <c r="Q1864" s="26">
        <v>0.0</v>
      </c>
    </row>
    <row r="1865" ht="17.25" customHeight="1">
      <c r="A1865" s="51">
        <v>46203.60276892361</v>
      </c>
      <c r="B1865" s="25" t="s">
        <v>1664</v>
      </c>
      <c r="C1865" s="55" t="s">
        <v>1892</v>
      </c>
      <c r="D1865" s="111">
        <v>46198.0</v>
      </c>
      <c r="E1865" s="52">
        <v>576.0</v>
      </c>
      <c r="F1865" s="55" t="s">
        <v>2337</v>
      </c>
      <c r="G1865" s="55">
        <v>867.0</v>
      </c>
      <c r="H1865" s="26"/>
      <c r="I1865" s="26" t="s">
        <v>1665</v>
      </c>
      <c r="J1865" s="26" t="s">
        <v>1225</v>
      </c>
      <c r="K1865" s="26" t="s">
        <v>1653</v>
      </c>
      <c r="L1865" s="26" t="s">
        <v>1667</v>
      </c>
      <c r="M1865" s="26" t="s">
        <v>1572</v>
      </c>
      <c r="N1865" s="26" t="s">
        <v>1654</v>
      </c>
      <c r="O1865" s="26" t="s">
        <v>1566</v>
      </c>
      <c r="P1865" s="26" t="s">
        <v>22</v>
      </c>
      <c r="Q1865" s="26">
        <v>0.0</v>
      </c>
    </row>
    <row r="1866" ht="17.25" customHeight="1">
      <c r="A1866" s="51">
        <v>46203.60324413194</v>
      </c>
      <c r="B1866" s="25" t="s">
        <v>932</v>
      </c>
      <c r="C1866" s="55" t="s">
        <v>1892</v>
      </c>
      <c r="D1866" s="111">
        <v>46198.0</v>
      </c>
      <c r="E1866" s="52">
        <v>2200.0</v>
      </c>
      <c r="F1866" s="55" t="s">
        <v>2337</v>
      </c>
      <c r="G1866" s="55">
        <v>868.0</v>
      </c>
      <c r="H1866" s="26"/>
      <c r="I1866" s="26" t="s">
        <v>933</v>
      </c>
      <c r="J1866" s="26" t="s">
        <v>1225</v>
      </c>
      <c r="K1866" s="26" t="s">
        <v>1562</v>
      </c>
      <c r="L1866" s="26" t="s">
        <v>1600</v>
      </c>
      <c r="M1866" s="26" t="s">
        <v>1572</v>
      </c>
      <c r="N1866" s="26" t="s">
        <v>1571</v>
      </c>
      <c r="O1866" s="26" t="s">
        <v>1566</v>
      </c>
      <c r="P1866" s="26" t="s">
        <v>22</v>
      </c>
      <c r="Q1866" s="26">
        <v>400.0</v>
      </c>
    </row>
    <row r="1867" ht="17.25" customHeight="1">
      <c r="A1867" s="51">
        <v>46203.60397091435</v>
      </c>
      <c r="B1867" s="25" t="s">
        <v>1710</v>
      </c>
      <c r="C1867" s="55" t="s">
        <v>1892</v>
      </c>
      <c r="D1867" s="111">
        <v>46198.0</v>
      </c>
      <c r="E1867" s="52">
        <v>400.0</v>
      </c>
      <c r="F1867" s="55" t="s">
        <v>2337</v>
      </c>
      <c r="G1867" s="55">
        <v>869.0</v>
      </c>
      <c r="H1867" s="26"/>
      <c r="I1867" s="26" t="s">
        <v>1711</v>
      </c>
      <c r="J1867" s="26" t="s">
        <v>1225</v>
      </c>
      <c r="K1867" s="26" t="s">
        <v>1562</v>
      </c>
      <c r="L1867" s="26" t="s">
        <v>1633</v>
      </c>
      <c r="M1867" s="26" t="s">
        <v>1564</v>
      </c>
      <c r="N1867" s="26" t="s">
        <v>1566</v>
      </c>
      <c r="O1867" s="26" t="s">
        <v>1566</v>
      </c>
      <c r="P1867" s="26" t="s">
        <v>22</v>
      </c>
      <c r="Q1867" s="26">
        <v>0.0</v>
      </c>
    </row>
    <row r="1868" ht="17.25" customHeight="1">
      <c r="A1868" s="51">
        <v>46203.60442616898</v>
      </c>
      <c r="B1868" s="25" t="s">
        <v>1710</v>
      </c>
      <c r="C1868" s="55" t="s">
        <v>1892</v>
      </c>
      <c r="D1868" s="111">
        <v>46198.0</v>
      </c>
      <c r="E1868" s="52">
        <v>300.0</v>
      </c>
      <c r="F1868" s="55" t="s">
        <v>2337</v>
      </c>
      <c r="G1868" s="55">
        <v>870.0</v>
      </c>
      <c r="H1868" s="26"/>
      <c r="I1868" s="26" t="s">
        <v>1711</v>
      </c>
      <c r="J1868" s="26" t="s">
        <v>1225</v>
      </c>
      <c r="K1868" s="26" t="s">
        <v>1562</v>
      </c>
      <c r="L1868" s="26" t="s">
        <v>1633</v>
      </c>
      <c r="M1868" s="26" t="s">
        <v>1564</v>
      </c>
      <c r="N1868" s="26" t="s">
        <v>1566</v>
      </c>
      <c r="O1868" s="26" t="s">
        <v>1566</v>
      </c>
      <c r="P1868" s="26" t="s">
        <v>22</v>
      </c>
      <c r="Q1868" s="26">
        <v>0.0</v>
      </c>
    </row>
    <row r="1869" ht="17.25" customHeight="1">
      <c r="A1869" s="51">
        <v>46203.60535574074</v>
      </c>
      <c r="B1869" s="25" t="s">
        <v>913</v>
      </c>
      <c r="C1869" s="55" t="s">
        <v>1892</v>
      </c>
      <c r="D1869" s="111">
        <v>46198.0</v>
      </c>
      <c r="E1869" s="52">
        <v>300.0</v>
      </c>
      <c r="F1869" s="55" t="s">
        <v>2337</v>
      </c>
      <c r="G1869" s="55">
        <v>870.0</v>
      </c>
      <c r="H1869" s="26"/>
      <c r="I1869" s="26" t="s">
        <v>915</v>
      </c>
      <c r="J1869" s="26" t="s">
        <v>1225</v>
      </c>
      <c r="K1869" s="26" t="s">
        <v>1562</v>
      </c>
      <c r="L1869" s="26" t="s">
        <v>1633</v>
      </c>
      <c r="M1869" s="26" t="s">
        <v>1564</v>
      </c>
      <c r="N1869" s="26" t="s">
        <v>1571</v>
      </c>
      <c r="O1869" s="26" t="s">
        <v>1566</v>
      </c>
      <c r="P1869" s="26" t="s">
        <v>22</v>
      </c>
      <c r="Q1869" s="26">
        <v>0.0</v>
      </c>
    </row>
    <row r="1870" ht="17.25" customHeight="1">
      <c r="A1870" s="51">
        <v>46203.605975625</v>
      </c>
      <c r="B1870" s="25" t="s">
        <v>33</v>
      </c>
      <c r="C1870" s="55" t="s">
        <v>1892</v>
      </c>
      <c r="D1870" s="111">
        <v>46198.0</v>
      </c>
      <c r="E1870" s="52">
        <v>300.0</v>
      </c>
      <c r="F1870" s="55" t="s">
        <v>2337</v>
      </c>
      <c r="G1870" s="55">
        <v>871.0</v>
      </c>
      <c r="H1870" s="26"/>
      <c r="I1870" s="26" t="s">
        <v>35</v>
      </c>
      <c r="J1870" s="26" t="s">
        <v>1225</v>
      </c>
      <c r="K1870" s="26" t="s">
        <v>1562</v>
      </c>
      <c r="L1870" s="26" t="s">
        <v>1573</v>
      </c>
      <c r="M1870" s="26" t="s">
        <v>1575</v>
      </c>
      <c r="N1870" s="26" t="s">
        <v>1566</v>
      </c>
      <c r="O1870" s="26" t="s">
        <v>1566</v>
      </c>
      <c r="P1870" s="26" t="s">
        <v>22</v>
      </c>
      <c r="Q1870" s="26">
        <v>2600.0</v>
      </c>
    </row>
    <row r="1871" ht="17.25" customHeight="1">
      <c r="A1871" s="51">
        <v>46203.60667671297</v>
      </c>
      <c r="B1871" s="25" t="s">
        <v>1741</v>
      </c>
      <c r="C1871" s="55" t="s">
        <v>1892</v>
      </c>
      <c r="D1871" s="111">
        <v>46198.0</v>
      </c>
      <c r="E1871" s="52">
        <v>350.0</v>
      </c>
      <c r="F1871" s="55" t="s">
        <v>2337</v>
      </c>
      <c r="G1871" s="55">
        <v>872.0</v>
      </c>
      <c r="H1871" s="26"/>
      <c r="I1871" s="26" t="s">
        <v>1742</v>
      </c>
      <c r="J1871" s="26" t="s">
        <v>1225</v>
      </c>
      <c r="K1871" s="26" t="s">
        <v>1562</v>
      </c>
      <c r="L1871" s="26" t="s">
        <v>1656</v>
      </c>
      <c r="M1871" s="26" t="s">
        <v>1575</v>
      </c>
      <c r="N1871" s="26" t="s">
        <v>1566</v>
      </c>
      <c r="O1871" s="26" t="s">
        <v>1566</v>
      </c>
      <c r="P1871" s="26" t="s">
        <v>22</v>
      </c>
      <c r="Q1871" s="26">
        <v>0.0</v>
      </c>
    </row>
    <row r="1872" ht="17.25" customHeight="1">
      <c r="A1872" s="51">
        <v>46203.60781207176</v>
      </c>
      <c r="B1872" s="25" t="s">
        <v>1708</v>
      </c>
      <c r="C1872" s="55" t="s">
        <v>1560</v>
      </c>
      <c r="D1872" s="111">
        <v>46198.0</v>
      </c>
      <c r="E1872" s="52">
        <v>400.0</v>
      </c>
      <c r="F1872" s="55" t="s">
        <v>2337</v>
      </c>
      <c r="G1872" s="26"/>
      <c r="H1872" s="26"/>
      <c r="I1872" s="26" t="s">
        <v>1709</v>
      </c>
      <c r="J1872" s="26" t="s">
        <v>1225</v>
      </c>
      <c r="K1872" s="26" t="s">
        <v>1562</v>
      </c>
      <c r="L1872" s="26" t="s">
        <v>1582</v>
      </c>
      <c r="M1872" s="26" t="s">
        <v>1572</v>
      </c>
      <c r="N1872" s="26" t="s">
        <v>1566</v>
      </c>
      <c r="O1872" s="26" t="s">
        <v>1566</v>
      </c>
      <c r="P1872" s="26" t="s">
        <v>22</v>
      </c>
      <c r="Q1872" s="26">
        <v>0.0</v>
      </c>
    </row>
    <row r="1873" ht="17.25" customHeight="1">
      <c r="A1873" s="51">
        <v>46203.607974768514</v>
      </c>
      <c r="B1873" s="25" t="s">
        <v>1708</v>
      </c>
      <c r="C1873" s="55" t="s">
        <v>1892</v>
      </c>
      <c r="D1873" s="111">
        <v>46198.0</v>
      </c>
      <c r="E1873" s="52">
        <v>400.0</v>
      </c>
      <c r="F1873" s="55" t="s">
        <v>2337</v>
      </c>
      <c r="G1873" s="55">
        <v>873.0</v>
      </c>
      <c r="H1873" s="26"/>
      <c r="I1873" s="26" t="s">
        <v>1709</v>
      </c>
      <c r="J1873" s="26" t="s">
        <v>1225</v>
      </c>
      <c r="K1873" s="26" t="s">
        <v>1562</v>
      </c>
      <c r="L1873" s="26" t="s">
        <v>1582</v>
      </c>
      <c r="M1873" s="26" t="s">
        <v>1572</v>
      </c>
      <c r="N1873" s="26" t="s">
        <v>1566</v>
      </c>
      <c r="O1873" s="26" t="s">
        <v>1566</v>
      </c>
      <c r="P1873" s="26" t="s">
        <v>22</v>
      </c>
      <c r="Q1873" s="26">
        <v>0.0</v>
      </c>
    </row>
    <row r="1874" ht="17.25" customHeight="1">
      <c r="A1874" s="51">
        <v>46203.60843497685</v>
      </c>
      <c r="B1874" s="25" t="s">
        <v>33</v>
      </c>
      <c r="C1874" s="55" t="s">
        <v>1892</v>
      </c>
      <c r="D1874" s="111">
        <v>46199.0</v>
      </c>
      <c r="E1874" s="52">
        <v>700.0</v>
      </c>
      <c r="F1874" s="55" t="s">
        <v>2337</v>
      </c>
      <c r="G1874" s="55">
        <v>874.0</v>
      </c>
      <c r="H1874" s="26"/>
      <c r="I1874" s="26" t="s">
        <v>35</v>
      </c>
      <c r="J1874" s="26" t="s">
        <v>1225</v>
      </c>
      <c r="K1874" s="26" t="s">
        <v>1562</v>
      </c>
      <c r="L1874" s="26" t="s">
        <v>1573</v>
      </c>
      <c r="M1874" s="26" t="s">
        <v>1575</v>
      </c>
      <c r="N1874" s="26" t="s">
        <v>1566</v>
      </c>
      <c r="O1874" s="26" t="s">
        <v>1566</v>
      </c>
      <c r="P1874" s="26" t="s">
        <v>22</v>
      </c>
      <c r="Q1874" s="26">
        <v>2600.0</v>
      </c>
    </row>
    <row r="1875" ht="17.25" customHeight="1">
      <c r="A1875" s="51">
        <v>46203.609178252314</v>
      </c>
      <c r="B1875" s="25" t="s">
        <v>70</v>
      </c>
      <c r="C1875" s="55" t="s">
        <v>1892</v>
      </c>
      <c r="D1875" s="239">
        <v>46200.0</v>
      </c>
      <c r="E1875" s="2">
        <v>3000.0</v>
      </c>
      <c r="F1875" s="55" t="s">
        <v>2337</v>
      </c>
      <c r="G1875" s="55">
        <v>875.0</v>
      </c>
      <c r="H1875" s="26"/>
      <c r="I1875" s="26" t="s">
        <v>71</v>
      </c>
      <c r="J1875" s="26" t="s">
        <v>1225</v>
      </c>
      <c r="K1875" s="26" t="s">
        <v>1562</v>
      </c>
      <c r="L1875" s="26" t="s">
        <v>1591</v>
      </c>
      <c r="M1875" s="26" t="s">
        <v>2172</v>
      </c>
      <c r="N1875" s="26" t="s">
        <v>1566</v>
      </c>
      <c r="O1875" s="26" t="s">
        <v>1571</v>
      </c>
      <c r="P1875" s="26" t="s">
        <v>22</v>
      </c>
      <c r="Q1875" s="26">
        <v>0.0</v>
      </c>
    </row>
    <row r="1876" ht="17.25" customHeight="1">
      <c r="A1876" s="51">
        <v>46203.6107428588</v>
      </c>
      <c r="B1876" s="25" t="s">
        <v>1250</v>
      </c>
      <c r="C1876" s="55" t="s">
        <v>1892</v>
      </c>
      <c r="D1876" s="239">
        <v>46200.0</v>
      </c>
      <c r="E1876" s="52">
        <v>800.0</v>
      </c>
      <c r="F1876" s="55" t="s">
        <v>2337</v>
      </c>
      <c r="G1876" s="55">
        <v>876.0</v>
      </c>
      <c r="H1876" s="26"/>
      <c r="I1876" s="26" t="s">
        <v>1251</v>
      </c>
      <c r="J1876" s="26" t="s">
        <v>1225</v>
      </c>
      <c r="K1876" s="26" t="s">
        <v>1562</v>
      </c>
      <c r="L1876" s="26" t="s">
        <v>1600</v>
      </c>
      <c r="M1876" s="26" t="s">
        <v>2172</v>
      </c>
      <c r="N1876" s="26" t="s">
        <v>1566</v>
      </c>
      <c r="O1876" s="26" t="s">
        <v>1566</v>
      </c>
      <c r="P1876" s="26" t="s">
        <v>22</v>
      </c>
      <c r="Q1876" s="26">
        <v>100.0</v>
      </c>
    </row>
    <row r="1877" ht="17.25" customHeight="1">
      <c r="A1877" s="51">
        <v>46203.611608437495</v>
      </c>
      <c r="B1877" s="25" t="s">
        <v>1250</v>
      </c>
      <c r="C1877" s="55" t="s">
        <v>1892</v>
      </c>
      <c r="D1877" s="239">
        <v>46200.0</v>
      </c>
      <c r="E1877" s="52">
        <v>400.0</v>
      </c>
      <c r="F1877" s="55" t="s">
        <v>2337</v>
      </c>
      <c r="G1877" s="55">
        <v>868.0</v>
      </c>
      <c r="H1877" s="26"/>
      <c r="I1877" s="26" t="s">
        <v>1251</v>
      </c>
      <c r="J1877" s="26" t="s">
        <v>1225</v>
      </c>
      <c r="K1877" s="26" t="s">
        <v>1562</v>
      </c>
      <c r="L1877" s="26" t="s">
        <v>1600</v>
      </c>
      <c r="M1877" s="26" t="s">
        <v>2172</v>
      </c>
      <c r="N1877" s="26" t="s">
        <v>1566</v>
      </c>
      <c r="O1877" s="26" t="s">
        <v>1566</v>
      </c>
      <c r="P1877" s="26" t="s">
        <v>22</v>
      </c>
      <c r="Q1877" s="26">
        <v>100.0</v>
      </c>
    </row>
    <row r="1878" ht="17.25" customHeight="1">
      <c r="A1878" s="51">
        <v>46203.61264215277</v>
      </c>
      <c r="B1878" s="25" t="s">
        <v>70</v>
      </c>
      <c r="C1878" s="55" t="s">
        <v>1892</v>
      </c>
      <c r="D1878" s="111">
        <v>46203.0</v>
      </c>
      <c r="E1878" s="52">
        <v>1200.0</v>
      </c>
      <c r="F1878" s="55" t="s">
        <v>2337</v>
      </c>
      <c r="G1878" s="55">
        <v>878.0</v>
      </c>
      <c r="H1878" s="26"/>
      <c r="I1878" s="26" t="s">
        <v>71</v>
      </c>
      <c r="J1878" s="26" t="s">
        <v>1225</v>
      </c>
      <c r="K1878" s="26" t="s">
        <v>1562</v>
      </c>
      <c r="L1878" s="26" t="s">
        <v>1591</v>
      </c>
      <c r="M1878" s="26" t="s">
        <v>2172</v>
      </c>
      <c r="N1878" s="26" t="s">
        <v>1566</v>
      </c>
      <c r="O1878" s="26" t="s">
        <v>1571</v>
      </c>
      <c r="P1878" s="26" t="s">
        <v>22</v>
      </c>
      <c r="Q1878" s="26">
        <v>0.0</v>
      </c>
    </row>
    <row r="1879" ht="17.25" customHeight="1">
      <c r="A1879" s="51">
        <v>46203.77641288194</v>
      </c>
      <c r="B1879" s="25" t="s">
        <v>1522</v>
      </c>
      <c r="C1879" s="55" t="s">
        <v>1560</v>
      </c>
      <c r="D1879" s="111">
        <v>46203.0</v>
      </c>
      <c r="E1879" s="52">
        <v>1100.0</v>
      </c>
      <c r="F1879" s="55" t="s">
        <v>2337</v>
      </c>
      <c r="G1879" s="55" t="s">
        <v>2338</v>
      </c>
      <c r="H1879" s="26"/>
      <c r="I1879" s="26" t="s">
        <v>1523</v>
      </c>
      <c r="J1879" s="26" t="s">
        <v>1225</v>
      </c>
      <c r="K1879" s="26" t="s">
        <v>1562</v>
      </c>
      <c r="L1879" s="26" t="s">
        <v>1563</v>
      </c>
      <c r="M1879" s="26" t="s">
        <v>1572</v>
      </c>
      <c r="N1879" s="26" t="s">
        <v>1571</v>
      </c>
      <c r="O1879" s="26" t="s">
        <v>1566</v>
      </c>
      <c r="P1879" s="26" t="s">
        <v>22</v>
      </c>
      <c r="Q1879" s="26">
        <v>800.0</v>
      </c>
    </row>
    <row r="1880" ht="17.25" customHeight="1">
      <c r="A1880" s="51">
        <v>46204.62923052083</v>
      </c>
      <c r="B1880" s="25" t="s">
        <v>1269</v>
      </c>
      <c r="C1880" s="55" t="s">
        <v>1892</v>
      </c>
      <c r="D1880" s="51">
        <v>46204.62923052083</v>
      </c>
      <c r="E1880" s="52">
        <v>0.5</v>
      </c>
      <c r="F1880" s="55" t="s">
        <v>630</v>
      </c>
      <c r="G1880" s="26"/>
      <c r="H1880" s="26"/>
      <c r="I1880" s="26" t="s">
        <v>1270</v>
      </c>
      <c r="J1880" s="26" t="s">
        <v>1812</v>
      </c>
      <c r="K1880" s="26" t="s">
        <v>1815</v>
      </c>
      <c r="L1880" s="26" t="s">
        <v>1566</v>
      </c>
      <c r="M1880" s="26" t="s">
        <v>1566</v>
      </c>
      <c r="N1880" s="26" t="s">
        <v>1566</v>
      </c>
      <c r="O1880" s="26" t="s">
        <v>1566</v>
      </c>
      <c r="P1880" s="26" t="s">
        <v>616</v>
      </c>
      <c r="Q1880" s="26">
        <v>2.0</v>
      </c>
    </row>
    <row r="1881" ht="17.25" customHeight="1">
      <c r="A1881" s="51">
        <v>46204.658231354166</v>
      </c>
      <c r="B1881" s="27" t="s">
        <v>1471</v>
      </c>
      <c r="C1881" s="55" t="s">
        <v>1560</v>
      </c>
      <c r="D1881" s="111">
        <v>46203.0</v>
      </c>
      <c r="E1881" s="52">
        <v>1.0</v>
      </c>
      <c r="F1881" s="55" t="s">
        <v>2124</v>
      </c>
      <c r="G1881" s="26"/>
      <c r="H1881" s="26"/>
      <c r="I1881" s="26" t="s">
        <v>1472</v>
      </c>
      <c r="J1881" s="26" t="s">
        <v>1674</v>
      </c>
      <c r="K1881" s="26" t="s">
        <v>1691</v>
      </c>
      <c r="L1881" s="26" t="s">
        <v>1590</v>
      </c>
      <c r="M1881" s="26" t="s">
        <v>1590</v>
      </c>
      <c r="N1881" s="26" t="s">
        <v>2190</v>
      </c>
      <c r="O1881" s="26" t="s">
        <v>1566</v>
      </c>
      <c r="P1881" s="26" t="s">
        <v>290</v>
      </c>
      <c r="Q1881" s="26">
        <v>0.0</v>
      </c>
    </row>
    <row r="1882" ht="17.25" customHeight="1">
      <c r="A1882" s="51">
        <v>46204.658231354166</v>
      </c>
      <c r="B1882" s="27" t="s">
        <v>1462</v>
      </c>
      <c r="C1882" s="55" t="s">
        <v>1560</v>
      </c>
      <c r="D1882" s="111">
        <v>46203.0</v>
      </c>
      <c r="E1882" s="52">
        <v>1.0</v>
      </c>
      <c r="F1882" s="55" t="s">
        <v>2124</v>
      </c>
      <c r="G1882" s="26"/>
      <c r="H1882" s="26"/>
      <c r="I1882" s="26" t="s">
        <v>1463</v>
      </c>
      <c r="J1882" s="26" t="s">
        <v>1674</v>
      </c>
      <c r="K1882" s="26" t="s">
        <v>1691</v>
      </c>
      <c r="L1882" s="26" t="s">
        <v>1590</v>
      </c>
      <c r="M1882" s="26" t="s">
        <v>1590</v>
      </c>
      <c r="N1882" s="26" t="s">
        <v>2191</v>
      </c>
      <c r="O1882" s="26" t="s">
        <v>1566</v>
      </c>
      <c r="P1882" s="26" t="s">
        <v>290</v>
      </c>
      <c r="Q1882" s="26">
        <v>0.0</v>
      </c>
    </row>
    <row r="1883" ht="17.25" customHeight="1">
      <c r="A1883" s="51">
        <v>46204.658231354166</v>
      </c>
      <c r="B1883" s="27" t="s">
        <v>1447</v>
      </c>
      <c r="C1883" s="55" t="s">
        <v>1560</v>
      </c>
      <c r="D1883" s="111">
        <v>46203.0</v>
      </c>
      <c r="E1883" s="52">
        <v>1.0</v>
      </c>
      <c r="F1883" s="55" t="s">
        <v>2124</v>
      </c>
      <c r="G1883" s="26"/>
      <c r="H1883" s="26"/>
      <c r="I1883" s="26" t="s">
        <v>1449</v>
      </c>
      <c r="J1883" s="26" t="s">
        <v>1674</v>
      </c>
      <c r="K1883" s="26" t="s">
        <v>1691</v>
      </c>
      <c r="L1883" s="26" t="s">
        <v>1590</v>
      </c>
      <c r="M1883" s="26" t="s">
        <v>1590</v>
      </c>
      <c r="N1883" s="26" t="s">
        <v>2192</v>
      </c>
      <c r="O1883" s="26" t="s">
        <v>1566</v>
      </c>
      <c r="P1883" s="26" t="s">
        <v>290</v>
      </c>
      <c r="Q1883" s="26">
        <v>0.0</v>
      </c>
    </row>
    <row r="1884" ht="17.25" customHeight="1">
      <c r="A1884" s="51">
        <v>46204.658231354166</v>
      </c>
      <c r="B1884" s="27" t="s">
        <v>1433</v>
      </c>
      <c r="C1884" s="55" t="s">
        <v>1560</v>
      </c>
      <c r="D1884" s="111">
        <v>46203.0</v>
      </c>
      <c r="E1884" s="52">
        <v>1.0</v>
      </c>
      <c r="F1884" s="55" t="s">
        <v>2124</v>
      </c>
      <c r="G1884" s="26"/>
      <c r="H1884" s="26"/>
      <c r="I1884" s="26" t="s">
        <v>1435</v>
      </c>
      <c r="J1884" s="26" t="s">
        <v>1674</v>
      </c>
      <c r="K1884" s="26" t="s">
        <v>1691</v>
      </c>
      <c r="L1884" s="26" t="s">
        <v>1590</v>
      </c>
      <c r="M1884" s="26" t="s">
        <v>1590</v>
      </c>
      <c r="N1884" s="26" t="s">
        <v>2194</v>
      </c>
      <c r="O1884" s="26" t="s">
        <v>1566</v>
      </c>
      <c r="P1884" s="26" t="s">
        <v>290</v>
      </c>
      <c r="Q1884" s="26">
        <v>0.0</v>
      </c>
    </row>
    <row r="1885" ht="17.25" customHeight="1">
      <c r="A1885" s="51">
        <v>46204.658231354166</v>
      </c>
      <c r="B1885" s="27" t="s">
        <v>1426</v>
      </c>
      <c r="C1885" s="55" t="s">
        <v>1560</v>
      </c>
      <c r="D1885" s="111">
        <v>46203.0</v>
      </c>
      <c r="E1885" s="52">
        <v>1.0</v>
      </c>
      <c r="F1885" s="55" t="s">
        <v>2124</v>
      </c>
      <c r="G1885" s="26"/>
      <c r="H1885" s="26"/>
      <c r="I1885" s="26" t="s">
        <v>1428</v>
      </c>
      <c r="J1885" s="26" t="s">
        <v>1674</v>
      </c>
      <c r="K1885" s="26" t="s">
        <v>1691</v>
      </c>
      <c r="L1885" s="26" t="s">
        <v>1590</v>
      </c>
      <c r="M1885" s="26" t="s">
        <v>1590</v>
      </c>
      <c r="N1885" s="26" t="s">
        <v>2195</v>
      </c>
      <c r="O1885" s="26" t="s">
        <v>1566</v>
      </c>
      <c r="P1885" s="26" t="s">
        <v>290</v>
      </c>
      <c r="Q1885" s="26">
        <v>0.0</v>
      </c>
    </row>
    <row r="1886" ht="17.25" customHeight="1">
      <c r="A1886" s="51">
        <v>46204.658231354166</v>
      </c>
      <c r="B1886" s="27" t="s">
        <v>1415</v>
      </c>
      <c r="C1886" s="55" t="s">
        <v>1560</v>
      </c>
      <c r="D1886" s="111">
        <v>46203.0</v>
      </c>
      <c r="E1886" s="52">
        <v>1.0</v>
      </c>
      <c r="F1886" s="55" t="s">
        <v>2124</v>
      </c>
      <c r="G1886" s="26"/>
      <c r="H1886" s="26"/>
      <c r="I1886" s="26" t="s">
        <v>1420</v>
      </c>
      <c r="J1886" s="26" t="s">
        <v>1674</v>
      </c>
      <c r="K1886" s="26" t="s">
        <v>1691</v>
      </c>
      <c r="L1886" s="26" t="s">
        <v>1590</v>
      </c>
      <c r="M1886" s="26" t="s">
        <v>1590</v>
      </c>
      <c r="N1886" s="26" t="s">
        <v>1590</v>
      </c>
      <c r="O1886" s="26" t="s">
        <v>1566</v>
      </c>
      <c r="P1886" s="26" t="s">
        <v>290</v>
      </c>
      <c r="Q1886" s="26">
        <v>0.0</v>
      </c>
    </row>
    <row r="1887" ht="17.25" customHeight="1">
      <c r="A1887" s="51">
        <v>46204.658231354166</v>
      </c>
      <c r="B1887" s="27" t="s">
        <v>1404</v>
      </c>
      <c r="C1887" s="55" t="s">
        <v>1560</v>
      </c>
      <c r="D1887" s="111">
        <v>46203.0</v>
      </c>
      <c r="E1887" s="52">
        <v>1.0</v>
      </c>
      <c r="F1887" s="55" t="s">
        <v>2124</v>
      </c>
      <c r="G1887" s="26"/>
      <c r="H1887" s="26"/>
      <c r="I1887" s="26" t="s">
        <v>1407</v>
      </c>
      <c r="J1887" s="26" t="s">
        <v>1674</v>
      </c>
      <c r="K1887" s="26" t="s">
        <v>1691</v>
      </c>
      <c r="L1887" s="26" t="s">
        <v>1590</v>
      </c>
      <c r="M1887" s="26" t="s">
        <v>1590</v>
      </c>
      <c r="N1887" s="26" t="s">
        <v>1590</v>
      </c>
      <c r="O1887" s="26" t="s">
        <v>1566</v>
      </c>
      <c r="P1887" s="26" t="s">
        <v>290</v>
      </c>
      <c r="Q1887" s="26">
        <v>0.0</v>
      </c>
    </row>
    <row r="1888" ht="17.25" customHeight="1">
      <c r="A1888" s="51">
        <v>46204.743383900466</v>
      </c>
      <c r="B1888" s="23" t="s">
        <v>312</v>
      </c>
      <c r="C1888" s="55" t="s">
        <v>1892</v>
      </c>
      <c r="D1888" s="51">
        <v>46204.743383900466</v>
      </c>
      <c r="E1888" s="52">
        <v>4.0</v>
      </c>
      <c r="F1888" s="55" t="s">
        <v>2239</v>
      </c>
      <c r="G1888" s="26"/>
      <c r="H1888" s="26"/>
      <c r="I1888" s="26" t="s">
        <v>319</v>
      </c>
      <c r="J1888" s="26" t="s">
        <v>1821</v>
      </c>
      <c r="K1888" s="26" t="s">
        <v>1822</v>
      </c>
      <c r="L1888" s="26" t="s">
        <v>1566</v>
      </c>
      <c r="M1888" s="26" t="s">
        <v>1566</v>
      </c>
      <c r="N1888" s="26" t="s">
        <v>1566</v>
      </c>
      <c r="O1888" s="26" t="s">
        <v>1829</v>
      </c>
      <c r="P1888" s="26" t="s">
        <v>661</v>
      </c>
      <c r="Q1888" s="26">
        <v>17.0</v>
      </c>
    </row>
    <row r="1889" ht="17.25" customHeight="1">
      <c r="A1889" s="51">
        <v>46204.74375952546</v>
      </c>
      <c r="B1889" s="23" t="s">
        <v>301</v>
      </c>
      <c r="C1889" s="55" t="s">
        <v>1892</v>
      </c>
      <c r="D1889" s="51">
        <v>46204.743383900466</v>
      </c>
      <c r="E1889" s="52">
        <v>15.0</v>
      </c>
      <c r="F1889" s="55" t="s">
        <v>2169</v>
      </c>
      <c r="G1889" s="26"/>
      <c r="H1889" s="26"/>
      <c r="I1889" s="26" t="s">
        <v>302</v>
      </c>
      <c r="J1889" s="26" t="s">
        <v>1830</v>
      </c>
      <c r="K1889" s="26" t="s">
        <v>302</v>
      </c>
      <c r="L1889" s="26" t="s">
        <v>1566</v>
      </c>
      <c r="M1889" s="26" t="s">
        <v>1566</v>
      </c>
      <c r="N1889" s="26" t="s">
        <v>1566</v>
      </c>
      <c r="O1889" s="26" t="s">
        <v>1566</v>
      </c>
      <c r="P1889" s="26" t="s">
        <v>661</v>
      </c>
      <c r="Q1889" s="26">
        <v>580.0</v>
      </c>
    </row>
    <row r="1890" ht="17.25" customHeight="1">
      <c r="A1890" s="51">
        <v>46204.74376671296</v>
      </c>
      <c r="B1890" s="23" t="s">
        <v>301</v>
      </c>
      <c r="C1890" s="55" t="s">
        <v>1892</v>
      </c>
      <c r="D1890" s="51">
        <v>46204.743383900466</v>
      </c>
      <c r="E1890" s="52">
        <v>7.0</v>
      </c>
      <c r="F1890" s="55" t="s">
        <v>2046</v>
      </c>
      <c r="G1890" s="26"/>
      <c r="H1890" s="26"/>
      <c r="I1890" s="26" t="s">
        <v>302</v>
      </c>
      <c r="J1890" s="26" t="s">
        <v>1830</v>
      </c>
      <c r="K1890" s="26" t="s">
        <v>302</v>
      </c>
      <c r="L1890" s="26" t="s">
        <v>1566</v>
      </c>
      <c r="M1890" s="26" t="s">
        <v>1566</v>
      </c>
      <c r="N1890" s="26" t="s">
        <v>1566</v>
      </c>
      <c r="O1890" s="26" t="s">
        <v>1566</v>
      </c>
      <c r="P1890" s="26" t="s">
        <v>661</v>
      </c>
      <c r="Q1890" s="26">
        <v>580.0</v>
      </c>
    </row>
    <row r="1891" ht="17.25" customHeight="1">
      <c r="A1891" s="51">
        <v>46204.74377006944</v>
      </c>
      <c r="B1891" s="23" t="s">
        <v>301</v>
      </c>
      <c r="C1891" s="55" t="s">
        <v>1892</v>
      </c>
      <c r="D1891" s="51">
        <v>46204.743383900466</v>
      </c>
      <c r="E1891" s="52">
        <v>5.0</v>
      </c>
      <c r="F1891" s="55" t="s">
        <v>630</v>
      </c>
      <c r="G1891" s="26"/>
      <c r="H1891" s="26"/>
      <c r="I1891" s="26" t="s">
        <v>302</v>
      </c>
      <c r="J1891" s="26" t="s">
        <v>1830</v>
      </c>
      <c r="K1891" s="26" t="s">
        <v>302</v>
      </c>
      <c r="L1891" s="26" t="s">
        <v>1566</v>
      </c>
      <c r="M1891" s="26" t="s">
        <v>1566</v>
      </c>
      <c r="N1891" s="26" t="s">
        <v>1566</v>
      </c>
      <c r="O1891" s="26" t="s">
        <v>1566</v>
      </c>
      <c r="P1891" s="26" t="s">
        <v>661</v>
      </c>
      <c r="Q1891" s="26">
        <v>580.0</v>
      </c>
    </row>
    <row r="1892" ht="17.25" customHeight="1">
      <c r="A1892" s="51">
        <v>46204.74421267361</v>
      </c>
      <c r="B1892" s="23" t="s">
        <v>32</v>
      </c>
      <c r="C1892" s="55" t="s">
        <v>1892</v>
      </c>
      <c r="D1892" s="51">
        <v>46204.743383900466</v>
      </c>
      <c r="E1892" s="52">
        <v>2.0</v>
      </c>
      <c r="F1892" s="55" t="s">
        <v>630</v>
      </c>
      <c r="G1892" s="26"/>
      <c r="H1892" s="26"/>
      <c r="I1892" s="26" t="s">
        <v>34</v>
      </c>
      <c r="J1892" s="26" t="s">
        <v>1807</v>
      </c>
      <c r="K1892" s="26" t="s">
        <v>1807</v>
      </c>
      <c r="L1892" s="26" t="s">
        <v>1566</v>
      </c>
      <c r="M1892" s="26" t="s">
        <v>1566</v>
      </c>
      <c r="N1892" s="26" t="s">
        <v>1566</v>
      </c>
      <c r="O1892" s="26" t="s">
        <v>1808</v>
      </c>
      <c r="P1892" s="26" t="s">
        <v>290</v>
      </c>
      <c r="Q1892" s="26">
        <v>7.0</v>
      </c>
    </row>
    <row r="1893" ht="17.25" customHeight="1">
      <c r="A1893" s="51">
        <v>46204.74521688657</v>
      </c>
      <c r="B1893" s="23" t="s">
        <v>359</v>
      </c>
      <c r="C1893" s="55" t="s">
        <v>1892</v>
      </c>
      <c r="D1893" s="51">
        <v>46204.743383900466</v>
      </c>
      <c r="E1893" s="52">
        <v>7.0</v>
      </c>
      <c r="F1893" s="55" t="s">
        <v>2339</v>
      </c>
      <c r="G1893" s="26"/>
      <c r="H1893" s="26"/>
      <c r="I1893" s="26" t="s">
        <v>370</v>
      </c>
      <c r="J1893" s="26" t="s">
        <v>370</v>
      </c>
      <c r="K1893" s="26" t="s">
        <v>370</v>
      </c>
      <c r="L1893" s="26" t="s">
        <v>1566</v>
      </c>
      <c r="M1893" s="26" t="s">
        <v>1566</v>
      </c>
      <c r="N1893" s="26" t="s">
        <v>1566</v>
      </c>
      <c r="O1893" s="26" t="s">
        <v>1566</v>
      </c>
      <c r="P1893" s="26" t="s">
        <v>661</v>
      </c>
      <c r="Q1893" s="26">
        <v>100.0</v>
      </c>
    </row>
    <row r="1894" ht="17.25" customHeight="1">
      <c r="A1894" s="51">
        <v>46204.74532149306</v>
      </c>
      <c r="B1894" s="23" t="s">
        <v>359</v>
      </c>
      <c r="C1894" s="55" t="s">
        <v>1560</v>
      </c>
      <c r="D1894" s="111">
        <v>46203.0</v>
      </c>
      <c r="E1894" s="52">
        <v>250.0</v>
      </c>
      <c r="F1894" s="55" t="s">
        <v>1673</v>
      </c>
      <c r="G1894" s="26"/>
      <c r="H1894" s="26"/>
      <c r="I1894" s="26" t="s">
        <v>370</v>
      </c>
      <c r="J1894" s="26" t="s">
        <v>370</v>
      </c>
      <c r="K1894" s="26" t="s">
        <v>370</v>
      </c>
      <c r="L1894" s="26" t="s">
        <v>1566</v>
      </c>
      <c r="M1894" s="26" t="s">
        <v>1566</v>
      </c>
      <c r="N1894" s="26" t="s">
        <v>1566</v>
      </c>
      <c r="O1894" s="26" t="s">
        <v>1566</v>
      </c>
      <c r="P1894" s="26" t="s">
        <v>661</v>
      </c>
      <c r="Q1894" s="26">
        <v>100.0</v>
      </c>
    </row>
    <row r="1895" ht="17.25" customHeight="1">
      <c r="A1895" s="51">
        <v>46204.74622945602</v>
      </c>
      <c r="B1895" s="25" t="s">
        <v>1285</v>
      </c>
      <c r="C1895" s="55" t="s">
        <v>1560</v>
      </c>
      <c r="D1895" s="51">
        <v>46204.743383900466</v>
      </c>
      <c r="E1895" s="52">
        <v>1000.0</v>
      </c>
      <c r="F1895" s="55" t="s">
        <v>1561</v>
      </c>
      <c r="G1895" s="55" t="s">
        <v>2340</v>
      </c>
      <c r="H1895" s="26"/>
      <c r="I1895" s="26" t="s">
        <v>1286</v>
      </c>
      <c r="J1895" s="26" t="s">
        <v>1225</v>
      </c>
      <c r="K1895" s="26" t="s">
        <v>1896</v>
      </c>
      <c r="L1895" s="26" t="s">
        <v>1563</v>
      </c>
      <c r="M1895" s="26" t="s">
        <v>1572</v>
      </c>
      <c r="N1895" s="26" t="s">
        <v>1566</v>
      </c>
      <c r="O1895" s="26" t="s">
        <v>1566</v>
      </c>
      <c r="P1895" s="26" t="s">
        <v>22</v>
      </c>
      <c r="Q1895" s="26">
        <v>300.0</v>
      </c>
    </row>
    <row r="1896" ht="17.25" customHeight="1">
      <c r="A1896" s="51">
        <v>46204.747695405094</v>
      </c>
      <c r="B1896" s="26" t="s">
        <v>87</v>
      </c>
      <c r="C1896" s="55" t="s">
        <v>1560</v>
      </c>
      <c r="D1896" s="51">
        <v>46204.743383900466</v>
      </c>
      <c r="E1896" s="52">
        <v>1000.0</v>
      </c>
      <c r="F1896" s="55" t="s">
        <v>1561</v>
      </c>
      <c r="G1896" s="55" t="s">
        <v>2341</v>
      </c>
      <c r="H1896" s="26"/>
      <c r="I1896" s="26" t="s">
        <v>88</v>
      </c>
      <c r="J1896" s="26" t="s">
        <v>1225</v>
      </c>
      <c r="K1896" s="26" t="s">
        <v>1562</v>
      </c>
      <c r="L1896" s="26" t="s">
        <v>1633</v>
      </c>
      <c r="M1896" s="26" t="s">
        <v>1575</v>
      </c>
      <c r="N1896" s="26" t="s">
        <v>1590</v>
      </c>
      <c r="O1896" s="26" t="s">
        <v>2160</v>
      </c>
      <c r="P1896" s="26" t="s">
        <v>22</v>
      </c>
      <c r="Q1896" s="26">
        <v>800.0</v>
      </c>
    </row>
    <row r="1897" ht="17.25" customHeight="1">
      <c r="A1897" s="51">
        <v>46204.748126770835</v>
      </c>
      <c r="B1897" s="25" t="s">
        <v>105</v>
      </c>
      <c r="C1897" s="55" t="s">
        <v>1560</v>
      </c>
      <c r="D1897" s="51">
        <v>46204.743383900466</v>
      </c>
      <c r="E1897" s="52">
        <v>1000.0</v>
      </c>
      <c r="F1897" s="55" t="s">
        <v>1561</v>
      </c>
      <c r="G1897" s="55" t="s">
        <v>2342</v>
      </c>
      <c r="H1897" s="26"/>
      <c r="I1897" s="26" t="s">
        <v>107</v>
      </c>
      <c r="J1897" s="26" t="s">
        <v>1225</v>
      </c>
      <c r="K1897" s="26" t="s">
        <v>1562</v>
      </c>
      <c r="L1897" s="26" t="s">
        <v>1603</v>
      </c>
      <c r="M1897" s="26" t="s">
        <v>1575</v>
      </c>
      <c r="N1897" s="26" t="s">
        <v>1571</v>
      </c>
      <c r="O1897" s="26" t="s">
        <v>1566</v>
      </c>
      <c r="P1897" s="26" t="s">
        <v>22</v>
      </c>
      <c r="Q1897" s="26">
        <v>1200.0</v>
      </c>
    </row>
    <row r="1898" ht="17.25" customHeight="1">
      <c r="A1898" s="51">
        <v>46204.74856047454</v>
      </c>
      <c r="B1898" s="25" t="s">
        <v>942</v>
      </c>
      <c r="C1898" s="55" t="s">
        <v>1892</v>
      </c>
      <c r="D1898" s="51">
        <v>46204.743383900466</v>
      </c>
      <c r="E1898" s="52">
        <v>100.0</v>
      </c>
      <c r="F1898" s="55" t="s">
        <v>1561</v>
      </c>
      <c r="G1898" s="55" t="s">
        <v>2255</v>
      </c>
      <c r="H1898" s="26"/>
      <c r="I1898" s="26" t="s">
        <v>943</v>
      </c>
      <c r="J1898" s="26" t="s">
        <v>1225</v>
      </c>
      <c r="K1898" s="26" t="s">
        <v>1562</v>
      </c>
      <c r="L1898" s="26" t="s">
        <v>1591</v>
      </c>
      <c r="M1898" s="26" t="s">
        <v>1575</v>
      </c>
      <c r="N1898" s="26" t="s">
        <v>1566</v>
      </c>
      <c r="O1898" s="26" t="s">
        <v>1566</v>
      </c>
      <c r="P1898" s="26" t="s">
        <v>22</v>
      </c>
      <c r="Q1898" s="26">
        <v>900.0</v>
      </c>
    </row>
    <row r="1899" ht="17.25" customHeight="1">
      <c r="A1899" s="51">
        <v>46204.74867612269</v>
      </c>
      <c r="B1899" s="25" t="s">
        <v>942</v>
      </c>
      <c r="C1899" s="55" t="s">
        <v>1560</v>
      </c>
      <c r="D1899" s="51">
        <v>46204.743383900466</v>
      </c>
      <c r="E1899" s="52">
        <v>2000.0</v>
      </c>
      <c r="F1899" s="55" t="s">
        <v>1561</v>
      </c>
      <c r="G1899" s="55" t="s">
        <v>2343</v>
      </c>
      <c r="H1899" s="26"/>
      <c r="I1899" s="26" t="s">
        <v>943</v>
      </c>
      <c r="J1899" s="26" t="s">
        <v>1225</v>
      </c>
      <c r="K1899" s="26" t="s">
        <v>1562</v>
      </c>
      <c r="L1899" s="26" t="s">
        <v>1591</v>
      </c>
      <c r="M1899" s="26" t="s">
        <v>1575</v>
      </c>
      <c r="N1899" s="26" t="s">
        <v>1566</v>
      </c>
      <c r="O1899" s="26" t="s">
        <v>1566</v>
      </c>
      <c r="P1899" s="26" t="s">
        <v>22</v>
      </c>
      <c r="Q1899" s="26">
        <v>900.0</v>
      </c>
    </row>
    <row r="1900" ht="17.25" customHeight="1">
      <c r="A1900" s="51">
        <v>46205.472028159726</v>
      </c>
      <c r="B1900" s="25" t="s">
        <v>104</v>
      </c>
      <c r="C1900" s="55" t="s">
        <v>1560</v>
      </c>
      <c r="D1900" s="51">
        <v>46204.743383900466</v>
      </c>
      <c r="E1900" s="52">
        <v>3000.0</v>
      </c>
      <c r="F1900" s="55" t="s">
        <v>1561</v>
      </c>
      <c r="G1900" s="26"/>
      <c r="H1900" s="26"/>
      <c r="I1900" s="26" t="s">
        <v>106</v>
      </c>
      <c r="J1900" s="26" t="s">
        <v>1225</v>
      </c>
      <c r="K1900" s="26" t="s">
        <v>1562</v>
      </c>
      <c r="L1900" s="26" t="s">
        <v>1582</v>
      </c>
      <c r="M1900" s="26" t="s">
        <v>1607</v>
      </c>
      <c r="N1900" s="26" t="s">
        <v>1571</v>
      </c>
      <c r="O1900" s="26" t="s">
        <v>1566</v>
      </c>
      <c r="P1900" s="26" t="s">
        <v>22</v>
      </c>
      <c r="Q1900" s="26">
        <v>1000.0</v>
      </c>
    </row>
    <row r="1901" ht="17.25" customHeight="1">
      <c r="A1901" s="51">
        <v>46205.47419759259</v>
      </c>
      <c r="B1901" s="26" t="s">
        <v>1762</v>
      </c>
      <c r="C1901" s="55" t="s">
        <v>1560</v>
      </c>
      <c r="D1901" s="51">
        <v>46204.743383900466</v>
      </c>
      <c r="E1901" s="52">
        <v>800.0</v>
      </c>
      <c r="F1901" s="55" t="s">
        <v>1561</v>
      </c>
      <c r="G1901" s="26"/>
      <c r="H1901" s="26"/>
      <c r="I1901" s="26" t="s">
        <v>1763</v>
      </c>
      <c r="J1901" s="26" t="s">
        <v>1225</v>
      </c>
      <c r="K1901" s="26" t="s">
        <v>1562</v>
      </c>
      <c r="L1901" s="26" t="s">
        <v>2197</v>
      </c>
      <c r="M1901" s="26" t="s">
        <v>1575</v>
      </c>
      <c r="N1901" s="26" t="s">
        <v>1590</v>
      </c>
      <c r="O1901" s="26" t="s">
        <v>2160</v>
      </c>
      <c r="P1901" s="26" t="s">
        <v>22</v>
      </c>
      <c r="Q1901" s="26">
        <v>0.0</v>
      </c>
    </row>
    <row r="1902" ht="17.25" customHeight="1">
      <c r="A1902" s="51">
        <v>46205.47506939815</v>
      </c>
      <c r="B1902" s="26" t="s">
        <v>1764</v>
      </c>
      <c r="C1902" s="55" t="s">
        <v>1560</v>
      </c>
      <c r="D1902" s="51">
        <v>46204.743383900466</v>
      </c>
      <c r="E1902" s="52">
        <v>1500.0</v>
      </c>
      <c r="F1902" s="55" t="s">
        <v>1561</v>
      </c>
      <c r="G1902" s="26"/>
      <c r="H1902" s="26"/>
      <c r="I1902" s="26" t="s">
        <v>1765</v>
      </c>
      <c r="J1902" s="26" t="s">
        <v>1225</v>
      </c>
      <c r="K1902" s="26" t="s">
        <v>1562</v>
      </c>
      <c r="L1902" s="26" t="s">
        <v>1641</v>
      </c>
      <c r="M1902" s="26" t="s">
        <v>1575</v>
      </c>
      <c r="N1902" s="26" t="s">
        <v>1590</v>
      </c>
      <c r="O1902" s="26" t="s">
        <v>2160</v>
      </c>
      <c r="P1902" s="26" t="s">
        <v>22</v>
      </c>
      <c r="Q1902" s="26">
        <v>0.0</v>
      </c>
    </row>
    <row r="1903" ht="17.25" customHeight="1">
      <c r="A1903" s="51">
        <v>46205.47556222222</v>
      </c>
      <c r="B1903" s="25" t="s">
        <v>1589</v>
      </c>
      <c r="C1903" s="55" t="s">
        <v>1560</v>
      </c>
      <c r="D1903" s="51">
        <v>46204.743383900466</v>
      </c>
      <c r="E1903" s="52">
        <v>500.0</v>
      </c>
      <c r="F1903" s="55" t="s">
        <v>1561</v>
      </c>
      <c r="G1903" s="26"/>
      <c r="H1903" s="26"/>
      <c r="I1903" s="26" t="s">
        <v>1695</v>
      </c>
      <c r="J1903" s="26" t="s">
        <v>1225</v>
      </c>
      <c r="K1903" s="26" t="s">
        <v>1562</v>
      </c>
      <c r="L1903" s="26" t="s">
        <v>1573</v>
      </c>
      <c r="M1903" s="26" t="s">
        <v>1604</v>
      </c>
      <c r="N1903" s="26" t="s">
        <v>1566</v>
      </c>
      <c r="O1903" s="26" t="s">
        <v>1566</v>
      </c>
      <c r="P1903" s="26" t="s">
        <v>22</v>
      </c>
      <c r="Q1903" s="26">
        <v>0.0</v>
      </c>
    </row>
    <row r="1904" ht="17.25" customHeight="1">
      <c r="A1904" s="51">
        <v>46205.47967608796</v>
      </c>
      <c r="B1904" s="26" t="s">
        <v>1317</v>
      </c>
      <c r="C1904" s="55" t="s">
        <v>1560</v>
      </c>
      <c r="D1904" s="51">
        <v>46204.743383900466</v>
      </c>
      <c r="E1904" s="52">
        <v>1600.0</v>
      </c>
      <c r="F1904" s="55" t="s">
        <v>1561</v>
      </c>
      <c r="G1904" s="26"/>
      <c r="H1904" s="26"/>
      <c r="I1904" s="26" t="s">
        <v>1318</v>
      </c>
      <c r="J1904" s="26" t="s">
        <v>1225</v>
      </c>
      <c r="K1904" s="26" t="s">
        <v>1562</v>
      </c>
      <c r="L1904" s="26" t="s">
        <v>2198</v>
      </c>
      <c r="M1904" s="26" t="s">
        <v>1604</v>
      </c>
      <c r="N1904" s="26" t="s">
        <v>1590</v>
      </c>
      <c r="O1904" s="26" t="s">
        <v>2160</v>
      </c>
      <c r="P1904" s="26" t="s">
        <v>22</v>
      </c>
      <c r="Q1904" s="26">
        <v>1600.0</v>
      </c>
    </row>
    <row r="1905" ht="17.25" customHeight="1">
      <c r="A1905" s="51">
        <v>46205.479912731476</v>
      </c>
      <c r="B1905" s="25" t="s">
        <v>1014</v>
      </c>
      <c r="C1905" s="55" t="s">
        <v>1560</v>
      </c>
      <c r="D1905" s="51">
        <v>46204.743383900466</v>
      </c>
      <c r="E1905" s="52">
        <v>1325.0</v>
      </c>
      <c r="F1905" s="55" t="s">
        <v>1561</v>
      </c>
      <c r="G1905" s="26"/>
      <c r="H1905" s="26"/>
      <c r="I1905" s="26" t="s">
        <v>1015</v>
      </c>
      <c r="J1905" s="26" t="s">
        <v>1225</v>
      </c>
      <c r="K1905" s="26" t="s">
        <v>1562</v>
      </c>
      <c r="L1905" s="26" t="s">
        <v>1573</v>
      </c>
      <c r="M1905" s="26" t="s">
        <v>2057</v>
      </c>
      <c r="N1905" s="26" t="s">
        <v>1566</v>
      </c>
      <c r="O1905" s="26" t="s">
        <v>1566</v>
      </c>
      <c r="P1905" s="26" t="s">
        <v>22</v>
      </c>
      <c r="Q1905" s="26">
        <v>835.0</v>
      </c>
    </row>
    <row r="1906" ht="17.25" customHeight="1">
      <c r="A1906" s="51">
        <v>46205.49174761574</v>
      </c>
      <c r="B1906" s="25" t="s">
        <v>1064</v>
      </c>
      <c r="C1906" s="55" t="s">
        <v>1560</v>
      </c>
      <c r="D1906" s="111">
        <v>46202.0</v>
      </c>
      <c r="E1906" s="52">
        <v>1500.0</v>
      </c>
      <c r="F1906" s="55" t="s">
        <v>1561</v>
      </c>
      <c r="G1906" s="26"/>
      <c r="H1906" s="26"/>
      <c r="I1906" s="26" t="s">
        <v>1065</v>
      </c>
      <c r="J1906" s="26" t="s">
        <v>1225</v>
      </c>
      <c r="K1906" s="26" t="s">
        <v>1562</v>
      </c>
      <c r="L1906" s="26" t="s">
        <v>1576</v>
      </c>
      <c r="M1906" s="26" t="s">
        <v>1564</v>
      </c>
      <c r="N1906" s="26" t="s">
        <v>1566</v>
      </c>
      <c r="O1906" s="26" t="s">
        <v>1566</v>
      </c>
      <c r="P1906" s="26" t="s">
        <v>22</v>
      </c>
      <c r="Q1906" s="26">
        <v>1500.0</v>
      </c>
    </row>
    <row r="1907" ht="17.25" customHeight="1">
      <c r="A1907" s="51">
        <v>46205.683836192125</v>
      </c>
      <c r="B1907" s="25" t="s">
        <v>622</v>
      </c>
      <c r="C1907" s="55" t="s">
        <v>1892</v>
      </c>
      <c r="D1907" s="111">
        <v>46203.0</v>
      </c>
      <c r="E1907" s="52">
        <v>25.0</v>
      </c>
      <c r="F1907" s="55" t="s">
        <v>2124</v>
      </c>
      <c r="G1907" s="26"/>
      <c r="H1907" s="26"/>
      <c r="I1907" s="26" t="s">
        <v>623</v>
      </c>
      <c r="J1907" s="26" t="s">
        <v>1812</v>
      </c>
      <c r="K1907" s="26" t="s">
        <v>1815</v>
      </c>
      <c r="L1907" s="26" t="s">
        <v>1566</v>
      </c>
      <c r="M1907" s="26" t="s">
        <v>1566</v>
      </c>
      <c r="N1907" s="26" t="s">
        <v>1566</v>
      </c>
      <c r="O1907" s="26" t="s">
        <v>1817</v>
      </c>
      <c r="P1907" s="26" t="s">
        <v>616</v>
      </c>
      <c r="Q1907" s="26">
        <v>20.0</v>
      </c>
    </row>
    <row r="1908" ht="17.25" customHeight="1">
      <c r="A1908" s="51">
        <v>46205.68392087963</v>
      </c>
      <c r="B1908" s="25" t="s">
        <v>21</v>
      </c>
      <c r="C1908" s="55" t="s">
        <v>1892</v>
      </c>
      <c r="D1908" s="51">
        <v>46205.68392087963</v>
      </c>
      <c r="E1908" s="52">
        <v>20.0</v>
      </c>
      <c r="F1908" s="55" t="s">
        <v>2124</v>
      </c>
      <c r="G1908" s="26"/>
      <c r="H1908" s="26"/>
      <c r="I1908" s="26" t="s">
        <v>23</v>
      </c>
      <c r="J1908" s="26" t="s">
        <v>1812</v>
      </c>
      <c r="K1908" s="26" t="s">
        <v>1815</v>
      </c>
      <c r="L1908" s="26" t="s">
        <v>1566</v>
      </c>
      <c r="M1908" s="26" t="s">
        <v>1566</v>
      </c>
      <c r="N1908" s="26" t="s">
        <v>1566</v>
      </c>
      <c r="O1908" s="26" t="s">
        <v>1818</v>
      </c>
      <c r="P1908" s="26" t="s">
        <v>616</v>
      </c>
      <c r="Q1908" s="26">
        <v>20.0</v>
      </c>
    </row>
    <row r="1909" ht="17.25" customHeight="1">
      <c r="A1909" s="51">
        <v>46205.68422657407</v>
      </c>
      <c r="B1909" s="25" t="s">
        <v>598</v>
      </c>
      <c r="C1909" s="55" t="s">
        <v>1892</v>
      </c>
      <c r="D1909" s="51">
        <v>46205.68392087963</v>
      </c>
      <c r="E1909" s="52">
        <v>5.0</v>
      </c>
      <c r="F1909" s="55" t="s">
        <v>2124</v>
      </c>
      <c r="G1909" s="26"/>
      <c r="H1909" s="26"/>
      <c r="I1909" s="26" t="s">
        <v>604</v>
      </c>
      <c r="J1909" s="26" t="s">
        <v>1812</v>
      </c>
      <c r="K1909" s="26" t="s">
        <v>1815</v>
      </c>
      <c r="L1909" s="26" t="s">
        <v>1566</v>
      </c>
      <c r="M1909" s="26" t="s">
        <v>1566</v>
      </c>
      <c r="N1909" s="26" t="s">
        <v>1566</v>
      </c>
      <c r="O1909" s="26" t="s">
        <v>1812</v>
      </c>
      <c r="P1909" s="26" t="s">
        <v>616</v>
      </c>
      <c r="Q1909" s="26">
        <v>15.0</v>
      </c>
    </row>
    <row r="1910" ht="17.25" customHeight="1">
      <c r="A1910" s="51">
        <v>46205.68442643518</v>
      </c>
      <c r="B1910" s="25" t="s">
        <v>753</v>
      </c>
      <c r="C1910" s="55" t="s">
        <v>1892</v>
      </c>
      <c r="D1910" s="51">
        <v>46205.68392087963</v>
      </c>
      <c r="E1910" s="52">
        <v>20.0</v>
      </c>
      <c r="F1910" s="55" t="s">
        <v>2124</v>
      </c>
      <c r="G1910" s="26"/>
      <c r="H1910" s="26"/>
      <c r="I1910" s="26" t="s">
        <v>755</v>
      </c>
      <c r="J1910" s="26" t="s">
        <v>1812</v>
      </c>
      <c r="K1910" s="26" t="s">
        <v>1815</v>
      </c>
      <c r="L1910" s="26" t="s">
        <v>1566</v>
      </c>
      <c r="M1910" s="26" t="s">
        <v>1566</v>
      </c>
      <c r="N1910" s="26" t="s">
        <v>1566</v>
      </c>
      <c r="O1910" s="26" t="s">
        <v>2014</v>
      </c>
      <c r="P1910" s="26" t="s">
        <v>290</v>
      </c>
      <c r="Q1910" s="26">
        <v>25.0</v>
      </c>
    </row>
    <row r="1911" ht="17.25" customHeight="1">
      <c r="A1911" s="51">
        <v>46205.68455109953</v>
      </c>
      <c r="B1911" s="25" t="s">
        <v>948</v>
      </c>
      <c r="C1911" s="55" t="s">
        <v>1892</v>
      </c>
      <c r="D1911" s="111">
        <v>46202.0</v>
      </c>
      <c r="E1911" s="52">
        <v>5.0</v>
      </c>
      <c r="F1911" s="55" t="s">
        <v>2124</v>
      </c>
      <c r="G1911" s="26"/>
      <c r="H1911" s="26"/>
      <c r="I1911" s="26" t="s">
        <v>952</v>
      </c>
      <c r="J1911" s="26" t="s">
        <v>1812</v>
      </c>
      <c r="K1911" s="26" t="s">
        <v>1815</v>
      </c>
      <c r="L1911" s="26" t="s">
        <v>1566</v>
      </c>
      <c r="M1911" s="26" t="s">
        <v>1566</v>
      </c>
      <c r="N1911" s="26" t="s">
        <v>1566</v>
      </c>
      <c r="O1911" s="26" t="s">
        <v>2060</v>
      </c>
      <c r="P1911" s="26" t="s">
        <v>616</v>
      </c>
      <c r="Q1911" s="26">
        <v>5.0</v>
      </c>
    </row>
    <row r="1912" ht="17.25" customHeight="1">
      <c r="A1912" s="51">
        <v>46205.684698125</v>
      </c>
      <c r="B1912" s="25" t="s">
        <v>1928</v>
      </c>
      <c r="C1912" s="55" t="s">
        <v>1892</v>
      </c>
      <c r="D1912" s="111">
        <v>46198.0</v>
      </c>
      <c r="E1912" s="52">
        <v>20.0</v>
      </c>
      <c r="F1912" s="55" t="s">
        <v>2124</v>
      </c>
      <c r="G1912" s="26"/>
      <c r="H1912" s="26"/>
      <c r="I1912" s="26" t="s">
        <v>1929</v>
      </c>
      <c r="J1912" s="26" t="s">
        <v>1812</v>
      </c>
      <c r="K1912" s="26" t="s">
        <v>1815</v>
      </c>
      <c r="L1912" s="26" t="s">
        <v>1566</v>
      </c>
      <c r="M1912" s="26" t="s">
        <v>1566</v>
      </c>
      <c r="N1912" s="26" t="s">
        <v>1566</v>
      </c>
      <c r="O1912" s="26" t="s">
        <v>2079</v>
      </c>
      <c r="P1912" s="26" t="s">
        <v>616</v>
      </c>
      <c r="Q1912" s="26">
        <v>0.0</v>
      </c>
    </row>
    <row r="1913" ht="17.25" customHeight="1">
      <c r="A1913" s="51">
        <v>46205.68482515046</v>
      </c>
      <c r="B1913" s="25" t="s">
        <v>517</v>
      </c>
      <c r="C1913" s="55" t="s">
        <v>1560</v>
      </c>
      <c r="D1913" s="111">
        <v>46201.0</v>
      </c>
      <c r="E1913" s="52">
        <v>20.0</v>
      </c>
      <c r="F1913" s="55" t="s">
        <v>2124</v>
      </c>
      <c r="G1913" s="26"/>
      <c r="H1913" s="26"/>
      <c r="I1913" s="26" t="s">
        <v>518</v>
      </c>
      <c r="J1913" s="26" t="s">
        <v>1812</v>
      </c>
      <c r="K1913" s="26" t="s">
        <v>1815</v>
      </c>
      <c r="L1913" s="26" t="s">
        <v>1566</v>
      </c>
      <c r="M1913" s="26" t="s">
        <v>1566</v>
      </c>
      <c r="N1913" s="26" t="s">
        <v>1566</v>
      </c>
      <c r="O1913" s="26" t="s">
        <v>2098</v>
      </c>
      <c r="P1913" s="26" t="s">
        <v>290</v>
      </c>
      <c r="Q1913" s="26">
        <v>40.0</v>
      </c>
    </row>
    <row r="1914" ht="17.25" customHeight="1">
      <c r="A1914" s="51">
        <v>46205.68494478009</v>
      </c>
      <c r="B1914" s="25" t="s">
        <v>728</v>
      </c>
      <c r="C1914" s="55" t="s">
        <v>1560</v>
      </c>
      <c r="D1914" s="111">
        <v>46201.0</v>
      </c>
      <c r="E1914" s="52">
        <v>10.0</v>
      </c>
      <c r="F1914" s="55" t="s">
        <v>2075</v>
      </c>
      <c r="G1914" s="26"/>
      <c r="H1914" s="26"/>
      <c r="I1914" s="26" t="s">
        <v>729</v>
      </c>
      <c r="J1914" s="26" t="s">
        <v>1812</v>
      </c>
      <c r="K1914" s="26" t="s">
        <v>1815</v>
      </c>
      <c r="L1914" s="26" t="s">
        <v>1566</v>
      </c>
      <c r="M1914" s="26" t="s">
        <v>1566</v>
      </c>
      <c r="N1914" s="26" t="s">
        <v>1566</v>
      </c>
      <c r="O1914" s="26" t="s">
        <v>1566</v>
      </c>
      <c r="P1914" s="26" t="s">
        <v>661</v>
      </c>
      <c r="Q1914" s="26">
        <v>10.0</v>
      </c>
    </row>
    <row r="1915" ht="17.25" customHeight="1">
      <c r="A1915" s="51">
        <v>46205.68524535879</v>
      </c>
      <c r="B1915" s="25" t="s">
        <v>994</v>
      </c>
      <c r="C1915" s="55" t="s">
        <v>1560</v>
      </c>
      <c r="D1915" s="111">
        <v>46201.0</v>
      </c>
      <c r="E1915" s="52">
        <v>8.0</v>
      </c>
      <c r="F1915" s="55" t="s">
        <v>2339</v>
      </c>
      <c r="G1915" s="26"/>
      <c r="H1915" s="26"/>
      <c r="I1915" s="26" t="s">
        <v>995</v>
      </c>
      <c r="J1915" s="26" t="s">
        <v>1807</v>
      </c>
      <c r="K1915" s="26" t="s">
        <v>1889</v>
      </c>
      <c r="L1915" s="26" t="s">
        <v>1566</v>
      </c>
      <c r="M1915" s="26" t="s">
        <v>1566</v>
      </c>
      <c r="N1915" s="26" t="s">
        <v>1566</v>
      </c>
      <c r="O1915" s="26" t="s">
        <v>1566</v>
      </c>
      <c r="P1915" s="26" t="s">
        <v>661</v>
      </c>
      <c r="Q1915" s="26">
        <v>9.0</v>
      </c>
    </row>
    <row r="1916" ht="17.25" customHeight="1">
      <c r="A1916" s="51">
        <v>46205.685460567125</v>
      </c>
      <c r="B1916" s="25" t="s">
        <v>968</v>
      </c>
      <c r="C1916" s="55" t="s">
        <v>1892</v>
      </c>
      <c r="D1916" s="111">
        <v>46201.0</v>
      </c>
      <c r="E1916" s="52">
        <v>1.0</v>
      </c>
      <c r="F1916" s="55" t="s">
        <v>2075</v>
      </c>
      <c r="G1916" s="26"/>
      <c r="H1916" s="26"/>
      <c r="I1916" s="26" t="s">
        <v>969</v>
      </c>
      <c r="J1916" s="26" t="s">
        <v>1807</v>
      </c>
      <c r="K1916" s="26" t="s">
        <v>1807</v>
      </c>
      <c r="L1916" s="26" t="s">
        <v>1566</v>
      </c>
      <c r="M1916" s="26" t="s">
        <v>1566</v>
      </c>
      <c r="N1916" s="26" t="s">
        <v>1566</v>
      </c>
      <c r="O1916" s="26" t="s">
        <v>1566</v>
      </c>
      <c r="P1916" s="26" t="s">
        <v>290</v>
      </c>
      <c r="Q1916" s="26">
        <v>2.0</v>
      </c>
    </row>
    <row r="1917" ht="17.25" customHeight="1">
      <c r="A1917" s="51">
        <v>46205.68548515046</v>
      </c>
      <c r="B1917" s="25" t="s">
        <v>968</v>
      </c>
      <c r="C1917" s="55" t="s">
        <v>1560</v>
      </c>
      <c r="D1917" s="111">
        <v>46201.0</v>
      </c>
      <c r="E1917" s="52">
        <v>2.0</v>
      </c>
      <c r="F1917" s="55" t="s">
        <v>2075</v>
      </c>
      <c r="G1917" s="26"/>
      <c r="H1917" s="26"/>
      <c r="I1917" s="26" t="s">
        <v>969</v>
      </c>
      <c r="J1917" s="26" t="s">
        <v>1807</v>
      </c>
      <c r="K1917" s="26" t="s">
        <v>1807</v>
      </c>
      <c r="L1917" s="26" t="s">
        <v>1566</v>
      </c>
      <c r="M1917" s="26" t="s">
        <v>1566</v>
      </c>
      <c r="N1917" s="26" t="s">
        <v>1566</v>
      </c>
      <c r="O1917" s="26" t="s">
        <v>1566</v>
      </c>
      <c r="P1917" s="26" t="s">
        <v>290</v>
      </c>
      <c r="Q1917" s="26">
        <v>2.0</v>
      </c>
    </row>
    <row r="1918" ht="17.25" customHeight="1">
      <c r="A1918" s="51">
        <v>46205.6855771875</v>
      </c>
      <c r="B1918" s="25" t="s">
        <v>733</v>
      </c>
      <c r="C1918" s="55" t="s">
        <v>1560</v>
      </c>
      <c r="D1918" s="111">
        <v>46201.0</v>
      </c>
      <c r="E1918" s="52">
        <v>2.0</v>
      </c>
      <c r="F1918" s="55" t="s">
        <v>2075</v>
      </c>
      <c r="G1918" s="26"/>
      <c r="H1918" s="26"/>
      <c r="I1918" s="26" t="s">
        <v>739</v>
      </c>
      <c r="J1918" s="26" t="s">
        <v>1833</v>
      </c>
      <c r="K1918" s="26" t="s">
        <v>1833</v>
      </c>
      <c r="L1918" s="26" t="s">
        <v>1566</v>
      </c>
      <c r="M1918" s="26" t="s">
        <v>1566</v>
      </c>
      <c r="N1918" s="26" t="s">
        <v>1566</v>
      </c>
      <c r="O1918" s="26" t="s">
        <v>1566</v>
      </c>
      <c r="P1918" s="26" t="s">
        <v>661</v>
      </c>
      <c r="Q1918" s="26">
        <v>4.0</v>
      </c>
    </row>
    <row r="1919" ht="17.25" customHeight="1">
      <c r="A1919" s="51">
        <v>46205.689395636575</v>
      </c>
      <c r="B1919" s="25" t="s">
        <v>437</v>
      </c>
      <c r="C1919" s="55" t="s">
        <v>1892</v>
      </c>
      <c r="D1919" s="111">
        <v>46205.0</v>
      </c>
      <c r="E1919" s="52">
        <v>2.0</v>
      </c>
      <c r="F1919" s="55" t="s">
        <v>2124</v>
      </c>
      <c r="G1919" s="26"/>
      <c r="H1919" s="26"/>
      <c r="I1919" s="26" t="s">
        <v>438</v>
      </c>
      <c r="J1919" s="26" t="s">
        <v>1674</v>
      </c>
      <c r="K1919" s="26" t="s">
        <v>1691</v>
      </c>
      <c r="L1919" s="26" t="s">
        <v>1566</v>
      </c>
      <c r="M1919" s="26" t="s">
        <v>1566</v>
      </c>
      <c r="N1919" s="26" t="s">
        <v>1721</v>
      </c>
      <c r="O1919" s="26" t="s">
        <v>1677</v>
      </c>
      <c r="P1919" s="26" t="s">
        <v>290</v>
      </c>
      <c r="Q1919" s="26">
        <v>5.0</v>
      </c>
    </row>
    <row r="1920" ht="17.25" customHeight="1">
      <c r="A1920" s="51">
        <v>46205.689614953706</v>
      </c>
      <c r="B1920" s="23" t="s">
        <v>301</v>
      </c>
      <c r="C1920" s="55" t="s">
        <v>1892</v>
      </c>
      <c r="D1920" s="111">
        <v>46205.0</v>
      </c>
      <c r="E1920" s="52">
        <v>20.0</v>
      </c>
      <c r="F1920" s="55" t="s">
        <v>2124</v>
      </c>
      <c r="G1920" s="26"/>
      <c r="H1920" s="26"/>
      <c r="I1920" s="26" t="s">
        <v>302</v>
      </c>
      <c r="J1920" s="26" t="s">
        <v>1830</v>
      </c>
      <c r="K1920" s="26" t="s">
        <v>302</v>
      </c>
      <c r="L1920" s="26" t="s">
        <v>1566</v>
      </c>
      <c r="M1920" s="26" t="s">
        <v>1566</v>
      </c>
      <c r="N1920" s="26" t="s">
        <v>1566</v>
      </c>
      <c r="O1920" s="26" t="s">
        <v>1566</v>
      </c>
      <c r="P1920" s="26" t="s">
        <v>661</v>
      </c>
      <c r="Q1920" s="26">
        <v>580.0</v>
      </c>
    </row>
    <row r="1921" ht="17.25" customHeight="1">
      <c r="A1921" s="51">
        <v>46205.68972177083</v>
      </c>
      <c r="B1921" s="23" t="s">
        <v>301</v>
      </c>
      <c r="C1921" s="55" t="s">
        <v>1892</v>
      </c>
      <c r="D1921" s="111">
        <v>46205.0</v>
      </c>
      <c r="E1921" s="52">
        <v>10.0</v>
      </c>
      <c r="F1921" s="55" t="s">
        <v>2147</v>
      </c>
      <c r="G1921" s="26"/>
      <c r="H1921" s="26"/>
      <c r="I1921" s="26" t="s">
        <v>302</v>
      </c>
      <c r="J1921" s="26" t="s">
        <v>1830</v>
      </c>
      <c r="K1921" s="26" t="s">
        <v>302</v>
      </c>
      <c r="L1921" s="26" t="s">
        <v>1566</v>
      </c>
      <c r="M1921" s="26" t="s">
        <v>1566</v>
      </c>
      <c r="N1921" s="26" t="s">
        <v>1566</v>
      </c>
      <c r="O1921" s="26" t="s">
        <v>1566</v>
      </c>
      <c r="P1921" s="26" t="s">
        <v>661</v>
      </c>
      <c r="Q1921" s="26">
        <v>580.0</v>
      </c>
    </row>
    <row r="1922" ht="17.25" customHeight="1">
      <c r="A1922" s="51">
        <v>46206.47385603009</v>
      </c>
      <c r="B1922" s="25" t="s">
        <v>61</v>
      </c>
      <c r="C1922" s="55" t="s">
        <v>1560</v>
      </c>
      <c r="D1922" s="111">
        <v>46205.0</v>
      </c>
      <c r="E1922" s="52">
        <v>800.0</v>
      </c>
      <c r="F1922" s="55" t="s">
        <v>2271</v>
      </c>
      <c r="G1922" s="55" t="s">
        <v>2344</v>
      </c>
      <c r="H1922" s="26"/>
      <c r="I1922" s="26" t="s">
        <v>62</v>
      </c>
      <c r="J1922" s="26" t="s">
        <v>1225</v>
      </c>
      <c r="K1922" s="26" t="s">
        <v>1562</v>
      </c>
      <c r="L1922" s="26" t="s">
        <v>1600</v>
      </c>
      <c r="M1922" s="26" t="s">
        <v>1575</v>
      </c>
      <c r="N1922" s="26" t="s">
        <v>1566</v>
      </c>
      <c r="O1922" s="26" t="s">
        <v>2160</v>
      </c>
      <c r="P1922" s="26" t="s">
        <v>22</v>
      </c>
      <c r="Q1922" s="26">
        <v>0.0</v>
      </c>
    </row>
    <row r="1923" ht="17.25" customHeight="1">
      <c r="A1923" s="51">
        <v>46206.47437041666</v>
      </c>
      <c r="B1923" s="25" t="s">
        <v>87</v>
      </c>
      <c r="C1923" s="55" t="s">
        <v>1560</v>
      </c>
      <c r="D1923" s="111">
        <v>46205.0</v>
      </c>
      <c r="E1923" s="52">
        <v>600.0</v>
      </c>
      <c r="F1923" s="55" t="s">
        <v>2271</v>
      </c>
      <c r="G1923" s="55" t="s">
        <v>1405</v>
      </c>
      <c r="H1923" s="26"/>
      <c r="I1923" s="26" t="s">
        <v>88</v>
      </c>
      <c r="J1923" s="26" t="s">
        <v>1225</v>
      </c>
      <c r="K1923" s="26" t="s">
        <v>1562</v>
      </c>
      <c r="L1923" s="26" t="s">
        <v>1633</v>
      </c>
      <c r="M1923" s="26" t="s">
        <v>1575</v>
      </c>
      <c r="N1923" s="26" t="s">
        <v>1590</v>
      </c>
      <c r="O1923" s="26" t="s">
        <v>2160</v>
      </c>
      <c r="P1923" s="26" t="s">
        <v>22</v>
      </c>
      <c r="Q1923" s="26">
        <v>800.0</v>
      </c>
    </row>
    <row r="1924" ht="17.25" customHeight="1">
      <c r="A1924" s="51">
        <v>46206.47524890046</v>
      </c>
      <c r="B1924" s="25" t="s">
        <v>942</v>
      </c>
      <c r="C1924" s="55" t="s">
        <v>1560</v>
      </c>
      <c r="D1924" s="111">
        <v>46205.0</v>
      </c>
      <c r="E1924" s="52">
        <v>4700.0</v>
      </c>
      <c r="F1924" s="55" t="s">
        <v>2271</v>
      </c>
      <c r="G1924" s="55" t="s">
        <v>2345</v>
      </c>
      <c r="H1924" s="26"/>
      <c r="I1924" s="26" t="s">
        <v>943</v>
      </c>
      <c r="J1924" s="26" t="s">
        <v>1225</v>
      </c>
      <c r="K1924" s="26" t="s">
        <v>1562</v>
      </c>
      <c r="L1924" s="26" t="s">
        <v>1591</v>
      </c>
      <c r="M1924" s="26" t="s">
        <v>1575</v>
      </c>
      <c r="N1924" s="26" t="s">
        <v>1566</v>
      </c>
      <c r="O1924" s="26" t="s">
        <v>1566</v>
      </c>
      <c r="P1924" s="26" t="s">
        <v>22</v>
      </c>
      <c r="Q1924" s="26">
        <v>900.0</v>
      </c>
    </row>
    <row r="1925" ht="17.25" customHeight="1">
      <c r="A1925" s="51">
        <v>46206.47590892361</v>
      </c>
      <c r="B1925" s="25" t="s">
        <v>79</v>
      </c>
      <c r="C1925" s="55" t="s">
        <v>1560</v>
      </c>
      <c r="D1925" s="111">
        <v>46205.0</v>
      </c>
      <c r="E1925" s="52">
        <v>1500.0</v>
      </c>
      <c r="F1925" s="55" t="s">
        <v>2271</v>
      </c>
      <c r="G1925" s="55" t="s">
        <v>2346</v>
      </c>
      <c r="H1925" s="26"/>
      <c r="I1925" s="26" t="s">
        <v>80</v>
      </c>
      <c r="J1925" s="26" t="s">
        <v>1225</v>
      </c>
      <c r="K1925" s="26" t="s">
        <v>1562</v>
      </c>
      <c r="L1925" s="26" t="s">
        <v>1563</v>
      </c>
      <c r="M1925" s="26" t="s">
        <v>1575</v>
      </c>
      <c r="N1925" s="26" t="s">
        <v>1566</v>
      </c>
      <c r="O1925" s="26" t="s">
        <v>1566</v>
      </c>
      <c r="P1925" s="26" t="s">
        <v>22</v>
      </c>
      <c r="Q1925" s="26">
        <v>700.0</v>
      </c>
    </row>
    <row r="1926" ht="17.25" customHeight="1">
      <c r="A1926" s="51">
        <v>46206.476449560185</v>
      </c>
      <c r="B1926" s="25" t="s">
        <v>41</v>
      </c>
      <c r="C1926" s="55" t="s">
        <v>1560</v>
      </c>
      <c r="D1926" s="111">
        <v>46205.0</v>
      </c>
      <c r="E1926" s="52">
        <v>1500.0</v>
      </c>
      <c r="F1926" s="55" t="s">
        <v>2271</v>
      </c>
      <c r="G1926" s="55" t="s">
        <v>697</v>
      </c>
      <c r="H1926" s="26"/>
      <c r="I1926" s="26" t="s">
        <v>42</v>
      </c>
      <c r="J1926" s="26" t="s">
        <v>1225</v>
      </c>
      <c r="K1926" s="26" t="s">
        <v>1562</v>
      </c>
      <c r="L1926" s="26" t="s">
        <v>1576</v>
      </c>
      <c r="M1926" s="26" t="s">
        <v>1575</v>
      </c>
      <c r="N1926" s="26" t="s">
        <v>1571</v>
      </c>
      <c r="O1926" s="26" t="s">
        <v>1566</v>
      </c>
      <c r="P1926" s="26" t="s">
        <v>22</v>
      </c>
      <c r="Q1926" s="26">
        <v>200.0</v>
      </c>
    </row>
    <row r="1927" ht="17.25" customHeight="1">
      <c r="A1927" s="51">
        <v>46206.478987407405</v>
      </c>
      <c r="B1927" s="26" t="s">
        <v>1766</v>
      </c>
      <c r="C1927" s="55" t="s">
        <v>1560</v>
      </c>
      <c r="D1927" s="111">
        <v>46205.0</v>
      </c>
      <c r="E1927" s="52">
        <v>800.0</v>
      </c>
      <c r="F1927" s="55" t="s">
        <v>2271</v>
      </c>
      <c r="G1927" s="55" t="s">
        <v>2347</v>
      </c>
      <c r="H1927" s="26"/>
      <c r="I1927" s="26" t="s">
        <v>1767</v>
      </c>
      <c r="J1927" s="26" t="s">
        <v>1225</v>
      </c>
      <c r="K1927" s="26" t="s">
        <v>1562</v>
      </c>
      <c r="L1927" s="26" t="s">
        <v>2133</v>
      </c>
      <c r="M1927" s="26" t="s">
        <v>1597</v>
      </c>
      <c r="N1927" s="26" t="s">
        <v>1590</v>
      </c>
      <c r="O1927" s="26" t="s">
        <v>2160</v>
      </c>
      <c r="P1927" s="26" t="s">
        <v>22</v>
      </c>
      <c r="Q1927" s="26">
        <v>0.0</v>
      </c>
    </row>
    <row r="1928" ht="17.25" customHeight="1">
      <c r="A1928" s="51">
        <v>46206.48780084491</v>
      </c>
      <c r="B1928" s="25" t="s">
        <v>1091</v>
      </c>
      <c r="C1928" s="55" t="s">
        <v>1892</v>
      </c>
      <c r="D1928" s="111">
        <v>46205.0</v>
      </c>
      <c r="E1928" s="52">
        <v>20.0</v>
      </c>
      <c r="F1928" s="55" t="s">
        <v>2124</v>
      </c>
      <c r="G1928" s="26"/>
      <c r="H1928" s="26"/>
      <c r="I1928" s="26" t="s">
        <v>1092</v>
      </c>
      <c r="J1928" s="26" t="s">
        <v>1830</v>
      </c>
      <c r="K1928" s="26" t="s">
        <v>1830</v>
      </c>
      <c r="L1928" s="26" t="s">
        <v>1566</v>
      </c>
      <c r="M1928" s="26" t="s">
        <v>1566</v>
      </c>
      <c r="N1928" s="26" t="s">
        <v>1566</v>
      </c>
      <c r="O1928" s="26" t="s">
        <v>1566</v>
      </c>
      <c r="P1928" s="26" t="s">
        <v>22</v>
      </c>
      <c r="Q1928" s="26">
        <v>52.0</v>
      </c>
    </row>
    <row r="1929" ht="17.25" customHeight="1">
      <c r="A1929" s="51">
        <v>46207.447288738425</v>
      </c>
      <c r="B1929" s="26" t="s">
        <v>1320</v>
      </c>
      <c r="C1929" s="55" t="s">
        <v>1560</v>
      </c>
      <c r="D1929" s="51">
        <v>46207.447288738425</v>
      </c>
      <c r="E1929" s="52">
        <v>2.0</v>
      </c>
      <c r="F1929" s="55" t="s">
        <v>1673</v>
      </c>
      <c r="G1929" s="26"/>
      <c r="H1929" s="26"/>
      <c r="I1929" s="26" t="s">
        <v>1321</v>
      </c>
      <c r="J1929" s="26" t="s">
        <v>1674</v>
      </c>
      <c r="K1929" s="26" t="s">
        <v>1691</v>
      </c>
      <c r="L1929" s="26" t="s">
        <v>1590</v>
      </c>
      <c r="M1929" s="26" t="s">
        <v>1590</v>
      </c>
      <c r="N1929" s="26" t="s">
        <v>1590</v>
      </c>
      <c r="O1929" s="26" t="s">
        <v>1590</v>
      </c>
      <c r="P1929" s="26" t="s">
        <v>290</v>
      </c>
      <c r="Q1929" s="26">
        <v>4.5</v>
      </c>
    </row>
    <row r="1930" ht="17.25" customHeight="1">
      <c r="A1930" s="51">
        <v>46207.447643680556</v>
      </c>
      <c r="B1930" s="25" t="s">
        <v>437</v>
      </c>
      <c r="C1930" s="55" t="s">
        <v>1560</v>
      </c>
      <c r="D1930" s="51">
        <v>46206.48780084491</v>
      </c>
      <c r="E1930" s="52">
        <v>10.0</v>
      </c>
      <c r="F1930" s="55" t="s">
        <v>1673</v>
      </c>
      <c r="G1930" s="26"/>
      <c r="H1930" s="26"/>
      <c r="I1930" s="26" t="s">
        <v>438</v>
      </c>
      <c r="J1930" s="26" t="s">
        <v>1674</v>
      </c>
      <c r="K1930" s="26" t="s">
        <v>1691</v>
      </c>
      <c r="L1930" s="26" t="s">
        <v>1566</v>
      </c>
      <c r="M1930" s="26" t="s">
        <v>1566</v>
      </c>
      <c r="N1930" s="26" t="s">
        <v>1721</v>
      </c>
      <c r="O1930" s="26" t="s">
        <v>1677</v>
      </c>
      <c r="P1930" s="26" t="s">
        <v>290</v>
      </c>
      <c r="Q1930" s="26">
        <v>5.0</v>
      </c>
    </row>
    <row r="1931" ht="17.25" customHeight="1">
      <c r="A1931" s="51">
        <v>46207.448266631945</v>
      </c>
      <c r="B1931" s="26" t="s">
        <v>1320</v>
      </c>
      <c r="C1931" s="55" t="s">
        <v>1560</v>
      </c>
      <c r="D1931" s="51">
        <v>46206.48780084491</v>
      </c>
      <c r="E1931" s="52">
        <v>2.5</v>
      </c>
      <c r="F1931" s="55" t="s">
        <v>1673</v>
      </c>
      <c r="G1931" s="26"/>
      <c r="H1931" s="26"/>
      <c r="I1931" s="26" t="s">
        <v>1321</v>
      </c>
      <c r="J1931" s="26" t="s">
        <v>1674</v>
      </c>
      <c r="K1931" s="26" t="s">
        <v>1691</v>
      </c>
      <c r="L1931" s="26" t="s">
        <v>1590</v>
      </c>
      <c r="M1931" s="26" t="s">
        <v>1590</v>
      </c>
      <c r="N1931" s="26" t="s">
        <v>1590</v>
      </c>
      <c r="O1931" s="26" t="s">
        <v>1590</v>
      </c>
      <c r="P1931" s="26" t="s">
        <v>290</v>
      </c>
      <c r="Q1931" s="26">
        <v>4.5</v>
      </c>
    </row>
    <row r="1932" ht="17.25" customHeight="1">
      <c r="A1932" s="51">
        <v>46207.448266631945</v>
      </c>
      <c r="B1932" s="25" t="s">
        <v>598</v>
      </c>
      <c r="C1932" s="55" t="s">
        <v>1560</v>
      </c>
      <c r="D1932" s="51">
        <v>46206.48780084491</v>
      </c>
      <c r="E1932" s="52">
        <v>10.0</v>
      </c>
      <c r="F1932" s="55" t="s">
        <v>1673</v>
      </c>
      <c r="G1932" s="26"/>
      <c r="H1932" s="26"/>
      <c r="I1932" s="26" t="s">
        <v>604</v>
      </c>
      <c r="J1932" s="26" t="s">
        <v>1812</v>
      </c>
      <c r="K1932" s="26" t="s">
        <v>1815</v>
      </c>
      <c r="L1932" s="26" t="s">
        <v>1566</v>
      </c>
      <c r="M1932" s="26" t="s">
        <v>1566</v>
      </c>
      <c r="N1932" s="26" t="s">
        <v>1566</v>
      </c>
      <c r="O1932" s="26" t="s">
        <v>1812</v>
      </c>
      <c r="P1932" s="26" t="s">
        <v>616</v>
      </c>
      <c r="Q1932" s="26">
        <v>15.0</v>
      </c>
    </row>
    <row r="1933" ht="17.25" customHeight="1">
      <c r="A1933" s="51">
        <v>46207.448266631945</v>
      </c>
      <c r="B1933" s="25" t="s">
        <v>753</v>
      </c>
      <c r="C1933" s="55" t="s">
        <v>1560</v>
      </c>
      <c r="D1933" s="51">
        <v>46206.48780084491</v>
      </c>
      <c r="E1933" s="52">
        <v>25.0</v>
      </c>
      <c r="F1933" s="55" t="s">
        <v>1673</v>
      </c>
      <c r="G1933" s="26"/>
      <c r="H1933" s="26"/>
      <c r="I1933" s="26" t="s">
        <v>755</v>
      </c>
      <c r="J1933" s="26" t="s">
        <v>1812</v>
      </c>
      <c r="K1933" s="26" t="s">
        <v>1815</v>
      </c>
      <c r="L1933" s="26" t="s">
        <v>1566</v>
      </c>
      <c r="M1933" s="26" t="s">
        <v>1566</v>
      </c>
      <c r="N1933" s="26" t="s">
        <v>1566</v>
      </c>
      <c r="O1933" s="26" t="s">
        <v>2014</v>
      </c>
      <c r="P1933" s="26" t="s">
        <v>290</v>
      </c>
      <c r="Q1933" s="26">
        <v>25.0</v>
      </c>
    </row>
    <row r="1934" ht="17.25" customHeight="1">
      <c r="A1934" s="51">
        <v>46207.448266631945</v>
      </c>
      <c r="B1934" s="25" t="s">
        <v>948</v>
      </c>
      <c r="C1934" s="55" t="s">
        <v>1560</v>
      </c>
      <c r="D1934" s="51">
        <v>46206.48780084491</v>
      </c>
      <c r="E1934" s="52">
        <v>5.0</v>
      </c>
      <c r="F1934" s="55" t="s">
        <v>1673</v>
      </c>
      <c r="G1934" s="26"/>
      <c r="H1934" s="26"/>
      <c r="I1934" s="26" t="s">
        <v>952</v>
      </c>
      <c r="J1934" s="26" t="s">
        <v>1812</v>
      </c>
      <c r="K1934" s="26" t="s">
        <v>1815</v>
      </c>
      <c r="L1934" s="26" t="s">
        <v>1566</v>
      </c>
      <c r="M1934" s="26" t="s">
        <v>1566</v>
      </c>
      <c r="N1934" s="26" t="s">
        <v>1566</v>
      </c>
      <c r="O1934" s="26" t="s">
        <v>2060</v>
      </c>
      <c r="P1934" s="26" t="s">
        <v>616</v>
      </c>
      <c r="Q1934" s="26">
        <v>5.0</v>
      </c>
    </row>
    <row r="1935" ht="17.25" customHeight="1">
      <c r="A1935" s="51">
        <v>46207.448266631945</v>
      </c>
      <c r="B1935" s="23" t="s">
        <v>21</v>
      </c>
      <c r="C1935" s="55" t="s">
        <v>1560</v>
      </c>
      <c r="D1935" s="51">
        <v>46206.48780084491</v>
      </c>
      <c r="E1935" s="52">
        <v>40.0</v>
      </c>
      <c r="F1935" s="55" t="s">
        <v>1673</v>
      </c>
      <c r="G1935" s="26"/>
      <c r="H1935" s="26"/>
      <c r="I1935" s="26" t="s">
        <v>23</v>
      </c>
      <c r="J1935" s="26" t="s">
        <v>1812</v>
      </c>
      <c r="K1935" s="26" t="s">
        <v>1815</v>
      </c>
      <c r="L1935" s="26" t="s">
        <v>1566</v>
      </c>
      <c r="M1935" s="26" t="s">
        <v>1566</v>
      </c>
      <c r="N1935" s="26" t="s">
        <v>1566</v>
      </c>
      <c r="O1935" s="26" t="s">
        <v>1818</v>
      </c>
      <c r="P1935" s="26" t="s">
        <v>616</v>
      </c>
      <c r="Q1935" s="26">
        <v>20.0</v>
      </c>
    </row>
    <row r="1936" ht="17.25" customHeight="1">
      <c r="A1936" s="51">
        <v>46207.448266631945</v>
      </c>
      <c r="B1936" s="23" t="s">
        <v>622</v>
      </c>
      <c r="C1936" s="55" t="s">
        <v>1560</v>
      </c>
      <c r="D1936" s="51">
        <v>46206.48780084491</v>
      </c>
      <c r="E1936" s="52">
        <v>20.0</v>
      </c>
      <c r="F1936" s="55" t="s">
        <v>1673</v>
      </c>
      <c r="G1936" s="26"/>
      <c r="H1936" s="26"/>
      <c r="I1936" s="26" t="s">
        <v>623</v>
      </c>
      <c r="J1936" s="26" t="s">
        <v>1812</v>
      </c>
      <c r="K1936" s="26" t="s">
        <v>1815</v>
      </c>
      <c r="L1936" s="26" t="s">
        <v>1566</v>
      </c>
      <c r="M1936" s="26" t="s">
        <v>1566</v>
      </c>
      <c r="N1936" s="26" t="s">
        <v>1566</v>
      </c>
      <c r="O1936" s="26" t="s">
        <v>1817</v>
      </c>
      <c r="P1936" s="26" t="s">
        <v>616</v>
      </c>
      <c r="Q1936" s="26">
        <v>20.0</v>
      </c>
    </row>
    <row r="1937" ht="17.25" customHeight="1">
      <c r="A1937" s="51">
        <v>46207.448266631945</v>
      </c>
      <c r="B1937" s="23" t="s">
        <v>32</v>
      </c>
      <c r="C1937" s="55" t="s">
        <v>1560</v>
      </c>
      <c r="D1937" s="51">
        <v>46206.48780084491</v>
      </c>
      <c r="E1937" s="52">
        <v>4.0</v>
      </c>
      <c r="F1937" s="55" t="s">
        <v>1673</v>
      </c>
      <c r="G1937" s="26"/>
      <c r="H1937" s="26"/>
      <c r="I1937" s="26" t="s">
        <v>34</v>
      </c>
      <c r="J1937" s="26" t="s">
        <v>1807</v>
      </c>
      <c r="K1937" s="26" t="s">
        <v>1807</v>
      </c>
      <c r="L1937" s="26" t="s">
        <v>1566</v>
      </c>
      <c r="M1937" s="26" t="s">
        <v>1566</v>
      </c>
      <c r="N1937" s="26" t="s">
        <v>1566</v>
      </c>
      <c r="O1937" s="26" t="s">
        <v>1808</v>
      </c>
      <c r="P1937" s="26" t="s">
        <v>290</v>
      </c>
      <c r="Q1937" s="26">
        <v>7.0</v>
      </c>
    </row>
    <row r="1938" ht="17.25" customHeight="1">
      <c r="A1938" s="51">
        <v>46207.452274027775</v>
      </c>
      <c r="B1938" s="27" t="s">
        <v>1269</v>
      </c>
      <c r="C1938" s="55" t="s">
        <v>1560</v>
      </c>
      <c r="D1938" s="51">
        <v>46206.48780084491</v>
      </c>
      <c r="E1938" s="52">
        <v>2.0</v>
      </c>
      <c r="F1938" s="55" t="s">
        <v>1673</v>
      </c>
      <c r="G1938" s="26"/>
      <c r="H1938" s="26"/>
      <c r="I1938" s="26" t="s">
        <v>1270</v>
      </c>
      <c r="J1938" s="26" t="s">
        <v>1812</v>
      </c>
      <c r="K1938" s="26" t="s">
        <v>1815</v>
      </c>
      <c r="L1938" s="26" t="s">
        <v>1566</v>
      </c>
      <c r="M1938" s="26" t="s">
        <v>1566</v>
      </c>
      <c r="N1938" s="26" t="s">
        <v>1566</v>
      </c>
      <c r="O1938" s="26" t="s">
        <v>1566</v>
      </c>
      <c r="P1938" s="26" t="s">
        <v>616</v>
      </c>
      <c r="Q1938" s="26">
        <v>2.0</v>
      </c>
    </row>
    <row r="1939" ht="17.25" customHeight="1">
      <c r="A1939" s="51">
        <v>46207.610789722225</v>
      </c>
      <c r="B1939" s="23" t="s">
        <v>301</v>
      </c>
      <c r="C1939" s="55" t="s">
        <v>1892</v>
      </c>
      <c r="D1939" s="51">
        <v>46207.610789722225</v>
      </c>
      <c r="E1939" s="52">
        <v>20.0</v>
      </c>
      <c r="F1939" s="55" t="s">
        <v>2169</v>
      </c>
      <c r="G1939" s="26"/>
      <c r="H1939" s="26"/>
      <c r="I1939" s="26" t="s">
        <v>302</v>
      </c>
      <c r="J1939" s="26" t="s">
        <v>1830</v>
      </c>
      <c r="K1939" s="26" t="s">
        <v>302</v>
      </c>
      <c r="L1939" s="26" t="s">
        <v>1566</v>
      </c>
      <c r="M1939" s="26" t="s">
        <v>1566</v>
      </c>
      <c r="N1939" s="26" t="s">
        <v>1566</v>
      </c>
      <c r="O1939" s="26" t="s">
        <v>1566</v>
      </c>
      <c r="P1939" s="26" t="s">
        <v>661</v>
      </c>
      <c r="Q1939" s="26">
        <v>580.0</v>
      </c>
    </row>
    <row r="1940" ht="17.25" customHeight="1">
      <c r="A1940" s="51">
        <v>46207.611550347225</v>
      </c>
      <c r="B1940" s="27" t="s">
        <v>1471</v>
      </c>
      <c r="C1940" s="55" t="s">
        <v>1892</v>
      </c>
      <c r="D1940" s="51">
        <v>46207.610789722225</v>
      </c>
      <c r="E1940" s="52">
        <v>1.0</v>
      </c>
      <c r="F1940" s="55" t="s">
        <v>2169</v>
      </c>
      <c r="G1940" s="26"/>
      <c r="H1940" s="26"/>
      <c r="I1940" s="26" t="s">
        <v>1472</v>
      </c>
      <c r="J1940" s="26" t="s">
        <v>1674</v>
      </c>
      <c r="K1940" s="26" t="s">
        <v>1691</v>
      </c>
      <c r="L1940" s="26" t="s">
        <v>1590</v>
      </c>
      <c r="M1940" s="26" t="s">
        <v>1590</v>
      </c>
      <c r="N1940" s="26" t="s">
        <v>2190</v>
      </c>
      <c r="O1940" s="26" t="s">
        <v>1566</v>
      </c>
      <c r="P1940" s="26" t="s">
        <v>290</v>
      </c>
      <c r="Q1940" s="26">
        <v>0.0</v>
      </c>
    </row>
    <row r="1941" ht="17.25" customHeight="1">
      <c r="A1941" s="51">
        <v>46207.611550347225</v>
      </c>
      <c r="B1941" s="27" t="s">
        <v>1462</v>
      </c>
      <c r="C1941" s="55" t="s">
        <v>1892</v>
      </c>
      <c r="D1941" s="51">
        <v>46207.610789722225</v>
      </c>
      <c r="E1941" s="52">
        <v>1.0</v>
      </c>
      <c r="F1941" s="55" t="s">
        <v>2169</v>
      </c>
      <c r="G1941" s="26"/>
      <c r="H1941" s="26"/>
      <c r="I1941" s="26" t="s">
        <v>1463</v>
      </c>
      <c r="J1941" s="26" t="s">
        <v>1674</v>
      </c>
      <c r="K1941" s="26" t="s">
        <v>1691</v>
      </c>
      <c r="L1941" s="26" t="s">
        <v>1590</v>
      </c>
      <c r="M1941" s="26" t="s">
        <v>1590</v>
      </c>
      <c r="N1941" s="26" t="s">
        <v>2191</v>
      </c>
      <c r="O1941" s="26" t="s">
        <v>1566</v>
      </c>
      <c r="P1941" s="26" t="s">
        <v>290</v>
      </c>
      <c r="Q1941" s="26">
        <v>0.0</v>
      </c>
    </row>
    <row r="1942" ht="17.25" customHeight="1">
      <c r="A1942" s="51">
        <v>46207.611550347225</v>
      </c>
      <c r="B1942" s="27" t="s">
        <v>1447</v>
      </c>
      <c r="C1942" s="55" t="s">
        <v>1892</v>
      </c>
      <c r="D1942" s="51">
        <v>46207.610789722225</v>
      </c>
      <c r="E1942" s="52">
        <v>1.0</v>
      </c>
      <c r="F1942" s="55" t="s">
        <v>2169</v>
      </c>
      <c r="G1942" s="26"/>
      <c r="H1942" s="26"/>
      <c r="I1942" s="26" t="s">
        <v>1449</v>
      </c>
      <c r="J1942" s="26" t="s">
        <v>1674</v>
      </c>
      <c r="K1942" s="26" t="s">
        <v>1691</v>
      </c>
      <c r="L1942" s="26" t="s">
        <v>1590</v>
      </c>
      <c r="M1942" s="26" t="s">
        <v>1590</v>
      </c>
      <c r="N1942" s="26" t="s">
        <v>2192</v>
      </c>
      <c r="O1942" s="26" t="s">
        <v>1566</v>
      </c>
      <c r="P1942" s="26" t="s">
        <v>290</v>
      </c>
      <c r="Q1942" s="26">
        <v>0.0</v>
      </c>
    </row>
    <row r="1943" ht="17.25" customHeight="1">
      <c r="A1943" s="51">
        <v>46207.611550347225</v>
      </c>
      <c r="B1943" s="27" t="s">
        <v>1433</v>
      </c>
      <c r="C1943" s="55" t="s">
        <v>1892</v>
      </c>
      <c r="D1943" s="51">
        <v>46207.610789722225</v>
      </c>
      <c r="E1943" s="52">
        <v>1.0</v>
      </c>
      <c r="F1943" s="55" t="s">
        <v>2169</v>
      </c>
      <c r="G1943" s="26"/>
      <c r="H1943" s="26"/>
      <c r="I1943" s="26" t="s">
        <v>1435</v>
      </c>
      <c r="J1943" s="26" t="s">
        <v>1674</v>
      </c>
      <c r="K1943" s="26" t="s">
        <v>1691</v>
      </c>
      <c r="L1943" s="26" t="s">
        <v>1590</v>
      </c>
      <c r="M1943" s="26" t="s">
        <v>1590</v>
      </c>
      <c r="N1943" s="26" t="s">
        <v>2194</v>
      </c>
      <c r="O1943" s="26" t="s">
        <v>1566</v>
      </c>
      <c r="P1943" s="26" t="s">
        <v>290</v>
      </c>
      <c r="Q1943" s="26">
        <v>0.0</v>
      </c>
    </row>
    <row r="1944" ht="17.25" customHeight="1">
      <c r="A1944" s="51">
        <v>46207.611550347225</v>
      </c>
      <c r="B1944" s="27" t="s">
        <v>1426</v>
      </c>
      <c r="C1944" s="55" t="s">
        <v>1892</v>
      </c>
      <c r="D1944" s="51">
        <v>46207.610789722225</v>
      </c>
      <c r="E1944" s="52">
        <v>1.0</v>
      </c>
      <c r="F1944" s="55" t="s">
        <v>2169</v>
      </c>
      <c r="G1944" s="26"/>
      <c r="H1944" s="26"/>
      <c r="I1944" s="26" t="s">
        <v>1428</v>
      </c>
      <c r="J1944" s="26" t="s">
        <v>1674</v>
      </c>
      <c r="K1944" s="26" t="s">
        <v>1691</v>
      </c>
      <c r="L1944" s="26" t="s">
        <v>1590</v>
      </c>
      <c r="M1944" s="26" t="s">
        <v>1590</v>
      </c>
      <c r="N1944" s="26" t="s">
        <v>2195</v>
      </c>
      <c r="O1944" s="26" t="s">
        <v>1566</v>
      </c>
      <c r="P1944" s="26" t="s">
        <v>290</v>
      </c>
      <c r="Q1944" s="26">
        <v>0.0</v>
      </c>
    </row>
    <row r="1945" ht="17.25" customHeight="1">
      <c r="A1945" s="51">
        <v>46207.611550347225</v>
      </c>
      <c r="B1945" s="27" t="s">
        <v>1415</v>
      </c>
      <c r="C1945" s="55" t="s">
        <v>1892</v>
      </c>
      <c r="D1945" s="51">
        <v>46207.610789722225</v>
      </c>
      <c r="E1945" s="52">
        <v>1.0</v>
      </c>
      <c r="F1945" s="55" t="s">
        <v>2169</v>
      </c>
      <c r="G1945" s="26"/>
      <c r="H1945" s="26"/>
      <c r="I1945" s="26" t="s">
        <v>1420</v>
      </c>
      <c r="J1945" s="26" t="s">
        <v>1674</v>
      </c>
      <c r="K1945" s="26" t="s">
        <v>1691</v>
      </c>
      <c r="L1945" s="26" t="s">
        <v>1590</v>
      </c>
      <c r="M1945" s="26" t="s">
        <v>1590</v>
      </c>
      <c r="N1945" s="26" t="s">
        <v>1590</v>
      </c>
      <c r="O1945" s="26" t="s">
        <v>1566</v>
      </c>
      <c r="P1945" s="26" t="s">
        <v>290</v>
      </c>
      <c r="Q1945" s="26">
        <v>0.0</v>
      </c>
    </row>
    <row r="1946" ht="17.25" customHeight="1">
      <c r="A1946" s="51">
        <v>46207.611550347225</v>
      </c>
      <c r="B1946" s="27" t="s">
        <v>1404</v>
      </c>
      <c r="C1946" s="55" t="s">
        <v>1892</v>
      </c>
      <c r="D1946" s="51">
        <v>46207.610789722225</v>
      </c>
      <c r="E1946" s="52">
        <v>1.0</v>
      </c>
      <c r="F1946" s="55" t="s">
        <v>2169</v>
      </c>
      <c r="G1946" s="26"/>
      <c r="H1946" s="26"/>
      <c r="I1946" s="26" t="s">
        <v>1407</v>
      </c>
      <c r="J1946" s="26" t="s">
        <v>1674</v>
      </c>
      <c r="K1946" s="26" t="s">
        <v>1691</v>
      </c>
      <c r="L1946" s="26" t="s">
        <v>1590</v>
      </c>
      <c r="M1946" s="26" t="s">
        <v>1590</v>
      </c>
      <c r="N1946" s="26" t="s">
        <v>1590</v>
      </c>
      <c r="O1946" s="26" t="s">
        <v>1566</v>
      </c>
      <c r="P1946" s="26" t="s">
        <v>290</v>
      </c>
      <c r="Q1946" s="26">
        <v>0.0</v>
      </c>
    </row>
    <row r="1947" ht="17.25" customHeight="1">
      <c r="A1947" s="51">
        <v>46209.694769953705</v>
      </c>
      <c r="B1947" s="23" t="s">
        <v>301</v>
      </c>
      <c r="C1947" s="55" t="s">
        <v>1892</v>
      </c>
      <c r="D1947" s="51">
        <v>46209.694769953705</v>
      </c>
      <c r="E1947" s="52">
        <v>15.0</v>
      </c>
      <c r="F1947" s="55" t="s">
        <v>2169</v>
      </c>
      <c r="G1947" s="26"/>
      <c r="H1947" s="26"/>
      <c r="I1947" s="26" t="s">
        <v>302</v>
      </c>
      <c r="J1947" s="26" t="s">
        <v>1830</v>
      </c>
      <c r="K1947" s="26" t="s">
        <v>302</v>
      </c>
      <c r="L1947" s="26" t="s">
        <v>1566</v>
      </c>
      <c r="M1947" s="26" t="s">
        <v>1566</v>
      </c>
      <c r="N1947" s="26" t="s">
        <v>1566</v>
      </c>
      <c r="O1947" s="26" t="s">
        <v>1566</v>
      </c>
      <c r="P1947" s="26" t="s">
        <v>661</v>
      </c>
      <c r="Q1947" s="26">
        <v>580.0</v>
      </c>
    </row>
    <row r="1948" ht="17.25" customHeight="1">
      <c r="A1948" s="51">
        <v>46209.69477123843</v>
      </c>
      <c r="B1948" s="23" t="s">
        <v>301</v>
      </c>
      <c r="C1948" s="55" t="s">
        <v>1892</v>
      </c>
      <c r="D1948" s="51">
        <v>46209.694769953705</v>
      </c>
      <c r="E1948" s="52">
        <v>10.0</v>
      </c>
      <c r="F1948" s="55" t="s">
        <v>2026</v>
      </c>
      <c r="G1948" s="26"/>
      <c r="H1948" s="26"/>
      <c r="I1948" s="26" t="s">
        <v>302</v>
      </c>
      <c r="J1948" s="26" t="s">
        <v>1830</v>
      </c>
      <c r="K1948" s="26" t="s">
        <v>302</v>
      </c>
      <c r="L1948" s="26" t="s">
        <v>1566</v>
      </c>
      <c r="M1948" s="26" t="s">
        <v>1566</v>
      </c>
      <c r="N1948" s="26" t="s">
        <v>1566</v>
      </c>
      <c r="O1948" s="26" t="s">
        <v>1566</v>
      </c>
      <c r="P1948" s="26" t="s">
        <v>661</v>
      </c>
      <c r="Q1948" s="26">
        <v>580.0</v>
      </c>
    </row>
    <row r="1949" ht="17.25" customHeight="1">
      <c r="A1949" s="51">
        <v>46209.69511972222</v>
      </c>
      <c r="B1949" s="23" t="s">
        <v>222</v>
      </c>
      <c r="C1949" s="55" t="s">
        <v>1892</v>
      </c>
      <c r="D1949" s="51">
        <v>46209.694769953705</v>
      </c>
      <c r="E1949" s="52">
        <v>5.0</v>
      </c>
      <c r="F1949" s="55" t="s">
        <v>2075</v>
      </c>
      <c r="G1949" s="26"/>
      <c r="H1949" s="26"/>
      <c r="I1949" s="26" t="s">
        <v>230</v>
      </c>
      <c r="J1949" s="26" t="s">
        <v>1821</v>
      </c>
      <c r="K1949" s="26" t="s">
        <v>1822</v>
      </c>
      <c r="L1949" s="26" t="s">
        <v>1828</v>
      </c>
      <c r="M1949" s="26" t="s">
        <v>1590</v>
      </c>
      <c r="N1949" s="26" t="s">
        <v>1566</v>
      </c>
      <c r="O1949" s="26" t="s">
        <v>1566</v>
      </c>
      <c r="P1949" s="26" t="s">
        <v>661</v>
      </c>
      <c r="Q1949" s="26">
        <v>60.0</v>
      </c>
    </row>
    <row r="1950" ht="17.25" customHeight="1">
      <c r="A1950" s="51">
        <v>46209.695117951385</v>
      </c>
      <c r="B1950" s="23" t="s">
        <v>222</v>
      </c>
      <c r="C1950" s="55" t="s">
        <v>1892</v>
      </c>
      <c r="D1950" s="51">
        <v>46209.694769953705</v>
      </c>
      <c r="E1950" s="52">
        <v>10.0</v>
      </c>
      <c r="F1950" s="55" t="s">
        <v>1907</v>
      </c>
      <c r="G1950" s="26"/>
      <c r="H1950" s="26"/>
      <c r="I1950" s="26" t="s">
        <v>230</v>
      </c>
      <c r="J1950" s="26" t="s">
        <v>1821</v>
      </c>
      <c r="K1950" s="26" t="s">
        <v>1822</v>
      </c>
      <c r="L1950" s="26" t="s">
        <v>1828</v>
      </c>
      <c r="M1950" s="26" t="s">
        <v>1590</v>
      </c>
      <c r="N1950" s="26" t="s">
        <v>1566</v>
      </c>
      <c r="O1950" s="26" t="s">
        <v>1566</v>
      </c>
      <c r="P1950" s="26" t="s">
        <v>661</v>
      </c>
      <c r="Q1950" s="26">
        <v>60.0</v>
      </c>
    </row>
    <row r="1951" ht="17.25" customHeight="1">
      <c r="A1951" s="51">
        <v>46209.69540013889</v>
      </c>
      <c r="B1951" s="23" t="s">
        <v>682</v>
      </c>
      <c r="C1951" s="55" t="s">
        <v>1892</v>
      </c>
      <c r="D1951" s="51">
        <v>46209.694769953705</v>
      </c>
      <c r="E1951" s="52">
        <v>2.0</v>
      </c>
      <c r="F1951" s="55" t="s">
        <v>2124</v>
      </c>
      <c r="G1951" s="26"/>
      <c r="H1951" s="26"/>
      <c r="I1951" s="26" t="s">
        <v>690</v>
      </c>
      <c r="J1951" s="26" t="s">
        <v>1830</v>
      </c>
      <c r="K1951" s="26" t="s">
        <v>1830</v>
      </c>
      <c r="L1951" s="26" t="s">
        <v>1566</v>
      </c>
      <c r="M1951" s="26" t="s">
        <v>1566</v>
      </c>
      <c r="N1951" s="26" t="s">
        <v>1566</v>
      </c>
      <c r="O1951" s="26" t="s">
        <v>1566</v>
      </c>
      <c r="P1951" s="26" t="s">
        <v>661</v>
      </c>
      <c r="Q1951" s="26">
        <v>14.0</v>
      </c>
    </row>
    <row r="1952" ht="17.25" customHeight="1">
      <c r="A1952" s="51">
        <v>46209.695682488426</v>
      </c>
      <c r="B1952" s="25" t="s">
        <v>437</v>
      </c>
      <c r="C1952" s="55" t="s">
        <v>1892</v>
      </c>
      <c r="D1952" s="51">
        <v>46209.694769953705</v>
      </c>
      <c r="E1952" s="52">
        <v>2.0</v>
      </c>
      <c r="F1952" s="55" t="s">
        <v>2124</v>
      </c>
      <c r="G1952" s="26"/>
      <c r="H1952" s="26"/>
      <c r="I1952" s="26" t="s">
        <v>438</v>
      </c>
      <c r="J1952" s="26" t="s">
        <v>1674</v>
      </c>
      <c r="K1952" s="26" t="s">
        <v>1691</v>
      </c>
      <c r="L1952" s="26" t="s">
        <v>1566</v>
      </c>
      <c r="M1952" s="26" t="s">
        <v>1566</v>
      </c>
      <c r="N1952" s="26" t="s">
        <v>1721</v>
      </c>
      <c r="O1952" s="26" t="s">
        <v>1677</v>
      </c>
      <c r="P1952" s="26" t="s">
        <v>290</v>
      </c>
      <c r="Q1952" s="26">
        <v>5.0</v>
      </c>
    </row>
    <row r="1953" ht="17.25" customHeight="1">
      <c r="A1953" s="51">
        <v>46209.696103622686</v>
      </c>
      <c r="B1953" s="23" t="s">
        <v>359</v>
      </c>
      <c r="C1953" s="55" t="s">
        <v>1892</v>
      </c>
      <c r="D1953" s="51">
        <v>46209.694769953705</v>
      </c>
      <c r="E1953" s="52">
        <v>4.0</v>
      </c>
      <c r="F1953" s="55" t="s">
        <v>2339</v>
      </c>
      <c r="G1953" s="26"/>
      <c r="H1953" s="26"/>
      <c r="I1953" s="26" t="s">
        <v>370</v>
      </c>
      <c r="J1953" s="26" t="s">
        <v>370</v>
      </c>
      <c r="K1953" s="26" t="s">
        <v>370</v>
      </c>
      <c r="L1953" s="26" t="s">
        <v>1566</v>
      </c>
      <c r="M1953" s="26" t="s">
        <v>1566</v>
      </c>
      <c r="N1953" s="26" t="s">
        <v>1566</v>
      </c>
      <c r="O1953" s="26" t="s">
        <v>1566</v>
      </c>
      <c r="P1953" s="26" t="s">
        <v>661</v>
      </c>
      <c r="Q1953" s="26">
        <v>100.0</v>
      </c>
    </row>
    <row r="1954" ht="17.25" customHeight="1">
      <c r="A1954" s="51">
        <v>46209.69632324074</v>
      </c>
      <c r="B1954" s="23" t="s">
        <v>301</v>
      </c>
      <c r="C1954" s="55" t="s">
        <v>1892</v>
      </c>
      <c r="D1954" s="51">
        <v>46209.694769953705</v>
      </c>
      <c r="E1954" s="52">
        <v>10.0</v>
      </c>
      <c r="F1954" s="55" t="s">
        <v>2339</v>
      </c>
      <c r="G1954" s="26"/>
      <c r="H1954" s="26"/>
      <c r="I1954" s="26" t="s">
        <v>302</v>
      </c>
      <c r="J1954" s="26" t="s">
        <v>1830</v>
      </c>
      <c r="K1954" s="26" t="s">
        <v>302</v>
      </c>
      <c r="L1954" s="26" t="s">
        <v>1566</v>
      </c>
      <c r="M1954" s="26" t="s">
        <v>1566</v>
      </c>
      <c r="N1954" s="26" t="s">
        <v>1566</v>
      </c>
      <c r="O1954" s="26" t="s">
        <v>1566</v>
      </c>
      <c r="P1954" s="26" t="s">
        <v>661</v>
      </c>
      <c r="Q1954" s="26">
        <v>580.0</v>
      </c>
    </row>
    <row r="1955" ht="17.25" customHeight="1">
      <c r="A1955" s="51">
        <v>46210.524180520835</v>
      </c>
      <c r="B1955" s="25" t="s">
        <v>79</v>
      </c>
      <c r="C1955" s="55" t="s">
        <v>1560</v>
      </c>
      <c r="D1955" s="111">
        <v>46207.0</v>
      </c>
      <c r="E1955" s="52">
        <v>10200.0</v>
      </c>
      <c r="F1955" s="55" t="s">
        <v>1561</v>
      </c>
      <c r="G1955" s="26"/>
      <c r="H1955" s="55" t="s">
        <v>2320</v>
      </c>
      <c r="I1955" s="26" t="s">
        <v>80</v>
      </c>
      <c r="J1955" s="26" t="s">
        <v>1225</v>
      </c>
      <c r="K1955" s="26" t="s">
        <v>1562</v>
      </c>
      <c r="L1955" s="26" t="s">
        <v>1563</v>
      </c>
      <c r="M1955" s="26" t="s">
        <v>1575</v>
      </c>
      <c r="N1955" s="26" t="s">
        <v>1566</v>
      </c>
      <c r="O1955" s="26" t="s">
        <v>1566</v>
      </c>
      <c r="P1955" s="26" t="s">
        <v>22</v>
      </c>
      <c r="Q1955" s="26">
        <v>700.0</v>
      </c>
    </row>
    <row r="1956" ht="17.25" customHeight="1">
      <c r="A1956" s="51">
        <v>46210.52489512731</v>
      </c>
      <c r="B1956" s="25" t="s">
        <v>1011</v>
      </c>
      <c r="C1956" s="55" t="s">
        <v>1560</v>
      </c>
      <c r="D1956" s="111">
        <v>46207.0</v>
      </c>
      <c r="E1956" s="52">
        <v>500.0</v>
      </c>
      <c r="F1956" s="55" t="s">
        <v>1561</v>
      </c>
      <c r="G1956" s="26"/>
      <c r="H1956" s="55" t="s">
        <v>2348</v>
      </c>
      <c r="I1956" s="26" t="s">
        <v>1012</v>
      </c>
      <c r="J1956" s="26" t="s">
        <v>1225</v>
      </c>
      <c r="K1956" s="26" t="s">
        <v>1562</v>
      </c>
      <c r="L1956" s="26" t="s">
        <v>1582</v>
      </c>
      <c r="M1956" s="26" t="s">
        <v>1575</v>
      </c>
      <c r="N1956" s="26" t="s">
        <v>1566</v>
      </c>
      <c r="O1956" s="26" t="s">
        <v>1566</v>
      </c>
      <c r="P1956" s="26" t="s">
        <v>22</v>
      </c>
      <c r="Q1956" s="26">
        <v>100.0</v>
      </c>
    </row>
    <row r="1957" ht="17.25" customHeight="1">
      <c r="A1957" s="51">
        <v>46210.52576346065</v>
      </c>
      <c r="B1957" s="25" t="s">
        <v>79</v>
      </c>
      <c r="C1957" s="55" t="s">
        <v>1560</v>
      </c>
      <c r="D1957" s="111">
        <v>46207.0</v>
      </c>
      <c r="E1957" s="52">
        <v>1200.0</v>
      </c>
      <c r="F1957" s="55" t="s">
        <v>1561</v>
      </c>
      <c r="G1957" s="55"/>
      <c r="H1957" s="55" t="s">
        <v>2349</v>
      </c>
      <c r="I1957" s="26" t="s">
        <v>80</v>
      </c>
      <c r="J1957" s="26" t="s">
        <v>1225</v>
      </c>
      <c r="K1957" s="26" t="s">
        <v>1562</v>
      </c>
      <c r="L1957" s="26" t="s">
        <v>1563</v>
      </c>
      <c r="M1957" s="26" t="s">
        <v>1575</v>
      </c>
      <c r="N1957" s="26" t="s">
        <v>1566</v>
      </c>
      <c r="O1957" s="26" t="s">
        <v>1566</v>
      </c>
      <c r="P1957" s="26" t="s">
        <v>22</v>
      </c>
      <c r="Q1957" s="26">
        <v>700.0</v>
      </c>
    </row>
    <row r="1958" ht="17.25" customHeight="1">
      <c r="A1958" s="51">
        <v>46210.52625292824</v>
      </c>
      <c r="B1958" s="25" t="s">
        <v>942</v>
      </c>
      <c r="C1958" s="55" t="s">
        <v>1560</v>
      </c>
      <c r="D1958" s="111">
        <v>46207.0</v>
      </c>
      <c r="E1958" s="52">
        <v>1000.0</v>
      </c>
      <c r="F1958" s="55" t="s">
        <v>1561</v>
      </c>
      <c r="G1958" s="26"/>
      <c r="H1958" s="55" t="s">
        <v>2350</v>
      </c>
      <c r="I1958" s="26" t="s">
        <v>943</v>
      </c>
      <c r="J1958" s="26" t="s">
        <v>1225</v>
      </c>
      <c r="K1958" s="26" t="s">
        <v>1562</v>
      </c>
      <c r="L1958" s="26" t="s">
        <v>1591</v>
      </c>
      <c r="M1958" s="26" t="s">
        <v>1575</v>
      </c>
      <c r="N1958" s="26" t="s">
        <v>1566</v>
      </c>
      <c r="O1958" s="26" t="s">
        <v>1566</v>
      </c>
      <c r="P1958" s="26" t="s">
        <v>22</v>
      </c>
      <c r="Q1958" s="26">
        <v>900.0</v>
      </c>
    </row>
    <row r="1959" ht="17.25" customHeight="1">
      <c r="A1959" s="51">
        <v>46210.52915306713</v>
      </c>
      <c r="B1959" s="25" t="s">
        <v>41</v>
      </c>
      <c r="C1959" s="55" t="s">
        <v>1560</v>
      </c>
      <c r="D1959" s="111">
        <v>46207.0</v>
      </c>
      <c r="E1959" s="52">
        <v>500.0</v>
      </c>
      <c r="F1959" s="55" t="s">
        <v>1561</v>
      </c>
      <c r="G1959" s="26"/>
      <c r="H1959" s="55" t="s">
        <v>2351</v>
      </c>
      <c r="I1959" s="26" t="s">
        <v>42</v>
      </c>
      <c r="J1959" s="26" t="s">
        <v>1225</v>
      </c>
      <c r="K1959" s="26" t="s">
        <v>1562</v>
      </c>
      <c r="L1959" s="26" t="s">
        <v>1576</v>
      </c>
      <c r="M1959" s="26" t="s">
        <v>1575</v>
      </c>
      <c r="N1959" s="26" t="s">
        <v>1571</v>
      </c>
      <c r="O1959" s="26" t="s">
        <v>1566</v>
      </c>
      <c r="P1959" s="26" t="s">
        <v>22</v>
      </c>
      <c r="Q1959" s="26">
        <v>200.0</v>
      </c>
    </row>
    <row r="1960" ht="17.25" customHeight="1">
      <c r="A1960" s="51">
        <v>46210.52947168981</v>
      </c>
      <c r="B1960" s="25" t="s">
        <v>1011</v>
      </c>
      <c r="C1960" s="55" t="s">
        <v>1560</v>
      </c>
      <c r="D1960" s="111">
        <v>46207.0</v>
      </c>
      <c r="E1960" s="52">
        <v>600.0</v>
      </c>
      <c r="F1960" s="55" t="s">
        <v>1561</v>
      </c>
      <c r="G1960" s="26"/>
      <c r="H1960" s="55" t="s">
        <v>2312</v>
      </c>
      <c r="I1960" s="26" t="s">
        <v>1012</v>
      </c>
      <c r="J1960" s="26" t="s">
        <v>1225</v>
      </c>
      <c r="K1960" s="26" t="s">
        <v>1562</v>
      </c>
      <c r="L1960" s="26" t="s">
        <v>1582</v>
      </c>
      <c r="M1960" s="26" t="s">
        <v>1575</v>
      </c>
      <c r="N1960" s="26" t="s">
        <v>1566</v>
      </c>
      <c r="O1960" s="26" t="s">
        <v>1566</v>
      </c>
      <c r="P1960" s="26" t="s">
        <v>22</v>
      </c>
      <c r="Q1960" s="26">
        <v>100.0</v>
      </c>
    </row>
    <row r="1961" ht="17.25" customHeight="1">
      <c r="A1961" s="51">
        <v>46210.5297684838</v>
      </c>
      <c r="B1961" s="25" t="s">
        <v>33</v>
      </c>
      <c r="C1961" s="55" t="s">
        <v>1560</v>
      </c>
      <c r="D1961" s="111">
        <v>46207.0</v>
      </c>
      <c r="E1961" s="52">
        <v>600.0</v>
      </c>
      <c r="F1961" s="55" t="s">
        <v>1561</v>
      </c>
      <c r="G1961" s="26"/>
      <c r="H1961" s="55" t="s">
        <v>2352</v>
      </c>
      <c r="I1961" s="26" t="s">
        <v>35</v>
      </c>
      <c r="J1961" s="26" t="s">
        <v>1225</v>
      </c>
      <c r="K1961" s="26" t="s">
        <v>1562</v>
      </c>
      <c r="L1961" s="26" t="s">
        <v>1573</v>
      </c>
      <c r="M1961" s="26" t="s">
        <v>1575</v>
      </c>
      <c r="N1961" s="26" t="s">
        <v>1566</v>
      </c>
      <c r="O1961" s="26" t="s">
        <v>1566</v>
      </c>
      <c r="P1961" s="26" t="s">
        <v>22</v>
      </c>
      <c r="Q1961" s="26">
        <v>2600.0</v>
      </c>
    </row>
    <row r="1962" ht="17.25" customHeight="1">
      <c r="A1962" s="51">
        <v>46210.532058993056</v>
      </c>
      <c r="B1962" s="25" t="s">
        <v>123</v>
      </c>
      <c r="C1962" s="55" t="s">
        <v>1560</v>
      </c>
      <c r="D1962" s="111">
        <v>46207.0</v>
      </c>
      <c r="E1962" s="52">
        <v>2700.0</v>
      </c>
      <c r="F1962" s="55" t="s">
        <v>1561</v>
      </c>
      <c r="G1962" s="26"/>
      <c r="H1962" s="55" t="s">
        <v>2230</v>
      </c>
      <c r="I1962" s="26" t="s">
        <v>124</v>
      </c>
      <c r="J1962" s="26" t="s">
        <v>1225</v>
      </c>
      <c r="K1962" s="26" t="s">
        <v>1562</v>
      </c>
      <c r="L1962" s="26" t="s">
        <v>1587</v>
      </c>
      <c r="M1962" s="26" t="s">
        <v>1575</v>
      </c>
      <c r="N1962" s="26" t="s">
        <v>1566</v>
      </c>
      <c r="O1962" s="26" t="s">
        <v>1571</v>
      </c>
      <c r="P1962" s="26" t="s">
        <v>22</v>
      </c>
      <c r="Q1962" s="26">
        <v>1600.0</v>
      </c>
    </row>
    <row r="1963" ht="17.25" customHeight="1">
      <c r="A1963" s="51">
        <v>46210.53327454861</v>
      </c>
      <c r="B1963" s="27" t="s">
        <v>53</v>
      </c>
      <c r="C1963" s="55" t="s">
        <v>1560</v>
      </c>
      <c r="D1963" s="111">
        <v>46207.0</v>
      </c>
      <c r="E1963" s="52">
        <v>2200.0</v>
      </c>
      <c r="F1963" s="55" t="s">
        <v>1561</v>
      </c>
      <c r="G1963" s="26"/>
      <c r="H1963" s="55" t="s">
        <v>2353</v>
      </c>
      <c r="I1963" s="26" t="s">
        <v>54</v>
      </c>
      <c r="J1963" s="26" t="s">
        <v>1225</v>
      </c>
      <c r="K1963" s="26" t="s">
        <v>1562</v>
      </c>
      <c r="L1963" s="26" t="s">
        <v>2199</v>
      </c>
      <c r="M1963" s="26" t="s">
        <v>1586</v>
      </c>
      <c r="N1963" s="26" t="s">
        <v>1590</v>
      </c>
      <c r="O1963" s="26" t="s">
        <v>1590</v>
      </c>
      <c r="P1963" s="26" t="s">
        <v>22</v>
      </c>
      <c r="Q1963" s="26">
        <v>0.0</v>
      </c>
    </row>
    <row r="1964" ht="17.25" customHeight="1">
      <c r="A1964" s="51">
        <v>46210.53383165509</v>
      </c>
      <c r="B1964" s="25" t="s">
        <v>347</v>
      </c>
      <c r="C1964" s="55" t="s">
        <v>1560</v>
      </c>
      <c r="D1964" s="111">
        <v>46207.0</v>
      </c>
      <c r="E1964" s="52">
        <v>1200.0</v>
      </c>
      <c r="F1964" s="55" t="s">
        <v>1561</v>
      </c>
      <c r="G1964" s="55" t="s">
        <v>2354</v>
      </c>
      <c r="H1964" s="26"/>
      <c r="I1964" s="26" t="s">
        <v>349</v>
      </c>
      <c r="J1964" s="26" t="s">
        <v>1225</v>
      </c>
      <c r="K1964" s="26" t="s">
        <v>1562</v>
      </c>
      <c r="L1964" s="26" t="s">
        <v>1591</v>
      </c>
      <c r="M1964" s="26" t="s">
        <v>1564</v>
      </c>
      <c r="N1964" s="26" t="s">
        <v>1565</v>
      </c>
      <c r="O1964" s="26" t="s">
        <v>1566</v>
      </c>
      <c r="P1964" s="26" t="s">
        <v>22</v>
      </c>
      <c r="Q1964" s="26">
        <v>1800.0</v>
      </c>
    </row>
    <row r="1965" ht="17.25" customHeight="1">
      <c r="A1965" s="51">
        <v>46210.7147443287</v>
      </c>
      <c r="B1965" s="25" t="s">
        <v>41</v>
      </c>
      <c r="C1965" s="55" t="s">
        <v>1892</v>
      </c>
      <c r="D1965" s="111">
        <v>46203.0</v>
      </c>
      <c r="E1965" s="52">
        <v>1500.0</v>
      </c>
      <c r="F1965" s="55" t="s">
        <v>1561</v>
      </c>
      <c r="G1965" s="55">
        <v>879.0</v>
      </c>
      <c r="H1965" s="26"/>
      <c r="I1965" s="26" t="s">
        <v>42</v>
      </c>
      <c r="J1965" s="26" t="s">
        <v>1225</v>
      </c>
      <c r="K1965" s="26" t="s">
        <v>1562</v>
      </c>
      <c r="L1965" s="26" t="s">
        <v>1576</v>
      </c>
      <c r="M1965" s="26" t="s">
        <v>1575</v>
      </c>
      <c r="N1965" s="26" t="s">
        <v>1571</v>
      </c>
      <c r="O1965" s="26" t="s">
        <v>1566</v>
      </c>
      <c r="P1965" s="26" t="s">
        <v>22</v>
      </c>
      <c r="Q1965" s="26">
        <v>200.0</v>
      </c>
    </row>
    <row r="1966" ht="17.25" customHeight="1">
      <c r="A1966" s="51">
        <v>46210.71533180556</v>
      </c>
      <c r="B1966" s="25" t="s">
        <v>1522</v>
      </c>
      <c r="C1966" s="55" t="s">
        <v>1892</v>
      </c>
      <c r="D1966" s="111">
        <v>46203.0</v>
      </c>
      <c r="E1966" s="52">
        <v>1100.0</v>
      </c>
      <c r="F1966" s="55" t="s">
        <v>1561</v>
      </c>
      <c r="G1966" s="55">
        <v>880.0</v>
      </c>
      <c r="H1966" s="26"/>
      <c r="I1966" s="26" t="s">
        <v>1523</v>
      </c>
      <c r="J1966" s="26" t="s">
        <v>1225</v>
      </c>
      <c r="K1966" s="26" t="s">
        <v>1562</v>
      </c>
      <c r="L1966" s="26" t="s">
        <v>1563</v>
      </c>
      <c r="M1966" s="26" t="s">
        <v>1572</v>
      </c>
      <c r="N1966" s="26" t="s">
        <v>1571</v>
      </c>
      <c r="O1966" s="26" t="s">
        <v>1566</v>
      </c>
      <c r="P1966" s="26" t="s">
        <v>22</v>
      </c>
      <c r="Q1966" s="26">
        <v>800.0</v>
      </c>
    </row>
    <row r="1967" ht="17.25" customHeight="1">
      <c r="A1967" s="51">
        <v>46210.71590271991</v>
      </c>
      <c r="B1967" s="25" t="s">
        <v>1014</v>
      </c>
      <c r="C1967" s="55" t="s">
        <v>1892</v>
      </c>
      <c r="D1967" s="111">
        <v>46203.0</v>
      </c>
      <c r="E1967" s="52">
        <v>700.0</v>
      </c>
      <c r="F1967" s="55" t="s">
        <v>1561</v>
      </c>
      <c r="G1967" s="55">
        <v>881.0</v>
      </c>
      <c r="H1967" s="26"/>
      <c r="I1967" s="26" t="s">
        <v>1015</v>
      </c>
      <c r="J1967" s="26" t="s">
        <v>1225</v>
      </c>
      <c r="K1967" s="26" t="s">
        <v>1562</v>
      </c>
      <c r="L1967" s="26" t="s">
        <v>1573</v>
      </c>
      <c r="M1967" s="26" t="s">
        <v>2057</v>
      </c>
      <c r="N1967" s="26" t="s">
        <v>1566</v>
      </c>
      <c r="O1967" s="26" t="s">
        <v>1566</v>
      </c>
      <c r="P1967" s="26" t="s">
        <v>22</v>
      </c>
      <c r="Q1967" s="26">
        <v>835.0</v>
      </c>
    </row>
    <row r="1968" ht="17.25" customHeight="1">
      <c r="A1968" s="51">
        <v>46210.7159679051</v>
      </c>
      <c r="B1968" s="25" t="s">
        <v>1014</v>
      </c>
      <c r="C1968" s="55" t="s">
        <v>1892</v>
      </c>
      <c r="D1968" s="111">
        <v>46203.0</v>
      </c>
      <c r="E1968" s="52">
        <v>700.0</v>
      </c>
      <c r="F1968" s="55" t="s">
        <v>1561</v>
      </c>
      <c r="G1968" s="55">
        <v>882.0</v>
      </c>
      <c r="H1968" s="26"/>
      <c r="I1968" s="26" t="s">
        <v>1015</v>
      </c>
      <c r="J1968" s="26" t="s">
        <v>1225</v>
      </c>
      <c r="K1968" s="26" t="s">
        <v>1562</v>
      </c>
      <c r="L1968" s="26" t="s">
        <v>1573</v>
      </c>
      <c r="M1968" s="26" t="s">
        <v>2057</v>
      </c>
      <c r="N1968" s="26" t="s">
        <v>1566</v>
      </c>
      <c r="O1968" s="26" t="s">
        <v>1566</v>
      </c>
      <c r="P1968" s="26" t="s">
        <v>22</v>
      </c>
      <c r="Q1968" s="26">
        <v>835.0</v>
      </c>
    </row>
    <row r="1969" ht="17.25" customHeight="1">
      <c r="A1969" s="51">
        <v>46210.757148055556</v>
      </c>
      <c r="B1969" s="27" t="s">
        <v>1170</v>
      </c>
      <c r="C1969" s="55" t="s">
        <v>1892</v>
      </c>
      <c r="D1969" s="111">
        <v>46205.0</v>
      </c>
      <c r="E1969" s="52">
        <v>2800.0</v>
      </c>
      <c r="F1969" s="55" t="s">
        <v>1561</v>
      </c>
      <c r="G1969" s="55">
        <v>883.0</v>
      </c>
      <c r="H1969" s="26"/>
      <c r="I1969" s="26" t="s">
        <v>1172</v>
      </c>
      <c r="J1969" s="26" t="s">
        <v>1225</v>
      </c>
      <c r="K1969" s="26" t="s">
        <v>1562</v>
      </c>
      <c r="L1969" s="26" t="s">
        <v>2154</v>
      </c>
      <c r="M1969" s="26" t="s">
        <v>2152</v>
      </c>
      <c r="N1969" s="26" t="s">
        <v>1566</v>
      </c>
      <c r="O1969" s="26" t="s">
        <v>1571</v>
      </c>
      <c r="P1969" s="26" t="s">
        <v>22</v>
      </c>
      <c r="Q1969" s="26">
        <v>2060.0</v>
      </c>
    </row>
    <row r="1970" ht="17.25" customHeight="1">
      <c r="A1970" s="51">
        <v>46210.75785335648</v>
      </c>
      <c r="B1970" s="25" t="s">
        <v>1762</v>
      </c>
      <c r="C1970" s="55" t="s">
        <v>1892</v>
      </c>
      <c r="D1970" s="111">
        <v>46205.0</v>
      </c>
      <c r="E1970" s="52">
        <v>800.0</v>
      </c>
      <c r="F1970" s="55" t="s">
        <v>1561</v>
      </c>
      <c r="G1970" s="55">
        <v>884.0</v>
      </c>
      <c r="H1970" s="26"/>
      <c r="I1970" s="26" t="s">
        <v>1763</v>
      </c>
      <c r="J1970" s="26" t="s">
        <v>1225</v>
      </c>
      <c r="K1970" s="26" t="s">
        <v>1562</v>
      </c>
      <c r="L1970" s="26" t="s">
        <v>2197</v>
      </c>
      <c r="M1970" s="26" t="s">
        <v>1575</v>
      </c>
      <c r="N1970" s="26" t="s">
        <v>1590</v>
      </c>
      <c r="O1970" s="26" t="s">
        <v>2160</v>
      </c>
      <c r="P1970" s="26" t="s">
        <v>22</v>
      </c>
      <c r="Q1970" s="26">
        <v>0.0</v>
      </c>
    </row>
    <row r="1971" ht="17.25" customHeight="1">
      <c r="A1971" s="51">
        <v>46210.75816498842</v>
      </c>
      <c r="B1971" s="25" t="s">
        <v>1764</v>
      </c>
      <c r="C1971" s="55" t="s">
        <v>1892</v>
      </c>
      <c r="D1971" s="111">
        <v>46205.0</v>
      </c>
      <c r="E1971" s="52">
        <v>1500.0</v>
      </c>
      <c r="F1971" s="55" t="s">
        <v>1561</v>
      </c>
      <c r="G1971" s="55">
        <v>885.0</v>
      </c>
      <c r="H1971" s="26"/>
      <c r="I1971" s="26" t="s">
        <v>1765</v>
      </c>
      <c r="J1971" s="26" t="s">
        <v>1225</v>
      </c>
      <c r="K1971" s="26" t="s">
        <v>1562</v>
      </c>
      <c r="L1971" s="26" t="s">
        <v>1641</v>
      </c>
      <c r="M1971" s="26" t="s">
        <v>1575</v>
      </c>
      <c r="N1971" s="26" t="s">
        <v>1590</v>
      </c>
      <c r="O1971" s="26" t="s">
        <v>2160</v>
      </c>
      <c r="P1971" s="26" t="s">
        <v>22</v>
      </c>
      <c r="Q1971" s="26">
        <v>0.0</v>
      </c>
    </row>
    <row r="1972" ht="17.25" customHeight="1">
      <c r="A1972" s="51">
        <v>46210.76374234953</v>
      </c>
      <c r="B1972" s="25" t="s">
        <v>1589</v>
      </c>
      <c r="C1972" s="55" t="s">
        <v>1892</v>
      </c>
      <c r="D1972" s="111">
        <v>46205.0</v>
      </c>
      <c r="E1972" s="52">
        <v>500.0</v>
      </c>
      <c r="F1972" s="55" t="s">
        <v>1561</v>
      </c>
      <c r="G1972" s="55">
        <v>887.0</v>
      </c>
      <c r="H1972" s="26"/>
      <c r="I1972" s="26" t="s">
        <v>1695</v>
      </c>
      <c r="J1972" s="26" t="s">
        <v>1225</v>
      </c>
      <c r="K1972" s="26" t="s">
        <v>1562</v>
      </c>
      <c r="L1972" s="26" t="s">
        <v>1573</v>
      </c>
      <c r="M1972" s="26" t="s">
        <v>1604</v>
      </c>
      <c r="N1972" s="26" t="s">
        <v>1566</v>
      </c>
      <c r="O1972" s="26" t="s">
        <v>1566</v>
      </c>
      <c r="P1972" s="26" t="s">
        <v>22</v>
      </c>
      <c r="Q1972" s="26">
        <v>0.0</v>
      </c>
    </row>
    <row r="1973" ht="17.25" customHeight="1">
      <c r="A1973" s="51">
        <v>46210.76583856481</v>
      </c>
      <c r="B1973" s="25" t="s">
        <v>87</v>
      </c>
      <c r="C1973" s="55" t="s">
        <v>1892</v>
      </c>
      <c r="D1973" s="111">
        <v>46206.0</v>
      </c>
      <c r="E1973" s="52">
        <v>400.0</v>
      </c>
      <c r="F1973" s="55" t="s">
        <v>1561</v>
      </c>
      <c r="G1973" s="55">
        <v>890.0</v>
      </c>
      <c r="H1973" s="26"/>
      <c r="I1973" s="26" t="s">
        <v>88</v>
      </c>
      <c r="J1973" s="26" t="s">
        <v>1225</v>
      </c>
      <c r="K1973" s="26" t="s">
        <v>1562</v>
      </c>
      <c r="L1973" s="26" t="s">
        <v>1633</v>
      </c>
      <c r="M1973" s="26" t="s">
        <v>1575</v>
      </c>
      <c r="N1973" s="26" t="s">
        <v>1590</v>
      </c>
      <c r="O1973" s="26" t="s">
        <v>2160</v>
      </c>
      <c r="P1973" s="26" t="s">
        <v>22</v>
      </c>
      <c r="Q1973" s="26">
        <v>800.0</v>
      </c>
    </row>
    <row r="1974" ht="17.25" customHeight="1">
      <c r="A1974" s="51">
        <v>46210.768249456014</v>
      </c>
      <c r="B1974" s="25" t="s">
        <v>87</v>
      </c>
      <c r="C1974" s="55" t="s">
        <v>1892</v>
      </c>
      <c r="D1974" s="111">
        <v>46206.0</v>
      </c>
      <c r="E1974" s="52">
        <v>600.0</v>
      </c>
      <c r="F1974" s="55" t="s">
        <v>1561</v>
      </c>
      <c r="G1974" s="55">
        <v>891.0</v>
      </c>
      <c r="H1974" s="26"/>
      <c r="I1974" s="26" t="s">
        <v>88</v>
      </c>
      <c r="J1974" s="26" t="s">
        <v>1225</v>
      </c>
      <c r="K1974" s="26" t="s">
        <v>1562</v>
      </c>
      <c r="L1974" s="26" t="s">
        <v>1633</v>
      </c>
      <c r="M1974" s="26" t="s">
        <v>1575</v>
      </c>
      <c r="N1974" s="26" t="s">
        <v>1590</v>
      </c>
      <c r="O1974" s="26" t="s">
        <v>2160</v>
      </c>
      <c r="P1974" s="26" t="s">
        <v>22</v>
      </c>
      <c r="Q1974" s="26">
        <v>800.0</v>
      </c>
    </row>
    <row r="1975" ht="17.25" customHeight="1">
      <c r="A1975" s="51">
        <v>46210.76905166666</v>
      </c>
      <c r="B1975" s="25" t="s">
        <v>1011</v>
      </c>
      <c r="C1975" s="55" t="s">
        <v>1892</v>
      </c>
      <c r="D1975" s="111">
        <v>46206.0</v>
      </c>
      <c r="E1975" s="52">
        <v>300.0</v>
      </c>
      <c r="F1975" s="55" t="s">
        <v>1561</v>
      </c>
      <c r="G1975" s="55">
        <v>892.0</v>
      </c>
      <c r="H1975" s="26"/>
      <c r="I1975" s="26" t="s">
        <v>1012</v>
      </c>
      <c r="J1975" s="26" t="s">
        <v>1225</v>
      </c>
      <c r="K1975" s="26" t="s">
        <v>1562</v>
      </c>
      <c r="L1975" s="26" t="s">
        <v>1582</v>
      </c>
      <c r="M1975" s="26" t="s">
        <v>1575</v>
      </c>
      <c r="N1975" s="26" t="s">
        <v>1566</v>
      </c>
      <c r="O1975" s="26" t="s">
        <v>1566</v>
      </c>
      <c r="P1975" s="26" t="s">
        <v>22</v>
      </c>
      <c r="Q1975" s="26">
        <v>100.0</v>
      </c>
    </row>
    <row r="1976" ht="17.25" customHeight="1">
      <c r="A1976" s="51">
        <v>46210.76943324074</v>
      </c>
      <c r="B1976" s="25" t="s">
        <v>61</v>
      </c>
      <c r="C1976" s="55" t="s">
        <v>1892</v>
      </c>
      <c r="D1976" s="111">
        <v>46206.0</v>
      </c>
      <c r="E1976" s="52">
        <v>800.0</v>
      </c>
      <c r="F1976" s="55" t="s">
        <v>1561</v>
      </c>
      <c r="G1976" s="55">
        <v>893.0</v>
      </c>
      <c r="H1976" s="26"/>
      <c r="I1976" s="26" t="s">
        <v>62</v>
      </c>
      <c r="J1976" s="26" t="s">
        <v>1225</v>
      </c>
      <c r="K1976" s="26" t="s">
        <v>1562</v>
      </c>
      <c r="L1976" s="26" t="s">
        <v>1600</v>
      </c>
      <c r="M1976" s="26" t="s">
        <v>1575</v>
      </c>
      <c r="N1976" s="26" t="s">
        <v>1566</v>
      </c>
      <c r="O1976" s="26" t="s">
        <v>2160</v>
      </c>
      <c r="P1976" s="26" t="s">
        <v>22</v>
      </c>
      <c r="Q1976" s="26">
        <v>0.0</v>
      </c>
    </row>
    <row r="1977" ht="17.25" customHeight="1">
      <c r="A1977" s="51">
        <v>46210.770935277775</v>
      </c>
      <c r="B1977" s="25" t="s">
        <v>347</v>
      </c>
      <c r="C1977" s="55" t="s">
        <v>1892</v>
      </c>
      <c r="D1977" s="111">
        <v>46206.0</v>
      </c>
      <c r="E1977" s="52">
        <v>1200.0</v>
      </c>
      <c r="F1977" s="55" t="s">
        <v>1561</v>
      </c>
      <c r="G1977" s="55">
        <v>894.0</v>
      </c>
      <c r="H1977" s="26"/>
      <c r="I1977" s="26" t="s">
        <v>349</v>
      </c>
      <c r="J1977" s="26" t="s">
        <v>1225</v>
      </c>
      <c r="K1977" s="26" t="s">
        <v>1562</v>
      </c>
      <c r="L1977" s="26" t="s">
        <v>1591</v>
      </c>
      <c r="M1977" s="26" t="s">
        <v>1564</v>
      </c>
      <c r="N1977" s="26" t="s">
        <v>1565</v>
      </c>
      <c r="O1977" s="26" t="s">
        <v>1566</v>
      </c>
      <c r="P1977" s="26" t="s">
        <v>22</v>
      </c>
      <c r="Q1977" s="26">
        <v>1800.0</v>
      </c>
    </row>
    <row r="1978" ht="17.25" customHeight="1">
      <c r="A1978" s="51">
        <v>46210.771299189815</v>
      </c>
      <c r="B1978" s="25" t="s">
        <v>1285</v>
      </c>
      <c r="C1978" s="55" t="s">
        <v>1892</v>
      </c>
      <c r="D1978" s="111">
        <v>46207.0</v>
      </c>
      <c r="E1978" s="52">
        <v>700.0</v>
      </c>
      <c r="F1978" s="55" t="s">
        <v>1561</v>
      </c>
      <c r="G1978" s="55">
        <v>895.0</v>
      </c>
      <c r="H1978" s="26"/>
      <c r="I1978" s="26" t="s">
        <v>1286</v>
      </c>
      <c r="J1978" s="26" t="s">
        <v>1225</v>
      </c>
      <c r="K1978" s="26" t="s">
        <v>1896</v>
      </c>
      <c r="L1978" s="26" t="s">
        <v>1563</v>
      </c>
      <c r="M1978" s="26" t="s">
        <v>1572</v>
      </c>
      <c r="N1978" s="26" t="s">
        <v>1566</v>
      </c>
      <c r="O1978" s="26" t="s">
        <v>1566</v>
      </c>
      <c r="P1978" s="26" t="s">
        <v>22</v>
      </c>
      <c r="Q1978" s="26">
        <v>300.0</v>
      </c>
    </row>
    <row r="1979" ht="17.25" customHeight="1">
      <c r="A1979" s="51">
        <v>46210.77220118056</v>
      </c>
      <c r="B1979" s="25" t="s">
        <v>79</v>
      </c>
      <c r="C1979" s="55" t="s">
        <v>1892</v>
      </c>
      <c r="D1979" s="111">
        <v>46207.0</v>
      </c>
      <c r="E1979" s="52">
        <v>1200.0</v>
      </c>
      <c r="F1979" s="55" t="s">
        <v>1561</v>
      </c>
      <c r="G1979" s="55">
        <v>896.0</v>
      </c>
      <c r="H1979" s="26"/>
      <c r="I1979" s="26" t="s">
        <v>80</v>
      </c>
      <c r="J1979" s="26" t="s">
        <v>1225</v>
      </c>
      <c r="K1979" s="26" t="s">
        <v>1562</v>
      </c>
      <c r="L1979" s="26" t="s">
        <v>1563</v>
      </c>
      <c r="M1979" s="26" t="s">
        <v>1575</v>
      </c>
      <c r="N1979" s="26" t="s">
        <v>1566</v>
      </c>
      <c r="O1979" s="26" t="s">
        <v>1566</v>
      </c>
      <c r="P1979" s="26" t="s">
        <v>22</v>
      </c>
      <c r="Q1979" s="26">
        <v>700.0</v>
      </c>
    </row>
    <row r="1980" ht="17.25" customHeight="1">
      <c r="A1980" s="51">
        <v>46210.77302596065</v>
      </c>
      <c r="B1980" s="25" t="s">
        <v>1981</v>
      </c>
      <c r="C1980" s="55" t="s">
        <v>1892</v>
      </c>
      <c r="D1980" s="111">
        <v>46209.0</v>
      </c>
      <c r="E1980" s="52">
        <v>576.0</v>
      </c>
      <c r="F1980" s="55" t="s">
        <v>1561</v>
      </c>
      <c r="G1980" s="55">
        <v>897.0</v>
      </c>
      <c r="H1980" s="26"/>
      <c r="I1980" s="26" t="s">
        <v>1982</v>
      </c>
      <c r="J1980" s="26" t="s">
        <v>1225</v>
      </c>
      <c r="K1980" s="26" t="s">
        <v>1653</v>
      </c>
      <c r="L1980" s="26" t="s">
        <v>1584</v>
      </c>
      <c r="M1980" s="26" t="s">
        <v>1595</v>
      </c>
      <c r="N1980" s="26" t="s">
        <v>1566</v>
      </c>
      <c r="O1980" s="26" t="s">
        <v>2100</v>
      </c>
      <c r="P1980" s="26" t="s">
        <v>22</v>
      </c>
      <c r="Q1980" s="26">
        <v>0.0</v>
      </c>
    </row>
    <row r="1981" ht="17.25" customHeight="1">
      <c r="A1981" s="51">
        <v>46210.77543635417</v>
      </c>
      <c r="B1981" s="25" t="s">
        <v>105</v>
      </c>
      <c r="C1981" s="55" t="s">
        <v>1892</v>
      </c>
      <c r="D1981" s="111">
        <v>46209.0</v>
      </c>
      <c r="E1981" s="52">
        <v>1000.0</v>
      </c>
      <c r="F1981" s="55" t="s">
        <v>1561</v>
      </c>
      <c r="G1981" s="55">
        <v>899.0</v>
      </c>
      <c r="H1981" s="26"/>
      <c r="I1981" s="26" t="s">
        <v>107</v>
      </c>
      <c r="J1981" s="26" t="s">
        <v>1225</v>
      </c>
      <c r="K1981" s="26" t="s">
        <v>1562</v>
      </c>
      <c r="L1981" s="26" t="s">
        <v>1603</v>
      </c>
      <c r="M1981" s="26" t="s">
        <v>1575</v>
      </c>
      <c r="N1981" s="26" t="s">
        <v>1571</v>
      </c>
      <c r="O1981" s="26" t="s">
        <v>1566</v>
      </c>
      <c r="P1981" s="26" t="s">
        <v>22</v>
      </c>
      <c r="Q1981" s="26">
        <v>1200.0</v>
      </c>
    </row>
    <row r="1982" ht="17.25" customHeight="1">
      <c r="A1982" s="51">
        <v>46210.77608256944</v>
      </c>
      <c r="B1982" s="25" t="s">
        <v>1766</v>
      </c>
      <c r="C1982" s="55" t="s">
        <v>1892</v>
      </c>
      <c r="D1982" s="111">
        <v>46209.0</v>
      </c>
      <c r="E1982" s="52">
        <v>800.0</v>
      </c>
      <c r="F1982" s="55" t="s">
        <v>1561</v>
      </c>
      <c r="G1982" s="55">
        <v>900.0</v>
      </c>
      <c r="H1982" s="26"/>
      <c r="I1982" s="26" t="s">
        <v>1767</v>
      </c>
      <c r="J1982" s="26" t="s">
        <v>1225</v>
      </c>
      <c r="K1982" s="26" t="s">
        <v>1562</v>
      </c>
      <c r="L1982" s="26" t="s">
        <v>2133</v>
      </c>
      <c r="M1982" s="26" t="s">
        <v>1597</v>
      </c>
      <c r="N1982" s="26" t="s">
        <v>1590</v>
      </c>
      <c r="O1982" s="26" t="s">
        <v>2160</v>
      </c>
      <c r="P1982" s="26" t="s">
        <v>22</v>
      </c>
      <c r="Q1982" s="26">
        <v>0.0</v>
      </c>
    </row>
    <row r="1983" ht="17.25" customHeight="1">
      <c r="A1983" s="51">
        <v>46210.77627886574</v>
      </c>
      <c r="B1983" s="25" t="s">
        <v>87</v>
      </c>
      <c r="C1983" s="55" t="s">
        <v>1892</v>
      </c>
      <c r="D1983" s="111">
        <v>46209.0</v>
      </c>
      <c r="E1983" s="52">
        <v>600.0</v>
      </c>
      <c r="F1983" s="55" t="s">
        <v>1561</v>
      </c>
      <c r="G1983" s="55">
        <v>900.0</v>
      </c>
      <c r="H1983" s="26"/>
      <c r="I1983" s="26" t="s">
        <v>88</v>
      </c>
      <c r="J1983" s="26" t="s">
        <v>1225</v>
      </c>
      <c r="K1983" s="26" t="s">
        <v>1562</v>
      </c>
      <c r="L1983" s="26" t="s">
        <v>1633</v>
      </c>
      <c r="M1983" s="26" t="s">
        <v>1575</v>
      </c>
      <c r="N1983" s="26" t="s">
        <v>1590</v>
      </c>
      <c r="O1983" s="26" t="s">
        <v>2160</v>
      </c>
      <c r="P1983" s="26" t="s">
        <v>22</v>
      </c>
      <c r="Q1983" s="26">
        <v>800.0</v>
      </c>
    </row>
    <row r="1984" ht="17.25" customHeight="1">
      <c r="A1984" s="51">
        <v>46210.77921230324</v>
      </c>
      <c r="B1984" s="25" t="s">
        <v>1011</v>
      </c>
      <c r="C1984" s="55" t="s">
        <v>1892</v>
      </c>
      <c r="D1984" s="111">
        <v>46209.0</v>
      </c>
      <c r="E1984" s="52">
        <v>500.0</v>
      </c>
      <c r="F1984" s="55" t="s">
        <v>1561</v>
      </c>
      <c r="G1984" s="55">
        <v>951.0</v>
      </c>
      <c r="H1984" s="55" t="s">
        <v>2348</v>
      </c>
      <c r="I1984" s="26" t="s">
        <v>1012</v>
      </c>
      <c r="J1984" s="26" t="s">
        <v>1225</v>
      </c>
      <c r="K1984" s="26" t="s">
        <v>1562</v>
      </c>
      <c r="L1984" s="26" t="s">
        <v>1582</v>
      </c>
      <c r="M1984" s="26" t="s">
        <v>1575</v>
      </c>
      <c r="N1984" s="26" t="s">
        <v>1566</v>
      </c>
      <c r="O1984" s="26" t="s">
        <v>1566</v>
      </c>
      <c r="P1984" s="26" t="s">
        <v>22</v>
      </c>
      <c r="Q1984" s="26">
        <v>100.0</v>
      </c>
    </row>
    <row r="1985" ht="17.25" customHeight="1">
      <c r="A1985" s="51">
        <v>46210.779582442134</v>
      </c>
      <c r="B1985" s="25" t="s">
        <v>175</v>
      </c>
      <c r="C1985" s="55" t="s">
        <v>1892</v>
      </c>
      <c r="D1985" s="111">
        <v>46209.0</v>
      </c>
      <c r="E1985" s="52">
        <v>1600.0</v>
      </c>
      <c r="F1985" s="55" t="s">
        <v>1561</v>
      </c>
      <c r="G1985" s="55">
        <v>952.0</v>
      </c>
      <c r="H1985" s="55" t="s">
        <v>2355</v>
      </c>
      <c r="I1985" s="26" t="s">
        <v>176</v>
      </c>
      <c r="J1985" s="26" t="s">
        <v>1225</v>
      </c>
      <c r="K1985" s="26" t="s">
        <v>1562</v>
      </c>
      <c r="L1985" s="26" t="s">
        <v>1633</v>
      </c>
      <c r="M1985" s="26" t="s">
        <v>1634</v>
      </c>
      <c r="N1985" s="26" t="s">
        <v>1571</v>
      </c>
      <c r="O1985" s="26" t="s">
        <v>1566</v>
      </c>
      <c r="P1985" s="26" t="s">
        <v>22</v>
      </c>
      <c r="Q1985" s="26">
        <v>2100.0</v>
      </c>
    </row>
    <row r="1986" ht="17.25" customHeight="1">
      <c r="A1986" s="51">
        <v>46210.78064960648</v>
      </c>
      <c r="B1986" s="25" t="s">
        <v>79</v>
      </c>
      <c r="C1986" s="55" t="s">
        <v>1892</v>
      </c>
      <c r="D1986" s="111">
        <v>46210.0</v>
      </c>
      <c r="E1986" s="52">
        <v>10400.0</v>
      </c>
      <c r="F1986" s="55" t="s">
        <v>1561</v>
      </c>
      <c r="G1986" s="55">
        <v>953.0</v>
      </c>
      <c r="H1986" s="55" t="s">
        <v>2320</v>
      </c>
      <c r="I1986" s="26" t="s">
        <v>80</v>
      </c>
      <c r="J1986" s="26" t="s">
        <v>1225</v>
      </c>
      <c r="K1986" s="26" t="s">
        <v>1562</v>
      </c>
      <c r="L1986" s="26" t="s">
        <v>1563</v>
      </c>
      <c r="M1986" s="26" t="s">
        <v>1575</v>
      </c>
      <c r="N1986" s="26" t="s">
        <v>1566</v>
      </c>
      <c r="O1986" s="26" t="s">
        <v>1566</v>
      </c>
      <c r="P1986" s="26" t="s">
        <v>22</v>
      </c>
      <c r="Q1986" s="26">
        <v>700.0</v>
      </c>
    </row>
    <row r="1987" ht="17.25" customHeight="1">
      <c r="A1987" s="51">
        <v>46210.78127365741</v>
      </c>
      <c r="B1987" s="25" t="s">
        <v>53</v>
      </c>
      <c r="C1987" s="55" t="s">
        <v>1892</v>
      </c>
      <c r="D1987" s="111">
        <v>46210.0</v>
      </c>
      <c r="E1987" s="52">
        <v>1400.0</v>
      </c>
      <c r="F1987" s="55" t="s">
        <v>1561</v>
      </c>
      <c r="G1987" s="55">
        <v>954.0</v>
      </c>
      <c r="H1987" s="55" t="s">
        <v>2356</v>
      </c>
      <c r="I1987" s="26" t="s">
        <v>54</v>
      </c>
      <c r="J1987" s="26" t="s">
        <v>1225</v>
      </c>
      <c r="K1987" s="26" t="s">
        <v>1562</v>
      </c>
      <c r="L1987" s="26" t="s">
        <v>2199</v>
      </c>
      <c r="M1987" s="26" t="s">
        <v>1586</v>
      </c>
      <c r="N1987" s="26" t="s">
        <v>1590</v>
      </c>
      <c r="O1987" s="26" t="s">
        <v>1590</v>
      </c>
      <c r="P1987" s="26" t="s">
        <v>22</v>
      </c>
      <c r="Q1987" s="26">
        <v>0.0</v>
      </c>
    </row>
    <row r="1988" ht="17.25" customHeight="1">
      <c r="A1988" s="51">
        <v>46210.78152638889</v>
      </c>
      <c r="B1988" s="25" t="s">
        <v>53</v>
      </c>
      <c r="C1988" s="55" t="s">
        <v>1892</v>
      </c>
      <c r="D1988" s="111">
        <v>46210.0</v>
      </c>
      <c r="E1988" s="52">
        <v>700.0</v>
      </c>
      <c r="F1988" s="55" t="s">
        <v>1561</v>
      </c>
      <c r="G1988" s="55">
        <v>955.0</v>
      </c>
      <c r="H1988" s="55" t="s">
        <v>2356</v>
      </c>
      <c r="I1988" s="26" t="s">
        <v>54</v>
      </c>
      <c r="J1988" s="26" t="s">
        <v>1225</v>
      </c>
      <c r="K1988" s="26" t="s">
        <v>1562</v>
      </c>
      <c r="L1988" s="26" t="s">
        <v>2199</v>
      </c>
      <c r="M1988" s="26" t="s">
        <v>1586</v>
      </c>
      <c r="N1988" s="26" t="s">
        <v>1590</v>
      </c>
      <c r="O1988" s="26" t="s">
        <v>1590</v>
      </c>
      <c r="P1988" s="26" t="s">
        <v>22</v>
      </c>
      <c r="Q1988" s="26">
        <v>0.0</v>
      </c>
    </row>
    <row r="1989" ht="17.25" customHeight="1">
      <c r="A1989" s="51">
        <v>46211.63329219907</v>
      </c>
      <c r="B1989" s="25" t="s">
        <v>1664</v>
      </c>
      <c r="C1989" s="55" t="s">
        <v>1560</v>
      </c>
      <c r="D1989" s="111">
        <v>46210.0</v>
      </c>
      <c r="E1989" s="52">
        <v>1440.0</v>
      </c>
      <c r="F1989" s="55" t="s">
        <v>1561</v>
      </c>
      <c r="G1989" s="55" t="s">
        <v>2357</v>
      </c>
      <c r="H1989" s="26"/>
      <c r="I1989" s="26" t="s">
        <v>1665</v>
      </c>
      <c r="J1989" s="26" t="s">
        <v>1225</v>
      </c>
      <c r="K1989" s="26" t="s">
        <v>1653</v>
      </c>
      <c r="L1989" s="26" t="s">
        <v>1667</v>
      </c>
      <c r="M1989" s="26" t="s">
        <v>1572</v>
      </c>
      <c r="N1989" s="26" t="s">
        <v>1654</v>
      </c>
      <c r="O1989" s="26" t="s">
        <v>1566</v>
      </c>
      <c r="P1989" s="26" t="s">
        <v>22</v>
      </c>
      <c r="Q1989" s="26">
        <v>0.0</v>
      </c>
    </row>
    <row r="1990" ht="17.25" customHeight="1">
      <c r="A1990" s="51">
        <v>46211.633896875</v>
      </c>
      <c r="B1990" s="23" t="s">
        <v>21</v>
      </c>
      <c r="C1990" s="55" t="s">
        <v>1892</v>
      </c>
      <c r="D1990" s="111">
        <v>46210.0</v>
      </c>
      <c r="E1990" s="52">
        <v>20.0</v>
      </c>
      <c r="F1990" s="55" t="s">
        <v>2169</v>
      </c>
      <c r="G1990" s="26"/>
      <c r="H1990" s="26"/>
      <c r="I1990" s="26" t="s">
        <v>23</v>
      </c>
      <c r="J1990" s="26" t="s">
        <v>1812</v>
      </c>
      <c r="K1990" s="26" t="s">
        <v>1815</v>
      </c>
      <c r="L1990" s="26" t="s">
        <v>1566</v>
      </c>
      <c r="M1990" s="26" t="s">
        <v>1566</v>
      </c>
      <c r="N1990" s="26" t="s">
        <v>1566</v>
      </c>
      <c r="O1990" s="26" t="s">
        <v>1818</v>
      </c>
      <c r="P1990" s="26" t="s">
        <v>616</v>
      </c>
      <c r="Q1990" s="26">
        <v>20.0</v>
      </c>
    </row>
    <row r="1991" ht="17.25" customHeight="1">
      <c r="A1991" s="51">
        <v>46211.63420221065</v>
      </c>
      <c r="B1991" s="25" t="s">
        <v>682</v>
      </c>
      <c r="C1991" s="55" t="s">
        <v>1892</v>
      </c>
      <c r="D1991" s="111">
        <v>46210.0</v>
      </c>
      <c r="E1991" s="52">
        <v>5.0</v>
      </c>
      <c r="F1991" s="55" t="s">
        <v>2169</v>
      </c>
      <c r="G1991" s="55" t="s">
        <v>2358</v>
      </c>
      <c r="H1991" s="26"/>
      <c r="I1991" s="26" t="s">
        <v>690</v>
      </c>
      <c r="J1991" s="26" t="s">
        <v>1830</v>
      </c>
      <c r="K1991" s="26" t="s">
        <v>1830</v>
      </c>
      <c r="L1991" s="26" t="s">
        <v>1566</v>
      </c>
      <c r="M1991" s="26" t="s">
        <v>1566</v>
      </c>
      <c r="N1991" s="26" t="s">
        <v>1566</v>
      </c>
      <c r="O1991" s="26" t="s">
        <v>1566</v>
      </c>
      <c r="P1991" s="26" t="s">
        <v>661</v>
      </c>
      <c r="Q1991" s="26">
        <v>14.0</v>
      </c>
    </row>
    <row r="1992" ht="17.25" customHeight="1">
      <c r="A1992" s="51">
        <v>46211.634410416664</v>
      </c>
      <c r="B1992" s="25" t="s">
        <v>682</v>
      </c>
      <c r="C1992" s="55" t="s">
        <v>1560</v>
      </c>
      <c r="D1992" s="111">
        <v>46210.0</v>
      </c>
      <c r="E1992" s="52">
        <v>12.0</v>
      </c>
      <c r="F1992" s="55" t="s">
        <v>2271</v>
      </c>
      <c r="G1992" s="26"/>
      <c r="H1992" s="26"/>
      <c r="I1992" s="26" t="s">
        <v>690</v>
      </c>
      <c r="J1992" s="26" t="s">
        <v>1830</v>
      </c>
      <c r="K1992" s="26" t="s">
        <v>1830</v>
      </c>
      <c r="L1992" s="26" t="s">
        <v>1566</v>
      </c>
      <c r="M1992" s="26" t="s">
        <v>1566</v>
      </c>
      <c r="N1992" s="26" t="s">
        <v>1566</v>
      </c>
      <c r="O1992" s="26" t="s">
        <v>1566</v>
      </c>
      <c r="P1992" s="26" t="s">
        <v>661</v>
      </c>
      <c r="Q1992" s="26">
        <v>14.0</v>
      </c>
    </row>
    <row r="1993" ht="17.25" customHeight="1">
      <c r="A1993" s="51">
        <v>46211.634781064815</v>
      </c>
      <c r="B1993" s="25" t="s">
        <v>598</v>
      </c>
      <c r="C1993" s="55" t="s">
        <v>1560</v>
      </c>
      <c r="D1993" s="111">
        <v>46210.0</v>
      </c>
      <c r="E1993" s="52">
        <v>5.0</v>
      </c>
      <c r="F1993" s="55" t="s">
        <v>2271</v>
      </c>
      <c r="G1993" s="26"/>
      <c r="H1993" s="26"/>
      <c r="I1993" s="26" t="s">
        <v>604</v>
      </c>
      <c r="J1993" s="26" t="s">
        <v>1812</v>
      </c>
      <c r="K1993" s="26" t="s">
        <v>1815</v>
      </c>
      <c r="L1993" s="26" t="s">
        <v>1566</v>
      </c>
      <c r="M1993" s="26" t="s">
        <v>1566</v>
      </c>
      <c r="N1993" s="26" t="s">
        <v>1566</v>
      </c>
      <c r="O1993" s="26" t="s">
        <v>1812</v>
      </c>
      <c r="P1993" s="26" t="s">
        <v>616</v>
      </c>
      <c r="Q1993" s="26">
        <v>15.0</v>
      </c>
    </row>
    <row r="1994" ht="17.25" customHeight="1">
      <c r="A1994" s="51">
        <v>46211.63495668981</v>
      </c>
      <c r="B1994" s="25" t="s">
        <v>598</v>
      </c>
      <c r="C1994" s="55" t="s">
        <v>1892</v>
      </c>
      <c r="D1994" s="111">
        <v>46209.0</v>
      </c>
      <c r="E1994" s="52">
        <v>5.0</v>
      </c>
      <c r="F1994" s="55" t="s">
        <v>2026</v>
      </c>
      <c r="G1994" s="26"/>
      <c r="H1994" s="26"/>
      <c r="I1994" s="26" t="s">
        <v>604</v>
      </c>
      <c r="J1994" s="26" t="s">
        <v>1812</v>
      </c>
      <c r="K1994" s="26" t="s">
        <v>1815</v>
      </c>
      <c r="L1994" s="26" t="s">
        <v>1566</v>
      </c>
      <c r="M1994" s="26" t="s">
        <v>1566</v>
      </c>
      <c r="N1994" s="26" t="s">
        <v>1566</v>
      </c>
      <c r="O1994" s="26" t="s">
        <v>1812</v>
      </c>
      <c r="P1994" s="26" t="s">
        <v>616</v>
      </c>
      <c r="Q1994" s="26">
        <v>15.0</v>
      </c>
    </row>
    <row r="1995" ht="17.25" customHeight="1">
      <c r="A1995" s="51">
        <v>46211.63527655092</v>
      </c>
      <c r="B1995" s="25" t="s">
        <v>1136</v>
      </c>
      <c r="C1995" s="55" t="s">
        <v>1560</v>
      </c>
      <c r="D1995" s="111">
        <v>46210.0</v>
      </c>
      <c r="E1995" s="52">
        <v>2.0</v>
      </c>
      <c r="F1995" s="55" t="s">
        <v>2271</v>
      </c>
      <c r="G1995" s="26"/>
      <c r="H1995" s="26"/>
      <c r="I1995" s="26" t="s">
        <v>1137</v>
      </c>
      <c r="J1995" s="26" t="s">
        <v>1812</v>
      </c>
      <c r="K1995" s="26" t="s">
        <v>1815</v>
      </c>
      <c r="L1995" s="26" t="s">
        <v>1566</v>
      </c>
      <c r="M1995" s="26" t="s">
        <v>1566</v>
      </c>
      <c r="N1995" s="26" t="s">
        <v>1566</v>
      </c>
      <c r="O1995" s="26" t="s">
        <v>1566</v>
      </c>
      <c r="P1995" s="26" t="s">
        <v>290</v>
      </c>
      <c r="Q1995" s="26">
        <v>2.0</v>
      </c>
    </row>
    <row r="1996" ht="17.25" customHeight="1">
      <c r="A1996" s="51">
        <v>46211.63552299768</v>
      </c>
      <c r="B1996" s="25" t="s">
        <v>728</v>
      </c>
      <c r="C1996" s="55" t="s">
        <v>1892</v>
      </c>
      <c r="D1996" s="111">
        <v>46210.0</v>
      </c>
      <c r="E1996" s="52">
        <v>5.0</v>
      </c>
      <c r="F1996" s="55" t="s">
        <v>2026</v>
      </c>
      <c r="G1996" s="26"/>
      <c r="H1996" s="26"/>
      <c r="I1996" s="26" t="s">
        <v>729</v>
      </c>
      <c r="J1996" s="26" t="s">
        <v>1812</v>
      </c>
      <c r="K1996" s="26" t="s">
        <v>1815</v>
      </c>
      <c r="L1996" s="26" t="s">
        <v>1566</v>
      </c>
      <c r="M1996" s="26" t="s">
        <v>1566</v>
      </c>
      <c r="N1996" s="26" t="s">
        <v>1566</v>
      </c>
      <c r="O1996" s="26" t="s">
        <v>1566</v>
      </c>
      <c r="P1996" s="26" t="s">
        <v>661</v>
      </c>
      <c r="Q1996" s="26">
        <v>10.0</v>
      </c>
    </row>
    <row r="1997" ht="17.25" customHeight="1">
      <c r="A1997" s="51">
        <v>46211.635699074075</v>
      </c>
      <c r="B1997" s="25" t="s">
        <v>787</v>
      </c>
      <c r="C1997" s="55" t="s">
        <v>1560</v>
      </c>
      <c r="D1997" s="111">
        <v>46210.0</v>
      </c>
      <c r="E1997" s="52">
        <v>0.25</v>
      </c>
      <c r="F1997" s="55" t="s">
        <v>2271</v>
      </c>
      <c r="G1997" s="26"/>
      <c r="H1997" s="26"/>
      <c r="I1997" s="26" t="s">
        <v>788</v>
      </c>
      <c r="J1997" s="26" t="s">
        <v>1812</v>
      </c>
      <c r="K1997" s="26" t="s">
        <v>1815</v>
      </c>
      <c r="L1997" s="26" t="s">
        <v>1566</v>
      </c>
      <c r="M1997" s="26" t="s">
        <v>1566</v>
      </c>
      <c r="N1997" s="26" t="s">
        <v>1566</v>
      </c>
      <c r="O1997" s="26" t="s">
        <v>1566</v>
      </c>
      <c r="P1997" s="26" t="s">
        <v>290</v>
      </c>
      <c r="Q1997" s="26">
        <v>0.5</v>
      </c>
    </row>
    <row r="1998" ht="17.25" customHeight="1">
      <c r="A1998" s="51">
        <v>46211.63618025463</v>
      </c>
      <c r="B1998" s="25" t="s">
        <v>523</v>
      </c>
      <c r="C1998" s="55" t="s">
        <v>1892</v>
      </c>
      <c r="D1998" s="111">
        <v>46210.0</v>
      </c>
      <c r="E1998" s="52">
        <v>5.0</v>
      </c>
      <c r="F1998" s="55" t="s">
        <v>2169</v>
      </c>
      <c r="G1998" s="26"/>
      <c r="H1998" s="26"/>
      <c r="I1998" s="26" t="s">
        <v>528</v>
      </c>
      <c r="J1998" s="26" t="s">
        <v>1812</v>
      </c>
      <c r="K1998" s="26" t="s">
        <v>1815</v>
      </c>
      <c r="L1998" s="26" t="s">
        <v>1566</v>
      </c>
      <c r="M1998" s="26" t="s">
        <v>1566</v>
      </c>
      <c r="N1998" s="26" t="s">
        <v>1566</v>
      </c>
      <c r="O1998" s="26" t="s">
        <v>1837</v>
      </c>
      <c r="P1998" s="26" t="s">
        <v>616</v>
      </c>
      <c r="Q1998" s="26">
        <v>15.0</v>
      </c>
    </row>
    <row r="1999" ht="17.25" customHeight="1">
      <c r="A1999" s="51">
        <v>46211.636283009255</v>
      </c>
      <c r="B1999" s="25" t="s">
        <v>523</v>
      </c>
      <c r="C1999" s="55" t="s">
        <v>1560</v>
      </c>
      <c r="D1999" s="111">
        <v>46210.0</v>
      </c>
      <c r="E1999" s="52">
        <v>5.0</v>
      </c>
      <c r="F1999" s="55" t="s">
        <v>2271</v>
      </c>
      <c r="G1999" s="26"/>
      <c r="H1999" s="26"/>
      <c r="I1999" s="26" t="s">
        <v>528</v>
      </c>
      <c r="J1999" s="26" t="s">
        <v>1812</v>
      </c>
      <c r="K1999" s="26" t="s">
        <v>1815</v>
      </c>
      <c r="L1999" s="26" t="s">
        <v>1566</v>
      </c>
      <c r="M1999" s="26" t="s">
        <v>1566</v>
      </c>
      <c r="N1999" s="26" t="s">
        <v>1566</v>
      </c>
      <c r="O1999" s="26" t="s">
        <v>1837</v>
      </c>
      <c r="P1999" s="26" t="s">
        <v>616</v>
      </c>
      <c r="Q1999" s="26">
        <v>15.0</v>
      </c>
    </row>
    <row r="2000" ht="17.25" customHeight="1">
      <c r="A2000" s="51">
        <v>46211.63654096065</v>
      </c>
      <c r="B2000" s="23" t="s">
        <v>301</v>
      </c>
      <c r="C2000" s="55" t="s">
        <v>1892</v>
      </c>
      <c r="D2000" s="111">
        <v>46210.0</v>
      </c>
      <c r="E2000" s="52">
        <v>20.0</v>
      </c>
      <c r="F2000" s="55" t="s">
        <v>2169</v>
      </c>
      <c r="G2000" s="26"/>
      <c r="H2000" s="26"/>
      <c r="I2000" s="26" t="s">
        <v>302</v>
      </c>
      <c r="J2000" s="26" t="s">
        <v>1830</v>
      </c>
      <c r="K2000" s="26" t="s">
        <v>302</v>
      </c>
      <c r="L2000" s="26" t="s">
        <v>1566</v>
      </c>
      <c r="M2000" s="26" t="s">
        <v>1566</v>
      </c>
      <c r="N2000" s="26" t="s">
        <v>1566</v>
      </c>
      <c r="O2000" s="26" t="s">
        <v>1566</v>
      </c>
      <c r="P2000" s="26" t="s">
        <v>661</v>
      </c>
      <c r="Q2000" s="26">
        <v>580.0</v>
      </c>
    </row>
    <row r="2001" ht="17.25" customHeight="1">
      <c r="A2001" s="51">
        <v>46211.636857314814</v>
      </c>
      <c r="B2001" s="25" t="s">
        <v>994</v>
      </c>
      <c r="C2001" s="55" t="s">
        <v>1892</v>
      </c>
      <c r="D2001" s="111">
        <v>46209.0</v>
      </c>
      <c r="E2001" s="52">
        <v>2.0</v>
      </c>
      <c r="F2001" s="55" t="s">
        <v>2046</v>
      </c>
      <c r="G2001" s="26"/>
      <c r="H2001" s="26"/>
      <c r="I2001" s="26" t="s">
        <v>995</v>
      </c>
      <c r="J2001" s="26" t="s">
        <v>1807</v>
      </c>
      <c r="K2001" s="26" t="s">
        <v>1889</v>
      </c>
      <c r="L2001" s="26" t="s">
        <v>1566</v>
      </c>
      <c r="M2001" s="26" t="s">
        <v>1566</v>
      </c>
      <c r="N2001" s="26" t="s">
        <v>1566</v>
      </c>
      <c r="O2001" s="26" t="s">
        <v>1566</v>
      </c>
      <c r="P2001" s="26" t="s">
        <v>661</v>
      </c>
      <c r="Q2001" s="26">
        <v>9.0</v>
      </c>
    </row>
    <row r="2002" ht="17.25" customHeight="1">
      <c r="A2002" s="51">
        <v>46211.63706146991</v>
      </c>
      <c r="B2002" s="23" t="s">
        <v>359</v>
      </c>
      <c r="C2002" s="55" t="s">
        <v>1892</v>
      </c>
      <c r="D2002" s="111">
        <v>46209.0</v>
      </c>
      <c r="E2002" s="52">
        <v>10.0</v>
      </c>
      <c r="F2002" s="55" t="s">
        <v>2046</v>
      </c>
      <c r="G2002" s="26"/>
      <c r="H2002" s="26"/>
      <c r="I2002" s="26" t="s">
        <v>370</v>
      </c>
      <c r="J2002" s="26" t="s">
        <v>370</v>
      </c>
      <c r="K2002" s="26" t="s">
        <v>370</v>
      </c>
      <c r="L2002" s="26" t="s">
        <v>1566</v>
      </c>
      <c r="M2002" s="26" t="s">
        <v>1566</v>
      </c>
      <c r="N2002" s="26" t="s">
        <v>1566</v>
      </c>
      <c r="O2002" s="26" t="s">
        <v>1566</v>
      </c>
      <c r="P2002" s="26" t="s">
        <v>661</v>
      </c>
      <c r="Q2002" s="26">
        <v>100.0</v>
      </c>
    </row>
    <row r="2003" ht="17.25" customHeight="1">
      <c r="A2003" s="51">
        <v>46213.7854338426</v>
      </c>
      <c r="B2003" s="25" t="s">
        <v>21</v>
      </c>
      <c r="C2003" s="55" t="s">
        <v>1560</v>
      </c>
      <c r="D2003" s="51">
        <v>46213.7854338426</v>
      </c>
      <c r="E2003" s="52">
        <v>20.0</v>
      </c>
      <c r="F2003" s="55" t="s">
        <v>2015</v>
      </c>
      <c r="G2003" s="26"/>
      <c r="H2003" s="26"/>
      <c r="I2003" s="26" t="s">
        <v>23</v>
      </c>
      <c r="J2003" s="26" t="s">
        <v>1812</v>
      </c>
      <c r="K2003" s="26" t="s">
        <v>1815</v>
      </c>
      <c r="L2003" s="26" t="s">
        <v>1566</v>
      </c>
      <c r="M2003" s="26" t="s">
        <v>1566</v>
      </c>
      <c r="N2003" s="26" t="s">
        <v>1566</v>
      </c>
      <c r="O2003" s="26" t="s">
        <v>1818</v>
      </c>
      <c r="P2003" s="26" t="s">
        <v>616</v>
      </c>
      <c r="Q2003" s="26">
        <v>20.0</v>
      </c>
    </row>
    <row r="2004" ht="17.25" customHeight="1">
      <c r="A2004" s="51">
        <v>46213.78584067129</v>
      </c>
      <c r="B2004" s="25" t="s">
        <v>945</v>
      </c>
      <c r="C2004" s="55" t="s">
        <v>1892</v>
      </c>
      <c r="D2004" s="111">
        <v>46209.0</v>
      </c>
      <c r="E2004" s="52">
        <v>25.0</v>
      </c>
      <c r="F2004" s="55" t="s">
        <v>2124</v>
      </c>
      <c r="G2004" s="26"/>
      <c r="H2004" s="26"/>
      <c r="I2004" s="26" t="s">
        <v>946</v>
      </c>
      <c r="J2004" s="26" t="s">
        <v>1812</v>
      </c>
      <c r="K2004" s="26" t="s">
        <v>1815</v>
      </c>
      <c r="L2004" s="26" t="s">
        <v>1566</v>
      </c>
      <c r="M2004" s="26" t="s">
        <v>1566</v>
      </c>
      <c r="N2004" s="26" t="s">
        <v>1566</v>
      </c>
      <c r="O2004" s="26" t="s">
        <v>1903</v>
      </c>
      <c r="P2004" s="26" t="s">
        <v>616</v>
      </c>
      <c r="Q2004" s="26">
        <v>25.0</v>
      </c>
    </row>
    <row r="2005" ht="17.25" customHeight="1">
      <c r="A2005" s="51">
        <v>46213.78587203704</v>
      </c>
      <c r="B2005" s="25" t="s">
        <v>945</v>
      </c>
      <c r="C2005" s="55" t="s">
        <v>1560</v>
      </c>
      <c r="D2005" s="51">
        <v>46213.7854338426</v>
      </c>
      <c r="E2005" s="52">
        <v>25.0</v>
      </c>
      <c r="F2005" s="55" t="s">
        <v>2015</v>
      </c>
      <c r="G2005" s="26"/>
      <c r="H2005" s="26"/>
      <c r="I2005" s="26" t="s">
        <v>946</v>
      </c>
      <c r="J2005" s="26" t="s">
        <v>1812</v>
      </c>
      <c r="K2005" s="26" t="s">
        <v>1815</v>
      </c>
      <c r="L2005" s="26" t="s">
        <v>1566</v>
      </c>
      <c r="M2005" s="26" t="s">
        <v>1566</v>
      </c>
      <c r="N2005" s="26" t="s">
        <v>1566</v>
      </c>
      <c r="O2005" s="26" t="s">
        <v>1903</v>
      </c>
      <c r="P2005" s="26" t="s">
        <v>616</v>
      </c>
      <c r="Q2005" s="26">
        <v>25.0</v>
      </c>
    </row>
    <row r="2006" ht="17.25" customHeight="1">
      <c r="A2006" s="51">
        <v>46213.78620945602</v>
      </c>
      <c r="B2006" s="25" t="s">
        <v>728</v>
      </c>
      <c r="C2006" s="55" t="s">
        <v>1560</v>
      </c>
      <c r="D2006" s="51">
        <v>46213.7854338426</v>
      </c>
      <c r="E2006" s="52">
        <v>5.0</v>
      </c>
      <c r="F2006" s="55" t="s">
        <v>2015</v>
      </c>
      <c r="G2006" s="26"/>
      <c r="H2006" s="26"/>
      <c r="I2006" s="26" t="s">
        <v>729</v>
      </c>
      <c r="J2006" s="26" t="s">
        <v>1812</v>
      </c>
      <c r="K2006" s="26" t="s">
        <v>1815</v>
      </c>
      <c r="L2006" s="26" t="s">
        <v>1566</v>
      </c>
      <c r="M2006" s="26" t="s">
        <v>1566</v>
      </c>
      <c r="N2006" s="26" t="s">
        <v>1566</v>
      </c>
      <c r="O2006" s="26" t="s">
        <v>1566</v>
      </c>
      <c r="P2006" s="26" t="s">
        <v>661</v>
      </c>
      <c r="Q2006" s="26">
        <v>10.0</v>
      </c>
    </row>
    <row r="2007" ht="17.25" customHeight="1">
      <c r="A2007" s="51">
        <v>46213.786512569444</v>
      </c>
      <c r="B2007" s="25" t="s">
        <v>901</v>
      </c>
      <c r="C2007" s="55" t="s">
        <v>1892</v>
      </c>
      <c r="D2007" s="111">
        <v>46209.0</v>
      </c>
      <c r="E2007" s="52">
        <v>20.0</v>
      </c>
      <c r="F2007" s="55" t="s">
        <v>2124</v>
      </c>
      <c r="G2007" s="26"/>
      <c r="H2007" s="26"/>
      <c r="I2007" s="26" t="s">
        <v>904</v>
      </c>
      <c r="J2007" s="26" t="s">
        <v>1807</v>
      </c>
      <c r="K2007" s="26" t="s">
        <v>1807</v>
      </c>
      <c r="L2007" s="26" t="s">
        <v>1566</v>
      </c>
      <c r="M2007" s="26" t="s">
        <v>1566</v>
      </c>
      <c r="N2007" s="26" t="s">
        <v>1566</v>
      </c>
      <c r="O2007" s="26" t="s">
        <v>1808</v>
      </c>
      <c r="P2007" s="26" t="s">
        <v>290</v>
      </c>
      <c r="Q2007" s="26">
        <v>20.0</v>
      </c>
    </row>
    <row r="2008" ht="17.25" customHeight="1">
      <c r="A2008" s="51">
        <v>46213.7865316088</v>
      </c>
      <c r="B2008" s="25" t="s">
        <v>901</v>
      </c>
      <c r="C2008" s="55" t="s">
        <v>1560</v>
      </c>
      <c r="D2008" s="51">
        <v>46213.7854338426</v>
      </c>
      <c r="E2008" s="52">
        <v>20.0</v>
      </c>
      <c r="F2008" s="55" t="s">
        <v>2015</v>
      </c>
      <c r="G2008" s="26"/>
      <c r="H2008" s="26"/>
      <c r="I2008" s="26" t="s">
        <v>904</v>
      </c>
      <c r="J2008" s="26" t="s">
        <v>1807</v>
      </c>
      <c r="K2008" s="26" t="s">
        <v>1807</v>
      </c>
      <c r="L2008" s="26" t="s">
        <v>1566</v>
      </c>
      <c r="M2008" s="26" t="s">
        <v>1566</v>
      </c>
      <c r="N2008" s="26" t="s">
        <v>1566</v>
      </c>
      <c r="O2008" s="26" t="s">
        <v>1808</v>
      </c>
      <c r="P2008" s="26" t="s">
        <v>290</v>
      </c>
      <c r="Q2008" s="26">
        <v>20.0</v>
      </c>
    </row>
    <row r="2009" ht="17.25" customHeight="1">
      <c r="A2009" s="51">
        <v>46213.787291064815</v>
      </c>
      <c r="B2009" s="25" t="s">
        <v>968</v>
      </c>
      <c r="C2009" s="55" t="s">
        <v>1892</v>
      </c>
      <c r="D2009" s="51">
        <v>46213.7854338426</v>
      </c>
      <c r="E2009" s="52">
        <v>1.0</v>
      </c>
      <c r="F2009" s="55" t="s">
        <v>2075</v>
      </c>
      <c r="G2009" s="26"/>
      <c r="H2009" s="26"/>
      <c r="I2009" s="26" t="s">
        <v>969</v>
      </c>
      <c r="J2009" s="26" t="s">
        <v>1807</v>
      </c>
      <c r="K2009" s="26" t="s">
        <v>1807</v>
      </c>
      <c r="L2009" s="26" t="s">
        <v>1566</v>
      </c>
      <c r="M2009" s="26" t="s">
        <v>1566</v>
      </c>
      <c r="N2009" s="26" t="s">
        <v>1566</v>
      </c>
      <c r="O2009" s="26" t="s">
        <v>1566</v>
      </c>
      <c r="P2009" s="26" t="s">
        <v>290</v>
      </c>
      <c r="Q2009" s="26">
        <v>2.0</v>
      </c>
    </row>
    <row r="2010" ht="17.25" customHeight="1">
      <c r="A2010" s="51">
        <v>46213.787514236115</v>
      </c>
      <c r="B2010" s="25" t="s">
        <v>32</v>
      </c>
      <c r="C2010" s="55" t="s">
        <v>1892</v>
      </c>
      <c r="D2010" s="111">
        <v>46209.0</v>
      </c>
      <c r="E2010" s="52">
        <v>4.0</v>
      </c>
      <c r="F2010" s="55" t="s">
        <v>2075</v>
      </c>
      <c r="G2010" s="26"/>
      <c r="H2010" s="26"/>
      <c r="I2010" s="26" t="s">
        <v>34</v>
      </c>
      <c r="J2010" s="26" t="s">
        <v>1807</v>
      </c>
      <c r="K2010" s="26" t="s">
        <v>1807</v>
      </c>
      <c r="L2010" s="26" t="s">
        <v>1566</v>
      </c>
      <c r="M2010" s="26" t="s">
        <v>1566</v>
      </c>
      <c r="N2010" s="26" t="s">
        <v>1566</v>
      </c>
      <c r="O2010" s="26" t="s">
        <v>1808</v>
      </c>
      <c r="P2010" s="26" t="s">
        <v>290</v>
      </c>
      <c r="Q2010" s="26">
        <v>7.0</v>
      </c>
    </row>
    <row r="2011" ht="17.25" customHeight="1">
      <c r="A2011" s="51">
        <v>46213.787680821755</v>
      </c>
      <c r="B2011" s="25" t="s">
        <v>32</v>
      </c>
      <c r="C2011" s="55" t="s">
        <v>1560</v>
      </c>
      <c r="D2011" s="51">
        <v>46213.7854338426</v>
      </c>
      <c r="E2011" s="52">
        <v>3.0</v>
      </c>
      <c r="F2011" s="55" t="s">
        <v>2015</v>
      </c>
      <c r="G2011" s="26"/>
      <c r="H2011" s="26"/>
      <c r="I2011" s="26" t="s">
        <v>34</v>
      </c>
      <c r="J2011" s="26" t="s">
        <v>1807</v>
      </c>
      <c r="K2011" s="26" t="s">
        <v>1807</v>
      </c>
      <c r="L2011" s="26" t="s">
        <v>1566</v>
      </c>
      <c r="M2011" s="26" t="s">
        <v>1566</v>
      </c>
      <c r="N2011" s="26" t="s">
        <v>1566</v>
      </c>
      <c r="O2011" s="26" t="s">
        <v>1808</v>
      </c>
      <c r="P2011" s="26" t="s">
        <v>290</v>
      </c>
      <c r="Q2011" s="26">
        <v>7.0</v>
      </c>
    </row>
    <row r="2012" ht="17.25" customHeight="1">
      <c r="A2012" s="51">
        <v>46213.788131574074</v>
      </c>
      <c r="B2012" s="25" t="s">
        <v>562</v>
      </c>
      <c r="C2012" s="55" t="s">
        <v>1892</v>
      </c>
      <c r="D2012" s="51">
        <v>46213.7854338426</v>
      </c>
      <c r="E2012" s="52">
        <v>1.0</v>
      </c>
      <c r="F2012" s="55" t="s">
        <v>2075</v>
      </c>
      <c r="G2012" s="26"/>
      <c r="H2012" s="26"/>
      <c r="I2012" s="26" t="s">
        <v>567</v>
      </c>
      <c r="J2012" s="26" t="s">
        <v>1812</v>
      </c>
      <c r="K2012" s="26" t="s">
        <v>1815</v>
      </c>
      <c r="L2012" s="26" t="s">
        <v>1566</v>
      </c>
      <c r="M2012" s="26" t="s">
        <v>1566</v>
      </c>
      <c r="N2012" s="26" t="s">
        <v>1566</v>
      </c>
      <c r="O2012" s="26" t="s">
        <v>1838</v>
      </c>
      <c r="P2012" s="26" t="s">
        <v>616</v>
      </c>
      <c r="Q2012" s="26">
        <v>4.0</v>
      </c>
    </row>
    <row r="2013" ht="17.25" customHeight="1">
      <c r="A2013" s="51">
        <v>46213.788521400464</v>
      </c>
      <c r="B2013" s="25" t="s">
        <v>312</v>
      </c>
      <c r="C2013" s="55" t="s">
        <v>1560</v>
      </c>
      <c r="D2013" s="51">
        <v>46213.7854338426</v>
      </c>
      <c r="E2013" s="52">
        <v>14.0</v>
      </c>
      <c r="F2013" s="55" t="s">
        <v>2015</v>
      </c>
      <c r="G2013" s="26"/>
      <c r="H2013" s="26"/>
      <c r="I2013" s="26" t="s">
        <v>319</v>
      </c>
      <c r="J2013" s="26" t="s">
        <v>1821</v>
      </c>
      <c r="K2013" s="26" t="s">
        <v>1822</v>
      </c>
      <c r="L2013" s="26" t="s">
        <v>1566</v>
      </c>
      <c r="M2013" s="26" t="s">
        <v>1566</v>
      </c>
      <c r="N2013" s="26" t="s">
        <v>1566</v>
      </c>
      <c r="O2013" s="26" t="s">
        <v>1829</v>
      </c>
      <c r="P2013" s="26" t="s">
        <v>661</v>
      </c>
      <c r="Q2013" s="26">
        <v>17.0</v>
      </c>
    </row>
    <row r="2014" ht="17.25" customHeight="1">
      <c r="A2014" s="51">
        <v>46213.790433622686</v>
      </c>
      <c r="B2014" s="25" t="s">
        <v>70</v>
      </c>
      <c r="C2014" s="55" t="s">
        <v>1560</v>
      </c>
      <c r="D2014" s="111">
        <v>46212.0</v>
      </c>
      <c r="E2014" s="52">
        <v>2000.0</v>
      </c>
      <c r="F2014" s="55" t="s">
        <v>1561</v>
      </c>
      <c r="G2014" s="55" t="s">
        <v>2359</v>
      </c>
      <c r="H2014" s="26"/>
      <c r="I2014" s="26" t="s">
        <v>71</v>
      </c>
      <c r="J2014" s="26" t="s">
        <v>1225</v>
      </c>
      <c r="K2014" s="26" t="s">
        <v>1562</v>
      </c>
      <c r="L2014" s="26" t="s">
        <v>1591</v>
      </c>
      <c r="M2014" s="26" t="s">
        <v>2172</v>
      </c>
      <c r="N2014" s="26" t="s">
        <v>1566</v>
      </c>
      <c r="O2014" s="26" t="s">
        <v>1571</v>
      </c>
      <c r="P2014" s="26" t="s">
        <v>22</v>
      </c>
      <c r="Q2014" s="26">
        <v>0.0</v>
      </c>
    </row>
    <row r="2015" ht="17.25" customHeight="1">
      <c r="A2015" s="51">
        <v>46213.79147236111</v>
      </c>
      <c r="B2015" s="25" t="s">
        <v>79</v>
      </c>
      <c r="C2015" s="55" t="s">
        <v>1560</v>
      </c>
      <c r="D2015" s="111">
        <v>46212.0</v>
      </c>
      <c r="E2015" s="52">
        <v>1000.0</v>
      </c>
      <c r="F2015" s="55" t="s">
        <v>1561</v>
      </c>
      <c r="G2015" s="55" t="s">
        <v>2360</v>
      </c>
      <c r="H2015" s="26"/>
      <c r="I2015" s="26" t="s">
        <v>80</v>
      </c>
      <c r="J2015" s="26" t="s">
        <v>1225</v>
      </c>
      <c r="K2015" s="26" t="s">
        <v>1562</v>
      </c>
      <c r="L2015" s="26" t="s">
        <v>1563</v>
      </c>
      <c r="M2015" s="26" t="s">
        <v>1575</v>
      </c>
      <c r="N2015" s="26" t="s">
        <v>1566</v>
      </c>
      <c r="O2015" s="26" t="s">
        <v>1566</v>
      </c>
      <c r="P2015" s="26" t="s">
        <v>22</v>
      </c>
      <c r="Q2015" s="26">
        <v>700.0</v>
      </c>
    </row>
    <row r="2016" ht="17.25" customHeight="1">
      <c r="A2016" s="51">
        <v>46213.7921072801</v>
      </c>
      <c r="B2016" s="25" t="s">
        <v>1314</v>
      </c>
      <c r="C2016" s="55" t="s">
        <v>1560</v>
      </c>
      <c r="D2016" s="111">
        <v>46212.0</v>
      </c>
      <c r="E2016" s="52">
        <v>700.0</v>
      </c>
      <c r="F2016" s="55" t="s">
        <v>1561</v>
      </c>
      <c r="G2016" s="55" t="s">
        <v>2361</v>
      </c>
      <c r="H2016" s="26"/>
      <c r="I2016" s="26" t="s">
        <v>1315</v>
      </c>
      <c r="J2016" s="26" t="s">
        <v>1225</v>
      </c>
      <c r="K2016" s="26" t="s">
        <v>1562</v>
      </c>
      <c r="L2016" s="26" t="s">
        <v>1573</v>
      </c>
      <c r="M2016" s="26" t="s">
        <v>1586</v>
      </c>
      <c r="N2016" s="26" t="s">
        <v>1566</v>
      </c>
      <c r="O2016" s="26" t="s">
        <v>1571</v>
      </c>
      <c r="P2016" s="26" t="s">
        <v>22</v>
      </c>
      <c r="Q2016" s="26">
        <v>0.0</v>
      </c>
    </row>
    <row r="2017" ht="17.25" customHeight="1">
      <c r="A2017" s="51">
        <v>46213.79284204861</v>
      </c>
      <c r="B2017" s="25" t="s">
        <v>1299</v>
      </c>
      <c r="C2017" s="55" t="s">
        <v>1560</v>
      </c>
      <c r="D2017" s="111">
        <v>46212.0</v>
      </c>
      <c r="E2017" s="52">
        <v>1008.0</v>
      </c>
      <c r="F2017" s="55" t="s">
        <v>1561</v>
      </c>
      <c r="G2017" s="55" t="s">
        <v>2362</v>
      </c>
      <c r="H2017" s="26"/>
      <c r="I2017" s="26" t="s">
        <v>1300</v>
      </c>
      <c r="J2017" s="26" t="s">
        <v>1225</v>
      </c>
      <c r="K2017" s="26" t="s">
        <v>1653</v>
      </c>
      <c r="L2017" s="26" t="s">
        <v>1656</v>
      </c>
      <c r="M2017" s="26" t="s">
        <v>2187</v>
      </c>
      <c r="N2017" s="26" t="s">
        <v>1566</v>
      </c>
      <c r="O2017" s="26" t="s">
        <v>1654</v>
      </c>
      <c r="P2017" s="26" t="s">
        <v>22</v>
      </c>
      <c r="Q2017" s="26">
        <v>560.0</v>
      </c>
    </row>
    <row r="2018" ht="17.25" customHeight="1">
      <c r="A2018" s="51">
        <v>46213.79341252315</v>
      </c>
      <c r="B2018" s="25" t="s">
        <v>1302</v>
      </c>
      <c r="C2018" s="55" t="s">
        <v>1560</v>
      </c>
      <c r="D2018" s="111">
        <v>46212.0</v>
      </c>
      <c r="E2018" s="52">
        <v>2448.0</v>
      </c>
      <c r="F2018" s="55" t="s">
        <v>1561</v>
      </c>
      <c r="G2018" s="55" t="s">
        <v>2362</v>
      </c>
      <c r="H2018" s="26"/>
      <c r="I2018" s="26" t="s">
        <v>1303</v>
      </c>
      <c r="J2018" s="26" t="s">
        <v>1225</v>
      </c>
      <c r="K2018" s="26" t="s">
        <v>1653</v>
      </c>
      <c r="L2018" s="26" t="s">
        <v>1563</v>
      </c>
      <c r="M2018" s="26" t="s">
        <v>2187</v>
      </c>
      <c r="N2018" s="26" t="s">
        <v>1566</v>
      </c>
      <c r="O2018" s="26" t="s">
        <v>1654</v>
      </c>
      <c r="P2018" s="26" t="s">
        <v>22</v>
      </c>
      <c r="Q2018" s="26">
        <v>1000.0</v>
      </c>
    </row>
    <row r="2019" ht="17.25" customHeight="1">
      <c r="A2019" s="51">
        <v>46213.79424379629</v>
      </c>
      <c r="B2019" s="25" t="s">
        <v>1154</v>
      </c>
      <c r="C2019" s="55" t="s">
        <v>1560</v>
      </c>
      <c r="D2019" s="111">
        <v>46212.0</v>
      </c>
      <c r="E2019" s="52">
        <v>720.0</v>
      </c>
      <c r="F2019" s="55" t="s">
        <v>1561</v>
      </c>
      <c r="G2019" s="55" t="s">
        <v>2363</v>
      </c>
      <c r="H2019" s="26"/>
      <c r="I2019" s="26" t="s">
        <v>1155</v>
      </c>
      <c r="J2019" s="26" t="s">
        <v>1225</v>
      </c>
      <c r="K2019" s="26" t="s">
        <v>1653</v>
      </c>
      <c r="L2019" s="26" t="s">
        <v>1563</v>
      </c>
      <c r="M2019" s="26" t="s">
        <v>1564</v>
      </c>
      <c r="N2019" s="26" t="s">
        <v>1566</v>
      </c>
      <c r="O2019" s="26" t="s">
        <v>2145</v>
      </c>
      <c r="P2019" s="26" t="s">
        <v>22</v>
      </c>
      <c r="Q2019" s="26">
        <v>1296.0</v>
      </c>
    </row>
    <row r="2020" ht="17.25" customHeight="1">
      <c r="A2020" s="51">
        <v>46213.79876796296</v>
      </c>
      <c r="B2020" s="25" t="s">
        <v>79</v>
      </c>
      <c r="C2020" s="55" t="s">
        <v>1892</v>
      </c>
      <c r="D2020" s="111">
        <v>46211.0</v>
      </c>
      <c r="E2020" s="52">
        <v>250.0</v>
      </c>
      <c r="F2020" s="55" t="s">
        <v>1561</v>
      </c>
      <c r="G2020" s="55">
        <v>957.0</v>
      </c>
      <c r="H2020" s="55" t="s">
        <v>2364</v>
      </c>
      <c r="I2020" s="26" t="s">
        <v>80</v>
      </c>
      <c r="J2020" s="26" t="s">
        <v>1225</v>
      </c>
      <c r="K2020" s="26" t="s">
        <v>1562</v>
      </c>
      <c r="L2020" s="26" t="s">
        <v>1563</v>
      </c>
      <c r="M2020" s="26" t="s">
        <v>1575</v>
      </c>
      <c r="N2020" s="26" t="s">
        <v>1566</v>
      </c>
      <c r="O2020" s="26" t="s">
        <v>1566</v>
      </c>
      <c r="P2020" s="26" t="s">
        <v>22</v>
      </c>
      <c r="Q2020" s="26">
        <v>700.0</v>
      </c>
    </row>
    <row r="2021" ht="17.25" customHeight="1">
      <c r="A2021" s="51">
        <v>46213.799449328704</v>
      </c>
      <c r="B2021" s="25" t="s">
        <v>79</v>
      </c>
      <c r="C2021" s="55" t="s">
        <v>1892</v>
      </c>
      <c r="D2021" s="111">
        <v>46211.0</v>
      </c>
      <c r="E2021" s="52">
        <v>750.0</v>
      </c>
      <c r="F2021" s="55" t="s">
        <v>1561</v>
      </c>
      <c r="G2021" s="55">
        <v>958.0</v>
      </c>
      <c r="H2021" s="55" t="s">
        <v>2365</v>
      </c>
      <c r="I2021" s="26" t="s">
        <v>80</v>
      </c>
      <c r="J2021" s="26" t="s">
        <v>1225</v>
      </c>
      <c r="K2021" s="26" t="s">
        <v>1562</v>
      </c>
      <c r="L2021" s="26" t="s">
        <v>1563</v>
      </c>
      <c r="M2021" s="26" t="s">
        <v>1575</v>
      </c>
      <c r="N2021" s="26" t="s">
        <v>1566</v>
      </c>
      <c r="O2021" s="26" t="s">
        <v>1566</v>
      </c>
      <c r="P2021" s="26" t="s">
        <v>22</v>
      </c>
      <c r="Q2021" s="26">
        <v>700.0</v>
      </c>
    </row>
    <row r="2022" ht="17.25" customHeight="1">
      <c r="A2022" s="51">
        <v>46213.80013200232</v>
      </c>
      <c r="B2022" s="25" t="s">
        <v>942</v>
      </c>
      <c r="C2022" s="55" t="s">
        <v>1892</v>
      </c>
      <c r="D2022" s="111">
        <v>46211.0</v>
      </c>
      <c r="E2022" s="52">
        <v>2000.0</v>
      </c>
      <c r="F2022" s="55" t="s">
        <v>1561</v>
      </c>
      <c r="G2022" s="55">
        <v>959.0</v>
      </c>
      <c r="H2022" s="55" t="s">
        <v>2366</v>
      </c>
      <c r="I2022" s="26" t="s">
        <v>943</v>
      </c>
      <c r="J2022" s="26" t="s">
        <v>1225</v>
      </c>
      <c r="K2022" s="26" t="s">
        <v>1562</v>
      </c>
      <c r="L2022" s="26" t="s">
        <v>1591</v>
      </c>
      <c r="M2022" s="26" t="s">
        <v>1575</v>
      </c>
      <c r="N2022" s="26" t="s">
        <v>1566</v>
      </c>
      <c r="O2022" s="26" t="s">
        <v>1566</v>
      </c>
      <c r="P2022" s="26" t="s">
        <v>22</v>
      </c>
      <c r="Q2022" s="26">
        <v>900.0</v>
      </c>
    </row>
    <row r="2023" ht="17.25" customHeight="1">
      <c r="A2023" s="51">
        <v>46213.80096446759</v>
      </c>
      <c r="B2023" s="25" t="s">
        <v>932</v>
      </c>
      <c r="C2023" s="55" t="s">
        <v>1560</v>
      </c>
      <c r="D2023" s="111">
        <v>46211.0</v>
      </c>
      <c r="E2023" s="52">
        <v>400.0</v>
      </c>
      <c r="F2023" s="55" t="s">
        <v>1561</v>
      </c>
      <c r="G2023" s="55" t="s">
        <v>1487</v>
      </c>
      <c r="H2023" s="26"/>
      <c r="I2023" s="26" t="s">
        <v>933</v>
      </c>
      <c r="J2023" s="26" t="s">
        <v>1225</v>
      </c>
      <c r="K2023" s="26" t="s">
        <v>1562</v>
      </c>
      <c r="L2023" s="26" t="s">
        <v>1600</v>
      </c>
      <c r="M2023" s="26" t="s">
        <v>1572</v>
      </c>
      <c r="N2023" s="26" t="s">
        <v>1571</v>
      </c>
      <c r="O2023" s="26" t="s">
        <v>1566</v>
      </c>
      <c r="P2023" s="26" t="s">
        <v>22</v>
      </c>
      <c r="Q2023" s="26">
        <v>400.0</v>
      </c>
    </row>
    <row r="2024" ht="17.25" customHeight="1">
      <c r="A2024" s="51">
        <v>46213.8015334375</v>
      </c>
      <c r="B2024" s="25" t="s">
        <v>123</v>
      </c>
      <c r="C2024" s="55" t="s">
        <v>1892</v>
      </c>
      <c r="D2024" s="111">
        <v>46212.0</v>
      </c>
      <c r="E2024" s="52">
        <v>2700.0</v>
      </c>
      <c r="F2024" s="55" t="s">
        <v>1561</v>
      </c>
      <c r="G2024" s="55">
        <v>961.0</v>
      </c>
      <c r="H2024" s="55" t="s">
        <v>578</v>
      </c>
      <c r="I2024" s="26" t="s">
        <v>124</v>
      </c>
      <c r="J2024" s="26" t="s">
        <v>1225</v>
      </c>
      <c r="K2024" s="26" t="s">
        <v>1562</v>
      </c>
      <c r="L2024" s="26" t="s">
        <v>1587</v>
      </c>
      <c r="M2024" s="26" t="s">
        <v>1575</v>
      </c>
      <c r="N2024" s="26" t="s">
        <v>1566</v>
      </c>
      <c r="O2024" s="26" t="s">
        <v>1571</v>
      </c>
      <c r="P2024" s="26" t="s">
        <v>22</v>
      </c>
      <c r="Q2024" s="26">
        <v>1600.0</v>
      </c>
    </row>
    <row r="2025" ht="17.25" customHeight="1">
      <c r="A2025" s="51">
        <v>46213.80220148148</v>
      </c>
      <c r="B2025" s="25" t="s">
        <v>942</v>
      </c>
      <c r="C2025" s="55" t="s">
        <v>1892</v>
      </c>
      <c r="D2025" s="111">
        <v>46212.0</v>
      </c>
      <c r="E2025" s="52">
        <v>2000.0</v>
      </c>
      <c r="F2025" s="55" t="s">
        <v>1561</v>
      </c>
      <c r="G2025" s="55">
        <v>962.0</v>
      </c>
      <c r="H2025" s="55" t="s">
        <v>2367</v>
      </c>
      <c r="I2025" s="26" t="s">
        <v>943</v>
      </c>
      <c r="J2025" s="26" t="s">
        <v>1225</v>
      </c>
      <c r="K2025" s="26" t="s">
        <v>1562</v>
      </c>
      <c r="L2025" s="26" t="s">
        <v>1591</v>
      </c>
      <c r="M2025" s="26" t="s">
        <v>1575</v>
      </c>
      <c r="N2025" s="26" t="s">
        <v>1566</v>
      </c>
      <c r="O2025" s="26" t="s">
        <v>1566</v>
      </c>
      <c r="P2025" s="26" t="s">
        <v>22</v>
      </c>
      <c r="Q2025" s="26">
        <v>900.0</v>
      </c>
    </row>
    <row r="2026" ht="17.25" customHeight="1">
      <c r="A2026" s="51">
        <v>46213.8032290625</v>
      </c>
      <c r="B2026" s="25" t="s">
        <v>1314</v>
      </c>
      <c r="C2026" s="55" t="s">
        <v>1892</v>
      </c>
      <c r="D2026" s="111">
        <v>46213.0</v>
      </c>
      <c r="E2026" s="52">
        <v>500.0</v>
      </c>
      <c r="F2026" s="55" t="s">
        <v>1561</v>
      </c>
      <c r="G2026" s="55">
        <v>965.0</v>
      </c>
      <c r="H2026" s="55" t="s">
        <v>2368</v>
      </c>
      <c r="I2026" s="26" t="s">
        <v>1315</v>
      </c>
      <c r="J2026" s="26" t="s">
        <v>1225</v>
      </c>
      <c r="K2026" s="26" t="s">
        <v>1562</v>
      </c>
      <c r="L2026" s="26" t="s">
        <v>1573</v>
      </c>
      <c r="M2026" s="26" t="s">
        <v>1586</v>
      </c>
      <c r="N2026" s="26" t="s">
        <v>1566</v>
      </c>
      <c r="O2026" s="26" t="s">
        <v>1571</v>
      </c>
      <c r="P2026" s="26" t="s">
        <v>22</v>
      </c>
      <c r="Q2026" s="26">
        <v>0.0</v>
      </c>
    </row>
    <row r="2027" ht="17.25" customHeight="1">
      <c r="A2027" s="51">
        <v>46214.44142033564</v>
      </c>
      <c r="B2027" s="25" t="s">
        <v>83</v>
      </c>
      <c r="C2027" s="55" t="s">
        <v>1560</v>
      </c>
      <c r="D2027" s="111">
        <v>46213.0</v>
      </c>
      <c r="E2027" s="52">
        <v>1000.0</v>
      </c>
      <c r="F2027" s="55" t="s">
        <v>1561</v>
      </c>
      <c r="G2027" s="26"/>
      <c r="H2027" s="55" t="s">
        <v>2369</v>
      </c>
      <c r="I2027" s="26" t="s">
        <v>84</v>
      </c>
      <c r="J2027" s="26" t="s">
        <v>1225</v>
      </c>
      <c r="K2027" s="26" t="s">
        <v>1562</v>
      </c>
      <c r="L2027" s="26" t="s">
        <v>1600</v>
      </c>
      <c r="M2027" s="26" t="s">
        <v>1597</v>
      </c>
      <c r="N2027" s="26" t="s">
        <v>1571</v>
      </c>
      <c r="O2027" s="26" t="s">
        <v>1566</v>
      </c>
      <c r="P2027" s="26" t="s">
        <v>22</v>
      </c>
      <c r="Q2027" s="26">
        <v>2000.0</v>
      </c>
    </row>
    <row r="2028" ht="17.25" customHeight="1">
      <c r="A2028" s="51">
        <v>46214.44195903935</v>
      </c>
      <c r="B2028" s="25" t="s">
        <v>341</v>
      </c>
      <c r="C2028" s="55" t="s">
        <v>1560</v>
      </c>
      <c r="D2028" s="111">
        <v>46213.0</v>
      </c>
      <c r="E2028" s="52">
        <v>1100.0</v>
      </c>
      <c r="F2028" s="55" t="s">
        <v>1561</v>
      </c>
      <c r="G2028" s="26"/>
      <c r="H2028" s="55" t="s">
        <v>2370</v>
      </c>
      <c r="I2028" s="26" t="s">
        <v>342</v>
      </c>
      <c r="J2028" s="26" t="s">
        <v>1225</v>
      </c>
      <c r="K2028" s="26" t="s">
        <v>1562</v>
      </c>
      <c r="L2028" s="26" t="s">
        <v>1591</v>
      </c>
      <c r="M2028" s="26" t="s">
        <v>1586</v>
      </c>
      <c r="N2028" s="26" t="s">
        <v>1566</v>
      </c>
      <c r="O2028" s="26" t="s">
        <v>1566</v>
      </c>
      <c r="P2028" s="26" t="s">
        <v>22</v>
      </c>
      <c r="Q2028" s="26">
        <v>0.0</v>
      </c>
    </row>
    <row r="2029" ht="17.25" customHeight="1">
      <c r="A2029" s="51">
        <v>46214.442133530094</v>
      </c>
      <c r="B2029" s="25" t="s">
        <v>1104</v>
      </c>
      <c r="C2029" s="55" t="s">
        <v>1560</v>
      </c>
      <c r="D2029" s="111">
        <v>46213.0</v>
      </c>
      <c r="E2029" s="52">
        <v>1300.0</v>
      </c>
      <c r="F2029" s="55" t="s">
        <v>1561</v>
      </c>
      <c r="G2029" s="26"/>
      <c r="H2029" s="55" t="s">
        <v>2370</v>
      </c>
      <c r="I2029" s="26" t="s">
        <v>1106</v>
      </c>
      <c r="J2029" s="26" t="s">
        <v>1225</v>
      </c>
      <c r="K2029" s="26" t="s">
        <v>1562</v>
      </c>
      <c r="L2029" s="26" t="s">
        <v>1591</v>
      </c>
      <c r="M2029" s="26" t="s">
        <v>1574</v>
      </c>
      <c r="N2029" s="26" t="s">
        <v>1566</v>
      </c>
      <c r="O2029" s="26" t="s">
        <v>1566</v>
      </c>
      <c r="P2029" s="26" t="s">
        <v>22</v>
      </c>
      <c r="Q2029" s="26">
        <v>0.0</v>
      </c>
    </row>
    <row r="2030" ht="17.25" customHeight="1">
      <c r="A2030" s="51">
        <v>46214.44235028935</v>
      </c>
      <c r="B2030" s="25" t="s">
        <v>1104</v>
      </c>
      <c r="C2030" s="55" t="s">
        <v>1560</v>
      </c>
      <c r="D2030" s="111">
        <v>46213.0</v>
      </c>
      <c r="E2030" s="52">
        <v>1900.0</v>
      </c>
      <c r="F2030" s="55" t="s">
        <v>1561</v>
      </c>
      <c r="G2030" s="26"/>
      <c r="H2030" s="55" t="s">
        <v>2370</v>
      </c>
      <c r="I2030" s="26" t="s">
        <v>1106</v>
      </c>
      <c r="J2030" s="26" t="s">
        <v>1225</v>
      </c>
      <c r="K2030" s="26" t="s">
        <v>1562</v>
      </c>
      <c r="L2030" s="26" t="s">
        <v>1591</v>
      </c>
      <c r="M2030" s="26" t="s">
        <v>1574</v>
      </c>
      <c r="N2030" s="26" t="s">
        <v>1566</v>
      </c>
      <c r="O2030" s="26" t="s">
        <v>1566</v>
      </c>
      <c r="P2030" s="26" t="s">
        <v>22</v>
      </c>
      <c r="Q2030" s="26">
        <v>0.0</v>
      </c>
    </row>
    <row r="2031" ht="17.25" customHeight="1">
      <c r="A2031" s="51">
        <v>46214.44302085648</v>
      </c>
      <c r="B2031" s="25" t="s">
        <v>41</v>
      </c>
      <c r="C2031" s="55" t="s">
        <v>1560</v>
      </c>
      <c r="D2031" s="111">
        <v>46213.0</v>
      </c>
      <c r="E2031" s="52">
        <v>300.0</v>
      </c>
      <c r="F2031" s="55" t="s">
        <v>1561</v>
      </c>
      <c r="G2031" s="26"/>
      <c r="H2031" s="55" t="s">
        <v>2371</v>
      </c>
      <c r="I2031" s="26" t="s">
        <v>42</v>
      </c>
      <c r="J2031" s="26" t="s">
        <v>1225</v>
      </c>
      <c r="K2031" s="26" t="s">
        <v>1562</v>
      </c>
      <c r="L2031" s="26" t="s">
        <v>1576</v>
      </c>
      <c r="M2031" s="26" t="s">
        <v>1575</v>
      </c>
      <c r="N2031" s="26" t="s">
        <v>1571</v>
      </c>
      <c r="O2031" s="26" t="s">
        <v>1566</v>
      </c>
      <c r="P2031" s="26" t="s">
        <v>22</v>
      </c>
      <c r="Q2031" s="26">
        <v>200.0</v>
      </c>
    </row>
    <row r="2032" ht="17.25" customHeight="1">
      <c r="A2032" s="51">
        <v>46214.44378273148</v>
      </c>
      <c r="B2032" s="27" t="s">
        <v>854</v>
      </c>
      <c r="C2032" s="55" t="s">
        <v>1560</v>
      </c>
      <c r="D2032" s="111">
        <v>46213.0</v>
      </c>
      <c r="E2032" s="52">
        <v>900.0</v>
      </c>
      <c r="F2032" s="55" t="s">
        <v>1561</v>
      </c>
      <c r="G2032" s="55" t="s">
        <v>2172</v>
      </c>
      <c r="H2032" s="55" t="s">
        <v>2372</v>
      </c>
      <c r="I2032" s="26" t="s">
        <v>855</v>
      </c>
      <c r="J2032" s="26" t="s">
        <v>1225</v>
      </c>
      <c r="K2032" s="26" t="s">
        <v>1562</v>
      </c>
      <c r="L2032" s="26" t="s">
        <v>1633</v>
      </c>
      <c r="M2032" s="26" t="s">
        <v>1572</v>
      </c>
      <c r="N2032" s="26" t="s">
        <v>1566</v>
      </c>
      <c r="O2032" s="26" t="s">
        <v>1566</v>
      </c>
      <c r="P2032" s="26" t="s">
        <v>22</v>
      </c>
      <c r="Q2032" s="26">
        <v>1200.0</v>
      </c>
    </row>
    <row r="2033" ht="17.25" customHeight="1">
      <c r="A2033" s="51">
        <v>46214.45135216435</v>
      </c>
      <c r="B2033" s="25" t="s">
        <v>83</v>
      </c>
      <c r="C2033" s="55" t="s">
        <v>1560</v>
      </c>
      <c r="D2033" s="111">
        <v>46213.0</v>
      </c>
      <c r="E2033" s="52">
        <v>1000.0</v>
      </c>
      <c r="F2033" s="55" t="s">
        <v>1561</v>
      </c>
      <c r="G2033" s="55">
        <v>960.0</v>
      </c>
      <c r="H2033" s="55" t="s">
        <v>2369</v>
      </c>
      <c r="I2033" s="26" t="s">
        <v>84</v>
      </c>
      <c r="J2033" s="26" t="s">
        <v>1225</v>
      </c>
      <c r="K2033" s="26" t="s">
        <v>1562</v>
      </c>
      <c r="L2033" s="26" t="s">
        <v>1600</v>
      </c>
      <c r="M2033" s="26" t="s">
        <v>1597</v>
      </c>
      <c r="N2033" s="26" t="s">
        <v>1571</v>
      </c>
      <c r="O2033" s="26" t="s">
        <v>1566</v>
      </c>
      <c r="P2033" s="26" t="s">
        <v>22</v>
      </c>
      <c r="Q2033" s="26">
        <v>2000.0</v>
      </c>
    </row>
    <row r="2034" ht="17.25" customHeight="1">
      <c r="A2034" s="51">
        <v>46214.45327844907</v>
      </c>
      <c r="B2034" s="25" t="s">
        <v>1664</v>
      </c>
      <c r="C2034" s="55" t="s">
        <v>1892</v>
      </c>
      <c r="D2034" s="111">
        <v>46213.0</v>
      </c>
      <c r="E2034" s="52">
        <v>1440.0</v>
      </c>
      <c r="F2034" s="55" t="s">
        <v>1561</v>
      </c>
      <c r="G2034" s="55">
        <v>968.0</v>
      </c>
      <c r="H2034" s="55" t="s">
        <v>2373</v>
      </c>
      <c r="I2034" s="26" t="s">
        <v>1665</v>
      </c>
      <c r="J2034" s="26" t="s">
        <v>1225</v>
      </c>
      <c r="K2034" s="26" t="s">
        <v>1653</v>
      </c>
      <c r="L2034" s="26" t="s">
        <v>1667</v>
      </c>
      <c r="M2034" s="26" t="s">
        <v>1572</v>
      </c>
      <c r="N2034" s="26" t="s">
        <v>1654</v>
      </c>
      <c r="O2034" s="26" t="s">
        <v>1566</v>
      </c>
      <c r="P2034" s="26" t="s">
        <v>22</v>
      </c>
      <c r="Q2034" s="26">
        <v>0.0</v>
      </c>
    </row>
    <row r="2035" ht="17.25" customHeight="1">
      <c r="A2035" s="51">
        <v>46214.454000983795</v>
      </c>
      <c r="B2035" s="25" t="s">
        <v>1299</v>
      </c>
      <c r="C2035" s="55" t="s">
        <v>1892</v>
      </c>
      <c r="D2035" s="111">
        <v>46213.0</v>
      </c>
      <c r="E2035" s="52">
        <v>520.0</v>
      </c>
      <c r="F2035" s="55" t="s">
        <v>1561</v>
      </c>
      <c r="G2035" s="55">
        <v>970.0</v>
      </c>
      <c r="H2035" s="55" t="s">
        <v>2374</v>
      </c>
      <c r="I2035" s="26" t="s">
        <v>1300</v>
      </c>
      <c r="J2035" s="26" t="s">
        <v>1225</v>
      </c>
      <c r="K2035" s="26" t="s">
        <v>1653</v>
      </c>
      <c r="L2035" s="26" t="s">
        <v>1656</v>
      </c>
      <c r="M2035" s="26" t="s">
        <v>2187</v>
      </c>
      <c r="N2035" s="26" t="s">
        <v>1566</v>
      </c>
      <c r="O2035" s="26" t="s">
        <v>1654</v>
      </c>
      <c r="P2035" s="26" t="s">
        <v>22</v>
      </c>
      <c r="Q2035" s="26">
        <v>560.0</v>
      </c>
    </row>
    <row r="2036" ht="17.25" customHeight="1">
      <c r="A2036" s="51">
        <v>46214.454000983795</v>
      </c>
      <c r="B2036" s="25" t="s">
        <v>1302</v>
      </c>
      <c r="C2036" s="55" t="s">
        <v>1892</v>
      </c>
      <c r="D2036" s="111">
        <v>46213.0</v>
      </c>
      <c r="E2036" s="52">
        <v>1448.0</v>
      </c>
      <c r="F2036" s="55" t="s">
        <v>1561</v>
      </c>
      <c r="G2036" s="55">
        <v>971.0</v>
      </c>
      <c r="H2036" s="55" t="s">
        <v>2374</v>
      </c>
      <c r="I2036" s="26" t="s">
        <v>1303</v>
      </c>
      <c r="J2036" s="26" t="s">
        <v>1225</v>
      </c>
      <c r="K2036" s="26" t="s">
        <v>1653</v>
      </c>
      <c r="L2036" s="26" t="s">
        <v>1563</v>
      </c>
      <c r="M2036" s="26" t="s">
        <v>2187</v>
      </c>
      <c r="N2036" s="26" t="s">
        <v>1566</v>
      </c>
      <c r="O2036" s="26" t="s">
        <v>1654</v>
      </c>
      <c r="P2036" s="26" t="s">
        <v>22</v>
      </c>
      <c r="Q2036" s="26">
        <v>1000.0</v>
      </c>
    </row>
    <row r="2037" ht="17.25" customHeight="1">
      <c r="A2037" s="51">
        <v>46214.45477585648</v>
      </c>
      <c r="B2037" s="25" t="s">
        <v>1039</v>
      </c>
      <c r="C2037" s="55" t="s">
        <v>1560</v>
      </c>
      <c r="D2037" s="111">
        <v>46213.0</v>
      </c>
      <c r="E2037" s="52">
        <v>5.0</v>
      </c>
      <c r="F2037" s="55" t="s">
        <v>1561</v>
      </c>
      <c r="G2037" s="26"/>
      <c r="H2037" s="26"/>
      <c r="I2037" s="26" t="s">
        <v>1040</v>
      </c>
      <c r="J2037" s="26" t="s">
        <v>1830</v>
      </c>
      <c r="K2037" s="26" t="s">
        <v>1833</v>
      </c>
      <c r="L2037" s="26" t="s">
        <v>1566</v>
      </c>
      <c r="M2037" s="26" t="s">
        <v>1566</v>
      </c>
      <c r="N2037" s="26" t="s">
        <v>1566</v>
      </c>
      <c r="O2037" s="26" t="s">
        <v>1566</v>
      </c>
      <c r="P2037" s="26" t="s">
        <v>643</v>
      </c>
      <c r="Q2037" s="26">
        <v>6.0</v>
      </c>
    </row>
    <row r="2038" ht="17.25" customHeight="1">
      <c r="A2038" s="51">
        <v>46214.588083807874</v>
      </c>
      <c r="B2038" s="25" t="s">
        <v>892</v>
      </c>
      <c r="C2038" s="55" t="s">
        <v>1560</v>
      </c>
      <c r="D2038" s="51">
        <v>46207.0</v>
      </c>
      <c r="E2038" s="52">
        <v>25.0</v>
      </c>
      <c r="F2038" s="55" t="s">
        <v>2271</v>
      </c>
      <c r="G2038" s="26"/>
      <c r="H2038" s="26"/>
      <c r="I2038" s="26" t="s">
        <v>893</v>
      </c>
      <c r="J2038" s="26" t="s">
        <v>1812</v>
      </c>
      <c r="K2038" s="26" t="s">
        <v>1813</v>
      </c>
      <c r="L2038" s="26" t="s">
        <v>1566</v>
      </c>
      <c r="M2038" s="26" t="s">
        <v>1566</v>
      </c>
      <c r="N2038" s="26" t="s">
        <v>1566</v>
      </c>
      <c r="O2038" s="26" t="s">
        <v>1809</v>
      </c>
      <c r="P2038" s="26" t="s">
        <v>290</v>
      </c>
      <c r="Q2038" s="26">
        <v>20.0</v>
      </c>
    </row>
    <row r="2039" ht="17.25" customHeight="1">
      <c r="A2039" s="51">
        <v>46214.58849577546</v>
      </c>
      <c r="B2039" s="25" t="s">
        <v>892</v>
      </c>
      <c r="C2039" s="55" t="s">
        <v>1892</v>
      </c>
      <c r="D2039" s="51">
        <v>46214.588083807874</v>
      </c>
      <c r="E2039" s="52">
        <v>25.0</v>
      </c>
      <c r="F2039" s="55" t="s">
        <v>2169</v>
      </c>
      <c r="G2039" s="26"/>
      <c r="H2039" s="26"/>
      <c r="I2039" s="26" t="s">
        <v>893</v>
      </c>
      <c r="J2039" s="26" t="s">
        <v>1812</v>
      </c>
      <c r="K2039" s="26" t="s">
        <v>1813</v>
      </c>
      <c r="L2039" s="26" t="s">
        <v>1566</v>
      </c>
      <c r="M2039" s="26" t="s">
        <v>1566</v>
      </c>
      <c r="N2039" s="26" t="s">
        <v>1566</v>
      </c>
      <c r="O2039" s="26" t="s">
        <v>1809</v>
      </c>
      <c r="P2039" s="26" t="s">
        <v>290</v>
      </c>
      <c r="Q2039" s="26">
        <v>20.0</v>
      </c>
    </row>
    <row r="2040" ht="17.25" customHeight="1">
      <c r="A2040" s="51">
        <v>46214.5888436574</v>
      </c>
      <c r="B2040" s="23" t="s">
        <v>301</v>
      </c>
      <c r="C2040" s="55" t="s">
        <v>1560</v>
      </c>
      <c r="D2040" s="111">
        <v>46213.0</v>
      </c>
      <c r="E2040" s="52">
        <v>500.0</v>
      </c>
      <c r="F2040" s="55" t="s">
        <v>2271</v>
      </c>
      <c r="G2040" s="26"/>
      <c r="H2040" s="26"/>
      <c r="I2040" s="26" t="s">
        <v>302</v>
      </c>
      <c r="J2040" s="26" t="s">
        <v>1830</v>
      </c>
      <c r="K2040" s="26" t="s">
        <v>302</v>
      </c>
      <c r="L2040" s="26" t="s">
        <v>1566</v>
      </c>
      <c r="M2040" s="26" t="s">
        <v>1566</v>
      </c>
      <c r="N2040" s="26" t="s">
        <v>1566</v>
      </c>
      <c r="O2040" s="26" t="s">
        <v>1566</v>
      </c>
      <c r="P2040" s="26" t="s">
        <v>661</v>
      </c>
      <c r="Q2040" s="26">
        <v>580.0</v>
      </c>
    </row>
    <row r="2041" ht="17.25" customHeight="1">
      <c r="A2041" s="51">
        <v>46214.588863599536</v>
      </c>
      <c r="B2041" s="23" t="s">
        <v>301</v>
      </c>
      <c r="C2041" s="55" t="s">
        <v>1892</v>
      </c>
      <c r="D2041" s="51">
        <v>46214.588083807874</v>
      </c>
      <c r="E2041" s="52">
        <v>20.0</v>
      </c>
      <c r="F2041" s="55" t="s">
        <v>2169</v>
      </c>
      <c r="G2041" s="26"/>
      <c r="H2041" s="26"/>
      <c r="I2041" s="26" t="s">
        <v>302</v>
      </c>
      <c r="J2041" s="26" t="s">
        <v>1830</v>
      </c>
      <c r="K2041" s="26" t="s">
        <v>302</v>
      </c>
      <c r="L2041" s="26" t="s">
        <v>1566</v>
      </c>
      <c r="M2041" s="26" t="s">
        <v>1566</v>
      </c>
      <c r="N2041" s="26" t="s">
        <v>1566</v>
      </c>
      <c r="O2041" s="26" t="s">
        <v>1566</v>
      </c>
      <c r="P2041" s="26" t="s">
        <v>661</v>
      </c>
      <c r="Q2041" s="26">
        <v>580.0</v>
      </c>
    </row>
    <row r="2042" ht="17.25" customHeight="1">
      <c r="A2042" s="51">
        <v>46214.58927662037</v>
      </c>
      <c r="B2042" s="25" t="s">
        <v>975</v>
      </c>
      <c r="C2042" s="55" t="s">
        <v>1560</v>
      </c>
      <c r="D2042" s="111">
        <v>46213.0</v>
      </c>
      <c r="E2042" s="52">
        <v>50.0</v>
      </c>
      <c r="F2042" s="55" t="s">
        <v>2271</v>
      </c>
      <c r="G2042" s="26"/>
      <c r="H2042" s="26"/>
      <c r="I2042" s="26" t="s">
        <v>976</v>
      </c>
      <c r="J2042" s="26" t="s">
        <v>1830</v>
      </c>
      <c r="K2042" s="26" t="s">
        <v>1642</v>
      </c>
      <c r="L2042" s="26" t="s">
        <v>1566</v>
      </c>
      <c r="M2042" s="26" t="s">
        <v>1566</v>
      </c>
      <c r="N2042" s="26" t="s">
        <v>1566</v>
      </c>
      <c r="O2042" s="26" t="s">
        <v>1566</v>
      </c>
      <c r="P2042" s="26" t="s">
        <v>661</v>
      </c>
      <c r="Q2042" s="26">
        <v>80.0</v>
      </c>
    </row>
    <row r="2043" ht="17.25" customHeight="1">
      <c r="A2043" s="51">
        <v>46214.589411863424</v>
      </c>
      <c r="B2043" s="25" t="s">
        <v>975</v>
      </c>
      <c r="C2043" s="55" t="s">
        <v>1892</v>
      </c>
      <c r="D2043" s="111">
        <v>46213.0</v>
      </c>
      <c r="E2043" s="52">
        <v>15.0</v>
      </c>
      <c r="F2043" s="55" t="s">
        <v>2169</v>
      </c>
      <c r="G2043" s="26"/>
      <c r="H2043" s="26"/>
      <c r="I2043" s="26" t="s">
        <v>976</v>
      </c>
      <c r="J2043" s="26" t="s">
        <v>1830</v>
      </c>
      <c r="K2043" s="26" t="s">
        <v>1642</v>
      </c>
      <c r="L2043" s="26" t="s">
        <v>1566</v>
      </c>
      <c r="M2043" s="26" t="s">
        <v>1566</v>
      </c>
      <c r="N2043" s="26" t="s">
        <v>1566</v>
      </c>
      <c r="O2043" s="26" t="s">
        <v>1566</v>
      </c>
      <c r="P2043" s="26" t="s">
        <v>661</v>
      </c>
      <c r="Q2043" s="26">
        <v>80.0</v>
      </c>
    </row>
    <row r="2044" ht="17.25" customHeight="1">
      <c r="A2044" s="51">
        <v>46216.48833947917</v>
      </c>
      <c r="B2044" s="25" t="s">
        <v>1001</v>
      </c>
      <c r="C2044" s="55" t="s">
        <v>1892</v>
      </c>
      <c r="D2044" s="51">
        <v>46216.48833947917</v>
      </c>
      <c r="E2044" s="52">
        <v>2.0</v>
      </c>
      <c r="F2044" s="55" t="s">
        <v>2169</v>
      </c>
      <c r="G2044" s="26"/>
      <c r="H2044" s="26"/>
      <c r="I2044" s="26" t="s">
        <v>1002</v>
      </c>
      <c r="J2044" s="26" t="s">
        <v>1674</v>
      </c>
      <c r="K2044" s="26" t="s">
        <v>1691</v>
      </c>
      <c r="L2044" s="26" t="s">
        <v>1566</v>
      </c>
      <c r="M2044" s="26" t="s">
        <v>1566</v>
      </c>
      <c r="N2044" s="26" t="s">
        <v>1566</v>
      </c>
      <c r="O2044" s="26" t="s">
        <v>2040</v>
      </c>
      <c r="P2044" s="26" t="s">
        <v>290</v>
      </c>
      <c r="Q2044" s="26">
        <v>1.0</v>
      </c>
    </row>
    <row r="2045" ht="17.25" customHeight="1">
      <c r="A2045" s="51">
        <v>46216.48852075232</v>
      </c>
      <c r="B2045" s="23" t="s">
        <v>301</v>
      </c>
      <c r="C2045" s="55" t="s">
        <v>1892</v>
      </c>
      <c r="D2045" s="51">
        <v>46216.48833947917</v>
      </c>
      <c r="E2045" s="52">
        <v>15.0</v>
      </c>
      <c r="F2045" s="55" t="s">
        <v>2169</v>
      </c>
      <c r="G2045" s="26"/>
      <c r="H2045" s="26"/>
      <c r="I2045" s="26" t="s">
        <v>302</v>
      </c>
      <c r="J2045" s="26" t="s">
        <v>1830</v>
      </c>
      <c r="K2045" s="26" t="s">
        <v>302</v>
      </c>
      <c r="L2045" s="26" t="s">
        <v>1566</v>
      </c>
      <c r="M2045" s="26" t="s">
        <v>1566</v>
      </c>
      <c r="N2045" s="26" t="s">
        <v>1566</v>
      </c>
      <c r="O2045" s="26" t="s">
        <v>1566</v>
      </c>
      <c r="P2045" s="26" t="s">
        <v>661</v>
      </c>
      <c r="Q2045" s="26">
        <v>580.0</v>
      </c>
    </row>
    <row r="2046" ht="17.25" customHeight="1">
      <c r="A2046" s="51">
        <v>46216.488920289354</v>
      </c>
      <c r="B2046" s="25" t="s">
        <v>292</v>
      </c>
      <c r="C2046" s="55" t="s">
        <v>1892</v>
      </c>
      <c r="D2046" s="51">
        <v>46216.48833947917</v>
      </c>
      <c r="E2046" s="52">
        <v>4.0</v>
      </c>
      <c r="F2046" s="55" t="s">
        <v>2169</v>
      </c>
      <c r="G2046" s="55" t="s">
        <v>2104</v>
      </c>
      <c r="H2046" s="26"/>
      <c r="I2046" s="26" t="s">
        <v>294</v>
      </c>
      <c r="J2046" s="26" t="s">
        <v>1674</v>
      </c>
      <c r="K2046" s="26" t="s">
        <v>1675</v>
      </c>
      <c r="L2046" s="26" t="s">
        <v>1566</v>
      </c>
      <c r="M2046" s="26" t="s">
        <v>1566</v>
      </c>
      <c r="N2046" s="26" t="s">
        <v>1678</v>
      </c>
      <c r="O2046" s="26" t="s">
        <v>1677</v>
      </c>
      <c r="P2046" s="26" t="s">
        <v>290</v>
      </c>
      <c r="Q2046" s="26">
        <v>10.0</v>
      </c>
    </row>
    <row r="2047" ht="17.25" customHeight="1">
      <c r="A2047" s="51">
        <v>46216.488920289354</v>
      </c>
      <c r="B2047" s="25" t="s">
        <v>297</v>
      </c>
      <c r="C2047" s="55" t="s">
        <v>1892</v>
      </c>
      <c r="D2047" s="51">
        <v>46216.48833947917</v>
      </c>
      <c r="E2047" s="52">
        <v>8.0</v>
      </c>
      <c r="F2047" s="55" t="s">
        <v>2169</v>
      </c>
      <c r="G2047" s="55" t="s">
        <v>2104</v>
      </c>
      <c r="H2047" s="26"/>
      <c r="I2047" s="26" t="s">
        <v>298</v>
      </c>
      <c r="J2047" s="26" t="s">
        <v>1674</v>
      </c>
      <c r="K2047" s="26" t="s">
        <v>1675</v>
      </c>
      <c r="L2047" s="26" t="s">
        <v>1566</v>
      </c>
      <c r="M2047" s="26" t="s">
        <v>1566</v>
      </c>
      <c r="N2047" s="26" t="s">
        <v>1680</v>
      </c>
      <c r="O2047" s="26" t="s">
        <v>1677</v>
      </c>
      <c r="P2047" s="26" t="s">
        <v>290</v>
      </c>
      <c r="Q2047" s="26">
        <v>10.0</v>
      </c>
    </row>
    <row r="2048" ht="17.25" customHeight="1">
      <c r="A2048" s="51">
        <v>46216.488920289354</v>
      </c>
      <c r="B2048" s="25" t="s">
        <v>304</v>
      </c>
      <c r="C2048" s="55" t="s">
        <v>1892</v>
      </c>
      <c r="D2048" s="51">
        <v>46216.48833947917</v>
      </c>
      <c r="E2048" s="52">
        <v>4.0</v>
      </c>
      <c r="F2048" s="55" t="s">
        <v>2169</v>
      </c>
      <c r="G2048" s="55" t="s">
        <v>2104</v>
      </c>
      <c r="H2048" s="26"/>
      <c r="I2048" s="26" t="s">
        <v>306</v>
      </c>
      <c r="J2048" s="26" t="s">
        <v>1674</v>
      </c>
      <c r="K2048" s="26" t="s">
        <v>1675</v>
      </c>
      <c r="L2048" s="26" t="s">
        <v>1566</v>
      </c>
      <c r="M2048" s="26" t="s">
        <v>1566</v>
      </c>
      <c r="N2048" s="26" t="s">
        <v>1682</v>
      </c>
      <c r="O2048" s="26" t="s">
        <v>1677</v>
      </c>
      <c r="P2048" s="26" t="s">
        <v>290</v>
      </c>
      <c r="Q2048" s="26">
        <v>6.0</v>
      </c>
    </row>
    <row r="2049" ht="17.25" customHeight="1">
      <c r="A2049" s="51">
        <v>46216.48915501157</v>
      </c>
      <c r="B2049" s="25" t="s">
        <v>287</v>
      </c>
      <c r="C2049" s="55" t="s">
        <v>1892</v>
      </c>
      <c r="D2049" s="51">
        <v>46216.48833947917</v>
      </c>
      <c r="E2049" s="52">
        <v>4.0</v>
      </c>
      <c r="F2049" s="55" t="s">
        <v>2169</v>
      </c>
      <c r="G2049" s="55" t="s">
        <v>2104</v>
      </c>
      <c r="H2049" s="26"/>
      <c r="I2049" s="26" t="s">
        <v>288</v>
      </c>
      <c r="J2049" s="26" t="s">
        <v>1674</v>
      </c>
      <c r="K2049" s="26" t="s">
        <v>1675</v>
      </c>
      <c r="L2049" s="26" t="s">
        <v>1566</v>
      </c>
      <c r="M2049" s="26" t="s">
        <v>1566</v>
      </c>
      <c r="N2049" s="26" t="s">
        <v>1676</v>
      </c>
      <c r="O2049" s="26" t="s">
        <v>1677</v>
      </c>
      <c r="P2049" s="26" t="s">
        <v>290</v>
      </c>
      <c r="Q2049" s="26">
        <v>16.0</v>
      </c>
    </row>
    <row r="2050" ht="17.25" customHeight="1">
      <c r="A2050" s="51">
        <v>46217.73278197917</v>
      </c>
      <c r="B2050" s="27" t="s">
        <v>1256</v>
      </c>
      <c r="C2050" s="55" t="s">
        <v>1892</v>
      </c>
      <c r="D2050" s="51">
        <v>46216.48833947917</v>
      </c>
      <c r="E2050" s="52">
        <v>6.0</v>
      </c>
      <c r="F2050" s="55" t="s">
        <v>2169</v>
      </c>
      <c r="G2050" s="26"/>
      <c r="H2050" s="26"/>
      <c r="I2050" s="26" t="s">
        <v>1257</v>
      </c>
      <c r="J2050" s="26" t="s">
        <v>1674</v>
      </c>
      <c r="K2050" s="26" t="s">
        <v>1691</v>
      </c>
      <c r="L2050" s="26" t="s">
        <v>1566</v>
      </c>
      <c r="M2050" s="26" t="s">
        <v>1566</v>
      </c>
      <c r="N2050" s="26" t="s">
        <v>1566</v>
      </c>
      <c r="O2050" s="26" t="s">
        <v>2177</v>
      </c>
      <c r="P2050" s="26" t="s">
        <v>290</v>
      </c>
      <c r="Q2050" s="26">
        <v>6.0</v>
      </c>
    </row>
    <row r="2051" ht="17.25" customHeight="1">
      <c r="A2051" s="51">
        <v>46217.732993020836</v>
      </c>
      <c r="B2051" s="27" t="s">
        <v>1256</v>
      </c>
      <c r="C2051" s="55" t="s">
        <v>1560</v>
      </c>
      <c r="D2051" s="51">
        <v>46216.48833947917</v>
      </c>
      <c r="E2051" s="52">
        <v>2.0</v>
      </c>
      <c r="F2051" s="55" t="s">
        <v>2169</v>
      </c>
      <c r="G2051" s="26"/>
      <c r="H2051" s="26"/>
      <c r="I2051" s="26" t="s">
        <v>1257</v>
      </c>
      <c r="J2051" s="26" t="s">
        <v>1674</v>
      </c>
      <c r="K2051" s="26" t="s">
        <v>1691</v>
      </c>
      <c r="L2051" s="26" t="s">
        <v>1566</v>
      </c>
      <c r="M2051" s="26" t="s">
        <v>1566</v>
      </c>
      <c r="N2051" s="26" t="s">
        <v>1566</v>
      </c>
      <c r="O2051" s="26" t="s">
        <v>2177</v>
      </c>
      <c r="P2051" s="26" t="s">
        <v>290</v>
      </c>
      <c r="Q2051" s="26">
        <v>6.0</v>
      </c>
    </row>
    <row r="2052" ht="17.25" customHeight="1">
      <c r="A2052" s="51">
        <v>46217.73365025463</v>
      </c>
      <c r="B2052" s="23" t="s">
        <v>21</v>
      </c>
      <c r="C2052" s="55" t="s">
        <v>1892</v>
      </c>
      <c r="D2052" s="51">
        <v>46217.73365025463</v>
      </c>
      <c r="E2052" s="52">
        <v>20.0</v>
      </c>
      <c r="F2052" s="55" t="s">
        <v>2169</v>
      </c>
      <c r="G2052" s="26"/>
      <c r="H2052" s="26"/>
      <c r="I2052" s="26" t="s">
        <v>23</v>
      </c>
      <c r="J2052" s="26" t="s">
        <v>1812</v>
      </c>
      <c r="K2052" s="26" t="s">
        <v>1815</v>
      </c>
      <c r="L2052" s="26" t="s">
        <v>1566</v>
      </c>
      <c r="M2052" s="26" t="s">
        <v>1566</v>
      </c>
      <c r="N2052" s="26" t="s">
        <v>1566</v>
      </c>
      <c r="O2052" s="26" t="s">
        <v>1818</v>
      </c>
      <c r="P2052" s="26" t="s">
        <v>616</v>
      </c>
      <c r="Q2052" s="26">
        <v>20.0</v>
      </c>
    </row>
    <row r="2053" ht="17.25" customHeight="1">
      <c r="A2053" s="51">
        <v>46217.73381561342</v>
      </c>
      <c r="B2053" s="23" t="s">
        <v>301</v>
      </c>
      <c r="C2053" s="55" t="s">
        <v>1892</v>
      </c>
      <c r="D2053" s="51">
        <v>46217.73365025463</v>
      </c>
      <c r="E2053" s="52">
        <v>20.0</v>
      </c>
      <c r="F2053" s="55" t="s">
        <v>2169</v>
      </c>
      <c r="G2053" s="26"/>
      <c r="H2053" s="26"/>
      <c r="I2053" s="26" t="s">
        <v>302</v>
      </c>
      <c r="J2053" s="26" t="s">
        <v>1830</v>
      </c>
      <c r="K2053" s="26" t="s">
        <v>302</v>
      </c>
      <c r="L2053" s="26" t="s">
        <v>1566</v>
      </c>
      <c r="M2053" s="26" t="s">
        <v>1566</v>
      </c>
      <c r="N2053" s="26" t="s">
        <v>1566</v>
      </c>
      <c r="O2053" s="26" t="s">
        <v>1566</v>
      </c>
      <c r="P2053" s="26" t="s">
        <v>661</v>
      </c>
      <c r="Q2053" s="26">
        <v>580.0</v>
      </c>
    </row>
    <row r="2054" ht="17.25" customHeight="1">
      <c r="A2054" s="51">
        <v>46217.73381561342</v>
      </c>
      <c r="B2054" s="25" t="s">
        <v>598</v>
      </c>
      <c r="C2054" s="55" t="s">
        <v>1892</v>
      </c>
      <c r="D2054" s="51">
        <v>46217.73365025463</v>
      </c>
      <c r="E2054" s="52">
        <v>5.0</v>
      </c>
      <c r="F2054" s="55" t="s">
        <v>2169</v>
      </c>
      <c r="G2054" s="26"/>
      <c r="H2054" s="26"/>
      <c r="I2054" s="26" t="s">
        <v>604</v>
      </c>
      <c r="J2054" s="26" t="s">
        <v>1812</v>
      </c>
      <c r="K2054" s="26" t="s">
        <v>1815</v>
      </c>
      <c r="L2054" s="26" t="s">
        <v>1566</v>
      </c>
      <c r="M2054" s="26" t="s">
        <v>1566</v>
      </c>
      <c r="N2054" s="26" t="s">
        <v>1566</v>
      </c>
      <c r="O2054" s="26" t="s">
        <v>1812</v>
      </c>
      <c r="P2054" s="26" t="s">
        <v>616</v>
      </c>
      <c r="Q2054" s="26">
        <v>15.0</v>
      </c>
    </row>
    <row r="2055" ht="17.25" customHeight="1">
      <c r="A2055" s="51">
        <v>46218.27447423611</v>
      </c>
      <c r="B2055" s="23" t="s">
        <v>301</v>
      </c>
      <c r="C2055" s="55" t="s">
        <v>1892</v>
      </c>
      <c r="D2055" s="51">
        <v>46217.73365025463</v>
      </c>
      <c r="E2055" s="52">
        <v>12.0</v>
      </c>
      <c r="F2055" s="55" t="s">
        <v>2169</v>
      </c>
      <c r="G2055" s="26"/>
      <c r="H2055" s="26"/>
      <c r="I2055" s="26" t="s">
        <v>302</v>
      </c>
      <c r="J2055" s="26" t="s">
        <v>1830</v>
      </c>
      <c r="K2055" s="26" t="s">
        <v>302</v>
      </c>
      <c r="L2055" s="26" t="s">
        <v>1566</v>
      </c>
      <c r="M2055" s="26" t="s">
        <v>1566</v>
      </c>
      <c r="N2055" s="26" t="s">
        <v>1566</v>
      </c>
      <c r="O2055" s="26" t="s">
        <v>1566</v>
      </c>
      <c r="P2055" s="26" t="s">
        <v>661</v>
      </c>
      <c r="Q2055" s="26">
        <v>580.0</v>
      </c>
    </row>
    <row r="2056" ht="17.25" customHeight="1">
      <c r="A2056" s="51">
        <v>46218.42350038195</v>
      </c>
      <c r="B2056" s="23" t="s">
        <v>301</v>
      </c>
      <c r="C2056" s="55" t="s">
        <v>1892</v>
      </c>
      <c r="D2056" s="51">
        <v>46218.27447423611</v>
      </c>
      <c r="E2056" s="52">
        <v>15.0</v>
      </c>
      <c r="F2056" s="55" t="s">
        <v>2046</v>
      </c>
      <c r="G2056" s="26"/>
      <c r="H2056" s="26"/>
      <c r="I2056" s="26" t="s">
        <v>302</v>
      </c>
      <c r="J2056" s="26" t="s">
        <v>1830</v>
      </c>
      <c r="K2056" s="26" t="s">
        <v>302</v>
      </c>
      <c r="L2056" s="26" t="s">
        <v>1566</v>
      </c>
      <c r="M2056" s="26" t="s">
        <v>1566</v>
      </c>
      <c r="N2056" s="26" t="s">
        <v>1566</v>
      </c>
      <c r="O2056" s="26" t="s">
        <v>1566</v>
      </c>
      <c r="P2056" s="26" t="s">
        <v>661</v>
      </c>
      <c r="Q2056" s="26">
        <v>580.0</v>
      </c>
    </row>
    <row r="2057" ht="17.25" customHeight="1">
      <c r="A2057" s="51">
        <v>46218.42354157407</v>
      </c>
      <c r="B2057" s="23" t="s">
        <v>301</v>
      </c>
      <c r="C2057" s="55" t="s">
        <v>1892</v>
      </c>
      <c r="D2057" s="51">
        <v>46218.27447423611</v>
      </c>
      <c r="E2057" s="52">
        <v>20.0</v>
      </c>
      <c r="F2057" s="55" t="s">
        <v>2169</v>
      </c>
      <c r="G2057" s="26"/>
      <c r="H2057" s="26"/>
      <c r="I2057" s="26" t="s">
        <v>302</v>
      </c>
      <c r="J2057" s="26" t="s">
        <v>1830</v>
      </c>
      <c r="K2057" s="26" t="s">
        <v>302</v>
      </c>
      <c r="L2057" s="26" t="s">
        <v>1566</v>
      </c>
      <c r="M2057" s="26" t="s">
        <v>1566</v>
      </c>
      <c r="N2057" s="26" t="s">
        <v>1566</v>
      </c>
      <c r="O2057" s="26" t="s">
        <v>1566</v>
      </c>
      <c r="P2057" s="26" t="s">
        <v>661</v>
      </c>
      <c r="Q2057" s="26">
        <v>580.0</v>
      </c>
    </row>
    <row r="2058" ht="17.25" customHeight="1">
      <c r="A2058" s="51">
        <v>46218.42413097223</v>
      </c>
      <c r="B2058" s="25" t="s">
        <v>523</v>
      </c>
      <c r="C2058" s="55" t="s">
        <v>1892</v>
      </c>
      <c r="D2058" s="51">
        <v>46218.27447423611</v>
      </c>
      <c r="E2058" s="52">
        <v>5.0</v>
      </c>
      <c r="F2058" s="55" t="s">
        <v>2169</v>
      </c>
      <c r="G2058" s="26"/>
      <c r="H2058" s="26"/>
      <c r="I2058" s="26" t="s">
        <v>528</v>
      </c>
      <c r="J2058" s="26" t="s">
        <v>1812</v>
      </c>
      <c r="K2058" s="26" t="s">
        <v>1815</v>
      </c>
      <c r="L2058" s="26" t="s">
        <v>1566</v>
      </c>
      <c r="M2058" s="26" t="s">
        <v>1566</v>
      </c>
      <c r="N2058" s="26" t="s">
        <v>1566</v>
      </c>
      <c r="O2058" s="26" t="s">
        <v>1837</v>
      </c>
      <c r="P2058" s="26" t="s">
        <v>616</v>
      </c>
      <c r="Q2058" s="26">
        <v>15.0</v>
      </c>
    </row>
    <row r="2059" ht="17.25" customHeight="1">
      <c r="A2059" s="51">
        <v>46218.595151331014</v>
      </c>
      <c r="B2059" s="25" t="s">
        <v>1154</v>
      </c>
      <c r="C2059" s="55" t="s">
        <v>1892</v>
      </c>
      <c r="D2059" s="111">
        <v>46216.0</v>
      </c>
      <c r="E2059" s="195">
        <v>720.0</v>
      </c>
      <c r="F2059" s="55" t="s">
        <v>2169</v>
      </c>
      <c r="G2059" s="55">
        <v>972.0</v>
      </c>
      <c r="H2059" s="55" t="s">
        <v>2375</v>
      </c>
      <c r="I2059" s="26" t="s">
        <v>1155</v>
      </c>
      <c r="J2059" s="26" t="s">
        <v>1225</v>
      </c>
      <c r="K2059" s="26" t="s">
        <v>1653</v>
      </c>
      <c r="L2059" s="26" t="s">
        <v>1563</v>
      </c>
      <c r="M2059" s="26" t="s">
        <v>1564</v>
      </c>
      <c r="N2059" s="26" t="s">
        <v>1566</v>
      </c>
      <c r="O2059" s="26" t="s">
        <v>2145</v>
      </c>
      <c r="P2059" s="26" t="s">
        <v>22</v>
      </c>
      <c r="Q2059" s="26">
        <v>1296.0</v>
      </c>
    </row>
    <row r="2060" ht="17.25" customHeight="1">
      <c r="A2060" s="51">
        <v>46218.599646620365</v>
      </c>
      <c r="B2060" s="25" t="s">
        <v>70</v>
      </c>
      <c r="C2060" s="55" t="s">
        <v>1892</v>
      </c>
      <c r="D2060" s="111">
        <v>46216.0</v>
      </c>
      <c r="E2060" s="52">
        <v>2000.0</v>
      </c>
      <c r="F2060" s="55" t="s">
        <v>2169</v>
      </c>
      <c r="G2060" s="55">
        <v>973.0</v>
      </c>
      <c r="H2060" s="2" t="s">
        <v>2376</v>
      </c>
      <c r="I2060" s="26" t="s">
        <v>71</v>
      </c>
      <c r="J2060" s="26" t="s">
        <v>1225</v>
      </c>
      <c r="K2060" s="26" t="s">
        <v>1562</v>
      </c>
      <c r="L2060" s="26" t="s">
        <v>1591</v>
      </c>
      <c r="M2060" s="26" t="s">
        <v>2172</v>
      </c>
      <c r="N2060" s="26" t="s">
        <v>1566</v>
      </c>
      <c r="O2060" s="26" t="s">
        <v>1571</v>
      </c>
      <c r="P2060" s="26" t="s">
        <v>22</v>
      </c>
      <c r="Q2060" s="26">
        <v>0.0</v>
      </c>
    </row>
    <row r="2061" ht="17.25" customHeight="1">
      <c r="A2061" s="51">
        <v>46218.60868938657</v>
      </c>
      <c r="B2061" s="25" t="s">
        <v>1011</v>
      </c>
      <c r="C2061" s="55" t="s">
        <v>1892</v>
      </c>
      <c r="D2061" s="111">
        <v>46216.0</v>
      </c>
      <c r="E2061" s="52">
        <v>200.0</v>
      </c>
      <c r="F2061" s="55" t="s">
        <v>2169</v>
      </c>
      <c r="G2061" s="55">
        <v>974.0</v>
      </c>
      <c r="H2061" s="55" t="s">
        <v>2377</v>
      </c>
      <c r="I2061" s="26" t="s">
        <v>1012</v>
      </c>
      <c r="J2061" s="26" t="s">
        <v>1225</v>
      </c>
      <c r="K2061" s="26" t="s">
        <v>1562</v>
      </c>
      <c r="L2061" s="26" t="s">
        <v>1582</v>
      </c>
      <c r="M2061" s="26" t="s">
        <v>1575</v>
      </c>
      <c r="N2061" s="26" t="s">
        <v>1566</v>
      </c>
      <c r="O2061" s="26" t="s">
        <v>1566</v>
      </c>
      <c r="P2061" s="26" t="s">
        <v>22</v>
      </c>
      <c r="Q2061" s="26">
        <v>100.0</v>
      </c>
    </row>
    <row r="2062" ht="17.25" customHeight="1">
      <c r="A2062" s="51">
        <v>46218.63116185185</v>
      </c>
      <c r="B2062" s="25" t="s">
        <v>1085</v>
      </c>
      <c r="C2062" s="55" t="s">
        <v>1560</v>
      </c>
      <c r="D2062" s="111">
        <v>46216.0</v>
      </c>
      <c r="E2062" s="52">
        <v>15800.0</v>
      </c>
      <c r="F2062" s="55" t="s">
        <v>2271</v>
      </c>
      <c r="G2062" s="26"/>
      <c r="H2062" s="55" t="s">
        <v>587</v>
      </c>
      <c r="I2062" s="26" t="s">
        <v>1086</v>
      </c>
      <c r="J2062" s="26" t="s">
        <v>1225</v>
      </c>
      <c r="K2062" s="26" t="s">
        <v>1562</v>
      </c>
      <c r="L2062" s="26" t="s">
        <v>2116</v>
      </c>
      <c r="M2062" s="26" t="s">
        <v>1597</v>
      </c>
      <c r="N2062" s="26" t="s">
        <v>1566</v>
      </c>
      <c r="O2062" s="26" t="s">
        <v>1566</v>
      </c>
      <c r="P2062" s="26" t="s">
        <v>661</v>
      </c>
      <c r="Q2062" s="26">
        <v>15800.0</v>
      </c>
    </row>
    <row r="2063" ht="17.25" customHeight="1">
      <c r="A2063" s="51">
        <v>46218.633123506945</v>
      </c>
      <c r="B2063" s="25" t="s">
        <v>1104</v>
      </c>
      <c r="C2063" s="55" t="s">
        <v>1560</v>
      </c>
      <c r="D2063" s="111">
        <v>46216.0</v>
      </c>
      <c r="E2063" s="52">
        <v>1300.0</v>
      </c>
      <c r="F2063" s="55" t="s">
        <v>2271</v>
      </c>
      <c r="G2063" s="26"/>
      <c r="H2063" s="55" t="s">
        <v>2370</v>
      </c>
      <c r="I2063" s="26" t="s">
        <v>1106</v>
      </c>
      <c r="J2063" s="26" t="s">
        <v>1225</v>
      </c>
      <c r="K2063" s="26" t="s">
        <v>1562</v>
      </c>
      <c r="L2063" s="26" t="s">
        <v>1591</v>
      </c>
      <c r="M2063" s="26" t="s">
        <v>1574</v>
      </c>
      <c r="N2063" s="26" t="s">
        <v>1566</v>
      </c>
      <c r="O2063" s="26" t="s">
        <v>1566</v>
      </c>
      <c r="P2063" s="26" t="s">
        <v>22</v>
      </c>
      <c r="Q2063" s="26">
        <v>0.0</v>
      </c>
    </row>
    <row r="2064" ht="17.25" customHeight="1">
      <c r="A2064" s="51">
        <v>46218.633971250005</v>
      </c>
      <c r="B2064" s="25" t="s">
        <v>87</v>
      </c>
      <c r="C2064" s="55" t="s">
        <v>1560</v>
      </c>
      <c r="D2064" s="111">
        <v>46217.0</v>
      </c>
      <c r="E2064" s="52">
        <v>2000.0</v>
      </c>
      <c r="F2064" s="55" t="s">
        <v>2271</v>
      </c>
      <c r="G2064" s="26"/>
      <c r="H2064" s="55" t="s">
        <v>2378</v>
      </c>
      <c r="I2064" s="26" t="s">
        <v>88</v>
      </c>
      <c r="J2064" s="26" t="s">
        <v>1225</v>
      </c>
      <c r="K2064" s="26" t="s">
        <v>1562</v>
      </c>
      <c r="L2064" s="26" t="s">
        <v>1633</v>
      </c>
      <c r="M2064" s="26" t="s">
        <v>1575</v>
      </c>
      <c r="N2064" s="26" t="s">
        <v>1590</v>
      </c>
      <c r="O2064" s="26" t="s">
        <v>2160</v>
      </c>
      <c r="P2064" s="26" t="s">
        <v>22</v>
      </c>
      <c r="Q2064" s="26">
        <v>800.0</v>
      </c>
    </row>
    <row r="2065" ht="17.25" customHeight="1">
      <c r="A2065" s="51">
        <v>46218.63515758102</v>
      </c>
      <c r="B2065" s="25" t="s">
        <v>1098</v>
      </c>
      <c r="C2065" s="55" t="s">
        <v>1892</v>
      </c>
      <c r="D2065" s="111">
        <v>46217.0</v>
      </c>
      <c r="E2065" s="52">
        <v>1100.0</v>
      </c>
      <c r="F2065" s="55" t="s">
        <v>2271</v>
      </c>
      <c r="G2065" s="55" t="s">
        <v>2135</v>
      </c>
      <c r="H2065" s="26"/>
      <c r="I2065" s="26" t="s">
        <v>1099</v>
      </c>
      <c r="J2065" s="26" t="s">
        <v>1225</v>
      </c>
      <c r="K2065" s="26" t="s">
        <v>1562</v>
      </c>
      <c r="L2065" s="26" t="s">
        <v>1584</v>
      </c>
      <c r="M2065" s="26" t="s">
        <v>1575</v>
      </c>
      <c r="N2065" s="26" t="s">
        <v>1566</v>
      </c>
      <c r="O2065" s="26" t="s">
        <v>1566</v>
      </c>
      <c r="P2065" s="26" t="s">
        <v>22</v>
      </c>
      <c r="Q2065" s="26">
        <v>6700.0</v>
      </c>
    </row>
    <row r="2066" ht="17.25" customHeight="1">
      <c r="A2066" s="51">
        <v>46218.63535357639</v>
      </c>
      <c r="B2066" s="25" t="s">
        <v>1098</v>
      </c>
      <c r="C2066" s="55" t="s">
        <v>1560</v>
      </c>
      <c r="D2066" s="111">
        <v>46217.0</v>
      </c>
      <c r="E2066" s="52">
        <v>600.0</v>
      </c>
      <c r="F2066" s="55" t="s">
        <v>2271</v>
      </c>
      <c r="G2066" s="26"/>
      <c r="H2066" s="55" t="s">
        <v>2379</v>
      </c>
      <c r="I2066" s="26" t="s">
        <v>1099</v>
      </c>
      <c r="J2066" s="26" t="s">
        <v>1225</v>
      </c>
      <c r="K2066" s="26" t="s">
        <v>1562</v>
      </c>
      <c r="L2066" s="26" t="s">
        <v>1584</v>
      </c>
      <c r="M2066" s="26" t="s">
        <v>1575</v>
      </c>
      <c r="N2066" s="26" t="s">
        <v>1566</v>
      </c>
      <c r="O2066" s="26" t="s">
        <v>1566</v>
      </c>
      <c r="P2066" s="26" t="s">
        <v>22</v>
      </c>
      <c r="Q2066" s="26">
        <v>6700.0</v>
      </c>
    </row>
    <row r="2067" ht="17.25" customHeight="1">
      <c r="A2067" s="51">
        <v>46218.6368530787</v>
      </c>
      <c r="B2067" s="27" t="s">
        <v>854</v>
      </c>
      <c r="C2067" s="55" t="s">
        <v>1560</v>
      </c>
      <c r="D2067" s="111">
        <v>46217.0</v>
      </c>
      <c r="E2067" s="52">
        <v>300.0</v>
      </c>
      <c r="F2067" s="55" t="s">
        <v>2271</v>
      </c>
      <c r="G2067" s="26"/>
      <c r="H2067" s="55" t="s">
        <v>2380</v>
      </c>
      <c r="I2067" s="26" t="s">
        <v>855</v>
      </c>
      <c r="J2067" s="26" t="s">
        <v>1225</v>
      </c>
      <c r="K2067" s="26" t="s">
        <v>1562</v>
      </c>
      <c r="L2067" s="26" t="s">
        <v>1633</v>
      </c>
      <c r="M2067" s="26" t="s">
        <v>1572</v>
      </c>
      <c r="N2067" s="26" t="s">
        <v>1566</v>
      </c>
      <c r="O2067" s="26" t="s">
        <v>1566</v>
      </c>
      <c r="P2067" s="26" t="s">
        <v>22</v>
      </c>
      <c r="Q2067" s="26">
        <v>1200.0</v>
      </c>
    </row>
    <row r="2068" ht="17.25" customHeight="1">
      <c r="A2068" s="51">
        <v>46218.77421909722</v>
      </c>
      <c r="B2068" s="25" t="s">
        <v>1272</v>
      </c>
      <c r="C2068" s="55" t="s">
        <v>1892</v>
      </c>
      <c r="D2068" s="111">
        <v>46216.0</v>
      </c>
      <c r="E2068" s="52">
        <v>1300.0</v>
      </c>
      <c r="F2068" s="55" t="s">
        <v>1561</v>
      </c>
      <c r="G2068" s="55">
        <v>976.0</v>
      </c>
      <c r="H2068" s="2" t="s">
        <v>2381</v>
      </c>
      <c r="I2068" s="26" t="s">
        <v>1273</v>
      </c>
      <c r="J2068" s="26" t="s">
        <v>1225</v>
      </c>
      <c r="K2068" s="26" t="s">
        <v>1562</v>
      </c>
      <c r="L2068" s="26" t="s">
        <v>2182</v>
      </c>
      <c r="M2068" s="26" t="s">
        <v>1607</v>
      </c>
      <c r="N2068" s="26" t="s">
        <v>1566</v>
      </c>
      <c r="O2068" s="26" t="s">
        <v>1566</v>
      </c>
      <c r="P2068" s="26" t="s">
        <v>22</v>
      </c>
      <c r="Q2068" s="26">
        <v>3887.0</v>
      </c>
    </row>
    <row r="2069" ht="17.25" customHeight="1">
      <c r="A2069" s="51">
        <v>46218.77452826389</v>
      </c>
      <c r="B2069" s="25" t="s">
        <v>1272</v>
      </c>
      <c r="C2069" s="55" t="s">
        <v>1892</v>
      </c>
      <c r="D2069" s="111">
        <v>46216.0</v>
      </c>
      <c r="E2069" s="52">
        <v>1300.0</v>
      </c>
      <c r="F2069" s="55" t="s">
        <v>1561</v>
      </c>
      <c r="G2069" s="55">
        <v>977.0</v>
      </c>
      <c r="H2069" s="55" t="s">
        <v>2382</v>
      </c>
      <c r="I2069" s="26" t="s">
        <v>1273</v>
      </c>
      <c r="J2069" s="26" t="s">
        <v>1225</v>
      </c>
      <c r="K2069" s="26" t="s">
        <v>1562</v>
      </c>
      <c r="L2069" s="26" t="s">
        <v>2182</v>
      </c>
      <c r="M2069" s="26" t="s">
        <v>1607</v>
      </c>
      <c r="N2069" s="26" t="s">
        <v>1566</v>
      </c>
      <c r="O2069" s="26" t="s">
        <v>1566</v>
      </c>
      <c r="P2069" s="26" t="s">
        <v>22</v>
      </c>
      <c r="Q2069" s="26">
        <v>3887.0</v>
      </c>
    </row>
    <row r="2070" ht="17.25" customHeight="1">
      <c r="A2070" s="51">
        <v>46218.77452731482</v>
      </c>
      <c r="B2070" s="25" t="s">
        <v>1272</v>
      </c>
      <c r="C2070" s="55" t="s">
        <v>1892</v>
      </c>
      <c r="D2070" s="111">
        <v>46216.0</v>
      </c>
      <c r="E2070" s="52">
        <v>1300.0</v>
      </c>
      <c r="F2070" s="55" t="s">
        <v>1561</v>
      </c>
      <c r="G2070" s="55">
        <v>978.0</v>
      </c>
      <c r="H2070" s="55" t="s">
        <v>2383</v>
      </c>
      <c r="I2070" s="26" t="s">
        <v>1273</v>
      </c>
      <c r="J2070" s="26" t="s">
        <v>1225</v>
      </c>
      <c r="K2070" s="26" t="s">
        <v>1562</v>
      </c>
      <c r="L2070" s="26" t="s">
        <v>2182</v>
      </c>
      <c r="M2070" s="26" t="s">
        <v>1607</v>
      </c>
      <c r="N2070" s="26" t="s">
        <v>1566</v>
      </c>
      <c r="O2070" s="26" t="s">
        <v>1566</v>
      </c>
      <c r="P2070" s="26" t="s">
        <v>22</v>
      </c>
      <c r="Q2070" s="26">
        <v>3887.0</v>
      </c>
    </row>
    <row r="2071" ht="17.25" customHeight="1">
      <c r="A2071" s="51">
        <v>46218.77545556713</v>
      </c>
      <c r="B2071" s="25" t="s">
        <v>1272</v>
      </c>
      <c r="C2071" s="55" t="s">
        <v>1892</v>
      </c>
      <c r="D2071" s="111">
        <v>46216.0</v>
      </c>
      <c r="E2071" s="52">
        <v>1300.0</v>
      </c>
      <c r="F2071" s="55" t="s">
        <v>1561</v>
      </c>
      <c r="G2071" s="55">
        <v>979.0</v>
      </c>
      <c r="H2071" s="55" t="s">
        <v>2384</v>
      </c>
      <c r="I2071" s="26" t="s">
        <v>1273</v>
      </c>
      <c r="J2071" s="26" t="s">
        <v>1225</v>
      </c>
      <c r="K2071" s="26" t="s">
        <v>1562</v>
      </c>
      <c r="L2071" s="26" t="s">
        <v>2182</v>
      </c>
      <c r="M2071" s="26" t="s">
        <v>1607</v>
      </c>
      <c r="N2071" s="26" t="s">
        <v>1566</v>
      </c>
      <c r="O2071" s="26" t="s">
        <v>1566</v>
      </c>
      <c r="P2071" s="26" t="s">
        <v>22</v>
      </c>
      <c r="Q2071" s="26">
        <v>3887.0</v>
      </c>
    </row>
    <row r="2072" ht="17.25" customHeight="1">
      <c r="A2072" s="51">
        <v>46218.77693475694</v>
      </c>
      <c r="B2072" s="27" t="s">
        <v>854</v>
      </c>
      <c r="C2072" s="55" t="s">
        <v>1892</v>
      </c>
      <c r="D2072" s="111">
        <v>46216.0</v>
      </c>
      <c r="E2072" s="52">
        <v>300.0</v>
      </c>
      <c r="F2072" s="55" t="s">
        <v>1561</v>
      </c>
      <c r="G2072" s="55">
        <v>980.0</v>
      </c>
      <c r="H2072" s="55" t="s">
        <v>2385</v>
      </c>
      <c r="I2072" s="26" t="s">
        <v>855</v>
      </c>
      <c r="J2072" s="26" t="s">
        <v>1225</v>
      </c>
      <c r="K2072" s="26" t="s">
        <v>1562</v>
      </c>
      <c r="L2072" s="26" t="s">
        <v>1633</v>
      </c>
      <c r="M2072" s="26" t="s">
        <v>1572</v>
      </c>
      <c r="N2072" s="26" t="s">
        <v>1566</v>
      </c>
      <c r="O2072" s="26" t="s">
        <v>1566</v>
      </c>
      <c r="P2072" s="26" t="s">
        <v>22</v>
      </c>
      <c r="Q2072" s="26">
        <v>1200.0</v>
      </c>
    </row>
    <row r="2073" ht="17.25" customHeight="1">
      <c r="A2073" s="51">
        <v>46218.778158622685</v>
      </c>
      <c r="B2073" s="25" t="s">
        <v>87</v>
      </c>
      <c r="C2073" s="55" t="s">
        <v>1892</v>
      </c>
      <c r="D2073" s="111">
        <v>46217.0</v>
      </c>
      <c r="E2073" s="52">
        <v>2000.0</v>
      </c>
      <c r="F2073" s="55" t="s">
        <v>1561</v>
      </c>
      <c r="G2073" s="55">
        <v>981.0</v>
      </c>
      <c r="H2073" s="55" t="s">
        <v>2386</v>
      </c>
      <c r="I2073" s="26" t="s">
        <v>88</v>
      </c>
      <c r="J2073" s="26" t="s">
        <v>1225</v>
      </c>
      <c r="K2073" s="26" t="s">
        <v>1562</v>
      </c>
      <c r="L2073" s="26" t="s">
        <v>1633</v>
      </c>
      <c r="M2073" s="26" t="s">
        <v>1575</v>
      </c>
      <c r="N2073" s="26" t="s">
        <v>1590</v>
      </c>
      <c r="O2073" s="26" t="s">
        <v>2160</v>
      </c>
      <c r="P2073" s="26" t="s">
        <v>22</v>
      </c>
      <c r="Q2073" s="26">
        <v>800.0</v>
      </c>
    </row>
    <row r="2074" ht="17.25" customHeight="1">
      <c r="A2074" s="51">
        <v>46218.779065532406</v>
      </c>
      <c r="B2074" s="25" t="s">
        <v>104</v>
      </c>
      <c r="C2074" s="55" t="s">
        <v>1892</v>
      </c>
      <c r="D2074" s="111">
        <v>46217.0</v>
      </c>
      <c r="E2074" s="52">
        <v>400.0</v>
      </c>
      <c r="F2074" s="55" t="s">
        <v>1561</v>
      </c>
      <c r="G2074" s="55">
        <v>982.0</v>
      </c>
      <c r="H2074" s="55" t="s">
        <v>2387</v>
      </c>
      <c r="I2074" s="26" t="s">
        <v>106</v>
      </c>
      <c r="J2074" s="26" t="s">
        <v>1225</v>
      </c>
      <c r="K2074" s="26" t="s">
        <v>1562</v>
      </c>
      <c r="L2074" s="26" t="s">
        <v>1582</v>
      </c>
      <c r="M2074" s="26" t="s">
        <v>1607</v>
      </c>
      <c r="N2074" s="26" t="s">
        <v>1571</v>
      </c>
      <c r="O2074" s="26" t="s">
        <v>1566</v>
      </c>
      <c r="P2074" s="26" t="s">
        <v>22</v>
      </c>
      <c r="Q2074" s="26">
        <v>1000.0</v>
      </c>
    </row>
    <row r="2075" ht="17.25" customHeight="1">
      <c r="A2075" s="51">
        <v>46218.780073125</v>
      </c>
      <c r="B2075" s="27" t="s">
        <v>854</v>
      </c>
      <c r="C2075" s="55" t="s">
        <v>1892</v>
      </c>
      <c r="D2075" s="111">
        <v>46217.0</v>
      </c>
      <c r="E2075" s="52">
        <v>600.0</v>
      </c>
      <c r="F2075" s="55" t="s">
        <v>1561</v>
      </c>
      <c r="G2075" s="55">
        <v>984.0</v>
      </c>
      <c r="H2075" s="55" t="s">
        <v>2388</v>
      </c>
      <c r="I2075" s="26" t="s">
        <v>855</v>
      </c>
      <c r="J2075" s="26" t="s">
        <v>1225</v>
      </c>
      <c r="K2075" s="26" t="s">
        <v>1562</v>
      </c>
      <c r="L2075" s="26" t="s">
        <v>1633</v>
      </c>
      <c r="M2075" s="26" t="s">
        <v>1572</v>
      </c>
      <c r="N2075" s="26" t="s">
        <v>1566</v>
      </c>
      <c r="O2075" s="26" t="s">
        <v>1566</v>
      </c>
      <c r="P2075" s="26" t="s">
        <v>22</v>
      </c>
      <c r="Q2075" s="26">
        <v>1200.0</v>
      </c>
    </row>
    <row r="2076" ht="17.25" customHeight="1">
      <c r="A2076" s="51">
        <v>46218.78057841436</v>
      </c>
      <c r="B2076" s="25" t="s">
        <v>1253</v>
      </c>
      <c r="C2076" s="55" t="s">
        <v>1892</v>
      </c>
      <c r="D2076" s="111">
        <v>46217.0</v>
      </c>
      <c r="E2076" s="52">
        <v>936.0</v>
      </c>
      <c r="F2076" s="55" t="s">
        <v>1561</v>
      </c>
      <c r="G2076" s="55">
        <v>985.0</v>
      </c>
      <c r="H2076" s="55" t="s">
        <v>2389</v>
      </c>
      <c r="I2076" s="26" t="s">
        <v>1254</v>
      </c>
      <c r="J2076" s="26" t="s">
        <v>1225</v>
      </c>
      <c r="K2076" s="26" t="s">
        <v>1653</v>
      </c>
      <c r="L2076" s="26" t="s">
        <v>1582</v>
      </c>
      <c r="M2076" s="26" t="s">
        <v>1572</v>
      </c>
      <c r="N2076" s="26" t="s">
        <v>1566</v>
      </c>
      <c r="O2076" s="26" t="s">
        <v>1654</v>
      </c>
      <c r="P2076" s="26" t="s">
        <v>22</v>
      </c>
      <c r="Q2076" s="26">
        <v>792.0</v>
      </c>
    </row>
    <row r="2077" ht="17.25" customHeight="1">
      <c r="A2077" s="51">
        <v>46218.78125244213</v>
      </c>
      <c r="B2077" s="25" t="s">
        <v>942</v>
      </c>
      <c r="C2077" s="55" t="s">
        <v>1892</v>
      </c>
      <c r="D2077" s="111">
        <v>46217.0</v>
      </c>
      <c r="E2077" s="52">
        <v>1000.0</v>
      </c>
      <c r="F2077" s="55" t="s">
        <v>1561</v>
      </c>
      <c r="G2077" s="55">
        <v>988.0</v>
      </c>
      <c r="H2077" s="55" t="s">
        <v>2390</v>
      </c>
      <c r="I2077" s="26" t="s">
        <v>943</v>
      </c>
      <c r="J2077" s="26" t="s">
        <v>1225</v>
      </c>
      <c r="K2077" s="26" t="s">
        <v>1562</v>
      </c>
      <c r="L2077" s="26" t="s">
        <v>1591</v>
      </c>
      <c r="M2077" s="26" t="s">
        <v>1575</v>
      </c>
      <c r="N2077" s="26" t="s">
        <v>1566</v>
      </c>
      <c r="O2077" s="26" t="s">
        <v>1566</v>
      </c>
      <c r="P2077" s="26" t="s">
        <v>22</v>
      </c>
      <c r="Q2077" s="26">
        <v>900.0</v>
      </c>
    </row>
    <row r="2078" ht="17.25" customHeight="1">
      <c r="A2078" s="51">
        <v>46218.78181375</v>
      </c>
      <c r="B2078" s="25" t="s">
        <v>79</v>
      </c>
      <c r="C2078" s="55" t="s">
        <v>1892</v>
      </c>
      <c r="D2078" s="111">
        <v>46218.0</v>
      </c>
      <c r="E2078" s="52">
        <v>1200.0</v>
      </c>
      <c r="F2078" s="55" t="s">
        <v>1561</v>
      </c>
      <c r="G2078" s="55">
        <v>989.0</v>
      </c>
      <c r="H2078" s="55" t="s">
        <v>2391</v>
      </c>
      <c r="I2078" s="26" t="s">
        <v>80</v>
      </c>
      <c r="J2078" s="26" t="s">
        <v>1225</v>
      </c>
      <c r="K2078" s="26" t="s">
        <v>1562</v>
      </c>
      <c r="L2078" s="26" t="s">
        <v>1563</v>
      </c>
      <c r="M2078" s="26" t="s">
        <v>1575</v>
      </c>
      <c r="N2078" s="26" t="s">
        <v>1566</v>
      </c>
      <c r="O2078" s="26" t="s">
        <v>1566</v>
      </c>
      <c r="P2078" s="26" t="s">
        <v>22</v>
      </c>
      <c r="Q2078" s="26">
        <v>700.0</v>
      </c>
    </row>
    <row r="2079" ht="17.25" customHeight="1">
      <c r="A2079" s="51">
        <v>46220.714841504625</v>
      </c>
      <c r="B2079" s="25" t="s">
        <v>287</v>
      </c>
      <c r="C2079" s="55" t="s">
        <v>1560</v>
      </c>
      <c r="D2079" s="51">
        <v>46220.714841504625</v>
      </c>
      <c r="E2079" s="52">
        <v>12.0</v>
      </c>
      <c r="F2079" s="55" t="s">
        <v>1673</v>
      </c>
      <c r="G2079" s="26"/>
      <c r="H2079" s="26"/>
      <c r="I2079" s="26" t="s">
        <v>288</v>
      </c>
      <c r="J2079" s="26" t="s">
        <v>1674</v>
      </c>
      <c r="K2079" s="26" t="s">
        <v>1675</v>
      </c>
      <c r="L2079" s="26" t="s">
        <v>1566</v>
      </c>
      <c r="M2079" s="26" t="s">
        <v>1566</v>
      </c>
      <c r="N2079" s="26" t="s">
        <v>1676</v>
      </c>
      <c r="O2079" s="26" t="s">
        <v>1677</v>
      </c>
      <c r="P2079" s="26" t="s">
        <v>290</v>
      </c>
      <c r="Q2079" s="26">
        <v>16.0</v>
      </c>
    </row>
    <row r="2080" ht="17.25" customHeight="1">
      <c r="A2080" s="51">
        <v>46220.71499420139</v>
      </c>
      <c r="B2080" s="25" t="s">
        <v>297</v>
      </c>
      <c r="C2080" s="55" t="s">
        <v>1560</v>
      </c>
      <c r="D2080" s="51">
        <v>46220.714841504625</v>
      </c>
      <c r="E2080" s="52">
        <v>12.0</v>
      </c>
      <c r="F2080" s="55" t="s">
        <v>1673</v>
      </c>
      <c r="G2080" s="26"/>
      <c r="H2080" s="26"/>
      <c r="I2080" s="26" t="s">
        <v>298</v>
      </c>
      <c r="J2080" s="26" t="s">
        <v>1674</v>
      </c>
      <c r="K2080" s="26" t="s">
        <v>1675</v>
      </c>
      <c r="L2080" s="26" t="s">
        <v>1566</v>
      </c>
      <c r="M2080" s="26" t="s">
        <v>1566</v>
      </c>
      <c r="N2080" s="26" t="s">
        <v>1680</v>
      </c>
      <c r="O2080" s="26" t="s">
        <v>1677</v>
      </c>
      <c r="P2080" s="26" t="s">
        <v>290</v>
      </c>
      <c r="Q2080" s="26">
        <v>10.0</v>
      </c>
    </row>
    <row r="2081" ht="17.25" customHeight="1">
      <c r="A2081" s="51">
        <v>46220.71499420139</v>
      </c>
      <c r="B2081" s="25" t="s">
        <v>297</v>
      </c>
      <c r="C2081" s="55" t="s">
        <v>1892</v>
      </c>
      <c r="D2081" s="51">
        <v>46220.714841504625</v>
      </c>
      <c r="E2081" s="52">
        <v>2.0</v>
      </c>
      <c r="F2081" s="55" t="s">
        <v>2124</v>
      </c>
      <c r="G2081" s="26"/>
      <c r="H2081" s="26"/>
      <c r="I2081" s="26" t="s">
        <v>298</v>
      </c>
      <c r="J2081" s="26" t="s">
        <v>1674</v>
      </c>
      <c r="K2081" s="26" t="s">
        <v>1675</v>
      </c>
      <c r="L2081" s="26" t="s">
        <v>1566</v>
      </c>
      <c r="M2081" s="26" t="s">
        <v>1566</v>
      </c>
      <c r="N2081" s="26" t="s">
        <v>1680</v>
      </c>
      <c r="O2081" s="26" t="s">
        <v>1677</v>
      </c>
      <c r="P2081" s="26" t="s">
        <v>290</v>
      </c>
      <c r="Q2081" s="26">
        <v>10.0</v>
      </c>
    </row>
    <row r="2082" ht="17.25" customHeight="1">
      <c r="A2082" s="51">
        <v>46220.71499420139</v>
      </c>
      <c r="B2082" s="25" t="s">
        <v>304</v>
      </c>
      <c r="C2082" s="55" t="s">
        <v>1560</v>
      </c>
      <c r="D2082" s="51">
        <v>46220.714841504625</v>
      </c>
      <c r="E2082" s="52">
        <v>12.0</v>
      </c>
      <c r="F2082" s="55" t="s">
        <v>1673</v>
      </c>
      <c r="G2082" s="26"/>
      <c r="H2082" s="26"/>
      <c r="I2082" s="26" t="s">
        <v>306</v>
      </c>
      <c r="J2082" s="26" t="s">
        <v>1674</v>
      </c>
      <c r="K2082" s="26" t="s">
        <v>1675</v>
      </c>
      <c r="L2082" s="26" t="s">
        <v>1566</v>
      </c>
      <c r="M2082" s="26" t="s">
        <v>1566</v>
      </c>
      <c r="N2082" s="26" t="s">
        <v>1682</v>
      </c>
      <c r="O2082" s="26" t="s">
        <v>1677</v>
      </c>
      <c r="P2082" s="26" t="s">
        <v>290</v>
      </c>
      <c r="Q2082" s="26">
        <v>6.0</v>
      </c>
    </row>
    <row r="2083" ht="17.25" customHeight="1">
      <c r="A2083" s="51">
        <v>46237.54821458334</v>
      </c>
      <c r="B2083" s="25" t="s">
        <v>175</v>
      </c>
      <c r="C2083" s="55" t="s">
        <v>1560</v>
      </c>
      <c r="D2083" s="111">
        <v>46219.0</v>
      </c>
      <c r="E2083" s="52">
        <v>5000.0</v>
      </c>
      <c r="F2083" s="55" t="s">
        <v>2018</v>
      </c>
      <c r="H2083" s="55" t="s">
        <v>2392</v>
      </c>
      <c r="I2083" s="26" t="s">
        <v>176</v>
      </c>
      <c r="J2083" s="26" t="s">
        <v>1225</v>
      </c>
      <c r="K2083" s="26" t="s">
        <v>1562</v>
      </c>
      <c r="L2083" s="26" t="s">
        <v>1633</v>
      </c>
      <c r="M2083" s="26" t="s">
        <v>1634</v>
      </c>
      <c r="N2083" s="26" t="s">
        <v>1571</v>
      </c>
      <c r="O2083" s="26" t="s">
        <v>1566</v>
      </c>
      <c r="P2083" s="26" t="s">
        <v>22</v>
      </c>
      <c r="Q2083" s="26">
        <v>2100.0</v>
      </c>
    </row>
    <row r="2084" ht="17.25" customHeight="1">
      <c r="A2084" s="51">
        <v>46237.548898124995</v>
      </c>
      <c r="B2084" s="25" t="s">
        <v>87</v>
      </c>
      <c r="C2084" s="55" t="s">
        <v>1560</v>
      </c>
      <c r="D2084" s="111">
        <v>46219.0</v>
      </c>
      <c r="E2084" s="52">
        <v>2600.0</v>
      </c>
      <c r="F2084" s="55" t="s">
        <v>2018</v>
      </c>
      <c r="G2084" s="55" t="s">
        <v>2393</v>
      </c>
      <c r="H2084" s="26"/>
      <c r="I2084" s="26" t="s">
        <v>88</v>
      </c>
      <c r="J2084" s="26" t="s">
        <v>1225</v>
      </c>
      <c r="K2084" s="26" t="s">
        <v>1562</v>
      </c>
      <c r="L2084" s="26" t="s">
        <v>1633</v>
      </c>
      <c r="M2084" s="26" t="s">
        <v>1575</v>
      </c>
      <c r="N2084" s="26" t="s">
        <v>1590</v>
      </c>
      <c r="O2084" s="26" t="s">
        <v>2160</v>
      </c>
      <c r="P2084" s="26" t="s">
        <v>22</v>
      </c>
      <c r="Q2084" s="26">
        <v>800.0</v>
      </c>
    </row>
    <row r="2085" ht="17.25" customHeight="1">
      <c r="A2085" s="51">
        <v>46237.650628877316</v>
      </c>
      <c r="B2085" s="55" t="s">
        <v>70</v>
      </c>
      <c r="C2085" s="55" t="s">
        <v>1560</v>
      </c>
      <c r="D2085" s="240">
        <v>46237.0</v>
      </c>
      <c r="E2085" s="52">
        <v>600.0</v>
      </c>
      <c r="F2085" s="55" t="s">
        <v>2394</v>
      </c>
      <c r="G2085" s="55" t="s">
        <v>2395</v>
      </c>
      <c r="H2085" s="55" t="s">
        <v>73</v>
      </c>
      <c r="I2085" s="26" t="s">
        <v>71</v>
      </c>
      <c r="J2085" s="26" t="s">
        <v>1225</v>
      </c>
      <c r="K2085" s="26" t="s">
        <v>1562</v>
      </c>
      <c r="L2085" s="26" t="s">
        <v>1591</v>
      </c>
      <c r="M2085" s="26" t="s">
        <v>2172</v>
      </c>
      <c r="N2085" s="26" t="s">
        <v>1566</v>
      </c>
      <c r="O2085" s="26" t="s">
        <v>1571</v>
      </c>
      <c r="P2085" s="26" t="s">
        <v>22</v>
      </c>
      <c r="Q2085" s="26">
        <v>0.0</v>
      </c>
    </row>
    <row r="2086" ht="17.25" customHeight="1">
      <c r="A2086" s="51">
        <v>46237.65063900463</v>
      </c>
      <c r="B2086" s="55" t="s">
        <v>87</v>
      </c>
      <c r="C2086" s="55" t="s">
        <v>1560</v>
      </c>
      <c r="D2086" s="240">
        <v>46237.0</v>
      </c>
      <c r="E2086" s="52">
        <v>500.0</v>
      </c>
      <c r="F2086" s="55" t="s">
        <v>2394</v>
      </c>
      <c r="G2086" s="55" t="s">
        <v>2395</v>
      </c>
      <c r="H2086" s="55" t="s">
        <v>90</v>
      </c>
      <c r="I2086" s="26" t="s">
        <v>88</v>
      </c>
      <c r="J2086" s="26" t="s">
        <v>1225</v>
      </c>
      <c r="K2086" s="26" t="s">
        <v>1562</v>
      </c>
      <c r="L2086" s="26" t="s">
        <v>1633</v>
      </c>
      <c r="M2086" s="26" t="s">
        <v>1575</v>
      </c>
      <c r="N2086" s="26" t="s">
        <v>1590</v>
      </c>
      <c r="O2086" s="26" t="s">
        <v>2160</v>
      </c>
      <c r="P2086" s="26" t="s">
        <v>22</v>
      </c>
      <c r="Q2086" s="26">
        <v>800.0</v>
      </c>
    </row>
    <row r="2087" ht="17.25" customHeight="1">
      <c r="A2087" s="51">
        <v>46237.65064730324</v>
      </c>
      <c r="B2087" s="55" t="s">
        <v>79</v>
      </c>
      <c r="C2087" s="55" t="s">
        <v>1560</v>
      </c>
      <c r="D2087" s="240">
        <v>46237.0</v>
      </c>
      <c r="E2087" s="52">
        <v>1900.0</v>
      </c>
      <c r="F2087" s="55" t="s">
        <v>2394</v>
      </c>
      <c r="G2087" s="55" t="s">
        <v>2395</v>
      </c>
      <c r="H2087" s="55" t="s">
        <v>81</v>
      </c>
      <c r="I2087" s="26" t="s">
        <v>80</v>
      </c>
      <c r="J2087" s="26" t="s">
        <v>1225</v>
      </c>
      <c r="K2087" s="26" t="s">
        <v>1562</v>
      </c>
      <c r="L2087" s="26" t="s">
        <v>1563</v>
      </c>
      <c r="M2087" s="26" t="s">
        <v>1575</v>
      </c>
      <c r="N2087" s="26" t="s">
        <v>1566</v>
      </c>
      <c r="O2087" s="26" t="s">
        <v>1566</v>
      </c>
      <c r="P2087" s="26" t="s">
        <v>22</v>
      </c>
      <c r="Q2087" s="26">
        <v>700.0</v>
      </c>
    </row>
    <row r="2088" ht="17.25" customHeight="1">
      <c r="A2088" s="51">
        <v>46237.65067239583</v>
      </c>
      <c r="B2088" s="55" t="s">
        <v>95</v>
      </c>
      <c r="C2088" s="55" t="s">
        <v>1560</v>
      </c>
      <c r="D2088" s="240">
        <v>46237.0</v>
      </c>
      <c r="E2088" s="52">
        <v>500.0</v>
      </c>
      <c r="F2088" s="55" t="s">
        <v>2394</v>
      </c>
      <c r="G2088" s="55" t="s">
        <v>2395</v>
      </c>
      <c r="H2088" s="55" t="s">
        <v>100</v>
      </c>
      <c r="I2088" s="26" t="s">
        <v>97</v>
      </c>
      <c r="J2088" s="26" t="s">
        <v>1225</v>
      </c>
      <c r="K2088" s="26" t="s">
        <v>1562</v>
      </c>
      <c r="L2088" s="26" t="s">
        <v>1582</v>
      </c>
      <c r="M2088" s="26" t="s">
        <v>1564</v>
      </c>
      <c r="N2088" s="26" t="s">
        <v>1566</v>
      </c>
      <c r="O2088" s="26" t="s">
        <v>1566</v>
      </c>
      <c r="P2088" s="26" t="s">
        <v>22</v>
      </c>
      <c r="Q2088" s="26">
        <v>500.0</v>
      </c>
    </row>
    <row r="2089" ht="17.25" customHeight="1">
      <c r="A2089" s="51">
        <v>46237.680360196755</v>
      </c>
      <c r="B2089" s="25" t="s">
        <v>79</v>
      </c>
      <c r="C2089" s="55" t="s">
        <v>1560</v>
      </c>
      <c r="D2089" s="51">
        <v>46220.714841504625</v>
      </c>
      <c r="E2089" s="52">
        <v>1200.0</v>
      </c>
      <c r="F2089" s="55" t="s">
        <v>2018</v>
      </c>
      <c r="H2089" s="55" t="s">
        <v>2396</v>
      </c>
      <c r="I2089" s="26" t="s">
        <v>80</v>
      </c>
      <c r="J2089" s="26" t="s">
        <v>1225</v>
      </c>
      <c r="K2089" s="26" t="s">
        <v>1562</v>
      </c>
      <c r="L2089" s="26" t="s">
        <v>1563</v>
      </c>
      <c r="M2089" s="26" t="s">
        <v>1575</v>
      </c>
      <c r="N2089" s="26" t="s">
        <v>1566</v>
      </c>
      <c r="O2089" s="26" t="s">
        <v>1566</v>
      </c>
      <c r="P2089" s="26" t="s">
        <v>22</v>
      </c>
      <c r="Q2089" s="26">
        <v>700.0</v>
      </c>
    </row>
    <row r="2090" ht="17.25" customHeight="1">
      <c r="A2090" s="51">
        <v>46237.736475150465</v>
      </c>
      <c r="B2090" s="26" t="s">
        <v>223</v>
      </c>
      <c r="C2090" s="55" t="s">
        <v>1560</v>
      </c>
      <c r="D2090" s="51">
        <v>46220.714841504625</v>
      </c>
      <c r="E2090" s="52">
        <v>300.0</v>
      </c>
      <c r="F2090" s="55" t="s">
        <v>2018</v>
      </c>
      <c r="H2090" s="55" t="s">
        <v>2397</v>
      </c>
      <c r="I2090" s="26" t="s">
        <v>224</v>
      </c>
      <c r="J2090" s="26" t="s">
        <v>1225</v>
      </c>
      <c r="K2090" s="26" t="s">
        <v>1562</v>
      </c>
      <c r="L2090" s="26" t="s">
        <v>1633</v>
      </c>
      <c r="M2090" s="26" t="s">
        <v>2172</v>
      </c>
      <c r="N2090" s="26" t="s">
        <v>1590</v>
      </c>
      <c r="O2090" s="26" t="s">
        <v>1590</v>
      </c>
      <c r="P2090" s="26" t="s">
        <v>22</v>
      </c>
      <c r="Q2090" s="26">
        <v>300.0</v>
      </c>
    </row>
    <row r="2091" ht="17.25" customHeight="1">
      <c r="A2091" s="51">
        <v>46238.43764722222</v>
      </c>
      <c r="B2091" s="25" t="s">
        <v>622</v>
      </c>
      <c r="C2091" s="55" t="s">
        <v>1892</v>
      </c>
      <c r="D2091" s="240">
        <v>46231.0</v>
      </c>
      <c r="E2091" s="52">
        <v>20.0</v>
      </c>
      <c r="F2091" s="55" t="s">
        <v>2124</v>
      </c>
      <c r="G2091" s="55"/>
      <c r="H2091" s="55"/>
      <c r="I2091" s="26" t="s">
        <v>623</v>
      </c>
      <c r="J2091" s="26" t="s">
        <v>1812</v>
      </c>
      <c r="K2091" s="26" t="s">
        <v>1815</v>
      </c>
      <c r="L2091" s="26" t="s">
        <v>1566</v>
      </c>
      <c r="M2091" s="26" t="s">
        <v>1566</v>
      </c>
      <c r="N2091" s="26" t="s">
        <v>1566</v>
      </c>
      <c r="O2091" s="26" t="s">
        <v>1817</v>
      </c>
      <c r="P2091" s="26" t="s">
        <v>616</v>
      </c>
      <c r="Q2091" s="26">
        <v>20.0</v>
      </c>
    </row>
    <row r="2092" ht="17.25" customHeight="1">
      <c r="A2092" s="51">
        <v>46239.43956423611</v>
      </c>
      <c r="B2092" s="27" t="s">
        <v>1770</v>
      </c>
      <c r="C2092" s="55" t="s">
        <v>1560</v>
      </c>
      <c r="D2092" s="240">
        <v>46220.0</v>
      </c>
      <c r="E2092" s="52">
        <v>10500.0</v>
      </c>
      <c r="F2092" s="55" t="s">
        <v>2018</v>
      </c>
      <c r="G2092" s="55"/>
      <c r="H2092" s="55" t="s">
        <v>2398</v>
      </c>
      <c r="I2092" s="26" t="s">
        <v>1771</v>
      </c>
      <c r="J2092" s="26" t="s">
        <v>1225</v>
      </c>
      <c r="K2092" s="26" t="s">
        <v>1562</v>
      </c>
      <c r="L2092" s="26" t="s">
        <v>1576</v>
      </c>
      <c r="M2092" s="26" t="s">
        <v>1597</v>
      </c>
      <c r="N2092" s="26" t="s">
        <v>1590</v>
      </c>
      <c r="O2092" s="26" t="s">
        <v>1590</v>
      </c>
      <c r="P2092" s="26" t="s">
        <v>22</v>
      </c>
      <c r="Q2092" s="26">
        <v>10500.0</v>
      </c>
    </row>
    <row r="2093" ht="17.25" customHeight="1">
      <c r="A2093" s="51">
        <v>46239.440769583336</v>
      </c>
      <c r="B2093" s="26" t="s">
        <v>1773</v>
      </c>
      <c r="C2093" s="55" t="s">
        <v>1560</v>
      </c>
      <c r="D2093" s="240">
        <v>46220.0</v>
      </c>
      <c r="E2093" s="52">
        <v>8000.0</v>
      </c>
      <c r="F2093" s="55" t="s">
        <v>2018</v>
      </c>
      <c r="G2093" s="55"/>
      <c r="H2093" s="55" t="s">
        <v>2399</v>
      </c>
      <c r="I2093" s="26" t="s">
        <v>1774</v>
      </c>
      <c r="J2093" s="26" t="s">
        <v>1225</v>
      </c>
      <c r="K2093" s="26" t="s">
        <v>1562</v>
      </c>
      <c r="L2093" s="26" t="s">
        <v>1576</v>
      </c>
      <c r="M2093" s="26" t="s">
        <v>1574</v>
      </c>
      <c r="N2093" s="26" t="s">
        <v>1590</v>
      </c>
      <c r="O2093" s="26" t="s">
        <v>1590</v>
      </c>
      <c r="P2093" s="26" t="s">
        <v>22</v>
      </c>
      <c r="Q2093" s="26">
        <v>8000.0</v>
      </c>
    </row>
    <row r="2094" ht="17.25" customHeight="1">
      <c r="A2094" s="51">
        <v>46239.44144811343</v>
      </c>
      <c r="B2094" s="25" t="s">
        <v>1104</v>
      </c>
      <c r="C2094" s="55" t="s">
        <v>1560</v>
      </c>
      <c r="D2094" s="240">
        <v>46220.0</v>
      </c>
      <c r="E2094" s="52">
        <v>600.0</v>
      </c>
      <c r="F2094" s="55" t="s">
        <v>2018</v>
      </c>
      <c r="G2094" s="55"/>
      <c r="H2094" s="55" t="s">
        <v>2400</v>
      </c>
      <c r="I2094" s="26" t="s">
        <v>1106</v>
      </c>
      <c r="J2094" s="26" t="s">
        <v>1225</v>
      </c>
      <c r="K2094" s="26" t="s">
        <v>1562</v>
      </c>
      <c r="L2094" s="26" t="s">
        <v>1591</v>
      </c>
      <c r="M2094" s="26" t="s">
        <v>1574</v>
      </c>
      <c r="N2094" s="26" t="s">
        <v>1566</v>
      </c>
      <c r="O2094" s="26" t="s">
        <v>1566</v>
      </c>
      <c r="P2094" s="26" t="s">
        <v>22</v>
      </c>
      <c r="Q2094" s="26">
        <v>0.0</v>
      </c>
    </row>
    <row r="2095" ht="17.25" customHeight="1">
      <c r="A2095" s="51">
        <v>46239.442053182865</v>
      </c>
      <c r="B2095" s="25" t="s">
        <v>147</v>
      </c>
      <c r="C2095" s="55" t="s">
        <v>1560</v>
      </c>
      <c r="D2095" s="240">
        <v>46219.0</v>
      </c>
      <c r="E2095" s="52">
        <v>1000.0</v>
      </c>
      <c r="F2095" s="55" t="s">
        <v>2018</v>
      </c>
      <c r="G2095" s="55"/>
      <c r="H2095" s="55" t="s">
        <v>2401</v>
      </c>
      <c r="I2095" s="26" t="s">
        <v>148</v>
      </c>
      <c r="J2095" s="26" t="s">
        <v>1225</v>
      </c>
      <c r="K2095" s="26" t="s">
        <v>1562</v>
      </c>
      <c r="L2095" s="26" t="s">
        <v>1633</v>
      </c>
      <c r="M2095" s="26" t="s">
        <v>1574</v>
      </c>
      <c r="N2095" s="26" t="s">
        <v>1566</v>
      </c>
      <c r="O2095" s="26" t="s">
        <v>1566</v>
      </c>
      <c r="P2095" s="26" t="s">
        <v>22</v>
      </c>
      <c r="Q2095" s="26">
        <v>0.0</v>
      </c>
    </row>
    <row r="2096" ht="17.25" customHeight="1">
      <c r="A2096" s="51">
        <v>46239.44237266204</v>
      </c>
      <c r="B2096" s="25" t="s">
        <v>1104</v>
      </c>
      <c r="C2096" s="55" t="s">
        <v>1560</v>
      </c>
      <c r="D2096" s="240">
        <v>46219.0</v>
      </c>
      <c r="E2096" s="52">
        <v>700.0</v>
      </c>
      <c r="F2096" s="55" t="s">
        <v>2018</v>
      </c>
      <c r="G2096" s="55"/>
      <c r="H2096" s="55" t="s">
        <v>2400</v>
      </c>
      <c r="I2096" s="26" t="s">
        <v>1106</v>
      </c>
      <c r="J2096" s="26" t="s">
        <v>1225</v>
      </c>
      <c r="K2096" s="26" t="s">
        <v>1562</v>
      </c>
      <c r="L2096" s="26" t="s">
        <v>1591</v>
      </c>
      <c r="M2096" s="26" t="s">
        <v>1574</v>
      </c>
      <c r="N2096" s="26" t="s">
        <v>1566</v>
      </c>
      <c r="O2096" s="26" t="s">
        <v>1566</v>
      </c>
      <c r="P2096" s="26" t="s">
        <v>22</v>
      </c>
      <c r="Q2096" s="26">
        <v>0.0</v>
      </c>
    </row>
    <row r="2097" ht="17.25" customHeight="1">
      <c r="A2097" s="51">
        <v>46239.443028298614</v>
      </c>
      <c r="B2097" s="25" t="s">
        <v>79</v>
      </c>
      <c r="C2097" s="55" t="s">
        <v>1560</v>
      </c>
      <c r="D2097" s="240">
        <v>46221.0</v>
      </c>
      <c r="E2097" s="52">
        <v>2000.0</v>
      </c>
      <c r="F2097" s="55" t="s">
        <v>2018</v>
      </c>
      <c r="H2097" s="55" t="s">
        <v>2402</v>
      </c>
      <c r="I2097" s="26" t="s">
        <v>80</v>
      </c>
      <c r="J2097" s="26" t="s">
        <v>1225</v>
      </c>
      <c r="K2097" s="26" t="s">
        <v>1562</v>
      </c>
      <c r="L2097" s="26" t="s">
        <v>1563</v>
      </c>
      <c r="M2097" s="26" t="s">
        <v>1575</v>
      </c>
      <c r="N2097" s="26" t="s">
        <v>1566</v>
      </c>
      <c r="O2097" s="26" t="s">
        <v>1566</v>
      </c>
      <c r="P2097" s="26" t="s">
        <v>22</v>
      </c>
      <c r="Q2097" s="26">
        <v>700.0</v>
      </c>
    </row>
    <row r="2098" ht="17.25" customHeight="1">
      <c r="A2098" s="51">
        <v>46239.443524490736</v>
      </c>
      <c r="B2098" s="25" t="s">
        <v>33</v>
      </c>
      <c r="C2098" s="55" t="s">
        <v>1560</v>
      </c>
      <c r="D2098" s="240">
        <v>46221.0</v>
      </c>
      <c r="E2098" s="52">
        <v>2500.0</v>
      </c>
      <c r="F2098" s="55" t="s">
        <v>2018</v>
      </c>
      <c r="G2098" s="55"/>
      <c r="H2098" s="55" t="s">
        <v>2403</v>
      </c>
      <c r="I2098" s="26" t="s">
        <v>35</v>
      </c>
      <c r="J2098" s="26" t="s">
        <v>1225</v>
      </c>
      <c r="K2098" s="26" t="s">
        <v>1562</v>
      </c>
      <c r="L2098" s="26" t="s">
        <v>1573</v>
      </c>
      <c r="M2098" s="26" t="s">
        <v>1575</v>
      </c>
      <c r="N2098" s="26" t="s">
        <v>1566</v>
      </c>
      <c r="O2098" s="26" t="s">
        <v>1566</v>
      </c>
      <c r="P2098" s="26" t="s">
        <v>22</v>
      </c>
      <c r="Q2098" s="26">
        <v>2600.0</v>
      </c>
    </row>
    <row r="2099" ht="17.25" customHeight="1">
      <c r="A2099" s="51">
        <v>46239.44400364583</v>
      </c>
      <c r="B2099" s="25" t="s">
        <v>79</v>
      </c>
      <c r="C2099" s="55" t="s">
        <v>1560</v>
      </c>
      <c r="D2099" s="240">
        <v>46221.0</v>
      </c>
      <c r="E2099" s="52">
        <v>600.0</v>
      </c>
      <c r="F2099" s="55" t="s">
        <v>2018</v>
      </c>
      <c r="G2099" s="55"/>
      <c r="H2099" s="55" t="s">
        <v>2404</v>
      </c>
      <c r="I2099" s="26" t="s">
        <v>80</v>
      </c>
      <c r="J2099" s="26" t="s">
        <v>1225</v>
      </c>
      <c r="K2099" s="26" t="s">
        <v>1562</v>
      </c>
      <c r="L2099" s="26" t="s">
        <v>1563</v>
      </c>
      <c r="M2099" s="26" t="s">
        <v>1575</v>
      </c>
      <c r="N2099" s="26" t="s">
        <v>1566</v>
      </c>
      <c r="O2099" s="26" t="s">
        <v>1566</v>
      </c>
      <c r="P2099" s="26" t="s">
        <v>22</v>
      </c>
      <c r="Q2099" s="26">
        <v>700.0</v>
      </c>
    </row>
    <row r="2100" ht="17.25" customHeight="1">
      <c r="A2100" s="51">
        <v>46239.44466987268</v>
      </c>
      <c r="B2100" s="25" t="s">
        <v>41</v>
      </c>
      <c r="C2100" s="55" t="s">
        <v>1560</v>
      </c>
      <c r="D2100" s="240">
        <v>46221.0</v>
      </c>
      <c r="E2100" s="52">
        <v>1000.0</v>
      </c>
      <c r="F2100" s="55" t="s">
        <v>2018</v>
      </c>
      <c r="G2100" s="55"/>
      <c r="H2100" s="55" t="s">
        <v>2405</v>
      </c>
      <c r="I2100" s="26" t="s">
        <v>42</v>
      </c>
      <c r="J2100" s="26" t="s">
        <v>1225</v>
      </c>
      <c r="K2100" s="26" t="s">
        <v>1562</v>
      </c>
      <c r="L2100" s="26" t="s">
        <v>1576</v>
      </c>
      <c r="M2100" s="26" t="s">
        <v>1575</v>
      </c>
      <c r="N2100" s="26" t="s">
        <v>1571</v>
      </c>
      <c r="O2100" s="26" t="s">
        <v>1566</v>
      </c>
      <c r="P2100" s="26" t="s">
        <v>22</v>
      </c>
      <c r="Q2100" s="26">
        <v>200.0</v>
      </c>
    </row>
    <row r="2101" ht="17.25" customHeight="1">
      <c r="A2101" s="51">
        <v>46239.44512609954</v>
      </c>
      <c r="B2101" s="25" t="s">
        <v>1104</v>
      </c>
      <c r="C2101" s="55" t="s">
        <v>1560</v>
      </c>
      <c r="D2101" s="240">
        <v>46221.0</v>
      </c>
      <c r="E2101" s="52">
        <v>400.0</v>
      </c>
      <c r="F2101" s="55" t="s">
        <v>2018</v>
      </c>
      <c r="G2101" s="55"/>
      <c r="H2101" s="55" t="s">
        <v>2400</v>
      </c>
      <c r="I2101" s="26" t="s">
        <v>1106</v>
      </c>
      <c r="J2101" s="26" t="s">
        <v>1225</v>
      </c>
      <c r="K2101" s="26" t="s">
        <v>1562</v>
      </c>
      <c r="L2101" s="26" t="s">
        <v>1591</v>
      </c>
      <c r="M2101" s="26" t="s">
        <v>1574</v>
      </c>
      <c r="N2101" s="26" t="s">
        <v>1566</v>
      </c>
      <c r="O2101" s="26" t="s">
        <v>1566</v>
      </c>
      <c r="P2101" s="26" t="s">
        <v>22</v>
      </c>
      <c r="Q2101" s="26">
        <v>0.0</v>
      </c>
    </row>
    <row r="2102" ht="17.25" customHeight="1">
      <c r="A2102" s="51">
        <v>46239.44555228009</v>
      </c>
      <c r="B2102" s="25" t="s">
        <v>105</v>
      </c>
      <c r="C2102" s="55" t="s">
        <v>1560</v>
      </c>
      <c r="D2102" s="240">
        <v>46221.0</v>
      </c>
      <c r="E2102" s="52">
        <v>1900.0</v>
      </c>
      <c r="F2102" s="55" t="s">
        <v>2018</v>
      </c>
      <c r="G2102" s="55"/>
      <c r="H2102" s="55" t="s">
        <v>2406</v>
      </c>
      <c r="I2102" s="26" t="s">
        <v>107</v>
      </c>
      <c r="J2102" s="26" t="s">
        <v>1225</v>
      </c>
      <c r="K2102" s="26" t="s">
        <v>1562</v>
      </c>
      <c r="L2102" s="26" t="s">
        <v>1603</v>
      </c>
      <c r="M2102" s="26" t="s">
        <v>1575</v>
      </c>
      <c r="N2102" s="26" t="s">
        <v>1571</v>
      </c>
      <c r="O2102" s="26" t="s">
        <v>1566</v>
      </c>
      <c r="P2102" s="26" t="s">
        <v>22</v>
      </c>
      <c r="Q2102" s="26">
        <v>1200.0</v>
      </c>
    </row>
    <row r="2103" ht="17.25" customHeight="1">
      <c r="A2103" s="51">
        <v>46239.446173749995</v>
      </c>
      <c r="B2103" s="25" t="s">
        <v>308</v>
      </c>
      <c r="C2103" s="55" t="s">
        <v>1560</v>
      </c>
      <c r="D2103" s="240">
        <v>46221.0</v>
      </c>
      <c r="E2103" s="52">
        <v>600.0</v>
      </c>
      <c r="F2103" s="55" t="s">
        <v>2018</v>
      </c>
      <c r="G2103" s="55"/>
      <c r="H2103" s="55" t="s">
        <v>2407</v>
      </c>
      <c r="I2103" s="26" t="s">
        <v>309</v>
      </c>
      <c r="J2103" s="26" t="s">
        <v>1225</v>
      </c>
      <c r="K2103" s="26" t="s">
        <v>1562</v>
      </c>
      <c r="L2103" s="26" t="s">
        <v>1563</v>
      </c>
      <c r="M2103" s="26" t="s">
        <v>1574</v>
      </c>
      <c r="N2103" s="26" t="s">
        <v>1566</v>
      </c>
      <c r="O2103" s="26" t="s">
        <v>1566</v>
      </c>
      <c r="P2103" s="26" t="s">
        <v>22</v>
      </c>
      <c r="Q2103" s="26">
        <v>0.0</v>
      </c>
    </row>
    <row r="2104" ht="17.25" customHeight="1">
      <c r="A2104" s="51">
        <v>46239.44655690972</v>
      </c>
      <c r="B2104" s="25" t="s">
        <v>147</v>
      </c>
      <c r="C2104" s="55" t="s">
        <v>1560</v>
      </c>
      <c r="D2104" s="240">
        <v>46226.0</v>
      </c>
      <c r="E2104" s="52">
        <v>800.0</v>
      </c>
      <c r="F2104" s="55" t="s">
        <v>2018</v>
      </c>
      <c r="G2104" s="55"/>
      <c r="H2104" s="55" t="s">
        <v>2408</v>
      </c>
      <c r="I2104" s="26" t="s">
        <v>148</v>
      </c>
      <c r="J2104" s="26" t="s">
        <v>1225</v>
      </c>
      <c r="K2104" s="26" t="s">
        <v>1562</v>
      </c>
      <c r="L2104" s="26" t="s">
        <v>1633</v>
      </c>
      <c r="M2104" s="26" t="s">
        <v>1574</v>
      </c>
      <c r="N2104" s="26" t="s">
        <v>1566</v>
      </c>
      <c r="O2104" s="26" t="s">
        <v>1566</v>
      </c>
      <c r="P2104" s="26" t="s">
        <v>22</v>
      </c>
      <c r="Q2104" s="26">
        <v>0.0</v>
      </c>
    </row>
    <row r="2105" ht="17.25" customHeight="1">
      <c r="A2105" s="51">
        <v>46239.44866789352</v>
      </c>
      <c r="B2105" s="25" t="s">
        <v>179</v>
      </c>
      <c r="C2105" s="55" t="s">
        <v>1560</v>
      </c>
      <c r="D2105" s="240">
        <v>46228.0</v>
      </c>
      <c r="E2105" s="52">
        <v>576.0</v>
      </c>
      <c r="F2105" s="55" t="s">
        <v>2018</v>
      </c>
      <c r="G2105" s="55"/>
      <c r="H2105" s="55" t="s">
        <v>2409</v>
      </c>
      <c r="I2105" s="26" t="s">
        <v>180</v>
      </c>
      <c r="J2105" s="26" t="s">
        <v>1225</v>
      </c>
      <c r="K2105" s="26" t="s">
        <v>1653</v>
      </c>
      <c r="L2105" s="26" t="s">
        <v>1563</v>
      </c>
      <c r="M2105" s="26" t="s">
        <v>1572</v>
      </c>
      <c r="N2105" s="26" t="s">
        <v>1654</v>
      </c>
      <c r="O2105" s="26" t="s">
        <v>1566</v>
      </c>
      <c r="P2105" s="26" t="s">
        <v>22</v>
      </c>
      <c r="Q2105" s="26">
        <v>0.0</v>
      </c>
    </row>
    <row r="2106" ht="17.25" customHeight="1">
      <c r="A2106" s="51">
        <v>46239.449616909726</v>
      </c>
      <c r="B2106" s="25" t="s">
        <v>1154</v>
      </c>
      <c r="C2106" s="55" t="s">
        <v>1560</v>
      </c>
      <c r="D2106" s="240">
        <v>46228.0</v>
      </c>
      <c r="E2106" s="52">
        <v>720.0</v>
      </c>
      <c r="F2106" s="55" t="s">
        <v>2018</v>
      </c>
      <c r="G2106" s="55"/>
      <c r="H2106" s="55" t="s">
        <v>2410</v>
      </c>
      <c r="I2106" s="26" t="s">
        <v>1155</v>
      </c>
      <c r="J2106" s="26" t="s">
        <v>1225</v>
      </c>
      <c r="K2106" s="26" t="s">
        <v>1653</v>
      </c>
      <c r="L2106" s="26" t="s">
        <v>1563</v>
      </c>
      <c r="M2106" s="26" t="s">
        <v>1564</v>
      </c>
      <c r="N2106" s="26" t="s">
        <v>1566</v>
      </c>
      <c r="O2106" s="26" t="s">
        <v>2145</v>
      </c>
      <c r="P2106" s="26" t="s">
        <v>22</v>
      </c>
      <c r="Q2106" s="26">
        <v>1296.0</v>
      </c>
    </row>
    <row r="2107" ht="17.25" customHeight="1">
      <c r="A2107" s="51">
        <v>46239.45071462963</v>
      </c>
      <c r="B2107" s="25" t="s">
        <v>1104</v>
      </c>
      <c r="C2107" s="55" t="s">
        <v>1560</v>
      </c>
      <c r="D2107" s="240">
        <v>46228.0</v>
      </c>
      <c r="E2107" s="52">
        <v>3000.0</v>
      </c>
      <c r="F2107" s="55" t="s">
        <v>2018</v>
      </c>
      <c r="G2107" s="55"/>
      <c r="H2107" s="55" t="s">
        <v>2411</v>
      </c>
      <c r="I2107" s="26" t="s">
        <v>1106</v>
      </c>
      <c r="J2107" s="26" t="s">
        <v>1225</v>
      </c>
      <c r="K2107" s="26" t="s">
        <v>1562</v>
      </c>
      <c r="L2107" s="26" t="s">
        <v>1591</v>
      </c>
      <c r="M2107" s="26" t="s">
        <v>1574</v>
      </c>
      <c r="N2107" s="26" t="s">
        <v>1566</v>
      </c>
      <c r="O2107" s="26" t="s">
        <v>1566</v>
      </c>
      <c r="P2107" s="26" t="s">
        <v>22</v>
      </c>
      <c r="Q2107" s="26">
        <v>0.0</v>
      </c>
    </row>
    <row r="2108" ht="17.25" customHeight="1">
      <c r="A2108" s="51">
        <v>46239.451200034724</v>
      </c>
      <c r="B2108" s="25" t="s">
        <v>79</v>
      </c>
      <c r="C2108" s="55" t="s">
        <v>1560</v>
      </c>
      <c r="D2108" s="240">
        <v>46228.0</v>
      </c>
      <c r="E2108" s="52">
        <v>1200.0</v>
      </c>
      <c r="F2108" s="55" t="s">
        <v>2018</v>
      </c>
      <c r="G2108" s="55"/>
      <c r="H2108" s="55" t="s">
        <v>1418</v>
      </c>
      <c r="I2108" s="26" t="s">
        <v>80</v>
      </c>
      <c r="J2108" s="26" t="s">
        <v>1225</v>
      </c>
      <c r="K2108" s="26" t="s">
        <v>1562</v>
      </c>
      <c r="L2108" s="26" t="s">
        <v>1563</v>
      </c>
      <c r="M2108" s="26" t="s">
        <v>1575</v>
      </c>
      <c r="N2108" s="26" t="s">
        <v>1566</v>
      </c>
      <c r="O2108" s="26" t="s">
        <v>1566</v>
      </c>
      <c r="P2108" s="26" t="s">
        <v>22</v>
      </c>
      <c r="Q2108" s="26">
        <v>700.0</v>
      </c>
    </row>
    <row r="2109" ht="17.25" customHeight="1">
      <c r="A2109" s="51">
        <v>46239.45206188658</v>
      </c>
      <c r="B2109" s="25" t="s">
        <v>1011</v>
      </c>
      <c r="C2109" s="55" t="s">
        <v>1560</v>
      </c>
      <c r="D2109" s="240">
        <v>46228.0</v>
      </c>
      <c r="E2109" s="52">
        <v>200.0</v>
      </c>
      <c r="F2109" s="55" t="s">
        <v>2018</v>
      </c>
      <c r="G2109" s="55"/>
      <c r="H2109" s="55" t="s">
        <v>2412</v>
      </c>
      <c r="I2109" s="26" t="s">
        <v>1012</v>
      </c>
      <c r="J2109" s="26" t="s">
        <v>1225</v>
      </c>
      <c r="K2109" s="26" t="s">
        <v>1562</v>
      </c>
      <c r="L2109" s="26" t="s">
        <v>1582</v>
      </c>
      <c r="M2109" s="26" t="s">
        <v>1575</v>
      </c>
      <c r="N2109" s="26" t="s">
        <v>1566</v>
      </c>
      <c r="O2109" s="26" t="s">
        <v>1566</v>
      </c>
      <c r="P2109" s="26" t="s">
        <v>22</v>
      </c>
      <c r="Q2109" s="26">
        <v>100.0</v>
      </c>
    </row>
    <row r="2110" ht="17.25" customHeight="1">
      <c r="A2110" s="51">
        <v>46239.45259619213</v>
      </c>
      <c r="B2110" s="25" t="s">
        <v>105</v>
      </c>
      <c r="C2110" s="55" t="s">
        <v>1560</v>
      </c>
      <c r="D2110" s="240">
        <v>46228.0</v>
      </c>
      <c r="E2110" s="52">
        <v>600.0</v>
      </c>
      <c r="F2110" s="55" t="s">
        <v>2018</v>
      </c>
      <c r="G2110" s="55"/>
      <c r="H2110" s="55" t="s">
        <v>2413</v>
      </c>
      <c r="I2110" s="26" t="s">
        <v>107</v>
      </c>
      <c r="J2110" s="26" t="s">
        <v>1225</v>
      </c>
      <c r="K2110" s="26" t="s">
        <v>1562</v>
      </c>
      <c r="L2110" s="26" t="s">
        <v>1603</v>
      </c>
      <c r="M2110" s="26" t="s">
        <v>1575</v>
      </c>
      <c r="N2110" s="26" t="s">
        <v>1571</v>
      </c>
      <c r="O2110" s="26" t="s">
        <v>1566</v>
      </c>
      <c r="P2110" s="26" t="s">
        <v>22</v>
      </c>
      <c r="Q2110" s="26">
        <v>1200.0</v>
      </c>
    </row>
    <row r="2111" ht="17.25" customHeight="1">
      <c r="A2111" s="51">
        <v>46239.453189699074</v>
      </c>
      <c r="B2111" s="25" t="s">
        <v>33</v>
      </c>
      <c r="C2111" s="55" t="s">
        <v>1560</v>
      </c>
      <c r="D2111" s="240">
        <v>46230.0</v>
      </c>
      <c r="E2111" s="52">
        <v>1200.0</v>
      </c>
      <c r="F2111" s="55" t="s">
        <v>2018</v>
      </c>
      <c r="G2111" s="55"/>
      <c r="H2111" s="55" t="s">
        <v>2414</v>
      </c>
      <c r="I2111" s="26" t="s">
        <v>35</v>
      </c>
      <c r="J2111" s="26" t="s">
        <v>1225</v>
      </c>
      <c r="K2111" s="26" t="s">
        <v>1562</v>
      </c>
      <c r="L2111" s="26" t="s">
        <v>1573</v>
      </c>
      <c r="M2111" s="26" t="s">
        <v>1575</v>
      </c>
      <c r="N2111" s="26" t="s">
        <v>1566</v>
      </c>
      <c r="O2111" s="26" t="s">
        <v>1566</v>
      </c>
      <c r="P2111" s="26" t="s">
        <v>22</v>
      </c>
      <c r="Q2111" s="26">
        <v>2600.0</v>
      </c>
    </row>
    <row r="2112" ht="17.25" customHeight="1">
      <c r="A2112" s="51">
        <v>46239.45366540509</v>
      </c>
      <c r="B2112" s="25" t="s">
        <v>1104</v>
      </c>
      <c r="C2112" s="55" t="s">
        <v>1560</v>
      </c>
      <c r="D2112" s="240">
        <v>46230.0</v>
      </c>
      <c r="E2112" s="52">
        <v>5600.0</v>
      </c>
      <c r="F2112" s="55" t="s">
        <v>2018</v>
      </c>
      <c r="G2112" s="55"/>
      <c r="H2112" s="55" t="s">
        <v>2370</v>
      </c>
      <c r="I2112" s="26" t="s">
        <v>1106</v>
      </c>
      <c r="J2112" s="26" t="s">
        <v>1225</v>
      </c>
      <c r="K2112" s="26" t="s">
        <v>1562</v>
      </c>
      <c r="L2112" s="26" t="s">
        <v>1591</v>
      </c>
      <c r="M2112" s="26" t="s">
        <v>1574</v>
      </c>
      <c r="N2112" s="26" t="s">
        <v>1566</v>
      </c>
      <c r="O2112" s="26" t="s">
        <v>1566</v>
      </c>
      <c r="P2112" s="26" t="s">
        <v>22</v>
      </c>
      <c r="Q2112" s="26">
        <v>0.0</v>
      </c>
    </row>
    <row r="2113" ht="17.25" customHeight="1">
      <c r="A2113" s="51">
        <v>46239.45403603009</v>
      </c>
      <c r="B2113" s="25" t="s">
        <v>128</v>
      </c>
      <c r="C2113" s="55" t="s">
        <v>1560</v>
      </c>
      <c r="D2113" s="240">
        <v>46230.0</v>
      </c>
      <c r="E2113" s="52">
        <v>300.0</v>
      </c>
      <c r="F2113" s="55" t="s">
        <v>2018</v>
      </c>
      <c r="G2113" s="55"/>
      <c r="H2113" s="55" t="s">
        <v>2415</v>
      </c>
      <c r="I2113" s="26" t="s">
        <v>130</v>
      </c>
      <c r="J2113" s="26" t="s">
        <v>1225</v>
      </c>
      <c r="K2113" s="26" t="s">
        <v>1562</v>
      </c>
      <c r="L2113" s="26" t="s">
        <v>1615</v>
      </c>
      <c r="M2113" s="26" t="s">
        <v>1575</v>
      </c>
      <c r="N2113" s="26" t="s">
        <v>1571</v>
      </c>
      <c r="O2113" s="26" t="s">
        <v>1566</v>
      </c>
      <c r="P2113" s="26" t="s">
        <v>22</v>
      </c>
      <c r="Q2113" s="26">
        <v>500.0</v>
      </c>
    </row>
    <row r="2114" ht="17.25" customHeight="1">
      <c r="A2114" s="51">
        <v>46239.45775832176</v>
      </c>
      <c r="B2114" s="25" t="s">
        <v>223</v>
      </c>
      <c r="C2114" s="55" t="s">
        <v>1560</v>
      </c>
      <c r="D2114" s="240">
        <v>46230.0</v>
      </c>
      <c r="E2114" s="52">
        <v>1000.0</v>
      </c>
      <c r="F2114" s="55" t="s">
        <v>2018</v>
      </c>
      <c r="G2114" s="55"/>
      <c r="H2114" s="55" t="s">
        <v>2416</v>
      </c>
      <c r="I2114" s="26" t="s">
        <v>224</v>
      </c>
      <c r="J2114" s="26" t="s">
        <v>1225</v>
      </c>
      <c r="K2114" s="26" t="s">
        <v>1562</v>
      </c>
      <c r="L2114" s="26" t="s">
        <v>1633</v>
      </c>
      <c r="M2114" s="26" t="s">
        <v>2172</v>
      </c>
      <c r="N2114" s="26" t="s">
        <v>1590</v>
      </c>
      <c r="O2114" s="26" t="s">
        <v>1590</v>
      </c>
      <c r="P2114" s="26" t="s">
        <v>22</v>
      </c>
      <c r="Q2114" s="26">
        <v>300.0</v>
      </c>
    </row>
    <row r="2115" ht="17.25" customHeight="1">
      <c r="A2115" s="51">
        <v>46239.46057869213</v>
      </c>
      <c r="B2115" s="26" t="s">
        <v>2030</v>
      </c>
      <c r="C2115" s="55" t="s">
        <v>1560</v>
      </c>
      <c r="D2115" s="240">
        <v>46230.0</v>
      </c>
      <c r="E2115" s="52">
        <v>720.0</v>
      </c>
      <c r="F2115" s="55" t="s">
        <v>2018</v>
      </c>
      <c r="G2115" s="55"/>
      <c r="H2115" s="55" t="s">
        <v>2417</v>
      </c>
      <c r="I2115" s="26" t="s">
        <v>2031</v>
      </c>
      <c r="J2115" s="26" t="s">
        <v>1225</v>
      </c>
      <c r="K2115" s="26" t="s">
        <v>1653</v>
      </c>
      <c r="L2115" s="26" t="s">
        <v>1600</v>
      </c>
      <c r="M2115" s="26" t="s">
        <v>1574</v>
      </c>
      <c r="N2115" s="26" t="s">
        <v>1590</v>
      </c>
      <c r="O2115" s="26" t="s">
        <v>2200</v>
      </c>
      <c r="P2115" s="26" t="s">
        <v>22</v>
      </c>
      <c r="Q2115" s="26">
        <v>720.0</v>
      </c>
    </row>
    <row r="2116" ht="17.25" customHeight="1">
      <c r="A2116" s="51">
        <v>46239.46218944444</v>
      </c>
      <c r="B2116" s="25" t="s">
        <v>538</v>
      </c>
      <c r="C2116" s="55" t="s">
        <v>1560</v>
      </c>
      <c r="D2116" s="240">
        <v>46230.0</v>
      </c>
      <c r="E2116" s="52">
        <v>432.0</v>
      </c>
      <c r="F2116" s="55" t="s">
        <v>2018</v>
      </c>
      <c r="G2116" s="55"/>
      <c r="H2116" s="55" t="s">
        <v>2418</v>
      </c>
      <c r="I2116" s="26" t="s">
        <v>539</v>
      </c>
      <c r="J2116" s="26" t="s">
        <v>1225</v>
      </c>
      <c r="K2116" s="26" t="s">
        <v>1653</v>
      </c>
      <c r="L2116" s="26" t="s">
        <v>1600</v>
      </c>
      <c r="M2116" s="26" t="s">
        <v>1572</v>
      </c>
      <c r="N2116" s="26" t="s">
        <v>1566</v>
      </c>
      <c r="O2116" s="26" t="s">
        <v>1654</v>
      </c>
      <c r="P2116" s="26" t="s">
        <v>22</v>
      </c>
      <c r="Q2116" s="26">
        <v>576.0</v>
      </c>
    </row>
    <row r="2117" ht="17.25" customHeight="1">
      <c r="A2117" s="51">
        <v>46239.46332784722</v>
      </c>
      <c r="B2117" s="25" t="s">
        <v>128</v>
      </c>
      <c r="C2117" s="55" t="s">
        <v>1560</v>
      </c>
      <c r="D2117" s="240">
        <v>46230.0</v>
      </c>
      <c r="E2117" s="52">
        <v>1100.0</v>
      </c>
      <c r="F2117" s="55" t="s">
        <v>2018</v>
      </c>
      <c r="G2117" s="55"/>
      <c r="H2117" s="55" t="s">
        <v>2415</v>
      </c>
      <c r="I2117" s="26" t="s">
        <v>130</v>
      </c>
      <c r="J2117" s="26" t="s">
        <v>1225</v>
      </c>
      <c r="K2117" s="26" t="s">
        <v>1562</v>
      </c>
      <c r="L2117" s="26" t="s">
        <v>1615</v>
      </c>
      <c r="M2117" s="26" t="s">
        <v>1575</v>
      </c>
      <c r="N2117" s="26" t="s">
        <v>1571</v>
      </c>
      <c r="O2117" s="26" t="s">
        <v>1566</v>
      </c>
      <c r="P2117" s="26" t="s">
        <v>22</v>
      </c>
      <c r="Q2117" s="26">
        <v>500.0</v>
      </c>
    </row>
    <row r="2118" ht="17.25" customHeight="1">
      <c r="A2118" s="51">
        <v>46239.46331445602</v>
      </c>
      <c r="B2118" s="27" t="s">
        <v>1775</v>
      </c>
      <c r="C2118" s="55" t="s">
        <v>1560</v>
      </c>
      <c r="D2118" s="240">
        <v>46230.0</v>
      </c>
      <c r="E2118" s="52">
        <v>800.0</v>
      </c>
      <c r="F2118" s="55" t="s">
        <v>2018</v>
      </c>
      <c r="G2118" s="55"/>
      <c r="H2118" s="55" t="s">
        <v>2419</v>
      </c>
      <c r="I2118" s="26" t="s">
        <v>1776</v>
      </c>
      <c r="J2118" s="26" t="s">
        <v>1225</v>
      </c>
      <c r="K2118" s="26" t="s">
        <v>1562</v>
      </c>
      <c r="L2118" s="26" t="s">
        <v>1615</v>
      </c>
      <c r="M2118" s="26" t="s">
        <v>2172</v>
      </c>
      <c r="N2118" s="26" t="s">
        <v>1590</v>
      </c>
      <c r="O2118" s="26" t="s">
        <v>1590</v>
      </c>
      <c r="P2118" s="26" t="s">
        <v>22</v>
      </c>
      <c r="Q2118" s="26">
        <v>0.0</v>
      </c>
    </row>
    <row r="2119" ht="17.25" customHeight="1">
      <c r="A2119" s="51">
        <v>46239.46507077546</v>
      </c>
      <c r="B2119" s="25" t="s">
        <v>91</v>
      </c>
      <c r="C2119" s="55" t="s">
        <v>1560</v>
      </c>
      <c r="D2119" s="240">
        <v>46230.0</v>
      </c>
      <c r="E2119" s="52">
        <v>2300.0</v>
      </c>
      <c r="F2119" s="55" t="s">
        <v>2018</v>
      </c>
      <c r="G2119" s="55"/>
      <c r="H2119" s="55" t="s">
        <v>2420</v>
      </c>
      <c r="I2119" s="26" t="s">
        <v>92</v>
      </c>
      <c r="J2119" s="26" t="s">
        <v>1225</v>
      </c>
      <c r="K2119" s="26" t="s">
        <v>1562</v>
      </c>
      <c r="L2119" s="26" t="s">
        <v>1576</v>
      </c>
      <c r="M2119" s="26" t="s">
        <v>1572</v>
      </c>
      <c r="N2119" s="26" t="s">
        <v>1566</v>
      </c>
      <c r="O2119" s="26" t="s">
        <v>1566</v>
      </c>
      <c r="P2119" s="26" t="s">
        <v>22</v>
      </c>
      <c r="Q2119" s="26">
        <v>1400.0</v>
      </c>
    </row>
    <row r="2120" ht="17.25" customHeight="1">
      <c r="A2120" s="51">
        <v>46239.46555634259</v>
      </c>
      <c r="B2120" s="25" t="s">
        <v>163</v>
      </c>
      <c r="C2120" s="55" t="s">
        <v>1560</v>
      </c>
      <c r="D2120" s="240">
        <v>46230.0</v>
      </c>
      <c r="E2120" s="52">
        <v>500.0</v>
      </c>
      <c r="F2120" s="55" t="s">
        <v>2018</v>
      </c>
      <c r="G2120" s="55"/>
      <c r="H2120" s="55" t="s">
        <v>2421</v>
      </c>
      <c r="I2120" s="26" t="s">
        <v>1737</v>
      </c>
      <c r="J2120" s="26" t="s">
        <v>1225</v>
      </c>
      <c r="K2120" s="26" t="s">
        <v>1562</v>
      </c>
      <c r="L2120" s="26" t="s">
        <v>1587</v>
      </c>
      <c r="M2120" s="26" t="s">
        <v>2172</v>
      </c>
      <c r="N2120" s="26" t="s">
        <v>1566</v>
      </c>
      <c r="O2120" s="26" t="s">
        <v>1566</v>
      </c>
      <c r="P2120" s="26" t="s">
        <v>22</v>
      </c>
      <c r="Q2120" s="26">
        <v>4000.0</v>
      </c>
    </row>
    <row r="2121" ht="17.25" customHeight="1">
      <c r="A2121" s="51">
        <v>46239.46602273148</v>
      </c>
      <c r="B2121" s="25" t="s">
        <v>95</v>
      </c>
      <c r="C2121" s="55" t="s">
        <v>1560</v>
      </c>
      <c r="D2121" s="240">
        <v>46230.0</v>
      </c>
      <c r="E2121" s="52">
        <v>600.0</v>
      </c>
      <c r="F2121" s="55" t="s">
        <v>2018</v>
      </c>
      <c r="G2121" s="55"/>
      <c r="H2121" s="55" t="s">
        <v>2422</v>
      </c>
      <c r="I2121" s="26" t="s">
        <v>97</v>
      </c>
      <c r="J2121" s="26" t="s">
        <v>1225</v>
      </c>
      <c r="K2121" s="26" t="s">
        <v>1562</v>
      </c>
      <c r="L2121" s="26" t="s">
        <v>1582</v>
      </c>
      <c r="M2121" s="26" t="s">
        <v>1564</v>
      </c>
      <c r="N2121" s="26" t="s">
        <v>1566</v>
      </c>
      <c r="O2121" s="26" t="s">
        <v>1566</v>
      </c>
      <c r="P2121" s="26" t="s">
        <v>22</v>
      </c>
      <c r="Q2121" s="26">
        <v>500.0</v>
      </c>
    </row>
    <row r="2122" ht="17.25" customHeight="1">
      <c r="A2122" s="51">
        <v>46239.46689730324</v>
      </c>
      <c r="B2122" s="25" t="s">
        <v>70</v>
      </c>
      <c r="C2122" s="55" t="s">
        <v>1560</v>
      </c>
      <c r="D2122" s="240">
        <v>46237.0</v>
      </c>
      <c r="E2122" s="52">
        <v>600.0</v>
      </c>
      <c r="F2122" s="55" t="s">
        <v>2018</v>
      </c>
      <c r="G2122" s="55"/>
      <c r="H2122" s="55" t="s">
        <v>73</v>
      </c>
      <c r="I2122" s="26" t="s">
        <v>71</v>
      </c>
      <c r="J2122" s="26" t="s">
        <v>1225</v>
      </c>
      <c r="K2122" s="26" t="s">
        <v>1562</v>
      </c>
      <c r="L2122" s="26" t="s">
        <v>1591</v>
      </c>
      <c r="M2122" s="26" t="s">
        <v>2172</v>
      </c>
      <c r="N2122" s="26" t="s">
        <v>1566</v>
      </c>
      <c r="O2122" s="26" t="s">
        <v>1571</v>
      </c>
      <c r="P2122" s="26" t="s">
        <v>22</v>
      </c>
      <c r="Q2122" s="26">
        <v>0.0</v>
      </c>
    </row>
    <row r="2123" ht="17.25" customHeight="1">
      <c r="A2123" s="51">
        <v>46239.4668975463</v>
      </c>
      <c r="B2123" s="25" t="s">
        <v>79</v>
      </c>
      <c r="C2123" s="55" t="s">
        <v>1560</v>
      </c>
      <c r="D2123" s="240">
        <v>46237.0</v>
      </c>
      <c r="E2123" s="52">
        <v>1900.0</v>
      </c>
      <c r="F2123" s="55" t="s">
        <v>2018</v>
      </c>
      <c r="G2123" s="55"/>
      <c r="H2123" s="55" t="s">
        <v>2423</v>
      </c>
      <c r="I2123" s="26" t="s">
        <v>80</v>
      </c>
      <c r="J2123" s="26" t="s">
        <v>1225</v>
      </c>
      <c r="K2123" s="26" t="s">
        <v>1562</v>
      </c>
      <c r="L2123" s="26" t="s">
        <v>1563</v>
      </c>
      <c r="M2123" s="26" t="s">
        <v>1575</v>
      </c>
      <c r="N2123" s="26" t="s">
        <v>1566</v>
      </c>
      <c r="O2123" s="26" t="s">
        <v>1566</v>
      </c>
      <c r="P2123" s="26" t="s">
        <v>22</v>
      </c>
      <c r="Q2123" s="26">
        <v>700.0</v>
      </c>
    </row>
    <row r="2124" ht="17.25" customHeight="1">
      <c r="A2124" s="51">
        <v>46239.467829456014</v>
      </c>
      <c r="B2124" s="25" t="s">
        <v>95</v>
      </c>
      <c r="C2124" s="55" t="s">
        <v>1560</v>
      </c>
      <c r="D2124" s="240">
        <v>46237.0</v>
      </c>
      <c r="E2124" s="52">
        <v>500.0</v>
      </c>
      <c r="F2124" s="55" t="s">
        <v>2018</v>
      </c>
      <c r="G2124" s="55"/>
      <c r="H2124" s="55" t="s">
        <v>2424</v>
      </c>
      <c r="I2124" s="26" t="s">
        <v>97</v>
      </c>
      <c r="J2124" s="26" t="s">
        <v>1225</v>
      </c>
      <c r="K2124" s="26" t="s">
        <v>1562</v>
      </c>
      <c r="L2124" s="26" t="s">
        <v>1582</v>
      </c>
      <c r="M2124" s="26" t="s">
        <v>1564</v>
      </c>
      <c r="N2124" s="26" t="s">
        <v>1566</v>
      </c>
      <c r="O2124" s="26" t="s">
        <v>1566</v>
      </c>
      <c r="P2124" s="26" t="s">
        <v>22</v>
      </c>
      <c r="Q2124" s="26">
        <v>500.0</v>
      </c>
    </row>
    <row r="2125" ht="17.25" customHeight="1">
      <c r="A2125" s="51">
        <v>46239.561765046295</v>
      </c>
      <c r="B2125" s="25" t="s">
        <v>70</v>
      </c>
      <c r="C2125" s="55" t="s">
        <v>1892</v>
      </c>
      <c r="D2125" s="240">
        <v>46237.0</v>
      </c>
      <c r="E2125" s="52">
        <v>600.0</v>
      </c>
      <c r="F2125" s="55" t="s">
        <v>2018</v>
      </c>
      <c r="G2125" s="55"/>
      <c r="H2125" s="55" t="s">
        <v>73</v>
      </c>
      <c r="I2125" s="26" t="s">
        <v>71</v>
      </c>
      <c r="J2125" s="26" t="s">
        <v>1225</v>
      </c>
      <c r="K2125" s="26" t="s">
        <v>1562</v>
      </c>
      <c r="L2125" s="26" t="s">
        <v>1591</v>
      </c>
      <c r="M2125" s="26" t="s">
        <v>2172</v>
      </c>
      <c r="N2125" s="26" t="s">
        <v>1566</v>
      </c>
      <c r="O2125" s="26" t="s">
        <v>1571</v>
      </c>
      <c r="P2125" s="26" t="s">
        <v>22</v>
      </c>
      <c r="Q2125" s="26">
        <v>0.0</v>
      </c>
    </row>
    <row r="2126" ht="17.25" customHeight="1">
      <c r="A2126" s="51">
        <v>46239.56238833333</v>
      </c>
      <c r="B2126" s="25" t="s">
        <v>95</v>
      </c>
      <c r="C2126" s="55" t="s">
        <v>1892</v>
      </c>
      <c r="D2126" s="240">
        <v>46237.0</v>
      </c>
      <c r="E2126" s="52">
        <v>600.0</v>
      </c>
      <c r="F2126" s="55" t="s">
        <v>2018</v>
      </c>
      <c r="G2126" s="55"/>
      <c r="H2126" s="55" t="s">
        <v>2422</v>
      </c>
      <c r="I2126" s="26" t="s">
        <v>97</v>
      </c>
      <c r="J2126" s="26" t="s">
        <v>1225</v>
      </c>
      <c r="K2126" s="26" t="s">
        <v>1562</v>
      </c>
      <c r="L2126" s="26" t="s">
        <v>1582</v>
      </c>
      <c r="M2126" s="26" t="s">
        <v>1564</v>
      </c>
      <c r="N2126" s="26" t="s">
        <v>1566</v>
      </c>
      <c r="O2126" s="26" t="s">
        <v>1566</v>
      </c>
      <c r="P2126" s="26" t="s">
        <v>22</v>
      </c>
      <c r="Q2126" s="26">
        <v>500.0</v>
      </c>
    </row>
    <row r="2127" ht="17.25" customHeight="1">
      <c r="A2127" s="51">
        <v>46239.56283923611</v>
      </c>
      <c r="B2127" s="25" t="s">
        <v>91</v>
      </c>
      <c r="C2127" s="55" t="s">
        <v>1892</v>
      </c>
      <c r="D2127" s="240">
        <v>46237.0</v>
      </c>
      <c r="E2127" s="52">
        <v>700.0</v>
      </c>
      <c r="F2127" s="55" t="s">
        <v>2018</v>
      </c>
      <c r="G2127" s="55"/>
      <c r="H2127" s="55" t="s">
        <v>2425</v>
      </c>
      <c r="I2127" s="26" t="s">
        <v>92</v>
      </c>
      <c r="J2127" s="26" t="s">
        <v>1225</v>
      </c>
      <c r="K2127" s="26" t="s">
        <v>1562</v>
      </c>
      <c r="L2127" s="26" t="s">
        <v>1576</v>
      </c>
      <c r="M2127" s="26" t="s">
        <v>1572</v>
      </c>
      <c r="N2127" s="26" t="s">
        <v>1566</v>
      </c>
      <c r="O2127" s="26" t="s">
        <v>1566</v>
      </c>
      <c r="P2127" s="26" t="s">
        <v>22</v>
      </c>
      <c r="Q2127" s="26">
        <v>1400.0</v>
      </c>
    </row>
    <row r="2128" ht="17.25" customHeight="1">
      <c r="A2128" s="51">
        <v>46239.56318280092</v>
      </c>
      <c r="B2128" s="25" t="s">
        <v>105</v>
      </c>
      <c r="C2128" s="55" t="s">
        <v>1892</v>
      </c>
      <c r="D2128" s="240">
        <v>46237.0</v>
      </c>
      <c r="E2128" s="52">
        <v>600.0</v>
      </c>
      <c r="F2128" s="55" t="s">
        <v>2018</v>
      </c>
      <c r="G2128" s="55"/>
      <c r="H2128" s="55" t="s">
        <v>2413</v>
      </c>
      <c r="I2128" s="26" t="s">
        <v>107</v>
      </c>
      <c r="J2128" s="26" t="s">
        <v>1225</v>
      </c>
      <c r="K2128" s="26" t="s">
        <v>1562</v>
      </c>
      <c r="L2128" s="26" t="s">
        <v>1603</v>
      </c>
      <c r="M2128" s="26" t="s">
        <v>1575</v>
      </c>
      <c r="N2128" s="26" t="s">
        <v>1571</v>
      </c>
      <c r="O2128" s="26" t="s">
        <v>1566</v>
      </c>
      <c r="P2128" s="26" t="s">
        <v>22</v>
      </c>
      <c r="Q2128" s="26">
        <v>1200.0</v>
      </c>
    </row>
    <row r="2129" ht="17.25" customHeight="1">
      <c r="A2129" s="51">
        <v>46239.56318280092</v>
      </c>
      <c r="B2129" s="25" t="s">
        <v>33</v>
      </c>
      <c r="C2129" s="55" t="s">
        <v>1892</v>
      </c>
      <c r="D2129" s="240">
        <v>46237.0</v>
      </c>
      <c r="E2129" s="52">
        <v>1200.0</v>
      </c>
      <c r="F2129" s="55" t="s">
        <v>2018</v>
      </c>
      <c r="G2129" s="55"/>
      <c r="H2129" s="55" t="s">
        <v>2414</v>
      </c>
      <c r="I2129" s="26" t="s">
        <v>35</v>
      </c>
      <c r="J2129" s="26" t="s">
        <v>1225</v>
      </c>
      <c r="K2129" s="26" t="s">
        <v>1562</v>
      </c>
      <c r="L2129" s="26" t="s">
        <v>1573</v>
      </c>
      <c r="M2129" s="26" t="s">
        <v>1575</v>
      </c>
      <c r="N2129" s="26" t="s">
        <v>1566</v>
      </c>
      <c r="O2129" s="26" t="s">
        <v>1566</v>
      </c>
      <c r="P2129" s="26" t="s">
        <v>22</v>
      </c>
      <c r="Q2129" s="26">
        <v>2600.0</v>
      </c>
    </row>
    <row r="2130" ht="17.25" customHeight="1">
      <c r="A2130" s="51">
        <v>46239.56318280092</v>
      </c>
      <c r="B2130" s="25" t="s">
        <v>1104</v>
      </c>
      <c r="C2130" s="55" t="s">
        <v>1892</v>
      </c>
      <c r="D2130" s="240">
        <v>46237.0</v>
      </c>
      <c r="E2130" s="52">
        <v>5600.0</v>
      </c>
      <c r="F2130" s="55" t="s">
        <v>2018</v>
      </c>
      <c r="G2130" s="55"/>
      <c r="H2130" s="55" t="s">
        <v>2370</v>
      </c>
      <c r="I2130" s="26" t="s">
        <v>1106</v>
      </c>
      <c r="J2130" s="26" t="s">
        <v>1225</v>
      </c>
      <c r="K2130" s="26" t="s">
        <v>1562</v>
      </c>
      <c r="L2130" s="26" t="s">
        <v>1591</v>
      </c>
      <c r="M2130" s="26" t="s">
        <v>1574</v>
      </c>
      <c r="N2130" s="26" t="s">
        <v>1566</v>
      </c>
      <c r="O2130" s="26" t="s">
        <v>1566</v>
      </c>
      <c r="P2130" s="26" t="s">
        <v>22</v>
      </c>
      <c r="Q2130" s="26">
        <v>0.0</v>
      </c>
    </row>
    <row r="2131" ht="17.25" customHeight="1">
      <c r="A2131" s="51">
        <v>46239.56318280092</v>
      </c>
      <c r="B2131" s="25" t="s">
        <v>1011</v>
      </c>
      <c r="C2131" s="55" t="s">
        <v>1892</v>
      </c>
      <c r="D2131" s="240">
        <v>46237.0</v>
      </c>
      <c r="E2131" s="52">
        <v>200.0</v>
      </c>
      <c r="F2131" s="55" t="s">
        <v>2018</v>
      </c>
      <c r="G2131" s="55"/>
      <c r="H2131" s="55" t="s">
        <v>2412</v>
      </c>
      <c r="I2131" s="26" t="s">
        <v>1012</v>
      </c>
      <c r="J2131" s="26" t="s">
        <v>1225</v>
      </c>
      <c r="K2131" s="26" t="s">
        <v>1562</v>
      </c>
      <c r="L2131" s="26" t="s">
        <v>1582</v>
      </c>
      <c r="M2131" s="26" t="s">
        <v>1575</v>
      </c>
      <c r="N2131" s="26" t="s">
        <v>1566</v>
      </c>
      <c r="O2131" s="26" t="s">
        <v>1566</v>
      </c>
      <c r="P2131" s="26" t="s">
        <v>22</v>
      </c>
      <c r="Q2131" s="26">
        <v>100.0</v>
      </c>
    </row>
    <row r="2132" ht="17.25" customHeight="1">
      <c r="A2132" s="51">
        <v>46239.56318280092</v>
      </c>
      <c r="B2132" s="25" t="s">
        <v>105</v>
      </c>
      <c r="C2132" s="55" t="s">
        <v>1892</v>
      </c>
      <c r="D2132" s="240">
        <v>46237.0</v>
      </c>
      <c r="E2132" s="52">
        <v>500.0</v>
      </c>
      <c r="F2132" s="55" t="s">
        <v>2018</v>
      </c>
      <c r="G2132" s="55"/>
      <c r="H2132" s="55" t="s">
        <v>2426</v>
      </c>
      <c r="I2132" s="26" t="s">
        <v>107</v>
      </c>
      <c r="J2132" s="26" t="s">
        <v>1225</v>
      </c>
      <c r="K2132" s="26" t="s">
        <v>1562</v>
      </c>
      <c r="L2132" s="26" t="s">
        <v>1603</v>
      </c>
      <c r="M2132" s="26" t="s">
        <v>1575</v>
      </c>
      <c r="N2132" s="26" t="s">
        <v>1571</v>
      </c>
      <c r="O2132" s="26" t="s">
        <v>1566</v>
      </c>
      <c r="P2132" s="26" t="s">
        <v>22</v>
      </c>
      <c r="Q2132" s="26">
        <v>1200.0</v>
      </c>
    </row>
    <row r="2133" ht="17.25" customHeight="1">
      <c r="A2133" s="51">
        <v>46239.56318280092</v>
      </c>
      <c r="B2133" s="25" t="s">
        <v>308</v>
      </c>
      <c r="C2133" s="55" t="s">
        <v>1892</v>
      </c>
      <c r="D2133" s="240">
        <v>46237.0</v>
      </c>
      <c r="E2133" s="52">
        <v>600.0</v>
      </c>
      <c r="F2133" s="55" t="s">
        <v>2018</v>
      </c>
      <c r="G2133" s="55"/>
      <c r="H2133" s="55" t="s">
        <v>2407</v>
      </c>
      <c r="I2133" s="26" t="s">
        <v>309</v>
      </c>
      <c r="J2133" s="26" t="s">
        <v>1225</v>
      </c>
      <c r="K2133" s="26" t="s">
        <v>1562</v>
      </c>
      <c r="L2133" s="26" t="s">
        <v>1563</v>
      </c>
      <c r="M2133" s="26" t="s">
        <v>1574</v>
      </c>
      <c r="N2133" s="26" t="s">
        <v>1566</v>
      </c>
      <c r="O2133" s="26" t="s">
        <v>1566</v>
      </c>
      <c r="P2133" s="26" t="s">
        <v>22</v>
      </c>
      <c r="Q2133" s="26">
        <v>0.0</v>
      </c>
    </row>
    <row r="2134" ht="17.25" customHeight="1">
      <c r="A2134" s="51">
        <v>46239.56318280092</v>
      </c>
      <c r="B2134" s="25" t="s">
        <v>147</v>
      </c>
      <c r="C2134" s="55" t="s">
        <v>1892</v>
      </c>
      <c r="D2134" s="240">
        <v>46237.0</v>
      </c>
      <c r="E2134" s="52">
        <v>800.0</v>
      </c>
      <c r="F2134" s="55" t="s">
        <v>2018</v>
      </c>
      <c r="G2134" s="55"/>
      <c r="H2134" s="55" t="s">
        <v>2408</v>
      </c>
      <c r="I2134" s="26" t="s">
        <v>148</v>
      </c>
      <c r="J2134" s="26" t="s">
        <v>1225</v>
      </c>
      <c r="K2134" s="26" t="s">
        <v>1562</v>
      </c>
      <c r="L2134" s="26" t="s">
        <v>1633</v>
      </c>
      <c r="M2134" s="26" t="s">
        <v>1574</v>
      </c>
      <c r="N2134" s="26" t="s">
        <v>1566</v>
      </c>
      <c r="O2134" s="26" t="s">
        <v>1566</v>
      </c>
      <c r="P2134" s="26" t="s">
        <v>22</v>
      </c>
      <c r="Q2134" s="26">
        <v>0.0</v>
      </c>
    </row>
    <row r="2135" ht="17.25" customHeight="1">
      <c r="A2135" s="51">
        <v>46239.56318280092</v>
      </c>
      <c r="B2135" s="25" t="s">
        <v>179</v>
      </c>
      <c r="C2135" s="55" t="s">
        <v>1892</v>
      </c>
      <c r="D2135" s="240">
        <v>46237.0</v>
      </c>
      <c r="E2135" s="52">
        <v>576.0</v>
      </c>
      <c r="F2135" s="55" t="s">
        <v>2018</v>
      </c>
      <c r="G2135" s="55"/>
      <c r="H2135" s="55" t="s">
        <v>2409</v>
      </c>
      <c r="I2135" s="26" t="s">
        <v>180</v>
      </c>
      <c r="J2135" s="26" t="s">
        <v>1225</v>
      </c>
      <c r="K2135" s="26" t="s">
        <v>1653</v>
      </c>
      <c r="L2135" s="26" t="s">
        <v>1563</v>
      </c>
      <c r="M2135" s="26" t="s">
        <v>1572</v>
      </c>
      <c r="N2135" s="26" t="s">
        <v>1654</v>
      </c>
      <c r="O2135" s="26" t="s">
        <v>1566</v>
      </c>
      <c r="P2135" s="26" t="s">
        <v>22</v>
      </c>
      <c r="Q2135" s="26">
        <v>0.0</v>
      </c>
    </row>
    <row r="2136" ht="17.25" customHeight="1">
      <c r="A2136" s="51">
        <v>46239.56318280092</v>
      </c>
      <c r="B2136" s="25" t="s">
        <v>1154</v>
      </c>
      <c r="C2136" s="55" t="s">
        <v>1892</v>
      </c>
      <c r="D2136" s="240">
        <v>46237.0</v>
      </c>
      <c r="E2136" s="52">
        <v>720.0</v>
      </c>
      <c r="F2136" s="55" t="s">
        <v>2018</v>
      </c>
      <c r="G2136" s="55"/>
      <c r="H2136" s="55" t="s">
        <v>2410</v>
      </c>
      <c r="I2136" s="26" t="s">
        <v>1155</v>
      </c>
      <c r="J2136" s="26" t="s">
        <v>1225</v>
      </c>
      <c r="K2136" s="26" t="s">
        <v>1653</v>
      </c>
      <c r="L2136" s="26" t="s">
        <v>1563</v>
      </c>
      <c r="M2136" s="26" t="s">
        <v>1564</v>
      </c>
      <c r="N2136" s="26" t="s">
        <v>1566</v>
      </c>
      <c r="O2136" s="26" t="s">
        <v>2145</v>
      </c>
      <c r="P2136" s="26" t="s">
        <v>22</v>
      </c>
      <c r="Q2136" s="26">
        <v>1296.0</v>
      </c>
    </row>
    <row r="2137" ht="17.25" customHeight="1">
      <c r="A2137" s="51">
        <v>46239.56318280092</v>
      </c>
      <c r="B2137" s="25" t="s">
        <v>1104</v>
      </c>
      <c r="C2137" s="55" t="s">
        <v>1892</v>
      </c>
      <c r="D2137" s="240">
        <v>46237.0</v>
      </c>
      <c r="E2137" s="52">
        <v>3000.0</v>
      </c>
      <c r="F2137" s="55" t="s">
        <v>2018</v>
      </c>
      <c r="G2137" s="55"/>
      <c r="H2137" s="55" t="s">
        <v>2411</v>
      </c>
      <c r="I2137" s="26" t="s">
        <v>1106</v>
      </c>
      <c r="J2137" s="26" t="s">
        <v>1225</v>
      </c>
      <c r="K2137" s="26" t="s">
        <v>1562</v>
      </c>
      <c r="L2137" s="26" t="s">
        <v>1591</v>
      </c>
      <c r="M2137" s="26" t="s">
        <v>1574</v>
      </c>
      <c r="N2137" s="26" t="s">
        <v>1566</v>
      </c>
      <c r="O2137" s="26" t="s">
        <v>1566</v>
      </c>
      <c r="P2137" s="26" t="s">
        <v>22</v>
      </c>
      <c r="Q2137" s="26">
        <v>0.0</v>
      </c>
    </row>
    <row r="2138" ht="17.25" customHeight="1">
      <c r="A2138" s="51">
        <v>46239.56427065972</v>
      </c>
      <c r="B2138" s="25" t="s">
        <v>105</v>
      </c>
      <c r="C2138" s="55" t="s">
        <v>1892</v>
      </c>
      <c r="D2138" s="240">
        <v>46237.0</v>
      </c>
      <c r="E2138" s="52">
        <v>1400.0</v>
      </c>
      <c r="F2138" s="55" t="s">
        <v>2018</v>
      </c>
      <c r="G2138" s="55"/>
      <c r="H2138" s="55" t="s">
        <v>2427</v>
      </c>
      <c r="I2138" s="26" t="s">
        <v>107</v>
      </c>
      <c r="J2138" s="26" t="s">
        <v>1225</v>
      </c>
      <c r="K2138" s="26" t="s">
        <v>1562</v>
      </c>
      <c r="L2138" s="26" t="s">
        <v>1603</v>
      </c>
      <c r="M2138" s="26" t="s">
        <v>1575</v>
      </c>
      <c r="N2138" s="26" t="s">
        <v>1571</v>
      </c>
      <c r="O2138" s="26" t="s">
        <v>1566</v>
      </c>
      <c r="P2138" s="26" t="s">
        <v>22</v>
      </c>
      <c r="Q2138" s="26">
        <v>1200.0</v>
      </c>
    </row>
    <row r="2139" ht="17.25" customHeight="1">
      <c r="A2139" s="51">
        <v>46239.56526175926</v>
      </c>
      <c r="B2139" s="25" t="s">
        <v>128</v>
      </c>
      <c r="C2139" s="55" t="s">
        <v>1892</v>
      </c>
      <c r="D2139" s="240">
        <v>46237.0</v>
      </c>
      <c r="E2139" s="52">
        <v>1400.0</v>
      </c>
      <c r="F2139" s="55" t="s">
        <v>2018</v>
      </c>
      <c r="G2139" s="55"/>
      <c r="H2139" s="55" t="s">
        <v>2415</v>
      </c>
      <c r="I2139" s="26" t="s">
        <v>130</v>
      </c>
      <c r="J2139" s="26" t="s">
        <v>1225</v>
      </c>
      <c r="K2139" s="26" t="s">
        <v>1562</v>
      </c>
      <c r="L2139" s="26" t="s">
        <v>1615</v>
      </c>
      <c r="M2139" s="26" t="s">
        <v>1575</v>
      </c>
      <c r="N2139" s="26" t="s">
        <v>1571</v>
      </c>
      <c r="O2139" s="26" t="s">
        <v>1566</v>
      </c>
      <c r="P2139" s="26" t="s">
        <v>22</v>
      </c>
      <c r="Q2139" s="26">
        <v>500.0</v>
      </c>
    </row>
    <row r="2140" ht="17.25" customHeight="1">
      <c r="A2140" s="51">
        <v>46239.56526175926</v>
      </c>
      <c r="B2140" s="25" t="s">
        <v>223</v>
      </c>
      <c r="C2140" s="55" t="s">
        <v>1892</v>
      </c>
      <c r="D2140" s="240">
        <v>46237.0</v>
      </c>
      <c r="E2140" s="52">
        <v>1000.0</v>
      </c>
      <c r="F2140" s="55" t="s">
        <v>2018</v>
      </c>
      <c r="G2140" s="55"/>
      <c r="H2140" s="55" t="s">
        <v>2416</v>
      </c>
      <c r="I2140" s="26" t="s">
        <v>224</v>
      </c>
      <c r="J2140" s="26" t="s">
        <v>1225</v>
      </c>
      <c r="K2140" s="26" t="s">
        <v>1562</v>
      </c>
      <c r="L2140" s="26" t="s">
        <v>1633</v>
      </c>
      <c r="M2140" s="26" t="s">
        <v>2172</v>
      </c>
      <c r="N2140" s="26" t="s">
        <v>1590</v>
      </c>
      <c r="O2140" s="26" t="s">
        <v>1590</v>
      </c>
      <c r="P2140" s="26" t="s">
        <v>22</v>
      </c>
      <c r="Q2140" s="26">
        <v>300.0</v>
      </c>
    </row>
    <row r="2141" ht="17.25" customHeight="1">
      <c r="A2141" s="51">
        <v>46239.56813271991</v>
      </c>
      <c r="B2141" s="27" t="s">
        <v>1775</v>
      </c>
      <c r="C2141" s="55" t="s">
        <v>1892</v>
      </c>
      <c r="D2141" s="240">
        <v>46237.0</v>
      </c>
      <c r="E2141" s="52">
        <v>800.0</v>
      </c>
      <c r="F2141" s="55" t="s">
        <v>2018</v>
      </c>
      <c r="G2141" s="55"/>
      <c r="H2141" s="55" t="s">
        <v>2419</v>
      </c>
      <c r="I2141" s="26" t="s">
        <v>1776</v>
      </c>
      <c r="J2141" s="26" t="s">
        <v>1225</v>
      </c>
      <c r="K2141" s="26" t="s">
        <v>1562</v>
      </c>
      <c r="L2141" s="26" t="s">
        <v>1615</v>
      </c>
      <c r="M2141" s="26" t="s">
        <v>2172</v>
      </c>
      <c r="N2141" s="26" t="s">
        <v>1590</v>
      </c>
      <c r="O2141" s="26" t="s">
        <v>1590</v>
      </c>
      <c r="P2141" s="26" t="s">
        <v>22</v>
      </c>
      <c r="Q2141" s="26">
        <v>0.0</v>
      </c>
    </row>
    <row r="2142" ht="17.25" customHeight="1">
      <c r="A2142" s="51">
        <v>46240.4774015625</v>
      </c>
      <c r="B2142" s="55" t="s">
        <v>21</v>
      </c>
      <c r="C2142" s="55" t="s">
        <v>1892</v>
      </c>
      <c r="D2142" s="240">
        <v>46240.0</v>
      </c>
      <c r="E2142" s="52">
        <v>20.0</v>
      </c>
      <c r="F2142" s="55" t="s">
        <v>24</v>
      </c>
      <c r="G2142" s="55"/>
      <c r="H2142" s="55"/>
      <c r="I2142" s="26" t="s">
        <v>23</v>
      </c>
      <c r="J2142" s="26" t="s">
        <v>1812</v>
      </c>
      <c r="K2142" s="26" t="s">
        <v>1815</v>
      </c>
      <c r="L2142" s="26" t="s">
        <v>1566</v>
      </c>
      <c r="M2142" s="26" t="s">
        <v>1566</v>
      </c>
      <c r="N2142" s="26" t="s">
        <v>1566</v>
      </c>
      <c r="O2142" s="26" t="s">
        <v>1818</v>
      </c>
      <c r="P2142" s="26" t="s">
        <v>616</v>
      </c>
      <c r="Q2142" s="26">
        <v>20.0</v>
      </c>
    </row>
    <row r="2143" ht="17.25" customHeight="1">
      <c r="A2143" s="51">
        <v>46240.491226805556</v>
      </c>
      <c r="B2143" s="55" t="s">
        <v>598</v>
      </c>
      <c r="C2143" s="55" t="s">
        <v>1892</v>
      </c>
      <c r="D2143" s="240">
        <v>46240.49118642361</v>
      </c>
      <c r="E2143" s="52">
        <v>10.0</v>
      </c>
      <c r="F2143" s="55" t="s">
        <v>2394</v>
      </c>
      <c r="G2143" s="55" t="s">
        <v>2428</v>
      </c>
      <c r="H2143" s="55"/>
      <c r="I2143" s="26" t="s">
        <v>604</v>
      </c>
      <c r="J2143" s="26" t="s">
        <v>1812</v>
      </c>
      <c r="K2143" s="26" t="s">
        <v>1815</v>
      </c>
      <c r="L2143" s="26" t="s">
        <v>1566</v>
      </c>
      <c r="M2143" s="26" t="s">
        <v>1566</v>
      </c>
      <c r="N2143" s="26" t="s">
        <v>1566</v>
      </c>
      <c r="O2143" s="26" t="s">
        <v>1812</v>
      </c>
      <c r="P2143" s="26" t="s">
        <v>616</v>
      </c>
      <c r="Q2143" s="26">
        <v>15.0</v>
      </c>
    </row>
    <row r="2144" ht="17.25" customHeight="1">
      <c r="A2144" s="51">
        <v>46241.46169474537</v>
      </c>
      <c r="B2144" s="55" t="s">
        <v>21</v>
      </c>
      <c r="C2144" s="55" t="s">
        <v>1560</v>
      </c>
      <c r="D2144" s="240">
        <v>46240.0</v>
      </c>
      <c r="E2144" s="52">
        <v>40.0</v>
      </c>
      <c r="F2144" s="55" t="s">
        <v>2394</v>
      </c>
      <c r="G2144" s="55" t="s">
        <v>2429</v>
      </c>
      <c r="H2144" s="55"/>
      <c r="I2144" s="26" t="s">
        <v>23</v>
      </c>
      <c r="J2144" s="26" t="s">
        <v>1812</v>
      </c>
      <c r="K2144" s="26" t="s">
        <v>1815</v>
      </c>
      <c r="L2144" s="26" t="s">
        <v>1566</v>
      </c>
      <c r="M2144" s="26" t="s">
        <v>1566</v>
      </c>
      <c r="N2144" s="26" t="s">
        <v>1566</v>
      </c>
      <c r="O2144" s="26" t="s">
        <v>1818</v>
      </c>
      <c r="P2144" s="26" t="s">
        <v>616</v>
      </c>
      <c r="Q2144" s="26">
        <v>20.0</v>
      </c>
    </row>
    <row r="2145" ht="17.25" customHeight="1">
      <c r="A2145" s="51">
        <v>46241.46171289352</v>
      </c>
      <c r="B2145" s="55" t="s">
        <v>32</v>
      </c>
      <c r="C2145" s="55" t="s">
        <v>1560</v>
      </c>
      <c r="D2145" s="240">
        <v>46240.0</v>
      </c>
      <c r="E2145" s="52">
        <v>1.0</v>
      </c>
      <c r="F2145" s="55" t="s">
        <v>2394</v>
      </c>
      <c r="G2145" s="55" t="s">
        <v>2429</v>
      </c>
      <c r="H2145" s="55"/>
      <c r="I2145" s="26" t="s">
        <v>34</v>
      </c>
      <c r="J2145" s="26" t="s">
        <v>1807</v>
      </c>
      <c r="K2145" s="26" t="s">
        <v>1807</v>
      </c>
      <c r="L2145" s="26" t="s">
        <v>1566</v>
      </c>
      <c r="M2145" s="26" t="s">
        <v>1566</v>
      </c>
      <c r="N2145" s="26" t="s">
        <v>1566</v>
      </c>
      <c r="O2145" s="26" t="s">
        <v>1808</v>
      </c>
      <c r="P2145" s="26" t="s">
        <v>290</v>
      </c>
      <c r="Q2145" s="26">
        <v>7.0</v>
      </c>
    </row>
    <row r="2146" ht="17.25" customHeight="1">
      <c r="A2146" s="51">
        <v>46241.46215199074</v>
      </c>
      <c r="B2146" s="55" t="s">
        <v>32</v>
      </c>
      <c r="C2146" s="55" t="s">
        <v>1892</v>
      </c>
      <c r="D2146" s="240">
        <v>46241.46213366898</v>
      </c>
      <c r="E2146" s="52">
        <v>4.0</v>
      </c>
      <c r="F2146" s="55" t="s">
        <v>2394</v>
      </c>
      <c r="G2146" s="55" t="s">
        <v>2430</v>
      </c>
      <c r="H2146" s="55"/>
      <c r="I2146" s="26" t="s">
        <v>34</v>
      </c>
      <c r="J2146" s="26" t="s">
        <v>1807</v>
      </c>
      <c r="K2146" s="26" t="s">
        <v>1807</v>
      </c>
      <c r="L2146" s="26" t="s">
        <v>1566</v>
      </c>
      <c r="M2146" s="26" t="s">
        <v>1566</v>
      </c>
      <c r="N2146" s="26" t="s">
        <v>1566</v>
      </c>
      <c r="O2146" s="26" t="s">
        <v>1808</v>
      </c>
      <c r="P2146" s="26" t="s">
        <v>290</v>
      </c>
      <c r="Q2146" s="26">
        <v>7.0</v>
      </c>
    </row>
    <row r="2147" ht="17.25" customHeight="1">
      <c r="A2147" s="51">
        <v>46241.46386966435</v>
      </c>
      <c r="B2147" s="55" t="s">
        <v>484</v>
      </c>
      <c r="C2147" s="55" t="s">
        <v>1560</v>
      </c>
      <c r="D2147" s="240">
        <v>46241.46385136574</v>
      </c>
      <c r="E2147" s="52">
        <v>20.0</v>
      </c>
      <c r="F2147" s="55" t="s">
        <v>2394</v>
      </c>
      <c r="G2147" s="55" t="s">
        <v>2431</v>
      </c>
      <c r="H2147" s="55"/>
      <c r="I2147" s="26" t="s">
        <v>636</v>
      </c>
      <c r="J2147" s="26" t="s">
        <v>1812</v>
      </c>
      <c r="K2147" s="26" t="s">
        <v>1813</v>
      </c>
      <c r="L2147" s="26" t="s">
        <v>1566</v>
      </c>
      <c r="M2147" s="26" t="s">
        <v>1566</v>
      </c>
      <c r="N2147" s="26" t="s">
        <v>1566</v>
      </c>
      <c r="O2147" s="26" t="s">
        <v>1836</v>
      </c>
      <c r="P2147" s="26" t="s">
        <v>290</v>
      </c>
      <c r="Q2147" s="26">
        <v>20.0</v>
      </c>
    </row>
    <row r="2148" ht="17.25" customHeight="1">
      <c r="A2148" s="51">
        <v>46241.548294872686</v>
      </c>
      <c r="B2148" s="55" t="s">
        <v>32</v>
      </c>
      <c r="C2148" s="55" t="s">
        <v>1560</v>
      </c>
      <c r="D2148" s="240">
        <v>46241.0</v>
      </c>
      <c r="E2148" s="52">
        <v>2.0</v>
      </c>
      <c r="F2148" s="55" t="s">
        <v>2394</v>
      </c>
      <c r="G2148" s="55" t="s">
        <v>2432</v>
      </c>
      <c r="H2148" s="55"/>
      <c r="I2148" s="26" t="s">
        <v>34</v>
      </c>
      <c r="J2148" s="26" t="s">
        <v>1807</v>
      </c>
      <c r="K2148" s="26" t="s">
        <v>1807</v>
      </c>
      <c r="L2148" s="26" t="s">
        <v>1566</v>
      </c>
      <c r="M2148" s="26" t="s">
        <v>1566</v>
      </c>
      <c r="N2148" s="26" t="s">
        <v>1566</v>
      </c>
      <c r="O2148" s="26" t="s">
        <v>1808</v>
      </c>
      <c r="P2148" s="26" t="s">
        <v>290</v>
      </c>
      <c r="Q2148" s="26">
        <v>7.0</v>
      </c>
    </row>
    <row r="2149" ht="17.25" customHeight="1">
      <c r="A2149" s="51">
        <v>46241.54875564815</v>
      </c>
      <c r="B2149" s="55" t="s">
        <v>598</v>
      </c>
      <c r="C2149" s="55" t="s">
        <v>1560</v>
      </c>
      <c r="D2149" s="240">
        <v>46241.0</v>
      </c>
      <c r="E2149" s="52">
        <v>20.0</v>
      </c>
      <c r="F2149" s="55" t="s">
        <v>2394</v>
      </c>
      <c r="G2149" s="55" t="s">
        <v>2433</v>
      </c>
      <c r="H2149" s="55"/>
      <c r="I2149" s="26" t="s">
        <v>604</v>
      </c>
      <c r="J2149" s="26" t="s">
        <v>1812</v>
      </c>
      <c r="K2149" s="26" t="s">
        <v>1815</v>
      </c>
      <c r="L2149" s="26" t="s">
        <v>1566</v>
      </c>
      <c r="M2149" s="26" t="s">
        <v>1566</v>
      </c>
      <c r="N2149" s="26" t="s">
        <v>1566</v>
      </c>
      <c r="O2149" s="26" t="s">
        <v>1812</v>
      </c>
      <c r="P2149" s="26" t="s">
        <v>616</v>
      </c>
      <c r="Q2149" s="26">
        <v>15.0</v>
      </c>
    </row>
    <row r="2150" ht="17.25" customHeight="1">
      <c r="A2150" s="51">
        <v>46241.54957048611</v>
      </c>
      <c r="B2150" s="55" t="s">
        <v>32</v>
      </c>
      <c r="C2150" s="55" t="s">
        <v>1892</v>
      </c>
      <c r="D2150" s="240">
        <v>46241.0</v>
      </c>
      <c r="E2150" s="52">
        <v>2.0</v>
      </c>
      <c r="F2150" s="55" t="s">
        <v>36</v>
      </c>
      <c r="G2150" s="55" t="s">
        <v>37</v>
      </c>
      <c r="H2150" s="55"/>
      <c r="I2150" s="26" t="s">
        <v>34</v>
      </c>
      <c r="J2150" s="26" t="s">
        <v>1807</v>
      </c>
      <c r="K2150" s="26" t="s">
        <v>1807</v>
      </c>
      <c r="L2150" s="26" t="s">
        <v>1566</v>
      </c>
      <c r="M2150" s="26" t="s">
        <v>1566</v>
      </c>
      <c r="N2150" s="26" t="s">
        <v>1566</v>
      </c>
      <c r="O2150" s="26" t="s">
        <v>1808</v>
      </c>
      <c r="P2150" s="26" t="s">
        <v>290</v>
      </c>
      <c r="Q2150" s="26">
        <v>7.0</v>
      </c>
    </row>
    <row r="2151" ht="17.25" customHeight="1">
      <c r="A2151" s="51">
        <v>46241.55630319445</v>
      </c>
      <c r="B2151" s="55" t="s">
        <v>45</v>
      </c>
      <c r="C2151" s="55" t="s">
        <v>1892</v>
      </c>
      <c r="D2151" s="240">
        <v>46241.0</v>
      </c>
      <c r="E2151" s="52">
        <v>2.0</v>
      </c>
      <c r="F2151" s="55" t="s">
        <v>24</v>
      </c>
      <c r="G2151" s="55" t="s">
        <v>50</v>
      </c>
      <c r="H2151" s="55"/>
      <c r="I2151" s="26" t="s">
        <v>47</v>
      </c>
      <c r="J2151" s="26" t="s">
        <v>1674</v>
      </c>
      <c r="K2151" s="26" t="s">
        <v>1691</v>
      </c>
      <c r="L2151" s="26" t="s">
        <v>1566</v>
      </c>
      <c r="M2151" s="26" t="s">
        <v>1566</v>
      </c>
      <c r="N2151" s="26" t="s">
        <v>1566</v>
      </c>
      <c r="O2151" s="26" t="s">
        <v>1566</v>
      </c>
      <c r="P2151" s="26" t="s">
        <v>661</v>
      </c>
      <c r="Q2151" s="26">
        <v>0.0</v>
      </c>
    </row>
    <row r="2152" ht="17.25" customHeight="1">
      <c r="A2152" s="51">
        <v>46241.620055127314</v>
      </c>
      <c r="B2152" s="55" t="s">
        <v>53</v>
      </c>
      <c r="C2152" s="55" t="s">
        <v>1892</v>
      </c>
      <c r="D2152" s="240">
        <v>46241.0</v>
      </c>
      <c r="E2152" s="52">
        <v>100.0</v>
      </c>
      <c r="F2152" s="55" t="s">
        <v>56</v>
      </c>
      <c r="G2152" s="55"/>
      <c r="H2152" s="55"/>
      <c r="I2152" s="26" t="s">
        <v>54</v>
      </c>
      <c r="J2152" s="26" t="s">
        <v>1225</v>
      </c>
      <c r="K2152" s="26" t="s">
        <v>1562</v>
      </c>
      <c r="L2152" s="26" t="s">
        <v>2199</v>
      </c>
      <c r="M2152" s="26" t="s">
        <v>1586</v>
      </c>
      <c r="N2152" s="26" t="s">
        <v>1590</v>
      </c>
      <c r="O2152" s="26" t="s">
        <v>1590</v>
      </c>
      <c r="P2152" s="26" t="s">
        <v>22</v>
      </c>
      <c r="Q2152" s="26">
        <v>0.0</v>
      </c>
    </row>
    <row r="2153" ht="17.25" customHeight="1">
      <c r="A2153" s="51">
        <v>46248.566333124996</v>
      </c>
      <c r="B2153" s="55" t="s">
        <v>201</v>
      </c>
      <c r="C2153" s="55" t="s">
        <v>1560</v>
      </c>
      <c r="D2153" s="240">
        <v>46247.0</v>
      </c>
      <c r="E2153" s="52">
        <v>3600.0</v>
      </c>
      <c r="F2153" s="55" t="s">
        <v>2394</v>
      </c>
      <c r="G2153" s="55" t="s">
        <v>2434</v>
      </c>
      <c r="H2153" s="55" t="s">
        <v>203</v>
      </c>
      <c r="I2153" s="26" t="s">
        <v>202</v>
      </c>
      <c r="J2153" s="26" t="s">
        <v>1225</v>
      </c>
      <c r="K2153" s="26" t="s">
        <v>1562</v>
      </c>
      <c r="L2153" s="26" t="s">
        <v>1573</v>
      </c>
      <c r="M2153" s="26" t="s">
        <v>1574</v>
      </c>
      <c r="N2153" s="26" t="s">
        <v>1566</v>
      </c>
      <c r="O2153" s="26" t="s">
        <v>1566</v>
      </c>
      <c r="P2153" s="26" t="s">
        <v>22</v>
      </c>
      <c r="Q2153" s="26">
        <v>600.0</v>
      </c>
    </row>
    <row r="2154" ht="17.25" customHeight="1">
      <c r="A2154" s="51">
        <v>46248.56635927083</v>
      </c>
      <c r="B2154" s="55" t="s">
        <v>123</v>
      </c>
      <c r="C2154" s="55" t="s">
        <v>1560</v>
      </c>
      <c r="D2154" s="240">
        <v>46247.0</v>
      </c>
      <c r="E2154" s="52">
        <v>4100.0</v>
      </c>
      <c r="F2154" s="55" t="s">
        <v>2394</v>
      </c>
      <c r="G2154" s="55" t="s">
        <v>2434</v>
      </c>
      <c r="H2154" s="55" t="s">
        <v>210</v>
      </c>
      <c r="I2154" s="26" t="s">
        <v>124</v>
      </c>
      <c r="J2154" s="26" t="s">
        <v>1225</v>
      </c>
      <c r="K2154" s="26" t="s">
        <v>1562</v>
      </c>
      <c r="L2154" s="26" t="s">
        <v>1587</v>
      </c>
      <c r="M2154" s="26" t="s">
        <v>1575</v>
      </c>
      <c r="N2154" s="26" t="s">
        <v>1566</v>
      </c>
      <c r="O2154" s="26" t="s">
        <v>1571</v>
      </c>
      <c r="P2154" s="26" t="s">
        <v>22</v>
      </c>
      <c r="Q2154" s="26">
        <v>1600.0</v>
      </c>
    </row>
    <row r="2155" ht="17.25" customHeight="1">
      <c r="A2155" s="51">
        <v>46248.56852421296</v>
      </c>
      <c r="B2155" s="55" t="s">
        <v>223</v>
      </c>
      <c r="C2155" s="55" t="s">
        <v>1560</v>
      </c>
      <c r="D2155" s="240">
        <v>46247.0</v>
      </c>
      <c r="E2155" s="52">
        <v>600.0</v>
      </c>
      <c r="F2155" s="55" t="s">
        <v>2394</v>
      </c>
      <c r="G2155" s="55" t="s">
        <v>2435</v>
      </c>
      <c r="H2155" s="55" t="s">
        <v>226</v>
      </c>
      <c r="I2155" s="26" t="s">
        <v>224</v>
      </c>
      <c r="J2155" s="26" t="s">
        <v>1225</v>
      </c>
      <c r="K2155" s="26" t="s">
        <v>1562</v>
      </c>
      <c r="L2155" s="26" t="s">
        <v>1633</v>
      </c>
      <c r="M2155" s="26" t="s">
        <v>2172</v>
      </c>
      <c r="N2155" s="26" t="s">
        <v>1590</v>
      </c>
      <c r="O2155" s="26" t="s">
        <v>1590</v>
      </c>
      <c r="P2155" s="26" t="s">
        <v>22</v>
      </c>
      <c r="Q2155" s="26">
        <v>300.0</v>
      </c>
    </row>
    <row r="2156" ht="17.25" customHeight="1">
      <c r="A2156" s="51">
        <v>46248.5685528125</v>
      </c>
      <c r="B2156" s="55" t="s">
        <v>308</v>
      </c>
      <c r="C2156" s="55" t="s">
        <v>1560</v>
      </c>
      <c r="D2156" s="240">
        <v>46247.0</v>
      </c>
      <c r="E2156" s="52">
        <v>1000.0</v>
      </c>
      <c r="F2156" s="55" t="s">
        <v>2394</v>
      </c>
      <c r="G2156" s="55" t="s">
        <v>2435</v>
      </c>
      <c r="H2156" s="55" t="s">
        <v>310</v>
      </c>
      <c r="I2156" s="26" t="s">
        <v>309</v>
      </c>
      <c r="J2156" s="26" t="s">
        <v>1225</v>
      </c>
      <c r="K2156" s="26" t="s">
        <v>1562</v>
      </c>
      <c r="L2156" s="26" t="s">
        <v>1563</v>
      </c>
      <c r="M2156" s="26" t="s">
        <v>1574</v>
      </c>
      <c r="N2156" s="26" t="s">
        <v>1566</v>
      </c>
      <c r="O2156" s="26" t="s">
        <v>1566</v>
      </c>
      <c r="P2156" s="26" t="s">
        <v>22</v>
      </c>
      <c r="Q2156" s="26">
        <v>0.0</v>
      </c>
    </row>
    <row r="2157" ht="17.25" customHeight="1">
      <c r="A2157" s="51">
        <v>46248.571135</v>
      </c>
      <c r="B2157" s="55" t="s">
        <v>41</v>
      </c>
      <c r="C2157" s="55" t="s">
        <v>1560</v>
      </c>
      <c r="D2157" s="240">
        <v>46246.0</v>
      </c>
      <c r="E2157" s="52">
        <v>2200.0</v>
      </c>
      <c r="F2157" s="55" t="s">
        <v>2394</v>
      </c>
      <c r="G2157" s="55" t="s">
        <v>2436</v>
      </c>
      <c r="H2157" s="55" t="s">
        <v>196</v>
      </c>
      <c r="I2157" s="26" t="s">
        <v>42</v>
      </c>
      <c r="J2157" s="26" t="s">
        <v>1225</v>
      </c>
      <c r="K2157" s="26" t="s">
        <v>1562</v>
      </c>
      <c r="L2157" s="26" t="s">
        <v>1576</v>
      </c>
      <c r="M2157" s="26" t="s">
        <v>1575</v>
      </c>
      <c r="N2157" s="26" t="s">
        <v>1571</v>
      </c>
      <c r="O2157" s="26" t="s">
        <v>1566</v>
      </c>
      <c r="P2157" s="26" t="s">
        <v>22</v>
      </c>
      <c r="Q2157" s="26">
        <v>200.0</v>
      </c>
    </row>
    <row r="2158" ht="17.25" customHeight="1">
      <c r="A2158" s="51">
        <v>46248.571152812496</v>
      </c>
      <c r="B2158" s="55" t="s">
        <v>147</v>
      </c>
      <c r="C2158" s="55" t="s">
        <v>1560</v>
      </c>
      <c r="D2158" s="240">
        <v>46246.0</v>
      </c>
      <c r="E2158" s="52">
        <v>1000.0</v>
      </c>
      <c r="F2158" s="55" t="s">
        <v>2394</v>
      </c>
      <c r="G2158" s="55" t="s">
        <v>2436</v>
      </c>
      <c r="H2158" s="55" t="s">
        <v>395</v>
      </c>
      <c r="I2158" s="26" t="s">
        <v>148</v>
      </c>
      <c r="J2158" s="26" t="s">
        <v>1225</v>
      </c>
      <c r="K2158" s="26" t="s">
        <v>1562</v>
      </c>
      <c r="L2158" s="26" t="s">
        <v>1633</v>
      </c>
      <c r="M2158" s="26" t="s">
        <v>1574</v>
      </c>
      <c r="N2158" s="26" t="s">
        <v>1566</v>
      </c>
      <c r="O2158" s="26" t="s">
        <v>1566</v>
      </c>
      <c r="P2158" s="26" t="s">
        <v>22</v>
      </c>
      <c r="Q2158" s="26">
        <v>0.0</v>
      </c>
    </row>
    <row r="2159" ht="17.25" customHeight="1">
      <c r="A2159" s="51">
        <v>46248.57654512732</v>
      </c>
      <c r="B2159" s="55" t="s">
        <v>171</v>
      </c>
      <c r="C2159" s="55" t="s">
        <v>1560</v>
      </c>
      <c r="D2159" s="240">
        <v>46245.0</v>
      </c>
      <c r="E2159" s="52">
        <v>648.0</v>
      </c>
      <c r="F2159" s="55" t="s">
        <v>2394</v>
      </c>
      <c r="G2159" s="55" t="s">
        <v>2437</v>
      </c>
      <c r="H2159" s="55" t="s">
        <v>173</v>
      </c>
      <c r="I2159" s="26" t="s">
        <v>172</v>
      </c>
      <c r="J2159" s="26" t="s">
        <v>1225</v>
      </c>
      <c r="K2159" s="26" t="s">
        <v>1653</v>
      </c>
      <c r="L2159" s="26" t="s">
        <v>1582</v>
      </c>
      <c r="M2159" s="26" t="s">
        <v>1572</v>
      </c>
      <c r="N2159" s="26" t="s">
        <v>1566</v>
      </c>
      <c r="O2159" s="26" t="s">
        <v>1978</v>
      </c>
      <c r="P2159" s="26" t="s">
        <v>22</v>
      </c>
      <c r="Q2159" s="26">
        <v>720.0</v>
      </c>
    </row>
    <row r="2160" ht="17.25" customHeight="1">
      <c r="A2160" s="51">
        <v>46248.576562511575</v>
      </c>
      <c r="B2160" s="55" t="s">
        <v>179</v>
      </c>
      <c r="C2160" s="55" t="s">
        <v>1560</v>
      </c>
      <c r="D2160" s="240">
        <v>46245.0</v>
      </c>
      <c r="E2160" s="52">
        <v>2592.0</v>
      </c>
      <c r="F2160" s="55" t="s">
        <v>2394</v>
      </c>
      <c r="G2160" s="55" t="s">
        <v>2437</v>
      </c>
      <c r="H2160" s="55" t="s">
        <v>182</v>
      </c>
      <c r="I2160" s="26" t="s">
        <v>180</v>
      </c>
      <c r="J2160" s="26" t="s">
        <v>1225</v>
      </c>
      <c r="K2160" s="26" t="s">
        <v>1653</v>
      </c>
      <c r="L2160" s="26" t="s">
        <v>1563</v>
      </c>
      <c r="M2160" s="26" t="s">
        <v>1572</v>
      </c>
      <c r="N2160" s="26" t="s">
        <v>1654</v>
      </c>
      <c r="O2160" s="26" t="s">
        <v>1566</v>
      </c>
      <c r="P2160" s="26" t="s">
        <v>22</v>
      </c>
      <c r="Q2160" s="26">
        <v>0.0</v>
      </c>
    </row>
    <row r="2161" ht="17.25" customHeight="1">
      <c r="A2161" s="51">
        <v>46248.576579988425</v>
      </c>
      <c r="B2161" s="200" t="s">
        <v>2033</v>
      </c>
      <c r="C2161" s="55" t="s">
        <v>1560</v>
      </c>
      <c r="D2161" s="240">
        <v>46245.0</v>
      </c>
      <c r="E2161" s="52">
        <v>720.0</v>
      </c>
      <c r="F2161" s="55" t="s">
        <v>2394</v>
      </c>
      <c r="G2161" s="55" t="s">
        <v>2437</v>
      </c>
      <c r="H2161" s="55" t="s">
        <v>1349</v>
      </c>
      <c r="I2161" s="26" t="s">
        <v>1348</v>
      </c>
      <c r="J2161" s="26" t="s">
        <v>1225</v>
      </c>
      <c r="K2161" s="26" t="s">
        <v>1653</v>
      </c>
      <c r="L2161" s="26" t="s">
        <v>2201</v>
      </c>
      <c r="M2161" s="26" t="s">
        <v>1662</v>
      </c>
      <c r="N2161" s="26" t="s">
        <v>1566</v>
      </c>
      <c r="O2161" s="26" t="s">
        <v>2202</v>
      </c>
      <c r="P2161" s="26" t="s">
        <v>22</v>
      </c>
      <c r="Q2161" s="26">
        <v>720.0</v>
      </c>
    </row>
    <row r="2162" ht="17.25" customHeight="1">
      <c r="A2162" s="51">
        <v>46248.57659815972</v>
      </c>
      <c r="B2162" s="55" t="s">
        <v>187</v>
      </c>
      <c r="C2162" s="55" t="s">
        <v>1560</v>
      </c>
      <c r="D2162" s="240">
        <v>46245.0</v>
      </c>
      <c r="E2162" s="52">
        <v>864.0</v>
      </c>
      <c r="F2162" s="55" t="s">
        <v>2394</v>
      </c>
      <c r="G2162" s="55" t="s">
        <v>2437</v>
      </c>
      <c r="H2162" s="55" t="s">
        <v>190</v>
      </c>
      <c r="I2162" s="26" t="s">
        <v>188</v>
      </c>
      <c r="J2162" s="26" t="s">
        <v>1225</v>
      </c>
      <c r="K2162" s="26" t="s">
        <v>1653</v>
      </c>
      <c r="L2162" s="26" t="s">
        <v>1587</v>
      </c>
      <c r="M2162" s="26" t="s">
        <v>1572</v>
      </c>
      <c r="N2162" s="26" t="s">
        <v>1566</v>
      </c>
      <c r="O2162" s="26" t="s">
        <v>1654</v>
      </c>
      <c r="P2162" s="26" t="s">
        <v>22</v>
      </c>
      <c r="Q2162" s="26">
        <v>0.0</v>
      </c>
    </row>
    <row r="2163" ht="17.25" customHeight="1">
      <c r="A2163" s="51">
        <v>46248.58028587963</v>
      </c>
      <c r="B2163" s="55" t="s">
        <v>105</v>
      </c>
      <c r="C2163" s="55" t="s">
        <v>1560</v>
      </c>
      <c r="D2163" s="240">
        <v>46248.0</v>
      </c>
      <c r="E2163" s="52">
        <v>600.0</v>
      </c>
      <c r="F2163" s="55" t="s">
        <v>2394</v>
      </c>
      <c r="G2163" s="55" t="s">
        <v>2438</v>
      </c>
      <c r="H2163" s="55" t="s">
        <v>233</v>
      </c>
      <c r="I2163" s="26" t="s">
        <v>107</v>
      </c>
      <c r="J2163" s="26" t="s">
        <v>1225</v>
      </c>
      <c r="K2163" s="26" t="s">
        <v>1562</v>
      </c>
      <c r="L2163" s="26" t="s">
        <v>1603</v>
      </c>
      <c r="M2163" s="26" t="s">
        <v>1575</v>
      </c>
      <c r="N2163" s="26" t="s">
        <v>1571</v>
      </c>
      <c r="O2163" s="26" t="s">
        <v>1566</v>
      </c>
      <c r="P2163" s="26" t="s">
        <v>22</v>
      </c>
      <c r="Q2163" s="26">
        <v>1200.0</v>
      </c>
    </row>
    <row r="2164" ht="17.25" customHeight="1">
      <c r="A2164" s="51">
        <v>46248.58030240741</v>
      </c>
      <c r="B2164" s="55" t="s">
        <v>87</v>
      </c>
      <c r="C2164" s="55" t="s">
        <v>1560</v>
      </c>
      <c r="D2164" s="240">
        <v>46248.0</v>
      </c>
      <c r="E2164" s="52">
        <v>700.0</v>
      </c>
      <c r="F2164" s="55" t="s">
        <v>2394</v>
      </c>
      <c r="G2164" s="55" t="s">
        <v>2438</v>
      </c>
      <c r="H2164" s="55" t="s">
        <v>242</v>
      </c>
      <c r="I2164" s="26" t="s">
        <v>88</v>
      </c>
      <c r="J2164" s="26" t="s">
        <v>1225</v>
      </c>
      <c r="K2164" s="26" t="s">
        <v>1562</v>
      </c>
      <c r="L2164" s="26" t="s">
        <v>1633</v>
      </c>
      <c r="M2164" s="26" t="s">
        <v>1575</v>
      </c>
      <c r="N2164" s="26" t="s">
        <v>1590</v>
      </c>
      <c r="O2164" s="26" t="s">
        <v>2160</v>
      </c>
      <c r="P2164" s="26" t="s">
        <v>22</v>
      </c>
      <c r="Q2164" s="26">
        <v>800.0</v>
      </c>
    </row>
    <row r="2165" ht="17.25" customHeight="1">
      <c r="A2165" s="51">
        <v>46248.58031993055</v>
      </c>
      <c r="B2165" s="55" t="s">
        <v>123</v>
      </c>
      <c r="C2165" s="55" t="s">
        <v>1560</v>
      </c>
      <c r="D2165" s="240">
        <v>46248.0</v>
      </c>
      <c r="E2165" s="52">
        <v>800.0</v>
      </c>
      <c r="F2165" s="55" t="s">
        <v>2394</v>
      </c>
      <c r="G2165" s="55" t="s">
        <v>2438</v>
      </c>
      <c r="H2165" s="55" t="s">
        <v>248</v>
      </c>
      <c r="I2165" s="26" t="s">
        <v>124</v>
      </c>
      <c r="J2165" s="26" t="s">
        <v>1225</v>
      </c>
      <c r="K2165" s="26" t="s">
        <v>1562</v>
      </c>
      <c r="L2165" s="26" t="s">
        <v>1587</v>
      </c>
      <c r="M2165" s="26" t="s">
        <v>1575</v>
      </c>
      <c r="N2165" s="26" t="s">
        <v>1566</v>
      </c>
      <c r="O2165" s="26" t="s">
        <v>1571</v>
      </c>
      <c r="P2165" s="26" t="s">
        <v>22</v>
      </c>
      <c r="Q2165" s="26">
        <v>1600.0</v>
      </c>
    </row>
    <row r="2166" ht="17.25" customHeight="1">
      <c r="A2166" s="51">
        <v>46248.580337962965</v>
      </c>
      <c r="B2166" s="55" t="s">
        <v>79</v>
      </c>
      <c r="C2166" s="55" t="s">
        <v>1560</v>
      </c>
      <c r="D2166" s="240">
        <v>46248.0</v>
      </c>
      <c r="E2166" s="52">
        <v>1100.0</v>
      </c>
      <c r="F2166" s="55" t="s">
        <v>2394</v>
      </c>
      <c r="G2166" s="55" t="s">
        <v>2438</v>
      </c>
      <c r="H2166" s="55" t="s">
        <v>263</v>
      </c>
      <c r="I2166" s="26" t="s">
        <v>80</v>
      </c>
      <c r="J2166" s="26" t="s">
        <v>1225</v>
      </c>
      <c r="K2166" s="26" t="s">
        <v>1562</v>
      </c>
      <c r="L2166" s="26" t="s">
        <v>1563</v>
      </c>
      <c r="M2166" s="26" t="s">
        <v>1575</v>
      </c>
      <c r="N2166" s="26" t="s">
        <v>1566</v>
      </c>
      <c r="O2166" s="26" t="s">
        <v>1566</v>
      </c>
      <c r="P2166" s="26" t="s">
        <v>22</v>
      </c>
      <c r="Q2166" s="26">
        <v>700.0</v>
      </c>
    </row>
    <row r="2167" ht="17.25" customHeight="1">
      <c r="A2167" s="51">
        <v>46248.58035478009</v>
      </c>
      <c r="B2167" s="55" t="s">
        <v>215</v>
      </c>
      <c r="C2167" s="55" t="s">
        <v>1560</v>
      </c>
      <c r="D2167" s="240">
        <v>46248.0</v>
      </c>
      <c r="E2167" s="52">
        <v>1000.0</v>
      </c>
      <c r="F2167" s="55" t="s">
        <v>2394</v>
      </c>
      <c r="G2167" s="55" t="s">
        <v>2438</v>
      </c>
      <c r="H2167" s="55" t="s">
        <v>255</v>
      </c>
      <c r="I2167" s="26" t="s">
        <v>216</v>
      </c>
      <c r="J2167" s="26" t="s">
        <v>1225</v>
      </c>
      <c r="K2167" s="26" t="s">
        <v>1562</v>
      </c>
      <c r="L2167" s="26" t="s">
        <v>1600</v>
      </c>
      <c r="M2167" s="26" t="s">
        <v>1564</v>
      </c>
      <c r="N2167" s="26" t="s">
        <v>1566</v>
      </c>
      <c r="O2167" s="26" t="s">
        <v>1566</v>
      </c>
      <c r="P2167" s="26" t="s">
        <v>22</v>
      </c>
      <c r="Q2167" s="26">
        <v>0.0</v>
      </c>
    </row>
    <row r="2168" ht="17.25" customHeight="1">
      <c r="A2168" s="51">
        <v>46248.58529765047</v>
      </c>
      <c r="B2168" s="55" t="s">
        <v>139</v>
      </c>
      <c r="C2168" s="55" t="s">
        <v>1560</v>
      </c>
      <c r="D2168" s="240">
        <v>46242.0</v>
      </c>
      <c r="E2168" s="52">
        <v>1100.0</v>
      </c>
      <c r="F2168" s="55" t="s">
        <v>2394</v>
      </c>
      <c r="G2168" s="55" t="s">
        <v>2439</v>
      </c>
      <c r="H2168" s="55" t="s">
        <v>141</v>
      </c>
      <c r="I2168" s="26" t="s">
        <v>140</v>
      </c>
      <c r="J2168" s="26" t="s">
        <v>1225</v>
      </c>
      <c r="K2168" s="26" t="s">
        <v>1562</v>
      </c>
      <c r="L2168" s="26" t="s">
        <v>1563</v>
      </c>
      <c r="M2168" s="26" t="s">
        <v>1586</v>
      </c>
      <c r="N2168" s="26" t="s">
        <v>1566</v>
      </c>
      <c r="O2168" s="26" t="s">
        <v>1566</v>
      </c>
      <c r="P2168" s="26" t="s">
        <v>22</v>
      </c>
      <c r="Q2168" s="26">
        <v>0.0</v>
      </c>
    </row>
    <row r="2169" ht="17.25" customHeight="1">
      <c r="A2169" s="51">
        <v>46248.585312337964</v>
      </c>
      <c r="B2169" s="55" t="s">
        <v>147</v>
      </c>
      <c r="C2169" s="55" t="s">
        <v>1560</v>
      </c>
      <c r="D2169" s="240">
        <v>46242.0</v>
      </c>
      <c r="E2169" s="52">
        <v>1200.0</v>
      </c>
      <c r="F2169" s="55" t="s">
        <v>2394</v>
      </c>
      <c r="G2169" s="55" t="s">
        <v>2439</v>
      </c>
      <c r="H2169" s="55" t="s">
        <v>149</v>
      </c>
      <c r="I2169" s="26" t="s">
        <v>148</v>
      </c>
      <c r="J2169" s="26" t="s">
        <v>1225</v>
      </c>
      <c r="K2169" s="26" t="s">
        <v>1562</v>
      </c>
      <c r="L2169" s="26" t="s">
        <v>1633</v>
      </c>
      <c r="M2169" s="26" t="s">
        <v>1574</v>
      </c>
      <c r="N2169" s="26" t="s">
        <v>1566</v>
      </c>
      <c r="O2169" s="26" t="s">
        <v>1566</v>
      </c>
      <c r="P2169" s="26" t="s">
        <v>22</v>
      </c>
      <c r="Q2169" s="26">
        <v>0.0</v>
      </c>
    </row>
    <row r="2170" ht="17.25" customHeight="1">
      <c r="A2170" s="51">
        <v>46248.58532810185</v>
      </c>
      <c r="B2170" s="55" t="s">
        <v>41</v>
      </c>
      <c r="C2170" s="55" t="s">
        <v>1560</v>
      </c>
      <c r="D2170" s="240">
        <v>46242.0</v>
      </c>
      <c r="E2170" s="52">
        <v>1000.0</v>
      </c>
      <c r="F2170" s="55" t="s">
        <v>2394</v>
      </c>
      <c r="G2170" s="55" t="s">
        <v>2439</v>
      </c>
      <c r="H2170" s="55" t="s">
        <v>157</v>
      </c>
      <c r="I2170" s="26" t="s">
        <v>42</v>
      </c>
      <c r="J2170" s="26" t="s">
        <v>1225</v>
      </c>
      <c r="K2170" s="26" t="s">
        <v>1562</v>
      </c>
      <c r="L2170" s="26" t="s">
        <v>1576</v>
      </c>
      <c r="M2170" s="26" t="s">
        <v>1575</v>
      </c>
      <c r="N2170" s="26" t="s">
        <v>1571</v>
      </c>
      <c r="O2170" s="26" t="s">
        <v>1566</v>
      </c>
      <c r="P2170" s="26" t="s">
        <v>22</v>
      </c>
      <c r="Q2170" s="26">
        <v>200.0</v>
      </c>
    </row>
    <row r="2171" ht="17.25" customHeight="1">
      <c r="A2171" s="51">
        <v>46248.58534451389</v>
      </c>
      <c r="B2171" s="55" t="s">
        <v>341</v>
      </c>
      <c r="C2171" s="55" t="s">
        <v>1560</v>
      </c>
      <c r="D2171" s="240">
        <v>46242.0</v>
      </c>
      <c r="E2171" s="52">
        <v>1100.0</v>
      </c>
      <c r="F2171" s="55" t="s">
        <v>2394</v>
      </c>
      <c r="G2171" s="55" t="s">
        <v>2439</v>
      </c>
      <c r="H2171" s="55" t="s">
        <v>343</v>
      </c>
      <c r="I2171" s="26" t="s">
        <v>342</v>
      </c>
      <c r="J2171" s="26" t="s">
        <v>1225</v>
      </c>
      <c r="K2171" s="26" t="s">
        <v>1562</v>
      </c>
      <c r="L2171" s="26" t="s">
        <v>1591</v>
      </c>
      <c r="M2171" s="26" t="s">
        <v>1586</v>
      </c>
      <c r="N2171" s="26" t="s">
        <v>1566</v>
      </c>
      <c r="O2171" s="26" t="s">
        <v>1566</v>
      </c>
      <c r="P2171" s="26" t="s">
        <v>22</v>
      </c>
      <c r="Q2171" s="26">
        <v>0.0</v>
      </c>
    </row>
    <row r="2172" ht="17.25" customHeight="1">
      <c r="A2172" s="51">
        <v>46248.58536077546</v>
      </c>
      <c r="B2172" s="55" t="s">
        <v>163</v>
      </c>
      <c r="C2172" s="55" t="s">
        <v>1560</v>
      </c>
      <c r="D2172" s="240">
        <v>46242.0</v>
      </c>
      <c r="E2172" s="52">
        <v>3000.0</v>
      </c>
      <c r="F2172" s="55" t="s">
        <v>2394</v>
      </c>
      <c r="G2172" s="55" t="s">
        <v>2439</v>
      </c>
      <c r="H2172" s="55" t="s">
        <v>165</v>
      </c>
      <c r="I2172" s="26" t="s">
        <v>1737</v>
      </c>
      <c r="J2172" s="26" t="s">
        <v>1225</v>
      </c>
      <c r="K2172" s="26" t="s">
        <v>1562</v>
      </c>
      <c r="L2172" s="26" t="s">
        <v>1587</v>
      </c>
      <c r="M2172" s="26" t="s">
        <v>2172</v>
      </c>
      <c r="N2172" s="26" t="s">
        <v>1566</v>
      </c>
      <c r="O2172" s="26" t="s">
        <v>1566</v>
      </c>
      <c r="P2172" s="26" t="s">
        <v>22</v>
      </c>
      <c r="Q2172" s="26">
        <v>4000.0</v>
      </c>
    </row>
    <row r="2173" ht="17.25" customHeight="1">
      <c r="A2173" s="51">
        <v>46248.58973057871</v>
      </c>
      <c r="B2173" s="55" t="s">
        <v>105</v>
      </c>
      <c r="C2173" s="55" t="s">
        <v>1560</v>
      </c>
      <c r="D2173" s="240">
        <v>46239.0</v>
      </c>
      <c r="E2173" s="52">
        <v>1400.0</v>
      </c>
      <c r="F2173" s="55" t="s">
        <v>2394</v>
      </c>
      <c r="G2173" s="55" t="s">
        <v>2440</v>
      </c>
      <c r="H2173" s="55" t="s">
        <v>108</v>
      </c>
      <c r="I2173" s="26" t="s">
        <v>107</v>
      </c>
      <c r="J2173" s="26" t="s">
        <v>1225</v>
      </c>
      <c r="K2173" s="26" t="s">
        <v>1562</v>
      </c>
      <c r="L2173" s="26" t="s">
        <v>1603</v>
      </c>
      <c r="M2173" s="26" t="s">
        <v>1575</v>
      </c>
      <c r="N2173" s="26" t="s">
        <v>1571</v>
      </c>
      <c r="O2173" s="26" t="s">
        <v>1566</v>
      </c>
      <c r="P2173" s="26" t="s">
        <v>22</v>
      </c>
      <c r="Q2173" s="26">
        <v>1200.0</v>
      </c>
    </row>
    <row r="2174" ht="17.25" customHeight="1">
      <c r="A2174" s="51">
        <v>46248.58975306713</v>
      </c>
      <c r="B2174" s="55" t="s">
        <v>41</v>
      </c>
      <c r="C2174" s="55" t="s">
        <v>1560</v>
      </c>
      <c r="D2174" s="240">
        <v>46239.0</v>
      </c>
      <c r="E2174" s="52">
        <v>400.0</v>
      </c>
      <c r="F2174" s="55" t="s">
        <v>2394</v>
      </c>
      <c r="G2174" s="55" t="s">
        <v>2440</v>
      </c>
      <c r="H2174" s="55" t="s">
        <v>116</v>
      </c>
      <c r="I2174" s="26" t="s">
        <v>42</v>
      </c>
      <c r="J2174" s="26" t="s">
        <v>1225</v>
      </c>
      <c r="K2174" s="26" t="s">
        <v>1562</v>
      </c>
      <c r="L2174" s="26" t="s">
        <v>1576</v>
      </c>
      <c r="M2174" s="26" t="s">
        <v>1575</v>
      </c>
      <c r="N2174" s="26" t="s">
        <v>1571</v>
      </c>
      <c r="O2174" s="26" t="s">
        <v>1566</v>
      </c>
      <c r="P2174" s="26" t="s">
        <v>22</v>
      </c>
      <c r="Q2174" s="26">
        <v>200.0</v>
      </c>
    </row>
    <row r="2175" ht="17.25" customHeight="1">
      <c r="A2175" s="51">
        <v>46248.58977199074</v>
      </c>
      <c r="B2175" s="55" t="s">
        <v>123</v>
      </c>
      <c r="C2175" s="55" t="s">
        <v>1560</v>
      </c>
      <c r="D2175" s="240">
        <v>46239.0</v>
      </c>
      <c r="E2175" s="52">
        <v>1400.0</v>
      </c>
      <c r="F2175" s="55" t="s">
        <v>2394</v>
      </c>
      <c r="G2175" s="55" t="s">
        <v>2440</v>
      </c>
      <c r="H2175" s="55" t="s">
        <v>126</v>
      </c>
      <c r="I2175" s="26" t="s">
        <v>124</v>
      </c>
      <c r="J2175" s="26" t="s">
        <v>1225</v>
      </c>
      <c r="K2175" s="26" t="s">
        <v>1562</v>
      </c>
      <c r="L2175" s="26" t="s">
        <v>1587</v>
      </c>
      <c r="M2175" s="26" t="s">
        <v>1575</v>
      </c>
      <c r="N2175" s="26" t="s">
        <v>1566</v>
      </c>
      <c r="O2175" s="26" t="s">
        <v>1571</v>
      </c>
      <c r="P2175" s="26" t="s">
        <v>22</v>
      </c>
      <c r="Q2175" s="26">
        <v>1600.0</v>
      </c>
    </row>
    <row r="2176" ht="17.25" customHeight="1">
      <c r="A2176" s="51">
        <v>46248.58978969908</v>
      </c>
      <c r="B2176" s="55" t="s">
        <v>87</v>
      </c>
      <c r="C2176" s="55" t="s">
        <v>1560</v>
      </c>
      <c r="D2176" s="240">
        <v>46239.0</v>
      </c>
      <c r="E2176" s="52">
        <v>1200.0</v>
      </c>
      <c r="F2176" s="55" t="s">
        <v>2394</v>
      </c>
      <c r="G2176" s="55" t="s">
        <v>2440</v>
      </c>
      <c r="H2176" s="55" t="s">
        <v>132</v>
      </c>
      <c r="I2176" s="26" t="s">
        <v>88</v>
      </c>
      <c r="J2176" s="26" t="s">
        <v>1225</v>
      </c>
      <c r="K2176" s="26" t="s">
        <v>1562</v>
      </c>
      <c r="L2176" s="26" t="s">
        <v>1633</v>
      </c>
      <c r="M2176" s="26" t="s">
        <v>1575</v>
      </c>
      <c r="N2176" s="26" t="s">
        <v>1590</v>
      </c>
      <c r="O2176" s="26" t="s">
        <v>2160</v>
      </c>
      <c r="P2176" s="26" t="s">
        <v>22</v>
      </c>
      <c r="Q2176" s="26">
        <v>800.0</v>
      </c>
    </row>
    <row r="2177" ht="17.25" customHeight="1">
      <c r="A2177" s="51">
        <v>46254.62302263889</v>
      </c>
      <c r="B2177" s="55" t="s">
        <v>61</v>
      </c>
      <c r="C2177" s="55" t="s">
        <v>1560</v>
      </c>
      <c r="D2177" s="240">
        <v>46248.0</v>
      </c>
      <c r="E2177" s="52">
        <v>1000.0</v>
      </c>
      <c r="F2177" s="55" t="s">
        <v>2394</v>
      </c>
      <c r="G2177" s="55" t="s">
        <v>2441</v>
      </c>
      <c r="H2177" s="55" t="s">
        <v>64</v>
      </c>
      <c r="I2177" s="26" t="s">
        <v>62</v>
      </c>
      <c r="J2177" s="26" t="s">
        <v>1225</v>
      </c>
      <c r="K2177" s="26" t="s">
        <v>1562</v>
      </c>
      <c r="L2177" s="26" t="s">
        <v>1600</v>
      </c>
      <c r="M2177" s="26" t="s">
        <v>1575</v>
      </c>
      <c r="N2177" s="26" t="s">
        <v>1566</v>
      </c>
      <c r="O2177" s="26" t="s">
        <v>2160</v>
      </c>
      <c r="P2177" s="26" t="s">
        <v>22</v>
      </c>
      <c r="Q2177" s="26">
        <v>0.0</v>
      </c>
    </row>
    <row r="2178" ht="17.25" customHeight="1">
      <c r="A2178" s="51">
        <v>46254.62304614583</v>
      </c>
      <c r="B2178" s="55" t="s">
        <v>87</v>
      </c>
      <c r="C2178" s="55" t="s">
        <v>1560</v>
      </c>
      <c r="D2178" s="240">
        <v>46248.0</v>
      </c>
      <c r="E2178" s="52">
        <v>200.0</v>
      </c>
      <c r="F2178" s="55" t="s">
        <v>2394</v>
      </c>
      <c r="G2178" s="55" t="s">
        <v>2441</v>
      </c>
      <c r="H2178" s="55" t="s">
        <v>1360</v>
      </c>
      <c r="I2178" s="26" t="s">
        <v>88</v>
      </c>
      <c r="J2178" s="26" t="s">
        <v>1225</v>
      </c>
      <c r="K2178" s="26" t="s">
        <v>1562</v>
      </c>
      <c r="L2178" s="26" t="s">
        <v>1633</v>
      </c>
      <c r="M2178" s="26" t="s">
        <v>1575</v>
      </c>
      <c r="N2178" s="26" t="s">
        <v>1590</v>
      </c>
      <c r="O2178" s="26" t="s">
        <v>2160</v>
      </c>
      <c r="P2178" s="26" t="s">
        <v>22</v>
      </c>
      <c r="Q2178" s="26">
        <v>800.0</v>
      </c>
    </row>
    <row r="2179" ht="17.25" customHeight="1">
      <c r="A2179" s="51">
        <v>46254.626131944446</v>
      </c>
      <c r="B2179" s="55" t="s">
        <v>317</v>
      </c>
      <c r="C2179" s="55" t="s">
        <v>1560</v>
      </c>
      <c r="D2179" s="240">
        <v>46253.0</v>
      </c>
      <c r="E2179" s="52">
        <v>1400.0</v>
      </c>
      <c r="F2179" s="55" t="s">
        <v>2394</v>
      </c>
      <c r="G2179" s="55" t="s">
        <v>2442</v>
      </c>
      <c r="H2179" s="55" t="s">
        <v>320</v>
      </c>
      <c r="I2179" s="26" t="s">
        <v>318</v>
      </c>
      <c r="J2179" s="26" t="s">
        <v>1225</v>
      </c>
      <c r="K2179" s="26" t="s">
        <v>1562</v>
      </c>
      <c r="L2179" s="26" t="s">
        <v>2199</v>
      </c>
      <c r="M2179" s="26" t="s">
        <v>1575</v>
      </c>
      <c r="N2179" s="26" t="s">
        <v>1566</v>
      </c>
      <c r="O2179" s="26" t="s">
        <v>2204</v>
      </c>
      <c r="P2179" s="26" t="s">
        <v>22</v>
      </c>
      <c r="Q2179" s="26">
        <v>0.0</v>
      </c>
    </row>
    <row r="2180" ht="17.25" customHeight="1">
      <c r="A2180" s="51">
        <v>46254.7101084375</v>
      </c>
      <c r="B2180" s="55" t="s">
        <v>61</v>
      </c>
      <c r="C2180" s="55" t="s">
        <v>1892</v>
      </c>
      <c r="D2180" s="240">
        <v>46252.0</v>
      </c>
      <c r="E2180" s="52">
        <v>1000.0</v>
      </c>
      <c r="F2180" s="55" t="s">
        <v>36</v>
      </c>
      <c r="G2180" s="55" t="s">
        <v>66</v>
      </c>
      <c r="H2180" s="55" t="s">
        <v>64</v>
      </c>
      <c r="I2180" s="26" t="s">
        <v>62</v>
      </c>
      <c r="J2180" s="26" t="s">
        <v>1225</v>
      </c>
      <c r="K2180" s="26" t="s">
        <v>1562</v>
      </c>
      <c r="L2180" s="26" t="s">
        <v>1600</v>
      </c>
      <c r="M2180" s="26" t="s">
        <v>1575</v>
      </c>
      <c r="N2180" s="26" t="s">
        <v>1566</v>
      </c>
      <c r="O2180" s="26" t="s">
        <v>2160</v>
      </c>
      <c r="P2180" s="26" t="s">
        <v>22</v>
      </c>
      <c r="Q2180" s="26">
        <v>0.0</v>
      </c>
    </row>
    <row r="2181" ht="17.25" customHeight="1">
      <c r="A2181" s="51">
        <v>46254.710611319446</v>
      </c>
      <c r="B2181" s="55" t="s">
        <v>70</v>
      </c>
      <c r="C2181" s="55" t="s">
        <v>1892</v>
      </c>
      <c r="D2181" s="240">
        <v>46239.0</v>
      </c>
      <c r="E2181" s="52">
        <v>600.0</v>
      </c>
      <c r="F2181" s="55" t="s">
        <v>24</v>
      </c>
      <c r="G2181" s="55"/>
      <c r="H2181" s="55" t="s">
        <v>73</v>
      </c>
      <c r="I2181" s="26" t="s">
        <v>71</v>
      </c>
      <c r="J2181" s="26" t="s">
        <v>1225</v>
      </c>
      <c r="K2181" s="26" t="s">
        <v>1562</v>
      </c>
      <c r="L2181" s="26" t="s">
        <v>1591</v>
      </c>
      <c r="M2181" s="26" t="s">
        <v>2172</v>
      </c>
      <c r="N2181" s="26" t="s">
        <v>1566</v>
      </c>
      <c r="O2181" s="26" t="s">
        <v>1571</v>
      </c>
      <c r="P2181" s="26" t="s">
        <v>22</v>
      </c>
      <c r="Q2181" s="26">
        <v>0.0</v>
      </c>
    </row>
    <row r="2182" ht="17.25" customHeight="1">
      <c r="A2182" s="51">
        <v>46254.71124047454</v>
      </c>
      <c r="B2182" s="55" t="s">
        <v>79</v>
      </c>
      <c r="C2182" s="55" t="s">
        <v>1892</v>
      </c>
      <c r="D2182" s="240">
        <v>46250.0</v>
      </c>
      <c r="E2182" s="52">
        <v>1900.0</v>
      </c>
      <c r="F2182" s="55" t="s">
        <v>24</v>
      </c>
      <c r="G2182" s="55"/>
      <c r="H2182" s="55" t="s">
        <v>81</v>
      </c>
      <c r="I2182" s="26" t="s">
        <v>80</v>
      </c>
      <c r="J2182" s="26" t="s">
        <v>1225</v>
      </c>
      <c r="K2182" s="26" t="s">
        <v>1562</v>
      </c>
      <c r="L2182" s="26" t="s">
        <v>1563</v>
      </c>
      <c r="M2182" s="26" t="s">
        <v>1575</v>
      </c>
      <c r="N2182" s="26" t="s">
        <v>1566</v>
      </c>
      <c r="O2182" s="26" t="s">
        <v>1566</v>
      </c>
      <c r="P2182" s="26" t="s">
        <v>22</v>
      </c>
      <c r="Q2182" s="26">
        <v>700.0</v>
      </c>
    </row>
    <row r="2183" ht="17.25" customHeight="1">
      <c r="A2183" s="51">
        <v>46254.71884108796</v>
      </c>
      <c r="B2183" s="55" t="s">
        <v>87</v>
      </c>
      <c r="C2183" s="55" t="s">
        <v>1892</v>
      </c>
      <c r="D2183" s="240">
        <v>46254.0</v>
      </c>
      <c r="E2183" s="52">
        <v>500.0</v>
      </c>
      <c r="F2183" s="55" t="s">
        <v>24</v>
      </c>
      <c r="G2183" s="55">
        <v>500.0</v>
      </c>
      <c r="H2183" s="55" t="s">
        <v>90</v>
      </c>
      <c r="I2183" s="26" t="s">
        <v>88</v>
      </c>
      <c r="J2183" s="26" t="s">
        <v>1225</v>
      </c>
      <c r="K2183" s="26" t="s">
        <v>1562</v>
      </c>
      <c r="L2183" s="26" t="s">
        <v>1633</v>
      </c>
      <c r="M2183" s="26" t="s">
        <v>1575</v>
      </c>
      <c r="N2183" s="26" t="s">
        <v>1590</v>
      </c>
      <c r="O2183" s="26" t="s">
        <v>2160</v>
      </c>
      <c r="P2183" s="26" t="s">
        <v>22</v>
      </c>
      <c r="Q2183" s="26">
        <v>800.0</v>
      </c>
    </row>
    <row r="2184" ht="17.25" customHeight="1">
      <c r="A2184" s="51">
        <v>46254.71889049769</v>
      </c>
      <c r="B2184" s="55" t="s">
        <v>95</v>
      </c>
      <c r="C2184" s="55" t="s">
        <v>1892</v>
      </c>
      <c r="D2184" s="240">
        <v>46254.0</v>
      </c>
      <c r="E2184" s="52">
        <v>500.0</v>
      </c>
      <c r="F2184" s="55" t="s">
        <v>24</v>
      </c>
      <c r="G2184" s="55"/>
      <c r="H2184" s="55" t="s">
        <v>100</v>
      </c>
      <c r="I2184" s="26" t="s">
        <v>97</v>
      </c>
      <c r="J2184" s="26" t="s">
        <v>1225</v>
      </c>
      <c r="K2184" s="26" t="s">
        <v>1562</v>
      </c>
      <c r="L2184" s="26" t="s">
        <v>1582</v>
      </c>
      <c r="M2184" s="26" t="s">
        <v>1564</v>
      </c>
      <c r="N2184" s="26" t="s">
        <v>1566</v>
      </c>
      <c r="O2184" s="26" t="s">
        <v>1566</v>
      </c>
      <c r="P2184" s="26" t="s">
        <v>22</v>
      </c>
      <c r="Q2184" s="26">
        <v>500.0</v>
      </c>
    </row>
    <row r="2185" ht="17.25" customHeight="1">
      <c r="A2185" s="51">
        <v>46254.71893686343</v>
      </c>
      <c r="B2185" s="55" t="s">
        <v>105</v>
      </c>
      <c r="C2185" s="55" t="s">
        <v>1892</v>
      </c>
      <c r="D2185" s="240">
        <v>46254.0</v>
      </c>
      <c r="E2185" s="52">
        <v>1400.0</v>
      </c>
      <c r="F2185" s="55" t="s">
        <v>24</v>
      </c>
      <c r="G2185" s="55" t="s">
        <v>110</v>
      </c>
      <c r="H2185" s="55" t="s">
        <v>108</v>
      </c>
      <c r="I2185" s="26" t="s">
        <v>107</v>
      </c>
      <c r="J2185" s="26" t="s">
        <v>1225</v>
      </c>
      <c r="K2185" s="26" t="s">
        <v>1562</v>
      </c>
      <c r="L2185" s="26" t="s">
        <v>1603</v>
      </c>
      <c r="M2185" s="26" t="s">
        <v>1575</v>
      </c>
      <c r="N2185" s="26" t="s">
        <v>1571</v>
      </c>
      <c r="O2185" s="26" t="s">
        <v>1566</v>
      </c>
      <c r="P2185" s="26" t="s">
        <v>22</v>
      </c>
      <c r="Q2185" s="26">
        <v>1200.0</v>
      </c>
    </row>
    <row r="2186" ht="17.25" customHeight="1">
      <c r="A2186" s="51">
        <v>46254.7189883449</v>
      </c>
      <c r="B2186" s="55" t="s">
        <v>41</v>
      </c>
      <c r="C2186" s="55" t="s">
        <v>1892</v>
      </c>
      <c r="D2186" s="240">
        <v>46254.0</v>
      </c>
      <c r="E2186" s="52">
        <v>400.0</v>
      </c>
      <c r="F2186" s="55" t="s">
        <v>24</v>
      </c>
      <c r="G2186" s="55"/>
      <c r="H2186" s="55" t="s">
        <v>116</v>
      </c>
      <c r="I2186" s="26" t="s">
        <v>42</v>
      </c>
      <c r="J2186" s="26" t="s">
        <v>1225</v>
      </c>
      <c r="K2186" s="26" t="s">
        <v>1562</v>
      </c>
      <c r="L2186" s="26" t="s">
        <v>1576</v>
      </c>
      <c r="M2186" s="26" t="s">
        <v>1575</v>
      </c>
      <c r="N2186" s="26" t="s">
        <v>1571</v>
      </c>
      <c r="O2186" s="26" t="s">
        <v>1566</v>
      </c>
      <c r="P2186" s="26" t="s">
        <v>22</v>
      </c>
      <c r="Q2186" s="26">
        <v>200.0</v>
      </c>
    </row>
    <row r="2187" ht="17.25" customHeight="1">
      <c r="A2187" s="51">
        <v>46254.719047210645</v>
      </c>
      <c r="B2187" s="55" t="s">
        <v>123</v>
      </c>
      <c r="C2187" s="55" t="s">
        <v>1892</v>
      </c>
      <c r="D2187" s="240">
        <v>46254.0</v>
      </c>
      <c r="E2187" s="52">
        <v>1400.0</v>
      </c>
      <c r="F2187" s="55" t="s">
        <v>24</v>
      </c>
      <c r="G2187" s="55">
        <v>1400.0</v>
      </c>
      <c r="H2187" s="55" t="s">
        <v>126</v>
      </c>
      <c r="I2187" s="26" t="s">
        <v>124</v>
      </c>
      <c r="J2187" s="26" t="s">
        <v>1225</v>
      </c>
      <c r="K2187" s="26" t="s">
        <v>1562</v>
      </c>
      <c r="L2187" s="26" t="s">
        <v>1587</v>
      </c>
      <c r="M2187" s="26" t="s">
        <v>1575</v>
      </c>
      <c r="N2187" s="26" t="s">
        <v>1566</v>
      </c>
      <c r="O2187" s="26" t="s">
        <v>1571</v>
      </c>
      <c r="P2187" s="26" t="s">
        <v>22</v>
      </c>
      <c r="Q2187" s="26">
        <v>1600.0</v>
      </c>
    </row>
    <row r="2188" ht="17.25" customHeight="1">
      <c r="A2188" s="51">
        <v>46254.71909453704</v>
      </c>
      <c r="B2188" s="55" t="s">
        <v>87</v>
      </c>
      <c r="C2188" s="55" t="s">
        <v>1892</v>
      </c>
      <c r="D2188" s="240">
        <v>46254.0</v>
      </c>
      <c r="E2188" s="52">
        <v>1200.0</v>
      </c>
      <c r="F2188" s="55" t="s">
        <v>24</v>
      </c>
      <c r="G2188" s="55" t="s">
        <v>134</v>
      </c>
      <c r="H2188" s="55" t="s">
        <v>132</v>
      </c>
      <c r="I2188" s="26" t="s">
        <v>88</v>
      </c>
      <c r="J2188" s="26" t="s">
        <v>1225</v>
      </c>
      <c r="K2188" s="26" t="s">
        <v>1562</v>
      </c>
      <c r="L2188" s="26" t="s">
        <v>1633</v>
      </c>
      <c r="M2188" s="26" t="s">
        <v>1575</v>
      </c>
      <c r="N2188" s="26" t="s">
        <v>1590</v>
      </c>
      <c r="O2188" s="26" t="s">
        <v>2160</v>
      </c>
      <c r="P2188" s="26" t="s">
        <v>22</v>
      </c>
      <c r="Q2188" s="26">
        <v>800.0</v>
      </c>
    </row>
    <row r="2189" ht="17.25" customHeight="1">
      <c r="A2189" s="51">
        <v>46254.719141168986</v>
      </c>
      <c r="B2189" s="55" t="s">
        <v>139</v>
      </c>
      <c r="C2189" s="55" t="s">
        <v>1892</v>
      </c>
      <c r="D2189" s="240">
        <v>46254.0</v>
      </c>
      <c r="E2189" s="52">
        <v>1100.0</v>
      </c>
      <c r="F2189" s="55" t="s">
        <v>24</v>
      </c>
      <c r="G2189" s="55">
        <v>1100.0</v>
      </c>
      <c r="H2189" s="55" t="s">
        <v>141</v>
      </c>
      <c r="I2189" s="26" t="s">
        <v>140</v>
      </c>
      <c r="J2189" s="26" t="s">
        <v>1225</v>
      </c>
      <c r="K2189" s="26" t="s">
        <v>1562</v>
      </c>
      <c r="L2189" s="26" t="s">
        <v>1563</v>
      </c>
      <c r="M2189" s="26" t="s">
        <v>1586</v>
      </c>
      <c r="N2189" s="26" t="s">
        <v>1566</v>
      </c>
      <c r="O2189" s="26" t="s">
        <v>1566</v>
      </c>
      <c r="P2189" s="26" t="s">
        <v>22</v>
      </c>
      <c r="Q2189" s="26">
        <v>0.0</v>
      </c>
    </row>
    <row r="2190" ht="17.25" customHeight="1">
      <c r="A2190" s="51">
        <v>46254.71918393519</v>
      </c>
      <c r="B2190" s="55" t="s">
        <v>147</v>
      </c>
      <c r="C2190" s="55" t="s">
        <v>1892</v>
      </c>
      <c r="D2190" s="240">
        <v>46254.0</v>
      </c>
      <c r="E2190" s="52">
        <v>1200.0</v>
      </c>
      <c r="F2190" s="55" t="s">
        <v>24</v>
      </c>
      <c r="G2190" s="55" t="s">
        <v>150</v>
      </c>
      <c r="H2190" s="55" t="s">
        <v>149</v>
      </c>
      <c r="I2190" s="26" t="s">
        <v>148</v>
      </c>
      <c r="J2190" s="26" t="s">
        <v>1225</v>
      </c>
      <c r="K2190" s="26" t="s">
        <v>1562</v>
      </c>
      <c r="L2190" s="26" t="s">
        <v>1633</v>
      </c>
      <c r="M2190" s="26" t="s">
        <v>1574</v>
      </c>
      <c r="N2190" s="26" t="s">
        <v>1566</v>
      </c>
      <c r="O2190" s="26" t="s">
        <v>1566</v>
      </c>
      <c r="P2190" s="26" t="s">
        <v>22</v>
      </c>
      <c r="Q2190" s="26">
        <v>0.0</v>
      </c>
    </row>
    <row r="2191" ht="17.25" customHeight="1">
      <c r="A2191" s="51">
        <v>46254.719230347226</v>
      </c>
      <c r="B2191" s="55" t="s">
        <v>41</v>
      </c>
      <c r="C2191" s="55" t="s">
        <v>1892</v>
      </c>
      <c r="D2191" s="240">
        <v>46254.0</v>
      </c>
      <c r="E2191" s="52">
        <v>1000.0</v>
      </c>
      <c r="F2191" s="55" t="s">
        <v>24</v>
      </c>
      <c r="G2191" s="55"/>
      <c r="H2191" s="55" t="s">
        <v>157</v>
      </c>
      <c r="I2191" s="26" t="s">
        <v>42</v>
      </c>
      <c r="J2191" s="26" t="s">
        <v>1225</v>
      </c>
      <c r="K2191" s="26" t="s">
        <v>1562</v>
      </c>
      <c r="L2191" s="26" t="s">
        <v>1576</v>
      </c>
      <c r="M2191" s="26" t="s">
        <v>1575</v>
      </c>
      <c r="N2191" s="26" t="s">
        <v>1571</v>
      </c>
      <c r="O2191" s="26" t="s">
        <v>1566</v>
      </c>
      <c r="P2191" s="26" t="s">
        <v>22</v>
      </c>
      <c r="Q2191" s="26">
        <v>200.0</v>
      </c>
    </row>
    <row r="2192" ht="17.25" customHeight="1">
      <c r="A2192" s="51">
        <v>46254.71927716435</v>
      </c>
      <c r="B2192" s="55" t="s">
        <v>163</v>
      </c>
      <c r="C2192" s="55" t="s">
        <v>1892</v>
      </c>
      <c r="D2192" s="240">
        <v>46254.0</v>
      </c>
      <c r="E2192" s="52">
        <v>3000.0</v>
      </c>
      <c r="F2192" s="55" t="s">
        <v>24</v>
      </c>
      <c r="G2192" s="55">
        <v>3000.0</v>
      </c>
      <c r="H2192" s="55" t="s">
        <v>165</v>
      </c>
      <c r="I2192" s="26" t="s">
        <v>1737</v>
      </c>
      <c r="J2192" s="26" t="s">
        <v>1225</v>
      </c>
      <c r="K2192" s="26" t="s">
        <v>1562</v>
      </c>
      <c r="L2192" s="26" t="s">
        <v>1587</v>
      </c>
      <c r="M2192" s="26" t="s">
        <v>2172</v>
      </c>
      <c r="N2192" s="26" t="s">
        <v>1566</v>
      </c>
      <c r="O2192" s="26" t="s">
        <v>1566</v>
      </c>
      <c r="P2192" s="26" t="s">
        <v>22</v>
      </c>
      <c r="Q2192" s="26">
        <v>4000.0</v>
      </c>
    </row>
    <row r="2193" ht="17.25" customHeight="1">
      <c r="A2193" s="51">
        <v>46254.71932405092</v>
      </c>
      <c r="B2193" s="55" t="s">
        <v>171</v>
      </c>
      <c r="C2193" s="55" t="s">
        <v>1892</v>
      </c>
      <c r="D2193" s="240">
        <v>46254.0</v>
      </c>
      <c r="E2193" s="52">
        <v>648.0</v>
      </c>
      <c r="F2193" s="55" t="s">
        <v>24</v>
      </c>
      <c r="G2193" s="55"/>
      <c r="H2193" s="55" t="s">
        <v>173</v>
      </c>
      <c r="I2193" s="26" t="s">
        <v>172</v>
      </c>
      <c r="J2193" s="26" t="s">
        <v>1225</v>
      </c>
      <c r="K2193" s="26" t="s">
        <v>1653</v>
      </c>
      <c r="L2193" s="26" t="s">
        <v>1582</v>
      </c>
      <c r="M2193" s="26" t="s">
        <v>1572</v>
      </c>
      <c r="N2193" s="26" t="s">
        <v>1566</v>
      </c>
      <c r="O2193" s="26" t="s">
        <v>1978</v>
      </c>
      <c r="P2193" s="26" t="s">
        <v>22</v>
      </c>
      <c r="Q2193" s="26">
        <v>720.0</v>
      </c>
    </row>
    <row r="2194" ht="17.25" customHeight="1">
      <c r="A2194" s="51">
        <v>46254.71937460648</v>
      </c>
      <c r="B2194" s="55" t="s">
        <v>179</v>
      </c>
      <c r="C2194" s="55" t="s">
        <v>1892</v>
      </c>
      <c r="D2194" s="240">
        <v>46254.0</v>
      </c>
      <c r="E2194" s="52">
        <v>2592.0</v>
      </c>
      <c r="F2194" s="55" t="s">
        <v>24</v>
      </c>
      <c r="G2194" s="55"/>
      <c r="H2194" s="55" t="s">
        <v>182</v>
      </c>
      <c r="I2194" s="26" t="s">
        <v>180</v>
      </c>
      <c r="J2194" s="26" t="s">
        <v>1225</v>
      </c>
      <c r="K2194" s="26" t="s">
        <v>1653</v>
      </c>
      <c r="L2194" s="26" t="s">
        <v>1563</v>
      </c>
      <c r="M2194" s="26" t="s">
        <v>1572</v>
      </c>
      <c r="N2194" s="26" t="s">
        <v>1654</v>
      </c>
      <c r="O2194" s="26" t="s">
        <v>1566</v>
      </c>
      <c r="P2194" s="26" t="s">
        <v>22</v>
      </c>
      <c r="Q2194" s="26">
        <v>0.0</v>
      </c>
    </row>
    <row r="2195" ht="17.25" customHeight="1">
      <c r="A2195" s="51">
        <v>46254.71942400463</v>
      </c>
      <c r="B2195" s="55" t="s">
        <v>187</v>
      </c>
      <c r="C2195" s="55" t="s">
        <v>1892</v>
      </c>
      <c r="D2195" s="240">
        <v>46254.0</v>
      </c>
      <c r="E2195" s="52">
        <v>864.0</v>
      </c>
      <c r="F2195" s="55" t="s">
        <v>24</v>
      </c>
      <c r="G2195" s="55"/>
      <c r="H2195" s="55" t="s">
        <v>190</v>
      </c>
      <c r="I2195" s="26" t="s">
        <v>188</v>
      </c>
      <c r="J2195" s="26" t="s">
        <v>1225</v>
      </c>
      <c r="K2195" s="26" t="s">
        <v>1653</v>
      </c>
      <c r="L2195" s="26" t="s">
        <v>1587</v>
      </c>
      <c r="M2195" s="26" t="s">
        <v>1572</v>
      </c>
      <c r="N2195" s="26" t="s">
        <v>1566</v>
      </c>
      <c r="O2195" s="26" t="s">
        <v>1654</v>
      </c>
      <c r="P2195" s="26" t="s">
        <v>22</v>
      </c>
      <c r="Q2195" s="26">
        <v>0.0</v>
      </c>
    </row>
    <row r="2196" ht="17.25" customHeight="1">
      <c r="A2196" s="51">
        <v>46254.7194749537</v>
      </c>
      <c r="B2196" s="55" t="s">
        <v>41</v>
      </c>
      <c r="C2196" s="55" t="s">
        <v>1892</v>
      </c>
      <c r="D2196" s="240">
        <v>46254.0</v>
      </c>
      <c r="E2196" s="52">
        <v>2200.0</v>
      </c>
      <c r="F2196" s="55" t="s">
        <v>24</v>
      </c>
      <c r="G2196" s="55"/>
      <c r="H2196" s="55" t="s">
        <v>196</v>
      </c>
      <c r="I2196" s="26" t="s">
        <v>42</v>
      </c>
      <c r="J2196" s="26" t="s">
        <v>1225</v>
      </c>
      <c r="K2196" s="26" t="s">
        <v>1562</v>
      </c>
      <c r="L2196" s="26" t="s">
        <v>1576</v>
      </c>
      <c r="M2196" s="26" t="s">
        <v>1575</v>
      </c>
      <c r="N2196" s="26" t="s">
        <v>1571</v>
      </c>
      <c r="O2196" s="26" t="s">
        <v>1566</v>
      </c>
      <c r="P2196" s="26" t="s">
        <v>22</v>
      </c>
      <c r="Q2196" s="26">
        <v>200.0</v>
      </c>
    </row>
    <row r="2197" ht="17.25" customHeight="1">
      <c r="A2197" s="51">
        <v>46254.71953265046</v>
      </c>
      <c r="B2197" s="55" t="s">
        <v>201</v>
      </c>
      <c r="C2197" s="55" t="s">
        <v>1892</v>
      </c>
      <c r="D2197" s="240">
        <v>46254.0</v>
      </c>
      <c r="E2197" s="52">
        <v>3600.0</v>
      </c>
      <c r="F2197" s="55" t="s">
        <v>24</v>
      </c>
      <c r="G2197" s="55"/>
      <c r="H2197" s="55" t="s">
        <v>203</v>
      </c>
      <c r="I2197" s="26" t="s">
        <v>202</v>
      </c>
      <c r="J2197" s="26" t="s">
        <v>1225</v>
      </c>
      <c r="K2197" s="26" t="s">
        <v>1562</v>
      </c>
      <c r="L2197" s="26" t="s">
        <v>1573</v>
      </c>
      <c r="M2197" s="26" t="s">
        <v>1574</v>
      </c>
      <c r="N2197" s="26" t="s">
        <v>1566</v>
      </c>
      <c r="O2197" s="26" t="s">
        <v>1566</v>
      </c>
      <c r="P2197" s="26" t="s">
        <v>22</v>
      </c>
      <c r="Q2197" s="26">
        <v>600.0</v>
      </c>
    </row>
    <row r="2198" ht="17.25" customHeight="1">
      <c r="A2198" s="51">
        <v>46254.71958326389</v>
      </c>
      <c r="B2198" s="55" t="s">
        <v>123</v>
      </c>
      <c r="C2198" s="55" t="s">
        <v>1892</v>
      </c>
      <c r="D2198" s="240">
        <v>46254.0</v>
      </c>
      <c r="E2198" s="52">
        <v>4100.0</v>
      </c>
      <c r="F2198" s="55" t="s">
        <v>24</v>
      </c>
      <c r="G2198" s="55"/>
      <c r="H2198" s="55" t="s">
        <v>210</v>
      </c>
      <c r="I2198" s="26" t="s">
        <v>124</v>
      </c>
      <c r="J2198" s="26" t="s">
        <v>1225</v>
      </c>
      <c r="K2198" s="26" t="s">
        <v>1562</v>
      </c>
      <c r="L2198" s="26" t="s">
        <v>1587</v>
      </c>
      <c r="M2198" s="26" t="s">
        <v>1575</v>
      </c>
      <c r="N2198" s="26" t="s">
        <v>1566</v>
      </c>
      <c r="O2198" s="26" t="s">
        <v>1571</v>
      </c>
      <c r="P2198" s="26" t="s">
        <v>22</v>
      </c>
      <c r="Q2198" s="26">
        <v>1600.0</v>
      </c>
    </row>
    <row r="2199" ht="17.25" customHeight="1">
      <c r="A2199" s="51">
        <v>46254.71967841435</v>
      </c>
      <c r="B2199" s="55" t="s">
        <v>223</v>
      </c>
      <c r="C2199" s="55" t="s">
        <v>1892</v>
      </c>
      <c r="D2199" s="240">
        <v>46254.0</v>
      </c>
      <c r="E2199" s="52">
        <v>600.0</v>
      </c>
      <c r="F2199" s="55" t="s">
        <v>24</v>
      </c>
      <c r="G2199" s="55"/>
      <c r="H2199" s="55" t="s">
        <v>226</v>
      </c>
      <c r="I2199" s="26" t="s">
        <v>224</v>
      </c>
      <c r="J2199" s="26" t="s">
        <v>1225</v>
      </c>
      <c r="K2199" s="26" t="s">
        <v>1562</v>
      </c>
      <c r="L2199" s="26" t="s">
        <v>1633</v>
      </c>
      <c r="M2199" s="26" t="s">
        <v>2172</v>
      </c>
      <c r="N2199" s="26" t="s">
        <v>1590</v>
      </c>
      <c r="O2199" s="26" t="s">
        <v>1590</v>
      </c>
      <c r="P2199" s="26" t="s">
        <v>22</v>
      </c>
      <c r="Q2199" s="26">
        <v>300.0</v>
      </c>
    </row>
    <row r="2200" ht="17.25" customHeight="1">
      <c r="A2200" s="51">
        <v>46254.719729432865</v>
      </c>
      <c r="B2200" s="55" t="s">
        <v>105</v>
      </c>
      <c r="C2200" s="55" t="s">
        <v>1892</v>
      </c>
      <c r="D2200" s="240">
        <v>46254.0</v>
      </c>
      <c r="E2200" s="52">
        <v>600.0</v>
      </c>
      <c r="F2200" s="55" t="s">
        <v>24</v>
      </c>
      <c r="G2200" s="55"/>
      <c r="H2200" s="55" t="s">
        <v>233</v>
      </c>
      <c r="I2200" s="26" t="s">
        <v>107</v>
      </c>
      <c r="J2200" s="26" t="s">
        <v>1225</v>
      </c>
      <c r="K2200" s="26" t="s">
        <v>1562</v>
      </c>
      <c r="L2200" s="26" t="s">
        <v>1603</v>
      </c>
      <c r="M2200" s="26" t="s">
        <v>1575</v>
      </c>
      <c r="N2200" s="26" t="s">
        <v>1571</v>
      </c>
      <c r="O2200" s="26" t="s">
        <v>1566</v>
      </c>
      <c r="P2200" s="26" t="s">
        <v>22</v>
      </c>
      <c r="Q2200" s="26">
        <v>1200.0</v>
      </c>
    </row>
    <row r="2201" ht="17.25" customHeight="1">
      <c r="A2201" s="51">
        <v>46254.71977494213</v>
      </c>
      <c r="B2201" s="55" t="s">
        <v>87</v>
      </c>
      <c r="C2201" s="55" t="s">
        <v>1892</v>
      </c>
      <c r="D2201" s="240">
        <v>46254.0</v>
      </c>
      <c r="E2201" s="52">
        <v>700.0</v>
      </c>
      <c r="F2201" s="55" t="s">
        <v>24</v>
      </c>
      <c r="G2201" s="55"/>
      <c r="H2201" s="55" t="s">
        <v>242</v>
      </c>
      <c r="I2201" s="26" t="s">
        <v>88</v>
      </c>
      <c r="J2201" s="26" t="s">
        <v>1225</v>
      </c>
      <c r="K2201" s="26" t="s">
        <v>1562</v>
      </c>
      <c r="L2201" s="26" t="s">
        <v>1633</v>
      </c>
      <c r="M2201" s="26" t="s">
        <v>1575</v>
      </c>
      <c r="N2201" s="26" t="s">
        <v>1590</v>
      </c>
      <c r="O2201" s="26" t="s">
        <v>2160</v>
      </c>
      <c r="P2201" s="26" t="s">
        <v>22</v>
      </c>
      <c r="Q2201" s="26">
        <v>800.0</v>
      </c>
    </row>
    <row r="2202" ht="17.25" customHeight="1">
      <c r="A2202" s="51">
        <v>46254.71986711805</v>
      </c>
      <c r="B2202" s="55" t="s">
        <v>123</v>
      </c>
      <c r="C2202" s="55" t="s">
        <v>1892</v>
      </c>
      <c r="D2202" s="240">
        <v>46254.0</v>
      </c>
      <c r="E2202" s="52">
        <v>800.0</v>
      </c>
      <c r="F2202" s="55" t="s">
        <v>24</v>
      </c>
      <c r="G2202" s="55"/>
      <c r="H2202" s="55" t="s">
        <v>248</v>
      </c>
      <c r="I2202" s="26" t="s">
        <v>124</v>
      </c>
      <c r="J2202" s="26" t="s">
        <v>1225</v>
      </c>
      <c r="K2202" s="26" t="s">
        <v>1562</v>
      </c>
      <c r="L2202" s="26" t="s">
        <v>1587</v>
      </c>
      <c r="M2202" s="26" t="s">
        <v>1575</v>
      </c>
      <c r="N2202" s="26" t="s">
        <v>1566</v>
      </c>
      <c r="O2202" s="26" t="s">
        <v>1571</v>
      </c>
      <c r="P2202" s="26" t="s">
        <v>22</v>
      </c>
      <c r="Q2202" s="26">
        <v>1600.0</v>
      </c>
    </row>
    <row r="2203" ht="17.25" customHeight="1">
      <c r="A2203" s="51">
        <v>46254.71991018519</v>
      </c>
      <c r="B2203" s="55" t="s">
        <v>215</v>
      </c>
      <c r="C2203" s="55" t="s">
        <v>1892</v>
      </c>
      <c r="D2203" s="240">
        <v>46254.0</v>
      </c>
      <c r="E2203" s="52">
        <v>1000.0</v>
      </c>
      <c r="F2203" s="55" t="s">
        <v>24</v>
      </c>
      <c r="G2203" s="55"/>
      <c r="H2203" s="55" t="s">
        <v>255</v>
      </c>
      <c r="I2203" s="26" t="s">
        <v>216</v>
      </c>
      <c r="J2203" s="26" t="s">
        <v>1225</v>
      </c>
      <c r="K2203" s="26" t="s">
        <v>1562</v>
      </c>
      <c r="L2203" s="26" t="s">
        <v>1600</v>
      </c>
      <c r="M2203" s="26" t="s">
        <v>1564</v>
      </c>
      <c r="N2203" s="26" t="s">
        <v>1566</v>
      </c>
      <c r="O2203" s="26" t="s">
        <v>1566</v>
      </c>
      <c r="P2203" s="26" t="s">
        <v>22</v>
      </c>
      <c r="Q2203" s="26">
        <v>0.0</v>
      </c>
    </row>
    <row r="2204" ht="17.25" customHeight="1">
      <c r="A2204" s="51">
        <v>46254.722191215275</v>
      </c>
      <c r="B2204" s="55" t="s">
        <v>79</v>
      </c>
      <c r="C2204" s="55" t="s">
        <v>1892</v>
      </c>
      <c r="D2204" s="240">
        <v>46254.0</v>
      </c>
      <c r="E2204" s="52">
        <v>600.0</v>
      </c>
      <c r="F2204" s="55" t="s">
        <v>24</v>
      </c>
      <c r="G2204" s="55"/>
      <c r="H2204" s="55" t="s">
        <v>263</v>
      </c>
      <c r="I2204" s="26" t="s">
        <v>80</v>
      </c>
      <c r="J2204" s="26" t="s">
        <v>1225</v>
      </c>
      <c r="K2204" s="26" t="s">
        <v>1562</v>
      </c>
      <c r="L2204" s="26" t="s">
        <v>1563</v>
      </c>
      <c r="M2204" s="26" t="s">
        <v>1575</v>
      </c>
      <c r="N2204" s="26" t="s">
        <v>1566</v>
      </c>
      <c r="O2204" s="26" t="s">
        <v>1566</v>
      </c>
      <c r="P2204" s="26" t="s">
        <v>22</v>
      </c>
      <c r="Q2204" s="26">
        <v>700.0</v>
      </c>
    </row>
    <row r="2205" ht="17.25" customHeight="1">
      <c r="A2205" s="51">
        <v>46254.73532528935</v>
      </c>
      <c r="B2205" s="55" t="s">
        <v>79</v>
      </c>
      <c r="C2205" s="55" t="s">
        <v>1892</v>
      </c>
      <c r="D2205" s="240">
        <v>46254.0</v>
      </c>
      <c r="E2205" s="52">
        <v>1200.0</v>
      </c>
      <c r="F2205" s="55" t="s">
        <v>24</v>
      </c>
      <c r="G2205" s="55"/>
      <c r="H2205" s="55"/>
      <c r="I2205" s="26" t="s">
        <v>80</v>
      </c>
      <c r="J2205" s="26" t="s">
        <v>1225</v>
      </c>
      <c r="K2205" s="26" t="s">
        <v>1562</v>
      </c>
      <c r="L2205" s="26" t="s">
        <v>1563</v>
      </c>
      <c r="M2205" s="26" t="s">
        <v>1575</v>
      </c>
      <c r="N2205" s="26" t="s">
        <v>1566</v>
      </c>
      <c r="O2205" s="26" t="s">
        <v>1566</v>
      </c>
      <c r="P2205" s="26" t="s">
        <v>22</v>
      </c>
      <c r="Q2205" s="26">
        <v>700.0</v>
      </c>
    </row>
    <row r="2206" ht="17.25" customHeight="1">
      <c r="A2206" s="51">
        <v>46254.76550065972</v>
      </c>
      <c r="B2206" s="55" t="s">
        <v>356</v>
      </c>
      <c r="C2206" s="55" t="s">
        <v>1560</v>
      </c>
      <c r="D2206" s="240">
        <v>46254.0</v>
      </c>
      <c r="E2206" s="52">
        <v>1200.0</v>
      </c>
      <c r="F2206" s="55" t="s">
        <v>2394</v>
      </c>
      <c r="G2206" s="55" t="s">
        <v>2443</v>
      </c>
      <c r="H2206" s="55" t="s">
        <v>360</v>
      </c>
      <c r="I2206" s="26" t="s">
        <v>358</v>
      </c>
      <c r="J2206" s="26" t="s">
        <v>1225</v>
      </c>
      <c r="K2206" s="26" t="s">
        <v>1562</v>
      </c>
      <c r="L2206" s="26" t="s">
        <v>2205</v>
      </c>
      <c r="M2206" s="26" t="s">
        <v>1572</v>
      </c>
      <c r="N2206" s="26" t="s">
        <v>1566</v>
      </c>
      <c r="O2206" s="26" t="s">
        <v>1566</v>
      </c>
      <c r="P2206" s="26" t="s">
        <v>22</v>
      </c>
      <c r="Q2206" s="26">
        <v>0.0</v>
      </c>
    </row>
    <row r="2207" ht="17.25" customHeight="1">
      <c r="A2207" s="51">
        <v>46254.76797032407</v>
      </c>
      <c r="B2207" s="55" t="s">
        <v>664</v>
      </c>
      <c r="C2207" s="55" t="s">
        <v>1560</v>
      </c>
      <c r="D2207" s="240">
        <v>46254.0</v>
      </c>
      <c r="E2207" s="52">
        <v>4.0</v>
      </c>
      <c r="F2207" s="55" t="s">
        <v>2394</v>
      </c>
      <c r="G2207" s="55" t="s">
        <v>2444</v>
      </c>
      <c r="H2207" s="55"/>
      <c r="I2207" s="26" t="s">
        <v>665</v>
      </c>
      <c r="J2207" s="26" t="s">
        <v>1674</v>
      </c>
      <c r="K2207" s="26" t="s">
        <v>1675</v>
      </c>
      <c r="L2207" s="26" t="s">
        <v>1566</v>
      </c>
      <c r="M2207" s="26" t="s">
        <v>1566</v>
      </c>
      <c r="N2207" s="26" t="s">
        <v>1565</v>
      </c>
      <c r="O2207" s="26" t="s">
        <v>1566</v>
      </c>
      <c r="P2207" s="26" t="s">
        <v>290</v>
      </c>
      <c r="Q2207" s="26">
        <v>2.0</v>
      </c>
    </row>
    <row r="2208" ht="17.25" customHeight="1">
      <c r="A2208" s="51">
        <v>46254.76837232639</v>
      </c>
      <c r="B2208" s="55" t="s">
        <v>32</v>
      </c>
      <c r="C2208" s="55" t="s">
        <v>1560</v>
      </c>
      <c r="D2208" s="240">
        <v>46254.76835247685</v>
      </c>
      <c r="E2208" s="52">
        <v>7.0</v>
      </c>
      <c r="F2208" s="55" t="s">
        <v>2394</v>
      </c>
      <c r="G2208" s="55" t="s">
        <v>2449</v>
      </c>
      <c r="H2208" s="55"/>
      <c r="I2208" s="26" t="s">
        <v>34</v>
      </c>
      <c r="J2208" s="26" t="s">
        <v>1807</v>
      </c>
      <c r="K2208" s="26" t="s">
        <v>1807</v>
      </c>
      <c r="L2208" s="26" t="s">
        <v>1566</v>
      </c>
      <c r="M2208" s="26" t="s">
        <v>1566</v>
      </c>
      <c r="N2208" s="26" t="s">
        <v>1566</v>
      </c>
      <c r="O2208" s="26" t="s">
        <v>1808</v>
      </c>
      <c r="P2208" s="26" t="s">
        <v>290</v>
      </c>
      <c r="Q2208" s="26">
        <v>7.0</v>
      </c>
    </row>
    <row r="2209" ht="17.25" customHeight="1">
      <c r="A2209" s="51">
        <v>46254.76874230324</v>
      </c>
      <c r="B2209" s="55" t="s">
        <v>278</v>
      </c>
      <c r="C2209" s="55" t="s">
        <v>1560</v>
      </c>
      <c r="D2209" s="240">
        <v>46254.768718182866</v>
      </c>
      <c r="E2209" s="52">
        <v>4.0</v>
      </c>
      <c r="F2209" s="55" t="s">
        <v>2394</v>
      </c>
      <c r="G2209" s="55" t="s">
        <v>2457</v>
      </c>
      <c r="H2209" s="55"/>
      <c r="I2209" s="26" t="s">
        <v>279</v>
      </c>
      <c r="J2209" s="26" t="s">
        <v>1674</v>
      </c>
      <c r="K2209" s="26" t="s">
        <v>1675</v>
      </c>
      <c r="L2209" s="26" t="s">
        <v>1566</v>
      </c>
      <c r="M2209" s="26" t="s">
        <v>1566</v>
      </c>
      <c r="N2209" s="26" t="s">
        <v>1682</v>
      </c>
      <c r="O2209" s="26" t="s">
        <v>1566</v>
      </c>
      <c r="P2209" s="26" t="s">
        <v>290</v>
      </c>
      <c r="Q2209" s="26">
        <v>6.0</v>
      </c>
    </row>
    <row r="2210" ht="17.25" customHeight="1">
      <c r="A2210" s="51">
        <v>46254.76911945602</v>
      </c>
      <c r="B2210" s="55" t="s">
        <v>664</v>
      </c>
      <c r="C2210" s="55" t="s">
        <v>1892</v>
      </c>
      <c r="D2210" s="240">
        <v>46254.76908622685</v>
      </c>
      <c r="E2210" s="52">
        <v>5.0</v>
      </c>
      <c r="F2210" s="55" t="s">
        <v>2394</v>
      </c>
      <c r="G2210" s="55" t="s">
        <v>2460</v>
      </c>
      <c r="H2210" s="55"/>
      <c r="I2210" s="26" t="s">
        <v>665</v>
      </c>
      <c r="J2210" s="26" t="s">
        <v>1674</v>
      </c>
      <c r="K2210" s="26" t="s">
        <v>1675</v>
      </c>
      <c r="L2210" s="26" t="s">
        <v>1566</v>
      </c>
      <c r="M2210" s="26" t="s">
        <v>1566</v>
      </c>
      <c r="N2210" s="26" t="s">
        <v>1565</v>
      </c>
      <c r="O2210" s="26" t="s">
        <v>1566</v>
      </c>
      <c r="P2210" s="26" t="s">
        <v>290</v>
      </c>
      <c r="Q2210" s="26">
        <v>2.0</v>
      </c>
    </row>
    <row r="2211" ht="17.25" customHeight="1">
      <c r="A2211" s="51">
        <v>46254.769445474536</v>
      </c>
      <c r="B2211" s="55" t="s">
        <v>672</v>
      </c>
      <c r="C2211" s="55" t="s">
        <v>1560</v>
      </c>
      <c r="D2211" s="240">
        <v>46254.76942420139</v>
      </c>
      <c r="E2211" s="52">
        <v>5.0</v>
      </c>
      <c r="F2211" s="55" t="s">
        <v>2394</v>
      </c>
      <c r="G2211" s="55" t="s">
        <v>2461</v>
      </c>
      <c r="H2211" s="55"/>
      <c r="I2211" s="26" t="s">
        <v>673</v>
      </c>
      <c r="J2211" s="26" t="s">
        <v>1674</v>
      </c>
      <c r="K2211" s="26" t="s">
        <v>1675</v>
      </c>
      <c r="L2211" s="26" t="s">
        <v>1566</v>
      </c>
      <c r="M2211" s="26" t="s">
        <v>1566</v>
      </c>
      <c r="N2211" s="26" t="s">
        <v>1676</v>
      </c>
      <c r="O2211" s="26" t="s">
        <v>1566</v>
      </c>
      <c r="P2211" s="26" t="s">
        <v>290</v>
      </c>
      <c r="Q2211" s="26">
        <v>5.0</v>
      </c>
    </row>
    <row r="2212" ht="17.25" customHeight="1">
      <c r="A2212" s="51">
        <v>46254.769727453706</v>
      </c>
      <c r="B2212" s="55" t="s">
        <v>269</v>
      </c>
      <c r="C2212" s="55" t="s">
        <v>1560</v>
      </c>
      <c r="D2212" s="240">
        <v>46254.76971263889</v>
      </c>
      <c r="E2212" s="52">
        <v>5.0</v>
      </c>
      <c r="F2212" s="55" t="s">
        <v>2394</v>
      </c>
      <c r="G2212" s="55" t="s">
        <v>2462</v>
      </c>
      <c r="H2212" s="55"/>
      <c r="I2212" s="26" t="s">
        <v>270</v>
      </c>
      <c r="J2212" s="26" t="s">
        <v>1674</v>
      </c>
      <c r="K2212" s="26" t="s">
        <v>1675</v>
      </c>
      <c r="L2212" s="26" t="s">
        <v>1566</v>
      </c>
      <c r="M2212" s="26" t="s">
        <v>1566</v>
      </c>
      <c r="N2212" s="26" t="s">
        <v>1678</v>
      </c>
      <c r="O2212" s="26" t="s">
        <v>1566</v>
      </c>
      <c r="P2212" s="26" t="s">
        <v>290</v>
      </c>
      <c r="Q2212" s="26">
        <v>4.0</v>
      </c>
    </row>
    <row r="2213" ht="17.25" customHeight="1">
      <c r="A2213" s="51">
        <v>46254.77116712963</v>
      </c>
      <c r="B2213" s="55" t="s">
        <v>687</v>
      </c>
      <c r="C2213" s="55" t="s">
        <v>1560</v>
      </c>
      <c r="D2213" s="240">
        <v>46254.77112795139</v>
      </c>
      <c r="E2213" s="52">
        <v>2.0</v>
      </c>
      <c r="F2213" s="55" t="s">
        <v>2394</v>
      </c>
      <c r="G2213" s="55" t="s">
        <v>2463</v>
      </c>
      <c r="H2213" s="55"/>
      <c r="I2213" s="26" t="s">
        <v>689</v>
      </c>
      <c r="J2213" s="26" t="s">
        <v>1674</v>
      </c>
      <c r="K2213" s="26" t="s">
        <v>1675</v>
      </c>
      <c r="L2213" s="26" t="s">
        <v>1566</v>
      </c>
      <c r="M2213" s="26" t="s">
        <v>1566</v>
      </c>
      <c r="N2213" s="26" t="s">
        <v>1680</v>
      </c>
      <c r="O2213" s="26" t="s">
        <v>1566</v>
      </c>
      <c r="P2213" s="26" t="s">
        <v>290</v>
      </c>
      <c r="Q2213" s="26">
        <v>5.0</v>
      </c>
    </row>
    <row r="2214" ht="17.25" customHeight="1">
      <c r="A2214" s="51">
        <v>46254.77339527778</v>
      </c>
      <c r="B2214" s="55" t="s">
        <v>348</v>
      </c>
      <c r="C2214" s="55" t="s">
        <v>1892</v>
      </c>
      <c r="D2214" s="240">
        <v>46254.77338313658</v>
      </c>
      <c r="E2214" s="52">
        <v>3.0</v>
      </c>
      <c r="F2214" s="55" t="s">
        <v>2394</v>
      </c>
      <c r="G2214" s="55" t="s">
        <v>2464</v>
      </c>
      <c r="H2214" s="55"/>
      <c r="I2214" s="26" t="s">
        <v>350</v>
      </c>
      <c r="J2214" s="26" t="s">
        <v>1674</v>
      </c>
      <c r="K2214" s="26" t="s">
        <v>1675</v>
      </c>
      <c r="L2214" s="26" t="s">
        <v>1566</v>
      </c>
      <c r="M2214" s="26" t="s">
        <v>1566</v>
      </c>
      <c r="N2214" s="26" t="s">
        <v>1680</v>
      </c>
      <c r="O2214" s="26" t="s">
        <v>1690</v>
      </c>
      <c r="P2214" s="26" t="s">
        <v>290</v>
      </c>
      <c r="Q2214" s="26">
        <v>0.0</v>
      </c>
    </row>
    <row r="2215" ht="17.25" customHeight="1">
      <c r="A2215" s="51">
        <v>46254.7735740625</v>
      </c>
      <c r="B2215" s="55" t="s">
        <v>355</v>
      </c>
      <c r="C2215" s="55" t="s">
        <v>1892</v>
      </c>
      <c r="D2215" s="240">
        <v>46254.77355888889</v>
      </c>
      <c r="E2215" s="52">
        <v>2.0</v>
      </c>
      <c r="F2215" s="55" t="s">
        <v>2394</v>
      </c>
      <c r="G2215" s="55" t="s">
        <v>2465</v>
      </c>
      <c r="H2215" s="55"/>
      <c r="I2215" s="26" t="s">
        <v>357</v>
      </c>
      <c r="J2215" s="26" t="s">
        <v>1674</v>
      </c>
      <c r="K2215" s="26" t="s">
        <v>1675</v>
      </c>
      <c r="L2215" s="26" t="s">
        <v>1566</v>
      </c>
      <c r="M2215" s="26" t="s">
        <v>1566</v>
      </c>
      <c r="N2215" s="26" t="s">
        <v>1682</v>
      </c>
      <c r="O2215" s="26" t="s">
        <v>1690</v>
      </c>
      <c r="P2215" s="26" t="s">
        <v>290</v>
      </c>
      <c r="Q2215" s="26">
        <v>0.0</v>
      </c>
    </row>
    <row r="2216" ht="17.25" customHeight="1">
      <c r="A2216" s="51">
        <v>46254.773865358795</v>
      </c>
      <c r="B2216" s="55" t="s">
        <v>364</v>
      </c>
      <c r="C2216" s="55" t="s">
        <v>1892</v>
      </c>
      <c r="D2216" s="240">
        <v>46254.77385090278</v>
      </c>
      <c r="E2216" s="52">
        <v>2.0</v>
      </c>
      <c r="F2216" s="55" t="s">
        <v>2394</v>
      </c>
      <c r="G2216" s="55" t="s">
        <v>2465</v>
      </c>
      <c r="H2216" s="55"/>
      <c r="I2216" s="26" t="s">
        <v>366</v>
      </c>
      <c r="J2216" s="26" t="s">
        <v>1674</v>
      </c>
      <c r="K2216" s="26" t="s">
        <v>1675</v>
      </c>
      <c r="L2216" s="26" t="s">
        <v>1566</v>
      </c>
      <c r="M2216" s="26" t="s">
        <v>1566</v>
      </c>
      <c r="N2216" s="26" t="s">
        <v>1676</v>
      </c>
      <c r="O2216" s="26" t="s">
        <v>1690</v>
      </c>
      <c r="P2216" s="26" t="s">
        <v>290</v>
      </c>
      <c r="Q2216" s="26">
        <v>0.0</v>
      </c>
    </row>
    <row r="2217" ht="17.25" customHeight="1">
      <c r="A2217" s="51">
        <v>46254.796131423616</v>
      </c>
      <c r="B2217" s="55" t="s">
        <v>328</v>
      </c>
      <c r="C2217" s="55" t="s">
        <v>1560</v>
      </c>
      <c r="D2217" s="240">
        <v>46254.0</v>
      </c>
      <c r="E2217" s="52">
        <v>1400.0</v>
      </c>
      <c r="F2217" s="55" t="s">
        <v>2394</v>
      </c>
      <c r="G2217" s="55" t="s">
        <v>2466</v>
      </c>
      <c r="H2217" s="55" t="s">
        <v>331</v>
      </c>
      <c r="I2217" s="26" t="s">
        <v>329</v>
      </c>
      <c r="J2217" s="26" t="s">
        <v>1225</v>
      </c>
      <c r="K2217" s="26" t="s">
        <v>1562</v>
      </c>
      <c r="L2217" s="26" t="s">
        <v>1563</v>
      </c>
      <c r="M2217" s="26" t="s">
        <v>2172</v>
      </c>
      <c r="N2217" s="26" t="s">
        <v>1566</v>
      </c>
      <c r="O2217" s="26" t="s">
        <v>2160</v>
      </c>
      <c r="P2217" s="26" t="s">
        <v>22</v>
      </c>
      <c r="Q2217" s="26">
        <v>1500.0</v>
      </c>
    </row>
    <row r="2218" ht="17.25" customHeight="1">
      <c r="A2218" s="51">
        <v>46254.79728640046</v>
      </c>
      <c r="B2218" s="55" t="s">
        <v>328</v>
      </c>
      <c r="C2218" s="55" t="s">
        <v>1560</v>
      </c>
      <c r="D2218" s="240">
        <v>46254.0</v>
      </c>
      <c r="E2218" s="52">
        <v>1400.0</v>
      </c>
      <c r="F2218" s="55" t="s">
        <v>2394</v>
      </c>
      <c r="G2218" s="55" t="s">
        <v>2467</v>
      </c>
      <c r="H2218" s="55" t="s">
        <v>331</v>
      </c>
      <c r="I2218" s="26" t="s">
        <v>329</v>
      </c>
      <c r="J2218" s="26" t="s">
        <v>1225</v>
      </c>
      <c r="K2218" s="26" t="s">
        <v>1562</v>
      </c>
      <c r="L2218" s="26" t="s">
        <v>1563</v>
      </c>
      <c r="M2218" s="26" t="s">
        <v>2172</v>
      </c>
      <c r="N2218" s="26" t="s">
        <v>1566</v>
      </c>
      <c r="O2218" s="26" t="s">
        <v>2160</v>
      </c>
      <c r="P2218" s="26" t="s">
        <v>22</v>
      </c>
      <c r="Q2218" s="26">
        <v>1500.0</v>
      </c>
    </row>
    <row r="2219" ht="17.25" customHeight="1">
      <c r="A2219" s="51">
        <v>46255.54918037037</v>
      </c>
      <c r="B2219" s="55" t="s">
        <v>269</v>
      </c>
      <c r="C2219" s="55" t="s">
        <v>1892</v>
      </c>
      <c r="D2219" s="240">
        <v>46255.0</v>
      </c>
      <c r="E2219" s="52">
        <v>1.0</v>
      </c>
      <c r="F2219" s="55" t="s">
        <v>24</v>
      </c>
      <c r="G2219" s="55"/>
      <c r="H2219" s="55"/>
      <c r="I2219" s="26" t="s">
        <v>270</v>
      </c>
      <c r="J2219" s="26" t="s">
        <v>1674</v>
      </c>
      <c r="K2219" s="26" t="s">
        <v>1675</v>
      </c>
      <c r="L2219" s="26" t="s">
        <v>1566</v>
      </c>
      <c r="M2219" s="26" t="s">
        <v>1566</v>
      </c>
      <c r="N2219" s="26" t="s">
        <v>1678</v>
      </c>
      <c r="O2219" s="26" t="s">
        <v>1566</v>
      </c>
      <c r="P2219" s="26" t="s">
        <v>290</v>
      </c>
      <c r="Q2219" s="26">
        <v>4.0</v>
      </c>
    </row>
    <row r="2220" ht="17.25" customHeight="1">
      <c r="A2220" s="51">
        <v>46255.54943399306</v>
      </c>
      <c r="B2220" s="55" t="s">
        <v>278</v>
      </c>
      <c r="C2220" s="55" t="s">
        <v>1892</v>
      </c>
      <c r="D2220" s="240">
        <v>46255.0</v>
      </c>
      <c r="E2220" s="52">
        <v>1.0</v>
      </c>
      <c r="F2220" s="55" t="s">
        <v>24</v>
      </c>
      <c r="G2220" s="55"/>
      <c r="H2220" s="55"/>
      <c r="I2220" s="26" t="s">
        <v>279</v>
      </c>
      <c r="J2220" s="26" t="s">
        <v>1674</v>
      </c>
      <c r="K2220" s="26" t="s">
        <v>1675</v>
      </c>
      <c r="L2220" s="26" t="s">
        <v>1566</v>
      </c>
      <c r="M2220" s="26" t="s">
        <v>1566</v>
      </c>
      <c r="N2220" s="26" t="s">
        <v>1682</v>
      </c>
      <c r="O2220" s="26" t="s">
        <v>1566</v>
      </c>
      <c r="P2220" s="26" t="s">
        <v>290</v>
      </c>
      <c r="Q2220" s="26">
        <v>6.0</v>
      </c>
    </row>
    <row r="2221" ht="17.25" customHeight="1">
      <c r="A2221" s="51">
        <v>46255.549844594905</v>
      </c>
      <c r="B2221" s="55" t="s">
        <v>32</v>
      </c>
      <c r="C2221" s="55" t="s">
        <v>1892</v>
      </c>
      <c r="D2221" s="240">
        <v>46255.0</v>
      </c>
      <c r="E2221" s="52">
        <v>2.0</v>
      </c>
      <c r="F2221" s="55" t="s">
        <v>36</v>
      </c>
      <c r="G2221" s="55"/>
      <c r="H2221" s="55"/>
      <c r="I2221" s="26" t="s">
        <v>34</v>
      </c>
      <c r="J2221" s="26" t="s">
        <v>1807</v>
      </c>
      <c r="K2221" s="26" t="s">
        <v>1807</v>
      </c>
      <c r="L2221" s="26" t="s">
        <v>1566</v>
      </c>
      <c r="M2221" s="26" t="s">
        <v>1566</v>
      </c>
      <c r="N2221" s="26" t="s">
        <v>1566</v>
      </c>
      <c r="O2221" s="26" t="s">
        <v>1808</v>
      </c>
      <c r="P2221" s="26" t="s">
        <v>290</v>
      </c>
      <c r="Q2221" s="26">
        <v>7.0</v>
      </c>
    </row>
    <row r="2222" ht="17.25" customHeight="1">
      <c r="A2222" s="51">
        <v>46256.42823967592</v>
      </c>
      <c r="B2222" s="55" t="s">
        <v>32</v>
      </c>
      <c r="C2222" s="55" t="s">
        <v>1892</v>
      </c>
      <c r="D2222" s="240">
        <v>46256.0</v>
      </c>
      <c r="E2222" s="52">
        <v>2.0</v>
      </c>
      <c r="F2222" s="55" t="s">
        <v>36</v>
      </c>
      <c r="G2222" s="55" t="s">
        <v>295</v>
      </c>
      <c r="H2222" s="55"/>
      <c r="I2222" s="26" t="s">
        <v>34</v>
      </c>
      <c r="J2222" s="26" t="s">
        <v>1807</v>
      </c>
      <c r="K2222" s="26" t="s">
        <v>1807</v>
      </c>
      <c r="L2222" s="26" t="s">
        <v>1566</v>
      </c>
      <c r="M2222" s="26" t="s">
        <v>1566</v>
      </c>
      <c r="N2222" s="26" t="s">
        <v>1566</v>
      </c>
      <c r="O2222" s="26" t="s">
        <v>1808</v>
      </c>
      <c r="P2222" s="26" t="s">
        <v>290</v>
      </c>
      <c r="Q2222" s="26">
        <v>7.0</v>
      </c>
    </row>
    <row r="2223" ht="17.25" customHeight="1">
      <c r="A2223" s="51">
        <v>46256.428748171296</v>
      </c>
      <c r="B2223" s="55" t="s">
        <v>301</v>
      </c>
      <c r="C2223" s="55" t="s">
        <v>1892</v>
      </c>
      <c r="D2223" s="240">
        <v>46256.428738055554</v>
      </c>
      <c r="E2223" s="52">
        <v>1084.0</v>
      </c>
      <c r="F2223" s="55" t="s">
        <v>2394</v>
      </c>
      <c r="G2223" s="55" t="s">
        <v>2468</v>
      </c>
      <c r="H2223" s="55"/>
      <c r="I2223" s="26" t="s">
        <v>302</v>
      </c>
      <c r="J2223" s="26" t="s">
        <v>1830</v>
      </c>
      <c r="K2223" s="26" t="s">
        <v>302</v>
      </c>
      <c r="L2223" s="26" t="s">
        <v>1566</v>
      </c>
      <c r="M2223" s="26" t="s">
        <v>1566</v>
      </c>
      <c r="N2223" s="26" t="s">
        <v>1566</v>
      </c>
      <c r="O2223" s="26" t="s">
        <v>1566</v>
      </c>
      <c r="P2223" s="26" t="s">
        <v>661</v>
      </c>
      <c r="Q2223" s="26">
        <v>580.0</v>
      </c>
    </row>
    <row r="2224" ht="17.25" customHeight="1">
      <c r="A2224" s="51">
        <v>46256.42912241898</v>
      </c>
      <c r="B2224" s="55" t="s">
        <v>21</v>
      </c>
      <c r="C2224" s="55" t="s">
        <v>1892</v>
      </c>
      <c r="D2224" s="240">
        <v>46256.429110324076</v>
      </c>
      <c r="E2224" s="52">
        <v>40.0</v>
      </c>
      <c r="F2224" s="55" t="s">
        <v>2394</v>
      </c>
      <c r="G2224" s="55" t="s">
        <v>2469</v>
      </c>
      <c r="H2224" s="55"/>
      <c r="I2224" s="26" t="s">
        <v>23</v>
      </c>
      <c r="J2224" s="26" t="s">
        <v>1812</v>
      </c>
      <c r="K2224" s="26" t="s">
        <v>1815</v>
      </c>
      <c r="L2224" s="26" t="s">
        <v>1566</v>
      </c>
      <c r="M2224" s="26" t="s">
        <v>1566</v>
      </c>
      <c r="N2224" s="26" t="s">
        <v>1566</v>
      </c>
      <c r="O2224" s="26" t="s">
        <v>1818</v>
      </c>
      <c r="P2224" s="26" t="s">
        <v>616</v>
      </c>
      <c r="Q2224" s="26">
        <v>20.0</v>
      </c>
    </row>
    <row r="2225" ht="17.25" customHeight="1">
      <c r="A2225" s="51">
        <v>46258.544580856484</v>
      </c>
      <c r="B2225" s="25" t="s">
        <v>948</v>
      </c>
      <c r="C2225" s="55" t="s">
        <v>1892</v>
      </c>
      <c r="D2225" s="240">
        <v>46258.0</v>
      </c>
      <c r="E2225" s="52">
        <v>8.0</v>
      </c>
      <c r="F2225" s="55" t="s">
        <v>24</v>
      </c>
      <c r="G2225" s="55"/>
      <c r="H2225" s="55"/>
      <c r="I2225" s="26" t="s">
        <v>952</v>
      </c>
      <c r="J2225" s="26" t="s">
        <v>1812</v>
      </c>
      <c r="K2225" s="26" t="s">
        <v>1815</v>
      </c>
      <c r="L2225" s="26" t="s">
        <v>1566</v>
      </c>
      <c r="M2225" s="26" t="s">
        <v>1566</v>
      </c>
      <c r="N2225" s="26" t="s">
        <v>1566</v>
      </c>
      <c r="O2225" s="26" t="s">
        <v>2060</v>
      </c>
      <c r="P2225" s="26" t="s">
        <v>616</v>
      </c>
      <c r="Q2225" s="26">
        <v>5.0</v>
      </c>
    </row>
    <row r="2226" ht="17.25" customHeight="1">
      <c r="A2226" s="51">
        <v>46258.54519956018</v>
      </c>
      <c r="B2226" s="27" t="s">
        <v>753</v>
      </c>
      <c r="C2226" s="55" t="s">
        <v>1892</v>
      </c>
      <c r="D2226" s="240">
        <v>46258.0</v>
      </c>
      <c r="E2226" s="52">
        <v>25.0</v>
      </c>
      <c r="F2226" s="55" t="s">
        <v>1900</v>
      </c>
      <c r="G2226" s="55"/>
      <c r="H2226" s="55"/>
      <c r="I2226" s="26" t="s">
        <v>755</v>
      </c>
      <c r="J2226" s="26" t="s">
        <v>1812</v>
      </c>
      <c r="K2226" s="26" t="s">
        <v>1815</v>
      </c>
      <c r="L2226" s="26" t="s">
        <v>1566</v>
      </c>
      <c r="M2226" s="26" t="s">
        <v>1566</v>
      </c>
      <c r="N2226" s="26" t="s">
        <v>1566</v>
      </c>
      <c r="O2226" s="26" t="s">
        <v>2014</v>
      </c>
      <c r="P2226" s="26" t="s">
        <v>290</v>
      </c>
      <c r="Q2226" s="26">
        <v>25.0</v>
      </c>
    </row>
    <row r="2227" ht="17.25" customHeight="1">
      <c r="A2227" s="51">
        <v>46258.67479197917</v>
      </c>
      <c r="B2227" s="55" t="s">
        <v>21</v>
      </c>
      <c r="C2227" s="55" t="s">
        <v>1560</v>
      </c>
      <c r="D2227" s="240">
        <v>46258.0</v>
      </c>
      <c r="E2227" s="52">
        <v>40.0</v>
      </c>
      <c r="F2227" s="55" t="s">
        <v>2394</v>
      </c>
      <c r="G2227" s="55" t="s">
        <v>2470</v>
      </c>
      <c r="H2227" s="55"/>
      <c r="I2227" s="26" t="s">
        <v>23</v>
      </c>
      <c r="J2227" s="26" t="s">
        <v>1812</v>
      </c>
      <c r="K2227" s="26" t="s">
        <v>1815</v>
      </c>
      <c r="L2227" s="26" t="s">
        <v>1566</v>
      </c>
      <c r="M2227" s="26" t="s">
        <v>1566</v>
      </c>
      <c r="N2227" s="26" t="s">
        <v>1566</v>
      </c>
      <c r="O2227" s="26" t="s">
        <v>1818</v>
      </c>
      <c r="P2227" s="26" t="s">
        <v>616</v>
      </c>
      <c r="Q2227" s="26">
        <v>20.0</v>
      </c>
    </row>
    <row r="2228" ht="17.25" customHeight="1">
      <c r="A2228" s="51">
        <v>46258.67480982639</v>
      </c>
      <c r="B2228" s="55" t="s">
        <v>32</v>
      </c>
      <c r="C2228" s="55" t="s">
        <v>1560</v>
      </c>
      <c r="D2228" s="240">
        <v>46258.0</v>
      </c>
      <c r="E2228" s="52">
        <v>4.0</v>
      </c>
      <c r="F2228" s="55" t="s">
        <v>2394</v>
      </c>
      <c r="G2228" s="55" t="s">
        <v>2470</v>
      </c>
      <c r="H2228" s="55"/>
      <c r="I2228" s="26" t="s">
        <v>34</v>
      </c>
      <c r="J2228" s="26" t="s">
        <v>1807</v>
      </c>
      <c r="K2228" s="26" t="s">
        <v>1807</v>
      </c>
      <c r="L2228" s="26" t="s">
        <v>1566</v>
      </c>
      <c r="M2228" s="26" t="s">
        <v>1566</v>
      </c>
      <c r="N2228" s="26" t="s">
        <v>1566</v>
      </c>
      <c r="O2228" s="26" t="s">
        <v>1808</v>
      </c>
      <c r="P2228" s="26" t="s">
        <v>290</v>
      </c>
      <c r="Q2228" s="26">
        <v>7.0</v>
      </c>
    </row>
    <row r="2229" ht="17.25" customHeight="1">
      <c r="A2229" s="51">
        <v>46258.67482046296</v>
      </c>
      <c r="B2229" s="55" t="s">
        <v>945</v>
      </c>
      <c r="C2229" s="55" t="s">
        <v>1560</v>
      </c>
      <c r="D2229" s="240">
        <v>46258.0</v>
      </c>
      <c r="E2229" s="52">
        <v>25.0</v>
      </c>
      <c r="F2229" s="55" t="s">
        <v>2394</v>
      </c>
      <c r="G2229" s="55" t="s">
        <v>2470</v>
      </c>
      <c r="H2229" s="55"/>
      <c r="I2229" s="26" t="s">
        <v>946</v>
      </c>
      <c r="J2229" s="26" t="s">
        <v>1812</v>
      </c>
      <c r="K2229" s="26" t="s">
        <v>1815</v>
      </c>
      <c r="L2229" s="26" t="s">
        <v>1566</v>
      </c>
      <c r="M2229" s="26" t="s">
        <v>1566</v>
      </c>
      <c r="N2229" s="26" t="s">
        <v>1566</v>
      </c>
      <c r="O2229" s="26" t="s">
        <v>1903</v>
      </c>
      <c r="P2229" s="26" t="s">
        <v>616</v>
      </c>
      <c r="Q2229" s="26">
        <v>25.0</v>
      </c>
    </row>
    <row r="2230" ht="17.25" customHeight="1">
      <c r="A2230" s="51">
        <v>46258.674830358796</v>
      </c>
      <c r="B2230" s="55" t="s">
        <v>753</v>
      </c>
      <c r="C2230" s="55" t="s">
        <v>1560</v>
      </c>
      <c r="D2230" s="240">
        <v>46258.0</v>
      </c>
      <c r="E2230" s="52">
        <v>25.0</v>
      </c>
      <c r="F2230" s="55" t="s">
        <v>2394</v>
      </c>
      <c r="G2230" s="55" t="s">
        <v>2470</v>
      </c>
      <c r="H2230" s="55"/>
      <c r="I2230" s="26" t="s">
        <v>755</v>
      </c>
      <c r="J2230" s="26" t="s">
        <v>1812</v>
      </c>
      <c r="K2230" s="26" t="s">
        <v>1815</v>
      </c>
      <c r="L2230" s="26" t="s">
        <v>1566</v>
      </c>
      <c r="M2230" s="26" t="s">
        <v>1566</v>
      </c>
      <c r="N2230" s="26" t="s">
        <v>1566</v>
      </c>
      <c r="O2230" s="26" t="s">
        <v>2014</v>
      </c>
      <c r="P2230" s="26" t="s">
        <v>290</v>
      </c>
      <c r="Q2230" s="26">
        <v>25.0</v>
      </c>
    </row>
    <row r="2231" ht="17.25" customHeight="1">
      <c r="A2231" s="51">
        <v>46258.67484047454</v>
      </c>
      <c r="B2231" s="55" t="s">
        <v>523</v>
      </c>
      <c r="C2231" s="55" t="s">
        <v>1560</v>
      </c>
      <c r="D2231" s="240">
        <v>46258.0</v>
      </c>
      <c r="E2231" s="52">
        <v>10.0</v>
      </c>
      <c r="F2231" s="55" t="s">
        <v>2394</v>
      </c>
      <c r="G2231" s="55" t="s">
        <v>2470</v>
      </c>
      <c r="H2231" s="55"/>
      <c r="I2231" s="26" t="s">
        <v>528</v>
      </c>
      <c r="J2231" s="26" t="s">
        <v>1812</v>
      </c>
      <c r="K2231" s="26" t="s">
        <v>1815</v>
      </c>
      <c r="L2231" s="26" t="s">
        <v>1566</v>
      </c>
      <c r="M2231" s="26" t="s">
        <v>1566</v>
      </c>
      <c r="N2231" s="26" t="s">
        <v>1566</v>
      </c>
      <c r="O2231" s="26" t="s">
        <v>1837</v>
      </c>
      <c r="P2231" s="26" t="s">
        <v>616</v>
      </c>
      <c r="Q2231" s="26">
        <v>15.0</v>
      </c>
    </row>
    <row r="2232" ht="17.25" customHeight="1">
      <c r="A2232" s="51">
        <v>46258.674850625</v>
      </c>
      <c r="B2232" s="55" t="s">
        <v>562</v>
      </c>
      <c r="C2232" s="55" t="s">
        <v>1560</v>
      </c>
      <c r="D2232" s="240">
        <v>46258.0</v>
      </c>
      <c r="E2232" s="52">
        <v>6.0</v>
      </c>
      <c r="F2232" s="55" t="s">
        <v>2394</v>
      </c>
      <c r="G2232" s="55" t="s">
        <v>2470</v>
      </c>
      <c r="H2232" s="55"/>
      <c r="I2232" s="26" t="s">
        <v>567</v>
      </c>
      <c r="J2232" s="26" t="s">
        <v>1812</v>
      </c>
      <c r="K2232" s="26" t="s">
        <v>1815</v>
      </c>
      <c r="L2232" s="26" t="s">
        <v>1566</v>
      </c>
      <c r="M2232" s="26" t="s">
        <v>1566</v>
      </c>
      <c r="N2232" s="26" t="s">
        <v>1566</v>
      </c>
      <c r="O2232" s="26" t="s">
        <v>1838</v>
      </c>
      <c r="P2232" s="26" t="s">
        <v>616</v>
      </c>
      <c r="Q2232" s="26">
        <v>4.0</v>
      </c>
    </row>
    <row r="2233" ht="17.25" customHeight="1">
      <c r="A2233" s="51">
        <v>46258.67486099537</v>
      </c>
      <c r="B2233" s="55" t="s">
        <v>598</v>
      </c>
      <c r="C2233" s="55" t="s">
        <v>1560</v>
      </c>
      <c r="D2233" s="240">
        <v>46258.0</v>
      </c>
      <c r="E2233" s="52">
        <v>20.0</v>
      </c>
      <c r="F2233" s="55" t="s">
        <v>2394</v>
      </c>
      <c r="G2233" s="55" t="s">
        <v>2470</v>
      </c>
      <c r="H2233" s="55"/>
      <c r="I2233" s="26" t="s">
        <v>604</v>
      </c>
      <c r="J2233" s="26" t="s">
        <v>1812</v>
      </c>
      <c r="K2233" s="26" t="s">
        <v>1815</v>
      </c>
      <c r="L2233" s="26" t="s">
        <v>1566</v>
      </c>
      <c r="M2233" s="26" t="s">
        <v>1566</v>
      </c>
      <c r="N2233" s="26" t="s">
        <v>1566</v>
      </c>
      <c r="O2233" s="26" t="s">
        <v>1812</v>
      </c>
      <c r="P2233" s="26" t="s">
        <v>616</v>
      </c>
      <c r="Q2233" s="26">
        <v>15.0</v>
      </c>
    </row>
    <row r="2234" ht="17.25" customHeight="1">
      <c r="A2234" s="51">
        <v>46258.67542626157</v>
      </c>
      <c r="B2234" s="55" t="s">
        <v>598</v>
      </c>
      <c r="C2234" s="55" t="s">
        <v>1892</v>
      </c>
      <c r="D2234" s="240">
        <v>46258.0</v>
      </c>
      <c r="E2234" s="52">
        <v>20.0</v>
      </c>
      <c r="F2234" s="55" t="s">
        <v>2169</v>
      </c>
      <c r="G2234" s="55" t="s">
        <v>2477</v>
      </c>
      <c r="H2234" s="55"/>
      <c r="I2234" s="26" t="s">
        <v>604</v>
      </c>
      <c r="J2234" s="26" t="s">
        <v>1812</v>
      </c>
      <c r="K2234" s="26" t="s">
        <v>1815</v>
      </c>
      <c r="L2234" s="26" t="s">
        <v>1566</v>
      </c>
      <c r="M2234" s="26" t="s">
        <v>1566</v>
      </c>
      <c r="N2234" s="26" t="s">
        <v>1566</v>
      </c>
      <c r="O2234" s="26" t="s">
        <v>1812</v>
      </c>
      <c r="P2234" s="26" t="s">
        <v>616</v>
      </c>
      <c r="Q2234" s="26">
        <v>15.0</v>
      </c>
    </row>
    <row r="2235" ht="17.25" customHeight="1">
      <c r="A2235" s="51">
        <v>46258.675742824074</v>
      </c>
      <c r="B2235" s="55" t="s">
        <v>562</v>
      </c>
      <c r="C2235" s="55" t="s">
        <v>1892</v>
      </c>
      <c r="D2235" s="240">
        <v>46258.0</v>
      </c>
      <c r="E2235" s="52">
        <v>2.0</v>
      </c>
      <c r="F2235" s="55" t="s">
        <v>2169</v>
      </c>
      <c r="G2235" s="55"/>
      <c r="H2235" s="55"/>
      <c r="I2235" s="26" t="s">
        <v>567</v>
      </c>
      <c r="J2235" s="26" t="s">
        <v>1812</v>
      </c>
      <c r="K2235" s="26" t="s">
        <v>1815</v>
      </c>
      <c r="L2235" s="26" t="s">
        <v>1566</v>
      </c>
      <c r="M2235" s="26" t="s">
        <v>1566</v>
      </c>
      <c r="N2235" s="26" t="s">
        <v>1566</v>
      </c>
      <c r="O2235" s="26" t="s">
        <v>1838</v>
      </c>
      <c r="P2235" s="26" t="s">
        <v>616</v>
      </c>
      <c r="Q2235" s="26">
        <v>4.0</v>
      </c>
    </row>
    <row r="2236" ht="17.25" customHeight="1">
      <c r="A2236" s="51">
        <v>46258.67583586805</v>
      </c>
      <c r="B2236" s="55" t="s">
        <v>562</v>
      </c>
      <c r="C2236" s="55" t="s">
        <v>1892</v>
      </c>
      <c r="D2236" s="240">
        <v>46258.0</v>
      </c>
      <c r="E2236" s="52">
        <v>2.0</v>
      </c>
      <c r="F2236" s="55" t="s">
        <v>630</v>
      </c>
      <c r="G2236" s="55"/>
      <c r="H2236" s="55"/>
      <c r="I2236" s="26" t="s">
        <v>567</v>
      </c>
      <c r="J2236" s="26" t="s">
        <v>1812</v>
      </c>
      <c r="K2236" s="26" t="s">
        <v>1815</v>
      </c>
      <c r="L2236" s="26" t="s">
        <v>1566</v>
      </c>
      <c r="M2236" s="26" t="s">
        <v>1566</v>
      </c>
      <c r="N2236" s="26" t="s">
        <v>1566</v>
      </c>
      <c r="O2236" s="26" t="s">
        <v>1838</v>
      </c>
      <c r="P2236" s="26" t="s">
        <v>616</v>
      </c>
      <c r="Q2236" s="26">
        <v>4.0</v>
      </c>
    </row>
    <row r="2237" ht="17.25" customHeight="1">
      <c r="A2237" s="51">
        <v>46258.67743202546</v>
      </c>
      <c r="B2237" s="55" t="s">
        <v>523</v>
      </c>
      <c r="C2237" s="55" t="s">
        <v>1892</v>
      </c>
      <c r="D2237" s="240">
        <v>46258.0</v>
      </c>
      <c r="E2237" s="52">
        <v>5.0</v>
      </c>
      <c r="F2237" s="55" t="s">
        <v>2169</v>
      </c>
      <c r="G2237" s="55"/>
      <c r="H2237" s="55"/>
      <c r="I2237" s="26" t="s">
        <v>528</v>
      </c>
      <c r="J2237" s="26" t="s">
        <v>1812</v>
      </c>
      <c r="K2237" s="26" t="s">
        <v>1815</v>
      </c>
      <c r="L2237" s="26" t="s">
        <v>1566</v>
      </c>
      <c r="M2237" s="26" t="s">
        <v>1566</v>
      </c>
      <c r="N2237" s="26" t="s">
        <v>1566</v>
      </c>
      <c r="O2237" s="26" t="s">
        <v>1837</v>
      </c>
      <c r="P2237" s="26" t="s">
        <v>616</v>
      </c>
      <c r="Q2237" s="26">
        <v>15.0</v>
      </c>
    </row>
    <row r="2238" ht="17.25" customHeight="1">
      <c r="A2238" s="51">
        <v>46258.67778961806</v>
      </c>
      <c r="B2238" s="55" t="s">
        <v>945</v>
      </c>
      <c r="C2238" s="55" t="s">
        <v>1892</v>
      </c>
      <c r="D2238" s="240">
        <v>46258.0</v>
      </c>
      <c r="E2238" s="52">
        <v>25.0</v>
      </c>
      <c r="F2238" s="55" t="s">
        <v>2169</v>
      </c>
      <c r="G2238" s="55"/>
      <c r="H2238" s="55"/>
      <c r="I2238" s="26" t="s">
        <v>946</v>
      </c>
      <c r="J2238" s="26" t="s">
        <v>1812</v>
      </c>
      <c r="K2238" s="26" t="s">
        <v>1815</v>
      </c>
      <c r="L2238" s="26" t="s">
        <v>1566</v>
      </c>
      <c r="M2238" s="26" t="s">
        <v>1566</v>
      </c>
      <c r="N2238" s="26" t="s">
        <v>1566</v>
      </c>
      <c r="O2238" s="26" t="s">
        <v>1903</v>
      </c>
      <c r="P2238" s="26" t="s">
        <v>616</v>
      </c>
      <c r="Q2238" s="26">
        <v>25.0</v>
      </c>
    </row>
    <row r="2239" ht="17.25" customHeight="1">
      <c r="A2239" s="51">
        <v>46258.67798650463</v>
      </c>
      <c r="B2239" s="55" t="s">
        <v>32</v>
      </c>
      <c r="C2239" s="55" t="s">
        <v>1892</v>
      </c>
      <c r="D2239" s="240">
        <v>46258.0</v>
      </c>
      <c r="E2239" s="52">
        <v>2.0</v>
      </c>
      <c r="F2239" s="55" t="s">
        <v>630</v>
      </c>
      <c r="G2239" s="55"/>
      <c r="H2239" s="55"/>
      <c r="I2239" s="26" t="s">
        <v>34</v>
      </c>
      <c r="J2239" s="26" t="s">
        <v>1807</v>
      </c>
      <c r="K2239" s="26" t="s">
        <v>1807</v>
      </c>
      <c r="L2239" s="26" t="s">
        <v>1566</v>
      </c>
      <c r="M2239" s="26" t="s">
        <v>1566</v>
      </c>
      <c r="N2239" s="26" t="s">
        <v>1566</v>
      </c>
      <c r="O2239" s="26" t="s">
        <v>1808</v>
      </c>
      <c r="P2239" s="26" t="s">
        <v>290</v>
      </c>
      <c r="Q2239" s="26">
        <v>7.0</v>
      </c>
    </row>
    <row r="2240" ht="17.25" customHeight="1">
      <c r="A2240" s="51">
        <v>46258.67800623842</v>
      </c>
      <c r="B2240" s="55" t="s">
        <v>32</v>
      </c>
      <c r="C2240" s="55" t="s">
        <v>1892</v>
      </c>
      <c r="D2240" s="240">
        <v>46258.0</v>
      </c>
      <c r="E2240" s="52">
        <v>2.0</v>
      </c>
      <c r="F2240" s="55" t="s">
        <v>630</v>
      </c>
      <c r="G2240" s="55"/>
      <c r="H2240" s="55"/>
      <c r="I2240" s="26" t="s">
        <v>34</v>
      </c>
      <c r="J2240" s="26" t="s">
        <v>1807</v>
      </c>
      <c r="K2240" s="26" t="s">
        <v>1807</v>
      </c>
      <c r="L2240" s="26" t="s">
        <v>1566</v>
      </c>
      <c r="M2240" s="26" t="s">
        <v>1566</v>
      </c>
      <c r="N2240" s="26" t="s">
        <v>1566</v>
      </c>
      <c r="O2240" s="26" t="s">
        <v>1808</v>
      </c>
      <c r="P2240" s="26" t="s">
        <v>290</v>
      </c>
      <c r="Q2240" s="26">
        <v>7.0</v>
      </c>
    </row>
    <row r="2241" ht="17.25" customHeight="1">
      <c r="A2241" s="51">
        <v>46258.69568829861</v>
      </c>
      <c r="B2241" s="55" t="s">
        <v>728</v>
      </c>
      <c r="C2241" s="55" t="s">
        <v>1892</v>
      </c>
      <c r="D2241" s="240">
        <v>46258.695663136576</v>
      </c>
      <c r="E2241" s="52">
        <v>5.0</v>
      </c>
      <c r="F2241" s="55" t="s">
        <v>2394</v>
      </c>
      <c r="G2241" s="55" t="s">
        <v>2478</v>
      </c>
      <c r="H2241" s="55"/>
      <c r="I2241" s="26" t="s">
        <v>729</v>
      </c>
      <c r="J2241" s="26" t="s">
        <v>1812</v>
      </c>
      <c r="K2241" s="26" t="s">
        <v>1815</v>
      </c>
      <c r="L2241" s="26" t="s">
        <v>1566</v>
      </c>
      <c r="M2241" s="26" t="s">
        <v>1566</v>
      </c>
      <c r="N2241" s="26" t="s">
        <v>1566</v>
      </c>
      <c r="O2241" s="26" t="s">
        <v>1566</v>
      </c>
      <c r="P2241" s="26" t="s">
        <v>661</v>
      </c>
      <c r="Q2241" s="26">
        <v>10.0</v>
      </c>
    </row>
    <row r="2242" ht="17.25" customHeight="1">
      <c r="A2242" s="51">
        <v>46259.654656238425</v>
      </c>
      <c r="B2242" s="55" t="s">
        <v>301</v>
      </c>
      <c r="C2242" s="55" t="s">
        <v>1892</v>
      </c>
      <c r="D2242" s="240">
        <v>46259.0</v>
      </c>
      <c r="E2242" s="52">
        <v>15.0</v>
      </c>
      <c r="F2242" s="55" t="s">
        <v>24</v>
      </c>
      <c r="G2242" s="55"/>
      <c r="H2242" s="55"/>
      <c r="I2242" s="26" t="s">
        <v>302</v>
      </c>
      <c r="J2242" s="26" t="s">
        <v>1830</v>
      </c>
      <c r="K2242" s="26" t="s">
        <v>302</v>
      </c>
      <c r="L2242" s="26" t="s">
        <v>1566</v>
      </c>
      <c r="M2242" s="26" t="s">
        <v>1566</v>
      </c>
      <c r="N2242" s="26" t="s">
        <v>1566</v>
      </c>
      <c r="O2242" s="26" t="s">
        <v>1566</v>
      </c>
      <c r="P2242" s="26" t="s">
        <v>661</v>
      </c>
      <c r="Q2242" s="26">
        <v>580.0</v>
      </c>
    </row>
    <row r="2243" ht="17.25" customHeight="1">
      <c r="A2243" s="51">
        <v>46259.65520836806</v>
      </c>
      <c r="B2243" s="55" t="s">
        <v>301</v>
      </c>
      <c r="C2243" s="55" t="s">
        <v>1560</v>
      </c>
      <c r="D2243" s="240">
        <v>46258.0</v>
      </c>
      <c r="E2243" s="52">
        <v>500.0</v>
      </c>
      <c r="F2243" s="55" t="s">
        <v>2394</v>
      </c>
      <c r="G2243" s="55" t="s">
        <v>2479</v>
      </c>
      <c r="H2243" s="55"/>
      <c r="I2243" s="26" t="s">
        <v>302</v>
      </c>
      <c r="J2243" s="26" t="s">
        <v>1830</v>
      </c>
      <c r="K2243" s="26" t="s">
        <v>302</v>
      </c>
      <c r="L2243" s="26" t="s">
        <v>1566</v>
      </c>
      <c r="M2243" s="26" t="s">
        <v>1566</v>
      </c>
      <c r="N2243" s="26" t="s">
        <v>1566</v>
      </c>
      <c r="O2243" s="26" t="s">
        <v>1566</v>
      </c>
      <c r="P2243" s="26" t="s">
        <v>661</v>
      </c>
      <c r="Q2243" s="26">
        <v>580.0</v>
      </c>
    </row>
    <row r="2244" ht="17.25" customHeight="1">
      <c r="A2244" s="51">
        <v>46259.772072858796</v>
      </c>
      <c r="B2244" s="55" t="s">
        <v>308</v>
      </c>
      <c r="C2244" s="55" t="s">
        <v>1892</v>
      </c>
      <c r="D2244" s="240">
        <v>46259.0</v>
      </c>
      <c r="E2244" s="52">
        <v>1000.0</v>
      </c>
      <c r="F2244" s="55" t="s">
        <v>24</v>
      </c>
      <c r="G2244" s="55"/>
      <c r="H2244" s="55" t="s">
        <v>310</v>
      </c>
      <c r="I2244" s="26" t="s">
        <v>309</v>
      </c>
      <c r="J2244" s="26" t="s">
        <v>1225</v>
      </c>
      <c r="K2244" s="26" t="s">
        <v>1562</v>
      </c>
      <c r="L2244" s="26" t="s">
        <v>1563</v>
      </c>
      <c r="M2244" s="26" t="s">
        <v>1574</v>
      </c>
      <c r="N2244" s="26" t="s">
        <v>1566</v>
      </c>
      <c r="O2244" s="26" t="s">
        <v>1566</v>
      </c>
      <c r="P2244" s="26" t="s">
        <v>22</v>
      </c>
      <c r="Q2244" s="26">
        <v>0.0</v>
      </c>
    </row>
    <row r="2245" ht="17.25" customHeight="1">
      <c r="A2245" s="51">
        <v>46259.772133935185</v>
      </c>
      <c r="B2245" s="55" t="s">
        <v>317</v>
      </c>
      <c r="C2245" s="55" t="s">
        <v>1892</v>
      </c>
      <c r="D2245" s="240">
        <v>46259.0</v>
      </c>
      <c r="E2245" s="52">
        <v>1400.0</v>
      </c>
      <c r="F2245" s="55" t="s">
        <v>24</v>
      </c>
      <c r="G2245" s="55" t="s">
        <v>321</v>
      </c>
      <c r="H2245" s="55" t="s">
        <v>320</v>
      </c>
      <c r="I2245" s="26" t="s">
        <v>318</v>
      </c>
      <c r="J2245" s="26" t="s">
        <v>1225</v>
      </c>
      <c r="K2245" s="26" t="s">
        <v>1562</v>
      </c>
      <c r="L2245" s="26" t="s">
        <v>2199</v>
      </c>
      <c r="M2245" s="26" t="s">
        <v>1575</v>
      </c>
      <c r="N2245" s="26" t="s">
        <v>1566</v>
      </c>
      <c r="O2245" s="26" t="s">
        <v>2204</v>
      </c>
      <c r="P2245" s="26" t="s">
        <v>22</v>
      </c>
      <c r="Q2245" s="26">
        <v>0.0</v>
      </c>
    </row>
    <row r="2246" ht="17.25" customHeight="1">
      <c r="A2246" s="51">
        <v>46259.77219596065</v>
      </c>
      <c r="B2246" s="55" t="s">
        <v>328</v>
      </c>
      <c r="C2246" s="55" t="s">
        <v>1892</v>
      </c>
      <c r="D2246" s="240">
        <v>46259.0</v>
      </c>
      <c r="E2246" s="52">
        <v>1400.0</v>
      </c>
      <c r="F2246" s="55" t="s">
        <v>24</v>
      </c>
      <c r="G2246" s="55"/>
      <c r="H2246" s="55" t="s">
        <v>331</v>
      </c>
      <c r="I2246" s="26" t="s">
        <v>329</v>
      </c>
      <c r="J2246" s="26" t="s">
        <v>1225</v>
      </c>
      <c r="K2246" s="26" t="s">
        <v>1562</v>
      </c>
      <c r="L2246" s="26" t="s">
        <v>1563</v>
      </c>
      <c r="M2246" s="26" t="s">
        <v>2172</v>
      </c>
      <c r="N2246" s="26" t="s">
        <v>1566</v>
      </c>
      <c r="O2246" s="26" t="s">
        <v>2160</v>
      </c>
      <c r="P2246" s="26" t="s">
        <v>22</v>
      </c>
      <c r="Q2246" s="26">
        <v>1500.0</v>
      </c>
    </row>
    <row r="2247" ht="17.25" customHeight="1">
      <c r="A2247" s="51">
        <v>46259.77225976852</v>
      </c>
      <c r="B2247" s="55" t="s">
        <v>328</v>
      </c>
      <c r="C2247" s="55" t="s">
        <v>1892</v>
      </c>
      <c r="D2247" s="240">
        <v>46259.0</v>
      </c>
      <c r="E2247" s="52">
        <v>1400.0</v>
      </c>
      <c r="F2247" s="55" t="s">
        <v>24</v>
      </c>
      <c r="G2247" s="55"/>
      <c r="H2247" s="55" t="s">
        <v>331</v>
      </c>
      <c r="I2247" s="26" t="s">
        <v>329</v>
      </c>
      <c r="J2247" s="26" t="s">
        <v>1225</v>
      </c>
      <c r="K2247" s="26" t="s">
        <v>1562</v>
      </c>
      <c r="L2247" s="26" t="s">
        <v>1563</v>
      </c>
      <c r="M2247" s="26" t="s">
        <v>2172</v>
      </c>
      <c r="N2247" s="26" t="s">
        <v>1566</v>
      </c>
      <c r="O2247" s="26" t="s">
        <v>2160</v>
      </c>
      <c r="P2247" s="26" t="s">
        <v>22</v>
      </c>
      <c r="Q2247" s="26">
        <v>1500.0</v>
      </c>
    </row>
    <row r="2248" ht="17.25" customHeight="1">
      <c r="A2248" s="51">
        <v>46259.77589965278</v>
      </c>
      <c r="B2248" s="55" t="s">
        <v>261</v>
      </c>
      <c r="C2248" s="55" t="s">
        <v>1560</v>
      </c>
      <c r="D2248" s="240">
        <v>46255.0</v>
      </c>
      <c r="E2248" s="52">
        <v>432.0</v>
      </c>
      <c r="F2248" s="55" t="s">
        <v>2394</v>
      </c>
      <c r="G2248" s="55" t="s">
        <v>2480</v>
      </c>
      <c r="H2248" s="55" t="s">
        <v>1390</v>
      </c>
      <c r="I2248" s="26" t="s">
        <v>262</v>
      </c>
      <c r="J2248" s="26" t="s">
        <v>1225</v>
      </c>
      <c r="K2248" s="26" t="s">
        <v>1653</v>
      </c>
      <c r="L2248" s="26" t="s">
        <v>1587</v>
      </c>
      <c r="M2248" s="26" t="s">
        <v>1572</v>
      </c>
      <c r="N2248" s="26" t="s">
        <v>1661</v>
      </c>
      <c r="O2248" s="26" t="s">
        <v>1566</v>
      </c>
      <c r="P2248" s="26" t="s">
        <v>22</v>
      </c>
      <c r="Q2248" s="26">
        <v>1296.0</v>
      </c>
    </row>
    <row r="2249" ht="17.25" customHeight="1">
      <c r="A2249" s="51">
        <v>46259.775916342594</v>
      </c>
      <c r="B2249" s="55" t="s">
        <v>365</v>
      </c>
      <c r="C2249" s="55" t="s">
        <v>1560</v>
      </c>
      <c r="D2249" s="240">
        <v>46255.0</v>
      </c>
      <c r="E2249" s="52">
        <v>1200.0</v>
      </c>
      <c r="F2249" s="55" t="s">
        <v>2394</v>
      </c>
      <c r="G2249" s="55" t="s">
        <v>2480</v>
      </c>
      <c r="H2249" s="55" t="s">
        <v>368</v>
      </c>
      <c r="I2249" s="26" t="s">
        <v>367</v>
      </c>
      <c r="J2249" s="26" t="s">
        <v>1225</v>
      </c>
      <c r="K2249" s="26" t="s">
        <v>1653</v>
      </c>
      <c r="L2249" s="26" t="s">
        <v>1584</v>
      </c>
      <c r="M2249" s="26" t="s">
        <v>1572</v>
      </c>
      <c r="N2249" s="26" t="s">
        <v>1654</v>
      </c>
      <c r="O2249" s="26" t="s">
        <v>1566</v>
      </c>
      <c r="P2249" s="26" t="s">
        <v>22</v>
      </c>
      <c r="Q2249" s="26">
        <v>0.0</v>
      </c>
    </row>
    <row r="2250" ht="17.25" customHeight="1">
      <c r="A2250" s="51">
        <v>46259.81359611111</v>
      </c>
      <c r="B2250" s="55" t="s">
        <v>347</v>
      </c>
      <c r="C2250" s="55" t="s">
        <v>1560</v>
      </c>
      <c r="D2250" s="240">
        <v>46258.0</v>
      </c>
      <c r="E2250" s="52">
        <v>600.0</v>
      </c>
      <c r="F2250" s="55" t="s">
        <v>2394</v>
      </c>
      <c r="G2250" s="55" t="s">
        <v>2482</v>
      </c>
      <c r="H2250" s="55" t="s">
        <v>351</v>
      </c>
      <c r="I2250" s="26" t="s">
        <v>349</v>
      </c>
      <c r="J2250" s="26" t="s">
        <v>1225</v>
      </c>
      <c r="K2250" s="26" t="s">
        <v>1562</v>
      </c>
      <c r="L2250" s="26" t="s">
        <v>1591</v>
      </c>
      <c r="M2250" s="26" t="s">
        <v>1564</v>
      </c>
      <c r="N2250" s="26" t="s">
        <v>1565</v>
      </c>
      <c r="O2250" s="26" t="s">
        <v>1566</v>
      </c>
      <c r="P2250" s="26" t="s">
        <v>22</v>
      </c>
      <c r="Q2250" s="26">
        <v>1800.0</v>
      </c>
    </row>
    <row r="2251" ht="17.25" customHeight="1">
      <c r="A2251" s="51">
        <v>46259.81361332176</v>
      </c>
      <c r="B2251" s="55" t="s">
        <v>1393</v>
      </c>
      <c r="C2251" s="55" t="s">
        <v>1560</v>
      </c>
      <c r="D2251" s="240">
        <v>46258.0</v>
      </c>
      <c r="E2251" s="52">
        <v>500.0</v>
      </c>
      <c r="F2251" s="55" t="s">
        <v>2394</v>
      </c>
      <c r="G2251" s="55" t="s">
        <v>2482</v>
      </c>
      <c r="H2251" s="55" t="s">
        <v>1487</v>
      </c>
      <c r="I2251" s="26" t="s">
        <v>2035</v>
      </c>
      <c r="J2251" s="26" t="s">
        <v>1225</v>
      </c>
      <c r="K2251" s="26" t="s">
        <v>1646</v>
      </c>
      <c r="L2251" s="26" t="s">
        <v>1563</v>
      </c>
      <c r="M2251" s="26">
        <v>80.0</v>
      </c>
      <c r="N2251" s="26" t="s">
        <v>1566</v>
      </c>
      <c r="O2251" s="26" t="s">
        <v>1566</v>
      </c>
      <c r="P2251" s="26" t="s">
        <v>22</v>
      </c>
      <c r="Q2251" s="26">
        <v>500.0</v>
      </c>
    </row>
    <row r="2252" ht="17.25" customHeight="1">
      <c r="A2252" s="51">
        <v>46260.65055844907</v>
      </c>
      <c r="B2252" s="55" t="s">
        <v>1400</v>
      </c>
      <c r="C2252" s="55" t="s">
        <v>1560</v>
      </c>
      <c r="D2252" s="240">
        <v>46251.0</v>
      </c>
      <c r="E2252" s="52">
        <v>2.5</v>
      </c>
      <c r="F2252" s="55" t="s">
        <v>2394</v>
      </c>
      <c r="G2252" s="55" t="s">
        <v>2484</v>
      </c>
      <c r="H2252" s="55"/>
      <c r="I2252" s="26" t="s">
        <v>1401</v>
      </c>
      <c r="J2252" s="26" t="s">
        <v>1674</v>
      </c>
      <c r="K2252" s="26" t="s">
        <v>1691</v>
      </c>
      <c r="L2252" s="26" t="s">
        <v>1566</v>
      </c>
      <c r="M2252" s="26" t="s">
        <v>1566</v>
      </c>
      <c r="N2252" s="26" t="s">
        <v>2106</v>
      </c>
      <c r="O2252" s="26" t="s">
        <v>1566</v>
      </c>
      <c r="P2252" s="26" t="s">
        <v>290</v>
      </c>
      <c r="Q2252" s="26">
        <v>0.0</v>
      </c>
    </row>
    <row r="2253" ht="17.25" customHeight="1">
      <c r="A2253" s="51">
        <v>46260.65074540509</v>
      </c>
      <c r="B2253" s="55" t="s">
        <v>1400</v>
      </c>
      <c r="C2253" s="55" t="s">
        <v>1892</v>
      </c>
      <c r="D2253" s="240">
        <v>46260.0</v>
      </c>
      <c r="E2253" s="52">
        <v>2.5</v>
      </c>
      <c r="F2253" s="55"/>
      <c r="G2253" s="55"/>
      <c r="H2253" s="55"/>
      <c r="I2253" s="26" t="s">
        <v>1401</v>
      </c>
      <c r="J2253" s="26" t="s">
        <v>1674</v>
      </c>
      <c r="K2253" s="26" t="s">
        <v>1691</v>
      </c>
      <c r="L2253" s="26" t="s">
        <v>1566</v>
      </c>
      <c r="M2253" s="26" t="s">
        <v>1566</v>
      </c>
      <c r="N2253" s="26" t="s">
        <v>2106</v>
      </c>
      <c r="O2253" s="26" t="s">
        <v>1566</v>
      </c>
      <c r="P2253" s="26" t="s">
        <v>290</v>
      </c>
      <c r="Q2253" s="26">
        <v>0.0</v>
      </c>
    </row>
    <row r="2254" ht="17.25" customHeight="1">
      <c r="A2254" s="51">
        <v>46260.67109386574</v>
      </c>
      <c r="B2254" s="55" t="s">
        <v>147</v>
      </c>
      <c r="C2254" s="55" t="s">
        <v>1892</v>
      </c>
      <c r="D2254" s="240">
        <v>46260.0</v>
      </c>
      <c r="E2254" s="52">
        <v>1400.0</v>
      </c>
      <c r="F2254" s="55" t="s">
        <v>24</v>
      </c>
      <c r="G2254" s="55" t="s">
        <v>2358</v>
      </c>
      <c r="H2254" s="55"/>
      <c r="I2254" s="26" t="s">
        <v>148</v>
      </c>
      <c r="J2254" s="26" t="s">
        <v>1225</v>
      </c>
      <c r="K2254" s="26" t="s">
        <v>1562</v>
      </c>
      <c r="L2254" s="26" t="s">
        <v>1633</v>
      </c>
      <c r="M2254" s="26" t="s">
        <v>1574</v>
      </c>
      <c r="N2254" s="26" t="s">
        <v>1566</v>
      </c>
      <c r="O2254" s="26" t="s">
        <v>1566</v>
      </c>
      <c r="P2254" s="26" t="s">
        <v>22</v>
      </c>
      <c r="Q2254" s="26">
        <v>0.0</v>
      </c>
    </row>
    <row r="2255" ht="17.25" customHeight="1">
      <c r="A2255" s="51">
        <v>46260.678094675925</v>
      </c>
      <c r="B2255" s="55" t="s">
        <v>341</v>
      </c>
      <c r="C2255" s="55" t="s">
        <v>1892</v>
      </c>
      <c r="D2255" s="240">
        <v>46260.0</v>
      </c>
      <c r="E2255" s="52">
        <v>1100.0</v>
      </c>
      <c r="F2255" s="55" t="s">
        <v>24</v>
      </c>
      <c r="G2255" s="55"/>
      <c r="H2255" s="55" t="s">
        <v>343</v>
      </c>
      <c r="I2255" s="26" t="s">
        <v>342</v>
      </c>
      <c r="J2255" s="26" t="s">
        <v>1225</v>
      </c>
      <c r="K2255" s="26" t="s">
        <v>1562</v>
      </c>
      <c r="L2255" s="26" t="s">
        <v>1591</v>
      </c>
      <c r="M2255" s="26" t="s">
        <v>1586</v>
      </c>
      <c r="N2255" s="26" t="s">
        <v>1566</v>
      </c>
      <c r="O2255" s="26" t="s">
        <v>1566</v>
      </c>
      <c r="P2255" s="26" t="s">
        <v>22</v>
      </c>
      <c r="Q2255" s="26">
        <v>0.0</v>
      </c>
    </row>
    <row r="2256" ht="17.25" customHeight="1">
      <c r="A2256" s="51">
        <v>46260.67817802083</v>
      </c>
      <c r="B2256" s="55" t="s">
        <v>347</v>
      </c>
      <c r="C2256" s="55" t="s">
        <v>1892</v>
      </c>
      <c r="D2256" s="240">
        <v>46260.0</v>
      </c>
      <c r="E2256" s="52">
        <v>600.0</v>
      </c>
      <c r="F2256" s="55" t="s">
        <v>24</v>
      </c>
      <c r="G2256" s="55"/>
      <c r="H2256" s="55" t="s">
        <v>351</v>
      </c>
      <c r="I2256" s="26" t="s">
        <v>349</v>
      </c>
      <c r="J2256" s="26" t="s">
        <v>1225</v>
      </c>
      <c r="K2256" s="26" t="s">
        <v>1562</v>
      </c>
      <c r="L2256" s="26" t="s">
        <v>1591</v>
      </c>
      <c r="M2256" s="26" t="s">
        <v>1564</v>
      </c>
      <c r="N2256" s="26" t="s">
        <v>1565</v>
      </c>
      <c r="O2256" s="26" t="s">
        <v>1566</v>
      </c>
      <c r="P2256" s="26" t="s">
        <v>22</v>
      </c>
      <c r="Q2256" s="26">
        <v>1800.0</v>
      </c>
    </row>
    <row r="2257" ht="17.25" customHeight="1">
      <c r="A2257" s="51">
        <v>46260.74523673611</v>
      </c>
      <c r="B2257" s="55" t="s">
        <v>341</v>
      </c>
      <c r="C2257" s="55" t="s">
        <v>1892</v>
      </c>
      <c r="D2257" s="240">
        <v>46256.0</v>
      </c>
      <c r="E2257" s="52">
        <v>1100.0</v>
      </c>
      <c r="F2257" s="55" t="s">
        <v>24</v>
      </c>
      <c r="G2257" s="55" t="s">
        <v>2485</v>
      </c>
      <c r="H2257" s="55" t="s">
        <v>2486</v>
      </c>
      <c r="I2257" s="26" t="s">
        <v>342</v>
      </c>
      <c r="J2257" s="26" t="s">
        <v>1225</v>
      </c>
      <c r="K2257" s="26" t="s">
        <v>1562</v>
      </c>
      <c r="L2257" s="26" t="s">
        <v>1591</v>
      </c>
      <c r="M2257" s="26" t="s">
        <v>1586</v>
      </c>
      <c r="N2257" s="26" t="s">
        <v>1566</v>
      </c>
      <c r="O2257" s="26" t="s">
        <v>1566</v>
      </c>
      <c r="P2257" s="26" t="s">
        <v>22</v>
      </c>
      <c r="Q2257" s="26">
        <v>0.0</v>
      </c>
    </row>
    <row r="2258" ht="17.25" customHeight="1">
      <c r="A2258" s="51">
        <v>46260.77512481481</v>
      </c>
      <c r="B2258" s="55" t="s">
        <v>356</v>
      </c>
      <c r="C2258" s="55" t="s">
        <v>1892</v>
      </c>
      <c r="D2258" s="240">
        <v>46260.0</v>
      </c>
      <c r="E2258" s="52">
        <v>1200.0</v>
      </c>
      <c r="F2258" s="55" t="s">
        <v>24</v>
      </c>
      <c r="G2258" s="55"/>
      <c r="H2258" s="55" t="s">
        <v>360</v>
      </c>
      <c r="I2258" s="26" t="s">
        <v>358</v>
      </c>
      <c r="J2258" s="26" t="s">
        <v>1225</v>
      </c>
      <c r="K2258" s="26" t="s">
        <v>1562</v>
      </c>
      <c r="L2258" s="26" t="s">
        <v>2205</v>
      </c>
      <c r="M2258" s="26" t="s">
        <v>1572</v>
      </c>
      <c r="N2258" s="26" t="s">
        <v>1566</v>
      </c>
      <c r="O2258" s="26" t="s">
        <v>1566</v>
      </c>
      <c r="P2258" s="26" t="s">
        <v>22</v>
      </c>
      <c r="Q2258" s="26">
        <v>0.0</v>
      </c>
    </row>
    <row r="2259" ht="17.25" customHeight="1">
      <c r="A2259" s="51">
        <v>46260.77522033565</v>
      </c>
      <c r="B2259" s="55" t="s">
        <v>365</v>
      </c>
      <c r="C2259" s="55" t="s">
        <v>1892</v>
      </c>
      <c r="D2259" s="240">
        <v>46260.0</v>
      </c>
      <c r="E2259" s="52">
        <v>1200.0</v>
      </c>
      <c r="F2259" s="55" t="s">
        <v>24</v>
      </c>
      <c r="G2259" s="55" t="s">
        <v>369</v>
      </c>
      <c r="H2259" s="55" t="s">
        <v>368</v>
      </c>
      <c r="I2259" s="26" t="s">
        <v>367</v>
      </c>
      <c r="J2259" s="26" t="s">
        <v>1225</v>
      </c>
      <c r="K2259" s="26" t="s">
        <v>1653</v>
      </c>
      <c r="L2259" s="26" t="s">
        <v>1584</v>
      </c>
      <c r="M2259" s="26" t="s">
        <v>1572</v>
      </c>
      <c r="N2259" s="26" t="s">
        <v>1654</v>
      </c>
      <c r="O2259" s="26" t="s">
        <v>1566</v>
      </c>
      <c r="P2259" s="26" t="s">
        <v>22</v>
      </c>
      <c r="Q2259" s="26">
        <v>0.0</v>
      </c>
    </row>
    <row r="2260" ht="17.25" customHeight="1">
      <c r="A2260" s="51">
        <v>46261.57647543981</v>
      </c>
      <c r="B2260" s="55" t="s">
        <v>201</v>
      </c>
      <c r="C2260" s="55" t="s">
        <v>1560</v>
      </c>
      <c r="D2260" s="240">
        <v>46260.0</v>
      </c>
      <c r="E2260" s="52">
        <v>600.0</v>
      </c>
      <c r="F2260" s="55" t="s">
        <v>2394</v>
      </c>
      <c r="G2260" s="55" t="s">
        <v>2487</v>
      </c>
      <c r="H2260" s="55" t="s">
        <v>403</v>
      </c>
      <c r="I2260" s="26" t="s">
        <v>202</v>
      </c>
      <c r="J2260" s="26" t="s">
        <v>1225</v>
      </c>
      <c r="K2260" s="26" t="s">
        <v>1562</v>
      </c>
      <c r="L2260" s="26" t="s">
        <v>1573</v>
      </c>
      <c r="M2260" s="26" t="s">
        <v>1574</v>
      </c>
      <c r="N2260" s="26" t="s">
        <v>1566</v>
      </c>
      <c r="O2260" s="26" t="s">
        <v>1566</v>
      </c>
      <c r="P2260" s="26" t="s">
        <v>22</v>
      </c>
      <c r="Q2260" s="26">
        <v>600.0</v>
      </c>
    </row>
    <row r="2261" ht="17.25" customHeight="1">
      <c r="A2261" s="51">
        <v>46261.57648993055</v>
      </c>
      <c r="B2261" s="55" t="s">
        <v>61</v>
      </c>
      <c r="C2261" s="55" t="s">
        <v>1560</v>
      </c>
      <c r="D2261" s="240">
        <v>46260.0</v>
      </c>
      <c r="E2261" s="52">
        <v>1000.0</v>
      </c>
      <c r="F2261" s="55" t="s">
        <v>2394</v>
      </c>
      <c r="G2261" s="55" t="s">
        <v>2487</v>
      </c>
      <c r="H2261" s="55" t="s">
        <v>455</v>
      </c>
      <c r="I2261" s="26" t="s">
        <v>62</v>
      </c>
      <c r="J2261" s="26" t="s">
        <v>1225</v>
      </c>
      <c r="K2261" s="26" t="s">
        <v>1562</v>
      </c>
      <c r="L2261" s="26" t="s">
        <v>1600</v>
      </c>
      <c r="M2261" s="26" t="s">
        <v>1575</v>
      </c>
      <c r="N2261" s="26" t="s">
        <v>1566</v>
      </c>
      <c r="O2261" s="26" t="s">
        <v>2160</v>
      </c>
      <c r="P2261" s="26" t="s">
        <v>22</v>
      </c>
      <c r="Q2261" s="26">
        <v>0.0</v>
      </c>
    </row>
    <row r="2262" ht="17.25" customHeight="1">
      <c r="A2262" s="51">
        <v>46261.576505613426</v>
      </c>
      <c r="B2262" s="55" t="s">
        <v>147</v>
      </c>
      <c r="C2262" s="55" t="s">
        <v>1560</v>
      </c>
      <c r="D2262" s="240">
        <v>46260.0</v>
      </c>
      <c r="E2262" s="52">
        <v>200.0</v>
      </c>
      <c r="F2262" s="55" t="s">
        <v>2394</v>
      </c>
      <c r="G2262" s="55" t="s">
        <v>2487</v>
      </c>
      <c r="H2262" s="55" t="s">
        <v>410</v>
      </c>
      <c r="I2262" s="26" t="s">
        <v>148</v>
      </c>
      <c r="J2262" s="26" t="s">
        <v>1225</v>
      </c>
      <c r="K2262" s="26" t="s">
        <v>1562</v>
      </c>
      <c r="L2262" s="26" t="s">
        <v>1633</v>
      </c>
      <c r="M2262" s="26" t="s">
        <v>1574</v>
      </c>
      <c r="N2262" s="26" t="s">
        <v>1566</v>
      </c>
      <c r="O2262" s="26" t="s">
        <v>1566</v>
      </c>
      <c r="P2262" s="26" t="s">
        <v>22</v>
      </c>
      <c r="Q2262" s="26">
        <v>0.0</v>
      </c>
    </row>
    <row r="2263" ht="17.25" customHeight="1">
      <c r="A2263" s="51">
        <v>46261.57651881945</v>
      </c>
      <c r="B2263" s="55" t="s">
        <v>87</v>
      </c>
      <c r="C2263" s="55" t="s">
        <v>1560</v>
      </c>
      <c r="D2263" s="240">
        <v>46260.0</v>
      </c>
      <c r="E2263" s="52">
        <v>100.0</v>
      </c>
      <c r="F2263" s="55" t="s">
        <v>2394</v>
      </c>
      <c r="G2263" s="55" t="s">
        <v>2487</v>
      </c>
      <c r="H2263" s="55" t="s">
        <v>1405</v>
      </c>
      <c r="I2263" s="26" t="s">
        <v>88</v>
      </c>
      <c r="J2263" s="26" t="s">
        <v>1225</v>
      </c>
      <c r="K2263" s="26" t="s">
        <v>1562</v>
      </c>
      <c r="L2263" s="26" t="s">
        <v>1633</v>
      </c>
      <c r="M2263" s="26" t="s">
        <v>1575</v>
      </c>
      <c r="N2263" s="26" t="s">
        <v>1590</v>
      </c>
      <c r="O2263" s="26" t="s">
        <v>2160</v>
      </c>
      <c r="P2263" s="26" t="s">
        <v>22</v>
      </c>
      <c r="Q2263" s="26">
        <v>800.0</v>
      </c>
    </row>
    <row r="2264" ht="17.25" customHeight="1">
      <c r="A2264" s="51">
        <v>46261.57653252315</v>
      </c>
      <c r="B2264" s="55" t="s">
        <v>1408</v>
      </c>
      <c r="C2264" s="55" t="s">
        <v>1560</v>
      </c>
      <c r="D2264" s="240">
        <v>46260.0</v>
      </c>
      <c r="E2264" s="52">
        <v>500.0</v>
      </c>
      <c r="F2264" s="55" t="s">
        <v>2394</v>
      </c>
      <c r="G2264" s="55" t="s">
        <v>2487</v>
      </c>
      <c r="H2264" s="55" t="s">
        <v>1410</v>
      </c>
      <c r="I2264" s="26" t="s">
        <v>1409</v>
      </c>
      <c r="J2264" s="26" t="s">
        <v>1225</v>
      </c>
      <c r="K2264" s="26" t="s">
        <v>1640</v>
      </c>
      <c r="L2264" s="26" t="s">
        <v>1563</v>
      </c>
      <c r="M2264" s="26" t="s">
        <v>2047</v>
      </c>
      <c r="N2264" s="26" t="s">
        <v>1566</v>
      </c>
      <c r="O2264" s="26" t="s">
        <v>1566</v>
      </c>
      <c r="P2264" s="26" t="s">
        <v>22</v>
      </c>
      <c r="Q2264" s="26">
        <v>500.0</v>
      </c>
    </row>
    <row r="2265" ht="17.25" customHeight="1">
      <c r="A2265" s="51">
        <v>46261.576545856486</v>
      </c>
      <c r="B2265" s="55" t="s">
        <v>415</v>
      </c>
      <c r="C2265" s="55" t="s">
        <v>1560</v>
      </c>
      <c r="D2265" s="240">
        <v>46260.0</v>
      </c>
      <c r="E2265" s="52">
        <v>1000.0</v>
      </c>
      <c r="F2265" s="55" t="s">
        <v>2394</v>
      </c>
      <c r="G2265" s="55" t="s">
        <v>2487</v>
      </c>
      <c r="H2265" s="55" t="s">
        <v>418</v>
      </c>
      <c r="I2265" s="26" t="s">
        <v>416</v>
      </c>
      <c r="J2265" s="26" t="s">
        <v>1225</v>
      </c>
      <c r="K2265" s="26" t="s">
        <v>1646</v>
      </c>
      <c r="L2265" s="26" t="s">
        <v>1563</v>
      </c>
      <c r="M2265" s="26" t="s">
        <v>1648</v>
      </c>
      <c r="N2265" s="26" t="s">
        <v>1566</v>
      </c>
      <c r="O2265" s="26" t="s">
        <v>1566</v>
      </c>
      <c r="P2265" s="26" t="s">
        <v>22</v>
      </c>
      <c r="Q2265" s="26">
        <v>250.0</v>
      </c>
    </row>
    <row r="2266" ht="17.25" customHeight="1">
      <c r="A2266" s="51">
        <v>46261.578199791664</v>
      </c>
      <c r="B2266" s="55" t="s">
        <v>308</v>
      </c>
      <c r="C2266" s="55" t="s">
        <v>1560</v>
      </c>
      <c r="D2266" s="240">
        <v>46260.0</v>
      </c>
      <c r="E2266" s="52">
        <v>800.0</v>
      </c>
      <c r="F2266" s="55" t="s">
        <v>2394</v>
      </c>
      <c r="G2266" s="55" t="s">
        <v>2488</v>
      </c>
      <c r="H2266" s="55" t="s">
        <v>468</v>
      </c>
      <c r="I2266" s="26" t="s">
        <v>309</v>
      </c>
      <c r="J2266" s="26" t="s">
        <v>1225</v>
      </c>
      <c r="K2266" s="26" t="s">
        <v>1562</v>
      </c>
      <c r="L2266" s="26" t="s">
        <v>1563</v>
      </c>
      <c r="M2266" s="26" t="s">
        <v>1574</v>
      </c>
      <c r="N2266" s="26" t="s">
        <v>1566</v>
      </c>
      <c r="O2266" s="26" t="s">
        <v>1566</v>
      </c>
      <c r="P2266" s="26" t="s">
        <v>22</v>
      </c>
      <c r="Q2266" s="26">
        <v>0.0</v>
      </c>
    </row>
    <row r="2267" ht="17.25" customHeight="1">
      <c r="A2267" s="51">
        <v>46261.578215347225</v>
      </c>
      <c r="B2267" s="55" t="s">
        <v>424</v>
      </c>
      <c r="C2267" s="55" t="s">
        <v>1560</v>
      </c>
      <c r="D2267" s="240">
        <v>46260.0</v>
      </c>
      <c r="E2267" s="52">
        <v>1000.0</v>
      </c>
      <c r="F2267" s="55" t="s">
        <v>2394</v>
      </c>
      <c r="G2267" s="55" t="s">
        <v>2488</v>
      </c>
      <c r="H2267" s="55" t="s">
        <v>427</v>
      </c>
      <c r="I2267" s="26" t="s">
        <v>425</v>
      </c>
      <c r="J2267" s="26" t="s">
        <v>1225</v>
      </c>
      <c r="K2267" s="26" t="s">
        <v>1651</v>
      </c>
      <c r="L2267" s="26" t="s">
        <v>1647</v>
      </c>
      <c r="M2267" s="26" t="s">
        <v>2174</v>
      </c>
      <c r="N2267" s="26" t="s">
        <v>1566</v>
      </c>
      <c r="O2267" s="26" t="s">
        <v>1566</v>
      </c>
      <c r="P2267" s="26" t="s">
        <v>22</v>
      </c>
      <c r="Q2267" s="26">
        <v>9000.0</v>
      </c>
    </row>
    <row r="2268" ht="17.25" customHeight="1">
      <c r="A2268" s="51">
        <v>46261.57929959491</v>
      </c>
      <c r="B2268" s="55" t="s">
        <v>365</v>
      </c>
      <c r="C2268" s="55" t="s">
        <v>1560</v>
      </c>
      <c r="D2268" s="240">
        <v>46260.0</v>
      </c>
      <c r="E2268" s="52">
        <v>1728.0</v>
      </c>
      <c r="F2268" s="55" t="s">
        <v>2394</v>
      </c>
      <c r="G2268" s="55" t="s">
        <v>2489</v>
      </c>
      <c r="H2268" s="55" t="s">
        <v>1414</v>
      </c>
      <c r="I2268" s="26" t="s">
        <v>367</v>
      </c>
      <c r="J2268" s="26" t="s">
        <v>1225</v>
      </c>
      <c r="K2268" s="26" t="s">
        <v>1653</v>
      </c>
      <c r="L2268" s="26" t="s">
        <v>1584</v>
      </c>
      <c r="M2268" s="26" t="s">
        <v>1572</v>
      </c>
      <c r="N2268" s="26" t="s">
        <v>1654</v>
      </c>
      <c r="O2268" s="26" t="s">
        <v>1566</v>
      </c>
      <c r="P2268" s="26" t="s">
        <v>22</v>
      </c>
      <c r="Q2268" s="26">
        <v>0.0</v>
      </c>
    </row>
    <row r="2269" ht="17.25" customHeight="1">
      <c r="A2269" s="51">
        <v>46261.58065423611</v>
      </c>
      <c r="B2269" s="55" t="s">
        <v>365</v>
      </c>
      <c r="C2269" s="55" t="s">
        <v>1560</v>
      </c>
      <c r="D2269" s="240">
        <v>46259.0</v>
      </c>
      <c r="E2269" s="52">
        <v>2592.0</v>
      </c>
      <c r="F2269" s="55" t="s">
        <v>2394</v>
      </c>
      <c r="G2269" s="55" t="s">
        <v>2490</v>
      </c>
      <c r="H2269" s="55" t="s">
        <v>384</v>
      </c>
      <c r="I2269" s="26" t="s">
        <v>367</v>
      </c>
      <c r="J2269" s="26" t="s">
        <v>1225</v>
      </c>
      <c r="K2269" s="26" t="s">
        <v>1653</v>
      </c>
      <c r="L2269" s="26" t="s">
        <v>1584</v>
      </c>
      <c r="M2269" s="26" t="s">
        <v>1572</v>
      </c>
      <c r="N2269" s="26" t="s">
        <v>1654</v>
      </c>
      <c r="O2269" s="26" t="s">
        <v>1566</v>
      </c>
      <c r="P2269" s="26" t="s">
        <v>22</v>
      </c>
      <c r="Q2269" s="26">
        <v>0.0</v>
      </c>
    </row>
    <row r="2270" ht="17.25" customHeight="1">
      <c r="A2270" s="51">
        <v>46261.58197932871</v>
      </c>
      <c r="B2270" s="55" t="s">
        <v>328</v>
      </c>
      <c r="C2270" s="55" t="s">
        <v>1560</v>
      </c>
      <c r="D2270" s="240">
        <v>46259.0</v>
      </c>
      <c r="E2270" s="52">
        <v>1500.0</v>
      </c>
      <c r="F2270" s="55" t="s">
        <v>2394</v>
      </c>
      <c r="G2270" s="55" t="s">
        <v>2491</v>
      </c>
      <c r="H2270" s="55" t="s">
        <v>1418</v>
      </c>
      <c r="I2270" s="26" t="s">
        <v>329</v>
      </c>
      <c r="J2270" s="26" t="s">
        <v>1225</v>
      </c>
      <c r="K2270" s="26" t="s">
        <v>1562</v>
      </c>
      <c r="L2270" s="26" t="s">
        <v>1563</v>
      </c>
      <c r="M2270" s="26" t="s">
        <v>2172</v>
      </c>
      <c r="N2270" s="26" t="s">
        <v>1566</v>
      </c>
      <c r="O2270" s="26" t="s">
        <v>2160</v>
      </c>
      <c r="P2270" s="26" t="s">
        <v>22</v>
      </c>
      <c r="Q2270" s="26">
        <v>1500.0</v>
      </c>
    </row>
    <row r="2271" ht="17.25" customHeight="1">
      <c r="A2271" s="51">
        <v>46261.58399024306</v>
      </c>
      <c r="B2271" s="55" t="s">
        <v>365</v>
      </c>
      <c r="C2271" s="55" t="s">
        <v>1560</v>
      </c>
      <c r="D2271" s="240">
        <v>46259.0</v>
      </c>
      <c r="E2271" s="52">
        <v>1728.0</v>
      </c>
      <c r="F2271" s="55" t="s">
        <v>2394</v>
      </c>
      <c r="G2271" s="55" t="s">
        <v>2492</v>
      </c>
      <c r="H2271" s="55" t="s">
        <v>376</v>
      </c>
      <c r="I2271" s="26" t="s">
        <v>367</v>
      </c>
      <c r="J2271" s="26" t="s">
        <v>1225</v>
      </c>
      <c r="K2271" s="26" t="s">
        <v>1653</v>
      </c>
      <c r="L2271" s="26" t="s">
        <v>1584</v>
      </c>
      <c r="M2271" s="26" t="s">
        <v>1572</v>
      </c>
      <c r="N2271" s="26" t="s">
        <v>1654</v>
      </c>
      <c r="O2271" s="26" t="s">
        <v>1566</v>
      </c>
      <c r="P2271" s="26" t="s">
        <v>22</v>
      </c>
      <c r="Q2271" s="26">
        <v>0.0</v>
      </c>
    </row>
    <row r="2272" ht="17.25" customHeight="1">
      <c r="A2272" s="51">
        <v>46261.58856487268</v>
      </c>
      <c r="B2272" s="55" t="s">
        <v>365</v>
      </c>
      <c r="C2272" s="55" t="s">
        <v>1892</v>
      </c>
      <c r="D2272" s="240">
        <v>46261.0</v>
      </c>
      <c r="E2272" s="52">
        <v>1728.0</v>
      </c>
      <c r="F2272" s="55" t="s">
        <v>24</v>
      </c>
      <c r="G2272" s="55" t="s">
        <v>378</v>
      </c>
      <c r="H2272" s="55" t="s">
        <v>376</v>
      </c>
      <c r="I2272" s="26" t="s">
        <v>367</v>
      </c>
      <c r="J2272" s="26" t="s">
        <v>1225</v>
      </c>
      <c r="K2272" s="26" t="s">
        <v>1653</v>
      </c>
      <c r="L2272" s="26" t="s">
        <v>1584</v>
      </c>
      <c r="M2272" s="26" t="s">
        <v>1572</v>
      </c>
      <c r="N2272" s="26" t="s">
        <v>1654</v>
      </c>
      <c r="O2272" s="26" t="s">
        <v>1566</v>
      </c>
      <c r="P2272" s="26" t="s">
        <v>22</v>
      </c>
      <c r="Q2272" s="26">
        <v>0.0</v>
      </c>
    </row>
    <row r="2273" ht="17.25" customHeight="1">
      <c r="A2273" s="51">
        <v>46261.58865797454</v>
      </c>
      <c r="B2273" s="55" t="s">
        <v>365</v>
      </c>
      <c r="C2273" s="55" t="s">
        <v>1892</v>
      </c>
      <c r="D2273" s="240">
        <v>46261.0</v>
      </c>
      <c r="E2273" s="52">
        <v>2592.0</v>
      </c>
      <c r="F2273" s="55" t="s">
        <v>24</v>
      </c>
      <c r="G2273" s="246" t="s">
        <v>385</v>
      </c>
      <c r="H2273" s="55" t="s">
        <v>384</v>
      </c>
      <c r="I2273" s="26" t="s">
        <v>367</v>
      </c>
      <c r="J2273" s="26" t="s">
        <v>1225</v>
      </c>
      <c r="K2273" s="26" t="s">
        <v>1653</v>
      </c>
      <c r="L2273" s="26" t="s">
        <v>1584</v>
      </c>
      <c r="M2273" s="26" t="s">
        <v>1572</v>
      </c>
      <c r="N2273" s="26" t="s">
        <v>1654</v>
      </c>
      <c r="O2273" s="26" t="s">
        <v>1566</v>
      </c>
      <c r="P2273" s="26" t="s">
        <v>22</v>
      </c>
      <c r="Q2273" s="26">
        <v>0.0</v>
      </c>
    </row>
    <row r="2274" ht="17.25" customHeight="1">
      <c r="A2274" s="51">
        <v>46261.58877003472</v>
      </c>
      <c r="B2274" s="55" t="s">
        <v>147</v>
      </c>
      <c r="C2274" s="55" t="s">
        <v>1892</v>
      </c>
      <c r="D2274" s="240">
        <v>46261.0</v>
      </c>
      <c r="E2274" s="52">
        <v>850.0</v>
      </c>
      <c r="F2274" s="55" t="s">
        <v>24</v>
      </c>
      <c r="G2274" s="55" t="s">
        <v>397</v>
      </c>
      <c r="H2274" s="55" t="s">
        <v>395</v>
      </c>
      <c r="I2274" s="26" t="s">
        <v>148</v>
      </c>
      <c r="J2274" s="26" t="s">
        <v>1225</v>
      </c>
      <c r="K2274" s="26" t="s">
        <v>1562</v>
      </c>
      <c r="L2274" s="26" t="s">
        <v>1633</v>
      </c>
      <c r="M2274" s="26" t="s">
        <v>1574</v>
      </c>
      <c r="N2274" s="26" t="s">
        <v>1566</v>
      </c>
      <c r="O2274" s="26" t="s">
        <v>1566</v>
      </c>
      <c r="P2274" s="26" t="s">
        <v>22</v>
      </c>
      <c r="Q2274" s="26">
        <v>0.0</v>
      </c>
    </row>
    <row r="2275" ht="17.25" customHeight="1">
      <c r="A2275" s="51">
        <v>46261.58885806713</v>
      </c>
      <c r="B2275" s="55" t="s">
        <v>201</v>
      </c>
      <c r="C2275" s="55" t="s">
        <v>1892</v>
      </c>
      <c r="D2275" s="240">
        <v>46261.0</v>
      </c>
      <c r="E2275" s="52">
        <v>600.0</v>
      </c>
      <c r="F2275" s="55" t="s">
        <v>24</v>
      </c>
      <c r="G2275" s="246" t="s">
        <v>405</v>
      </c>
      <c r="H2275" s="55" t="s">
        <v>403</v>
      </c>
      <c r="I2275" s="26" t="s">
        <v>202</v>
      </c>
      <c r="J2275" s="26" t="s">
        <v>1225</v>
      </c>
      <c r="K2275" s="26" t="s">
        <v>1562</v>
      </c>
      <c r="L2275" s="26" t="s">
        <v>1573</v>
      </c>
      <c r="M2275" s="26" t="s">
        <v>1574</v>
      </c>
      <c r="N2275" s="26" t="s">
        <v>1566</v>
      </c>
      <c r="O2275" s="26" t="s">
        <v>1566</v>
      </c>
      <c r="P2275" s="26" t="s">
        <v>22</v>
      </c>
      <c r="Q2275" s="26">
        <v>600.0</v>
      </c>
    </row>
    <row r="2276" ht="17.25" customHeight="1">
      <c r="A2276" s="51">
        <v>46261.588972337966</v>
      </c>
      <c r="B2276" s="55" t="s">
        <v>147</v>
      </c>
      <c r="C2276" s="55" t="s">
        <v>1892</v>
      </c>
      <c r="D2276" s="240">
        <v>46261.0</v>
      </c>
      <c r="E2276" s="52">
        <v>200.0</v>
      </c>
      <c r="F2276" s="55" t="s">
        <v>24</v>
      </c>
      <c r="G2276" s="55" t="s">
        <v>411</v>
      </c>
      <c r="H2276" s="55" t="s">
        <v>410</v>
      </c>
      <c r="I2276" s="26" t="s">
        <v>148</v>
      </c>
      <c r="J2276" s="26" t="s">
        <v>1225</v>
      </c>
      <c r="K2276" s="26" t="s">
        <v>1562</v>
      </c>
      <c r="L2276" s="26" t="s">
        <v>1633</v>
      </c>
      <c r="M2276" s="26" t="s">
        <v>1574</v>
      </c>
      <c r="N2276" s="26" t="s">
        <v>1566</v>
      </c>
      <c r="O2276" s="26" t="s">
        <v>1566</v>
      </c>
      <c r="P2276" s="26" t="s">
        <v>22</v>
      </c>
      <c r="Q2276" s="26">
        <v>0.0</v>
      </c>
    </row>
    <row r="2277" ht="17.25" customHeight="1">
      <c r="A2277" s="51">
        <v>46261.58906099537</v>
      </c>
      <c r="B2277" s="55" t="s">
        <v>415</v>
      </c>
      <c r="C2277" s="55" t="s">
        <v>1892</v>
      </c>
      <c r="D2277" s="240">
        <v>46261.0</v>
      </c>
      <c r="E2277" s="52">
        <v>1000.0</v>
      </c>
      <c r="F2277" s="55" t="s">
        <v>24</v>
      </c>
      <c r="G2277" s="55" t="s">
        <v>420</v>
      </c>
      <c r="H2277" s="55" t="s">
        <v>418</v>
      </c>
      <c r="I2277" s="26" t="s">
        <v>416</v>
      </c>
      <c r="J2277" s="26" t="s">
        <v>1225</v>
      </c>
      <c r="K2277" s="26" t="s">
        <v>1646</v>
      </c>
      <c r="L2277" s="26" t="s">
        <v>1563</v>
      </c>
      <c r="M2277" s="26" t="s">
        <v>1648</v>
      </c>
      <c r="N2277" s="26" t="s">
        <v>1566</v>
      </c>
      <c r="O2277" s="26" t="s">
        <v>1566</v>
      </c>
      <c r="P2277" s="26" t="s">
        <v>22</v>
      </c>
      <c r="Q2277" s="26">
        <v>250.0</v>
      </c>
    </row>
    <row r="2278" ht="17.25" customHeight="1">
      <c r="A2278" s="51">
        <v>46261.589157407405</v>
      </c>
      <c r="B2278" s="55" t="s">
        <v>424</v>
      </c>
      <c r="C2278" s="55" t="s">
        <v>1892</v>
      </c>
      <c r="D2278" s="240">
        <v>46261.0</v>
      </c>
      <c r="E2278" s="52">
        <v>1000.0</v>
      </c>
      <c r="F2278" s="55" t="s">
        <v>24</v>
      </c>
      <c r="G2278" s="55" t="s">
        <v>429</v>
      </c>
      <c r="H2278" s="55" t="s">
        <v>427</v>
      </c>
      <c r="I2278" s="26" t="s">
        <v>425</v>
      </c>
      <c r="J2278" s="26" t="s">
        <v>1225</v>
      </c>
      <c r="K2278" s="26" t="s">
        <v>1651</v>
      </c>
      <c r="L2278" s="26" t="s">
        <v>1647</v>
      </c>
      <c r="M2278" s="26" t="s">
        <v>2174</v>
      </c>
      <c r="N2278" s="26" t="s">
        <v>1566</v>
      </c>
      <c r="O2278" s="26" t="s">
        <v>1566</v>
      </c>
      <c r="P2278" s="26" t="s">
        <v>22</v>
      </c>
      <c r="Q2278" s="26">
        <v>9000.0</v>
      </c>
    </row>
    <row r="2279" ht="17.25" customHeight="1">
      <c r="A2279" s="51">
        <v>46265.66214644676</v>
      </c>
      <c r="B2279" s="55" t="s">
        <v>472</v>
      </c>
      <c r="C2279" s="55" t="s">
        <v>1560</v>
      </c>
      <c r="D2279" s="240">
        <v>46265.0</v>
      </c>
      <c r="E2279" s="52">
        <v>200.0</v>
      </c>
      <c r="F2279" s="55" t="s">
        <v>2394</v>
      </c>
      <c r="G2279" s="55" t="s">
        <v>2495</v>
      </c>
      <c r="H2279" s="55" t="s">
        <v>476</v>
      </c>
      <c r="I2279" s="26" t="s">
        <v>475</v>
      </c>
      <c r="J2279" s="26" t="s">
        <v>1225</v>
      </c>
      <c r="K2279" s="26" t="s">
        <v>1642</v>
      </c>
      <c r="L2279" s="26" t="s">
        <v>1576</v>
      </c>
      <c r="M2279" s="26" t="s">
        <v>1574</v>
      </c>
      <c r="N2279" s="26" t="s">
        <v>1566</v>
      </c>
      <c r="O2279" s="26" t="s">
        <v>1566</v>
      </c>
      <c r="P2279" s="26" t="s">
        <v>22</v>
      </c>
      <c r="Q2279" s="26">
        <v>0.0</v>
      </c>
    </row>
    <row r="2280" ht="17.25" customHeight="1">
      <c r="A2280" s="51">
        <v>46265.66994875</v>
      </c>
      <c r="B2280" s="55" t="s">
        <v>32</v>
      </c>
      <c r="C2280" s="55" t="s">
        <v>1892</v>
      </c>
      <c r="D2280" s="240">
        <v>46265.0</v>
      </c>
      <c r="E2280" s="52">
        <v>3.0</v>
      </c>
      <c r="F2280" s="55" t="s">
        <v>36</v>
      </c>
      <c r="G2280" s="55"/>
      <c r="H2280" s="55"/>
      <c r="I2280" s="26" t="s">
        <v>34</v>
      </c>
      <c r="J2280" s="26" t="s">
        <v>1807</v>
      </c>
      <c r="K2280" s="26" t="s">
        <v>1807</v>
      </c>
      <c r="L2280" s="26" t="s">
        <v>1566</v>
      </c>
      <c r="M2280" s="26" t="s">
        <v>1566</v>
      </c>
      <c r="N2280" s="26" t="s">
        <v>1566</v>
      </c>
      <c r="O2280" s="26" t="s">
        <v>1808</v>
      </c>
      <c r="P2280" s="26" t="s">
        <v>290</v>
      </c>
      <c r="Q2280" s="26">
        <v>7.0</v>
      </c>
    </row>
    <row r="2281" ht="17.25" customHeight="1">
      <c r="A2281" s="51">
        <v>46266.571605150464</v>
      </c>
      <c r="B2281" s="55" t="s">
        <v>32</v>
      </c>
      <c r="C2281" s="55" t="s">
        <v>1560</v>
      </c>
      <c r="D2281" s="240">
        <v>46266.0</v>
      </c>
      <c r="E2281" s="52">
        <v>6.0</v>
      </c>
      <c r="F2281" s="55" t="s">
        <v>2394</v>
      </c>
      <c r="G2281" s="55" t="s">
        <v>2496</v>
      </c>
      <c r="H2281" s="55"/>
      <c r="I2281" s="26" t="s">
        <v>34</v>
      </c>
      <c r="J2281" s="26" t="s">
        <v>1807</v>
      </c>
      <c r="K2281" s="26" t="s">
        <v>1807</v>
      </c>
      <c r="L2281" s="26" t="s">
        <v>1566</v>
      </c>
      <c r="M2281" s="26" t="s">
        <v>1566</v>
      </c>
      <c r="N2281" s="26" t="s">
        <v>1566</v>
      </c>
      <c r="O2281" s="26" t="s">
        <v>1808</v>
      </c>
      <c r="P2281" s="26" t="s">
        <v>290</v>
      </c>
      <c r="Q2281" s="26">
        <v>7.0</v>
      </c>
    </row>
    <row r="2282" ht="17.25" customHeight="1">
      <c r="A2282" s="51">
        <v>46266.5716271875</v>
      </c>
      <c r="B2282" s="55" t="s">
        <v>901</v>
      </c>
      <c r="C2282" s="55" t="s">
        <v>1560</v>
      </c>
      <c r="D2282" s="240">
        <v>46266.0</v>
      </c>
      <c r="E2282" s="52">
        <v>20.0</v>
      </c>
      <c r="F2282" s="55" t="s">
        <v>2394</v>
      </c>
      <c r="G2282" s="55" t="s">
        <v>2496</v>
      </c>
      <c r="H2282" s="55"/>
      <c r="I2282" s="26" t="s">
        <v>904</v>
      </c>
      <c r="J2282" s="26" t="s">
        <v>1807</v>
      </c>
      <c r="K2282" s="26" t="s">
        <v>1807</v>
      </c>
      <c r="L2282" s="26" t="s">
        <v>1566</v>
      </c>
      <c r="M2282" s="26" t="s">
        <v>1566</v>
      </c>
      <c r="N2282" s="26" t="s">
        <v>1566</v>
      </c>
      <c r="O2282" s="26" t="s">
        <v>1808</v>
      </c>
      <c r="P2282" s="26" t="s">
        <v>290</v>
      </c>
      <c r="Q2282" s="26">
        <v>20.0</v>
      </c>
    </row>
    <row r="2283" ht="17.25" customHeight="1">
      <c r="A2283" s="51">
        <v>46266.58143304398</v>
      </c>
      <c r="B2283" s="55" t="s">
        <v>32</v>
      </c>
      <c r="C2283" s="55" t="s">
        <v>1892</v>
      </c>
      <c r="D2283" s="240">
        <v>46266.581386875</v>
      </c>
      <c r="E2283" s="52">
        <v>6.0</v>
      </c>
      <c r="F2283" s="55" t="s">
        <v>2394</v>
      </c>
      <c r="G2283" s="55" t="s">
        <v>2497</v>
      </c>
      <c r="H2283" s="55"/>
      <c r="I2283" s="26" t="s">
        <v>34</v>
      </c>
      <c r="J2283" s="26" t="s">
        <v>1807</v>
      </c>
      <c r="K2283" s="26" t="s">
        <v>1807</v>
      </c>
      <c r="L2283" s="26" t="s">
        <v>1566</v>
      </c>
      <c r="M2283" s="26" t="s">
        <v>1566</v>
      </c>
      <c r="N2283" s="26" t="s">
        <v>1566</v>
      </c>
      <c r="O2283" s="26" t="s">
        <v>1808</v>
      </c>
      <c r="P2283" s="26" t="s">
        <v>290</v>
      </c>
      <c r="Q2283" s="26">
        <v>7.0</v>
      </c>
    </row>
    <row r="2284" ht="17.25" customHeight="1">
      <c r="A2284" s="51">
        <v>46266.58562534722</v>
      </c>
      <c r="B2284" s="55" t="s">
        <v>538</v>
      </c>
      <c r="C2284" s="55" t="s">
        <v>1560</v>
      </c>
      <c r="D2284" s="240">
        <v>46265.0</v>
      </c>
      <c r="E2284" s="52">
        <v>1296.0</v>
      </c>
      <c r="F2284" s="55" t="s">
        <v>2394</v>
      </c>
      <c r="G2284" s="55" t="s">
        <v>2498</v>
      </c>
      <c r="H2284" s="55" t="s">
        <v>541</v>
      </c>
      <c r="I2284" s="26" t="s">
        <v>539</v>
      </c>
      <c r="J2284" s="26" t="s">
        <v>1225</v>
      </c>
      <c r="K2284" s="26" t="s">
        <v>1653</v>
      </c>
      <c r="L2284" s="26" t="s">
        <v>1600</v>
      </c>
      <c r="M2284" s="26" t="s">
        <v>1572</v>
      </c>
      <c r="N2284" s="26" t="s">
        <v>1566</v>
      </c>
      <c r="O2284" s="26" t="s">
        <v>1654</v>
      </c>
      <c r="P2284" s="26" t="s">
        <v>22</v>
      </c>
      <c r="Q2284" s="26">
        <v>576.0</v>
      </c>
    </row>
    <row r="2285" ht="17.25" customHeight="1">
      <c r="A2285" s="51">
        <v>46266.58564590278</v>
      </c>
      <c r="B2285" s="55" t="s">
        <v>481</v>
      </c>
      <c r="C2285" s="55" t="s">
        <v>1560</v>
      </c>
      <c r="D2285" s="240">
        <v>46265.0</v>
      </c>
      <c r="E2285" s="52">
        <v>720.0</v>
      </c>
      <c r="F2285" s="55" t="s">
        <v>2394</v>
      </c>
      <c r="G2285" s="55" t="s">
        <v>2498</v>
      </c>
      <c r="H2285" s="55" t="s">
        <v>485</v>
      </c>
      <c r="I2285" s="26" t="s">
        <v>483</v>
      </c>
      <c r="J2285" s="26" t="s">
        <v>1225</v>
      </c>
      <c r="K2285" s="26" t="s">
        <v>1653</v>
      </c>
      <c r="L2285" s="26" t="s">
        <v>1587</v>
      </c>
      <c r="M2285" s="26" t="s">
        <v>1574</v>
      </c>
      <c r="N2285" s="26" t="s">
        <v>1566</v>
      </c>
      <c r="O2285" s="26" t="s">
        <v>2100</v>
      </c>
      <c r="P2285" s="26" t="s">
        <v>22</v>
      </c>
      <c r="Q2285" s="26">
        <v>0.0</v>
      </c>
    </row>
    <row r="2286" ht="17.25" customHeight="1">
      <c r="A2286" s="51">
        <v>46266.58566563658</v>
      </c>
      <c r="B2286" s="55" t="s">
        <v>492</v>
      </c>
      <c r="C2286" s="55" t="s">
        <v>1560</v>
      </c>
      <c r="D2286" s="240">
        <v>46265.0</v>
      </c>
      <c r="E2286" s="52">
        <v>1440.0</v>
      </c>
      <c r="F2286" s="55" t="s">
        <v>2394</v>
      </c>
      <c r="G2286" s="55" t="s">
        <v>2498</v>
      </c>
      <c r="H2286" s="55" t="s">
        <v>495</v>
      </c>
      <c r="I2286" s="26" t="s">
        <v>493</v>
      </c>
      <c r="J2286" s="26" t="s">
        <v>1225</v>
      </c>
      <c r="K2286" s="26" t="s">
        <v>1653</v>
      </c>
      <c r="L2286" s="26" t="s">
        <v>1587</v>
      </c>
      <c r="M2286" s="26" t="s">
        <v>1574</v>
      </c>
      <c r="N2286" s="26" t="s">
        <v>1566</v>
      </c>
      <c r="O2286" s="26" t="s">
        <v>2100</v>
      </c>
      <c r="P2286" s="26" t="s">
        <v>22</v>
      </c>
      <c r="Q2286" s="26">
        <v>0.0</v>
      </c>
    </row>
    <row r="2287" ht="17.25" customHeight="1">
      <c r="A2287" s="51">
        <v>46266.589616122685</v>
      </c>
      <c r="B2287" s="55" t="s">
        <v>901</v>
      </c>
      <c r="C2287" s="55" t="s">
        <v>1892</v>
      </c>
      <c r="D2287" s="240">
        <v>46265.0</v>
      </c>
      <c r="E2287" s="52">
        <v>20.0</v>
      </c>
      <c r="F2287" s="55" t="s">
        <v>2147</v>
      </c>
      <c r="G2287" s="55"/>
      <c r="H2287" s="55"/>
      <c r="I2287" s="26" t="s">
        <v>904</v>
      </c>
      <c r="J2287" s="26" t="s">
        <v>1807</v>
      </c>
      <c r="K2287" s="26" t="s">
        <v>1807</v>
      </c>
      <c r="L2287" s="26" t="s">
        <v>1566</v>
      </c>
      <c r="M2287" s="26" t="s">
        <v>1566</v>
      </c>
      <c r="N2287" s="26" t="s">
        <v>1566</v>
      </c>
      <c r="O2287" s="26" t="s">
        <v>1808</v>
      </c>
      <c r="P2287" s="26" t="s">
        <v>290</v>
      </c>
      <c r="Q2287" s="26">
        <v>20.0</v>
      </c>
    </row>
    <row r="2288" ht="17.25" customHeight="1">
      <c r="A2288" s="51">
        <v>46266.60954922454</v>
      </c>
      <c r="B2288" s="55" t="s">
        <v>147</v>
      </c>
      <c r="C2288" s="55" t="s">
        <v>1560</v>
      </c>
      <c r="D2288" s="240">
        <v>46266.0</v>
      </c>
      <c r="E2288" s="52">
        <v>300.0</v>
      </c>
      <c r="F2288" s="55" t="s">
        <v>2394</v>
      </c>
      <c r="G2288" s="55" t="s">
        <v>2499</v>
      </c>
      <c r="H2288" s="55" t="s">
        <v>533</v>
      </c>
      <c r="I2288" s="26" t="s">
        <v>148</v>
      </c>
      <c r="J2288" s="26" t="s">
        <v>1225</v>
      </c>
      <c r="K2288" s="26" t="s">
        <v>1562</v>
      </c>
      <c r="L2288" s="26" t="s">
        <v>1633</v>
      </c>
      <c r="M2288" s="26" t="s">
        <v>1574</v>
      </c>
      <c r="N2288" s="26" t="s">
        <v>1566</v>
      </c>
      <c r="O2288" s="26" t="s">
        <v>1566</v>
      </c>
      <c r="P2288" s="26" t="s">
        <v>22</v>
      </c>
      <c r="Q2288" s="26">
        <v>0.0</v>
      </c>
    </row>
    <row r="2289" ht="17.25" customHeight="1">
      <c r="A2289" s="51">
        <v>46266.653400208335</v>
      </c>
      <c r="B2289" s="55" t="s">
        <v>79</v>
      </c>
      <c r="C2289" s="55" t="s">
        <v>1892</v>
      </c>
      <c r="D2289" s="240">
        <v>46266.0</v>
      </c>
      <c r="E2289" s="52">
        <v>500.0</v>
      </c>
      <c r="F2289" s="55" t="s">
        <v>24</v>
      </c>
      <c r="G2289" s="55"/>
      <c r="H2289" s="55" t="s">
        <v>263</v>
      </c>
      <c r="I2289" s="26" t="s">
        <v>80</v>
      </c>
      <c r="J2289" s="26" t="s">
        <v>1225</v>
      </c>
      <c r="K2289" s="26" t="s">
        <v>1562</v>
      </c>
      <c r="L2289" s="26" t="s">
        <v>1563</v>
      </c>
      <c r="M2289" s="26" t="s">
        <v>1575</v>
      </c>
      <c r="N2289" s="26" t="s">
        <v>1566</v>
      </c>
      <c r="O2289" s="26" t="s">
        <v>1566</v>
      </c>
      <c r="P2289" s="26" t="s">
        <v>22</v>
      </c>
      <c r="Q2289" s="26">
        <v>700.0</v>
      </c>
    </row>
    <row r="2290" ht="17.25" customHeight="1">
      <c r="A2290" s="51">
        <v>46266.653490439814</v>
      </c>
      <c r="B2290" s="55" t="s">
        <v>87</v>
      </c>
      <c r="C2290" s="55" t="s">
        <v>1892</v>
      </c>
      <c r="D2290" s="240">
        <v>46266.0</v>
      </c>
      <c r="E2290" s="52">
        <v>200.0</v>
      </c>
      <c r="F2290" s="55" t="s">
        <v>24</v>
      </c>
      <c r="G2290" s="55" t="s">
        <v>2500</v>
      </c>
      <c r="H2290" s="55" t="s">
        <v>445</v>
      </c>
      <c r="I2290" s="26" t="s">
        <v>88</v>
      </c>
      <c r="J2290" s="26" t="s">
        <v>1225</v>
      </c>
      <c r="K2290" s="26" t="s">
        <v>1562</v>
      </c>
      <c r="L2290" s="26" t="s">
        <v>1633</v>
      </c>
      <c r="M2290" s="26" t="s">
        <v>1575</v>
      </c>
      <c r="N2290" s="26" t="s">
        <v>1590</v>
      </c>
      <c r="O2290" s="26" t="s">
        <v>2160</v>
      </c>
      <c r="P2290" s="26" t="s">
        <v>22</v>
      </c>
      <c r="Q2290" s="26">
        <v>800.0</v>
      </c>
    </row>
    <row r="2291" ht="17.25" customHeight="1">
      <c r="A2291" s="51">
        <v>46266.65356835648</v>
      </c>
      <c r="B2291" s="55" t="s">
        <v>61</v>
      </c>
      <c r="C2291" s="55" t="s">
        <v>1892</v>
      </c>
      <c r="D2291" s="240">
        <v>46266.0</v>
      </c>
      <c r="E2291" s="52">
        <v>1000.0</v>
      </c>
      <c r="F2291" s="55" t="s">
        <v>24</v>
      </c>
      <c r="G2291" s="55"/>
      <c r="H2291" s="55" t="s">
        <v>455</v>
      </c>
      <c r="I2291" s="26" t="s">
        <v>62</v>
      </c>
      <c r="J2291" s="26" t="s">
        <v>1225</v>
      </c>
      <c r="K2291" s="26" t="s">
        <v>1562</v>
      </c>
      <c r="L2291" s="26" t="s">
        <v>1600</v>
      </c>
      <c r="M2291" s="26" t="s">
        <v>1575</v>
      </c>
      <c r="N2291" s="26" t="s">
        <v>1566</v>
      </c>
      <c r="O2291" s="26" t="s">
        <v>2160</v>
      </c>
      <c r="P2291" s="26" t="s">
        <v>22</v>
      </c>
      <c r="Q2291" s="26">
        <v>0.0</v>
      </c>
    </row>
    <row r="2292" ht="17.25" customHeight="1">
      <c r="A2292" s="51">
        <v>46266.653657939816</v>
      </c>
      <c r="B2292" s="55" t="s">
        <v>87</v>
      </c>
      <c r="C2292" s="55" t="s">
        <v>1892</v>
      </c>
      <c r="D2292" s="240">
        <v>46266.0</v>
      </c>
      <c r="E2292" s="52">
        <v>100.0</v>
      </c>
      <c r="F2292" s="55" t="s">
        <v>24</v>
      </c>
      <c r="G2292" s="55" t="s">
        <v>2501</v>
      </c>
      <c r="H2292" s="55" t="s">
        <v>445</v>
      </c>
      <c r="I2292" s="26" t="s">
        <v>88</v>
      </c>
      <c r="J2292" s="26" t="s">
        <v>1225</v>
      </c>
      <c r="K2292" s="26" t="s">
        <v>1562</v>
      </c>
      <c r="L2292" s="26" t="s">
        <v>1633</v>
      </c>
      <c r="M2292" s="26" t="s">
        <v>1575</v>
      </c>
      <c r="N2292" s="26" t="s">
        <v>1590</v>
      </c>
      <c r="O2292" s="26" t="s">
        <v>2160</v>
      </c>
      <c r="P2292" s="26" t="s">
        <v>22</v>
      </c>
      <c r="Q2292" s="26">
        <v>800.0</v>
      </c>
    </row>
    <row r="2293" ht="17.25" customHeight="1">
      <c r="A2293" s="51">
        <v>46266.65375519676</v>
      </c>
      <c r="B2293" s="55" t="s">
        <v>308</v>
      </c>
      <c r="C2293" s="55" t="s">
        <v>1892</v>
      </c>
      <c r="D2293" s="240">
        <v>46266.0</v>
      </c>
      <c r="E2293" s="52">
        <v>800.0</v>
      </c>
      <c r="F2293" s="55" t="s">
        <v>24</v>
      </c>
      <c r="G2293" s="55"/>
      <c r="H2293" s="55" t="s">
        <v>468</v>
      </c>
      <c r="I2293" s="26" t="s">
        <v>309</v>
      </c>
      <c r="J2293" s="26" t="s">
        <v>1225</v>
      </c>
      <c r="K2293" s="26" t="s">
        <v>1562</v>
      </c>
      <c r="L2293" s="26" t="s">
        <v>1563</v>
      </c>
      <c r="M2293" s="26" t="s">
        <v>1574</v>
      </c>
      <c r="N2293" s="26" t="s">
        <v>1566</v>
      </c>
      <c r="O2293" s="26" t="s">
        <v>1566</v>
      </c>
      <c r="P2293" s="26" t="s">
        <v>22</v>
      </c>
      <c r="Q2293" s="26">
        <v>0.0</v>
      </c>
    </row>
    <row r="2294" ht="17.25" customHeight="1">
      <c r="A2294" s="51">
        <v>46266.65385083333</v>
      </c>
      <c r="B2294" s="55" t="s">
        <v>472</v>
      </c>
      <c r="C2294" s="55" t="s">
        <v>1892</v>
      </c>
      <c r="D2294" s="240">
        <v>46266.0</v>
      </c>
      <c r="E2294" s="52">
        <v>200.0</v>
      </c>
      <c r="F2294" s="55" t="s">
        <v>24</v>
      </c>
      <c r="G2294" s="55"/>
      <c r="H2294" s="55" t="s">
        <v>476</v>
      </c>
      <c r="I2294" s="26" t="s">
        <v>475</v>
      </c>
      <c r="J2294" s="26" t="s">
        <v>1225</v>
      </c>
      <c r="K2294" s="26" t="s">
        <v>1642</v>
      </c>
      <c r="L2294" s="26" t="s">
        <v>1576</v>
      </c>
      <c r="M2294" s="26" t="s">
        <v>1574</v>
      </c>
      <c r="N2294" s="26" t="s">
        <v>1566</v>
      </c>
      <c r="O2294" s="26" t="s">
        <v>1566</v>
      </c>
      <c r="P2294" s="26" t="s">
        <v>22</v>
      </c>
      <c r="Q2294" s="26">
        <v>0.0</v>
      </c>
    </row>
    <row r="2295" ht="17.25" customHeight="1">
      <c r="A2295" s="51">
        <v>46266.65393047454</v>
      </c>
      <c r="B2295" s="55" t="s">
        <v>481</v>
      </c>
      <c r="C2295" s="55" t="s">
        <v>1892</v>
      </c>
      <c r="D2295" s="240">
        <v>46266.0</v>
      </c>
      <c r="E2295" s="52">
        <v>720.0</v>
      </c>
      <c r="F2295" s="55" t="s">
        <v>24</v>
      </c>
      <c r="G2295" s="55"/>
      <c r="H2295" s="55" t="s">
        <v>485</v>
      </c>
      <c r="I2295" s="26" t="s">
        <v>483</v>
      </c>
      <c r="J2295" s="26" t="s">
        <v>1225</v>
      </c>
      <c r="K2295" s="26" t="s">
        <v>1653</v>
      </c>
      <c r="L2295" s="26" t="s">
        <v>1587</v>
      </c>
      <c r="M2295" s="26" t="s">
        <v>1574</v>
      </c>
      <c r="N2295" s="26" t="s">
        <v>1566</v>
      </c>
      <c r="O2295" s="26" t="s">
        <v>2100</v>
      </c>
      <c r="P2295" s="26" t="s">
        <v>22</v>
      </c>
      <c r="Q2295" s="26">
        <v>0.0</v>
      </c>
    </row>
    <row r="2296" ht="17.25" customHeight="1">
      <c r="A2296" s="51">
        <v>46266.654013761574</v>
      </c>
      <c r="B2296" s="55" t="s">
        <v>492</v>
      </c>
      <c r="C2296" s="55" t="s">
        <v>1892</v>
      </c>
      <c r="D2296" s="240">
        <v>46266.0</v>
      </c>
      <c r="E2296" s="52">
        <v>1440.0</v>
      </c>
      <c r="F2296" s="55" t="s">
        <v>24</v>
      </c>
      <c r="G2296" s="55"/>
      <c r="H2296" s="55" t="s">
        <v>495</v>
      </c>
      <c r="I2296" s="26" t="s">
        <v>493</v>
      </c>
      <c r="J2296" s="26" t="s">
        <v>1225</v>
      </c>
      <c r="K2296" s="26" t="s">
        <v>1653</v>
      </c>
      <c r="L2296" s="26" t="s">
        <v>1587</v>
      </c>
      <c r="M2296" s="26" t="s">
        <v>1574</v>
      </c>
      <c r="N2296" s="26" t="s">
        <v>1566</v>
      </c>
      <c r="O2296" s="26" t="s">
        <v>2100</v>
      </c>
      <c r="P2296" s="26" t="s">
        <v>22</v>
      </c>
      <c r="Q2296" s="26">
        <v>0.0</v>
      </c>
    </row>
    <row r="2297" ht="17.25" customHeight="1">
      <c r="A2297" s="51">
        <v>46266.65496986111</v>
      </c>
      <c r="B2297" s="55" t="s">
        <v>87</v>
      </c>
      <c r="C2297" s="55" t="s">
        <v>1892</v>
      </c>
      <c r="D2297" s="240">
        <v>46266.0</v>
      </c>
      <c r="E2297" s="52">
        <v>2600.0</v>
      </c>
      <c r="F2297" s="55" t="s">
        <v>24</v>
      </c>
      <c r="G2297" s="55" t="s">
        <v>1898</v>
      </c>
      <c r="H2297" s="55"/>
      <c r="I2297" s="26" t="s">
        <v>88</v>
      </c>
      <c r="J2297" s="26" t="s">
        <v>1225</v>
      </c>
      <c r="K2297" s="26" t="s">
        <v>1562</v>
      </c>
      <c r="L2297" s="26" t="s">
        <v>1633</v>
      </c>
      <c r="M2297" s="26" t="s">
        <v>1575</v>
      </c>
      <c r="N2297" s="26" t="s">
        <v>1590</v>
      </c>
      <c r="O2297" s="26" t="s">
        <v>2160</v>
      </c>
      <c r="P2297" s="26" t="s">
        <v>22</v>
      </c>
      <c r="Q2297" s="26">
        <v>800.0</v>
      </c>
    </row>
    <row r="2298" ht="17.25" customHeight="1">
      <c r="A2298" s="51">
        <v>46266.65526688658</v>
      </c>
      <c r="B2298" s="55" t="s">
        <v>308</v>
      </c>
      <c r="C2298" s="55" t="s">
        <v>1892</v>
      </c>
      <c r="D2298" s="240">
        <v>46266.0</v>
      </c>
      <c r="E2298" s="52">
        <v>1000.0</v>
      </c>
      <c r="F2298" s="55" t="s">
        <v>24</v>
      </c>
      <c r="G2298" s="55" t="s">
        <v>1898</v>
      </c>
      <c r="H2298" s="55"/>
      <c r="I2298" s="26" t="s">
        <v>309</v>
      </c>
      <c r="J2298" s="26" t="s">
        <v>1225</v>
      </c>
      <c r="K2298" s="26" t="s">
        <v>1562</v>
      </c>
      <c r="L2298" s="26" t="s">
        <v>1563</v>
      </c>
      <c r="M2298" s="26" t="s">
        <v>1574</v>
      </c>
      <c r="N2298" s="26" t="s">
        <v>1566</v>
      </c>
      <c r="O2298" s="26" t="s">
        <v>1566</v>
      </c>
      <c r="P2298" s="26" t="s">
        <v>22</v>
      </c>
      <c r="Q2298" s="26">
        <v>0.0</v>
      </c>
    </row>
    <row r="2299" ht="17.25" customHeight="1">
      <c r="A2299" s="51">
        <v>46266.65549668981</v>
      </c>
      <c r="B2299" s="55" t="s">
        <v>79</v>
      </c>
      <c r="C2299" s="55" t="s">
        <v>1892</v>
      </c>
      <c r="D2299" s="240">
        <v>46266.0</v>
      </c>
      <c r="E2299" s="52">
        <v>5800.0</v>
      </c>
      <c r="F2299" s="55" t="s">
        <v>24</v>
      </c>
      <c r="G2299" s="55" t="s">
        <v>1898</v>
      </c>
      <c r="H2299" s="55"/>
      <c r="I2299" s="26" t="s">
        <v>80</v>
      </c>
      <c r="J2299" s="26" t="s">
        <v>1225</v>
      </c>
      <c r="K2299" s="26" t="s">
        <v>1562</v>
      </c>
      <c r="L2299" s="26" t="s">
        <v>1563</v>
      </c>
      <c r="M2299" s="26" t="s">
        <v>1575</v>
      </c>
      <c r="N2299" s="26" t="s">
        <v>1566</v>
      </c>
      <c r="O2299" s="26" t="s">
        <v>1566</v>
      </c>
      <c r="P2299" s="26" t="s">
        <v>22</v>
      </c>
      <c r="Q2299" s="26">
        <v>700.0</v>
      </c>
    </row>
    <row r="2300" ht="17.25" customHeight="1">
      <c r="A2300" s="51">
        <v>46266.655730706014</v>
      </c>
      <c r="B2300" s="55" t="s">
        <v>147</v>
      </c>
      <c r="C2300" s="55" t="s">
        <v>1892</v>
      </c>
      <c r="D2300" s="240">
        <v>46266.0</v>
      </c>
      <c r="E2300" s="52">
        <v>150.0</v>
      </c>
      <c r="F2300" s="55" t="s">
        <v>24</v>
      </c>
      <c r="G2300" s="55" t="s">
        <v>1898</v>
      </c>
      <c r="H2300" s="55"/>
      <c r="I2300" s="26" t="s">
        <v>148</v>
      </c>
      <c r="J2300" s="26" t="s">
        <v>1225</v>
      </c>
      <c r="K2300" s="26" t="s">
        <v>1562</v>
      </c>
      <c r="L2300" s="26" t="s">
        <v>1633</v>
      </c>
      <c r="M2300" s="26" t="s">
        <v>1574</v>
      </c>
      <c r="N2300" s="26" t="s">
        <v>1566</v>
      </c>
      <c r="O2300" s="26" t="s">
        <v>1566</v>
      </c>
      <c r="P2300" s="26" t="s">
        <v>22</v>
      </c>
      <c r="Q2300" s="26">
        <v>0.0</v>
      </c>
    </row>
    <row r="2301" ht="17.25" customHeight="1">
      <c r="A2301" s="51">
        <v>46266.65635508102</v>
      </c>
      <c r="B2301" s="55" t="s">
        <v>424</v>
      </c>
      <c r="C2301" s="55" t="s">
        <v>1892</v>
      </c>
      <c r="D2301" s="240">
        <v>46266.0</v>
      </c>
      <c r="E2301" s="52">
        <v>1400.0</v>
      </c>
      <c r="F2301" s="55" t="s">
        <v>24</v>
      </c>
      <c r="G2301" s="55" t="s">
        <v>1898</v>
      </c>
      <c r="H2301" s="55"/>
      <c r="I2301" s="26" t="s">
        <v>425</v>
      </c>
      <c r="J2301" s="26" t="s">
        <v>1225</v>
      </c>
      <c r="K2301" s="26" t="s">
        <v>1651</v>
      </c>
      <c r="L2301" s="26" t="s">
        <v>1647</v>
      </c>
      <c r="M2301" s="26" t="s">
        <v>2174</v>
      </c>
      <c r="N2301" s="26" t="s">
        <v>1566</v>
      </c>
      <c r="O2301" s="26" t="s">
        <v>1566</v>
      </c>
      <c r="P2301" s="26" t="s">
        <v>22</v>
      </c>
      <c r="Q2301" s="26">
        <v>9000.0</v>
      </c>
    </row>
    <row r="2302" ht="17.25" customHeight="1">
      <c r="A2302" s="51">
        <v>46266.65663025463</v>
      </c>
      <c r="B2302" s="55" t="s">
        <v>415</v>
      </c>
      <c r="C2302" s="55" t="s">
        <v>1892</v>
      </c>
      <c r="D2302" s="240">
        <v>46266.0</v>
      </c>
      <c r="E2302" s="52">
        <v>2500.0</v>
      </c>
      <c r="F2302" s="55" t="s">
        <v>24</v>
      </c>
      <c r="G2302" s="55" t="s">
        <v>1898</v>
      </c>
      <c r="H2302" s="55"/>
      <c r="I2302" s="26" t="s">
        <v>416</v>
      </c>
      <c r="J2302" s="26" t="s">
        <v>1225</v>
      </c>
      <c r="K2302" s="26" t="s">
        <v>1646</v>
      </c>
      <c r="L2302" s="26" t="s">
        <v>1563</v>
      </c>
      <c r="M2302" s="26" t="s">
        <v>1648</v>
      </c>
      <c r="N2302" s="26" t="s">
        <v>1566</v>
      </c>
      <c r="O2302" s="26" t="s">
        <v>1566</v>
      </c>
      <c r="P2302" s="26" t="s">
        <v>22</v>
      </c>
      <c r="Q2302" s="26">
        <v>250.0</v>
      </c>
    </row>
    <row r="2303" ht="17.25" customHeight="1">
      <c r="A2303" s="51">
        <v>46266.657436423615</v>
      </c>
      <c r="B2303" s="25" t="s">
        <v>1104</v>
      </c>
      <c r="C2303" s="55" t="s">
        <v>1892</v>
      </c>
      <c r="D2303" s="240">
        <v>46266.0</v>
      </c>
      <c r="E2303" s="52">
        <v>6200.0</v>
      </c>
      <c r="F2303" s="55" t="s">
        <v>24</v>
      </c>
      <c r="G2303" s="55" t="s">
        <v>1898</v>
      </c>
      <c r="H2303" s="55"/>
      <c r="I2303" s="26" t="s">
        <v>1106</v>
      </c>
      <c r="J2303" s="26" t="s">
        <v>1225</v>
      </c>
      <c r="K2303" s="26" t="s">
        <v>1562</v>
      </c>
      <c r="L2303" s="26" t="s">
        <v>1591</v>
      </c>
      <c r="M2303" s="26" t="s">
        <v>1574</v>
      </c>
      <c r="N2303" s="26" t="s">
        <v>1566</v>
      </c>
      <c r="O2303" s="26" t="s">
        <v>1566</v>
      </c>
      <c r="P2303" s="26" t="s">
        <v>22</v>
      </c>
      <c r="Q2303" s="26">
        <v>0.0</v>
      </c>
    </row>
    <row r="2304" ht="17.25" customHeight="1">
      <c r="A2304" s="51">
        <v>46266.65974040509</v>
      </c>
      <c r="B2304" s="55" t="s">
        <v>501</v>
      </c>
      <c r="C2304" s="55" t="s">
        <v>1560</v>
      </c>
      <c r="D2304" s="240">
        <v>46265.0</v>
      </c>
      <c r="E2304" s="52">
        <v>800.0</v>
      </c>
      <c r="F2304" s="55" t="s">
        <v>2394</v>
      </c>
      <c r="G2304" s="55" t="s">
        <v>2502</v>
      </c>
      <c r="H2304" s="55" t="s">
        <v>503</v>
      </c>
      <c r="I2304" s="26" t="s">
        <v>502</v>
      </c>
      <c r="J2304" s="26" t="s">
        <v>1225</v>
      </c>
      <c r="K2304" s="26" t="s">
        <v>1562</v>
      </c>
      <c r="L2304" s="26" t="s">
        <v>1615</v>
      </c>
      <c r="M2304" s="26" t="s">
        <v>1575</v>
      </c>
      <c r="N2304" s="26" t="s">
        <v>1566</v>
      </c>
      <c r="O2304" s="26" t="s">
        <v>1566</v>
      </c>
      <c r="P2304" s="26" t="s">
        <v>22</v>
      </c>
      <c r="Q2304" s="26">
        <v>100.0</v>
      </c>
    </row>
    <row r="2305" ht="17.25" customHeight="1">
      <c r="A2305" s="51">
        <v>46266.660553078706</v>
      </c>
      <c r="B2305" s="55" t="s">
        <v>501</v>
      </c>
      <c r="C2305" s="55" t="s">
        <v>1892</v>
      </c>
      <c r="D2305" s="240">
        <v>46266.0</v>
      </c>
      <c r="E2305" s="52">
        <v>700.0</v>
      </c>
      <c r="F2305" s="55" t="s">
        <v>24</v>
      </c>
      <c r="G2305" s="55"/>
      <c r="H2305" s="55" t="s">
        <v>503</v>
      </c>
      <c r="I2305" s="26" t="s">
        <v>502</v>
      </c>
      <c r="J2305" s="26" t="s">
        <v>1225</v>
      </c>
      <c r="K2305" s="26" t="s">
        <v>1562</v>
      </c>
      <c r="L2305" s="26" t="s">
        <v>1615</v>
      </c>
      <c r="M2305" s="26" t="s">
        <v>1575</v>
      </c>
      <c r="N2305" s="26" t="s">
        <v>1566</v>
      </c>
      <c r="O2305" s="26" t="s">
        <v>1566</v>
      </c>
      <c r="P2305" s="26" t="s">
        <v>22</v>
      </c>
      <c r="Q2305" s="26">
        <v>100.0</v>
      </c>
    </row>
    <row r="2306" ht="17.25" customHeight="1">
      <c r="A2306" s="51">
        <v>46266.66121880787</v>
      </c>
      <c r="B2306" s="55" t="s">
        <v>760</v>
      </c>
      <c r="C2306" s="55" t="s">
        <v>1892</v>
      </c>
      <c r="D2306" s="240">
        <v>46266.66120483796</v>
      </c>
      <c r="E2306" s="52">
        <v>2500.0</v>
      </c>
      <c r="F2306" s="55" t="s">
        <v>2394</v>
      </c>
      <c r="G2306" s="55" t="s">
        <v>2504</v>
      </c>
      <c r="H2306" s="55"/>
      <c r="I2306" s="26" t="s">
        <v>762</v>
      </c>
      <c r="J2306" s="26" t="s">
        <v>1225</v>
      </c>
      <c r="K2306" s="26" t="s">
        <v>1562</v>
      </c>
      <c r="L2306" s="26" t="s">
        <v>2168</v>
      </c>
      <c r="M2306" s="26" t="s">
        <v>1575</v>
      </c>
      <c r="N2306" s="26" t="s">
        <v>1566</v>
      </c>
      <c r="O2306" s="26" t="s">
        <v>1566</v>
      </c>
      <c r="P2306" s="26" t="s">
        <v>22</v>
      </c>
      <c r="Q2306" s="26">
        <v>0.0</v>
      </c>
    </row>
    <row r="2307" ht="17.25" customHeight="1">
      <c r="A2307" s="51">
        <v>46267.540887118055</v>
      </c>
      <c r="B2307" s="55" t="s">
        <v>304</v>
      </c>
      <c r="C2307" s="55" t="s">
        <v>1892</v>
      </c>
      <c r="D2307" s="240">
        <v>46267.0</v>
      </c>
      <c r="E2307" s="52">
        <v>2.0</v>
      </c>
      <c r="F2307" s="55" t="s">
        <v>24</v>
      </c>
      <c r="G2307" s="55"/>
      <c r="H2307" s="55"/>
      <c r="I2307" s="26" t="s">
        <v>306</v>
      </c>
      <c r="J2307" s="26" t="s">
        <v>1674</v>
      </c>
      <c r="K2307" s="26" t="s">
        <v>1675</v>
      </c>
      <c r="L2307" s="26" t="s">
        <v>1566</v>
      </c>
      <c r="M2307" s="26" t="s">
        <v>1566</v>
      </c>
      <c r="N2307" s="26" t="s">
        <v>1682</v>
      </c>
      <c r="O2307" s="26" t="s">
        <v>1677</v>
      </c>
      <c r="P2307" s="26" t="s">
        <v>290</v>
      </c>
      <c r="Q2307" s="26">
        <v>6.0</v>
      </c>
    </row>
    <row r="2308" ht="17.25" customHeight="1">
      <c r="A2308" s="51">
        <v>46267.54109298611</v>
      </c>
      <c r="B2308" s="55" t="s">
        <v>297</v>
      </c>
      <c r="C2308" s="55" t="s">
        <v>1892</v>
      </c>
      <c r="D2308" s="240">
        <v>46267.0</v>
      </c>
      <c r="E2308" s="52">
        <v>2.0</v>
      </c>
      <c r="F2308" s="55" t="s">
        <v>24</v>
      </c>
      <c r="G2308" s="55"/>
      <c r="H2308" s="55"/>
      <c r="I2308" s="26" t="s">
        <v>298</v>
      </c>
      <c r="J2308" s="26" t="s">
        <v>1674</v>
      </c>
      <c r="K2308" s="26" t="s">
        <v>1675</v>
      </c>
      <c r="L2308" s="26" t="s">
        <v>1566</v>
      </c>
      <c r="M2308" s="26" t="s">
        <v>1566</v>
      </c>
      <c r="N2308" s="26" t="s">
        <v>1680</v>
      </c>
      <c r="O2308" s="26" t="s">
        <v>1677</v>
      </c>
      <c r="P2308" s="26" t="s">
        <v>290</v>
      </c>
      <c r="Q2308" s="26">
        <v>10.0</v>
      </c>
    </row>
    <row r="2309" ht="17.25" customHeight="1">
      <c r="A2309" s="51">
        <v>46267.54218824074</v>
      </c>
      <c r="B2309" s="55" t="s">
        <v>287</v>
      </c>
      <c r="C2309" s="55" t="s">
        <v>1892</v>
      </c>
      <c r="D2309" s="240">
        <v>46267.5421784375</v>
      </c>
      <c r="E2309" s="52">
        <v>6.0</v>
      </c>
      <c r="F2309" s="55" t="s">
        <v>2394</v>
      </c>
      <c r="G2309" s="55" t="s">
        <v>2505</v>
      </c>
      <c r="H2309" s="55"/>
      <c r="I2309" s="26" t="s">
        <v>288</v>
      </c>
      <c r="J2309" s="26" t="s">
        <v>1674</v>
      </c>
      <c r="K2309" s="26" t="s">
        <v>1675</v>
      </c>
      <c r="L2309" s="26" t="s">
        <v>1566</v>
      </c>
      <c r="M2309" s="26" t="s">
        <v>1566</v>
      </c>
      <c r="N2309" s="26" t="s">
        <v>1676</v>
      </c>
      <c r="O2309" s="26" t="s">
        <v>1677</v>
      </c>
      <c r="P2309" s="26" t="s">
        <v>290</v>
      </c>
      <c r="Q2309" s="26">
        <v>16.0</v>
      </c>
    </row>
    <row r="2310" ht="17.25" customHeight="1">
      <c r="A2310" s="51">
        <v>46267.54266603009</v>
      </c>
      <c r="B2310" s="55" t="s">
        <v>304</v>
      </c>
      <c r="C2310" s="55" t="s">
        <v>1892</v>
      </c>
      <c r="D2310" s="240">
        <v>46267.542656875</v>
      </c>
      <c r="E2310" s="52">
        <v>4.0</v>
      </c>
      <c r="F2310" s="55" t="s">
        <v>2394</v>
      </c>
      <c r="G2310" s="55" t="s">
        <v>2506</v>
      </c>
      <c r="H2310" s="55"/>
      <c r="I2310" s="26" t="s">
        <v>306</v>
      </c>
      <c r="J2310" s="26" t="s">
        <v>1674</v>
      </c>
      <c r="K2310" s="26" t="s">
        <v>1675</v>
      </c>
      <c r="L2310" s="26" t="s">
        <v>1566</v>
      </c>
      <c r="M2310" s="26" t="s">
        <v>1566</v>
      </c>
      <c r="N2310" s="26" t="s">
        <v>1682</v>
      </c>
      <c r="O2310" s="26" t="s">
        <v>1677</v>
      </c>
      <c r="P2310" s="26" t="s">
        <v>290</v>
      </c>
      <c r="Q2310" s="26">
        <v>6.0</v>
      </c>
    </row>
    <row r="2311" ht="17.25" customHeight="1">
      <c r="A2311" s="51">
        <v>46267.553008206014</v>
      </c>
      <c r="B2311" s="55" t="s">
        <v>297</v>
      </c>
      <c r="C2311" s="55" t="s">
        <v>1892</v>
      </c>
      <c r="D2311" s="240">
        <v>46267.552989895834</v>
      </c>
      <c r="E2311" s="52">
        <v>8.0</v>
      </c>
      <c r="F2311" s="55" t="s">
        <v>2394</v>
      </c>
      <c r="G2311" s="55" t="s">
        <v>2507</v>
      </c>
      <c r="H2311" s="55"/>
      <c r="I2311" s="26" t="s">
        <v>298</v>
      </c>
      <c r="J2311" s="26" t="s">
        <v>1674</v>
      </c>
      <c r="K2311" s="26" t="s">
        <v>1675</v>
      </c>
      <c r="L2311" s="26" t="s">
        <v>1566</v>
      </c>
      <c r="M2311" s="26" t="s">
        <v>1566</v>
      </c>
      <c r="N2311" s="26" t="s">
        <v>1680</v>
      </c>
      <c r="O2311" s="26" t="s">
        <v>1677</v>
      </c>
      <c r="P2311" s="26" t="s">
        <v>290</v>
      </c>
      <c r="Q2311" s="26">
        <v>10.0</v>
      </c>
    </row>
    <row r="2312" ht="17.25" customHeight="1">
      <c r="A2312" s="51">
        <v>46267.55396547454</v>
      </c>
      <c r="B2312" s="55" t="s">
        <v>292</v>
      </c>
      <c r="C2312" s="55" t="s">
        <v>1892</v>
      </c>
      <c r="D2312" s="240">
        <v>46267.55395502315</v>
      </c>
      <c r="E2312" s="52">
        <v>6.0</v>
      </c>
      <c r="F2312" s="55" t="s">
        <v>2394</v>
      </c>
      <c r="G2312" s="55" t="s">
        <v>2508</v>
      </c>
      <c r="H2312" s="55"/>
      <c r="I2312" s="26" t="s">
        <v>294</v>
      </c>
      <c r="J2312" s="26" t="s">
        <v>1674</v>
      </c>
      <c r="K2312" s="26" t="s">
        <v>1675</v>
      </c>
      <c r="L2312" s="26" t="s">
        <v>1566</v>
      </c>
      <c r="M2312" s="26" t="s">
        <v>1566</v>
      </c>
      <c r="N2312" s="26" t="s">
        <v>1678</v>
      </c>
      <c r="O2312" s="26" t="s">
        <v>1677</v>
      </c>
      <c r="P2312" s="26" t="s">
        <v>290</v>
      </c>
      <c r="Q2312" s="26">
        <v>10.0</v>
      </c>
    </row>
    <row r="2313" ht="17.25" customHeight="1">
      <c r="A2313" s="51">
        <v>46267.557786944446</v>
      </c>
      <c r="B2313" s="55" t="s">
        <v>278</v>
      </c>
      <c r="C2313" s="55" t="s">
        <v>1560</v>
      </c>
      <c r="D2313" s="240">
        <v>46267.55777452546</v>
      </c>
      <c r="E2313" s="52">
        <v>1.0</v>
      </c>
      <c r="F2313" s="55" t="s">
        <v>2394</v>
      </c>
      <c r="G2313" s="55" t="s">
        <v>2509</v>
      </c>
      <c r="H2313" s="55"/>
      <c r="I2313" s="26" t="s">
        <v>279</v>
      </c>
      <c r="J2313" s="26" t="s">
        <v>1674</v>
      </c>
      <c r="K2313" s="26" t="s">
        <v>1675</v>
      </c>
      <c r="L2313" s="26" t="s">
        <v>1566</v>
      </c>
      <c r="M2313" s="26" t="s">
        <v>1566</v>
      </c>
      <c r="N2313" s="26" t="s">
        <v>1682</v>
      </c>
      <c r="O2313" s="26" t="s">
        <v>1566</v>
      </c>
      <c r="P2313" s="26" t="s">
        <v>290</v>
      </c>
      <c r="Q2313" s="26">
        <v>6.0</v>
      </c>
    </row>
    <row r="2314" ht="17.25" customHeight="1">
      <c r="A2314" s="51">
        <v>46267.558159259264</v>
      </c>
      <c r="B2314" s="55" t="s">
        <v>664</v>
      </c>
      <c r="C2314" s="55" t="s">
        <v>1892</v>
      </c>
      <c r="D2314" s="240">
        <v>46267.558145937495</v>
      </c>
      <c r="E2314" s="52">
        <v>2.0</v>
      </c>
      <c r="F2314" s="55" t="s">
        <v>2394</v>
      </c>
      <c r="G2314" s="55" t="s">
        <v>2510</v>
      </c>
      <c r="H2314" s="55"/>
      <c r="I2314" s="26" t="s">
        <v>665</v>
      </c>
      <c r="J2314" s="26" t="s">
        <v>1674</v>
      </c>
      <c r="K2314" s="26" t="s">
        <v>1675</v>
      </c>
      <c r="L2314" s="26" t="s">
        <v>1566</v>
      </c>
      <c r="M2314" s="26" t="s">
        <v>1566</v>
      </c>
      <c r="N2314" s="26" t="s">
        <v>1565</v>
      </c>
      <c r="O2314" s="26" t="s">
        <v>1566</v>
      </c>
      <c r="P2314" s="26" t="s">
        <v>290</v>
      </c>
      <c r="Q2314" s="26">
        <v>2.0</v>
      </c>
    </row>
    <row r="2315" ht="17.25" customHeight="1">
      <c r="A2315" s="51">
        <v>46267.558437858796</v>
      </c>
      <c r="B2315" s="55" t="s">
        <v>269</v>
      </c>
      <c r="C2315" s="55" t="s">
        <v>1892</v>
      </c>
      <c r="D2315" s="240">
        <v>46267.55842833333</v>
      </c>
      <c r="E2315" s="52">
        <v>1.0</v>
      </c>
      <c r="F2315" s="55" t="s">
        <v>2394</v>
      </c>
      <c r="G2315" s="55" t="s">
        <v>2511</v>
      </c>
      <c r="H2315" s="55"/>
      <c r="I2315" s="26" t="s">
        <v>270</v>
      </c>
      <c r="J2315" s="26" t="s">
        <v>1674</v>
      </c>
      <c r="K2315" s="26" t="s">
        <v>1675</v>
      </c>
      <c r="L2315" s="26" t="s">
        <v>1566</v>
      </c>
      <c r="M2315" s="26" t="s">
        <v>1566</v>
      </c>
      <c r="N2315" s="26" t="s">
        <v>1678</v>
      </c>
      <c r="O2315" s="26" t="s">
        <v>1566</v>
      </c>
      <c r="P2315" s="26" t="s">
        <v>290</v>
      </c>
      <c r="Q2315" s="26">
        <v>4.0</v>
      </c>
    </row>
    <row r="2316" ht="17.25" customHeight="1">
      <c r="A2316" s="51">
        <v>46267.55878715278</v>
      </c>
      <c r="B2316" s="55" t="s">
        <v>687</v>
      </c>
      <c r="C2316" s="55" t="s">
        <v>1560</v>
      </c>
      <c r="D2316" s="240">
        <v>46267.55877246527</v>
      </c>
      <c r="E2316" s="52">
        <v>1.0</v>
      </c>
      <c r="F2316" s="55" t="s">
        <v>2394</v>
      </c>
      <c r="G2316" s="55" t="s">
        <v>2512</v>
      </c>
      <c r="H2316" s="55"/>
      <c r="I2316" s="26" t="s">
        <v>689</v>
      </c>
      <c r="J2316" s="26" t="s">
        <v>1674</v>
      </c>
      <c r="K2316" s="26" t="s">
        <v>1675</v>
      </c>
      <c r="L2316" s="26" t="s">
        <v>1566</v>
      </c>
      <c r="M2316" s="26" t="s">
        <v>1566</v>
      </c>
      <c r="N2316" s="26" t="s">
        <v>1680</v>
      </c>
      <c r="O2316" s="26" t="s">
        <v>1566</v>
      </c>
      <c r="P2316" s="26" t="s">
        <v>290</v>
      </c>
      <c r="Q2316" s="26">
        <v>5.0</v>
      </c>
    </row>
    <row r="2317" ht="17.25" customHeight="1">
      <c r="A2317" s="51">
        <v>46267.55971732639</v>
      </c>
      <c r="B2317" s="55" t="s">
        <v>338</v>
      </c>
      <c r="C2317" s="55" t="s">
        <v>1892</v>
      </c>
      <c r="D2317" s="240">
        <v>46267.55970194444</v>
      </c>
      <c r="E2317" s="52">
        <v>1.0</v>
      </c>
      <c r="F2317" s="55" t="s">
        <v>2394</v>
      </c>
      <c r="G2317" s="55" t="s">
        <v>2513</v>
      </c>
      <c r="H2317" s="55"/>
      <c r="I2317" s="26" t="s">
        <v>340</v>
      </c>
      <c r="J2317" s="26" t="s">
        <v>1674</v>
      </c>
      <c r="K2317" s="26" t="s">
        <v>1675</v>
      </c>
      <c r="L2317" s="26" t="s">
        <v>1566</v>
      </c>
      <c r="M2317" s="26" t="s">
        <v>1566</v>
      </c>
      <c r="N2317" s="26" t="s">
        <v>1678</v>
      </c>
      <c r="O2317" s="26" t="s">
        <v>1690</v>
      </c>
      <c r="P2317" s="26" t="s">
        <v>290</v>
      </c>
      <c r="Q2317" s="26">
        <v>3.0</v>
      </c>
    </row>
    <row r="2318" ht="17.25" customHeight="1">
      <c r="A2318" s="51">
        <v>46267.56090993056</v>
      </c>
      <c r="B2318" s="55" t="s">
        <v>517</v>
      </c>
      <c r="C2318" s="55" t="s">
        <v>1892</v>
      </c>
      <c r="D2318" s="240">
        <v>46267.0</v>
      </c>
      <c r="E2318" s="52">
        <v>20.0</v>
      </c>
      <c r="F2318" s="55" t="s">
        <v>24</v>
      </c>
      <c r="G2318" s="55"/>
      <c r="H2318" s="55"/>
      <c r="I2318" s="26" t="s">
        <v>518</v>
      </c>
      <c r="J2318" s="26" t="s">
        <v>1812</v>
      </c>
      <c r="K2318" s="26" t="s">
        <v>1815</v>
      </c>
      <c r="L2318" s="26" t="s">
        <v>1566</v>
      </c>
      <c r="M2318" s="26" t="s">
        <v>1566</v>
      </c>
      <c r="N2318" s="26" t="s">
        <v>1566</v>
      </c>
      <c r="O2318" s="26" t="s">
        <v>2098</v>
      </c>
      <c r="P2318" s="26" t="s">
        <v>290</v>
      </c>
      <c r="Q2318" s="26">
        <v>40.0</v>
      </c>
    </row>
    <row r="2319" ht="17.25" customHeight="1">
      <c r="A2319" s="51">
        <v>46267.562876041666</v>
      </c>
      <c r="B2319" s="55" t="s">
        <v>147</v>
      </c>
      <c r="C2319" s="55" t="s">
        <v>1892</v>
      </c>
      <c r="D2319" s="240">
        <v>46267.0</v>
      </c>
      <c r="E2319" s="52">
        <v>300.0</v>
      </c>
      <c r="F2319" s="55" t="s">
        <v>24</v>
      </c>
      <c r="G2319" s="55"/>
      <c r="H2319" s="55" t="s">
        <v>533</v>
      </c>
      <c r="I2319" s="26" t="s">
        <v>148</v>
      </c>
      <c r="J2319" s="26" t="s">
        <v>1225</v>
      </c>
      <c r="K2319" s="26" t="s">
        <v>1562</v>
      </c>
      <c r="L2319" s="26" t="s">
        <v>1633</v>
      </c>
      <c r="M2319" s="26" t="s">
        <v>1574</v>
      </c>
      <c r="N2319" s="26" t="s">
        <v>1566</v>
      </c>
      <c r="O2319" s="26" t="s">
        <v>1566</v>
      </c>
      <c r="P2319" s="26" t="s">
        <v>22</v>
      </c>
      <c r="Q2319" s="26">
        <v>0.0</v>
      </c>
    </row>
    <row r="2320" ht="17.25" customHeight="1">
      <c r="A2320" s="51">
        <v>46267.562951875</v>
      </c>
      <c r="B2320" s="55" t="s">
        <v>538</v>
      </c>
      <c r="C2320" s="55" t="s">
        <v>1892</v>
      </c>
      <c r="D2320" s="240">
        <v>46267.0</v>
      </c>
      <c r="E2320" s="52">
        <v>1152.0</v>
      </c>
      <c r="F2320" s="55" t="s">
        <v>24</v>
      </c>
      <c r="G2320" s="55"/>
      <c r="H2320" s="55" t="s">
        <v>541</v>
      </c>
      <c r="I2320" s="26" t="s">
        <v>539</v>
      </c>
      <c r="J2320" s="26" t="s">
        <v>1225</v>
      </c>
      <c r="K2320" s="26" t="s">
        <v>1653</v>
      </c>
      <c r="L2320" s="26" t="s">
        <v>1600</v>
      </c>
      <c r="M2320" s="26" t="s">
        <v>1572</v>
      </c>
      <c r="N2320" s="26" t="s">
        <v>1566</v>
      </c>
      <c r="O2320" s="26" t="s">
        <v>1654</v>
      </c>
      <c r="P2320" s="26" t="s">
        <v>22</v>
      </c>
      <c r="Q2320" s="26">
        <v>576.0</v>
      </c>
    </row>
    <row r="2321" ht="17.25" customHeight="1">
      <c r="A2321" s="51">
        <v>46267.564027395834</v>
      </c>
      <c r="B2321" s="25" t="s">
        <v>33</v>
      </c>
      <c r="C2321" s="55" t="s">
        <v>1892</v>
      </c>
      <c r="D2321" s="240">
        <v>46267.0</v>
      </c>
      <c r="E2321" s="52">
        <v>1200.0</v>
      </c>
      <c r="F2321" s="55" t="s">
        <v>24</v>
      </c>
      <c r="H2321" s="55" t="s">
        <v>2514</v>
      </c>
      <c r="I2321" s="26" t="s">
        <v>35</v>
      </c>
      <c r="J2321" s="26" t="s">
        <v>1225</v>
      </c>
      <c r="K2321" s="26" t="s">
        <v>1562</v>
      </c>
      <c r="L2321" s="26" t="s">
        <v>1573</v>
      </c>
      <c r="M2321" s="26" t="s">
        <v>1575</v>
      </c>
      <c r="N2321" s="26" t="s">
        <v>1566</v>
      </c>
      <c r="O2321" s="26" t="s">
        <v>1566</v>
      </c>
      <c r="P2321" s="26" t="s">
        <v>22</v>
      </c>
      <c r="Q2321" s="26">
        <v>2600.0</v>
      </c>
    </row>
    <row r="2322" ht="17.25" customHeight="1">
      <c r="A2322" s="51">
        <v>46267.56634563657</v>
      </c>
      <c r="B2322" s="55" t="s">
        <v>175</v>
      </c>
      <c r="C2322" s="55" t="s">
        <v>1892</v>
      </c>
      <c r="D2322" s="240">
        <v>46267.0</v>
      </c>
      <c r="E2322" s="52">
        <v>1600.0</v>
      </c>
      <c r="F2322" s="55" t="s">
        <v>24</v>
      </c>
      <c r="G2322" s="55"/>
      <c r="H2322" s="55" t="s">
        <v>2392</v>
      </c>
      <c r="I2322" s="26" t="s">
        <v>176</v>
      </c>
      <c r="J2322" s="26" t="s">
        <v>1225</v>
      </c>
      <c r="K2322" s="26" t="s">
        <v>1562</v>
      </c>
      <c r="L2322" s="26" t="s">
        <v>1633</v>
      </c>
      <c r="M2322" s="26" t="s">
        <v>1634</v>
      </c>
      <c r="N2322" s="26" t="s">
        <v>1571</v>
      </c>
      <c r="O2322" s="26" t="s">
        <v>1566</v>
      </c>
      <c r="P2322" s="26" t="s">
        <v>22</v>
      </c>
      <c r="Q2322" s="26">
        <v>2100.0</v>
      </c>
    </row>
    <row r="2323" ht="17.25" customHeight="1">
      <c r="A2323" s="51">
        <v>46267.56790559027</v>
      </c>
      <c r="B2323" s="55" t="s">
        <v>175</v>
      </c>
      <c r="C2323" s="55" t="s">
        <v>1892</v>
      </c>
      <c r="D2323" s="240">
        <v>46265.0</v>
      </c>
      <c r="E2323" s="52">
        <v>1300.0</v>
      </c>
      <c r="F2323" s="55" t="s">
        <v>24</v>
      </c>
      <c r="G2323" s="55"/>
      <c r="H2323" s="55" t="s">
        <v>2515</v>
      </c>
      <c r="I2323" s="26" t="s">
        <v>176</v>
      </c>
      <c r="J2323" s="26" t="s">
        <v>1225</v>
      </c>
      <c r="K2323" s="26" t="s">
        <v>1562</v>
      </c>
      <c r="L2323" s="26" t="s">
        <v>1633</v>
      </c>
      <c r="M2323" s="26" t="s">
        <v>1634</v>
      </c>
      <c r="N2323" s="26" t="s">
        <v>1571</v>
      </c>
      <c r="O2323" s="26" t="s">
        <v>1566</v>
      </c>
      <c r="P2323" s="26" t="s">
        <v>22</v>
      </c>
      <c r="Q2323" s="26">
        <v>2100.0</v>
      </c>
    </row>
    <row r="2324" ht="17.25" customHeight="1">
      <c r="A2324" s="51">
        <v>46267.5763550463</v>
      </c>
      <c r="B2324" s="55" t="s">
        <v>175</v>
      </c>
      <c r="C2324" s="55" t="s">
        <v>1892</v>
      </c>
      <c r="D2324" s="240">
        <v>46267.0</v>
      </c>
      <c r="E2324" s="52">
        <v>2700.0</v>
      </c>
      <c r="F2324" s="55" t="s">
        <v>24</v>
      </c>
      <c r="G2324" s="55" t="s">
        <v>2096</v>
      </c>
      <c r="H2324" s="55"/>
      <c r="I2324" s="26" t="s">
        <v>176</v>
      </c>
      <c r="J2324" s="26" t="s">
        <v>1225</v>
      </c>
      <c r="K2324" s="26" t="s">
        <v>1562</v>
      </c>
      <c r="L2324" s="26" t="s">
        <v>1633</v>
      </c>
      <c r="M2324" s="26" t="s">
        <v>1634</v>
      </c>
      <c r="N2324" s="26" t="s">
        <v>1571</v>
      </c>
      <c r="O2324" s="26" t="s">
        <v>1566</v>
      </c>
      <c r="P2324" s="26" t="s">
        <v>22</v>
      </c>
      <c r="Q2324" s="26">
        <v>2100.0</v>
      </c>
    </row>
    <row r="2325" ht="17.25" customHeight="1">
      <c r="A2325" s="51">
        <v>46267.5780275</v>
      </c>
      <c r="B2325" s="25" t="s">
        <v>33</v>
      </c>
      <c r="C2325" s="55" t="s">
        <v>1560</v>
      </c>
      <c r="D2325" s="240">
        <v>46267.0</v>
      </c>
      <c r="E2325" s="52">
        <v>900.0</v>
      </c>
      <c r="F2325" s="55" t="s">
        <v>24</v>
      </c>
      <c r="G2325" s="55" t="s">
        <v>2096</v>
      </c>
      <c r="H2325" s="55"/>
      <c r="I2325" s="26" t="s">
        <v>35</v>
      </c>
      <c r="J2325" s="26" t="s">
        <v>1225</v>
      </c>
      <c r="K2325" s="26" t="s">
        <v>1562</v>
      </c>
      <c r="L2325" s="26" t="s">
        <v>1573</v>
      </c>
      <c r="M2325" s="26" t="s">
        <v>1575</v>
      </c>
      <c r="N2325" s="26" t="s">
        <v>1566</v>
      </c>
      <c r="O2325" s="26" t="s">
        <v>1566</v>
      </c>
      <c r="P2325" s="26" t="s">
        <v>22</v>
      </c>
      <c r="Q2325" s="26">
        <v>2600.0</v>
      </c>
    </row>
    <row r="2326" ht="17.25" customHeight="1">
      <c r="A2326" s="51">
        <v>46267.58868267361</v>
      </c>
      <c r="B2326" s="25" t="s">
        <v>123</v>
      </c>
      <c r="C2326" s="55" t="s">
        <v>1892</v>
      </c>
      <c r="D2326" s="240">
        <v>46267.0</v>
      </c>
      <c r="E2326" s="52">
        <v>400.0</v>
      </c>
      <c r="F2326" s="55" t="s">
        <v>24</v>
      </c>
      <c r="G2326" s="55" t="s">
        <v>2096</v>
      </c>
      <c r="H2326" s="55"/>
      <c r="I2326" s="26" t="s">
        <v>124</v>
      </c>
      <c r="J2326" s="26" t="s">
        <v>1225</v>
      </c>
      <c r="K2326" s="26" t="s">
        <v>1562</v>
      </c>
      <c r="L2326" s="26" t="s">
        <v>1587</v>
      </c>
      <c r="M2326" s="26" t="s">
        <v>1575</v>
      </c>
      <c r="N2326" s="26" t="s">
        <v>1566</v>
      </c>
      <c r="O2326" s="26" t="s">
        <v>1571</v>
      </c>
      <c r="P2326" s="26" t="s">
        <v>22</v>
      </c>
      <c r="Q2326" s="26">
        <v>1600.0</v>
      </c>
    </row>
    <row r="2327" ht="17.25" customHeight="1">
      <c r="A2327" s="51">
        <v>46267.58939145833</v>
      </c>
      <c r="B2327" s="25" t="s">
        <v>942</v>
      </c>
      <c r="C2327" s="55" t="s">
        <v>1560</v>
      </c>
      <c r="D2327" s="240">
        <v>46267.0</v>
      </c>
      <c r="E2327" s="52">
        <v>200.0</v>
      </c>
      <c r="F2327" s="55" t="s">
        <v>24</v>
      </c>
      <c r="G2327" s="55" t="s">
        <v>2096</v>
      </c>
      <c r="H2327" s="55"/>
      <c r="I2327" s="26" t="s">
        <v>943</v>
      </c>
      <c r="J2327" s="26" t="s">
        <v>1225</v>
      </c>
      <c r="K2327" s="26" t="s">
        <v>1562</v>
      </c>
      <c r="L2327" s="26" t="s">
        <v>1591</v>
      </c>
      <c r="M2327" s="26" t="s">
        <v>1575</v>
      </c>
      <c r="N2327" s="26" t="s">
        <v>1566</v>
      </c>
      <c r="O2327" s="26" t="s">
        <v>1566</v>
      </c>
      <c r="P2327" s="26" t="s">
        <v>22</v>
      </c>
      <c r="Q2327" s="26">
        <v>900.0</v>
      </c>
    </row>
    <row r="2328" ht="17.25" customHeight="1">
      <c r="A2328" s="51">
        <v>46267.59055329861</v>
      </c>
      <c r="B2328" s="25" t="s">
        <v>1074</v>
      </c>
      <c r="C2328" s="55" t="s">
        <v>1892</v>
      </c>
      <c r="D2328" s="240">
        <v>46267.0</v>
      </c>
      <c r="E2328" s="52">
        <v>300.0</v>
      </c>
      <c r="F2328" s="55" t="s">
        <v>24</v>
      </c>
      <c r="G2328" s="55" t="s">
        <v>2096</v>
      </c>
      <c r="H2328" s="55"/>
      <c r="I2328" s="26" t="s">
        <v>1075</v>
      </c>
      <c r="J2328" s="26" t="s">
        <v>1225</v>
      </c>
      <c r="K2328" s="26" t="s">
        <v>1562</v>
      </c>
      <c r="L2328" s="26" t="s">
        <v>1573</v>
      </c>
      <c r="M2328" s="26" t="s">
        <v>1597</v>
      </c>
      <c r="N2328" s="26" t="s">
        <v>1566</v>
      </c>
      <c r="O2328" s="26" t="s">
        <v>1566</v>
      </c>
      <c r="P2328" s="26" t="s">
        <v>22</v>
      </c>
      <c r="Q2328" s="26">
        <v>0.0</v>
      </c>
    </row>
    <row r="2329" ht="17.25" customHeight="1">
      <c r="A2329" s="51">
        <v>46267.59078655092</v>
      </c>
      <c r="B2329" s="25" t="s">
        <v>1114</v>
      </c>
      <c r="C2329" s="55" t="s">
        <v>1892</v>
      </c>
      <c r="D2329" s="240">
        <v>46267.0</v>
      </c>
      <c r="E2329" s="52">
        <v>600.0</v>
      </c>
      <c r="F2329" s="55" t="s">
        <v>24</v>
      </c>
      <c r="G2329" s="55" t="s">
        <v>2096</v>
      </c>
      <c r="H2329" s="55"/>
      <c r="I2329" s="26" t="s">
        <v>1115</v>
      </c>
      <c r="J2329" s="26" t="s">
        <v>1225</v>
      </c>
      <c r="K2329" s="26" t="s">
        <v>1562</v>
      </c>
      <c r="L2329" s="26" t="s">
        <v>1573</v>
      </c>
      <c r="M2329" s="26" t="s">
        <v>1572</v>
      </c>
      <c r="N2329" s="26" t="s">
        <v>1566</v>
      </c>
      <c r="O2329" s="26" t="s">
        <v>1566</v>
      </c>
      <c r="P2329" s="26" t="s">
        <v>22</v>
      </c>
      <c r="Q2329" s="26">
        <v>0.0</v>
      </c>
    </row>
    <row r="2330" ht="17.25" customHeight="1">
      <c r="A2330" s="51">
        <v>46267.59093268518</v>
      </c>
      <c r="B2330" s="25" t="s">
        <v>1314</v>
      </c>
      <c r="C2330" s="55" t="s">
        <v>1892</v>
      </c>
      <c r="D2330" s="240">
        <v>46267.0</v>
      </c>
      <c r="E2330" s="52">
        <v>500.0</v>
      </c>
      <c r="F2330" s="55" t="s">
        <v>24</v>
      </c>
      <c r="G2330" s="55" t="s">
        <v>2096</v>
      </c>
      <c r="H2330" s="55"/>
      <c r="I2330" s="26" t="s">
        <v>1315</v>
      </c>
      <c r="J2330" s="26" t="s">
        <v>1225</v>
      </c>
      <c r="K2330" s="26" t="s">
        <v>1562</v>
      </c>
      <c r="L2330" s="26" t="s">
        <v>1573</v>
      </c>
      <c r="M2330" s="26" t="s">
        <v>1586</v>
      </c>
      <c r="N2330" s="26" t="s">
        <v>1566</v>
      </c>
      <c r="O2330" s="26" t="s">
        <v>1571</v>
      </c>
      <c r="P2330" s="26" t="s">
        <v>22</v>
      </c>
      <c r="Q2330" s="26">
        <v>0.0</v>
      </c>
    </row>
    <row r="2331" ht="17.25" customHeight="1">
      <c r="A2331" s="51">
        <v>46267.60850454861</v>
      </c>
      <c r="B2331" s="55" t="s">
        <v>654</v>
      </c>
      <c r="C2331" s="55" t="s">
        <v>1560</v>
      </c>
      <c r="D2331" s="240">
        <v>46267.60849381944</v>
      </c>
      <c r="E2331" s="52">
        <v>5.0</v>
      </c>
      <c r="F2331" s="55" t="s">
        <v>2394</v>
      </c>
      <c r="G2331" s="55" t="s">
        <v>2516</v>
      </c>
      <c r="H2331" s="55"/>
      <c r="I2331" s="26" t="s">
        <v>655</v>
      </c>
      <c r="J2331" s="26" t="s">
        <v>1821</v>
      </c>
      <c r="K2331" s="26" t="s">
        <v>1822</v>
      </c>
      <c r="L2331" s="26" t="s">
        <v>1566</v>
      </c>
      <c r="M2331" s="26" t="s">
        <v>1566</v>
      </c>
      <c r="N2331" s="26" t="s">
        <v>1566</v>
      </c>
      <c r="O2331" s="26" t="s">
        <v>1566</v>
      </c>
      <c r="P2331" s="26" t="s">
        <v>290</v>
      </c>
      <c r="Q2331" s="26">
        <v>5.0</v>
      </c>
    </row>
    <row r="2332" ht="17.25" customHeight="1">
      <c r="A2332" s="51">
        <v>46267.60950086806</v>
      </c>
      <c r="B2332" s="55" t="s">
        <v>728</v>
      </c>
      <c r="C2332" s="55" t="s">
        <v>1560</v>
      </c>
      <c r="D2332" s="240">
        <v>46267.60948491898</v>
      </c>
      <c r="E2332" s="52">
        <v>5.0</v>
      </c>
      <c r="F2332" s="55" t="s">
        <v>2394</v>
      </c>
      <c r="G2332" s="55" t="s">
        <v>2516</v>
      </c>
      <c r="H2332" s="55"/>
      <c r="I2332" s="26" t="s">
        <v>729</v>
      </c>
      <c r="J2332" s="26" t="s">
        <v>1812</v>
      </c>
      <c r="K2332" s="26" t="s">
        <v>1815</v>
      </c>
      <c r="L2332" s="26" t="s">
        <v>1566</v>
      </c>
      <c r="M2332" s="26" t="s">
        <v>1566</v>
      </c>
      <c r="N2332" s="26" t="s">
        <v>1566</v>
      </c>
      <c r="O2332" s="26" t="s">
        <v>1566</v>
      </c>
      <c r="P2332" s="26" t="s">
        <v>661</v>
      </c>
      <c r="Q2332" s="26">
        <v>10.0</v>
      </c>
    </row>
    <row r="2333" ht="17.25" customHeight="1">
      <c r="A2333" s="51">
        <v>46267.60985395833</v>
      </c>
      <c r="B2333" s="55" t="s">
        <v>733</v>
      </c>
      <c r="C2333" s="55" t="s">
        <v>1560</v>
      </c>
      <c r="D2333" s="240">
        <v>46267.60984445602</v>
      </c>
      <c r="E2333" s="52">
        <v>1.0</v>
      </c>
      <c r="F2333" s="55" t="s">
        <v>2394</v>
      </c>
      <c r="G2333" s="55" t="s">
        <v>2517</v>
      </c>
      <c r="H2333" s="55"/>
      <c r="I2333" s="26" t="s">
        <v>739</v>
      </c>
      <c r="J2333" s="26" t="s">
        <v>1833</v>
      </c>
      <c r="K2333" s="26" t="s">
        <v>1833</v>
      </c>
      <c r="L2333" s="26" t="s">
        <v>1566</v>
      </c>
      <c r="M2333" s="26" t="s">
        <v>1566</v>
      </c>
      <c r="N2333" s="26" t="s">
        <v>1566</v>
      </c>
      <c r="O2333" s="26" t="s">
        <v>1566</v>
      </c>
      <c r="P2333" s="26" t="s">
        <v>661</v>
      </c>
      <c r="Q2333" s="26">
        <v>4.0</v>
      </c>
    </row>
    <row r="2334" ht="17.25" customHeight="1">
      <c r="A2334" s="51">
        <v>46267.61074870371</v>
      </c>
      <c r="B2334" s="55" t="s">
        <v>892</v>
      </c>
      <c r="C2334" s="55" t="s">
        <v>1560</v>
      </c>
      <c r="D2334" s="240">
        <v>46267.61073585648</v>
      </c>
      <c r="E2334" s="52">
        <v>25.0</v>
      </c>
      <c r="F2334" s="55" t="s">
        <v>2394</v>
      </c>
      <c r="G2334" s="55" t="s">
        <v>2518</v>
      </c>
      <c r="H2334" s="55"/>
      <c r="I2334" s="26" t="s">
        <v>893</v>
      </c>
      <c r="J2334" s="26" t="s">
        <v>1812</v>
      </c>
      <c r="K2334" s="26" t="s">
        <v>1813</v>
      </c>
      <c r="L2334" s="26" t="s">
        <v>1566</v>
      </c>
      <c r="M2334" s="26" t="s">
        <v>1566</v>
      </c>
      <c r="N2334" s="26" t="s">
        <v>1566</v>
      </c>
      <c r="O2334" s="26" t="s">
        <v>1809</v>
      </c>
      <c r="P2334" s="26" t="s">
        <v>290</v>
      </c>
      <c r="Q2334" s="26">
        <v>20.0</v>
      </c>
    </row>
    <row r="2335" ht="17.25" customHeight="1">
      <c r="A2335" s="51">
        <v>46267.613174976854</v>
      </c>
      <c r="B2335" s="55" t="s">
        <v>562</v>
      </c>
      <c r="C2335" s="55" t="s">
        <v>1892</v>
      </c>
      <c r="D2335" s="240">
        <v>46267.613158692126</v>
      </c>
      <c r="E2335" s="52">
        <v>3.0</v>
      </c>
      <c r="F2335" s="55" t="s">
        <v>2394</v>
      </c>
      <c r="G2335" s="55" t="s">
        <v>2519</v>
      </c>
      <c r="H2335" s="55"/>
      <c r="I2335" s="26" t="s">
        <v>567</v>
      </c>
      <c r="J2335" s="26" t="s">
        <v>1812</v>
      </c>
      <c r="K2335" s="26" t="s">
        <v>1815</v>
      </c>
      <c r="L2335" s="26" t="s">
        <v>1566</v>
      </c>
      <c r="M2335" s="26" t="s">
        <v>1566</v>
      </c>
      <c r="N2335" s="26" t="s">
        <v>1566</v>
      </c>
      <c r="O2335" s="26" t="s">
        <v>1838</v>
      </c>
      <c r="P2335" s="26" t="s">
        <v>616</v>
      </c>
      <c r="Q2335" s="26">
        <v>4.0</v>
      </c>
    </row>
    <row r="2336" ht="17.25" customHeight="1">
      <c r="A2336" s="51">
        <v>46267.61958949074</v>
      </c>
      <c r="B2336" s="55" t="s">
        <v>32</v>
      </c>
      <c r="C2336" s="55" t="s">
        <v>1560</v>
      </c>
      <c r="D2336" s="240">
        <v>46267.613158692126</v>
      </c>
      <c r="E2336" s="52">
        <v>2.0</v>
      </c>
      <c r="F2336" s="55" t="s">
        <v>2394</v>
      </c>
      <c r="G2336" s="55"/>
      <c r="H2336" s="55"/>
      <c r="I2336" s="26" t="s">
        <v>34</v>
      </c>
      <c r="J2336" s="26" t="s">
        <v>1807</v>
      </c>
      <c r="K2336" s="26" t="s">
        <v>1807</v>
      </c>
      <c r="L2336" s="26" t="s">
        <v>1566</v>
      </c>
      <c r="M2336" s="26" t="s">
        <v>1566</v>
      </c>
      <c r="N2336" s="26" t="s">
        <v>1566</v>
      </c>
      <c r="O2336" s="26" t="s">
        <v>1808</v>
      </c>
      <c r="P2336" s="26" t="s">
        <v>290</v>
      </c>
      <c r="Q2336" s="26">
        <v>7.0</v>
      </c>
    </row>
    <row r="2337" ht="17.25" customHeight="1">
      <c r="A2337" s="51">
        <v>46267.676186192126</v>
      </c>
      <c r="B2337" s="25" t="s">
        <v>91</v>
      </c>
      <c r="C2337" s="55" t="s">
        <v>1892</v>
      </c>
      <c r="D2337" s="240">
        <v>46267.613158692126</v>
      </c>
      <c r="E2337" s="52">
        <v>600.0</v>
      </c>
      <c r="F2337" s="55" t="s">
        <v>2394</v>
      </c>
      <c r="G2337" s="55" t="s">
        <v>2096</v>
      </c>
      <c r="H2337" s="55"/>
      <c r="I2337" s="26" t="s">
        <v>92</v>
      </c>
      <c r="J2337" s="26" t="s">
        <v>1225</v>
      </c>
      <c r="K2337" s="26" t="s">
        <v>1562</v>
      </c>
      <c r="L2337" s="26" t="s">
        <v>1576</v>
      </c>
      <c r="M2337" s="26" t="s">
        <v>1572</v>
      </c>
      <c r="N2337" s="26" t="s">
        <v>1566</v>
      </c>
      <c r="O2337" s="26" t="s">
        <v>1566</v>
      </c>
      <c r="P2337" s="26" t="s">
        <v>22</v>
      </c>
      <c r="Q2337" s="26">
        <v>1400.0</v>
      </c>
    </row>
    <row r="2338" ht="17.25" customHeight="1">
      <c r="A2338" s="51">
        <v>46267.69167804398</v>
      </c>
      <c r="B2338" s="55" t="s">
        <v>546</v>
      </c>
      <c r="C2338" s="55" t="s">
        <v>1560</v>
      </c>
      <c r="D2338" s="240">
        <v>46255.0</v>
      </c>
      <c r="E2338" s="52">
        <v>3945.0</v>
      </c>
      <c r="F2338" s="55" t="s">
        <v>2394</v>
      </c>
      <c r="G2338" s="55" t="s">
        <v>2520</v>
      </c>
      <c r="H2338" s="55"/>
      <c r="I2338" s="26" t="s">
        <v>547</v>
      </c>
      <c r="J2338" s="26" t="s">
        <v>1225</v>
      </c>
      <c r="K2338" s="26" t="s">
        <v>1562</v>
      </c>
      <c r="L2338" s="26" t="s">
        <v>1619</v>
      </c>
      <c r="M2338" s="26" t="s">
        <v>1564</v>
      </c>
      <c r="N2338" s="26" t="s">
        <v>1571</v>
      </c>
      <c r="O2338" s="26" t="s">
        <v>1566</v>
      </c>
      <c r="P2338" s="26" t="s">
        <v>22</v>
      </c>
      <c r="Q2338" s="26">
        <v>2400.0</v>
      </c>
    </row>
    <row r="2339" ht="17.25" customHeight="1">
      <c r="A2339" s="51">
        <v>46267.691696145834</v>
      </c>
      <c r="B2339" s="55" t="s">
        <v>573</v>
      </c>
      <c r="C2339" s="55" t="s">
        <v>1560</v>
      </c>
      <c r="D2339" s="240">
        <v>46255.0</v>
      </c>
      <c r="E2339" s="52">
        <v>1600.0</v>
      </c>
      <c r="F2339" s="55" t="s">
        <v>2394</v>
      </c>
      <c r="G2339" s="55" t="s">
        <v>2520</v>
      </c>
      <c r="H2339" s="55" t="s">
        <v>578</v>
      </c>
      <c r="I2339" s="26" t="s">
        <v>575</v>
      </c>
      <c r="J2339" s="26" t="s">
        <v>1225</v>
      </c>
      <c r="K2339" s="26" t="s">
        <v>1562</v>
      </c>
      <c r="L2339" s="26" t="s">
        <v>1587</v>
      </c>
      <c r="M2339" s="26" t="s">
        <v>1564</v>
      </c>
      <c r="N2339" s="26" t="s">
        <v>1571</v>
      </c>
      <c r="O2339" s="26" t="s">
        <v>1566</v>
      </c>
      <c r="P2339" s="26" t="s">
        <v>22</v>
      </c>
      <c r="Q2339" s="26">
        <v>0.0</v>
      </c>
    </row>
    <row r="2340" ht="17.25" customHeight="1">
      <c r="A2340" s="51">
        <v>46267.691705694444</v>
      </c>
      <c r="B2340" s="55" t="s">
        <v>734</v>
      </c>
      <c r="C2340" s="55" t="s">
        <v>1560</v>
      </c>
      <c r="D2340" s="240">
        <v>46255.0</v>
      </c>
      <c r="E2340" s="52">
        <v>2560.0</v>
      </c>
      <c r="F2340" s="55" t="s">
        <v>2394</v>
      </c>
      <c r="G2340" s="55" t="s">
        <v>2520</v>
      </c>
      <c r="H2340" s="55"/>
      <c r="I2340" s="26" t="s">
        <v>736</v>
      </c>
      <c r="J2340" s="26" t="s">
        <v>1225</v>
      </c>
      <c r="K2340" s="26" t="s">
        <v>1562</v>
      </c>
      <c r="L2340" s="26" t="s">
        <v>1591</v>
      </c>
      <c r="M2340" s="26" t="s">
        <v>1564</v>
      </c>
      <c r="N2340" s="26" t="s">
        <v>1566</v>
      </c>
      <c r="O2340" s="26" t="s">
        <v>1566</v>
      </c>
      <c r="P2340" s="26" t="s">
        <v>22</v>
      </c>
      <c r="Q2340" s="26">
        <v>1000.0</v>
      </c>
    </row>
    <row r="2341" ht="17.25" customHeight="1">
      <c r="A2341" s="51">
        <v>46267.69375116898</v>
      </c>
      <c r="B2341" s="55" t="s">
        <v>546</v>
      </c>
      <c r="C2341" s="55" t="s">
        <v>1892</v>
      </c>
      <c r="D2341" s="240">
        <v>46267.0</v>
      </c>
      <c r="E2341" s="52">
        <v>1545.0</v>
      </c>
      <c r="F2341" s="55" t="s">
        <v>24</v>
      </c>
      <c r="G2341" s="55" t="s">
        <v>2521</v>
      </c>
      <c r="H2341" s="55" t="s">
        <v>549</v>
      </c>
      <c r="I2341" s="26" t="s">
        <v>547</v>
      </c>
      <c r="J2341" s="26" t="s">
        <v>1225</v>
      </c>
      <c r="K2341" s="26" t="s">
        <v>1562</v>
      </c>
      <c r="L2341" s="26" t="s">
        <v>1619</v>
      </c>
      <c r="M2341" s="26" t="s">
        <v>1564</v>
      </c>
      <c r="N2341" s="26" t="s">
        <v>1571</v>
      </c>
      <c r="O2341" s="26" t="s">
        <v>1566</v>
      </c>
      <c r="P2341" s="26" t="s">
        <v>22</v>
      </c>
      <c r="Q2341" s="26">
        <v>2400.0</v>
      </c>
    </row>
    <row r="2342" ht="17.25" customHeight="1">
      <c r="A2342" s="51">
        <v>46267.694369108794</v>
      </c>
      <c r="B2342" s="23" t="s">
        <v>622</v>
      </c>
      <c r="C2342" s="55" t="s">
        <v>1560</v>
      </c>
      <c r="D2342" s="240">
        <v>46267.0</v>
      </c>
      <c r="E2342" s="52">
        <v>20.0</v>
      </c>
      <c r="F2342" s="55" t="s">
        <v>2394</v>
      </c>
      <c r="G2342" s="55"/>
      <c r="H2342" s="55"/>
      <c r="I2342" s="26" t="s">
        <v>623</v>
      </c>
      <c r="J2342" s="26" t="s">
        <v>1812</v>
      </c>
      <c r="K2342" s="26" t="s">
        <v>1815</v>
      </c>
      <c r="L2342" s="26" t="s">
        <v>1566</v>
      </c>
      <c r="M2342" s="26" t="s">
        <v>1566</v>
      </c>
      <c r="N2342" s="26" t="s">
        <v>1566</v>
      </c>
      <c r="O2342" s="26" t="s">
        <v>1817</v>
      </c>
      <c r="P2342" s="26" t="s">
        <v>616</v>
      </c>
      <c r="Q2342" s="26">
        <v>20.0</v>
      </c>
    </row>
    <row r="2343" ht="17.25" customHeight="1">
      <c r="A2343" s="51">
        <v>46267.71800140046</v>
      </c>
      <c r="B2343" s="55" t="s">
        <v>942</v>
      </c>
      <c r="C2343" s="55" t="s">
        <v>1892</v>
      </c>
      <c r="D2343" s="240">
        <v>46267.71798785879</v>
      </c>
      <c r="E2343" s="52">
        <v>2500.0</v>
      </c>
      <c r="F2343" s="55" t="s">
        <v>2394</v>
      </c>
      <c r="G2343" s="55" t="s">
        <v>2522</v>
      </c>
      <c r="H2343" s="55"/>
      <c r="I2343" s="26" t="s">
        <v>943</v>
      </c>
      <c r="J2343" s="26" t="s">
        <v>1225</v>
      </c>
      <c r="K2343" s="26" t="s">
        <v>1562</v>
      </c>
      <c r="L2343" s="26" t="s">
        <v>1591</v>
      </c>
      <c r="M2343" s="26" t="s">
        <v>1575</v>
      </c>
      <c r="N2343" s="26" t="s">
        <v>1566</v>
      </c>
      <c r="O2343" s="26" t="s">
        <v>1566</v>
      </c>
      <c r="P2343" s="26" t="s">
        <v>22</v>
      </c>
      <c r="Q2343" s="26">
        <v>900.0</v>
      </c>
    </row>
    <row r="2344" ht="17.25" customHeight="1">
      <c r="A2344" s="51">
        <v>46267.720464479164</v>
      </c>
      <c r="B2344" s="55" t="s">
        <v>104</v>
      </c>
      <c r="C2344" s="55" t="s">
        <v>1892</v>
      </c>
      <c r="D2344" s="240">
        <v>46267.72045259259</v>
      </c>
      <c r="E2344" s="52">
        <v>1600.0</v>
      </c>
      <c r="F2344" s="55" t="s">
        <v>2394</v>
      </c>
      <c r="G2344" s="55" t="s">
        <v>2523</v>
      </c>
      <c r="H2344" s="55"/>
      <c r="I2344" s="26" t="s">
        <v>106</v>
      </c>
      <c r="J2344" s="26" t="s">
        <v>1225</v>
      </c>
      <c r="K2344" s="26" t="s">
        <v>1562</v>
      </c>
      <c r="L2344" s="26" t="s">
        <v>1582</v>
      </c>
      <c r="M2344" s="26" t="s">
        <v>1607</v>
      </c>
      <c r="N2344" s="26" t="s">
        <v>1571</v>
      </c>
      <c r="O2344" s="26" t="s">
        <v>1566</v>
      </c>
      <c r="P2344" s="26" t="s">
        <v>22</v>
      </c>
      <c r="Q2344" s="26">
        <v>1000.0</v>
      </c>
    </row>
    <row r="2345" ht="17.25" customHeight="1">
      <c r="A2345" s="51">
        <v>46267.72953577546</v>
      </c>
      <c r="B2345" s="55" t="s">
        <v>359</v>
      </c>
      <c r="C2345" s="55" t="s">
        <v>1892</v>
      </c>
      <c r="D2345" s="240">
        <v>46267.72951038195</v>
      </c>
      <c r="E2345" s="52">
        <v>173.0</v>
      </c>
      <c r="F2345" s="55" t="s">
        <v>2394</v>
      </c>
      <c r="G2345" s="55" t="s">
        <v>2524</v>
      </c>
      <c r="H2345" s="55"/>
      <c r="I2345" s="26" t="s">
        <v>370</v>
      </c>
      <c r="J2345" s="26" t="s">
        <v>370</v>
      </c>
      <c r="K2345" s="26" t="s">
        <v>370</v>
      </c>
      <c r="L2345" s="26" t="s">
        <v>1566</v>
      </c>
      <c r="M2345" s="26" t="s">
        <v>1566</v>
      </c>
      <c r="N2345" s="26" t="s">
        <v>1566</v>
      </c>
      <c r="O2345" s="26" t="s">
        <v>1566</v>
      </c>
      <c r="P2345" s="26" t="s">
        <v>661</v>
      </c>
      <c r="Q2345" s="26">
        <v>100.0</v>
      </c>
    </row>
    <row r="2346" ht="17.25" customHeight="1">
      <c r="A2346" s="51">
        <v>46267.76795045139</v>
      </c>
      <c r="B2346" s="55" t="s">
        <v>584</v>
      </c>
      <c r="C2346" s="55" t="s">
        <v>1560</v>
      </c>
      <c r="D2346" s="240">
        <v>46267.0</v>
      </c>
      <c r="E2346" s="52">
        <v>5300.0</v>
      </c>
      <c r="F2346" s="55" t="s">
        <v>2394</v>
      </c>
      <c r="G2346" s="55" t="s">
        <v>2525</v>
      </c>
      <c r="H2346" s="55" t="s">
        <v>587</v>
      </c>
      <c r="I2346" s="26" t="s">
        <v>585</v>
      </c>
      <c r="J2346" s="26" t="s">
        <v>1225</v>
      </c>
      <c r="K2346" s="26" t="s">
        <v>1562</v>
      </c>
      <c r="L2346" s="26" t="s">
        <v>585</v>
      </c>
      <c r="M2346" s="26" t="s">
        <v>1564</v>
      </c>
      <c r="N2346" s="26" t="s">
        <v>1566</v>
      </c>
      <c r="O2346" s="26" t="s">
        <v>1566</v>
      </c>
      <c r="P2346" s="26" t="s">
        <v>22</v>
      </c>
      <c r="Q2346" s="26">
        <v>0.0</v>
      </c>
    </row>
    <row r="2347" ht="17.25" customHeight="1">
      <c r="A2347" s="51">
        <v>46267.770157708335</v>
      </c>
      <c r="B2347" s="55" t="s">
        <v>1445</v>
      </c>
      <c r="C2347" s="55" t="s">
        <v>1560</v>
      </c>
      <c r="D2347" s="240">
        <v>46267.0</v>
      </c>
      <c r="E2347" s="52">
        <v>60000.0</v>
      </c>
      <c r="F2347" s="55" t="s">
        <v>2394</v>
      </c>
      <c r="G2347" s="55" t="s">
        <v>2526</v>
      </c>
      <c r="H2347" s="55" t="s">
        <v>1448</v>
      </c>
      <c r="I2347" s="26" t="s">
        <v>1446</v>
      </c>
      <c r="J2347" s="26" t="s">
        <v>1225</v>
      </c>
      <c r="K2347" s="26" t="s">
        <v>1642</v>
      </c>
      <c r="L2347" s="26" t="s">
        <v>1563</v>
      </c>
      <c r="M2347" s="26" t="s">
        <v>2208</v>
      </c>
      <c r="N2347" s="26" t="s">
        <v>1566</v>
      </c>
      <c r="O2347" s="26" t="s">
        <v>1566</v>
      </c>
      <c r="P2347" s="26" t="s">
        <v>22</v>
      </c>
      <c r="Q2347" s="26">
        <v>60000.0</v>
      </c>
    </row>
    <row r="2348" ht="17.25" customHeight="1">
      <c r="A2348" s="51">
        <v>46268.420408668986</v>
      </c>
      <c r="B2348" s="55" t="s">
        <v>301</v>
      </c>
      <c r="C2348" s="55" t="s">
        <v>1892</v>
      </c>
      <c r="D2348" s="240">
        <v>46268.0</v>
      </c>
      <c r="E2348" s="52">
        <v>15.0</v>
      </c>
      <c r="F2348" s="55" t="s">
        <v>24</v>
      </c>
      <c r="G2348" s="55"/>
      <c r="H2348" s="55"/>
      <c r="I2348" s="26" t="s">
        <v>302</v>
      </c>
      <c r="J2348" s="26" t="s">
        <v>1830</v>
      </c>
      <c r="K2348" s="26" t="s">
        <v>302</v>
      </c>
      <c r="L2348" s="26" t="s">
        <v>1566</v>
      </c>
      <c r="M2348" s="26" t="s">
        <v>1566</v>
      </c>
      <c r="N2348" s="26" t="s">
        <v>1566</v>
      </c>
      <c r="O2348" s="26" t="s">
        <v>1566</v>
      </c>
      <c r="P2348" s="26" t="s">
        <v>661</v>
      </c>
      <c r="Q2348" s="26">
        <v>580.0</v>
      </c>
    </row>
    <row r="2349" ht="17.25" customHeight="1">
      <c r="A2349" s="51">
        <v>46268.42067796296</v>
      </c>
      <c r="B2349" s="55" t="s">
        <v>301</v>
      </c>
      <c r="C2349" s="55" t="s">
        <v>1892</v>
      </c>
      <c r="D2349" s="240">
        <v>46268.0</v>
      </c>
      <c r="E2349" s="52">
        <v>11.0</v>
      </c>
      <c r="F2349" s="55" t="s">
        <v>36</v>
      </c>
      <c r="G2349" s="55"/>
      <c r="H2349" s="55"/>
      <c r="I2349" s="26" t="s">
        <v>302</v>
      </c>
      <c r="J2349" s="26" t="s">
        <v>1830</v>
      </c>
      <c r="K2349" s="26" t="s">
        <v>302</v>
      </c>
      <c r="L2349" s="26" t="s">
        <v>1566</v>
      </c>
      <c r="M2349" s="26" t="s">
        <v>1566</v>
      </c>
      <c r="N2349" s="26" t="s">
        <v>1566</v>
      </c>
      <c r="O2349" s="26" t="s">
        <v>1566</v>
      </c>
      <c r="P2349" s="26" t="s">
        <v>661</v>
      </c>
      <c r="Q2349" s="26">
        <v>580.0</v>
      </c>
    </row>
    <row r="2350" ht="17.25" customHeight="1">
      <c r="A2350" s="51">
        <v>46268.42110237268</v>
      </c>
      <c r="B2350" s="55" t="s">
        <v>301</v>
      </c>
      <c r="C2350" s="55" t="s">
        <v>1892</v>
      </c>
      <c r="D2350" s="240">
        <v>46268.42108665509</v>
      </c>
      <c r="E2350" s="52">
        <v>414.0</v>
      </c>
      <c r="F2350" s="55" t="s">
        <v>2394</v>
      </c>
      <c r="G2350" s="55" t="s">
        <v>2527</v>
      </c>
      <c r="H2350" s="55"/>
      <c r="I2350" s="26" t="s">
        <v>302</v>
      </c>
      <c r="J2350" s="26" t="s">
        <v>1830</v>
      </c>
      <c r="K2350" s="26" t="s">
        <v>302</v>
      </c>
      <c r="L2350" s="26" t="s">
        <v>1566</v>
      </c>
      <c r="M2350" s="26" t="s">
        <v>1566</v>
      </c>
      <c r="N2350" s="26" t="s">
        <v>1566</v>
      </c>
      <c r="O2350" s="26" t="s">
        <v>1566</v>
      </c>
      <c r="P2350" s="26" t="s">
        <v>661</v>
      </c>
      <c r="Q2350" s="26">
        <v>580.0</v>
      </c>
    </row>
    <row r="2351" ht="17.25" customHeight="1">
      <c r="A2351" s="51">
        <v>46268.42383755787</v>
      </c>
      <c r="B2351" s="250" t="s">
        <v>41</v>
      </c>
      <c r="C2351" s="55" t="s">
        <v>1892</v>
      </c>
      <c r="D2351" s="252">
        <v>46266.42108796296</v>
      </c>
      <c r="E2351" s="52">
        <v>1600.0</v>
      </c>
      <c r="F2351" s="55" t="s">
        <v>2394</v>
      </c>
      <c r="G2351" s="55"/>
      <c r="H2351" s="55" t="s">
        <v>1898</v>
      </c>
      <c r="I2351" s="26" t="s">
        <v>42</v>
      </c>
      <c r="J2351" s="26" t="s">
        <v>1225</v>
      </c>
      <c r="K2351" s="26" t="s">
        <v>1562</v>
      </c>
      <c r="L2351" s="26" t="s">
        <v>1576</v>
      </c>
      <c r="M2351" s="26" t="s">
        <v>1575</v>
      </c>
      <c r="N2351" s="26" t="s">
        <v>1571</v>
      </c>
      <c r="O2351" s="26" t="s">
        <v>1566</v>
      </c>
      <c r="P2351" s="26" t="s">
        <v>22</v>
      </c>
      <c r="Q2351" s="26">
        <v>200.0</v>
      </c>
    </row>
    <row r="2352" ht="17.25" customHeight="1">
      <c r="A2352" s="51">
        <v>46268.42416005787</v>
      </c>
      <c r="B2352" s="250" t="s">
        <v>41</v>
      </c>
      <c r="C2352" s="55" t="s">
        <v>1892</v>
      </c>
      <c r="D2352" s="252">
        <v>46266.42108796296</v>
      </c>
      <c r="E2352" s="52">
        <v>200.0</v>
      </c>
      <c r="F2352" s="55" t="s">
        <v>2394</v>
      </c>
      <c r="G2352" s="55"/>
      <c r="H2352" s="55" t="s">
        <v>2528</v>
      </c>
      <c r="I2352" s="26" t="s">
        <v>42</v>
      </c>
      <c r="J2352" s="26" t="s">
        <v>1225</v>
      </c>
      <c r="K2352" s="26" t="s">
        <v>1562</v>
      </c>
      <c r="L2352" s="26" t="s">
        <v>1576</v>
      </c>
      <c r="M2352" s="26" t="s">
        <v>1575</v>
      </c>
      <c r="N2352" s="26" t="s">
        <v>1571</v>
      </c>
      <c r="O2352" s="26" t="s">
        <v>1566</v>
      </c>
      <c r="P2352" s="26" t="s">
        <v>22</v>
      </c>
      <c r="Q2352" s="26">
        <v>200.0</v>
      </c>
    </row>
    <row r="2353" ht="17.25" customHeight="1">
      <c r="A2353" s="51">
        <v>46268.42506271991</v>
      </c>
      <c r="B2353" s="55" t="s">
        <v>74</v>
      </c>
      <c r="C2353" s="55" t="s">
        <v>1892</v>
      </c>
      <c r="D2353" s="240">
        <v>46268.42504959491</v>
      </c>
      <c r="E2353" s="52">
        <v>150.0</v>
      </c>
      <c r="F2353" s="55" t="s">
        <v>2394</v>
      </c>
      <c r="G2353" s="55" t="s">
        <v>2529</v>
      </c>
      <c r="H2353" s="55"/>
      <c r="I2353" s="26" t="s">
        <v>75</v>
      </c>
      <c r="J2353" s="26" t="s">
        <v>1225</v>
      </c>
      <c r="K2353" s="26" t="s">
        <v>1562</v>
      </c>
      <c r="L2353" s="26" t="s">
        <v>1591</v>
      </c>
      <c r="M2353" s="26" t="s">
        <v>1597</v>
      </c>
      <c r="N2353" s="26" t="s">
        <v>1566</v>
      </c>
      <c r="O2353" s="26" t="s">
        <v>1566</v>
      </c>
      <c r="P2353" s="26" t="s">
        <v>22</v>
      </c>
      <c r="Q2353" s="26">
        <v>0.0</v>
      </c>
    </row>
    <row r="2354" ht="17.25" customHeight="1">
      <c r="A2354" s="51">
        <v>46268.42590459491</v>
      </c>
      <c r="B2354" s="55" t="s">
        <v>32</v>
      </c>
      <c r="C2354" s="55" t="s">
        <v>1892</v>
      </c>
      <c r="D2354" s="240">
        <v>46268.0</v>
      </c>
      <c r="E2354" s="52">
        <v>2.0</v>
      </c>
      <c r="F2354" s="55" t="s">
        <v>36</v>
      </c>
      <c r="G2354" s="55"/>
      <c r="H2354" s="55"/>
      <c r="I2354" s="26" t="s">
        <v>34</v>
      </c>
      <c r="J2354" s="26" t="s">
        <v>1807</v>
      </c>
      <c r="K2354" s="26" t="s">
        <v>1807</v>
      </c>
      <c r="L2354" s="26" t="s">
        <v>1566</v>
      </c>
      <c r="M2354" s="26" t="s">
        <v>1566</v>
      </c>
      <c r="N2354" s="26" t="s">
        <v>1566</v>
      </c>
      <c r="O2354" s="26" t="s">
        <v>1808</v>
      </c>
      <c r="P2354" s="26" t="s">
        <v>290</v>
      </c>
      <c r="Q2354" s="26">
        <v>7.0</v>
      </c>
    </row>
    <row r="2355" ht="17.25" customHeight="1">
      <c r="A2355" s="51">
        <v>46268.49074862269</v>
      </c>
      <c r="B2355" s="55" t="s">
        <v>640</v>
      </c>
      <c r="C2355" s="55" t="s">
        <v>1892</v>
      </c>
      <c r="D2355" s="240">
        <v>46268.49071982639</v>
      </c>
      <c r="E2355" s="52">
        <v>4.0</v>
      </c>
      <c r="F2355" s="55" t="s">
        <v>2394</v>
      </c>
      <c r="G2355" s="55" t="s">
        <v>2530</v>
      </c>
      <c r="H2355" s="55"/>
      <c r="I2355" s="26" t="s">
        <v>641</v>
      </c>
      <c r="J2355" s="26" t="s">
        <v>1812</v>
      </c>
      <c r="K2355" s="26" t="s">
        <v>1815</v>
      </c>
      <c r="L2355" s="26" t="s">
        <v>1566</v>
      </c>
      <c r="M2355" s="26" t="s">
        <v>1566</v>
      </c>
      <c r="N2355" s="26" t="s">
        <v>1566</v>
      </c>
      <c r="O2355" s="26" t="s">
        <v>1566</v>
      </c>
      <c r="P2355" s="26" t="s">
        <v>643</v>
      </c>
      <c r="Q2355" s="26">
        <v>3.0</v>
      </c>
    </row>
    <row r="2356" ht="17.25" customHeight="1">
      <c r="A2356" s="51">
        <v>46268.49158564815</v>
      </c>
      <c r="B2356" s="55" t="s">
        <v>598</v>
      </c>
      <c r="C2356" s="55" t="s">
        <v>1892</v>
      </c>
      <c r="D2356" s="240">
        <v>46268.49071982639</v>
      </c>
      <c r="E2356" s="52">
        <v>5.0</v>
      </c>
      <c r="F2356" s="55" t="s">
        <v>36</v>
      </c>
      <c r="G2356" s="55"/>
      <c r="H2356" s="55"/>
      <c r="I2356" s="26" t="s">
        <v>604</v>
      </c>
      <c r="J2356" s="26" t="s">
        <v>1812</v>
      </c>
      <c r="K2356" s="26" t="s">
        <v>1815</v>
      </c>
      <c r="L2356" s="26" t="s">
        <v>1566</v>
      </c>
      <c r="M2356" s="26" t="s">
        <v>1566</v>
      </c>
      <c r="N2356" s="26" t="s">
        <v>1566</v>
      </c>
      <c r="O2356" s="26" t="s">
        <v>1812</v>
      </c>
      <c r="P2356" s="26" t="s">
        <v>616</v>
      </c>
      <c r="Q2356" s="26">
        <v>15.0</v>
      </c>
    </row>
    <row r="2357" ht="17.25" customHeight="1">
      <c r="A2357" s="51">
        <v>46270.653320474536</v>
      </c>
      <c r="B2357" s="55" t="s">
        <v>593</v>
      </c>
      <c r="C2357" s="55" t="s">
        <v>1560</v>
      </c>
      <c r="D2357" s="240">
        <v>46269.0</v>
      </c>
      <c r="E2357" s="52">
        <v>1200.0</v>
      </c>
      <c r="F2357" s="55" t="s">
        <v>2394</v>
      </c>
      <c r="G2357" s="55" t="s">
        <v>2531</v>
      </c>
      <c r="H2357" s="55" t="s">
        <v>596</v>
      </c>
      <c r="I2357" s="26" t="s">
        <v>594</v>
      </c>
      <c r="J2357" s="26" t="s">
        <v>1225</v>
      </c>
      <c r="K2357" s="26" t="s">
        <v>1562</v>
      </c>
      <c r="L2357" s="26" t="s">
        <v>1591</v>
      </c>
      <c r="M2357" s="26" t="s">
        <v>2049</v>
      </c>
      <c r="N2357" s="26" t="s">
        <v>1566</v>
      </c>
      <c r="O2357" s="26" t="s">
        <v>1566</v>
      </c>
      <c r="P2357" s="26" t="s">
        <v>22</v>
      </c>
      <c r="Q2357" s="26">
        <v>0.0</v>
      </c>
    </row>
    <row r="2358" ht="17.25" customHeight="1">
      <c r="A2358" s="51">
        <v>46270.653337916665</v>
      </c>
      <c r="B2358" s="55" t="s">
        <v>41</v>
      </c>
      <c r="C2358" s="55" t="s">
        <v>1560</v>
      </c>
      <c r="D2358" s="240">
        <v>46269.0</v>
      </c>
      <c r="E2358" s="52">
        <v>3100.0</v>
      </c>
      <c r="F2358" s="55" t="s">
        <v>2394</v>
      </c>
      <c r="G2358" s="55" t="s">
        <v>2531</v>
      </c>
      <c r="H2358" s="55" t="s">
        <v>606</v>
      </c>
      <c r="I2358" s="26" t="s">
        <v>42</v>
      </c>
      <c r="J2358" s="26" t="s">
        <v>1225</v>
      </c>
      <c r="K2358" s="26" t="s">
        <v>1562</v>
      </c>
      <c r="L2358" s="26" t="s">
        <v>1576</v>
      </c>
      <c r="M2358" s="26" t="s">
        <v>1575</v>
      </c>
      <c r="N2358" s="26" t="s">
        <v>1571</v>
      </c>
      <c r="O2358" s="26" t="s">
        <v>1566</v>
      </c>
      <c r="P2358" s="26" t="s">
        <v>22</v>
      </c>
      <c r="Q2358" s="26">
        <v>200.0</v>
      </c>
    </row>
    <row r="2359" ht="17.25" customHeight="1">
      <c r="A2359" s="51">
        <v>46270.65335314815</v>
      </c>
      <c r="B2359" s="55" t="s">
        <v>87</v>
      </c>
      <c r="C2359" s="55" t="s">
        <v>1560</v>
      </c>
      <c r="D2359" s="240">
        <v>46269.0</v>
      </c>
      <c r="E2359" s="52">
        <v>800.0</v>
      </c>
      <c r="F2359" s="55" t="s">
        <v>2394</v>
      </c>
      <c r="G2359" s="55" t="s">
        <v>2531</v>
      </c>
      <c r="H2359" s="55" t="s">
        <v>1455</v>
      </c>
      <c r="I2359" s="26" t="s">
        <v>88</v>
      </c>
      <c r="J2359" s="26" t="s">
        <v>1225</v>
      </c>
      <c r="K2359" s="26" t="s">
        <v>1562</v>
      </c>
      <c r="L2359" s="26" t="s">
        <v>1633</v>
      </c>
      <c r="M2359" s="26" t="s">
        <v>1575</v>
      </c>
      <c r="N2359" s="26" t="s">
        <v>1590</v>
      </c>
      <c r="O2359" s="26" t="s">
        <v>2160</v>
      </c>
      <c r="P2359" s="26" t="s">
        <v>22</v>
      </c>
      <c r="Q2359" s="26">
        <v>800.0</v>
      </c>
    </row>
    <row r="2360" ht="17.25" customHeight="1">
      <c r="A2360" s="51">
        <v>46270.65336790509</v>
      </c>
      <c r="B2360" s="55" t="s">
        <v>79</v>
      </c>
      <c r="C2360" s="55" t="s">
        <v>1560</v>
      </c>
      <c r="D2360" s="240">
        <v>46269.0</v>
      </c>
      <c r="E2360" s="52">
        <v>1100.0</v>
      </c>
      <c r="F2360" s="55" t="s">
        <v>2394</v>
      </c>
      <c r="G2360" s="55" t="s">
        <v>2531</v>
      </c>
      <c r="H2360" s="55" t="s">
        <v>613</v>
      </c>
      <c r="I2360" s="26" t="s">
        <v>80</v>
      </c>
      <c r="J2360" s="26" t="s">
        <v>1225</v>
      </c>
      <c r="K2360" s="26" t="s">
        <v>1562</v>
      </c>
      <c r="L2360" s="26" t="s">
        <v>1563</v>
      </c>
      <c r="M2360" s="26" t="s">
        <v>1575</v>
      </c>
      <c r="N2360" s="26" t="s">
        <v>1566</v>
      </c>
      <c r="O2360" s="26" t="s">
        <v>1566</v>
      </c>
      <c r="P2360" s="26" t="s">
        <v>22</v>
      </c>
      <c r="Q2360" s="26">
        <v>700.0</v>
      </c>
    </row>
    <row r="2361" ht="17.25" customHeight="1">
      <c r="A2361" s="51">
        <v>46270.657463449075</v>
      </c>
      <c r="B2361" s="55" t="s">
        <v>573</v>
      </c>
      <c r="C2361" s="55" t="s">
        <v>1892</v>
      </c>
      <c r="D2361" s="240">
        <v>46270.0</v>
      </c>
      <c r="E2361" s="52">
        <v>1600.0</v>
      </c>
      <c r="F2361" s="55" t="s">
        <v>24</v>
      </c>
      <c r="G2361" s="55"/>
      <c r="H2361" s="55" t="s">
        <v>578</v>
      </c>
      <c r="I2361" s="26" t="s">
        <v>575</v>
      </c>
      <c r="J2361" s="26" t="s">
        <v>1225</v>
      </c>
      <c r="K2361" s="26" t="s">
        <v>1562</v>
      </c>
      <c r="L2361" s="26" t="s">
        <v>1587</v>
      </c>
      <c r="M2361" s="26" t="s">
        <v>1564</v>
      </c>
      <c r="N2361" s="26" t="s">
        <v>1571</v>
      </c>
      <c r="O2361" s="26" t="s">
        <v>1566</v>
      </c>
      <c r="P2361" s="26" t="s">
        <v>22</v>
      </c>
      <c r="Q2361" s="26">
        <v>0.0</v>
      </c>
    </row>
    <row r="2362" ht="17.25" customHeight="1">
      <c r="A2362" s="51">
        <v>46270.65753369213</v>
      </c>
      <c r="B2362" s="55" t="s">
        <v>584</v>
      </c>
      <c r="C2362" s="55" t="s">
        <v>1892</v>
      </c>
      <c r="D2362" s="240">
        <v>46270.0</v>
      </c>
      <c r="E2362" s="52">
        <v>5300.0</v>
      </c>
      <c r="F2362" s="55" t="s">
        <v>24</v>
      </c>
      <c r="G2362" s="55"/>
      <c r="H2362" s="55" t="s">
        <v>587</v>
      </c>
      <c r="I2362" s="26" t="s">
        <v>585</v>
      </c>
      <c r="J2362" s="26" t="s">
        <v>1225</v>
      </c>
      <c r="K2362" s="26" t="s">
        <v>1562</v>
      </c>
      <c r="L2362" s="26" t="s">
        <v>585</v>
      </c>
      <c r="M2362" s="26" t="s">
        <v>1564</v>
      </c>
      <c r="N2362" s="26" t="s">
        <v>1566</v>
      </c>
      <c r="O2362" s="26" t="s">
        <v>1566</v>
      </c>
      <c r="P2362" s="26" t="s">
        <v>22</v>
      </c>
      <c r="Q2362" s="26">
        <v>0.0</v>
      </c>
    </row>
    <row r="2363" ht="17.25" customHeight="1">
      <c r="A2363" s="51">
        <v>46270.65760740741</v>
      </c>
      <c r="B2363" s="55" t="s">
        <v>593</v>
      </c>
      <c r="C2363" s="55" t="s">
        <v>1892</v>
      </c>
      <c r="D2363" s="240">
        <v>46270.0</v>
      </c>
      <c r="E2363" s="52">
        <v>1200.0</v>
      </c>
      <c r="F2363" s="55" t="s">
        <v>24</v>
      </c>
      <c r="G2363" s="55"/>
      <c r="H2363" s="55" t="s">
        <v>596</v>
      </c>
      <c r="I2363" s="26" t="s">
        <v>594</v>
      </c>
      <c r="J2363" s="26" t="s">
        <v>1225</v>
      </c>
      <c r="K2363" s="26" t="s">
        <v>1562</v>
      </c>
      <c r="L2363" s="26" t="s">
        <v>1591</v>
      </c>
      <c r="M2363" s="26" t="s">
        <v>2049</v>
      </c>
      <c r="N2363" s="26" t="s">
        <v>1566</v>
      </c>
      <c r="O2363" s="26" t="s">
        <v>1566</v>
      </c>
      <c r="P2363" s="26" t="s">
        <v>22</v>
      </c>
      <c r="Q2363" s="26">
        <v>0.0</v>
      </c>
    </row>
    <row r="2364" ht="17.25" customHeight="1">
      <c r="A2364" s="51">
        <v>46270.65767153935</v>
      </c>
      <c r="B2364" s="55" t="s">
        <v>41</v>
      </c>
      <c r="C2364" s="55" t="s">
        <v>1892</v>
      </c>
      <c r="D2364" s="240">
        <v>46270.0</v>
      </c>
      <c r="E2364" s="52">
        <v>800.0</v>
      </c>
      <c r="F2364" s="55" t="s">
        <v>24</v>
      </c>
      <c r="G2364" s="55"/>
      <c r="H2364" s="55" t="s">
        <v>606</v>
      </c>
      <c r="I2364" s="26" t="s">
        <v>42</v>
      </c>
      <c r="J2364" s="26" t="s">
        <v>1225</v>
      </c>
      <c r="K2364" s="26" t="s">
        <v>1562</v>
      </c>
      <c r="L2364" s="26" t="s">
        <v>1576</v>
      </c>
      <c r="M2364" s="26" t="s">
        <v>1575</v>
      </c>
      <c r="N2364" s="26" t="s">
        <v>1571</v>
      </c>
      <c r="O2364" s="26" t="s">
        <v>1566</v>
      </c>
      <c r="P2364" s="26" t="s">
        <v>22</v>
      </c>
      <c r="Q2364" s="26">
        <v>200.0</v>
      </c>
    </row>
    <row r="2365" ht="17.25" customHeight="1">
      <c r="A2365" s="51">
        <v>46270.65773741898</v>
      </c>
      <c r="B2365" s="55" t="s">
        <v>79</v>
      </c>
      <c r="C2365" s="55" t="s">
        <v>1892</v>
      </c>
      <c r="D2365" s="240">
        <v>46270.0</v>
      </c>
      <c r="E2365" s="52">
        <v>1100.0</v>
      </c>
      <c r="F2365" s="55" t="s">
        <v>24</v>
      </c>
      <c r="G2365" s="55"/>
      <c r="H2365" s="55" t="s">
        <v>613</v>
      </c>
      <c r="I2365" s="26" t="s">
        <v>80</v>
      </c>
      <c r="J2365" s="26" t="s">
        <v>1225</v>
      </c>
      <c r="K2365" s="26" t="s">
        <v>1562</v>
      </c>
      <c r="L2365" s="26" t="s">
        <v>1563</v>
      </c>
      <c r="M2365" s="26" t="s">
        <v>1575</v>
      </c>
      <c r="N2365" s="26" t="s">
        <v>1566</v>
      </c>
      <c r="O2365" s="26" t="s">
        <v>1566</v>
      </c>
      <c r="P2365" s="26" t="s">
        <v>22</v>
      </c>
      <c r="Q2365" s="26">
        <v>700.0</v>
      </c>
    </row>
    <row r="2366" ht="17.25" customHeight="1">
      <c r="A2366" s="51">
        <v>46270.727577129626</v>
      </c>
      <c r="B2366" s="55" t="s">
        <v>989</v>
      </c>
      <c r="C2366" s="55" t="s">
        <v>1560</v>
      </c>
      <c r="D2366" s="240">
        <v>46270.0</v>
      </c>
      <c r="E2366" s="52">
        <v>15.0</v>
      </c>
      <c r="F2366" s="55" t="s">
        <v>2394</v>
      </c>
      <c r="G2366" s="55" t="s">
        <v>2532</v>
      </c>
      <c r="H2366" s="55"/>
      <c r="I2366" s="26" t="s">
        <v>991</v>
      </c>
      <c r="J2366" s="26" t="s">
        <v>1674</v>
      </c>
      <c r="K2366" s="26" t="s">
        <v>1691</v>
      </c>
      <c r="L2366" s="26" t="s">
        <v>1566</v>
      </c>
      <c r="M2366" s="26" t="s">
        <v>1566</v>
      </c>
      <c r="N2366" s="26" t="s">
        <v>2110</v>
      </c>
      <c r="O2366" s="26" t="s">
        <v>1566</v>
      </c>
      <c r="P2366" s="26" t="s">
        <v>290</v>
      </c>
      <c r="Q2366" s="26">
        <v>15.0</v>
      </c>
    </row>
    <row r="2367" ht="17.25" customHeight="1">
      <c r="A2367" s="51">
        <v>46270.72758900463</v>
      </c>
      <c r="B2367" s="55" t="s">
        <v>948</v>
      </c>
      <c r="C2367" s="55" t="s">
        <v>1560</v>
      </c>
      <c r="D2367" s="240">
        <v>46270.0</v>
      </c>
      <c r="E2367" s="52">
        <v>5.0</v>
      </c>
      <c r="F2367" s="55" t="s">
        <v>2394</v>
      </c>
      <c r="G2367" s="55" t="s">
        <v>2532</v>
      </c>
      <c r="H2367" s="55"/>
      <c r="I2367" s="26" t="s">
        <v>952</v>
      </c>
      <c r="J2367" s="26" t="s">
        <v>1812</v>
      </c>
      <c r="K2367" s="26" t="s">
        <v>1815</v>
      </c>
      <c r="L2367" s="26" t="s">
        <v>1566</v>
      </c>
      <c r="M2367" s="26" t="s">
        <v>1566</v>
      </c>
      <c r="N2367" s="26" t="s">
        <v>1566</v>
      </c>
      <c r="O2367" s="26" t="s">
        <v>2060</v>
      </c>
      <c r="P2367" s="26" t="s">
        <v>616</v>
      </c>
      <c r="Q2367" s="26">
        <v>5.0</v>
      </c>
    </row>
    <row r="2368" ht="17.25" customHeight="1">
      <c r="A2368" s="51">
        <v>46270.727601412036</v>
      </c>
      <c r="B2368" s="55" t="s">
        <v>32</v>
      </c>
      <c r="C2368" s="55" t="s">
        <v>1560</v>
      </c>
      <c r="D2368" s="240">
        <v>46270.0</v>
      </c>
      <c r="E2368" s="52">
        <v>6.0</v>
      </c>
      <c r="F2368" s="55" t="s">
        <v>2394</v>
      </c>
      <c r="G2368" s="55" t="s">
        <v>2532</v>
      </c>
      <c r="H2368" s="55"/>
      <c r="I2368" s="26" t="s">
        <v>34</v>
      </c>
      <c r="J2368" s="26" t="s">
        <v>1807</v>
      </c>
      <c r="K2368" s="26" t="s">
        <v>1807</v>
      </c>
      <c r="L2368" s="26" t="s">
        <v>1566</v>
      </c>
      <c r="M2368" s="26" t="s">
        <v>1566</v>
      </c>
      <c r="N2368" s="26" t="s">
        <v>1566</v>
      </c>
      <c r="O2368" s="26" t="s">
        <v>1808</v>
      </c>
      <c r="P2368" s="26" t="s">
        <v>290</v>
      </c>
      <c r="Q2368" s="26">
        <v>7.0</v>
      </c>
    </row>
    <row r="2369" ht="17.25" customHeight="1">
      <c r="A2369" s="51">
        <v>46270.72820268519</v>
      </c>
      <c r="B2369" s="55" t="s">
        <v>301</v>
      </c>
      <c r="C2369" s="55" t="s">
        <v>1892</v>
      </c>
      <c r="D2369" s="240">
        <v>46270.0</v>
      </c>
      <c r="E2369" s="52">
        <v>15.0</v>
      </c>
      <c r="F2369" s="55" t="s">
        <v>24</v>
      </c>
      <c r="G2369" s="55"/>
      <c r="H2369" s="55"/>
      <c r="I2369" s="26" t="s">
        <v>302</v>
      </c>
      <c r="J2369" s="26" t="s">
        <v>1830</v>
      </c>
      <c r="K2369" s="26" t="s">
        <v>302</v>
      </c>
      <c r="L2369" s="26" t="s">
        <v>1566</v>
      </c>
      <c r="M2369" s="26" t="s">
        <v>1566</v>
      </c>
      <c r="N2369" s="26" t="s">
        <v>1566</v>
      </c>
      <c r="O2369" s="26" t="s">
        <v>1566</v>
      </c>
      <c r="P2369" s="26" t="s">
        <v>661</v>
      </c>
      <c r="Q2369" s="26">
        <v>580.0</v>
      </c>
    </row>
    <row r="2370" ht="17.25" customHeight="1">
      <c r="A2370" s="51">
        <v>46270.72852505787</v>
      </c>
      <c r="B2370" s="55" t="s">
        <v>975</v>
      </c>
      <c r="C2370" s="55" t="s">
        <v>1892</v>
      </c>
      <c r="D2370" s="240">
        <v>46270.72850694445</v>
      </c>
      <c r="E2370" s="52">
        <v>45.0</v>
      </c>
      <c r="F2370" s="55" t="s">
        <v>2394</v>
      </c>
      <c r="G2370" s="55" t="s">
        <v>2533</v>
      </c>
      <c r="H2370" s="55"/>
      <c r="I2370" s="26" t="s">
        <v>976</v>
      </c>
      <c r="J2370" s="26" t="s">
        <v>1830</v>
      </c>
      <c r="K2370" s="26" t="s">
        <v>1642</v>
      </c>
      <c r="L2370" s="26" t="s">
        <v>1566</v>
      </c>
      <c r="M2370" s="26" t="s">
        <v>1566</v>
      </c>
      <c r="N2370" s="26" t="s">
        <v>1566</v>
      </c>
      <c r="O2370" s="26" t="s">
        <v>1566</v>
      </c>
      <c r="P2370" s="26" t="s">
        <v>661</v>
      </c>
      <c r="Q2370" s="26">
        <v>80.0</v>
      </c>
    </row>
    <row r="2371" ht="17.25" customHeight="1">
      <c r="A2371" s="51">
        <v>46270.72994262732</v>
      </c>
      <c r="B2371" s="55" t="s">
        <v>301</v>
      </c>
      <c r="C2371" s="55" t="s">
        <v>1560</v>
      </c>
      <c r="D2371" s="240">
        <v>46270.0</v>
      </c>
      <c r="E2371" s="52">
        <v>500.0</v>
      </c>
      <c r="F2371" s="55" t="s">
        <v>2394</v>
      </c>
      <c r="G2371" s="55" t="s">
        <v>2534</v>
      </c>
      <c r="H2371" s="55"/>
      <c r="I2371" s="26" t="s">
        <v>302</v>
      </c>
      <c r="J2371" s="26" t="s">
        <v>1830</v>
      </c>
      <c r="K2371" s="26" t="s">
        <v>302</v>
      </c>
      <c r="L2371" s="26" t="s">
        <v>1566</v>
      </c>
      <c r="M2371" s="26" t="s">
        <v>1566</v>
      </c>
      <c r="N2371" s="26" t="s">
        <v>1566</v>
      </c>
      <c r="O2371" s="26" t="s">
        <v>1566</v>
      </c>
      <c r="P2371" s="26" t="s">
        <v>661</v>
      </c>
      <c r="Q2371" s="26">
        <v>580.0</v>
      </c>
    </row>
    <row r="2372" ht="17.25" customHeight="1">
      <c r="A2372" s="51">
        <v>46270.72995768518</v>
      </c>
      <c r="B2372" s="55" t="s">
        <v>975</v>
      </c>
      <c r="C2372" s="55" t="s">
        <v>1560</v>
      </c>
      <c r="D2372" s="240">
        <v>46270.0</v>
      </c>
      <c r="E2372" s="52">
        <v>50.0</v>
      </c>
      <c r="F2372" s="55" t="s">
        <v>2394</v>
      </c>
      <c r="G2372" s="55" t="s">
        <v>2534</v>
      </c>
      <c r="H2372" s="55"/>
      <c r="I2372" s="26" t="s">
        <v>976</v>
      </c>
      <c r="J2372" s="26" t="s">
        <v>1830</v>
      </c>
      <c r="K2372" s="26" t="s">
        <v>1642</v>
      </c>
      <c r="L2372" s="26" t="s">
        <v>1566</v>
      </c>
      <c r="M2372" s="26" t="s">
        <v>1566</v>
      </c>
      <c r="N2372" s="26" t="s">
        <v>1566</v>
      </c>
      <c r="O2372" s="26" t="s">
        <v>1566</v>
      </c>
      <c r="P2372" s="26" t="s">
        <v>661</v>
      </c>
      <c r="Q2372" s="26">
        <v>80.0</v>
      </c>
    </row>
    <row r="2373" ht="17.25" customHeight="1">
      <c r="A2373" s="51">
        <v>46270.73067503472</v>
      </c>
      <c r="B2373" s="55" t="s">
        <v>21</v>
      </c>
      <c r="C2373" s="55" t="s">
        <v>1892</v>
      </c>
      <c r="D2373" s="240">
        <v>46268.0</v>
      </c>
      <c r="E2373" s="52">
        <v>20.0</v>
      </c>
      <c r="F2373" s="55" t="s">
        <v>36</v>
      </c>
      <c r="G2373" s="55" t="s">
        <v>2535</v>
      </c>
      <c r="H2373" s="55" t="s">
        <v>630</v>
      </c>
      <c r="I2373" s="26" t="s">
        <v>23</v>
      </c>
      <c r="J2373" s="26" t="s">
        <v>1812</v>
      </c>
      <c r="K2373" s="26" t="s">
        <v>1815</v>
      </c>
      <c r="L2373" s="26" t="s">
        <v>1566</v>
      </c>
      <c r="M2373" s="26" t="s">
        <v>1566</v>
      </c>
      <c r="N2373" s="26" t="s">
        <v>1566</v>
      </c>
      <c r="O2373" s="26" t="s">
        <v>1818</v>
      </c>
      <c r="P2373" s="26" t="s">
        <v>616</v>
      </c>
      <c r="Q2373" s="26">
        <v>20.0</v>
      </c>
    </row>
    <row r="2374" ht="17.25" customHeight="1">
      <c r="A2374" s="51">
        <v>46270.731614351855</v>
      </c>
      <c r="B2374" s="55" t="s">
        <v>598</v>
      </c>
      <c r="C2374" s="55" t="s">
        <v>1892</v>
      </c>
      <c r="D2374" s="240">
        <v>46268.0</v>
      </c>
      <c r="E2374" s="52">
        <v>5.0</v>
      </c>
      <c r="F2374" s="55" t="s">
        <v>36</v>
      </c>
      <c r="G2374" s="55" t="s">
        <v>2536</v>
      </c>
      <c r="H2374" s="55" t="s">
        <v>630</v>
      </c>
      <c r="I2374" s="26" t="s">
        <v>604</v>
      </c>
      <c r="J2374" s="26" t="s">
        <v>1812</v>
      </c>
      <c r="K2374" s="26" t="s">
        <v>1815</v>
      </c>
      <c r="L2374" s="26" t="s">
        <v>1566</v>
      </c>
      <c r="M2374" s="26" t="s">
        <v>1566</v>
      </c>
      <c r="N2374" s="26" t="s">
        <v>1566</v>
      </c>
      <c r="O2374" s="26" t="s">
        <v>1812</v>
      </c>
      <c r="P2374" s="26" t="s">
        <v>616</v>
      </c>
      <c r="Q2374" s="26">
        <v>15.0</v>
      </c>
    </row>
    <row r="2375" ht="17.25" customHeight="1">
      <c r="A2375" s="51">
        <v>46270.77475225694</v>
      </c>
      <c r="B2375" s="55" t="s">
        <v>509</v>
      </c>
      <c r="C2375" s="55" t="s">
        <v>1892</v>
      </c>
      <c r="D2375" s="240">
        <v>46270.0</v>
      </c>
      <c r="E2375" s="52">
        <v>1.0</v>
      </c>
      <c r="F2375" s="55" t="s">
        <v>24</v>
      </c>
      <c r="G2375" s="55"/>
      <c r="H2375" s="55"/>
      <c r="I2375" s="26" t="s">
        <v>510</v>
      </c>
      <c r="J2375" s="26" t="s">
        <v>1674</v>
      </c>
      <c r="K2375" s="26" t="s">
        <v>1691</v>
      </c>
      <c r="L2375" s="26" t="s">
        <v>1566</v>
      </c>
      <c r="M2375" s="26" t="s">
        <v>1566</v>
      </c>
      <c r="N2375" s="26" t="s">
        <v>1768</v>
      </c>
      <c r="O2375" s="26" t="s">
        <v>1769</v>
      </c>
      <c r="P2375" s="26" t="s">
        <v>290</v>
      </c>
      <c r="Q2375" s="26">
        <v>1.0</v>
      </c>
    </row>
    <row r="2376" ht="17.25" customHeight="1">
      <c r="A2376" s="51">
        <v>46270.774976875</v>
      </c>
      <c r="B2376" s="55" t="s">
        <v>509</v>
      </c>
      <c r="C2376" s="55" t="s">
        <v>1892</v>
      </c>
      <c r="D2376" s="240">
        <v>46270.77496407407</v>
      </c>
      <c r="E2376" s="52">
        <v>2.0</v>
      </c>
      <c r="F2376" s="55" t="s">
        <v>2394</v>
      </c>
      <c r="G2376" s="55" t="s">
        <v>2537</v>
      </c>
      <c r="H2376" s="55"/>
      <c r="I2376" s="26" t="s">
        <v>510</v>
      </c>
      <c r="J2376" s="26" t="s">
        <v>1674</v>
      </c>
      <c r="K2376" s="26" t="s">
        <v>1691</v>
      </c>
      <c r="L2376" s="26" t="s">
        <v>1566</v>
      </c>
      <c r="M2376" s="26" t="s">
        <v>1566</v>
      </c>
      <c r="N2376" s="26" t="s">
        <v>1768</v>
      </c>
      <c r="O2376" s="26" t="s">
        <v>1769</v>
      </c>
      <c r="P2376" s="26" t="s">
        <v>290</v>
      </c>
      <c r="Q2376" s="26">
        <v>1.0</v>
      </c>
    </row>
    <row r="2377" ht="17.25" customHeight="1">
      <c r="A2377" s="51">
        <v>46270.77526954861</v>
      </c>
      <c r="B2377" s="55" t="s">
        <v>989</v>
      </c>
      <c r="C2377" s="55" t="s">
        <v>1892</v>
      </c>
      <c r="D2377" s="240">
        <v>46270.775250590275</v>
      </c>
      <c r="E2377" s="52">
        <v>2.0</v>
      </c>
      <c r="F2377" s="55" t="s">
        <v>2394</v>
      </c>
      <c r="G2377" s="55" t="s">
        <v>2538</v>
      </c>
      <c r="H2377" s="55"/>
      <c r="I2377" s="26" t="s">
        <v>991</v>
      </c>
      <c r="J2377" s="26" t="s">
        <v>1674</v>
      </c>
      <c r="K2377" s="26" t="s">
        <v>1691</v>
      </c>
      <c r="L2377" s="26" t="s">
        <v>1566</v>
      </c>
      <c r="M2377" s="26" t="s">
        <v>1566</v>
      </c>
      <c r="N2377" s="26" t="s">
        <v>2110</v>
      </c>
      <c r="O2377" s="26" t="s">
        <v>1566</v>
      </c>
      <c r="P2377" s="26" t="s">
        <v>290</v>
      </c>
      <c r="Q2377" s="26">
        <v>15.0</v>
      </c>
    </row>
    <row r="2378" ht="17.25" customHeight="1">
      <c r="A2378" s="51">
        <v>46270.77601450231</v>
      </c>
      <c r="B2378" s="55" t="s">
        <v>441</v>
      </c>
      <c r="C2378" s="55" t="s">
        <v>1892</v>
      </c>
      <c r="D2378" s="240">
        <v>46270.77599372686</v>
      </c>
      <c r="E2378" s="52">
        <v>4.0</v>
      </c>
      <c r="F2378" s="55" t="s">
        <v>2394</v>
      </c>
      <c r="G2378" s="55" t="s">
        <v>2539</v>
      </c>
      <c r="H2378" s="55"/>
      <c r="I2378" s="26" t="s">
        <v>688</v>
      </c>
      <c r="J2378" s="26" t="s">
        <v>1674</v>
      </c>
      <c r="K2378" s="26" t="s">
        <v>1691</v>
      </c>
      <c r="L2378" s="26" t="s">
        <v>1566</v>
      </c>
      <c r="M2378" s="26" t="s">
        <v>1566</v>
      </c>
      <c r="N2378" s="26" t="s">
        <v>1721</v>
      </c>
      <c r="O2378" s="26" t="s">
        <v>1677</v>
      </c>
      <c r="P2378" s="26" t="s">
        <v>290</v>
      </c>
      <c r="Q2378" s="26">
        <v>0.0</v>
      </c>
    </row>
    <row r="2379" ht="17.25" customHeight="1">
      <c r="A2379" s="51">
        <v>46270.77630858796</v>
      </c>
      <c r="B2379" s="55" t="s">
        <v>437</v>
      </c>
      <c r="C2379" s="55" t="s">
        <v>1892</v>
      </c>
      <c r="D2379" s="240">
        <v>46270.77629405093</v>
      </c>
      <c r="E2379" s="52">
        <v>5.0</v>
      </c>
      <c r="F2379" s="55" t="s">
        <v>2394</v>
      </c>
      <c r="G2379" s="55" t="s">
        <v>2478</v>
      </c>
      <c r="H2379" s="55"/>
      <c r="I2379" s="26" t="s">
        <v>438</v>
      </c>
      <c r="J2379" s="26" t="s">
        <v>1674</v>
      </c>
      <c r="K2379" s="26" t="s">
        <v>1691</v>
      </c>
      <c r="L2379" s="26" t="s">
        <v>1566</v>
      </c>
      <c r="M2379" s="26" t="s">
        <v>1566</v>
      </c>
      <c r="N2379" s="26" t="s">
        <v>1721</v>
      </c>
      <c r="O2379" s="26" t="s">
        <v>1677</v>
      </c>
      <c r="P2379" s="26" t="s">
        <v>290</v>
      </c>
      <c r="Q2379" s="26">
        <v>5.0</v>
      </c>
    </row>
    <row r="2380" ht="17.25" customHeight="1">
      <c r="A2380" s="51">
        <v>46270.78414400463</v>
      </c>
      <c r="B2380" s="55" t="s">
        <v>654</v>
      </c>
      <c r="C2380" s="55" t="s">
        <v>1892</v>
      </c>
      <c r="D2380" s="240">
        <v>46268.0</v>
      </c>
      <c r="E2380" s="52">
        <v>5.0</v>
      </c>
      <c r="F2380" s="55" t="s">
        <v>1908</v>
      </c>
      <c r="G2380" s="55"/>
      <c r="H2380" s="55"/>
      <c r="I2380" s="26" t="s">
        <v>655</v>
      </c>
      <c r="J2380" s="26" t="s">
        <v>1821</v>
      </c>
      <c r="K2380" s="26" t="s">
        <v>1822</v>
      </c>
      <c r="L2380" s="26" t="s">
        <v>1566</v>
      </c>
      <c r="M2380" s="26" t="s">
        <v>1566</v>
      </c>
      <c r="N2380" s="26" t="s">
        <v>1566</v>
      </c>
      <c r="O2380" s="26" t="s">
        <v>1566</v>
      </c>
      <c r="P2380" s="26" t="s">
        <v>290</v>
      </c>
      <c r="Q2380" s="26">
        <v>5.0</v>
      </c>
    </row>
    <row r="2381" ht="17.25" customHeight="1">
      <c r="A2381" s="51">
        <v>46272.444254525464</v>
      </c>
      <c r="B2381" s="55" t="s">
        <v>297</v>
      </c>
      <c r="C2381" s="55" t="s">
        <v>1892</v>
      </c>
      <c r="D2381" s="240">
        <v>46272.0</v>
      </c>
      <c r="E2381" s="52">
        <v>4.0</v>
      </c>
      <c r="F2381" s="55" t="s">
        <v>24</v>
      </c>
      <c r="G2381" s="55"/>
      <c r="H2381" s="55"/>
      <c r="I2381" s="26" t="s">
        <v>298</v>
      </c>
      <c r="J2381" s="26" t="s">
        <v>1674</v>
      </c>
      <c r="K2381" s="26" t="s">
        <v>1675</v>
      </c>
      <c r="L2381" s="26" t="s">
        <v>1566</v>
      </c>
      <c r="M2381" s="26" t="s">
        <v>1566</v>
      </c>
      <c r="N2381" s="26" t="s">
        <v>1680</v>
      </c>
      <c r="O2381" s="26" t="s">
        <v>1677</v>
      </c>
      <c r="P2381" s="26" t="s">
        <v>290</v>
      </c>
      <c r="Q2381" s="26">
        <v>10.0</v>
      </c>
    </row>
    <row r="2382" ht="17.25" customHeight="1">
      <c r="A2382" s="51">
        <v>46272.4445212963</v>
      </c>
      <c r="B2382" s="55" t="s">
        <v>304</v>
      </c>
      <c r="C2382" s="55" t="s">
        <v>1892</v>
      </c>
      <c r="D2382" s="240">
        <v>46272.0</v>
      </c>
      <c r="E2382" s="52">
        <v>2.0</v>
      </c>
      <c r="F2382" s="55" t="s">
        <v>24</v>
      </c>
      <c r="G2382" s="55"/>
      <c r="H2382" s="55"/>
      <c r="I2382" s="26" t="s">
        <v>306</v>
      </c>
      <c r="J2382" s="26" t="s">
        <v>1674</v>
      </c>
      <c r="K2382" s="26" t="s">
        <v>1675</v>
      </c>
      <c r="L2382" s="26" t="s">
        <v>1566</v>
      </c>
      <c r="M2382" s="26" t="s">
        <v>1566</v>
      </c>
      <c r="N2382" s="26" t="s">
        <v>1682</v>
      </c>
      <c r="O2382" s="26" t="s">
        <v>1677</v>
      </c>
      <c r="P2382" s="26" t="s">
        <v>290</v>
      </c>
      <c r="Q2382" s="26">
        <v>6.0</v>
      </c>
    </row>
    <row r="2383" ht="17.25" customHeight="1">
      <c r="A2383" s="51">
        <v>46272.44485678241</v>
      </c>
      <c r="B2383" s="55" t="s">
        <v>292</v>
      </c>
      <c r="C2383" s="55" t="s">
        <v>1892</v>
      </c>
      <c r="D2383" s="240">
        <v>46272.0</v>
      </c>
      <c r="E2383" s="52">
        <v>2.0</v>
      </c>
      <c r="F2383" s="55" t="s">
        <v>24</v>
      </c>
      <c r="G2383" s="55"/>
      <c r="H2383" s="55"/>
      <c r="I2383" s="26" t="s">
        <v>294</v>
      </c>
      <c r="J2383" s="26" t="s">
        <v>1674</v>
      </c>
      <c r="K2383" s="26" t="s">
        <v>1675</v>
      </c>
      <c r="L2383" s="26" t="s">
        <v>1566</v>
      </c>
      <c r="M2383" s="26" t="s">
        <v>1566</v>
      </c>
      <c r="N2383" s="26" t="s">
        <v>1678</v>
      </c>
      <c r="O2383" s="26" t="s">
        <v>1677</v>
      </c>
      <c r="P2383" s="26" t="s">
        <v>290</v>
      </c>
      <c r="Q2383" s="26">
        <v>10.0</v>
      </c>
    </row>
    <row r="2384" ht="17.25" customHeight="1">
      <c r="A2384" s="51">
        <v>46272.44727820602</v>
      </c>
      <c r="B2384" s="55" t="s">
        <v>297</v>
      </c>
      <c r="C2384" s="55" t="s">
        <v>1560</v>
      </c>
      <c r="D2384" s="240">
        <v>46270.0</v>
      </c>
      <c r="E2384" s="52">
        <v>12.0</v>
      </c>
      <c r="F2384" s="55" t="s">
        <v>2394</v>
      </c>
      <c r="G2384" s="55" t="s">
        <v>2540</v>
      </c>
      <c r="H2384" s="55"/>
      <c r="I2384" s="26" t="s">
        <v>298</v>
      </c>
      <c r="J2384" s="26" t="s">
        <v>1674</v>
      </c>
      <c r="K2384" s="26" t="s">
        <v>1675</v>
      </c>
      <c r="L2384" s="26" t="s">
        <v>1566</v>
      </c>
      <c r="M2384" s="26" t="s">
        <v>1566</v>
      </c>
      <c r="N2384" s="26" t="s">
        <v>1680</v>
      </c>
      <c r="O2384" s="26" t="s">
        <v>1677</v>
      </c>
      <c r="P2384" s="26" t="s">
        <v>290</v>
      </c>
      <c r="Q2384" s="26">
        <v>10.0</v>
      </c>
    </row>
    <row r="2385" ht="17.25" customHeight="1">
      <c r="A2385" s="51">
        <v>46272.509100625</v>
      </c>
      <c r="B2385" s="55" t="s">
        <v>701</v>
      </c>
      <c r="C2385" s="55" t="s">
        <v>1560</v>
      </c>
      <c r="D2385" s="240">
        <v>46270.0</v>
      </c>
      <c r="E2385" s="52">
        <v>2304.0</v>
      </c>
      <c r="F2385" s="55" t="s">
        <v>2394</v>
      </c>
      <c r="G2385" s="55" t="s">
        <v>2541</v>
      </c>
      <c r="H2385" s="55" t="s">
        <v>704</v>
      </c>
      <c r="I2385" s="26" t="s">
        <v>702</v>
      </c>
      <c r="J2385" s="26" t="s">
        <v>1225</v>
      </c>
      <c r="K2385" s="26" t="s">
        <v>1653</v>
      </c>
      <c r="L2385" s="26" t="s">
        <v>1563</v>
      </c>
      <c r="M2385" s="26" t="s">
        <v>1572</v>
      </c>
      <c r="N2385" s="26" t="s">
        <v>1566</v>
      </c>
      <c r="O2385" s="26" t="s">
        <v>1978</v>
      </c>
      <c r="P2385" s="26" t="s">
        <v>22</v>
      </c>
      <c r="Q2385" s="26">
        <v>0.0</v>
      </c>
    </row>
    <row r="2386" ht="17.25" customHeight="1">
      <c r="A2386" s="51">
        <v>46272.509114456014</v>
      </c>
      <c r="B2386" s="55" t="s">
        <v>179</v>
      </c>
      <c r="C2386" s="55" t="s">
        <v>1560</v>
      </c>
      <c r="D2386" s="240">
        <v>46270.0</v>
      </c>
      <c r="E2386" s="52">
        <v>1440.0</v>
      </c>
      <c r="F2386" s="55" t="s">
        <v>2394</v>
      </c>
      <c r="G2386" s="55" t="s">
        <v>2541</v>
      </c>
      <c r="H2386" s="55" t="s">
        <v>712</v>
      </c>
      <c r="I2386" s="26" t="s">
        <v>180</v>
      </c>
      <c r="J2386" s="26" t="s">
        <v>1225</v>
      </c>
      <c r="K2386" s="26" t="s">
        <v>1653</v>
      </c>
      <c r="L2386" s="26" t="s">
        <v>1563</v>
      </c>
      <c r="M2386" s="26" t="s">
        <v>1572</v>
      </c>
      <c r="N2386" s="26" t="s">
        <v>1654</v>
      </c>
      <c r="O2386" s="26" t="s">
        <v>1566</v>
      </c>
      <c r="P2386" s="26" t="s">
        <v>22</v>
      </c>
      <c r="Q2386" s="26">
        <v>0.0</v>
      </c>
    </row>
    <row r="2387" ht="17.25" customHeight="1">
      <c r="A2387" s="51">
        <v>46272.51117653935</v>
      </c>
      <c r="B2387" s="55" t="s">
        <v>424</v>
      </c>
      <c r="C2387" s="55" t="s">
        <v>1560</v>
      </c>
      <c r="D2387" s="240">
        <v>46270.0</v>
      </c>
      <c r="E2387" s="52">
        <v>9000.0</v>
      </c>
      <c r="F2387" s="55" t="s">
        <v>2394</v>
      </c>
      <c r="G2387" s="55" t="s">
        <v>2542</v>
      </c>
      <c r="H2387" s="55" t="s">
        <v>1478</v>
      </c>
      <c r="I2387" s="26" t="s">
        <v>425</v>
      </c>
      <c r="J2387" s="26" t="s">
        <v>1225</v>
      </c>
      <c r="K2387" s="26" t="s">
        <v>1651</v>
      </c>
      <c r="L2387" s="26" t="s">
        <v>1647</v>
      </c>
      <c r="M2387" s="26" t="s">
        <v>2174</v>
      </c>
      <c r="N2387" s="26" t="s">
        <v>1566</v>
      </c>
      <c r="O2387" s="26" t="s">
        <v>1566</v>
      </c>
      <c r="P2387" s="26" t="s">
        <v>22</v>
      </c>
      <c r="Q2387" s="26">
        <v>9000.0</v>
      </c>
    </row>
    <row r="2388" ht="17.25" customHeight="1">
      <c r="A2388" s="51">
        <v>46272.5124575</v>
      </c>
      <c r="B2388" s="55" t="s">
        <v>1240</v>
      </c>
      <c r="C2388" s="55" t="s">
        <v>1560</v>
      </c>
      <c r="D2388" s="240">
        <v>46270.0</v>
      </c>
      <c r="E2388" s="52">
        <v>600.0</v>
      </c>
      <c r="F2388" s="55" t="s">
        <v>2394</v>
      </c>
      <c r="G2388" s="55" t="s">
        <v>2543</v>
      </c>
      <c r="H2388" s="55" t="s">
        <v>1480</v>
      </c>
      <c r="I2388" s="26" t="s">
        <v>1241</v>
      </c>
      <c r="J2388" s="26" t="s">
        <v>1225</v>
      </c>
      <c r="K2388" s="26" t="s">
        <v>1562</v>
      </c>
      <c r="L2388" s="26" t="s">
        <v>1633</v>
      </c>
      <c r="M2388" s="26" t="s">
        <v>1586</v>
      </c>
      <c r="N2388" s="26" t="s">
        <v>1566</v>
      </c>
      <c r="O2388" s="26" t="s">
        <v>1566</v>
      </c>
      <c r="P2388" s="26" t="s">
        <v>22</v>
      </c>
      <c r="Q2388" s="26">
        <v>700.0</v>
      </c>
    </row>
    <row r="2389" ht="17.25" customHeight="1">
      <c r="A2389" s="51">
        <v>46272.72945342593</v>
      </c>
      <c r="B2389" s="55" t="s">
        <v>441</v>
      </c>
      <c r="C2389" s="55" t="s">
        <v>1892</v>
      </c>
      <c r="D2389" s="240">
        <v>46272.0</v>
      </c>
      <c r="E2389" s="52">
        <v>2.0</v>
      </c>
      <c r="F2389" s="55" t="s">
        <v>24</v>
      </c>
      <c r="G2389" s="55"/>
      <c r="H2389" s="55"/>
      <c r="I2389" s="26" t="s">
        <v>688</v>
      </c>
      <c r="J2389" s="26" t="s">
        <v>1674</v>
      </c>
      <c r="K2389" s="26" t="s">
        <v>1691</v>
      </c>
      <c r="L2389" s="26" t="s">
        <v>1566</v>
      </c>
      <c r="M2389" s="26" t="s">
        <v>1566</v>
      </c>
      <c r="N2389" s="26" t="s">
        <v>1721</v>
      </c>
      <c r="O2389" s="26" t="s">
        <v>1677</v>
      </c>
      <c r="P2389" s="26" t="s">
        <v>290</v>
      </c>
      <c r="Q2389" s="26">
        <v>0.0</v>
      </c>
    </row>
    <row r="2390" ht="17.25" customHeight="1">
      <c r="A2390" s="51">
        <v>46272.732159907406</v>
      </c>
      <c r="B2390" s="55" t="s">
        <v>41</v>
      </c>
      <c r="C2390" s="55" t="s">
        <v>1892</v>
      </c>
      <c r="D2390" s="240">
        <v>46272.0</v>
      </c>
      <c r="E2390" s="52">
        <v>1600.0</v>
      </c>
      <c r="F2390" s="55" t="s">
        <v>24</v>
      </c>
      <c r="G2390" s="55" t="s">
        <v>697</v>
      </c>
      <c r="H2390" s="55" t="s">
        <v>606</v>
      </c>
      <c r="I2390" s="26" t="s">
        <v>42</v>
      </c>
      <c r="J2390" s="26" t="s">
        <v>1225</v>
      </c>
      <c r="K2390" s="26" t="s">
        <v>1562</v>
      </c>
      <c r="L2390" s="26" t="s">
        <v>1576</v>
      </c>
      <c r="M2390" s="26" t="s">
        <v>1575</v>
      </c>
      <c r="N2390" s="26" t="s">
        <v>1571</v>
      </c>
      <c r="O2390" s="26" t="s">
        <v>1566</v>
      </c>
      <c r="P2390" s="26" t="s">
        <v>22</v>
      </c>
      <c r="Q2390" s="26">
        <v>200.0</v>
      </c>
    </row>
    <row r="2391" ht="17.25" customHeight="1">
      <c r="A2391" s="51">
        <v>46272.73223358796</v>
      </c>
      <c r="B2391" s="55" t="s">
        <v>701</v>
      </c>
      <c r="C2391" s="55" t="s">
        <v>1892</v>
      </c>
      <c r="D2391" s="240">
        <v>46272.0</v>
      </c>
      <c r="E2391" s="52">
        <v>2304.0</v>
      </c>
      <c r="F2391" s="55" t="s">
        <v>24</v>
      </c>
      <c r="G2391" s="55"/>
      <c r="H2391" s="55" t="s">
        <v>704</v>
      </c>
      <c r="I2391" s="26" t="s">
        <v>702</v>
      </c>
      <c r="J2391" s="26" t="s">
        <v>1225</v>
      </c>
      <c r="K2391" s="26" t="s">
        <v>1653</v>
      </c>
      <c r="L2391" s="26" t="s">
        <v>1563</v>
      </c>
      <c r="M2391" s="26" t="s">
        <v>1572</v>
      </c>
      <c r="N2391" s="26" t="s">
        <v>1566</v>
      </c>
      <c r="O2391" s="26" t="s">
        <v>1978</v>
      </c>
      <c r="P2391" s="26" t="s">
        <v>22</v>
      </c>
      <c r="Q2391" s="26">
        <v>0.0</v>
      </c>
    </row>
    <row r="2392" ht="17.25" customHeight="1">
      <c r="A2392" s="51">
        <v>46272.73232273148</v>
      </c>
      <c r="B2392" s="55" t="s">
        <v>179</v>
      </c>
      <c r="C2392" s="55" t="s">
        <v>1892</v>
      </c>
      <c r="D2392" s="240">
        <v>46272.0</v>
      </c>
      <c r="E2392" s="52">
        <v>1440.0</v>
      </c>
      <c r="F2392" s="55" t="s">
        <v>24</v>
      </c>
      <c r="G2392" s="55"/>
      <c r="H2392" s="55" t="s">
        <v>712</v>
      </c>
      <c r="I2392" s="26" t="s">
        <v>180</v>
      </c>
      <c r="J2392" s="26" t="s">
        <v>1225</v>
      </c>
      <c r="K2392" s="26" t="s">
        <v>1653</v>
      </c>
      <c r="L2392" s="26" t="s">
        <v>1563</v>
      </c>
      <c r="M2392" s="26" t="s">
        <v>1572</v>
      </c>
      <c r="N2392" s="26" t="s">
        <v>1654</v>
      </c>
      <c r="O2392" s="26" t="s">
        <v>1566</v>
      </c>
      <c r="P2392" s="26" t="s">
        <v>22</v>
      </c>
      <c r="Q2392" s="26">
        <v>0.0</v>
      </c>
    </row>
    <row r="2393" ht="17.25" customHeight="1">
      <c r="A2393" s="51">
        <v>46272.73286188657</v>
      </c>
      <c r="B2393" s="55" t="s">
        <v>33</v>
      </c>
      <c r="C2393" s="55" t="s">
        <v>1892</v>
      </c>
      <c r="D2393" s="240">
        <v>46272.0</v>
      </c>
      <c r="E2393" s="52">
        <v>600.0</v>
      </c>
      <c r="F2393" s="55" t="s">
        <v>24</v>
      </c>
      <c r="G2393" s="55" t="s">
        <v>2544</v>
      </c>
      <c r="H2393" s="55" t="s">
        <v>719</v>
      </c>
      <c r="I2393" s="26" t="s">
        <v>35</v>
      </c>
      <c r="J2393" s="26" t="s">
        <v>1225</v>
      </c>
      <c r="K2393" s="26" t="s">
        <v>1562</v>
      </c>
      <c r="L2393" s="26" t="s">
        <v>1573</v>
      </c>
      <c r="M2393" s="26" t="s">
        <v>1575</v>
      </c>
      <c r="N2393" s="26" t="s">
        <v>1566</v>
      </c>
      <c r="O2393" s="26" t="s">
        <v>1566</v>
      </c>
      <c r="P2393" s="26" t="s">
        <v>22</v>
      </c>
      <c r="Q2393" s="26">
        <v>2600.0</v>
      </c>
    </row>
    <row r="2394" ht="17.25" customHeight="1">
      <c r="A2394" s="51">
        <v>46273.7231908449</v>
      </c>
      <c r="B2394" s="55" t="s">
        <v>105</v>
      </c>
      <c r="C2394" s="55" t="s">
        <v>1560</v>
      </c>
      <c r="D2394" s="240">
        <v>46272.0</v>
      </c>
      <c r="E2394" s="52">
        <v>5200.0</v>
      </c>
      <c r="F2394" s="55" t="s">
        <v>2394</v>
      </c>
      <c r="G2394" s="55" t="s">
        <v>2546</v>
      </c>
      <c r="H2394" s="55" t="s">
        <v>727</v>
      </c>
      <c r="I2394" s="26" t="s">
        <v>107</v>
      </c>
      <c r="J2394" s="26" t="s">
        <v>1225</v>
      </c>
      <c r="K2394" s="26" t="s">
        <v>1562</v>
      </c>
      <c r="L2394" s="26" t="s">
        <v>1603</v>
      </c>
      <c r="M2394" s="26" t="s">
        <v>1575</v>
      </c>
      <c r="N2394" s="26" t="s">
        <v>1571</v>
      </c>
      <c r="O2394" s="26" t="s">
        <v>1566</v>
      </c>
      <c r="P2394" s="26" t="s">
        <v>22</v>
      </c>
      <c r="Q2394" s="26">
        <v>1200.0</v>
      </c>
    </row>
    <row r="2395" ht="17.25" customHeight="1">
      <c r="A2395" s="51">
        <v>46273.723212384255</v>
      </c>
      <c r="B2395" s="55" t="s">
        <v>854</v>
      </c>
      <c r="C2395" s="55" t="s">
        <v>1560</v>
      </c>
      <c r="D2395" s="240">
        <v>46272.0</v>
      </c>
      <c r="E2395" s="52">
        <v>900.0</v>
      </c>
      <c r="F2395" s="55" t="s">
        <v>2394</v>
      </c>
      <c r="G2395" s="55" t="s">
        <v>2546</v>
      </c>
      <c r="H2395" s="55" t="s">
        <v>1487</v>
      </c>
      <c r="I2395" s="26" t="s">
        <v>855</v>
      </c>
      <c r="J2395" s="26" t="s">
        <v>1225</v>
      </c>
      <c r="K2395" s="26" t="s">
        <v>1562</v>
      </c>
      <c r="L2395" s="26" t="s">
        <v>1633</v>
      </c>
      <c r="M2395" s="26" t="s">
        <v>1572</v>
      </c>
      <c r="N2395" s="26" t="s">
        <v>1566</v>
      </c>
      <c r="O2395" s="26" t="s">
        <v>1566</v>
      </c>
      <c r="P2395" s="26" t="s">
        <v>22</v>
      </c>
      <c r="Q2395" s="26">
        <v>1200.0</v>
      </c>
    </row>
    <row r="2396" ht="17.25" customHeight="1">
      <c r="A2396" s="51">
        <v>46273.72559865741</v>
      </c>
      <c r="B2396" s="55" t="s">
        <v>854</v>
      </c>
      <c r="C2396" s="55" t="s">
        <v>1560</v>
      </c>
      <c r="D2396" s="240">
        <v>46273.0</v>
      </c>
      <c r="E2396" s="52">
        <v>2500.0</v>
      </c>
      <c r="F2396" s="55" t="s">
        <v>2394</v>
      </c>
      <c r="G2396" s="55" t="s">
        <v>2547</v>
      </c>
      <c r="H2396" s="55" t="s">
        <v>858</v>
      </c>
      <c r="I2396" s="26" t="s">
        <v>855</v>
      </c>
      <c r="J2396" s="26" t="s">
        <v>1225</v>
      </c>
      <c r="K2396" s="26" t="s">
        <v>1562</v>
      </c>
      <c r="L2396" s="26" t="s">
        <v>1633</v>
      </c>
      <c r="M2396" s="26" t="s">
        <v>1572</v>
      </c>
      <c r="N2396" s="26" t="s">
        <v>1566</v>
      </c>
      <c r="O2396" s="26" t="s">
        <v>1566</v>
      </c>
      <c r="P2396" s="26" t="s">
        <v>22</v>
      </c>
      <c r="Q2396" s="26">
        <v>1200.0</v>
      </c>
    </row>
    <row r="2397" ht="17.25" customHeight="1">
      <c r="A2397" s="51">
        <v>46273.72562471065</v>
      </c>
      <c r="B2397" s="55" t="s">
        <v>201</v>
      </c>
      <c r="C2397" s="55" t="s">
        <v>1560</v>
      </c>
      <c r="D2397" s="240">
        <v>46273.0</v>
      </c>
      <c r="E2397" s="52">
        <v>600.0</v>
      </c>
      <c r="F2397" s="55" t="s">
        <v>2394</v>
      </c>
      <c r="G2397" s="55" t="s">
        <v>2547</v>
      </c>
      <c r="H2397" s="55" t="s">
        <v>1490</v>
      </c>
      <c r="I2397" s="26" t="s">
        <v>202</v>
      </c>
      <c r="J2397" s="26" t="s">
        <v>1225</v>
      </c>
      <c r="K2397" s="26" t="s">
        <v>1562</v>
      </c>
      <c r="L2397" s="26" t="s">
        <v>1573</v>
      </c>
      <c r="M2397" s="26" t="s">
        <v>1574</v>
      </c>
      <c r="N2397" s="26" t="s">
        <v>1566</v>
      </c>
      <c r="O2397" s="26" t="s">
        <v>1566</v>
      </c>
      <c r="P2397" s="26" t="s">
        <v>22</v>
      </c>
      <c r="Q2397" s="26">
        <v>600.0</v>
      </c>
    </row>
    <row r="2398" ht="17.25" customHeight="1">
      <c r="A2398" s="51">
        <v>46273.725650555556</v>
      </c>
      <c r="B2398" s="55" t="s">
        <v>61</v>
      </c>
      <c r="C2398" s="55" t="s">
        <v>1560</v>
      </c>
      <c r="D2398" s="240">
        <v>46273.0</v>
      </c>
      <c r="E2398" s="52">
        <v>1100.0</v>
      </c>
      <c r="F2398" s="55" t="s">
        <v>2394</v>
      </c>
      <c r="G2398" s="55" t="s">
        <v>2547</v>
      </c>
      <c r="H2398" s="55" t="s">
        <v>64</v>
      </c>
      <c r="I2398" s="26" t="s">
        <v>62</v>
      </c>
      <c r="J2398" s="26" t="s">
        <v>1225</v>
      </c>
      <c r="K2398" s="26" t="s">
        <v>1562</v>
      </c>
      <c r="L2398" s="26" t="s">
        <v>1600</v>
      </c>
      <c r="M2398" s="26" t="s">
        <v>1575</v>
      </c>
      <c r="N2398" s="26" t="s">
        <v>1566</v>
      </c>
      <c r="O2398" s="26" t="s">
        <v>2160</v>
      </c>
      <c r="P2398" s="26" t="s">
        <v>22</v>
      </c>
      <c r="Q2398" s="26">
        <v>0.0</v>
      </c>
    </row>
    <row r="2399" ht="17.25" customHeight="1">
      <c r="A2399" s="51">
        <v>46273.72567584491</v>
      </c>
      <c r="B2399" s="55" t="s">
        <v>791</v>
      </c>
      <c r="C2399" s="55" t="s">
        <v>1560</v>
      </c>
      <c r="D2399" s="240">
        <v>46273.0</v>
      </c>
      <c r="E2399" s="52">
        <v>1000.0</v>
      </c>
      <c r="F2399" s="55" t="s">
        <v>2394</v>
      </c>
      <c r="G2399" s="55" t="s">
        <v>2547</v>
      </c>
      <c r="H2399" s="55" t="s">
        <v>795</v>
      </c>
      <c r="I2399" s="26" t="s">
        <v>794</v>
      </c>
      <c r="J2399" s="26" t="s">
        <v>1225</v>
      </c>
      <c r="K2399" s="26" t="s">
        <v>1646</v>
      </c>
      <c r="L2399" s="26" t="s">
        <v>1576</v>
      </c>
      <c r="M2399" s="26" t="s">
        <v>1645</v>
      </c>
      <c r="N2399" s="26" t="s">
        <v>1566</v>
      </c>
      <c r="O2399" s="26" t="s">
        <v>1566</v>
      </c>
      <c r="P2399" s="26" t="s">
        <v>22</v>
      </c>
      <c r="Q2399" s="26">
        <v>0.0</v>
      </c>
    </row>
    <row r="2400" ht="17.25" customHeight="1">
      <c r="A2400" s="51">
        <v>46273.7257069676</v>
      </c>
      <c r="B2400" s="55" t="s">
        <v>799</v>
      </c>
      <c r="C2400" s="55" t="s">
        <v>1560</v>
      </c>
      <c r="D2400" s="240">
        <v>46273.0</v>
      </c>
      <c r="E2400" s="52">
        <v>1000.0</v>
      </c>
      <c r="F2400" s="55" t="s">
        <v>2394</v>
      </c>
      <c r="G2400" s="55" t="s">
        <v>2547</v>
      </c>
      <c r="H2400" s="55" t="s">
        <v>801</v>
      </c>
      <c r="I2400" s="26" t="s">
        <v>800</v>
      </c>
      <c r="J2400" s="26" t="s">
        <v>1225</v>
      </c>
      <c r="K2400" s="26" t="s">
        <v>1646</v>
      </c>
      <c r="L2400" s="26" t="s">
        <v>1563</v>
      </c>
      <c r="M2400" s="26" t="s">
        <v>1645</v>
      </c>
      <c r="N2400" s="26" t="s">
        <v>1566</v>
      </c>
      <c r="O2400" s="26" t="s">
        <v>1566</v>
      </c>
      <c r="P2400" s="26" t="s">
        <v>22</v>
      </c>
      <c r="Q2400" s="26">
        <v>0.0</v>
      </c>
    </row>
    <row r="2401" ht="17.25" customHeight="1">
      <c r="A2401" s="51">
        <v>46273.73126743056</v>
      </c>
      <c r="B2401" s="55" t="s">
        <v>105</v>
      </c>
      <c r="C2401" s="55" t="s">
        <v>1892</v>
      </c>
      <c r="D2401" s="240">
        <v>46273.0</v>
      </c>
      <c r="E2401" s="52">
        <v>5200.0</v>
      </c>
      <c r="F2401" s="55" t="s">
        <v>24</v>
      </c>
      <c r="G2401" s="55"/>
      <c r="H2401" s="55" t="s">
        <v>727</v>
      </c>
      <c r="I2401" s="26" t="s">
        <v>107</v>
      </c>
      <c r="J2401" s="26" t="s">
        <v>1225</v>
      </c>
      <c r="K2401" s="26" t="s">
        <v>1562</v>
      </c>
      <c r="L2401" s="26" t="s">
        <v>1603</v>
      </c>
      <c r="M2401" s="26" t="s">
        <v>1575</v>
      </c>
      <c r="N2401" s="26" t="s">
        <v>1571</v>
      </c>
      <c r="O2401" s="26" t="s">
        <v>1566</v>
      </c>
      <c r="P2401" s="26" t="s">
        <v>22</v>
      </c>
      <c r="Q2401" s="26">
        <v>1200.0</v>
      </c>
    </row>
    <row r="2402" ht="17.25" customHeight="1">
      <c r="A2402" s="51">
        <v>46273.731375717594</v>
      </c>
      <c r="B2402" s="55" t="s">
        <v>734</v>
      </c>
      <c r="C2402" s="55" t="s">
        <v>1892</v>
      </c>
      <c r="D2402" s="240">
        <v>46273.0</v>
      </c>
      <c r="E2402" s="52">
        <v>1560.0</v>
      </c>
      <c r="F2402" s="55" t="s">
        <v>24</v>
      </c>
      <c r="G2402" s="55" t="s">
        <v>2548</v>
      </c>
      <c r="H2402" s="55" t="s">
        <v>737</v>
      </c>
      <c r="I2402" s="26" t="s">
        <v>736</v>
      </c>
      <c r="J2402" s="26" t="s">
        <v>1225</v>
      </c>
      <c r="K2402" s="26" t="s">
        <v>1562</v>
      </c>
      <c r="L2402" s="26" t="s">
        <v>1591</v>
      </c>
      <c r="M2402" s="26" t="s">
        <v>1564</v>
      </c>
      <c r="N2402" s="26" t="s">
        <v>1566</v>
      </c>
      <c r="O2402" s="26" t="s">
        <v>1566</v>
      </c>
      <c r="P2402" s="26" t="s">
        <v>22</v>
      </c>
      <c r="Q2402" s="26">
        <v>1000.0</v>
      </c>
    </row>
    <row r="2403" ht="17.25" customHeight="1">
      <c r="A2403" s="51">
        <v>46273.73169017361</v>
      </c>
      <c r="B2403" s="55" t="s">
        <v>304</v>
      </c>
      <c r="C2403" s="55" t="s">
        <v>1892</v>
      </c>
      <c r="D2403" s="240">
        <v>46273.0</v>
      </c>
      <c r="E2403" s="52">
        <v>2.0</v>
      </c>
      <c r="F2403" s="55" t="s">
        <v>24</v>
      </c>
      <c r="G2403" s="55"/>
      <c r="H2403" s="55"/>
      <c r="I2403" s="26" t="s">
        <v>306</v>
      </c>
      <c r="J2403" s="26" t="s">
        <v>1674</v>
      </c>
      <c r="K2403" s="26" t="s">
        <v>1675</v>
      </c>
      <c r="L2403" s="26" t="s">
        <v>1566</v>
      </c>
      <c r="M2403" s="26" t="s">
        <v>1566</v>
      </c>
      <c r="N2403" s="26" t="s">
        <v>1682</v>
      </c>
      <c r="O2403" s="26" t="s">
        <v>1677</v>
      </c>
      <c r="P2403" s="26" t="s">
        <v>290</v>
      </c>
      <c r="Q2403" s="26">
        <v>6.0</v>
      </c>
    </row>
    <row r="2404" ht="17.25" customHeight="1">
      <c r="A2404" s="51">
        <v>46273.7319421412</v>
      </c>
      <c r="B2404" s="55" t="s">
        <v>297</v>
      </c>
      <c r="C2404" s="55" t="s">
        <v>1892</v>
      </c>
      <c r="D2404" s="240">
        <v>46273.0</v>
      </c>
      <c r="E2404" s="52">
        <v>2.0</v>
      </c>
      <c r="F2404" s="55" t="s">
        <v>24</v>
      </c>
      <c r="G2404" s="55"/>
      <c r="H2404" s="55"/>
      <c r="I2404" s="26" t="s">
        <v>298</v>
      </c>
      <c r="J2404" s="26" t="s">
        <v>1674</v>
      </c>
      <c r="K2404" s="26" t="s">
        <v>1675</v>
      </c>
      <c r="L2404" s="26" t="s">
        <v>1566</v>
      </c>
      <c r="M2404" s="26" t="s">
        <v>1566</v>
      </c>
      <c r="N2404" s="26" t="s">
        <v>1680</v>
      </c>
      <c r="O2404" s="26" t="s">
        <v>1677</v>
      </c>
      <c r="P2404" s="26" t="s">
        <v>290</v>
      </c>
      <c r="Q2404" s="26">
        <v>10.0</v>
      </c>
    </row>
    <row r="2405" ht="17.25" customHeight="1">
      <c r="A2405" s="51">
        <v>46273.74337215278</v>
      </c>
      <c r="B2405" s="55" t="s">
        <v>778</v>
      </c>
      <c r="C2405" s="55" t="s">
        <v>1560</v>
      </c>
      <c r="D2405" s="240">
        <v>46273.0</v>
      </c>
      <c r="E2405" s="52">
        <v>2880.0</v>
      </c>
      <c r="F2405" s="55" t="s">
        <v>2394</v>
      </c>
      <c r="G2405" s="55" t="s">
        <v>2549</v>
      </c>
      <c r="H2405" s="55" t="s">
        <v>368</v>
      </c>
      <c r="I2405" s="26" t="s">
        <v>779</v>
      </c>
      <c r="J2405" s="26" t="s">
        <v>1225</v>
      </c>
      <c r="K2405" s="26" t="s">
        <v>1653</v>
      </c>
      <c r="L2405" s="26" t="s">
        <v>1576</v>
      </c>
      <c r="M2405" s="26" t="s">
        <v>1572</v>
      </c>
      <c r="N2405" s="26" t="s">
        <v>1566</v>
      </c>
      <c r="O2405" s="26" t="s">
        <v>1654</v>
      </c>
      <c r="P2405" s="26" t="s">
        <v>22</v>
      </c>
      <c r="Q2405" s="26">
        <v>0.0</v>
      </c>
    </row>
    <row r="2406" ht="17.25" customHeight="1">
      <c r="A2406" s="51">
        <v>46275.481747777776</v>
      </c>
      <c r="B2406" s="55" t="s">
        <v>304</v>
      </c>
      <c r="C2406" s="55" t="s">
        <v>1892</v>
      </c>
      <c r="D2406" s="240">
        <v>46274.0</v>
      </c>
      <c r="E2406" s="52">
        <v>4.0</v>
      </c>
      <c r="F2406" s="55" t="s">
        <v>24</v>
      </c>
      <c r="G2406" s="55"/>
      <c r="H2406" s="55"/>
      <c r="I2406" s="26" t="s">
        <v>306</v>
      </c>
      <c r="J2406" s="26" t="s">
        <v>1674</v>
      </c>
      <c r="K2406" s="26" t="s">
        <v>1675</v>
      </c>
      <c r="L2406" s="26" t="s">
        <v>1566</v>
      </c>
      <c r="M2406" s="26" t="s">
        <v>1566</v>
      </c>
      <c r="N2406" s="26" t="s">
        <v>1682</v>
      </c>
      <c r="O2406" s="26" t="s">
        <v>1677</v>
      </c>
      <c r="P2406" s="26" t="s">
        <v>290</v>
      </c>
      <c r="Q2406" s="26">
        <v>6.0</v>
      </c>
    </row>
    <row r="2407" ht="17.25" customHeight="1">
      <c r="A2407" s="51">
        <v>46275.48288199074</v>
      </c>
      <c r="B2407" s="55" t="s">
        <v>297</v>
      </c>
      <c r="C2407" s="55" t="s">
        <v>1892</v>
      </c>
      <c r="D2407" s="240">
        <v>46274.0</v>
      </c>
      <c r="E2407" s="52">
        <v>4.0</v>
      </c>
      <c r="F2407" s="55" t="s">
        <v>24</v>
      </c>
      <c r="G2407" s="55"/>
      <c r="H2407" s="55"/>
      <c r="I2407" s="26" t="s">
        <v>298</v>
      </c>
      <c r="J2407" s="26" t="s">
        <v>1674</v>
      </c>
      <c r="K2407" s="26" t="s">
        <v>1675</v>
      </c>
      <c r="L2407" s="26" t="s">
        <v>1566</v>
      </c>
      <c r="M2407" s="26" t="s">
        <v>1566</v>
      </c>
      <c r="N2407" s="26" t="s">
        <v>1680</v>
      </c>
      <c r="O2407" s="26" t="s">
        <v>1677</v>
      </c>
      <c r="P2407" s="26" t="s">
        <v>290</v>
      </c>
      <c r="Q2407" s="26">
        <v>10.0</v>
      </c>
    </row>
    <row r="2408" ht="17.25" customHeight="1">
      <c r="A2408" s="51">
        <v>46275.5057941088</v>
      </c>
      <c r="B2408" s="55" t="s">
        <v>778</v>
      </c>
      <c r="C2408" s="55" t="s">
        <v>1892</v>
      </c>
      <c r="D2408" s="240">
        <v>46275.0</v>
      </c>
      <c r="E2408" s="52">
        <v>2880.0</v>
      </c>
      <c r="F2408" s="55" t="s">
        <v>24</v>
      </c>
      <c r="G2408" s="55"/>
      <c r="H2408" s="55" t="s">
        <v>368</v>
      </c>
      <c r="I2408" s="26" t="s">
        <v>779</v>
      </c>
      <c r="J2408" s="26" t="s">
        <v>1225</v>
      </c>
      <c r="K2408" s="26" t="s">
        <v>1653</v>
      </c>
      <c r="L2408" s="26" t="s">
        <v>1576</v>
      </c>
      <c r="M2408" s="26" t="s">
        <v>1572</v>
      </c>
      <c r="N2408" s="26" t="s">
        <v>1566</v>
      </c>
      <c r="O2408" s="26" t="s">
        <v>1654</v>
      </c>
      <c r="P2408" s="26" t="s">
        <v>22</v>
      </c>
      <c r="Q2408" s="26">
        <v>0.0</v>
      </c>
    </row>
    <row r="2409" ht="17.25" customHeight="1">
      <c r="A2409" s="51">
        <v>46275.50589946759</v>
      </c>
      <c r="B2409" s="55" t="s">
        <v>365</v>
      </c>
      <c r="C2409" s="55" t="s">
        <v>1892</v>
      </c>
      <c r="D2409" s="240">
        <v>46275.0</v>
      </c>
      <c r="E2409" s="52">
        <v>1728.0</v>
      </c>
      <c r="F2409" s="55" t="s">
        <v>24</v>
      </c>
      <c r="G2409" s="55" t="s">
        <v>2550</v>
      </c>
      <c r="H2409" s="55" t="s">
        <v>784</v>
      </c>
      <c r="I2409" s="26" t="s">
        <v>367</v>
      </c>
      <c r="J2409" s="26" t="s">
        <v>1225</v>
      </c>
      <c r="K2409" s="26" t="s">
        <v>1653</v>
      </c>
      <c r="L2409" s="26" t="s">
        <v>1584</v>
      </c>
      <c r="M2409" s="26" t="s">
        <v>1572</v>
      </c>
      <c r="N2409" s="26" t="s">
        <v>1654</v>
      </c>
      <c r="O2409" s="26" t="s">
        <v>1566</v>
      </c>
      <c r="P2409" s="26" t="s">
        <v>22</v>
      </c>
      <c r="Q2409" s="26">
        <v>0.0</v>
      </c>
    </row>
    <row r="2410" ht="17.25" customHeight="1">
      <c r="A2410" s="51">
        <v>46275.505995949075</v>
      </c>
      <c r="B2410" s="55" t="s">
        <v>791</v>
      </c>
      <c r="C2410" s="55" t="s">
        <v>1892</v>
      </c>
      <c r="D2410" s="240">
        <v>46275.0</v>
      </c>
      <c r="E2410" s="52">
        <v>1000.0</v>
      </c>
      <c r="F2410" s="55" t="s">
        <v>24</v>
      </c>
      <c r="G2410" s="55"/>
      <c r="H2410" s="55" t="s">
        <v>795</v>
      </c>
      <c r="I2410" s="26" t="s">
        <v>794</v>
      </c>
      <c r="J2410" s="26" t="s">
        <v>1225</v>
      </c>
      <c r="K2410" s="26" t="s">
        <v>1646</v>
      </c>
      <c r="L2410" s="26" t="s">
        <v>1576</v>
      </c>
      <c r="M2410" s="26" t="s">
        <v>1645</v>
      </c>
      <c r="N2410" s="26" t="s">
        <v>1566</v>
      </c>
      <c r="O2410" s="26" t="s">
        <v>1566</v>
      </c>
      <c r="P2410" s="26" t="s">
        <v>22</v>
      </c>
      <c r="Q2410" s="26">
        <v>0.0</v>
      </c>
    </row>
    <row r="2411" ht="17.25" customHeight="1">
      <c r="A2411" s="51">
        <v>46275.50607856482</v>
      </c>
      <c r="B2411" s="55" t="s">
        <v>799</v>
      </c>
      <c r="C2411" s="55" t="s">
        <v>1892</v>
      </c>
      <c r="D2411" s="240">
        <v>46275.0</v>
      </c>
      <c r="E2411" s="52">
        <v>1000.0</v>
      </c>
      <c r="F2411" s="55" t="s">
        <v>24</v>
      </c>
      <c r="G2411" s="55"/>
      <c r="H2411" s="55" t="s">
        <v>801</v>
      </c>
      <c r="I2411" s="26" t="s">
        <v>800</v>
      </c>
      <c r="J2411" s="26" t="s">
        <v>1225</v>
      </c>
      <c r="K2411" s="26" t="s">
        <v>1646</v>
      </c>
      <c r="L2411" s="26" t="s">
        <v>1563</v>
      </c>
      <c r="M2411" s="26" t="s">
        <v>1645</v>
      </c>
      <c r="N2411" s="26" t="s">
        <v>1566</v>
      </c>
      <c r="O2411" s="26" t="s">
        <v>1566</v>
      </c>
      <c r="P2411" s="26" t="s">
        <v>22</v>
      </c>
      <c r="Q2411" s="26">
        <v>0.0</v>
      </c>
    </row>
    <row r="2412" ht="17.25" customHeight="1">
      <c r="A2412" s="51">
        <v>46275.5061959375</v>
      </c>
      <c r="B2412" s="55" t="s">
        <v>41</v>
      </c>
      <c r="C2412" s="55" t="s">
        <v>1892</v>
      </c>
      <c r="D2412" s="240">
        <v>46275.0</v>
      </c>
      <c r="E2412" s="52">
        <v>700.0</v>
      </c>
      <c r="F2412" s="55" t="s">
        <v>24</v>
      </c>
      <c r="G2412" s="55" t="s">
        <v>2551</v>
      </c>
      <c r="H2412" s="55" t="s">
        <v>806</v>
      </c>
      <c r="I2412" s="26" t="s">
        <v>42</v>
      </c>
      <c r="J2412" s="26" t="s">
        <v>1225</v>
      </c>
      <c r="K2412" s="26" t="s">
        <v>1562</v>
      </c>
      <c r="L2412" s="26" t="s">
        <v>1576</v>
      </c>
      <c r="M2412" s="26" t="s">
        <v>1575</v>
      </c>
      <c r="N2412" s="26" t="s">
        <v>1571</v>
      </c>
      <c r="O2412" s="26" t="s">
        <v>1566</v>
      </c>
      <c r="P2412" s="26" t="s">
        <v>22</v>
      </c>
      <c r="Q2412" s="26">
        <v>200.0</v>
      </c>
    </row>
    <row r="2413" ht="17.25" customHeight="1">
      <c r="A2413" s="51">
        <v>46275.52309682871</v>
      </c>
      <c r="B2413" s="55" t="s">
        <v>814</v>
      </c>
      <c r="C2413" s="55" t="s">
        <v>1560</v>
      </c>
      <c r="D2413" s="240">
        <v>46274.0</v>
      </c>
      <c r="E2413" s="52">
        <v>4.0</v>
      </c>
      <c r="F2413" s="55" t="s">
        <v>2394</v>
      </c>
      <c r="G2413" s="55" t="s">
        <v>2554</v>
      </c>
      <c r="H2413" s="55"/>
      <c r="I2413" s="26" t="s">
        <v>815</v>
      </c>
      <c r="J2413" s="26" t="s">
        <v>1674</v>
      </c>
      <c r="K2413" s="26" t="s">
        <v>1691</v>
      </c>
      <c r="L2413" s="26" t="s">
        <v>1566</v>
      </c>
      <c r="M2413" s="26" t="s">
        <v>1566</v>
      </c>
      <c r="N2413" s="26" t="s">
        <v>1566</v>
      </c>
      <c r="O2413" s="26" t="s">
        <v>1566</v>
      </c>
      <c r="P2413" s="26" t="s">
        <v>290</v>
      </c>
      <c r="Q2413" s="26">
        <v>2.0</v>
      </c>
    </row>
    <row r="2414" ht="17.25" customHeight="1">
      <c r="A2414" s="51">
        <v>46275.52338994213</v>
      </c>
      <c r="B2414" s="55" t="s">
        <v>814</v>
      </c>
      <c r="C2414" s="55" t="s">
        <v>1892</v>
      </c>
      <c r="D2414" s="240">
        <v>46274.0</v>
      </c>
      <c r="E2414" s="52">
        <v>2.0</v>
      </c>
      <c r="F2414" s="55" t="s">
        <v>24</v>
      </c>
      <c r="G2414" s="55"/>
      <c r="H2414" s="55"/>
      <c r="I2414" s="26" t="s">
        <v>815</v>
      </c>
      <c r="J2414" s="26" t="s">
        <v>1674</v>
      </c>
      <c r="K2414" s="26" t="s">
        <v>1691</v>
      </c>
      <c r="L2414" s="26" t="s">
        <v>1566</v>
      </c>
      <c r="M2414" s="26" t="s">
        <v>1566</v>
      </c>
      <c r="N2414" s="26" t="s">
        <v>1566</v>
      </c>
      <c r="O2414" s="26" t="s">
        <v>1566</v>
      </c>
      <c r="P2414" s="26" t="s">
        <v>290</v>
      </c>
      <c r="Q2414" s="26">
        <v>2.0</v>
      </c>
    </row>
    <row r="2415" ht="17.25" customHeight="1">
      <c r="A2415" s="51">
        <v>46275.52569693287</v>
      </c>
      <c r="B2415" s="55" t="s">
        <v>823</v>
      </c>
      <c r="C2415" s="55" t="s">
        <v>1560</v>
      </c>
      <c r="D2415" s="240">
        <v>46274.0</v>
      </c>
      <c r="E2415" s="52">
        <v>1.0</v>
      </c>
      <c r="F2415" s="55" t="s">
        <v>2394</v>
      </c>
      <c r="G2415" s="55" t="s">
        <v>2555</v>
      </c>
      <c r="H2415" s="55"/>
      <c r="I2415" s="26" t="s">
        <v>824</v>
      </c>
      <c r="J2415" s="26" t="s">
        <v>1674</v>
      </c>
      <c r="K2415" s="26" t="s">
        <v>1691</v>
      </c>
      <c r="L2415" s="26" t="s">
        <v>1566</v>
      </c>
      <c r="M2415" s="26" t="s">
        <v>1566</v>
      </c>
      <c r="N2415" s="26" t="s">
        <v>1566</v>
      </c>
      <c r="O2415" s="26" t="s">
        <v>1566</v>
      </c>
      <c r="P2415" s="26" t="s">
        <v>290</v>
      </c>
      <c r="Q2415" s="26">
        <v>0.0</v>
      </c>
    </row>
    <row r="2416" ht="17.25" customHeight="1">
      <c r="A2416" s="51">
        <v>46275.53885282407</v>
      </c>
      <c r="B2416" s="55" t="s">
        <v>872</v>
      </c>
      <c r="C2416" s="55" t="s">
        <v>1560</v>
      </c>
      <c r="D2416" s="240">
        <v>46275.0</v>
      </c>
      <c r="E2416" s="52">
        <v>900.0</v>
      </c>
      <c r="F2416" s="55" t="s">
        <v>2394</v>
      </c>
      <c r="G2416" s="55" t="s">
        <v>2556</v>
      </c>
      <c r="H2416" s="55" t="s">
        <v>875</v>
      </c>
      <c r="I2416" s="26" t="s">
        <v>873</v>
      </c>
      <c r="J2416" s="26" t="s">
        <v>1225</v>
      </c>
      <c r="K2416" s="26" t="s">
        <v>2125</v>
      </c>
      <c r="L2416" s="26" t="s">
        <v>1576</v>
      </c>
      <c r="M2416" s="26" t="s">
        <v>1566</v>
      </c>
      <c r="N2416" s="26" t="s">
        <v>1566</v>
      </c>
      <c r="O2416" s="26" t="s">
        <v>2126</v>
      </c>
      <c r="P2416" s="26" t="s">
        <v>22</v>
      </c>
      <c r="Q2416" s="26">
        <v>800.0</v>
      </c>
    </row>
    <row r="2417" ht="17.25" customHeight="1">
      <c r="A2417" s="51">
        <v>46275.53887079861</v>
      </c>
      <c r="B2417" s="55" t="s">
        <v>883</v>
      </c>
      <c r="C2417" s="55" t="s">
        <v>1560</v>
      </c>
      <c r="D2417" s="240">
        <v>46275.0</v>
      </c>
      <c r="E2417" s="52">
        <v>800.0</v>
      </c>
      <c r="F2417" s="55" t="s">
        <v>2394</v>
      </c>
      <c r="G2417" s="55" t="s">
        <v>2556</v>
      </c>
      <c r="H2417" s="55" t="s">
        <v>886</v>
      </c>
      <c r="I2417" s="26" t="s">
        <v>884</v>
      </c>
      <c r="J2417" s="26" t="s">
        <v>1225</v>
      </c>
      <c r="K2417" s="26" t="s">
        <v>1831</v>
      </c>
      <c r="L2417" s="26" t="s">
        <v>1563</v>
      </c>
      <c r="M2417" s="26" t="s">
        <v>1566</v>
      </c>
      <c r="N2417" s="26" t="s">
        <v>1566</v>
      </c>
      <c r="O2417" s="26" t="s">
        <v>1566</v>
      </c>
      <c r="P2417" s="26" t="s">
        <v>22</v>
      </c>
      <c r="Q2417" s="26">
        <v>0.0</v>
      </c>
    </row>
    <row r="2418" ht="17.25" customHeight="1">
      <c r="A2418" s="51">
        <v>46275.538888634255</v>
      </c>
      <c r="B2418" s="55" t="s">
        <v>271</v>
      </c>
      <c r="C2418" s="55" t="s">
        <v>1560</v>
      </c>
      <c r="D2418" s="240">
        <v>46275.0</v>
      </c>
      <c r="E2418" s="52">
        <v>20.0</v>
      </c>
      <c r="F2418" s="55" t="s">
        <v>2394</v>
      </c>
      <c r="G2418" s="55" t="s">
        <v>2556</v>
      </c>
      <c r="H2418" s="55"/>
      <c r="I2418" s="26" t="s">
        <v>277</v>
      </c>
      <c r="J2418" s="26" t="s">
        <v>1821</v>
      </c>
      <c r="K2418" s="26" t="s">
        <v>1822</v>
      </c>
      <c r="L2418" s="26" t="s">
        <v>1824</v>
      </c>
      <c r="M2418" s="26" t="s">
        <v>1566</v>
      </c>
      <c r="N2418" s="26" t="s">
        <v>1566</v>
      </c>
      <c r="O2418" s="26" t="s">
        <v>1566</v>
      </c>
      <c r="P2418" s="26" t="s">
        <v>661</v>
      </c>
      <c r="Q2418" s="26">
        <v>45.0</v>
      </c>
    </row>
    <row r="2419" ht="17.25" customHeight="1">
      <c r="A2419" s="51">
        <v>46275.538905740745</v>
      </c>
      <c r="B2419" s="55" t="s">
        <v>1244</v>
      </c>
      <c r="C2419" s="55" t="s">
        <v>1560</v>
      </c>
      <c r="D2419" s="240">
        <v>46275.0</v>
      </c>
      <c r="E2419" s="52">
        <v>6.0</v>
      </c>
      <c r="F2419" s="55" t="s">
        <v>2394</v>
      </c>
      <c r="G2419" s="55" t="s">
        <v>2556</v>
      </c>
      <c r="H2419" s="55"/>
      <c r="I2419" s="26" t="s">
        <v>1245</v>
      </c>
      <c r="J2419" s="26" t="s">
        <v>1821</v>
      </c>
      <c r="K2419" s="26" t="s">
        <v>1821</v>
      </c>
      <c r="L2419" s="26" t="s">
        <v>1566</v>
      </c>
      <c r="M2419" s="26">
        <v>12.5</v>
      </c>
      <c r="N2419" s="26" t="s">
        <v>1566</v>
      </c>
      <c r="O2419" s="26" t="s">
        <v>1566</v>
      </c>
      <c r="P2419" s="26" t="s">
        <v>661</v>
      </c>
      <c r="Q2419" s="26">
        <v>6.0</v>
      </c>
    </row>
    <row r="2420" ht="17.25" customHeight="1">
      <c r="A2420" s="51">
        <v>46275.53921134259</v>
      </c>
      <c r="B2420" s="55" t="s">
        <v>1244</v>
      </c>
      <c r="C2420" s="55" t="s">
        <v>1892</v>
      </c>
      <c r="D2420" s="240">
        <v>46275.0</v>
      </c>
      <c r="E2420" s="52">
        <v>10.0</v>
      </c>
      <c r="F2420" s="55" t="s">
        <v>2094</v>
      </c>
      <c r="G2420" s="55"/>
      <c r="H2420" s="55"/>
      <c r="I2420" s="26" t="s">
        <v>1245</v>
      </c>
      <c r="J2420" s="26" t="s">
        <v>1821</v>
      </c>
      <c r="K2420" s="26" t="s">
        <v>1821</v>
      </c>
      <c r="L2420" s="26" t="s">
        <v>1566</v>
      </c>
      <c r="M2420" s="26">
        <v>12.5</v>
      </c>
      <c r="N2420" s="26" t="s">
        <v>1566</v>
      </c>
      <c r="O2420" s="26" t="s">
        <v>1566</v>
      </c>
      <c r="P2420" s="26" t="s">
        <v>661</v>
      </c>
      <c r="Q2420" s="26">
        <v>6.0</v>
      </c>
    </row>
    <row r="2421" ht="17.25" customHeight="1">
      <c r="A2421" s="51">
        <v>46275.63748856481</v>
      </c>
      <c r="B2421" s="55" t="s">
        <v>823</v>
      </c>
      <c r="C2421" s="55" t="s">
        <v>1892</v>
      </c>
      <c r="D2421" s="240">
        <v>46275.0</v>
      </c>
      <c r="E2421" s="52">
        <v>1.0</v>
      </c>
      <c r="F2421" s="55" t="s">
        <v>24</v>
      </c>
      <c r="G2421" s="55"/>
      <c r="H2421" s="55"/>
      <c r="I2421" s="26" t="s">
        <v>824</v>
      </c>
      <c r="J2421" s="26" t="s">
        <v>1674</v>
      </c>
      <c r="K2421" s="26" t="s">
        <v>1691</v>
      </c>
      <c r="L2421" s="26" t="s">
        <v>1566</v>
      </c>
      <c r="M2421" s="26" t="s">
        <v>1566</v>
      </c>
      <c r="N2421" s="26" t="s">
        <v>1566</v>
      </c>
      <c r="O2421" s="26" t="s">
        <v>1566</v>
      </c>
      <c r="P2421" s="26" t="s">
        <v>290</v>
      </c>
      <c r="Q2421" s="26">
        <v>0.0</v>
      </c>
    </row>
    <row r="2422" ht="17.25" customHeight="1">
      <c r="A2422" s="51">
        <v>46275.63782116898</v>
      </c>
      <c r="B2422" s="55" t="s">
        <v>301</v>
      </c>
      <c r="C2422" s="55" t="s">
        <v>1892</v>
      </c>
      <c r="D2422" s="240">
        <v>46275.0</v>
      </c>
      <c r="E2422" s="52">
        <v>15.0</v>
      </c>
      <c r="F2422" s="55" t="s">
        <v>24</v>
      </c>
      <c r="G2422" s="55"/>
      <c r="H2422" s="55"/>
      <c r="I2422" s="26" t="s">
        <v>302</v>
      </c>
      <c r="J2422" s="26" t="s">
        <v>1830</v>
      </c>
      <c r="K2422" s="26" t="s">
        <v>302</v>
      </c>
      <c r="L2422" s="26" t="s">
        <v>1566</v>
      </c>
      <c r="M2422" s="26" t="s">
        <v>1566</v>
      </c>
      <c r="N2422" s="26" t="s">
        <v>1566</v>
      </c>
      <c r="O2422" s="26" t="s">
        <v>1566</v>
      </c>
      <c r="P2422" s="26" t="s">
        <v>661</v>
      </c>
      <c r="Q2422" s="26">
        <v>580.0</v>
      </c>
    </row>
    <row r="2423" ht="17.25" customHeight="1">
      <c r="A2423" s="51">
        <v>46275.638093912035</v>
      </c>
      <c r="B2423" s="55" t="s">
        <v>301</v>
      </c>
      <c r="C2423" s="55" t="s">
        <v>1892</v>
      </c>
      <c r="D2423" s="240">
        <v>46275.0</v>
      </c>
      <c r="E2423" s="52">
        <v>10.0</v>
      </c>
      <c r="F2423" s="55" t="s">
        <v>36</v>
      </c>
      <c r="G2423" s="55"/>
      <c r="H2423" s="55"/>
      <c r="I2423" s="26" t="s">
        <v>302</v>
      </c>
      <c r="J2423" s="26" t="s">
        <v>1830</v>
      </c>
      <c r="K2423" s="26" t="s">
        <v>302</v>
      </c>
      <c r="L2423" s="26" t="s">
        <v>1566</v>
      </c>
      <c r="M2423" s="26" t="s">
        <v>1566</v>
      </c>
      <c r="N2423" s="26" t="s">
        <v>1566</v>
      </c>
      <c r="O2423" s="26" t="s">
        <v>1566</v>
      </c>
      <c r="P2423" s="26" t="s">
        <v>661</v>
      </c>
      <c r="Q2423" s="26">
        <v>580.0</v>
      </c>
    </row>
    <row r="2424" ht="17.25" customHeight="1">
      <c r="A2424" s="51">
        <v>46275.64526159722</v>
      </c>
      <c r="B2424" s="55" t="s">
        <v>523</v>
      </c>
      <c r="C2424" s="55" t="s">
        <v>1892</v>
      </c>
      <c r="D2424" s="240">
        <v>46266.0</v>
      </c>
      <c r="E2424" s="52">
        <v>5.0</v>
      </c>
      <c r="F2424" s="55" t="s">
        <v>36</v>
      </c>
      <c r="G2424" s="55"/>
      <c r="H2424" s="55"/>
      <c r="I2424" s="26" t="s">
        <v>528</v>
      </c>
      <c r="J2424" s="26" t="s">
        <v>1812</v>
      </c>
      <c r="K2424" s="26" t="s">
        <v>1815</v>
      </c>
      <c r="L2424" s="26" t="s">
        <v>1566</v>
      </c>
      <c r="M2424" s="26" t="s">
        <v>1566</v>
      </c>
      <c r="N2424" s="26" t="s">
        <v>1566</v>
      </c>
      <c r="O2424" s="26" t="s">
        <v>1837</v>
      </c>
      <c r="P2424" s="26" t="s">
        <v>616</v>
      </c>
      <c r="Q2424" s="26">
        <v>15.0</v>
      </c>
    </row>
    <row r="2425" ht="17.25" customHeight="1">
      <c r="A2425" s="51">
        <v>46275.64554189815</v>
      </c>
      <c r="B2425" s="55" t="s">
        <v>523</v>
      </c>
      <c r="C2425" s="55" t="s">
        <v>1892</v>
      </c>
      <c r="D2425" s="240">
        <v>46275.0</v>
      </c>
      <c r="E2425" s="52">
        <v>5.0</v>
      </c>
      <c r="F2425" s="55" t="s">
        <v>36</v>
      </c>
      <c r="G2425" s="55"/>
      <c r="H2425" s="55"/>
      <c r="I2425" s="26" t="s">
        <v>528</v>
      </c>
      <c r="J2425" s="26" t="s">
        <v>1812</v>
      </c>
      <c r="K2425" s="26" t="s">
        <v>1815</v>
      </c>
      <c r="L2425" s="26" t="s">
        <v>1566</v>
      </c>
      <c r="M2425" s="26" t="s">
        <v>1566</v>
      </c>
      <c r="N2425" s="26" t="s">
        <v>1566</v>
      </c>
      <c r="O2425" s="26" t="s">
        <v>1837</v>
      </c>
      <c r="P2425" s="26" t="s">
        <v>616</v>
      </c>
      <c r="Q2425" s="26">
        <v>15.0</v>
      </c>
    </row>
    <row r="2426" ht="17.25" customHeight="1">
      <c r="A2426" s="51">
        <v>46276.44253908565</v>
      </c>
      <c r="B2426" s="55" t="s">
        <v>128</v>
      </c>
      <c r="C2426" s="55" t="s">
        <v>1560</v>
      </c>
      <c r="D2426" s="240">
        <v>46275.0</v>
      </c>
      <c r="E2426" s="52">
        <v>2700.0</v>
      </c>
      <c r="F2426" s="55" t="s">
        <v>2394</v>
      </c>
      <c r="G2426" s="55" t="s">
        <v>2558</v>
      </c>
      <c r="H2426" s="55" t="s">
        <v>2559</v>
      </c>
      <c r="I2426" s="26" t="s">
        <v>130</v>
      </c>
      <c r="J2426" s="26" t="s">
        <v>1225</v>
      </c>
      <c r="K2426" s="26" t="s">
        <v>1562</v>
      </c>
      <c r="L2426" s="26" t="s">
        <v>1615</v>
      </c>
      <c r="M2426" s="26" t="s">
        <v>1575</v>
      </c>
      <c r="N2426" s="26" t="s">
        <v>1571</v>
      </c>
      <c r="O2426" s="26" t="s">
        <v>1566</v>
      </c>
      <c r="P2426" s="26" t="s">
        <v>22</v>
      </c>
      <c r="Q2426" s="26">
        <v>500.0</v>
      </c>
    </row>
    <row r="2427" ht="17.25" customHeight="1">
      <c r="A2427" s="51">
        <v>46276.44255731482</v>
      </c>
      <c r="B2427" s="55" t="s">
        <v>1516</v>
      </c>
      <c r="C2427" s="55" t="s">
        <v>1560</v>
      </c>
      <c r="D2427" s="240">
        <v>46275.0</v>
      </c>
      <c r="E2427" s="52">
        <v>1100.0</v>
      </c>
      <c r="F2427" s="55" t="s">
        <v>2394</v>
      </c>
      <c r="G2427" s="55" t="s">
        <v>2558</v>
      </c>
      <c r="H2427" s="55" t="s">
        <v>2560</v>
      </c>
      <c r="I2427" s="26" t="s">
        <v>1517</v>
      </c>
      <c r="J2427" s="26" t="s">
        <v>1225</v>
      </c>
      <c r="K2427" s="26" t="s">
        <v>1562</v>
      </c>
      <c r="L2427" s="26" t="s">
        <v>1563</v>
      </c>
      <c r="M2427" s="26" t="s">
        <v>1597</v>
      </c>
      <c r="N2427" s="26" t="s">
        <v>1566</v>
      </c>
      <c r="O2427" s="26" t="s">
        <v>1566</v>
      </c>
      <c r="P2427" s="26" t="s">
        <v>22</v>
      </c>
      <c r="Q2427" s="26">
        <v>1100.0</v>
      </c>
    </row>
    <row r="2428" ht="17.25" customHeight="1">
      <c r="A2428" s="51">
        <v>46276.442574305554</v>
      </c>
      <c r="B2428" s="55" t="s">
        <v>105</v>
      </c>
      <c r="C2428" s="55" t="s">
        <v>1560</v>
      </c>
      <c r="D2428" s="240">
        <v>46275.0</v>
      </c>
      <c r="E2428" s="52">
        <v>1200.0</v>
      </c>
      <c r="F2428" s="55" t="s">
        <v>2394</v>
      </c>
      <c r="G2428" s="55" t="s">
        <v>2558</v>
      </c>
      <c r="H2428" s="55" t="s">
        <v>926</v>
      </c>
      <c r="I2428" s="26" t="s">
        <v>107</v>
      </c>
      <c r="J2428" s="26" t="s">
        <v>1225</v>
      </c>
      <c r="K2428" s="26" t="s">
        <v>1562</v>
      </c>
      <c r="L2428" s="26" t="s">
        <v>1603</v>
      </c>
      <c r="M2428" s="26" t="s">
        <v>1575</v>
      </c>
      <c r="N2428" s="26" t="s">
        <v>1571</v>
      </c>
      <c r="O2428" s="26" t="s">
        <v>1566</v>
      </c>
      <c r="P2428" s="26" t="s">
        <v>22</v>
      </c>
      <c r="Q2428" s="26">
        <v>1200.0</v>
      </c>
    </row>
    <row r="2429" ht="17.25" customHeight="1">
      <c r="A2429" s="51">
        <v>46276.44575704861</v>
      </c>
      <c r="B2429" s="55" t="s">
        <v>892</v>
      </c>
      <c r="C2429" s="55" t="s">
        <v>1892</v>
      </c>
      <c r="D2429" s="240">
        <v>46273.0</v>
      </c>
      <c r="E2429" s="52">
        <v>25.0</v>
      </c>
      <c r="F2429" s="55" t="s">
        <v>24</v>
      </c>
      <c r="G2429" s="55"/>
      <c r="H2429" s="55"/>
      <c r="I2429" s="26" t="s">
        <v>893</v>
      </c>
      <c r="J2429" s="26" t="s">
        <v>1812</v>
      </c>
      <c r="K2429" s="26" t="s">
        <v>1813</v>
      </c>
      <c r="L2429" s="26" t="s">
        <v>1566</v>
      </c>
      <c r="M2429" s="26" t="s">
        <v>1566</v>
      </c>
      <c r="N2429" s="26" t="s">
        <v>1566</v>
      </c>
      <c r="O2429" s="26" t="s">
        <v>1809</v>
      </c>
      <c r="P2429" s="26" t="s">
        <v>290</v>
      </c>
      <c r="Q2429" s="26">
        <v>20.0</v>
      </c>
    </row>
    <row r="2430" ht="17.25" customHeight="1">
      <c r="A2430" s="51">
        <v>46276.44659957176</v>
      </c>
      <c r="B2430" s="55" t="s">
        <v>892</v>
      </c>
      <c r="C2430" s="55" t="s">
        <v>1560</v>
      </c>
      <c r="D2430" s="240">
        <v>46275.0</v>
      </c>
      <c r="E2430" s="52">
        <v>20.0</v>
      </c>
      <c r="F2430" s="55" t="s">
        <v>2394</v>
      </c>
      <c r="G2430" s="55" t="s">
        <v>2561</v>
      </c>
      <c r="H2430" s="55"/>
      <c r="I2430" s="26" t="s">
        <v>893</v>
      </c>
      <c r="J2430" s="26" t="s">
        <v>1812</v>
      </c>
      <c r="K2430" s="26" t="s">
        <v>1813</v>
      </c>
      <c r="L2430" s="26" t="s">
        <v>1566</v>
      </c>
      <c r="M2430" s="26" t="s">
        <v>1566</v>
      </c>
      <c r="N2430" s="26" t="s">
        <v>1566</v>
      </c>
      <c r="O2430" s="26" t="s">
        <v>1809</v>
      </c>
      <c r="P2430" s="26" t="s">
        <v>290</v>
      </c>
      <c r="Q2430" s="26">
        <v>20.0</v>
      </c>
    </row>
    <row r="2431" ht="17.25" customHeight="1">
      <c r="A2431" s="51">
        <v>46276.44661131944</v>
      </c>
      <c r="B2431" s="55" t="s">
        <v>21</v>
      </c>
      <c r="C2431" s="55" t="s">
        <v>1560</v>
      </c>
      <c r="D2431" s="240">
        <v>46275.0</v>
      </c>
      <c r="E2431" s="52">
        <v>20.0</v>
      </c>
      <c r="F2431" s="55" t="s">
        <v>2394</v>
      </c>
      <c r="G2431" s="55" t="s">
        <v>2561</v>
      </c>
      <c r="H2431" s="55"/>
      <c r="I2431" s="26" t="s">
        <v>23</v>
      </c>
      <c r="J2431" s="26" t="s">
        <v>1812</v>
      </c>
      <c r="K2431" s="26" t="s">
        <v>1815</v>
      </c>
      <c r="L2431" s="26" t="s">
        <v>1566</v>
      </c>
      <c r="M2431" s="26" t="s">
        <v>1566</v>
      </c>
      <c r="N2431" s="26" t="s">
        <v>1566</v>
      </c>
      <c r="O2431" s="26" t="s">
        <v>1818</v>
      </c>
      <c r="P2431" s="26" t="s">
        <v>616</v>
      </c>
      <c r="Q2431" s="26">
        <v>20.0</v>
      </c>
    </row>
    <row r="2432" ht="17.25" customHeight="1">
      <c r="A2432" s="51">
        <v>46276.44662295139</v>
      </c>
      <c r="B2432" s="55" t="s">
        <v>523</v>
      </c>
      <c r="C2432" s="55" t="s">
        <v>1560</v>
      </c>
      <c r="D2432" s="240">
        <v>46275.0</v>
      </c>
      <c r="E2432" s="52">
        <v>15.0</v>
      </c>
      <c r="F2432" s="55" t="s">
        <v>2394</v>
      </c>
      <c r="G2432" s="55" t="s">
        <v>2561</v>
      </c>
      <c r="H2432" s="55"/>
      <c r="I2432" s="26" t="s">
        <v>528</v>
      </c>
      <c r="J2432" s="26" t="s">
        <v>1812</v>
      </c>
      <c r="K2432" s="26" t="s">
        <v>1815</v>
      </c>
      <c r="L2432" s="26" t="s">
        <v>1566</v>
      </c>
      <c r="M2432" s="26" t="s">
        <v>1566</v>
      </c>
      <c r="N2432" s="26" t="s">
        <v>1566</v>
      </c>
      <c r="O2432" s="26" t="s">
        <v>1837</v>
      </c>
      <c r="P2432" s="26" t="s">
        <v>616</v>
      </c>
      <c r="Q2432" s="26">
        <v>15.0</v>
      </c>
    </row>
    <row r="2433" ht="17.25" customHeight="1">
      <c r="A2433" s="51">
        <v>46276.44890956019</v>
      </c>
      <c r="B2433" s="55" t="s">
        <v>1505</v>
      </c>
      <c r="C2433" s="55" t="s">
        <v>1560</v>
      </c>
      <c r="D2433" s="240">
        <v>46274.0</v>
      </c>
      <c r="E2433" s="52">
        <v>1.0</v>
      </c>
      <c r="F2433" s="55" t="s">
        <v>2394</v>
      </c>
      <c r="G2433" s="55" t="s">
        <v>2562</v>
      </c>
      <c r="H2433" s="55"/>
      <c r="I2433" s="26" t="s">
        <v>1506</v>
      </c>
      <c r="J2433" s="26" t="s">
        <v>1674</v>
      </c>
      <c r="K2433" s="26" t="s">
        <v>1691</v>
      </c>
      <c r="L2433" s="26" t="s">
        <v>1566</v>
      </c>
      <c r="M2433" s="26" t="s">
        <v>1566</v>
      </c>
      <c r="N2433" s="26" t="s">
        <v>1566</v>
      </c>
      <c r="O2433" s="26" t="s">
        <v>1566</v>
      </c>
      <c r="P2433" s="26" t="s">
        <v>290</v>
      </c>
      <c r="Q2433" s="26">
        <v>1.0</v>
      </c>
    </row>
    <row r="2434" ht="17.25" customHeight="1">
      <c r="A2434" s="51">
        <v>46276.44892293982</v>
      </c>
      <c r="B2434" s="55" t="s">
        <v>1509</v>
      </c>
      <c r="C2434" s="55" t="s">
        <v>1560</v>
      </c>
      <c r="D2434" s="240">
        <v>46274.0</v>
      </c>
      <c r="E2434" s="52">
        <v>1.0</v>
      </c>
      <c r="F2434" s="55" t="s">
        <v>2394</v>
      </c>
      <c r="G2434" s="55" t="s">
        <v>2562</v>
      </c>
      <c r="H2434" s="55"/>
      <c r="I2434" s="26" t="s">
        <v>1510</v>
      </c>
      <c r="J2434" s="26" t="s">
        <v>1674</v>
      </c>
      <c r="K2434" s="26" t="s">
        <v>1691</v>
      </c>
      <c r="L2434" s="26" t="s">
        <v>1566</v>
      </c>
      <c r="M2434" s="26" t="s">
        <v>1566</v>
      </c>
      <c r="N2434" s="26" t="s">
        <v>1566</v>
      </c>
      <c r="O2434" s="26" t="s">
        <v>1566</v>
      </c>
      <c r="P2434" s="26" t="s">
        <v>290</v>
      </c>
      <c r="Q2434" s="26">
        <v>1.0</v>
      </c>
    </row>
    <row r="2435" ht="17.25" customHeight="1">
      <c r="A2435" s="51">
        <v>46276.45614834491</v>
      </c>
      <c r="B2435" s="55" t="s">
        <v>854</v>
      </c>
      <c r="C2435" s="55" t="s">
        <v>1892</v>
      </c>
      <c r="D2435" s="240">
        <v>46276.0</v>
      </c>
      <c r="E2435" s="52">
        <v>2500.0</v>
      </c>
      <c r="F2435" s="55" t="s">
        <v>24</v>
      </c>
      <c r="G2435" s="55" t="s">
        <v>860</v>
      </c>
      <c r="H2435" s="55" t="s">
        <v>858</v>
      </c>
      <c r="I2435" s="26" t="s">
        <v>855</v>
      </c>
      <c r="J2435" s="26" t="s">
        <v>1225</v>
      </c>
      <c r="K2435" s="26" t="s">
        <v>1562</v>
      </c>
      <c r="L2435" s="26" t="s">
        <v>1633</v>
      </c>
      <c r="M2435" s="26" t="s">
        <v>1572</v>
      </c>
      <c r="N2435" s="26" t="s">
        <v>1566</v>
      </c>
      <c r="O2435" s="26" t="s">
        <v>1566</v>
      </c>
      <c r="P2435" s="26" t="s">
        <v>22</v>
      </c>
      <c r="Q2435" s="26">
        <v>1200.0</v>
      </c>
    </row>
    <row r="2436" ht="17.25" customHeight="1">
      <c r="A2436" s="51">
        <v>46276.456227523144</v>
      </c>
      <c r="B2436" s="55" t="s">
        <v>61</v>
      </c>
      <c r="C2436" s="55" t="s">
        <v>1892</v>
      </c>
      <c r="D2436" s="240">
        <v>46276.0</v>
      </c>
      <c r="E2436" s="52">
        <v>1100.0</v>
      </c>
      <c r="F2436" s="55" t="s">
        <v>24</v>
      </c>
      <c r="G2436" s="55"/>
      <c r="H2436" s="55" t="s">
        <v>64</v>
      </c>
      <c r="I2436" s="26" t="s">
        <v>62</v>
      </c>
      <c r="J2436" s="26" t="s">
        <v>1225</v>
      </c>
      <c r="K2436" s="26" t="s">
        <v>1562</v>
      </c>
      <c r="L2436" s="26" t="s">
        <v>1600</v>
      </c>
      <c r="M2436" s="26" t="s">
        <v>1575</v>
      </c>
      <c r="N2436" s="26" t="s">
        <v>1566</v>
      </c>
      <c r="O2436" s="26" t="s">
        <v>2160</v>
      </c>
      <c r="P2436" s="26" t="s">
        <v>22</v>
      </c>
      <c r="Q2436" s="26">
        <v>0.0</v>
      </c>
    </row>
    <row r="2437" ht="17.25" customHeight="1">
      <c r="A2437" s="51">
        <v>46276.45632490741</v>
      </c>
      <c r="B2437" s="55" t="s">
        <v>872</v>
      </c>
      <c r="C2437" s="55" t="s">
        <v>1892</v>
      </c>
      <c r="D2437" s="240">
        <v>46276.0</v>
      </c>
      <c r="E2437" s="52">
        <v>900.0</v>
      </c>
      <c r="F2437" s="55" t="s">
        <v>24</v>
      </c>
      <c r="G2437" s="55"/>
      <c r="H2437" s="55" t="s">
        <v>875</v>
      </c>
      <c r="I2437" s="26" t="s">
        <v>873</v>
      </c>
      <c r="J2437" s="26" t="s">
        <v>1225</v>
      </c>
      <c r="K2437" s="26" t="s">
        <v>2125</v>
      </c>
      <c r="L2437" s="26" t="s">
        <v>1576</v>
      </c>
      <c r="M2437" s="26" t="s">
        <v>1566</v>
      </c>
      <c r="N2437" s="26" t="s">
        <v>1566</v>
      </c>
      <c r="O2437" s="26" t="s">
        <v>2126</v>
      </c>
      <c r="P2437" s="26" t="s">
        <v>22</v>
      </c>
      <c r="Q2437" s="26">
        <v>800.0</v>
      </c>
    </row>
    <row r="2438" ht="17.25" customHeight="1">
      <c r="A2438" s="51">
        <v>46276.45640768518</v>
      </c>
      <c r="B2438" s="55" t="s">
        <v>883</v>
      </c>
      <c r="C2438" s="55" t="s">
        <v>1892</v>
      </c>
      <c r="D2438" s="240">
        <v>46276.0</v>
      </c>
      <c r="E2438" s="52">
        <v>800.0</v>
      </c>
      <c r="F2438" s="55" t="s">
        <v>24</v>
      </c>
      <c r="G2438" s="55"/>
      <c r="H2438" s="55" t="s">
        <v>886</v>
      </c>
      <c r="I2438" s="26" t="s">
        <v>884</v>
      </c>
      <c r="J2438" s="26" t="s">
        <v>1225</v>
      </c>
      <c r="K2438" s="26" t="s">
        <v>1831</v>
      </c>
      <c r="L2438" s="26" t="s">
        <v>1563</v>
      </c>
      <c r="M2438" s="26" t="s">
        <v>1566</v>
      </c>
      <c r="N2438" s="26" t="s">
        <v>1566</v>
      </c>
      <c r="O2438" s="26" t="s">
        <v>1566</v>
      </c>
      <c r="P2438" s="26" t="s">
        <v>22</v>
      </c>
      <c r="Q2438" s="26">
        <v>0.0</v>
      </c>
    </row>
    <row r="2439" ht="17.25" customHeight="1">
      <c r="A2439" s="51">
        <v>46277.65882990741</v>
      </c>
      <c r="B2439" s="55" t="s">
        <v>1522</v>
      </c>
      <c r="C2439" s="55" t="s">
        <v>1560</v>
      </c>
      <c r="D2439" s="240">
        <v>46276.0</v>
      </c>
      <c r="E2439" s="52">
        <v>800.0</v>
      </c>
      <c r="F2439" s="55" t="s">
        <v>2394</v>
      </c>
      <c r="G2439" s="55" t="s">
        <v>2563</v>
      </c>
      <c r="H2439" s="55" t="s">
        <v>1524</v>
      </c>
      <c r="I2439" s="26" t="s">
        <v>1523</v>
      </c>
      <c r="J2439" s="26" t="s">
        <v>1225</v>
      </c>
      <c r="K2439" s="26" t="s">
        <v>1562</v>
      </c>
      <c r="L2439" s="26" t="s">
        <v>1563</v>
      </c>
      <c r="M2439" s="26" t="s">
        <v>1572</v>
      </c>
      <c r="N2439" s="26" t="s">
        <v>1571</v>
      </c>
      <c r="O2439" s="26" t="s">
        <v>1566</v>
      </c>
      <c r="P2439" s="26" t="s">
        <v>22</v>
      </c>
      <c r="Q2439" s="26">
        <v>800.0</v>
      </c>
    </row>
    <row r="2440" ht="17.25" customHeight="1">
      <c r="A2440" s="51">
        <v>46280.66658988426</v>
      </c>
      <c r="B2440" s="55" t="s">
        <v>41</v>
      </c>
      <c r="C2440" s="55" t="s">
        <v>1892</v>
      </c>
      <c r="D2440" s="240">
        <v>46280.0</v>
      </c>
      <c r="E2440" s="52">
        <v>700.0</v>
      </c>
      <c r="F2440" s="55" t="s">
        <v>24</v>
      </c>
      <c r="G2440" s="55"/>
      <c r="H2440" s="55" t="s">
        <v>606</v>
      </c>
      <c r="I2440" s="26" t="s">
        <v>42</v>
      </c>
      <c r="J2440" s="26" t="s">
        <v>1225</v>
      </c>
      <c r="K2440" s="26" t="s">
        <v>1562</v>
      </c>
      <c r="L2440" s="26" t="s">
        <v>1576</v>
      </c>
      <c r="M2440" s="26" t="s">
        <v>1575</v>
      </c>
      <c r="N2440" s="26" t="s">
        <v>1571</v>
      </c>
      <c r="O2440" s="26" t="s">
        <v>1566</v>
      </c>
      <c r="P2440" s="26" t="s">
        <v>22</v>
      </c>
      <c r="Q2440" s="26">
        <v>200.0</v>
      </c>
    </row>
    <row r="2441" ht="17.25" customHeight="1">
      <c r="A2441" s="51">
        <v>46280.678003865745</v>
      </c>
      <c r="B2441" s="55" t="s">
        <v>79</v>
      </c>
      <c r="C2441" s="55" t="s">
        <v>1560</v>
      </c>
      <c r="D2441" s="240">
        <v>46279.0</v>
      </c>
      <c r="E2441" s="52">
        <v>700.0</v>
      </c>
      <c r="F2441" s="55" t="s">
        <v>2394</v>
      </c>
      <c r="G2441" s="55" t="s">
        <v>2564</v>
      </c>
      <c r="H2441" s="55" t="s">
        <v>1528</v>
      </c>
      <c r="I2441" s="26" t="s">
        <v>80</v>
      </c>
      <c r="J2441" s="26" t="s">
        <v>1225</v>
      </c>
      <c r="K2441" s="26" t="s">
        <v>1562</v>
      </c>
      <c r="L2441" s="26" t="s">
        <v>1563</v>
      </c>
      <c r="M2441" s="26" t="s">
        <v>1575</v>
      </c>
      <c r="N2441" s="26" t="s">
        <v>1566</v>
      </c>
      <c r="O2441" s="26" t="s">
        <v>1566</v>
      </c>
      <c r="P2441" s="26" t="s">
        <v>22</v>
      </c>
      <c r="Q2441" s="26">
        <v>700.0</v>
      </c>
    </row>
    <row r="2442" ht="17.25" customHeight="1">
      <c r="A2442" s="51">
        <v>46280.67802695602</v>
      </c>
      <c r="B2442" s="55" t="s">
        <v>105</v>
      </c>
      <c r="C2442" s="55" t="s">
        <v>1560</v>
      </c>
      <c r="D2442" s="240">
        <v>46279.0</v>
      </c>
      <c r="E2442" s="52">
        <v>1200.0</v>
      </c>
      <c r="F2442" s="55" t="s">
        <v>2394</v>
      </c>
      <c r="G2442" s="55" t="s">
        <v>2564</v>
      </c>
      <c r="H2442" s="55" t="s">
        <v>926</v>
      </c>
      <c r="I2442" s="26" t="s">
        <v>107</v>
      </c>
      <c r="J2442" s="26" t="s">
        <v>1225</v>
      </c>
      <c r="K2442" s="26" t="s">
        <v>1562</v>
      </c>
      <c r="L2442" s="26" t="s">
        <v>1603</v>
      </c>
      <c r="M2442" s="26" t="s">
        <v>1575</v>
      </c>
      <c r="N2442" s="26" t="s">
        <v>1571</v>
      </c>
      <c r="O2442" s="26" t="s">
        <v>1566</v>
      </c>
      <c r="P2442" s="26" t="s">
        <v>22</v>
      </c>
      <c r="Q2442" s="26">
        <v>1200.0</v>
      </c>
    </row>
    <row r="2443" ht="17.25" customHeight="1">
      <c r="A2443" s="51">
        <v>46280.678047615744</v>
      </c>
      <c r="B2443" s="55" t="s">
        <v>913</v>
      </c>
      <c r="C2443" s="55" t="s">
        <v>1560</v>
      </c>
      <c r="D2443" s="240">
        <v>46279.0</v>
      </c>
      <c r="E2443" s="52">
        <v>700.0</v>
      </c>
      <c r="F2443" s="55" t="s">
        <v>2394</v>
      </c>
      <c r="G2443" s="55" t="s">
        <v>2564</v>
      </c>
      <c r="H2443" s="55" t="s">
        <v>917</v>
      </c>
      <c r="I2443" s="26" t="s">
        <v>915</v>
      </c>
      <c r="J2443" s="26" t="s">
        <v>1225</v>
      </c>
      <c r="K2443" s="26" t="s">
        <v>1562</v>
      </c>
      <c r="L2443" s="26" t="s">
        <v>1633</v>
      </c>
      <c r="M2443" s="26" t="s">
        <v>1564</v>
      </c>
      <c r="N2443" s="26" t="s">
        <v>1571</v>
      </c>
      <c r="O2443" s="26" t="s">
        <v>1566</v>
      </c>
      <c r="P2443" s="26" t="s">
        <v>22</v>
      </c>
      <c r="Q2443" s="26">
        <v>0.0</v>
      </c>
    </row>
    <row r="2444" ht="17.25" customHeight="1">
      <c r="A2444" s="51">
        <v>46280.67806506944</v>
      </c>
      <c r="B2444" s="55" t="s">
        <v>123</v>
      </c>
      <c r="C2444" s="55" t="s">
        <v>1560</v>
      </c>
      <c r="D2444" s="240">
        <v>46279.0</v>
      </c>
      <c r="E2444" s="52">
        <v>700.0</v>
      </c>
      <c r="F2444" s="55" t="s">
        <v>2394</v>
      </c>
      <c r="G2444" s="55" t="s">
        <v>2564</v>
      </c>
      <c r="H2444" s="55" t="s">
        <v>909</v>
      </c>
      <c r="I2444" s="26" t="s">
        <v>124</v>
      </c>
      <c r="J2444" s="26" t="s">
        <v>1225</v>
      </c>
      <c r="K2444" s="26" t="s">
        <v>1562</v>
      </c>
      <c r="L2444" s="26" t="s">
        <v>1587</v>
      </c>
      <c r="M2444" s="26" t="s">
        <v>1575</v>
      </c>
      <c r="N2444" s="26" t="s">
        <v>1566</v>
      </c>
      <c r="O2444" s="26" t="s">
        <v>1571</v>
      </c>
      <c r="P2444" s="26" t="s">
        <v>22</v>
      </c>
      <c r="Q2444" s="26">
        <v>1600.0</v>
      </c>
    </row>
    <row r="2445" ht="17.25" customHeight="1">
      <c r="A2445" s="51">
        <v>46280.67808413194</v>
      </c>
      <c r="B2445" s="55" t="s">
        <v>942</v>
      </c>
      <c r="C2445" s="55" t="s">
        <v>1560</v>
      </c>
      <c r="D2445" s="240">
        <v>46279.0</v>
      </c>
      <c r="E2445" s="52">
        <v>500.0</v>
      </c>
      <c r="F2445" s="55" t="s">
        <v>2394</v>
      </c>
      <c r="G2445" s="55" t="s">
        <v>2564</v>
      </c>
      <c r="H2445" s="55" t="s">
        <v>801</v>
      </c>
      <c r="I2445" s="26" t="s">
        <v>943</v>
      </c>
      <c r="J2445" s="26" t="s">
        <v>1225</v>
      </c>
      <c r="K2445" s="26" t="s">
        <v>1562</v>
      </c>
      <c r="L2445" s="26" t="s">
        <v>1591</v>
      </c>
      <c r="M2445" s="26" t="s">
        <v>1575</v>
      </c>
      <c r="N2445" s="26" t="s">
        <v>1566</v>
      </c>
      <c r="O2445" s="26" t="s">
        <v>1566</v>
      </c>
      <c r="P2445" s="26" t="s">
        <v>22</v>
      </c>
      <c r="Q2445" s="26">
        <v>900.0</v>
      </c>
    </row>
    <row r="2446" ht="17.25" customHeight="1">
      <c r="A2446" s="51">
        <v>46280.67810085649</v>
      </c>
      <c r="B2446" s="55" t="s">
        <v>128</v>
      </c>
      <c r="C2446" s="55" t="s">
        <v>1560</v>
      </c>
      <c r="D2446" s="240">
        <v>46279.0</v>
      </c>
      <c r="E2446" s="52">
        <v>400.0</v>
      </c>
      <c r="F2446" s="55" t="s">
        <v>2394</v>
      </c>
      <c r="G2446" s="55" t="s">
        <v>2564</v>
      </c>
      <c r="H2446" s="55" t="s">
        <v>897</v>
      </c>
      <c r="I2446" s="26" t="s">
        <v>130</v>
      </c>
      <c r="J2446" s="26" t="s">
        <v>1225</v>
      </c>
      <c r="K2446" s="26" t="s">
        <v>1562</v>
      </c>
      <c r="L2446" s="26" t="s">
        <v>1615</v>
      </c>
      <c r="M2446" s="26" t="s">
        <v>1575</v>
      </c>
      <c r="N2446" s="26" t="s">
        <v>1571</v>
      </c>
      <c r="O2446" s="26" t="s">
        <v>1566</v>
      </c>
      <c r="P2446" s="26" t="s">
        <v>22</v>
      </c>
      <c r="Q2446" s="26">
        <v>500.0</v>
      </c>
    </row>
    <row r="2447" ht="17.25" customHeight="1">
      <c r="A2447" s="51">
        <v>46280.679594375004</v>
      </c>
      <c r="B2447" s="55" t="s">
        <v>347</v>
      </c>
      <c r="C2447" s="55" t="s">
        <v>1560</v>
      </c>
      <c r="D2447" s="240">
        <v>46279.0</v>
      </c>
      <c r="E2447" s="52">
        <v>1100.0</v>
      </c>
      <c r="F2447" s="55" t="s">
        <v>2394</v>
      </c>
      <c r="G2447" s="55" t="s">
        <v>2565</v>
      </c>
      <c r="H2447" s="55" t="s">
        <v>1536</v>
      </c>
      <c r="I2447" s="26" t="s">
        <v>349</v>
      </c>
      <c r="J2447" s="26" t="s">
        <v>1225</v>
      </c>
      <c r="K2447" s="26" t="s">
        <v>1562</v>
      </c>
      <c r="L2447" s="26" t="s">
        <v>1591</v>
      </c>
      <c r="M2447" s="26" t="s">
        <v>1564</v>
      </c>
      <c r="N2447" s="26" t="s">
        <v>1565</v>
      </c>
      <c r="O2447" s="26" t="s">
        <v>1566</v>
      </c>
      <c r="P2447" s="26" t="s">
        <v>22</v>
      </c>
      <c r="Q2447" s="26">
        <v>1800.0</v>
      </c>
    </row>
    <row r="2448" ht="17.25" customHeight="1">
      <c r="A2448" s="51">
        <v>46280.67961520833</v>
      </c>
      <c r="B2448" s="55" t="s">
        <v>347</v>
      </c>
      <c r="C2448" s="55" t="s">
        <v>1560</v>
      </c>
      <c r="D2448" s="240">
        <v>46279.0</v>
      </c>
      <c r="E2448" s="52">
        <v>700.0</v>
      </c>
      <c r="F2448" s="55" t="s">
        <v>2394</v>
      </c>
      <c r="G2448" s="55" t="s">
        <v>2565</v>
      </c>
      <c r="H2448" s="55" t="s">
        <v>1539</v>
      </c>
      <c r="I2448" s="26" t="s">
        <v>349</v>
      </c>
      <c r="J2448" s="26" t="s">
        <v>1225</v>
      </c>
      <c r="K2448" s="26" t="s">
        <v>1562</v>
      </c>
      <c r="L2448" s="26" t="s">
        <v>1591</v>
      </c>
      <c r="M2448" s="26" t="s">
        <v>1564</v>
      </c>
      <c r="N2448" s="26" t="s">
        <v>1565</v>
      </c>
      <c r="O2448" s="26" t="s">
        <v>1566</v>
      </c>
      <c r="P2448" s="26" t="s">
        <v>22</v>
      </c>
      <c r="Q2448" s="26">
        <v>1800.0</v>
      </c>
    </row>
    <row r="2449" ht="17.25" customHeight="1">
      <c r="A2449" s="51">
        <v>46280.83816622685</v>
      </c>
      <c r="B2449" s="55" t="s">
        <v>1098</v>
      </c>
      <c r="C2449" s="55" t="s">
        <v>1560</v>
      </c>
      <c r="D2449" s="240">
        <v>46280.0</v>
      </c>
      <c r="E2449" s="52">
        <v>6100.0</v>
      </c>
      <c r="F2449" s="55" t="s">
        <v>2394</v>
      </c>
      <c r="G2449" s="55" t="s">
        <v>2566</v>
      </c>
      <c r="H2449" s="55" t="s">
        <v>1541</v>
      </c>
      <c r="I2449" s="26" t="s">
        <v>1099</v>
      </c>
      <c r="J2449" s="26" t="s">
        <v>1225</v>
      </c>
      <c r="K2449" s="26" t="s">
        <v>1562</v>
      </c>
      <c r="L2449" s="26" t="s">
        <v>1584</v>
      </c>
      <c r="M2449" s="26" t="s">
        <v>1575</v>
      </c>
      <c r="N2449" s="26" t="s">
        <v>1566</v>
      </c>
      <c r="O2449" s="26" t="s">
        <v>1566</v>
      </c>
      <c r="P2449" s="26" t="s">
        <v>22</v>
      </c>
      <c r="Q2449" s="26">
        <v>6700.0</v>
      </c>
    </row>
    <row r="2450" ht="17.25" customHeight="1">
      <c r="A2450" s="51">
        <v>46280.83819446759</v>
      </c>
      <c r="B2450" s="55" t="s">
        <v>41</v>
      </c>
      <c r="C2450" s="55" t="s">
        <v>1560</v>
      </c>
      <c r="D2450" s="240">
        <v>46280.0</v>
      </c>
      <c r="E2450" s="52">
        <v>900.0</v>
      </c>
      <c r="F2450" s="55" t="s">
        <v>2394</v>
      </c>
      <c r="G2450" s="55" t="s">
        <v>2566</v>
      </c>
      <c r="H2450" s="55" t="s">
        <v>1544</v>
      </c>
      <c r="I2450" s="26" t="s">
        <v>42</v>
      </c>
      <c r="J2450" s="26" t="s">
        <v>1225</v>
      </c>
      <c r="K2450" s="26" t="s">
        <v>1562</v>
      </c>
      <c r="L2450" s="26" t="s">
        <v>1576</v>
      </c>
      <c r="M2450" s="26" t="s">
        <v>1575</v>
      </c>
      <c r="N2450" s="26" t="s">
        <v>1571</v>
      </c>
      <c r="O2450" s="26" t="s">
        <v>1566</v>
      </c>
      <c r="P2450" s="26" t="s">
        <v>22</v>
      </c>
      <c r="Q2450" s="26">
        <v>200.0</v>
      </c>
    </row>
    <row r="2451" ht="17.25" customHeight="1">
      <c r="A2451" s="51">
        <v>46281.5338402662</v>
      </c>
      <c r="B2451" s="55" t="s">
        <v>128</v>
      </c>
      <c r="C2451" s="55" t="s">
        <v>1892</v>
      </c>
      <c r="D2451" s="240">
        <v>46281.0</v>
      </c>
      <c r="E2451" s="52">
        <v>400.0</v>
      </c>
      <c r="F2451" s="55" t="s">
        <v>24</v>
      </c>
      <c r="G2451" s="55"/>
      <c r="H2451" s="55" t="s">
        <v>897</v>
      </c>
      <c r="I2451" s="26" t="s">
        <v>130</v>
      </c>
      <c r="J2451" s="26" t="s">
        <v>1225</v>
      </c>
      <c r="K2451" s="26" t="s">
        <v>1562</v>
      </c>
      <c r="L2451" s="26" t="s">
        <v>1615</v>
      </c>
      <c r="M2451" s="26" t="s">
        <v>1575</v>
      </c>
      <c r="N2451" s="26" t="s">
        <v>1571</v>
      </c>
      <c r="O2451" s="26" t="s">
        <v>1566</v>
      </c>
      <c r="P2451" s="26" t="s">
        <v>22</v>
      </c>
      <c r="Q2451" s="26">
        <v>500.0</v>
      </c>
    </row>
    <row r="2452" ht="17.25" customHeight="1">
      <c r="A2452" s="51">
        <v>46281.53394525463</v>
      </c>
      <c r="B2452" s="55" t="s">
        <v>123</v>
      </c>
      <c r="C2452" s="55" t="s">
        <v>1892</v>
      </c>
      <c r="D2452" s="240">
        <v>46281.0</v>
      </c>
      <c r="E2452" s="52">
        <v>700.0</v>
      </c>
      <c r="F2452" s="55" t="s">
        <v>24</v>
      </c>
      <c r="G2452" s="55"/>
      <c r="H2452" s="55" t="s">
        <v>909</v>
      </c>
      <c r="I2452" s="26" t="s">
        <v>124</v>
      </c>
      <c r="J2452" s="26" t="s">
        <v>1225</v>
      </c>
      <c r="K2452" s="26" t="s">
        <v>1562</v>
      </c>
      <c r="L2452" s="26" t="s">
        <v>1587</v>
      </c>
      <c r="M2452" s="26" t="s">
        <v>1575</v>
      </c>
      <c r="N2452" s="26" t="s">
        <v>1566</v>
      </c>
      <c r="O2452" s="26" t="s">
        <v>1571</v>
      </c>
      <c r="P2452" s="26" t="s">
        <v>22</v>
      </c>
      <c r="Q2452" s="26">
        <v>1600.0</v>
      </c>
    </row>
    <row r="2453" ht="17.25" customHeight="1">
      <c r="A2453" s="51">
        <v>46281.53404719908</v>
      </c>
      <c r="B2453" s="55" t="s">
        <v>913</v>
      </c>
      <c r="C2453" s="55" t="s">
        <v>1892</v>
      </c>
      <c r="D2453" s="240">
        <v>46281.0</v>
      </c>
      <c r="E2453" s="52">
        <v>700.0</v>
      </c>
      <c r="F2453" s="55" t="s">
        <v>24</v>
      </c>
      <c r="G2453" s="55"/>
      <c r="H2453" s="55" t="s">
        <v>917</v>
      </c>
      <c r="I2453" s="26" t="s">
        <v>915</v>
      </c>
      <c r="J2453" s="26" t="s">
        <v>1225</v>
      </c>
      <c r="K2453" s="26" t="s">
        <v>1562</v>
      </c>
      <c r="L2453" s="26" t="s">
        <v>1633</v>
      </c>
      <c r="M2453" s="26" t="s">
        <v>1564</v>
      </c>
      <c r="N2453" s="26" t="s">
        <v>1571</v>
      </c>
      <c r="O2453" s="26" t="s">
        <v>1566</v>
      </c>
      <c r="P2453" s="26" t="s">
        <v>22</v>
      </c>
      <c r="Q2453" s="26">
        <v>0.0</v>
      </c>
    </row>
    <row r="2454" ht="17.25" customHeight="1">
      <c r="A2454" s="51">
        <v>46281.534150625</v>
      </c>
      <c r="B2454" s="55" t="s">
        <v>105</v>
      </c>
      <c r="C2454" s="55" t="s">
        <v>1892</v>
      </c>
      <c r="D2454" s="240">
        <v>46281.0</v>
      </c>
      <c r="E2454" s="52">
        <v>1200.0</v>
      </c>
      <c r="F2454" s="55" t="s">
        <v>24</v>
      </c>
      <c r="G2454" s="55"/>
      <c r="H2454" s="55" t="s">
        <v>926</v>
      </c>
      <c r="I2454" s="26" t="s">
        <v>107</v>
      </c>
      <c r="J2454" s="26" t="s">
        <v>1225</v>
      </c>
      <c r="K2454" s="26" t="s">
        <v>1562</v>
      </c>
      <c r="L2454" s="26" t="s">
        <v>1603</v>
      </c>
      <c r="M2454" s="26" t="s">
        <v>1575</v>
      </c>
      <c r="N2454" s="26" t="s">
        <v>1571</v>
      </c>
      <c r="O2454" s="26" t="s">
        <v>1566</v>
      </c>
      <c r="P2454" s="26" t="s">
        <v>22</v>
      </c>
      <c r="Q2454" s="26">
        <v>1200.0</v>
      </c>
    </row>
    <row r="2455" ht="17.25" customHeight="1">
      <c r="A2455" s="51">
        <v>46281.53424533565</v>
      </c>
      <c r="B2455" s="55" t="s">
        <v>128</v>
      </c>
      <c r="C2455" s="55" t="s">
        <v>1892</v>
      </c>
      <c r="D2455" s="240">
        <v>46281.0</v>
      </c>
      <c r="E2455" s="52">
        <v>2700.0</v>
      </c>
      <c r="F2455" s="55" t="s">
        <v>24</v>
      </c>
      <c r="G2455" s="55"/>
      <c r="H2455" s="55" t="s">
        <v>934</v>
      </c>
      <c r="I2455" s="26" t="s">
        <v>130</v>
      </c>
      <c r="J2455" s="26" t="s">
        <v>1225</v>
      </c>
      <c r="K2455" s="26" t="s">
        <v>1562</v>
      </c>
      <c r="L2455" s="26" t="s">
        <v>1615</v>
      </c>
      <c r="M2455" s="26" t="s">
        <v>1575</v>
      </c>
      <c r="N2455" s="26" t="s">
        <v>1571</v>
      </c>
      <c r="O2455" s="26" t="s">
        <v>1566</v>
      </c>
      <c r="P2455" s="26" t="s">
        <v>22</v>
      </c>
      <c r="Q2455" s="26">
        <v>500.0</v>
      </c>
    </row>
    <row r="2456" ht="17.25" customHeight="1">
      <c r="A2456" s="51">
        <v>46281.72797075231</v>
      </c>
      <c r="B2456" s="55" t="s">
        <v>523</v>
      </c>
      <c r="C2456" s="55" t="s">
        <v>1892</v>
      </c>
      <c r="D2456" s="240">
        <v>46281.0</v>
      </c>
      <c r="E2456" s="52">
        <v>5.0</v>
      </c>
      <c r="F2456" s="55" t="s">
        <v>24</v>
      </c>
      <c r="G2456" s="55"/>
      <c r="H2456" s="55"/>
      <c r="I2456" s="26" t="s">
        <v>528</v>
      </c>
      <c r="J2456" s="26" t="s">
        <v>1812</v>
      </c>
      <c r="K2456" s="26" t="s">
        <v>1815</v>
      </c>
      <c r="L2456" s="26" t="s">
        <v>1566</v>
      </c>
      <c r="M2456" s="26" t="s">
        <v>1566</v>
      </c>
      <c r="N2456" s="26" t="s">
        <v>1566</v>
      </c>
      <c r="O2456" s="26" t="s">
        <v>1837</v>
      </c>
      <c r="P2456" s="26" t="s">
        <v>616</v>
      </c>
      <c r="Q2456" s="26">
        <v>15.0</v>
      </c>
    </row>
    <row r="2457" ht="17.25" customHeight="1">
      <c r="A2457" s="51">
        <v>46281.72827277778</v>
      </c>
      <c r="B2457" s="250" t="s">
        <v>406</v>
      </c>
      <c r="C2457" s="55" t="s">
        <v>1560</v>
      </c>
      <c r="D2457" s="240">
        <v>46281.0</v>
      </c>
      <c r="E2457" s="52">
        <v>5.0</v>
      </c>
      <c r="F2457" s="55" t="s">
        <v>24</v>
      </c>
      <c r="G2457" s="55"/>
      <c r="H2457" s="55"/>
      <c r="I2457" s="26" t="s">
        <v>409</v>
      </c>
      <c r="J2457" s="26" t="s">
        <v>1812</v>
      </c>
      <c r="K2457" s="26" t="s">
        <v>1831</v>
      </c>
      <c r="L2457" s="26" t="s">
        <v>1566</v>
      </c>
      <c r="M2457" s="26" t="s">
        <v>1566</v>
      </c>
      <c r="N2457" s="26" t="s">
        <v>1566</v>
      </c>
      <c r="O2457" s="26" t="s">
        <v>1566</v>
      </c>
      <c r="P2457" s="26" t="s">
        <v>616</v>
      </c>
      <c r="Q2457" s="26">
        <v>0.0</v>
      </c>
    </row>
    <row r="2458" ht="17.25" customHeight="1">
      <c r="A2458" s="51">
        <v>46281.728968773146</v>
      </c>
      <c r="B2458" s="250" t="s">
        <v>406</v>
      </c>
      <c r="C2458" s="55" t="s">
        <v>1892</v>
      </c>
      <c r="D2458" s="240">
        <v>46281.0</v>
      </c>
      <c r="E2458" s="52">
        <v>5.0</v>
      </c>
      <c r="F2458" s="55" t="s">
        <v>24</v>
      </c>
      <c r="G2458" s="55"/>
      <c r="H2458" s="55"/>
      <c r="I2458" s="26" t="s">
        <v>409</v>
      </c>
      <c r="J2458" s="26" t="s">
        <v>1812</v>
      </c>
      <c r="K2458" s="26" t="s">
        <v>1831</v>
      </c>
      <c r="L2458" s="26" t="s">
        <v>1566</v>
      </c>
      <c r="M2458" s="26" t="s">
        <v>1566</v>
      </c>
      <c r="N2458" s="26" t="s">
        <v>1566</v>
      </c>
      <c r="O2458" s="26" t="s">
        <v>1566</v>
      </c>
      <c r="P2458" s="26" t="s">
        <v>616</v>
      </c>
      <c r="Q2458" s="26">
        <v>0.0</v>
      </c>
    </row>
    <row r="2459" ht="17.25" customHeight="1">
      <c r="A2459" s="51">
        <v>46281.72952450231</v>
      </c>
      <c r="B2459" s="55" t="s">
        <v>21</v>
      </c>
      <c r="C2459" s="55" t="s">
        <v>1892</v>
      </c>
      <c r="D2459" s="240">
        <v>46281.0</v>
      </c>
      <c r="E2459" s="52">
        <v>20.0</v>
      </c>
      <c r="F2459" s="55" t="s">
        <v>24</v>
      </c>
      <c r="G2459" s="55"/>
      <c r="H2459" s="55"/>
      <c r="I2459" s="26" t="s">
        <v>23</v>
      </c>
      <c r="J2459" s="26" t="s">
        <v>1812</v>
      </c>
      <c r="K2459" s="26" t="s">
        <v>1815</v>
      </c>
      <c r="L2459" s="26" t="s">
        <v>1566</v>
      </c>
      <c r="M2459" s="26" t="s">
        <v>1566</v>
      </c>
      <c r="N2459" s="26" t="s">
        <v>1566</v>
      </c>
      <c r="O2459" s="26" t="s">
        <v>1818</v>
      </c>
      <c r="P2459" s="26" t="s">
        <v>616</v>
      </c>
      <c r="Q2459" s="26">
        <v>20.0</v>
      </c>
    </row>
    <row r="2460" ht="17.25" customHeight="1">
      <c r="A2460" s="51">
        <v>46281.72963070602</v>
      </c>
      <c r="B2460" s="250" t="s">
        <v>517</v>
      </c>
      <c r="C2460" s="55" t="s">
        <v>1560</v>
      </c>
      <c r="D2460" s="240">
        <v>46281.0</v>
      </c>
      <c r="E2460" s="52">
        <v>40.0</v>
      </c>
      <c r="F2460" s="55" t="s">
        <v>24</v>
      </c>
      <c r="G2460" s="55"/>
      <c r="H2460" s="55"/>
      <c r="I2460" s="26" t="s">
        <v>518</v>
      </c>
      <c r="J2460" s="26" t="s">
        <v>1812</v>
      </c>
      <c r="K2460" s="26" t="s">
        <v>1815</v>
      </c>
      <c r="L2460" s="26" t="s">
        <v>1566</v>
      </c>
      <c r="M2460" s="26" t="s">
        <v>1566</v>
      </c>
      <c r="N2460" s="26" t="s">
        <v>1566</v>
      </c>
      <c r="O2460" s="26" t="s">
        <v>2098</v>
      </c>
      <c r="P2460" s="26" t="s">
        <v>290</v>
      </c>
      <c r="Q2460" s="26">
        <v>40.0</v>
      </c>
    </row>
    <row r="2461" ht="17.25" customHeight="1">
      <c r="A2461" s="51">
        <v>46281.72999233796</v>
      </c>
      <c r="B2461" s="250" t="s">
        <v>517</v>
      </c>
      <c r="C2461" s="55" t="s">
        <v>1892</v>
      </c>
      <c r="D2461" s="196">
        <v>3.0</v>
      </c>
      <c r="E2461" s="52"/>
      <c r="F2461" s="55"/>
      <c r="G2461" s="55"/>
      <c r="H2461" s="55"/>
      <c r="I2461" s="26" t="s">
        <v>518</v>
      </c>
      <c r="J2461" s="26" t="s">
        <v>1812</v>
      </c>
      <c r="K2461" s="26" t="s">
        <v>1815</v>
      </c>
      <c r="L2461" s="26" t="s">
        <v>1566</v>
      </c>
      <c r="M2461" s="26" t="s">
        <v>1566</v>
      </c>
      <c r="N2461" s="26" t="s">
        <v>1566</v>
      </c>
      <c r="O2461" s="26" t="s">
        <v>2098</v>
      </c>
      <c r="P2461" s="26" t="s">
        <v>290</v>
      </c>
      <c r="Q2461" s="26">
        <v>40.0</v>
      </c>
    </row>
    <row r="2462" ht="17.25" customHeight="1">
      <c r="A2462" s="51"/>
      <c r="B2462" s="55"/>
      <c r="C2462" s="55"/>
      <c r="D2462" s="240"/>
      <c r="E2462" s="52"/>
      <c r="F2462" s="55"/>
      <c r="G2462" s="55"/>
      <c r="H2462" s="55"/>
      <c r="I2462" s="26" t="s">
        <v>1333</v>
      </c>
      <c r="J2462" s="26"/>
      <c r="K2462" s="26"/>
      <c r="L2462" s="26"/>
      <c r="M2462" s="26"/>
      <c r="N2462" s="26"/>
      <c r="O2462" s="26"/>
      <c r="P2462" s="26"/>
      <c r="Q2462" s="26" t="s">
        <v>1333</v>
      </c>
    </row>
    <row r="2463" ht="17.25" customHeight="1">
      <c r="A2463" s="51"/>
      <c r="B2463" s="55"/>
      <c r="C2463" s="55"/>
      <c r="D2463" s="240"/>
      <c r="E2463" s="52"/>
      <c r="F2463" s="55"/>
      <c r="G2463" s="55"/>
      <c r="H2463" s="55"/>
      <c r="I2463" s="26" t="s">
        <v>1333</v>
      </c>
      <c r="J2463" s="26"/>
      <c r="K2463" s="26"/>
      <c r="L2463" s="26"/>
      <c r="M2463" s="26"/>
      <c r="N2463" s="26"/>
      <c r="O2463" s="26"/>
      <c r="P2463" s="26"/>
      <c r="Q2463" s="26" t="s">
        <v>1333</v>
      </c>
    </row>
    <row r="2464" ht="17.25" customHeight="1">
      <c r="A2464" s="51"/>
      <c r="B2464" s="55"/>
      <c r="C2464" s="55"/>
      <c r="D2464" s="240"/>
      <c r="E2464" s="52"/>
      <c r="F2464" s="55"/>
      <c r="G2464" s="55"/>
      <c r="H2464" s="55"/>
      <c r="I2464" s="26" t="s">
        <v>1333</v>
      </c>
      <c r="J2464" s="26"/>
      <c r="K2464" s="26"/>
      <c r="L2464" s="26"/>
      <c r="M2464" s="26"/>
      <c r="N2464" s="26"/>
      <c r="O2464" s="26"/>
      <c r="P2464" s="26"/>
      <c r="Q2464" s="26" t="s">
        <v>1333</v>
      </c>
    </row>
    <row r="2465" ht="17.25" customHeight="1">
      <c r="A2465" s="51"/>
      <c r="B2465" s="55"/>
      <c r="C2465" s="55"/>
      <c r="D2465" s="240"/>
      <c r="E2465" s="52"/>
      <c r="F2465" s="55"/>
      <c r="G2465" s="55"/>
      <c r="H2465" s="55"/>
      <c r="I2465" s="26" t="s">
        <v>1333</v>
      </c>
      <c r="J2465" s="26"/>
      <c r="K2465" s="26"/>
      <c r="L2465" s="26"/>
      <c r="M2465" s="26"/>
      <c r="N2465" s="26"/>
      <c r="O2465" s="26"/>
      <c r="P2465" s="26"/>
      <c r="Q2465" s="26" t="s">
        <v>1333</v>
      </c>
    </row>
    <row r="2466" ht="17.25" customHeight="1">
      <c r="A2466" s="51"/>
      <c r="B2466" s="55"/>
      <c r="C2466" s="55"/>
      <c r="D2466" s="240"/>
      <c r="E2466" s="52"/>
      <c r="F2466" s="55"/>
      <c r="G2466" s="55"/>
      <c r="H2466" s="55"/>
      <c r="I2466" s="26" t="s">
        <v>1333</v>
      </c>
      <c r="J2466" s="26"/>
      <c r="K2466" s="26"/>
      <c r="L2466" s="26"/>
      <c r="M2466" s="26"/>
      <c r="N2466" s="26"/>
      <c r="O2466" s="26"/>
      <c r="P2466" s="26"/>
      <c r="Q2466" s="26" t="s">
        <v>1333</v>
      </c>
    </row>
    <row r="2467" ht="17.25" customHeight="1">
      <c r="A2467" s="51"/>
      <c r="B2467" s="55"/>
      <c r="C2467" s="55"/>
      <c r="D2467" s="240"/>
      <c r="E2467" s="52"/>
      <c r="F2467" s="55"/>
      <c r="G2467" s="55"/>
      <c r="H2467" s="55"/>
      <c r="I2467" s="26" t="s">
        <v>1333</v>
      </c>
      <c r="J2467" s="26"/>
      <c r="K2467" s="26"/>
      <c r="L2467" s="26"/>
      <c r="M2467" s="26"/>
      <c r="N2467" s="26"/>
      <c r="O2467" s="26"/>
      <c r="P2467" s="26"/>
      <c r="Q2467" s="26" t="s">
        <v>1333</v>
      </c>
    </row>
    <row r="2468" ht="17.25" customHeight="1">
      <c r="A2468" s="51"/>
      <c r="B2468" s="55"/>
      <c r="C2468" s="55"/>
      <c r="D2468" s="240"/>
      <c r="E2468" s="52"/>
      <c r="F2468" s="55"/>
      <c r="G2468" s="55"/>
      <c r="H2468" s="55"/>
      <c r="I2468" s="26" t="s">
        <v>1333</v>
      </c>
      <c r="J2468" s="26"/>
      <c r="K2468" s="26"/>
      <c r="L2468" s="26"/>
      <c r="M2468" s="26"/>
      <c r="N2468" s="26"/>
      <c r="O2468" s="26"/>
      <c r="P2468" s="26"/>
      <c r="Q2468" s="26" t="s">
        <v>1333</v>
      </c>
    </row>
    <row r="2469" ht="17.25" customHeight="1">
      <c r="A2469" s="51"/>
      <c r="B2469" s="55"/>
      <c r="C2469" s="55"/>
      <c r="D2469" s="240"/>
      <c r="E2469" s="52"/>
      <c r="F2469" s="55"/>
      <c r="G2469" s="55"/>
      <c r="H2469" s="55"/>
      <c r="I2469" s="26" t="s">
        <v>1333</v>
      </c>
      <c r="J2469" s="26"/>
      <c r="K2469" s="26"/>
      <c r="L2469" s="26"/>
      <c r="M2469" s="26"/>
      <c r="N2469" s="26"/>
      <c r="O2469" s="26"/>
      <c r="P2469" s="26"/>
      <c r="Q2469" s="26" t="s">
        <v>1333</v>
      </c>
    </row>
    <row r="2470" ht="17.25" customHeight="1">
      <c r="A2470" s="51"/>
      <c r="B2470" s="55"/>
      <c r="C2470" s="55"/>
      <c r="D2470" s="240"/>
      <c r="E2470" s="52"/>
      <c r="F2470" s="55"/>
      <c r="G2470" s="55"/>
      <c r="H2470" s="55"/>
      <c r="I2470" s="26" t="s">
        <v>1333</v>
      </c>
      <c r="J2470" s="26"/>
      <c r="K2470" s="26"/>
      <c r="L2470" s="26"/>
      <c r="M2470" s="26"/>
      <c r="N2470" s="26"/>
      <c r="O2470" s="26"/>
      <c r="P2470" s="26"/>
      <c r="Q2470" s="26" t="s">
        <v>1333</v>
      </c>
    </row>
    <row r="2471" ht="17.25" customHeight="1">
      <c r="A2471" s="51"/>
      <c r="B2471" s="55"/>
      <c r="C2471" s="55"/>
      <c r="D2471" s="240"/>
      <c r="E2471" s="52"/>
      <c r="F2471" s="55"/>
      <c r="G2471" s="55"/>
      <c r="H2471" s="55"/>
      <c r="I2471" s="26" t="s">
        <v>1333</v>
      </c>
      <c r="J2471" s="26"/>
      <c r="K2471" s="26"/>
      <c r="L2471" s="26"/>
      <c r="M2471" s="26"/>
      <c r="N2471" s="26"/>
      <c r="O2471" s="26"/>
      <c r="P2471" s="26"/>
      <c r="Q2471" s="26" t="s">
        <v>1333</v>
      </c>
    </row>
    <row r="2472" ht="17.25" customHeight="1">
      <c r="A2472" s="51"/>
      <c r="B2472" s="55"/>
      <c r="C2472" s="55"/>
      <c r="D2472" s="240"/>
      <c r="E2472" s="52"/>
      <c r="F2472" s="55"/>
      <c r="G2472" s="55"/>
      <c r="H2472" s="55"/>
      <c r="I2472" s="26" t="s">
        <v>1333</v>
      </c>
      <c r="J2472" s="26"/>
      <c r="K2472" s="26"/>
      <c r="L2472" s="26"/>
      <c r="M2472" s="26"/>
      <c r="N2472" s="26"/>
      <c r="O2472" s="26"/>
      <c r="P2472" s="26"/>
      <c r="Q2472" s="26" t="s">
        <v>1333</v>
      </c>
    </row>
    <row r="2473" ht="17.25" customHeight="1">
      <c r="A2473" s="51"/>
      <c r="B2473" s="55"/>
      <c r="C2473" s="55"/>
      <c r="D2473" s="240"/>
      <c r="E2473" s="52"/>
      <c r="F2473" s="55"/>
      <c r="G2473" s="55"/>
      <c r="H2473" s="55"/>
      <c r="I2473" s="26" t="s">
        <v>1333</v>
      </c>
      <c r="J2473" s="26"/>
      <c r="K2473" s="26"/>
      <c r="L2473" s="26"/>
      <c r="M2473" s="26"/>
      <c r="N2473" s="26"/>
      <c r="O2473" s="26"/>
      <c r="P2473" s="26"/>
      <c r="Q2473" s="26" t="s">
        <v>1333</v>
      </c>
    </row>
    <row r="2474" ht="17.25" customHeight="1">
      <c r="A2474" s="51"/>
      <c r="B2474" s="55"/>
      <c r="C2474" s="55"/>
      <c r="D2474" s="240"/>
      <c r="E2474" s="52"/>
      <c r="F2474" s="55"/>
      <c r="G2474" s="55"/>
      <c r="H2474" s="55"/>
      <c r="I2474" s="26" t="s">
        <v>1333</v>
      </c>
      <c r="J2474" s="26"/>
      <c r="K2474" s="26"/>
      <c r="L2474" s="26"/>
      <c r="M2474" s="26"/>
      <c r="N2474" s="26"/>
      <c r="O2474" s="26"/>
      <c r="P2474" s="26"/>
      <c r="Q2474" s="26" t="s">
        <v>1333</v>
      </c>
    </row>
    <row r="2475" ht="17.25" customHeight="1">
      <c r="A2475" s="51"/>
      <c r="B2475" s="55"/>
      <c r="C2475" s="55"/>
      <c r="D2475" s="240"/>
      <c r="E2475" s="52"/>
      <c r="F2475" s="55"/>
      <c r="G2475" s="55"/>
      <c r="H2475" s="55"/>
      <c r="I2475" s="26" t="s">
        <v>1333</v>
      </c>
      <c r="J2475" s="26"/>
      <c r="K2475" s="26"/>
      <c r="L2475" s="26"/>
      <c r="M2475" s="26"/>
      <c r="N2475" s="26"/>
      <c r="O2475" s="26"/>
      <c r="P2475" s="26"/>
      <c r="Q2475" s="26" t="s">
        <v>1333</v>
      </c>
    </row>
    <row r="2476" ht="17.25" customHeight="1">
      <c r="A2476" s="51"/>
      <c r="B2476" s="55"/>
      <c r="C2476" s="55"/>
      <c r="D2476" s="240"/>
      <c r="E2476" s="52"/>
      <c r="F2476" s="55"/>
      <c r="G2476" s="55"/>
      <c r="H2476" s="55"/>
      <c r="I2476" s="26" t="s">
        <v>1333</v>
      </c>
      <c r="J2476" s="26"/>
      <c r="K2476" s="26"/>
      <c r="L2476" s="26"/>
      <c r="M2476" s="26"/>
      <c r="N2476" s="26"/>
      <c r="O2476" s="26"/>
      <c r="P2476" s="26"/>
      <c r="Q2476" s="26" t="s">
        <v>1333</v>
      </c>
    </row>
    <row r="2477" ht="17.25" customHeight="1">
      <c r="A2477" s="51"/>
      <c r="B2477" s="55"/>
      <c r="C2477" s="55"/>
      <c r="D2477" s="240"/>
      <c r="E2477" s="52"/>
      <c r="F2477" s="55"/>
      <c r="G2477" s="55"/>
      <c r="H2477" s="55"/>
      <c r="I2477" s="26" t="s">
        <v>1333</v>
      </c>
      <c r="J2477" s="26"/>
      <c r="K2477" s="26"/>
      <c r="L2477" s="26"/>
      <c r="M2477" s="26"/>
      <c r="N2477" s="26"/>
      <c r="O2477" s="26"/>
      <c r="P2477" s="26"/>
      <c r="Q2477" s="26" t="s">
        <v>1333</v>
      </c>
    </row>
    <row r="2478" ht="17.25" customHeight="1">
      <c r="A2478" s="51"/>
      <c r="B2478" s="55"/>
      <c r="C2478" s="55"/>
      <c r="D2478" s="240"/>
      <c r="E2478" s="52"/>
      <c r="F2478" s="55"/>
      <c r="G2478" s="55"/>
      <c r="H2478" s="55"/>
      <c r="I2478" s="26" t="s">
        <v>1333</v>
      </c>
      <c r="J2478" s="26"/>
      <c r="K2478" s="26"/>
      <c r="L2478" s="26"/>
      <c r="M2478" s="26"/>
      <c r="N2478" s="26"/>
      <c r="O2478" s="26"/>
      <c r="P2478" s="26"/>
      <c r="Q2478" s="26" t="s">
        <v>1333</v>
      </c>
    </row>
    <row r="2479" ht="17.25" customHeight="1">
      <c r="A2479" s="51"/>
      <c r="B2479" s="55"/>
      <c r="C2479" s="55"/>
      <c r="D2479" s="240"/>
      <c r="E2479" s="52"/>
      <c r="F2479" s="55"/>
      <c r="G2479" s="55"/>
      <c r="H2479" s="55"/>
      <c r="I2479" s="26" t="s">
        <v>1333</v>
      </c>
      <c r="J2479" s="26"/>
      <c r="K2479" s="26"/>
      <c r="L2479" s="26"/>
      <c r="M2479" s="26"/>
      <c r="N2479" s="26"/>
      <c r="O2479" s="26"/>
      <c r="P2479" s="26"/>
      <c r="Q2479" s="26" t="s">
        <v>1333</v>
      </c>
    </row>
    <row r="2480" ht="17.25" customHeight="1">
      <c r="A2480" s="51"/>
      <c r="B2480" s="55"/>
      <c r="C2480" s="55"/>
      <c r="D2480" s="240"/>
      <c r="E2480" s="52"/>
      <c r="F2480" s="55"/>
      <c r="G2480" s="55"/>
      <c r="H2480" s="55"/>
      <c r="I2480" s="26" t="s">
        <v>1333</v>
      </c>
      <c r="J2480" s="26"/>
      <c r="K2480" s="26"/>
      <c r="L2480" s="26"/>
      <c r="M2480" s="26"/>
      <c r="N2480" s="26"/>
      <c r="O2480" s="26"/>
      <c r="P2480" s="26"/>
      <c r="Q2480" s="26" t="s">
        <v>1333</v>
      </c>
    </row>
    <row r="2481" ht="17.25" customHeight="1">
      <c r="A2481" s="51"/>
      <c r="B2481" s="55"/>
      <c r="C2481" s="55"/>
      <c r="D2481" s="240"/>
      <c r="E2481" s="52"/>
      <c r="F2481" s="55"/>
      <c r="G2481" s="55"/>
      <c r="H2481" s="55"/>
      <c r="I2481" s="26" t="s">
        <v>1333</v>
      </c>
      <c r="J2481" s="26"/>
      <c r="K2481" s="26"/>
      <c r="L2481" s="26"/>
      <c r="M2481" s="26"/>
      <c r="N2481" s="26"/>
      <c r="O2481" s="26"/>
      <c r="P2481" s="26"/>
      <c r="Q2481" s="26" t="s">
        <v>1333</v>
      </c>
    </row>
    <row r="2482" ht="17.25" customHeight="1">
      <c r="A2482" s="51"/>
      <c r="B2482" s="55"/>
      <c r="C2482" s="55"/>
      <c r="D2482" s="240"/>
      <c r="E2482" s="52"/>
      <c r="F2482" s="55"/>
      <c r="G2482" s="55"/>
      <c r="H2482" s="55"/>
      <c r="I2482" s="26" t="s">
        <v>1333</v>
      </c>
      <c r="J2482" s="26"/>
      <c r="K2482" s="26"/>
      <c r="L2482" s="26"/>
      <c r="M2482" s="26"/>
      <c r="N2482" s="26"/>
      <c r="O2482" s="26"/>
      <c r="P2482" s="26"/>
      <c r="Q2482" s="26" t="s">
        <v>1333</v>
      </c>
    </row>
    <row r="2483" ht="17.25" customHeight="1">
      <c r="A2483" s="51"/>
      <c r="B2483" s="55"/>
      <c r="C2483" s="55"/>
      <c r="D2483" s="240"/>
      <c r="E2483" s="52"/>
      <c r="F2483" s="55"/>
      <c r="G2483" s="55"/>
      <c r="H2483" s="55"/>
      <c r="I2483" s="26" t="s">
        <v>1333</v>
      </c>
      <c r="J2483" s="26"/>
      <c r="K2483" s="26"/>
      <c r="L2483" s="26"/>
      <c r="M2483" s="26"/>
      <c r="N2483" s="26"/>
      <c r="O2483" s="26"/>
      <c r="P2483" s="26"/>
      <c r="Q2483" s="26" t="s">
        <v>1333</v>
      </c>
    </row>
    <row r="2484" ht="17.25" customHeight="1">
      <c r="A2484" s="51"/>
      <c r="B2484" s="55"/>
      <c r="C2484" s="55"/>
      <c r="D2484" s="240"/>
      <c r="E2484" s="52"/>
      <c r="F2484" s="55"/>
      <c r="G2484" s="55"/>
      <c r="H2484" s="55"/>
      <c r="I2484" s="26" t="s">
        <v>1333</v>
      </c>
      <c r="J2484" s="26"/>
      <c r="K2484" s="26"/>
      <c r="L2484" s="26"/>
      <c r="M2484" s="26"/>
      <c r="N2484" s="26"/>
      <c r="O2484" s="26"/>
      <c r="P2484" s="26"/>
      <c r="Q2484" s="26" t="s">
        <v>1333</v>
      </c>
    </row>
    <row r="2485" ht="17.25" customHeight="1">
      <c r="A2485" s="51"/>
      <c r="B2485" s="55"/>
      <c r="C2485" s="55"/>
      <c r="D2485" s="240"/>
      <c r="E2485" s="52"/>
      <c r="F2485" s="55"/>
      <c r="G2485" s="55"/>
      <c r="H2485" s="55"/>
      <c r="I2485" s="26" t="s">
        <v>1333</v>
      </c>
      <c r="J2485" s="26"/>
      <c r="K2485" s="26"/>
      <c r="L2485" s="26"/>
      <c r="M2485" s="26"/>
      <c r="N2485" s="26"/>
      <c r="O2485" s="26"/>
      <c r="P2485" s="26"/>
      <c r="Q2485" s="26" t="s">
        <v>1333</v>
      </c>
    </row>
    <row r="2486" ht="17.25" customHeight="1">
      <c r="A2486" s="51"/>
      <c r="B2486" s="55"/>
      <c r="C2486" s="55"/>
      <c r="D2486" s="240"/>
      <c r="E2486" s="52"/>
      <c r="F2486" s="55"/>
      <c r="G2486" s="55"/>
      <c r="H2486" s="55"/>
      <c r="I2486" s="26" t="s">
        <v>1333</v>
      </c>
      <c r="J2486" s="26"/>
      <c r="K2486" s="26"/>
      <c r="L2486" s="26"/>
      <c r="M2486" s="26"/>
      <c r="N2486" s="26"/>
      <c r="O2486" s="26"/>
      <c r="P2486" s="26"/>
      <c r="Q2486" s="26" t="s">
        <v>1333</v>
      </c>
    </row>
    <row r="2487" ht="17.25" customHeight="1">
      <c r="A2487" s="51"/>
      <c r="B2487" s="55"/>
      <c r="C2487" s="55"/>
      <c r="D2487" s="240"/>
      <c r="E2487" s="52"/>
      <c r="F2487" s="55"/>
      <c r="G2487" s="55"/>
      <c r="H2487" s="55"/>
      <c r="I2487" s="26" t="s">
        <v>1333</v>
      </c>
      <c r="J2487" s="26"/>
      <c r="K2487" s="26"/>
      <c r="L2487" s="26"/>
      <c r="M2487" s="26"/>
      <c r="N2487" s="26"/>
      <c r="O2487" s="26"/>
      <c r="P2487" s="26"/>
      <c r="Q2487" s="26" t="s">
        <v>1333</v>
      </c>
    </row>
    <row r="2488" ht="17.25" customHeight="1">
      <c r="A2488" s="51"/>
      <c r="B2488" s="55"/>
      <c r="C2488" s="55"/>
      <c r="D2488" s="240"/>
      <c r="E2488" s="52"/>
      <c r="F2488" s="55"/>
      <c r="G2488" s="55"/>
      <c r="H2488" s="55"/>
      <c r="I2488" s="26" t="s">
        <v>1333</v>
      </c>
      <c r="J2488" s="26"/>
      <c r="K2488" s="26"/>
      <c r="L2488" s="26"/>
      <c r="M2488" s="26"/>
      <c r="N2488" s="26"/>
      <c r="O2488" s="26"/>
      <c r="P2488" s="26"/>
      <c r="Q2488" s="26" t="s">
        <v>1333</v>
      </c>
    </row>
    <row r="2489" ht="17.25" customHeight="1">
      <c r="A2489" s="51"/>
      <c r="B2489" s="55"/>
      <c r="C2489" s="55"/>
      <c r="D2489" s="240"/>
      <c r="E2489" s="52"/>
      <c r="F2489" s="55"/>
      <c r="G2489" s="55"/>
      <c r="H2489" s="55"/>
      <c r="I2489" s="26" t="s">
        <v>1333</v>
      </c>
      <c r="J2489" s="26"/>
      <c r="K2489" s="26"/>
      <c r="L2489" s="26"/>
      <c r="M2489" s="26"/>
      <c r="N2489" s="26"/>
      <c r="O2489" s="26"/>
      <c r="P2489" s="26"/>
      <c r="Q2489" s="26" t="s">
        <v>1333</v>
      </c>
    </row>
    <row r="2490" ht="17.25" customHeight="1">
      <c r="A2490" s="51"/>
      <c r="B2490" s="55"/>
      <c r="C2490" s="55"/>
      <c r="D2490" s="240"/>
      <c r="E2490" s="52"/>
      <c r="F2490" s="55"/>
      <c r="G2490" s="55"/>
      <c r="H2490" s="55"/>
      <c r="I2490" s="26" t="s">
        <v>1333</v>
      </c>
      <c r="J2490" s="26"/>
      <c r="K2490" s="26"/>
      <c r="L2490" s="26"/>
      <c r="M2490" s="26"/>
      <c r="N2490" s="26"/>
      <c r="O2490" s="26"/>
      <c r="P2490" s="26"/>
      <c r="Q2490" s="26" t="s">
        <v>1333</v>
      </c>
    </row>
    <row r="2491" ht="17.25" customHeight="1">
      <c r="A2491" s="51"/>
      <c r="B2491" s="55"/>
      <c r="C2491" s="55"/>
      <c r="D2491" s="240"/>
      <c r="E2491" s="52"/>
      <c r="F2491" s="55"/>
      <c r="G2491" s="55"/>
      <c r="H2491" s="55"/>
      <c r="I2491" s="26" t="s">
        <v>1333</v>
      </c>
      <c r="J2491" s="26"/>
      <c r="K2491" s="26"/>
      <c r="L2491" s="26"/>
      <c r="M2491" s="26"/>
      <c r="N2491" s="26"/>
      <c r="O2491" s="26"/>
      <c r="P2491" s="26"/>
      <c r="Q2491" s="26" t="s">
        <v>1333</v>
      </c>
    </row>
    <row r="2492" ht="17.25" customHeight="1">
      <c r="A2492" s="51"/>
      <c r="B2492" s="55"/>
      <c r="C2492" s="55"/>
      <c r="D2492" s="240"/>
      <c r="E2492" s="52"/>
      <c r="F2492" s="55"/>
      <c r="G2492" s="55"/>
      <c r="H2492" s="55"/>
      <c r="I2492" s="26" t="s">
        <v>1333</v>
      </c>
      <c r="J2492" s="26"/>
      <c r="K2492" s="26"/>
      <c r="L2492" s="26"/>
      <c r="M2492" s="26"/>
      <c r="N2492" s="26"/>
      <c r="O2492" s="26"/>
      <c r="P2492" s="26"/>
      <c r="Q2492" s="26" t="s">
        <v>1333</v>
      </c>
    </row>
    <row r="2493" ht="17.25" customHeight="1">
      <c r="A2493" s="51"/>
      <c r="B2493" s="55"/>
      <c r="C2493" s="55"/>
      <c r="D2493" s="240"/>
      <c r="E2493" s="52"/>
      <c r="F2493" s="55"/>
      <c r="G2493" s="55"/>
      <c r="H2493" s="55"/>
      <c r="I2493" s="26" t="s">
        <v>1333</v>
      </c>
      <c r="J2493" s="26"/>
      <c r="K2493" s="26"/>
      <c r="L2493" s="26"/>
      <c r="M2493" s="26"/>
      <c r="N2493" s="26"/>
      <c r="O2493" s="26"/>
      <c r="P2493" s="26"/>
      <c r="Q2493" s="26" t="s">
        <v>1333</v>
      </c>
    </row>
    <row r="2494" ht="17.25" customHeight="1">
      <c r="A2494" s="51"/>
      <c r="B2494" s="55"/>
      <c r="C2494" s="55"/>
      <c r="D2494" s="240"/>
      <c r="E2494" s="52"/>
      <c r="F2494" s="55"/>
      <c r="G2494" s="55"/>
      <c r="H2494" s="55"/>
      <c r="I2494" s="26" t="s">
        <v>1333</v>
      </c>
      <c r="J2494" s="26"/>
      <c r="K2494" s="26"/>
      <c r="L2494" s="26"/>
      <c r="M2494" s="26"/>
      <c r="N2494" s="26"/>
      <c r="O2494" s="26"/>
      <c r="P2494" s="26"/>
      <c r="Q2494" s="26" t="s">
        <v>1333</v>
      </c>
    </row>
    <row r="2495" ht="17.25" customHeight="1">
      <c r="A2495" s="51"/>
      <c r="B2495" s="55"/>
      <c r="C2495" s="55"/>
      <c r="D2495" s="240"/>
      <c r="E2495" s="52"/>
      <c r="F2495" s="55"/>
      <c r="G2495" s="55"/>
      <c r="H2495" s="55"/>
      <c r="I2495" s="26" t="s">
        <v>1333</v>
      </c>
      <c r="J2495" s="26"/>
      <c r="K2495" s="26"/>
      <c r="L2495" s="26"/>
      <c r="M2495" s="26"/>
      <c r="N2495" s="26"/>
      <c r="O2495" s="26"/>
      <c r="P2495" s="26"/>
      <c r="Q2495" s="26" t="s">
        <v>1333</v>
      </c>
    </row>
    <row r="2496" ht="17.25" customHeight="1">
      <c r="A2496" s="51"/>
      <c r="B2496" s="55"/>
      <c r="C2496" s="55"/>
      <c r="D2496" s="240"/>
      <c r="E2496" s="52"/>
      <c r="F2496" s="55"/>
      <c r="G2496" s="55"/>
      <c r="H2496" s="55"/>
      <c r="I2496" s="26" t="s">
        <v>1333</v>
      </c>
      <c r="J2496" s="26"/>
      <c r="K2496" s="26"/>
      <c r="L2496" s="26"/>
      <c r="M2496" s="26"/>
      <c r="N2496" s="26"/>
      <c r="O2496" s="26"/>
      <c r="P2496" s="26"/>
      <c r="Q2496" s="26" t="s">
        <v>1333</v>
      </c>
    </row>
    <row r="2497" ht="17.25" customHeight="1">
      <c r="A2497" s="51"/>
      <c r="B2497" s="55"/>
      <c r="C2497" s="55"/>
      <c r="D2497" s="240"/>
      <c r="E2497" s="52"/>
      <c r="F2497" s="55"/>
      <c r="G2497" s="55"/>
      <c r="H2497" s="55"/>
      <c r="I2497" s="26" t="s">
        <v>1333</v>
      </c>
      <c r="J2497" s="26"/>
      <c r="K2497" s="26"/>
      <c r="L2497" s="26"/>
      <c r="M2497" s="26"/>
      <c r="N2497" s="26"/>
      <c r="O2497" s="26"/>
      <c r="P2497" s="26"/>
      <c r="Q2497" s="26" t="s">
        <v>1333</v>
      </c>
    </row>
    <row r="2498" ht="17.25" customHeight="1">
      <c r="A2498" s="51"/>
      <c r="B2498" s="55"/>
      <c r="C2498" s="55"/>
      <c r="D2498" s="240"/>
      <c r="E2498" s="52"/>
      <c r="F2498" s="55"/>
      <c r="G2498" s="55"/>
      <c r="H2498" s="55"/>
      <c r="I2498" s="26" t="s">
        <v>1333</v>
      </c>
      <c r="J2498" s="26"/>
      <c r="K2498" s="26"/>
      <c r="L2498" s="26"/>
      <c r="M2498" s="26"/>
      <c r="N2498" s="26"/>
      <c r="O2498" s="26"/>
      <c r="P2498" s="26"/>
      <c r="Q2498" s="26" t="s">
        <v>1333</v>
      </c>
    </row>
    <row r="2499" ht="17.25" customHeight="1">
      <c r="A2499" s="51"/>
      <c r="B2499" s="55"/>
      <c r="C2499" s="55"/>
      <c r="D2499" s="240"/>
      <c r="E2499" s="52"/>
      <c r="F2499" s="55"/>
      <c r="G2499" s="55"/>
      <c r="H2499" s="55"/>
      <c r="I2499" s="26" t="s">
        <v>1333</v>
      </c>
      <c r="J2499" s="26"/>
      <c r="K2499" s="26"/>
      <c r="L2499" s="26"/>
      <c r="M2499" s="26"/>
      <c r="N2499" s="26"/>
      <c r="O2499" s="26"/>
      <c r="P2499" s="26"/>
      <c r="Q2499" s="26" t="s">
        <v>1333</v>
      </c>
    </row>
    <row r="2500" ht="17.25" customHeight="1">
      <c r="A2500" s="51"/>
      <c r="B2500" s="55"/>
      <c r="C2500" s="55"/>
      <c r="D2500" s="240"/>
      <c r="E2500" s="52"/>
      <c r="F2500" s="55"/>
      <c r="G2500" s="55"/>
      <c r="H2500" s="55"/>
      <c r="I2500" s="26" t="s">
        <v>1333</v>
      </c>
      <c r="J2500" s="26"/>
      <c r="K2500" s="26"/>
      <c r="L2500" s="26"/>
      <c r="M2500" s="26"/>
      <c r="N2500" s="26"/>
      <c r="O2500" s="26"/>
      <c r="P2500" s="26"/>
      <c r="Q2500" s="26" t="s">
        <v>1333</v>
      </c>
    </row>
    <row r="2501" ht="17.25" customHeight="1">
      <c r="A2501" s="51"/>
      <c r="B2501" s="55"/>
      <c r="C2501" s="55"/>
      <c r="D2501" s="240"/>
      <c r="E2501" s="52"/>
      <c r="F2501" s="55"/>
      <c r="G2501" s="55"/>
      <c r="H2501" s="55"/>
      <c r="I2501" s="26" t="s">
        <v>1333</v>
      </c>
      <c r="J2501" s="26"/>
      <c r="K2501" s="26"/>
      <c r="L2501" s="26"/>
      <c r="M2501" s="26"/>
      <c r="N2501" s="26"/>
      <c r="O2501" s="26"/>
      <c r="P2501" s="26"/>
      <c r="Q2501" s="26" t="s">
        <v>1333</v>
      </c>
    </row>
    <row r="2502" ht="17.25" customHeight="1">
      <c r="A2502" s="51"/>
      <c r="B2502" s="55"/>
      <c r="C2502" s="55"/>
      <c r="D2502" s="240"/>
      <c r="E2502" s="52"/>
      <c r="F2502" s="55"/>
      <c r="G2502" s="55"/>
      <c r="H2502" s="55"/>
      <c r="I2502" s="26" t="s">
        <v>1333</v>
      </c>
      <c r="J2502" s="26"/>
      <c r="K2502" s="26"/>
      <c r="L2502" s="26"/>
      <c r="M2502" s="26"/>
      <c r="N2502" s="26"/>
      <c r="O2502" s="26"/>
      <c r="P2502" s="26"/>
      <c r="Q2502" s="26" t="s">
        <v>1333</v>
      </c>
    </row>
    <row r="2503" ht="17.25" customHeight="1">
      <c r="A2503" s="51"/>
      <c r="B2503" s="55"/>
      <c r="C2503" s="55"/>
      <c r="D2503" s="240"/>
      <c r="E2503" s="52"/>
      <c r="F2503" s="55"/>
      <c r="G2503" s="55"/>
      <c r="H2503" s="55"/>
      <c r="I2503" s="26" t="s">
        <v>1333</v>
      </c>
      <c r="J2503" s="26"/>
      <c r="K2503" s="26"/>
      <c r="L2503" s="26"/>
      <c r="M2503" s="26"/>
      <c r="N2503" s="26"/>
      <c r="O2503" s="26"/>
      <c r="P2503" s="26"/>
      <c r="Q2503" s="26" t="s">
        <v>1333</v>
      </c>
    </row>
    <row r="2504" ht="17.25" customHeight="1">
      <c r="A2504" s="51"/>
      <c r="B2504" s="55"/>
      <c r="C2504" s="55"/>
      <c r="D2504" s="240"/>
      <c r="E2504" s="52"/>
      <c r="F2504" s="55"/>
      <c r="G2504" s="55"/>
      <c r="H2504" s="55"/>
      <c r="I2504" s="26" t="s">
        <v>1333</v>
      </c>
      <c r="J2504" s="26"/>
      <c r="K2504" s="26"/>
      <c r="L2504" s="26"/>
      <c r="M2504" s="26"/>
      <c r="N2504" s="26"/>
      <c r="O2504" s="26"/>
      <c r="P2504" s="26"/>
      <c r="Q2504" s="26" t="s">
        <v>1333</v>
      </c>
    </row>
    <row r="2505" ht="17.25" customHeight="1">
      <c r="A2505" s="51"/>
      <c r="B2505" s="55"/>
      <c r="C2505" s="55"/>
      <c r="D2505" s="240"/>
      <c r="E2505" s="52"/>
      <c r="F2505" s="55"/>
      <c r="G2505" s="55"/>
      <c r="H2505" s="55"/>
      <c r="I2505" s="26" t="s">
        <v>1333</v>
      </c>
      <c r="J2505" s="26"/>
      <c r="K2505" s="26"/>
      <c r="L2505" s="26"/>
      <c r="M2505" s="26"/>
      <c r="N2505" s="26"/>
      <c r="O2505" s="26"/>
      <c r="P2505" s="26"/>
      <c r="Q2505" s="26" t="s">
        <v>1333</v>
      </c>
    </row>
    <row r="2506" ht="17.25" customHeight="1">
      <c r="A2506" s="51"/>
      <c r="B2506" s="55"/>
      <c r="C2506" s="55"/>
      <c r="D2506" s="240"/>
      <c r="E2506" s="52"/>
      <c r="F2506" s="55"/>
      <c r="G2506" s="55"/>
      <c r="H2506" s="55"/>
      <c r="I2506" s="26" t="s">
        <v>1333</v>
      </c>
      <c r="J2506" s="26"/>
      <c r="K2506" s="26"/>
      <c r="L2506" s="26"/>
      <c r="M2506" s="26"/>
      <c r="N2506" s="26"/>
      <c r="O2506" s="26"/>
      <c r="P2506" s="26"/>
      <c r="Q2506" s="26" t="s">
        <v>1333</v>
      </c>
    </row>
    <row r="2507" ht="17.25" customHeight="1">
      <c r="A2507" s="51"/>
      <c r="B2507" s="55"/>
      <c r="C2507" s="55"/>
      <c r="D2507" s="240"/>
      <c r="E2507" s="52"/>
      <c r="F2507" s="55"/>
      <c r="G2507" s="55"/>
      <c r="H2507" s="55"/>
      <c r="I2507" s="26" t="s">
        <v>1333</v>
      </c>
      <c r="J2507" s="26"/>
      <c r="K2507" s="26"/>
      <c r="L2507" s="26"/>
      <c r="M2507" s="26"/>
      <c r="N2507" s="26"/>
      <c r="O2507" s="26"/>
      <c r="P2507" s="26"/>
      <c r="Q2507" s="26" t="s">
        <v>1333</v>
      </c>
    </row>
    <row r="2508" ht="17.25" customHeight="1">
      <c r="A2508" s="51"/>
      <c r="B2508" s="55"/>
      <c r="C2508" s="55"/>
      <c r="D2508" s="240"/>
      <c r="E2508" s="52"/>
      <c r="F2508" s="55"/>
      <c r="G2508" s="55"/>
      <c r="H2508" s="55"/>
      <c r="I2508" s="26" t="s">
        <v>1333</v>
      </c>
      <c r="J2508" s="26"/>
      <c r="K2508" s="26"/>
      <c r="L2508" s="26"/>
      <c r="M2508" s="26"/>
      <c r="N2508" s="26"/>
      <c r="O2508" s="26"/>
      <c r="P2508" s="26"/>
      <c r="Q2508" s="26" t="s">
        <v>1333</v>
      </c>
    </row>
    <row r="2509" ht="17.25" customHeight="1">
      <c r="A2509" s="51"/>
      <c r="B2509" s="55"/>
      <c r="C2509" s="55"/>
      <c r="D2509" s="240"/>
      <c r="E2509" s="52"/>
      <c r="F2509" s="55"/>
      <c r="G2509" s="55"/>
      <c r="H2509" s="55"/>
      <c r="I2509" s="26" t="s">
        <v>1333</v>
      </c>
      <c r="J2509" s="26"/>
      <c r="K2509" s="26"/>
      <c r="L2509" s="26"/>
      <c r="M2509" s="26"/>
      <c r="N2509" s="26"/>
      <c r="O2509" s="26"/>
      <c r="P2509" s="26"/>
      <c r="Q2509" s="26" t="s">
        <v>1333</v>
      </c>
    </row>
    <row r="2510" ht="17.25" customHeight="1">
      <c r="A2510" s="51"/>
      <c r="B2510" s="55"/>
      <c r="C2510" s="55"/>
      <c r="D2510" s="240"/>
      <c r="E2510" s="52"/>
      <c r="F2510" s="55"/>
      <c r="G2510" s="55"/>
      <c r="H2510" s="55"/>
      <c r="I2510" s="26" t="s">
        <v>1333</v>
      </c>
      <c r="J2510" s="26"/>
      <c r="K2510" s="26"/>
      <c r="L2510" s="26"/>
      <c r="M2510" s="26"/>
      <c r="N2510" s="26"/>
      <c r="O2510" s="26"/>
      <c r="P2510" s="26"/>
      <c r="Q2510" s="26" t="s">
        <v>1333</v>
      </c>
    </row>
    <row r="2511" ht="17.25" customHeight="1">
      <c r="A2511" s="51"/>
      <c r="B2511" s="55"/>
      <c r="C2511" s="55"/>
      <c r="D2511" s="240"/>
      <c r="E2511" s="52"/>
      <c r="F2511" s="55"/>
      <c r="G2511" s="55"/>
      <c r="H2511" s="55"/>
      <c r="I2511" s="26" t="s">
        <v>1333</v>
      </c>
      <c r="J2511" s="26"/>
      <c r="K2511" s="26"/>
      <c r="L2511" s="26"/>
      <c r="M2511" s="26"/>
      <c r="N2511" s="26"/>
      <c r="O2511" s="26"/>
      <c r="P2511" s="26"/>
      <c r="Q2511" s="26" t="s">
        <v>1333</v>
      </c>
    </row>
    <row r="2512" ht="17.25" customHeight="1">
      <c r="A2512" s="51"/>
      <c r="B2512" s="55"/>
      <c r="C2512" s="55"/>
      <c r="D2512" s="240"/>
      <c r="E2512" s="52"/>
      <c r="F2512" s="55"/>
      <c r="G2512" s="55"/>
      <c r="H2512" s="55"/>
      <c r="I2512" s="26" t="s">
        <v>1333</v>
      </c>
      <c r="J2512" s="26"/>
      <c r="K2512" s="26"/>
      <c r="L2512" s="26"/>
      <c r="M2512" s="26"/>
      <c r="N2512" s="26"/>
      <c r="O2512" s="26"/>
      <c r="P2512" s="26"/>
      <c r="Q2512" s="26" t="s">
        <v>1333</v>
      </c>
    </row>
    <row r="2513" ht="17.25" customHeight="1">
      <c r="A2513" s="51"/>
      <c r="B2513" s="55"/>
      <c r="C2513" s="55"/>
      <c r="D2513" s="240"/>
      <c r="E2513" s="52"/>
      <c r="F2513" s="55"/>
      <c r="G2513" s="55"/>
      <c r="H2513" s="55"/>
      <c r="I2513" s="26" t="s">
        <v>1333</v>
      </c>
      <c r="J2513" s="26"/>
      <c r="K2513" s="26"/>
      <c r="L2513" s="26"/>
      <c r="M2513" s="26"/>
      <c r="N2513" s="26"/>
      <c r="O2513" s="26"/>
      <c r="P2513" s="26"/>
      <c r="Q2513" s="26" t="s">
        <v>1333</v>
      </c>
    </row>
    <row r="2514" ht="17.25" customHeight="1">
      <c r="A2514" s="51"/>
      <c r="B2514" s="55"/>
      <c r="C2514" s="55"/>
      <c r="D2514" s="240"/>
      <c r="E2514" s="52"/>
      <c r="F2514" s="55"/>
      <c r="G2514" s="55"/>
      <c r="H2514" s="55"/>
      <c r="I2514" s="26" t="s">
        <v>1333</v>
      </c>
      <c r="J2514" s="26"/>
      <c r="K2514" s="26"/>
      <c r="L2514" s="26"/>
      <c r="M2514" s="26"/>
      <c r="N2514" s="26"/>
      <c r="O2514" s="26"/>
      <c r="P2514" s="26"/>
      <c r="Q2514" s="26" t="s">
        <v>1333</v>
      </c>
    </row>
    <row r="2515" ht="17.25" customHeight="1">
      <c r="A2515" s="51"/>
      <c r="B2515" s="55"/>
      <c r="C2515" s="55"/>
      <c r="D2515" s="240"/>
      <c r="E2515" s="52"/>
      <c r="F2515" s="55"/>
      <c r="G2515" s="55"/>
      <c r="H2515" s="55"/>
      <c r="I2515" s="26" t="s">
        <v>1333</v>
      </c>
      <c r="J2515" s="26"/>
      <c r="K2515" s="26"/>
      <c r="L2515" s="26"/>
      <c r="M2515" s="26"/>
      <c r="N2515" s="26"/>
      <c r="O2515" s="26"/>
      <c r="P2515" s="26"/>
      <c r="Q2515" s="26" t="s">
        <v>1333</v>
      </c>
    </row>
    <row r="2516" ht="17.25" customHeight="1">
      <c r="A2516" s="51"/>
      <c r="B2516" s="55"/>
      <c r="C2516" s="55"/>
      <c r="D2516" s="240"/>
      <c r="E2516" s="52"/>
      <c r="F2516" s="55"/>
      <c r="G2516" s="55"/>
      <c r="H2516" s="55"/>
      <c r="I2516" s="26" t="s">
        <v>1333</v>
      </c>
      <c r="J2516" s="26"/>
      <c r="K2516" s="26"/>
      <c r="L2516" s="26"/>
      <c r="M2516" s="26"/>
      <c r="N2516" s="26"/>
      <c r="O2516" s="26"/>
      <c r="P2516" s="26"/>
      <c r="Q2516" s="26" t="s">
        <v>1333</v>
      </c>
    </row>
    <row r="2517" ht="17.25" customHeight="1">
      <c r="A2517" s="51"/>
      <c r="B2517" s="55"/>
      <c r="C2517" s="55"/>
      <c r="D2517" s="240"/>
      <c r="E2517" s="52"/>
      <c r="F2517" s="55"/>
      <c r="G2517" s="55"/>
      <c r="H2517" s="55"/>
      <c r="I2517" s="26" t="s">
        <v>1333</v>
      </c>
      <c r="J2517" s="26"/>
      <c r="K2517" s="26"/>
      <c r="L2517" s="26"/>
      <c r="M2517" s="26"/>
      <c r="N2517" s="26"/>
      <c r="O2517" s="26"/>
      <c r="P2517" s="26"/>
      <c r="Q2517" s="26" t="s">
        <v>1333</v>
      </c>
    </row>
    <row r="2518" ht="17.25" customHeight="1">
      <c r="A2518" s="51"/>
      <c r="B2518" s="55"/>
      <c r="C2518" s="55"/>
      <c r="D2518" s="240"/>
      <c r="E2518" s="52"/>
      <c r="F2518" s="55"/>
      <c r="G2518" s="55"/>
      <c r="H2518" s="55"/>
      <c r="I2518" s="26" t="s">
        <v>1333</v>
      </c>
      <c r="J2518" s="26"/>
      <c r="K2518" s="26"/>
      <c r="L2518" s="26"/>
      <c r="M2518" s="26"/>
      <c r="N2518" s="26"/>
      <c r="O2518" s="26"/>
      <c r="P2518" s="26"/>
      <c r="Q2518" s="26" t="s">
        <v>1333</v>
      </c>
    </row>
    <row r="2519" ht="17.25" customHeight="1">
      <c r="A2519" s="51"/>
      <c r="B2519" s="55"/>
      <c r="C2519" s="55"/>
      <c r="D2519" s="240"/>
      <c r="E2519" s="52"/>
      <c r="F2519" s="55"/>
      <c r="G2519" s="55"/>
      <c r="H2519" s="55"/>
      <c r="I2519" s="26" t="s">
        <v>1333</v>
      </c>
      <c r="J2519" s="26"/>
      <c r="K2519" s="26"/>
      <c r="L2519" s="26"/>
      <c r="M2519" s="26"/>
      <c r="N2519" s="26"/>
      <c r="O2519" s="26"/>
      <c r="P2519" s="26"/>
      <c r="Q2519" s="26" t="s">
        <v>1333</v>
      </c>
    </row>
    <row r="2520" ht="17.25" customHeight="1">
      <c r="A2520" s="51"/>
      <c r="B2520" s="55"/>
      <c r="C2520" s="55"/>
      <c r="D2520" s="240"/>
      <c r="E2520" s="52"/>
      <c r="F2520" s="55"/>
      <c r="G2520" s="55"/>
      <c r="H2520" s="55"/>
      <c r="I2520" s="26" t="s">
        <v>1333</v>
      </c>
      <c r="J2520" s="26"/>
      <c r="K2520" s="26"/>
      <c r="L2520" s="26"/>
      <c r="M2520" s="26"/>
      <c r="N2520" s="26"/>
      <c r="O2520" s="26"/>
      <c r="P2520" s="26"/>
      <c r="Q2520" s="26" t="s">
        <v>1333</v>
      </c>
    </row>
    <row r="2521" ht="17.25" customHeight="1">
      <c r="A2521" s="51"/>
      <c r="B2521" s="55"/>
      <c r="C2521" s="55"/>
      <c r="D2521" s="240"/>
      <c r="E2521" s="52"/>
      <c r="F2521" s="55"/>
      <c r="G2521" s="55"/>
      <c r="H2521" s="55"/>
      <c r="I2521" s="26" t="s">
        <v>1333</v>
      </c>
      <c r="J2521" s="26"/>
      <c r="K2521" s="26"/>
      <c r="L2521" s="26"/>
      <c r="M2521" s="26"/>
      <c r="N2521" s="26"/>
      <c r="O2521" s="26"/>
      <c r="P2521" s="26"/>
      <c r="Q2521" s="26" t="s">
        <v>1333</v>
      </c>
    </row>
    <row r="2522" ht="17.25" customHeight="1">
      <c r="A2522" s="51"/>
      <c r="B2522" s="55"/>
      <c r="C2522" s="55"/>
      <c r="D2522" s="240"/>
      <c r="E2522" s="52"/>
      <c r="F2522" s="55"/>
      <c r="G2522" s="55"/>
      <c r="H2522" s="55"/>
      <c r="I2522" s="26" t="s">
        <v>1333</v>
      </c>
      <c r="J2522" s="26"/>
      <c r="K2522" s="26"/>
      <c r="L2522" s="26"/>
      <c r="M2522" s="26"/>
      <c r="N2522" s="26"/>
      <c r="O2522" s="26"/>
      <c r="P2522" s="26"/>
      <c r="Q2522" s="26" t="s">
        <v>1333</v>
      </c>
    </row>
    <row r="2523" ht="17.25" customHeight="1">
      <c r="A2523" s="51"/>
      <c r="B2523" s="55"/>
      <c r="C2523" s="55"/>
      <c r="D2523" s="240"/>
      <c r="E2523" s="52"/>
      <c r="F2523" s="55"/>
      <c r="G2523" s="55"/>
      <c r="H2523" s="55"/>
      <c r="I2523" s="26" t="s">
        <v>1333</v>
      </c>
      <c r="J2523" s="26"/>
      <c r="K2523" s="26"/>
      <c r="L2523" s="26"/>
      <c r="M2523" s="26"/>
      <c r="N2523" s="26"/>
      <c r="O2523" s="26"/>
      <c r="P2523" s="26"/>
      <c r="Q2523" s="26" t="s">
        <v>1333</v>
      </c>
    </row>
    <row r="2524" ht="17.25" customHeight="1">
      <c r="A2524" s="51"/>
      <c r="B2524" s="55"/>
      <c r="C2524" s="55"/>
      <c r="D2524" s="240"/>
      <c r="E2524" s="52"/>
      <c r="F2524" s="55"/>
      <c r="G2524" s="55"/>
      <c r="H2524" s="55"/>
      <c r="I2524" s="26" t="s">
        <v>1333</v>
      </c>
      <c r="J2524" s="26"/>
      <c r="K2524" s="26"/>
      <c r="L2524" s="26"/>
      <c r="M2524" s="26"/>
      <c r="N2524" s="26"/>
      <c r="O2524" s="26"/>
      <c r="P2524" s="26"/>
      <c r="Q2524" s="26" t="s">
        <v>1333</v>
      </c>
    </row>
    <row r="2525" ht="17.25" customHeight="1">
      <c r="A2525" s="51"/>
      <c r="B2525" s="55"/>
      <c r="C2525" s="55"/>
      <c r="D2525" s="240"/>
      <c r="E2525" s="52"/>
      <c r="F2525" s="55"/>
      <c r="G2525" s="55"/>
      <c r="H2525" s="55"/>
      <c r="I2525" s="26" t="s">
        <v>1333</v>
      </c>
      <c r="J2525" s="26"/>
      <c r="K2525" s="26"/>
      <c r="L2525" s="26"/>
      <c r="M2525" s="26"/>
      <c r="N2525" s="26"/>
      <c r="O2525" s="26"/>
      <c r="P2525" s="26"/>
      <c r="Q2525" s="26" t="s">
        <v>1333</v>
      </c>
    </row>
    <row r="2526" ht="17.25" customHeight="1">
      <c r="A2526" s="51"/>
      <c r="B2526" s="55"/>
      <c r="C2526" s="55"/>
      <c r="D2526" s="240"/>
      <c r="E2526" s="52"/>
      <c r="F2526" s="55"/>
      <c r="G2526" s="55"/>
      <c r="H2526" s="55"/>
      <c r="I2526" s="26" t="s">
        <v>1333</v>
      </c>
      <c r="J2526" s="26"/>
      <c r="K2526" s="26"/>
      <c r="L2526" s="26"/>
      <c r="M2526" s="26"/>
      <c r="N2526" s="26"/>
      <c r="O2526" s="26"/>
      <c r="P2526" s="26"/>
      <c r="Q2526" s="26" t="s">
        <v>1333</v>
      </c>
    </row>
    <row r="2527" ht="17.25" customHeight="1">
      <c r="A2527" s="51"/>
      <c r="B2527" s="55"/>
      <c r="C2527" s="55"/>
      <c r="D2527" s="240"/>
      <c r="E2527" s="52"/>
      <c r="F2527" s="55"/>
      <c r="G2527" s="55"/>
      <c r="H2527" s="55"/>
      <c r="I2527" s="26" t="s">
        <v>1333</v>
      </c>
      <c r="J2527" s="26"/>
      <c r="K2527" s="26"/>
      <c r="L2527" s="26"/>
      <c r="M2527" s="26"/>
      <c r="N2527" s="26"/>
      <c r="O2527" s="26"/>
      <c r="P2527" s="26"/>
      <c r="Q2527" s="26" t="s">
        <v>1333</v>
      </c>
    </row>
    <row r="2528" ht="17.25" customHeight="1">
      <c r="A2528" s="51"/>
      <c r="B2528" s="55"/>
      <c r="C2528" s="55"/>
      <c r="D2528" s="240"/>
      <c r="E2528" s="52"/>
      <c r="F2528" s="55"/>
      <c r="G2528" s="55"/>
      <c r="H2528" s="55"/>
      <c r="I2528" s="26" t="s">
        <v>1333</v>
      </c>
      <c r="J2528" s="26"/>
      <c r="K2528" s="26"/>
      <c r="L2528" s="26"/>
      <c r="M2528" s="26"/>
      <c r="N2528" s="26"/>
      <c r="O2528" s="26"/>
      <c r="P2528" s="26"/>
      <c r="Q2528" s="26" t="s">
        <v>1333</v>
      </c>
    </row>
    <row r="2529" ht="17.25" customHeight="1">
      <c r="A2529" s="51"/>
      <c r="B2529" s="55"/>
      <c r="C2529" s="55"/>
      <c r="D2529" s="240"/>
      <c r="E2529" s="52"/>
      <c r="F2529" s="55"/>
      <c r="G2529" s="55"/>
      <c r="H2529" s="55"/>
      <c r="I2529" s="26" t="s">
        <v>1333</v>
      </c>
      <c r="J2529" s="26"/>
      <c r="K2529" s="26"/>
      <c r="L2529" s="26"/>
      <c r="M2529" s="26"/>
      <c r="N2529" s="26"/>
      <c r="O2529" s="26"/>
      <c r="P2529" s="26"/>
      <c r="Q2529" s="26" t="s">
        <v>1333</v>
      </c>
    </row>
    <row r="2530" ht="17.25" customHeight="1">
      <c r="A2530" s="51"/>
      <c r="B2530" s="55"/>
      <c r="C2530" s="55"/>
      <c r="D2530" s="240"/>
      <c r="E2530" s="52"/>
      <c r="F2530" s="55"/>
      <c r="G2530" s="55"/>
      <c r="H2530" s="55"/>
      <c r="I2530" s="26" t="s">
        <v>1333</v>
      </c>
      <c r="J2530" s="26"/>
      <c r="K2530" s="26"/>
      <c r="L2530" s="26"/>
      <c r="M2530" s="26"/>
      <c r="N2530" s="26"/>
      <c r="O2530" s="26"/>
      <c r="P2530" s="26"/>
      <c r="Q2530" s="26" t="s">
        <v>1333</v>
      </c>
    </row>
    <row r="2531" ht="17.25" customHeight="1">
      <c r="A2531" s="51"/>
      <c r="B2531" s="55"/>
      <c r="C2531" s="55"/>
      <c r="D2531" s="240"/>
      <c r="E2531" s="52"/>
      <c r="F2531" s="55"/>
      <c r="G2531" s="55"/>
      <c r="H2531" s="55"/>
      <c r="I2531" s="26" t="s">
        <v>1333</v>
      </c>
      <c r="J2531" s="26"/>
      <c r="K2531" s="26"/>
      <c r="L2531" s="26"/>
      <c r="M2531" s="26"/>
      <c r="N2531" s="26"/>
      <c r="O2531" s="26"/>
      <c r="P2531" s="26"/>
      <c r="Q2531" s="26" t="s">
        <v>1333</v>
      </c>
    </row>
    <row r="2532" ht="17.25" customHeight="1">
      <c r="A2532" s="51"/>
      <c r="B2532" s="55"/>
      <c r="C2532" s="55"/>
      <c r="D2532" s="240"/>
      <c r="E2532" s="52"/>
      <c r="F2532" s="55"/>
      <c r="G2532" s="55"/>
      <c r="H2532" s="55"/>
      <c r="I2532" s="26" t="s">
        <v>1333</v>
      </c>
      <c r="J2532" s="26"/>
      <c r="K2532" s="26"/>
      <c r="L2532" s="26"/>
      <c r="M2532" s="26"/>
      <c r="N2532" s="26"/>
      <c r="O2532" s="26"/>
      <c r="P2532" s="26"/>
      <c r="Q2532" s="26" t="s">
        <v>1333</v>
      </c>
    </row>
    <row r="2533" ht="17.25" customHeight="1">
      <c r="A2533" s="51"/>
      <c r="B2533" s="55"/>
      <c r="C2533" s="55"/>
      <c r="D2533" s="240"/>
      <c r="E2533" s="52"/>
      <c r="F2533" s="55"/>
      <c r="G2533" s="55"/>
      <c r="H2533" s="55"/>
      <c r="I2533" s="26" t="s">
        <v>1333</v>
      </c>
      <c r="J2533" s="26"/>
      <c r="K2533" s="26"/>
      <c r="L2533" s="26"/>
      <c r="M2533" s="26"/>
      <c r="N2533" s="26"/>
      <c r="O2533" s="26"/>
      <c r="P2533" s="26"/>
      <c r="Q2533" s="26" t="s">
        <v>1333</v>
      </c>
    </row>
    <row r="2534" ht="17.25" customHeight="1">
      <c r="A2534" s="51"/>
      <c r="B2534" s="55"/>
      <c r="C2534" s="55"/>
      <c r="D2534" s="240"/>
      <c r="E2534" s="52"/>
      <c r="F2534" s="55"/>
      <c r="G2534" s="55"/>
      <c r="H2534" s="55"/>
      <c r="I2534" s="26" t="s">
        <v>1333</v>
      </c>
      <c r="J2534" s="26"/>
      <c r="K2534" s="26"/>
      <c r="L2534" s="26"/>
      <c r="M2534" s="26"/>
      <c r="N2534" s="26"/>
      <c r="O2534" s="26"/>
      <c r="P2534" s="26"/>
      <c r="Q2534" s="26" t="s">
        <v>1333</v>
      </c>
    </row>
    <row r="2535" ht="17.25" customHeight="1">
      <c r="A2535" s="51"/>
      <c r="B2535" s="55"/>
      <c r="C2535" s="55"/>
      <c r="D2535" s="240"/>
      <c r="E2535" s="52"/>
      <c r="F2535" s="55"/>
      <c r="G2535" s="55"/>
      <c r="H2535" s="55"/>
      <c r="I2535" s="26" t="s">
        <v>1333</v>
      </c>
      <c r="J2535" s="26"/>
      <c r="K2535" s="26"/>
      <c r="L2535" s="26"/>
      <c r="M2535" s="26"/>
      <c r="N2535" s="26"/>
      <c r="O2535" s="26"/>
      <c r="P2535" s="26"/>
      <c r="Q2535" s="26" t="s">
        <v>1333</v>
      </c>
    </row>
    <row r="2536" ht="17.25" customHeight="1">
      <c r="A2536" s="51"/>
      <c r="B2536" s="55"/>
      <c r="C2536" s="55"/>
      <c r="D2536" s="240"/>
      <c r="E2536" s="52"/>
      <c r="F2536" s="55"/>
      <c r="G2536" s="55"/>
      <c r="H2536" s="55"/>
      <c r="I2536" s="26" t="s">
        <v>1333</v>
      </c>
      <c r="J2536" s="26"/>
      <c r="K2536" s="26"/>
      <c r="L2536" s="26"/>
      <c r="M2536" s="26"/>
      <c r="N2536" s="26"/>
      <c r="O2536" s="26"/>
      <c r="P2536" s="26"/>
      <c r="Q2536" s="26" t="s">
        <v>1333</v>
      </c>
    </row>
    <row r="2537" ht="17.25" customHeight="1">
      <c r="A2537" s="51"/>
      <c r="B2537" s="55"/>
      <c r="C2537" s="55"/>
      <c r="D2537" s="240"/>
      <c r="E2537" s="52"/>
      <c r="F2537" s="55"/>
      <c r="G2537" s="55"/>
      <c r="H2537" s="55"/>
      <c r="I2537" s="26" t="s">
        <v>1333</v>
      </c>
      <c r="J2537" s="26"/>
      <c r="K2537" s="26"/>
      <c r="L2537" s="26"/>
      <c r="M2537" s="26"/>
      <c r="N2537" s="26"/>
      <c r="O2537" s="26"/>
      <c r="P2537" s="26"/>
      <c r="Q2537" s="26" t="s">
        <v>1333</v>
      </c>
    </row>
    <row r="2538" ht="17.25" customHeight="1">
      <c r="A2538" s="51"/>
      <c r="B2538" s="55"/>
      <c r="C2538" s="55"/>
      <c r="D2538" s="240"/>
      <c r="E2538" s="52"/>
      <c r="F2538" s="55"/>
      <c r="G2538" s="55"/>
      <c r="H2538" s="55"/>
      <c r="I2538" s="26" t="s">
        <v>1333</v>
      </c>
      <c r="J2538" s="26"/>
      <c r="K2538" s="26"/>
      <c r="L2538" s="26"/>
      <c r="M2538" s="26"/>
      <c r="N2538" s="26"/>
      <c r="O2538" s="26"/>
      <c r="P2538" s="26"/>
      <c r="Q2538" s="26" t="s">
        <v>1333</v>
      </c>
    </row>
    <row r="2539" ht="17.25" customHeight="1">
      <c r="A2539" s="51"/>
      <c r="B2539" s="55"/>
      <c r="C2539" s="55"/>
      <c r="D2539" s="240"/>
      <c r="E2539" s="52"/>
      <c r="F2539" s="55"/>
      <c r="G2539" s="55"/>
      <c r="H2539" s="55"/>
      <c r="I2539" s="26" t="s">
        <v>1333</v>
      </c>
      <c r="J2539" s="26"/>
      <c r="K2539" s="26"/>
      <c r="L2539" s="26"/>
      <c r="M2539" s="26"/>
      <c r="N2539" s="26"/>
      <c r="O2539" s="26"/>
      <c r="P2539" s="26"/>
      <c r="Q2539" s="26" t="s">
        <v>1333</v>
      </c>
    </row>
    <row r="2540" ht="17.25" customHeight="1">
      <c r="A2540" s="51"/>
      <c r="B2540" s="55"/>
      <c r="C2540" s="55"/>
      <c r="D2540" s="240"/>
      <c r="E2540" s="52"/>
      <c r="F2540" s="55"/>
      <c r="G2540" s="55"/>
      <c r="H2540" s="55"/>
      <c r="I2540" s="26" t="s">
        <v>1333</v>
      </c>
      <c r="J2540" s="26"/>
      <c r="K2540" s="26"/>
      <c r="L2540" s="26"/>
      <c r="M2540" s="26"/>
      <c r="N2540" s="26"/>
      <c r="O2540" s="26"/>
      <c r="P2540" s="26"/>
      <c r="Q2540" s="26" t="s">
        <v>1333</v>
      </c>
    </row>
    <row r="2541" ht="17.25" customHeight="1">
      <c r="A2541" s="51"/>
      <c r="B2541" s="55"/>
      <c r="C2541" s="55"/>
      <c r="D2541" s="240"/>
      <c r="E2541" s="52"/>
      <c r="F2541" s="55"/>
      <c r="G2541" s="55"/>
      <c r="H2541" s="55"/>
      <c r="I2541" s="26" t="s">
        <v>1333</v>
      </c>
      <c r="J2541" s="26"/>
      <c r="K2541" s="26"/>
      <c r="L2541" s="26"/>
      <c r="M2541" s="26"/>
      <c r="N2541" s="26"/>
      <c r="O2541" s="26"/>
      <c r="P2541" s="26"/>
      <c r="Q2541" s="26" t="s">
        <v>1333</v>
      </c>
    </row>
    <row r="2542" ht="17.25" customHeight="1">
      <c r="A2542" s="51"/>
      <c r="B2542" s="55"/>
      <c r="C2542" s="55"/>
      <c r="D2542" s="240"/>
      <c r="E2542" s="52"/>
      <c r="F2542" s="55"/>
      <c r="G2542" s="55"/>
      <c r="H2542" s="55"/>
      <c r="I2542" s="26" t="s">
        <v>1333</v>
      </c>
      <c r="J2542" s="26"/>
      <c r="K2542" s="26"/>
      <c r="L2542" s="26"/>
      <c r="M2542" s="26"/>
      <c r="N2542" s="26"/>
      <c r="O2542" s="26"/>
      <c r="P2542" s="26"/>
      <c r="Q2542" s="26" t="s">
        <v>1333</v>
      </c>
    </row>
    <row r="2543" ht="17.25" customHeight="1">
      <c r="A2543" s="51"/>
      <c r="B2543" s="55"/>
      <c r="C2543" s="55"/>
      <c r="D2543" s="240"/>
      <c r="E2543" s="52"/>
      <c r="F2543" s="55"/>
      <c r="G2543" s="55"/>
      <c r="H2543" s="55"/>
      <c r="I2543" s="26" t="s">
        <v>1333</v>
      </c>
      <c r="J2543" s="26"/>
      <c r="K2543" s="26"/>
      <c r="L2543" s="26"/>
      <c r="M2543" s="26"/>
      <c r="N2543" s="26"/>
      <c r="O2543" s="26"/>
      <c r="P2543" s="26"/>
      <c r="Q2543" s="26" t="s">
        <v>1333</v>
      </c>
    </row>
    <row r="2544" ht="17.25" customHeight="1">
      <c r="A2544" s="51"/>
      <c r="B2544" s="55"/>
      <c r="C2544" s="55"/>
      <c r="D2544" s="240"/>
      <c r="E2544" s="52"/>
      <c r="F2544" s="55"/>
      <c r="G2544" s="55"/>
      <c r="H2544" s="55"/>
      <c r="I2544" s="26" t="s">
        <v>1333</v>
      </c>
      <c r="J2544" s="26"/>
      <c r="K2544" s="26"/>
      <c r="L2544" s="26"/>
      <c r="M2544" s="26"/>
      <c r="N2544" s="26"/>
      <c r="O2544" s="26"/>
      <c r="P2544" s="26"/>
      <c r="Q2544" s="26" t="s">
        <v>1333</v>
      </c>
    </row>
    <row r="2545" ht="17.25" customHeight="1">
      <c r="A2545" s="51"/>
      <c r="B2545" s="55"/>
      <c r="C2545" s="55"/>
      <c r="D2545" s="240"/>
      <c r="E2545" s="52"/>
      <c r="F2545" s="55"/>
      <c r="G2545" s="55"/>
      <c r="H2545" s="55"/>
      <c r="I2545" s="26" t="s">
        <v>1333</v>
      </c>
      <c r="J2545" s="26"/>
      <c r="K2545" s="26"/>
      <c r="L2545" s="26"/>
      <c r="M2545" s="26"/>
      <c r="N2545" s="26"/>
      <c r="O2545" s="26"/>
      <c r="P2545" s="26"/>
      <c r="Q2545" s="26" t="s">
        <v>1333</v>
      </c>
    </row>
    <row r="2546" ht="17.25" customHeight="1">
      <c r="A2546" s="51"/>
      <c r="B2546" s="55"/>
      <c r="C2546" s="55"/>
      <c r="D2546" s="240"/>
      <c r="E2546" s="52"/>
      <c r="F2546" s="55"/>
      <c r="G2546" s="55"/>
      <c r="H2546" s="55"/>
      <c r="I2546" s="26" t="s">
        <v>1333</v>
      </c>
      <c r="J2546" s="26"/>
      <c r="K2546" s="26"/>
      <c r="L2546" s="26"/>
      <c r="M2546" s="26"/>
      <c r="N2546" s="26"/>
      <c r="O2546" s="26"/>
      <c r="P2546" s="26"/>
      <c r="Q2546" s="26" t="s">
        <v>1333</v>
      </c>
    </row>
    <row r="2547" ht="17.25" customHeight="1">
      <c r="A2547" s="51"/>
      <c r="B2547" s="55"/>
      <c r="C2547" s="55"/>
      <c r="D2547" s="240"/>
      <c r="E2547" s="52"/>
      <c r="F2547" s="55"/>
      <c r="G2547" s="55"/>
      <c r="H2547" s="55"/>
      <c r="I2547" s="26" t="s">
        <v>1333</v>
      </c>
      <c r="J2547" s="26"/>
      <c r="K2547" s="26"/>
      <c r="L2547" s="26"/>
      <c r="M2547" s="26"/>
      <c r="N2547" s="26"/>
      <c r="O2547" s="26"/>
      <c r="P2547" s="26"/>
      <c r="Q2547" s="26" t="s">
        <v>1333</v>
      </c>
    </row>
    <row r="2548" ht="17.25" customHeight="1">
      <c r="A2548" s="51"/>
      <c r="B2548" s="55"/>
      <c r="C2548" s="55"/>
      <c r="D2548" s="240"/>
      <c r="E2548" s="52"/>
      <c r="F2548" s="55"/>
      <c r="G2548" s="55"/>
      <c r="H2548" s="55"/>
      <c r="I2548" s="26" t="s">
        <v>1333</v>
      </c>
      <c r="J2548" s="26"/>
      <c r="K2548" s="26"/>
      <c r="L2548" s="26"/>
      <c r="M2548" s="26"/>
      <c r="N2548" s="26"/>
      <c r="O2548" s="26"/>
      <c r="P2548" s="26"/>
      <c r="Q2548" s="26" t="s">
        <v>1333</v>
      </c>
    </row>
    <row r="2549" ht="17.25" customHeight="1">
      <c r="A2549" s="51"/>
      <c r="B2549" s="55"/>
      <c r="C2549" s="55"/>
      <c r="D2549" s="240"/>
      <c r="E2549" s="52"/>
      <c r="F2549" s="55"/>
      <c r="G2549" s="55"/>
      <c r="H2549" s="55"/>
      <c r="I2549" s="26" t="s">
        <v>1333</v>
      </c>
      <c r="J2549" s="26"/>
      <c r="K2549" s="26"/>
      <c r="L2549" s="26"/>
      <c r="M2549" s="26"/>
      <c r="N2549" s="26"/>
      <c r="O2549" s="26"/>
      <c r="P2549" s="26"/>
      <c r="Q2549" s="26" t="s">
        <v>1333</v>
      </c>
    </row>
    <row r="2550" ht="17.25" customHeight="1">
      <c r="A2550" s="51"/>
      <c r="B2550" s="55"/>
      <c r="C2550" s="55"/>
      <c r="D2550" s="240"/>
      <c r="E2550" s="52"/>
      <c r="F2550" s="55"/>
      <c r="G2550" s="55"/>
      <c r="H2550" s="55"/>
      <c r="I2550" s="26" t="s">
        <v>1333</v>
      </c>
      <c r="J2550" s="26"/>
      <c r="K2550" s="26"/>
      <c r="L2550" s="26"/>
      <c r="M2550" s="26"/>
      <c r="N2550" s="26"/>
      <c r="O2550" s="26"/>
      <c r="P2550" s="26"/>
      <c r="Q2550" s="26" t="s">
        <v>1333</v>
      </c>
    </row>
    <row r="2551" ht="17.25" customHeight="1">
      <c r="A2551" s="51"/>
      <c r="B2551" s="55"/>
      <c r="C2551" s="55"/>
      <c r="D2551" s="240"/>
      <c r="E2551" s="52"/>
      <c r="F2551" s="55"/>
      <c r="G2551" s="55"/>
      <c r="H2551" s="55"/>
      <c r="I2551" s="26" t="s">
        <v>1333</v>
      </c>
      <c r="J2551" s="26"/>
      <c r="K2551" s="26"/>
      <c r="L2551" s="26"/>
      <c r="M2551" s="26"/>
      <c r="N2551" s="26"/>
      <c r="O2551" s="26"/>
      <c r="P2551" s="26"/>
      <c r="Q2551" s="26" t="s">
        <v>1333</v>
      </c>
    </row>
    <row r="2552" ht="17.25" customHeight="1">
      <c r="A2552" s="51"/>
      <c r="B2552" s="55"/>
      <c r="C2552" s="55"/>
      <c r="D2552" s="240"/>
      <c r="E2552" s="52"/>
      <c r="F2552" s="55"/>
      <c r="G2552" s="55"/>
      <c r="H2552" s="55"/>
      <c r="I2552" s="26" t="s">
        <v>1333</v>
      </c>
      <c r="J2552" s="26"/>
      <c r="K2552" s="26"/>
      <c r="L2552" s="26"/>
      <c r="M2552" s="26"/>
      <c r="N2552" s="26"/>
      <c r="O2552" s="26"/>
      <c r="P2552" s="26"/>
      <c r="Q2552" s="26" t="s">
        <v>1333</v>
      </c>
    </row>
    <row r="2553" ht="17.25" customHeight="1">
      <c r="A2553" s="51"/>
      <c r="B2553" s="55"/>
      <c r="C2553" s="55"/>
      <c r="D2553" s="240"/>
      <c r="E2553" s="52"/>
      <c r="F2553" s="55"/>
      <c r="G2553" s="55"/>
      <c r="H2553" s="55"/>
      <c r="I2553" s="26" t="s">
        <v>1333</v>
      </c>
      <c r="J2553" s="26"/>
      <c r="K2553" s="26"/>
      <c r="L2553" s="26"/>
      <c r="M2553" s="26"/>
      <c r="N2553" s="26"/>
      <c r="O2553" s="26"/>
      <c r="P2553" s="26"/>
      <c r="Q2553" s="26" t="s">
        <v>1333</v>
      </c>
    </row>
    <row r="2554" ht="17.25" customHeight="1">
      <c r="A2554" s="51"/>
      <c r="B2554" s="55"/>
      <c r="C2554" s="55"/>
      <c r="D2554" s="240"/>
      <c r="E2554" s="52"/>
      <c r="F2554" s="55"/>
      <c r="G2554" s="55"/>
      <c r="H2554" s="55"/>
      <c r="I2554" s="26" t="s">
        <v>1333</v>
      </c>
      <c r="J2554" s="26"/>
      <c r="K2554" s="26"/>
      <c r="L2554" s="26"/>
      <c r="M2554" s="26"/>
      <c r="N2554" s="26"/>
      <c r="O2554" s="26"/>
      <c r="P2554" s="26"/>
      <c r="Q2554" s="26" t="s">
        <v>1333</v>
      </c>
    </row>
    <row r="2555" ht="17.25" customHeight="1">
      <c r="A2555" s="51"/>
      <c r="B2555" s="55"/>
      <c r="C2555" s="55"/>
      <c r="D2555" s="240"/>
      <c r="E2555" s="52"/>
      <c r="F2555" s="55"/>
      <c r="G2555" s="55"/>
      <c r="H2555" s="55"/>
      <c r="I2555" s="26" t="s">
        <v>1333</v>
      </c>
      <c r="J2555" s="26"/>
      <c r="K2555" s="26"/>
      <c r="L2555" s="26"/>
      <c r="M2555" s="26"/>
      <c r="N2555" s="26"/>
      <c r="O2555" s="26"/>
      <c r="P2555" s="26"/>
      <c r="Q2555" s="26" t="s">
        <v>1333</v>
      </c>
    </row>
    <row r="2556" ht="17.25" customHeight="1">
      <c r="A2556" s="51"/>
      <c r="B2556" s="55"/>
      <c r="C2556" s="55"/>
      <c r="D2556" s="240"/>
      <c r="E2556" s="52"/>
      <c r="F2556" s="55"/>
      <c r="G2556" s="55"/>
      <c r="H2556" s="55"/>
      <c r="I2556" s="26" t="s">
        <v>1333</v>
      </c>
      <c r="J2556" s="26"/>
      <c r="K2556" s="26"/>
      <c r="L2556" s="26"/>
      <c r="M2556" s="26"/>
      <c r="N2556" s="26"/>
      <c r="O2556" s="26"/>
      <c r="P2556" s="26"/>
      <c r="Q2556" s="26" t="s">
        <v>1333</v>
      </c>
    </row>
    <row r="2557" ht="17.25" customHeight="1">
      <c r="A2557" s="51"/>
      <c r="B2557" s="55"/>
      <c r="C2557" s="55"/>
      <c r="D2557" s="240"/>
      <c r="E2557" s="52"/>
      <c r="F2557" s="55"/>
      <c r="G2557" s="55"/>
      <c r="H2557" s="55"/>
      <c r="I2557" s="26" t="s">
        <v>1333</v>
      </c>
      <c r="J2557" s="26"/>
      <c r="K2557" s="26"/>
      <c r="L2557" s="26"/>
      <c r="M2557" s="26"/>
      <c r="N2557" s="26"/>
      <c r="O2557" s="26"/>
      <c r="P2557" s="26"/>
      <c r="Q2557" s="26" t="s">
        <v>1333</v>
      </c>
    </row>
    <row r="2558" ht="17.25" customHeight="1">
      <c r="A2558" s="51"/>
      <c r="B2558" s="55"/>
      <c r="C2558" s="55"/>
      <c r="D2558" s="240"/>
      <c r="E2558" s="52"/>
      <c r="F2558" s="55"/>
      <c r="G2558" s="55"/>
      <c r="H2558" s="55"/>
      <c r="I2558" s="26" t="s">
        <v>1333</v>
      </c>
      <c r="J2558" s="26"/>
      <c r="K2558" s="26"/>
      <c r="L2558" s="26"/>
      <c r="M2558" s="26"/>
      <c r="N2558" s="26"/>
      <c r="O2558" s="26"/>
      <c r="P2558" s="26"/>
      <c r="Q2558" s="26" t="s">
        <v>1333</v>
      </c>
    </row>
    <row r="2559" ht="17.25" customHeight="1">
      <c r="A2559" s="51"/>
      <c r="B2559" s="55"/>
      <c r="C2559" s="55"/>
      <c r="D2559" s="240"/>
      <c r="E2559" s="52"/>
      <c r="F2559" s="55"/>
      <c r="G2559" s="55"/>
      <c r="H2559" s="55"/>
      <c r="I2559" s="26" t="s">
        <v>1333</v>
      </c>
      <c r="J2559" s="26"/>
      <c r="K2559" s="26"/>
      <c r="L2559" s="26"/>
      <c r="M2559" s="26"/>
      <c r="N2559" s="26"/>
      <c r="O2559" s="26"/>
      <c r="P2559" s="26"/>
      <c r="Q2559" s="26" t="s">
        <v>1333</v>
      </c>
    </row>
    <row r="2560" ht="17.25" customHeight="1">
      <c r="A2560" s="51"/>
      <c r="B2560" s="55"/>
      <c r="C2560" s="55"/>
      <c r="D2560" s="240"/>
      <c r="E2560" s="52"/>
      <c r="F2560" s="55"/>
      <c r="G2560" s="55"/>
      <c r="H2560" s="55"/>
      <c r="I2560" s="26" t="s">
        <v>1333</v>
      </c>
      <c r="J2560" s="26"/>
      <c r="K2560" s="26"/>
      <c r="L2560" s="26"/>
      <c r="M2560" s="26"/>
      <c r="N2560" s="26"/>
      <c r="O2560" s="26"/>
      <c r="P2560" s="26"/>
      <c r="Q2560" s="26" t="s">
        <v>1333</v>
      </c>
    </row>
    <row r="2561" ht="17.25" customHeight="1">
      <c r="A2561" s="51"/>
      <c r="B2561" s="55"/>
      <c r="C2561" s="55"/>
      <c r="D2561" s="240"/>
      <c r="E2561" s="52"/>
      <c r="F2561" s="55"/>
      <c r="G2561" s="55"/>
      <c r="H2561" s="55"/>
      <c r="I2561" s="26" t="s">
        <v>1333</v>
      </c>
      <c r="J2561" s="26"/>
      <c r="K2561" s="26"/>
      <c r="L2561" s="26"/>
      <c r="M2561" s="26"/>
      <c r="N2561" s="26"/>
      <c r="O2561" s="26"/>
      <c r="P2561" s="26"/>
      <c r="Q2561" s="26" t="s">
        <v>1333</v>
      </c>
    </row>
    <row r="2562" ht="17.25" customHeight="1">
      <c r="A2562" s="51"/>
      <c r="B2562" s="55"/>
      <c r="C2562" s="55"/>
      <c r="D2562" s="240"/>
      <c r="E2562" s="52"/>
      <c r="F2562" s="55"/>
      <c r="G2562" s="55"/>
      <c r="H2562" s="55"/>
      <c r="I2562" s="26" t="s">
        <v>1333</v>
      </c>
      <c r="J2562" s="26"/>
      <c r="K2562" s="26"/>
      <c r="L2562" s="26"/>
      <c r="M2562" s="26"/>
      <c r="N2562" s="26"/>
      <c r="O2562" s="26"/>
      <c r="P2562" s="26"/>
      <c r="Q2562" s="26" t="s">
        <v>1333</v>
      </c>
    </row>
    <row r="2563" ht="17.25" customHeight="1">
      <c r="A2563" s="51"/>
      <c r="B2563" s="55"/>
      <c r="C2563" s="55"/>
      <c r="D2563" s="240"/>
      <c r="E2563" s="52"/>
      <c r="F2563" s="55"/>
      <c r="G2563" s="55"/>
      <c r="H2563" s="55"/>
      <c r="I2563" s="26" t="s">
        <v>1333</v>
      </c>
      <c r="J2563" s="26"/>
      <c r="K2563" s="26"/>
      <c r="L2563" s="26"/>
      <c r="M2563" s="26"/>
      <c r="N2563" s="26"/>
      <c r="O2563" s="26"/>
      <c r="P2563" s="26"/>
      <c r="Q2563" s="26" t="s">
        <v>1333</v>
      </c>
    </row>
    <row r="2564" ht="17.25" customHeight="1">
      <c r="A2564" s="51"/>
      <c r="B2564" s="55"/>
      <c r="C2564" s="55"/>
      <c r="D2564" s="240"/>
      <c r="E2564" s="52"/>
      <c r="F2564" s="55"/>
      <c r="G2564" s="55"/>
      <c r="H2564" s="55"/>
      <c r="I2564" s="26" t="s">
        <v>1333</v>
      </c>
      <c r="J2564" s="26"/>
      <c r="K2564" s="26"/>
      <c r="L2564" s="26"/>
      <c r="M2564" s="26"/>
      <c r="N2564" s="26"/>
      <c r="O2564" s="26"/>
      <c r="P2564" s="26"/>
      <c r="Q2564" s="26" t="s">
        <v>1333</v>
      </c>
    </row>
    <row r="2565" ht="17.25" customHeight="1">
      <c r="A2565" s="51"/>
      <c r="B2565" s="55"/>
      <c r="C2565" s="55"/>
      <c r="D2565" s="240"/>
      <c r="E2565" s="52"/>
      <c r="F2565" s="55"/>
      <c r="G2565" s="55"/>
      <c r="H2565" s="55"/>
      <c r="I2565" s="26" t="s">
        <v>1333</v>
      </c>
      <c r="J2565" s="26"/>
      <c r="K2565" s="26"/>
      <c r="L2565" s="26"/>
      <c r="M2565" s="26"/>
      <c r="N2565" s="26"/>
      <c r="O2565" s="26"/>
      <c r="P2565" s="26"/>
      <c r="Q2565" s="26" t="s">
        <v>1333</v>
      </c>
    </row>
    <row r="2566" ht="17.25" customHeight="1">
      <c r="A2566" s="51"/>
      <c r="B2566" s="55"/>
      <c r="C2566" s="55"/>
      <c r="D2566" s="240"/>
      <c r="E2566" s="52"/>
      <c r="F2566" s="55"/>
      <c r="G2566" s="55"/>
      <c r="H2566" s="55"/>
      <c r="I2566" s="26" t="s">
        <v>1333</v>
      </c>
      <c r="J2566" s="26"/>
      <c r="K2566" s="26"/>
      <c r="L2566" s="26"/>
      <c r="M2566" s="26"/>
      <c r="N2566" s="26"/>
      <c r="O2566" s="26"/>
      <c r="P2566" s="26"/>
      <c r="Q2566" s="26" t="s">
        <v>1333</v>
      </c>
    </row>
    <row r="2567" ht="17.25" customHeight="1">
      <c r="A2567" s="51"/>
      <c r="B2567" s="55"/>
      <c r="C2567" s="55"/>
      <c r="D2567" s="240"/>
      <c r="E2567" s="52"/>
      <c r="F2567" s="55"/>
      <c r="G2567" s="55"/>
      <c r="H2567" s="55"/>
      <c r="I2567" s="26" t="s">
        <v>1333</v>
      </c>
      <c r="J2567" s="26"/>
      <c r="K2567" s="26"/>
      <c r="L2567" s="26"/>
      <c r="M2567" s="26"/>
      <c r="N2567" s="26"/>
      <c r="O2567" s="26"/>
      <c r="P2567" s="26"/>
      <c r="Q2567" s="26" t="s">
        <v>1333</v>
      </c>
    </row>
    <row r="2568" ht="17.25" customHeight="1">
      <c r="A2568" s="51"/>
      <c r="B2568" s="55"/>
      <c r="C2568" s="55"/>
      <c r="D2568" s="240"/>
      <c r="E2568" s="52"/>
      <c r="F2568" s="55"/>
      <c r="G2568" s="55"/>
      <c r="H2568" s="55"/>
      <c r="I2568" s="26" t="s">
        <v>1333</v>
      </c>
      <c r="J2568" s="26"/>
      <c r="K2568" s="26"/>
      <c r="L2568" s="26"/>
      <c r="M2568" s="26"/>
      <c r="N2568" s="26"/>
      <c r="O2568" s="26"/>
      <c r="P2568" s="26"/>
      <c r="Q2568" s="26" t="s">
        <v>1333</v>
      </c>
    </row>
    <row r="2569" ht="17.25" customHeight="1">
      <c r="A2569" s="51"/>
      <c r="B2569" s="55"/>
      <c r="C2569" s="55"/>
      <c r="D2569" s="240"/>
      <c r="E2569" s="52"/>
      <c r="F2569" s="55"/>
      <c r="G2569" s="55"/>
      <c r="H2569" s="55"/>
      <c r="I2569" s="26" t="s">
        <v>1333</v>
      </c>
      <c r="J2569" s="26"/>
      <c r="K2569" s="26"/>
      <c r="L2569" s="26"/>
      <c r="M2569" s="26"/>
      <c r="N2569" s="26"/>
      <c r="O2569" s="26"/>
      <c r="P2569" s="26"/>
      <c r="Q2569" s="26" t="s">
        <v>1333</v>
      </c>
    </row>
    <row r="2570" ht="17.25" customHeight="1">
      <c r="A2570" s="51"/>
      <c r="B2570" s="55"/>
      <c r="C2570" s="55"/>
      <c r="D2570" s="240"/>
      <c r="E2570" s="52"/>
      <c r="F2570" s="55"/>
      <c r="G2570" s="55"/>
      <c r="H2570" s="55"/>
      <c r="I2570" s="26" t="s">
        <v>1333</v>
      </c>
      <c r="J2570" s="26"/>
      <c r="K2570" s="26"/>
      <c r="L2570" s="26"/>
      <c r="M2570" s="26"/>
      <c r="N2570" s="26"/>
      <c r="O2570" s="26"/>
      <c r="P2570" s="26"/>
      <c r="Q2570" s="26" t="s">
        <v>1333</v>
      </c>
    </row>
    <row r="2571" ht="17.25" customHeight="1">
      <c r="A2571" s="51"/>
      <c r="B2571" s="55"/>
      <c r="C2571" s="55"/>
      <c r="D2571" s="240"/>
      <c r="E2571" s="52"/>
      <c r="F2571" s="55"/>
      <c r="G2571" s="55"/>
      <c r="H2571" s="55"/>
      <c r="I2571" s="26" t="s">
        <v>1333</v>
      </c>
      <c r="J2571" s="26"/>
      <c r="K2571" s="26"/>
      <c r="L2571" s="26"/>
      <c r="M2571" s="26"/>
      <c r="N2571" s="26"/>
      <c r="O2571" s="26"/>
      <c r="P2571" s="26"/>
      <c r="Q2571" s="26" t="s">
        <v>1333</v>
      </c>
    </row>
    <row r="2572" ht="17.25" customHeight="1">
      <c r="A2572" s="51"/>
      <c r="B2572" s="55"/>
      <c r="C2572" s="55"/>
      <c r="D2572" s="240"/>
      <c r="E2572" s="52"/>
      <c r="F2572" s="55"/>
      <c r="G2572" s="55"/>
      <c r="H2572" s="55"/>
      <c r="I2572" s="26" t="s">
        <v>1333</v>
      </c>
      <c r="J2572" s="26"/>
      <c r="K2572" s="26"/>
      <c r="L2572" s="26"/>
      <c r="M2572" s="26"/>
      <c r="N2572" s="26"/>
      <c r="O2572" s="26"/>
      <c r="P2572" s="26"/>
      <c r="Q2572" s="26" t="s">
        <v>1333</v>
      </c>
    </row>
    <row r="2573" ht="17.25" customHeight="1">
      <c r="A2573" s="51"/>
      <c r="B2573" s="55"/>
      <c r="C2573" s="55"/>
      <c r="D2573" s="240"/>
      <c r="E2573" s="52"/>
      <c r="F2573" s="55"/>
      <c r="G2573" s="55"/>
      <c r="H2573" s="55"/>
      <c r="I2573" s="26" t="s">
        <v>1333</v>
      </c>
      <c r="J2573" s="26"/>
      <c r="K2573" s="26"/>
      <c r="L2573" s="26"/>
      <c r="M2573" s="26"/>
      <c r="N2573" s="26"/>
      <c r="O2573" s="26"/>
      <c r="P2573" s="26"/>
      <c r="Q2573" s="26" t="s">
        <v>1333</v>
      </c>
    </row>
    <row r="2574" ht="17.25" customHeight="1">
      <c r="A2574" s="51"/>
      <c r="B2574" s="55"/>
      <c r="C2574" s="55"/>
      <c r="D2574" s="240"/>
      <c r="E2574" s="52"/>
      <c r="F2574" s="55"/>
      <c r="G2574" s="55"/>
      <c r="H2574" s="55"/>
      <c r="I2574" s="26" t="s">
        <v>1333</v>
      </c>
      <c r="J2574" s="26"/>
      <c r="K2574" s="26"/>
      <c r="L2574" s="26"/>
      <c r="M2574" s="26"/>
      <c r="N2574" s="26"/>
      <c r="O2574" s="26"/>
      <c r="P2574" s="26"/>
      <c r="Q2574" s="26" t="s">
        <v>1333</v>
      </c>
    </row>
    <row r="2575" ht="17.25" customHeight="1">
      <c r="A2575" s="51"/>
      <c r="B2575" s="55"/>
      <c r="C2575" s="55"/>
      <c r="D2575" s="240"/>
      <c r="E2575" s="52"/>
      <c r="F2575" s="55"/>
      <c r="G2575" s="55"/>
      <c r="H2575" s="55"/>
      <c r="I2575" s="26" t="s">
        <v>1333</v>
      </c>
      <c r="J2575" s="26"/>
      <c r="K2575" s="26"/>
      <c r="L2575" s="26"/>
      <c r="M2575" s="26"/>
      <c r="N2575" s="26"/>
      <c r="O2575" s="26"/>
      <c r="P2575" s="26"/>
      <c r="Q2575" s="26" t="s">
        <v>1333</v>
      </c>
    </row>
    <row r="2576" ht="17.25" customHeight="1">
      <c r="A2576" s="51"/>
      <c r="B2576" s="55"/>
      <c r="C2576" s="55"/>
      <c r="D2576" s="240"/>
      <c r="E2576" s="52"/>
      <c r="F2576" s="55"/>
      <c r="G2576" s="55"/>
      <c r="H2576" s="55"/>
      <c r="I2576" s="26" t="s">
        <v>1333</v>
      </c>
      <c r="J2576" s="26"/>
      <c r="K2576" s="26"/>
      <c r="L2576" s="26"/>
      <c r="M2576" s="26"/>
      <c r="N2576" s="26"/>
      <c r="O2576" s="26"/>
      <c r="P2576" s="26"/>
      <c r="Q2576" s="26" t="s">
        <v>1333</v>
      </c>
    </row>
    <row r="2577" ht="17.25" customHeight="1">
      <c r="A2577" s="51"/>
      <c r="B2577" s="55"/>
      <c r="C2577" s="55"/>
      <c r="D2577" s="240"/>
      <c r="E2577" s="52"/>
      <c r="F2577" s="55"/>
      <c r="G2577" s="55"/>
      <c r="H2577" s="55"/>
      <c r="I2577" s="26" t="s">
        <v>1333</v>
      </c>
      <c r="J2577" s="26"/>
      <c r="K2577" s="26"/>
      <c r="L2577" s="26"/>
      <c r="M2577" s="26"/>
      <c r="N2577" s="26"/>
      <c r="O2577" s="26"/>
      <c r="P2577" s="26"/>
      <c r="Q2577" s="26" t="s">
        <v>1333</v>
      </c>
    </row>
    <row r="2578" ht="17.25" customHeight="1">
      <c r="A2578" s="51"/>
      <c r="B2578" s="55"/>
      <c r="C2578" s="55"/>
      <c r="D2578" s="240"/>
      <c r="E2578" s="52"/>
      <c r="F2578" s="55"/>
      <c r="G2578" s="55"/>
      <c r="H2578" s="55"/>
      <c r="I2578" s="26" t="s">
        <v>1333</v>
      </c>
      <c r="J2578" s="26"/>
      <c r="K2578" s="26"/>
      <c r="L2578" s="26"/>
      <c r="M2578" s="26"/>
      <c r="N2578" s="26"/>
      <c r="O2578" s="26"/>
      <c r="P2578" s="26"/>
      <c r="Q2578" s="26" t="s">
        <v>1333</v>
      </c>
    </row>
    <row r="2579" ht="17.25" customHeight="1">
      <c r="A2579" s="51"/>
      <c r="B2579" s="55"/>
      <c r="C2579" s="55"/>
      <c r="D2579" s="240"/>
      <c r="E2579" s="52"/>
      <c r="F2579" s="55"/>
      <c r="G2579" s="55"/>
      <c r="H2579" s="55"/>
      <c r="I2579" s="26" t="s">
        <v>1333</v>
      </c>
      <c r="J2579" s="26"/>
      <c r="K2579" s="26"/>
      <c r="L2579" s="26"/>
      <c r="M2579" s="26"/>
      <c r="N2579" s="26"/>
      <c r="O2579" s="26"/>
      <c r="P2579" s="26"/>
      <c r="Q2579" s="26" t="s">
        <v>1333</v>
      </c>
    </row>
    <row r="2580" ht="17.25" customHeight="1">
      <c r="A2580" s="51"/>
      <c r="B2580" s="55"/>
      <c r="C2580" s="55"/>
      <c r="D2580" s="240"/>
      <c r="E2580" s="52"/>
      <c r="F2580" s="55"/>
      <c r="G2580" s="55"/>
      <c r="H2580" s="55"/>
      <c r="I2580" s="26" t="s">
        <v>1333</v>
      </c>
      <c r="J2580" s="26"/>
      <c r="K2580" s="26"/>
      <c r="L2580" s="26"/>
      <c r="M2580" s="26"/>
      <c r="N2580" s="26"/>
      <c r="O2580" s="26"/>
      <c r="P2580" s="26"/>
      <c r="Q2580" s="26" t="s">
        <v>1333</v>
      </c>
    </row>
    <row r="2581" ht="17.25" customHeight="1">
      <c r="A2581" s="51"/>
      <c r="B2581" s="55"/>
      <c r="C2581" s="55"/>
      <c r="D2581" s="240"/>
      <c r="E2581" s="52"/>
      <c r="F2581" s="55"/>
      <c r="G2581" s="55"/>
      <c r="H2581" s="55"/>
      <c r="I2581" s="26" t="s">
        <v>1333</v>
      </c>
      <c r="J2581" s="26"/>
      <c r="K2581" s="26"/>
      <c r="L2581" s="26"/>
      <c r="M2581" s="26"/>
      <c r="N2581" s="26"/>
      <c r="O2581" s="26"/>
      <c r="P2581" s="26"/>
      <c r="Q2581" s="26" t="s">
        <v>1333</v>
      </c>
    </row>
    <row r="2582" ht="17.25" customHeight="1">
      <c r="A2582" s="51"/>
      <c r="B2582" s="55"/>
      <c r="C2582" s="55"/>
      <c r="D2582" s="240"/>
      <c r="E2582" s="52"/>
      <c r="F2582" s="55"/>
      <c r="G2582" s="55"/>
      <c r="H2582" s="55"/>
      <c r="I2582" s="26" t="s">
        <v>1333</v>
      </c>
      <c r="J2582" s="26"/>
      <c r="K2582" s="26"/>
      <c r="L2582" s="26"/>
      <c r="M2582" s="26"/>
      <c r="N2582" s="26"/>
      <c r="O2582" s="26"/>
      <c r="P2582" s="26"/>
      <c r="Q2582" s="26" t="s">
        <v>1333</v>
      </c>
    </row>
    <row r="2583" ht="17.25" customHeight="1">
      <c r="A2583" s="51"/>
      <c r="B2583" s="55"/>
      <c r="C2583" s="55"/>
      <c r="D2583" s="240"/>
      <c r="E2583" s="52"/>
      <c r="F2583" s="55"/>
      <c r="G2583" s="55"/>
      <c r="H2583" s="55"/>
      <c r="I2583" s="26" t="s">
        <v>1333</v>
      </c>
      <c r="J2583" s="26"/>
      <c r="K2583" s="26"/>
      <c r="L2583" s="26"/>
      <c r="M2583" s="26"/>
      <c r="N2583" s="26"/>
      <c r="O2583" s="26"/>
      <c r="P2583" s="26"/>
      <c r="Q2583" s="26" t="s">
        <v>1333</v>
      </c>
    </row>
    <row r="2584" ht="17.25" customHeight="1">
      <c r="A2584" s="51"/>
      <c r="B2584" s="55"/>
      <c r="C2584" s="55"/>
      <c r="D2584" s="240"/>
      <c r="E2584" s="52"/>
      <c r="F2584" s="55"/>
      <c r="G2584" s="55"/>
      <c r="H2584" s="55"/>
      <c r="I2584" s="26" t="s">
        <v>1333</v>
      </c>
      <c r="J2584" s="26"/>
      <c r="K2584" s="26"/>
      <c r="L2584" s="26"/>
      <c r="M2584" s="26"/>
      <c r="N2584" s="26"/>
      <c r="O2584" s="26"/>
      <c r="P2584" s="26"/>
      <c r="Q2584" s="26" t="s">
        <v>1333</v>
      </c>
    </row>
    <row r="2585" ht="17.25" customHeight="1">
      <c r="A2585" s="51"/>
      <c r="B2585" s="55"/>
      <c r="C2585" s="55"/>
      <c r="D2585" s="240"/>
      <c r="E2585" s="52"/>
      <c r="F2585" s="55"/>
      <c r="G2585" s="55"/>
      <c r="H2585" s="55"/>
      <c r="I2585" s="26" t="s">
        <v>1333</v>
      </c>
      <c r="J2585" s="26"/>
      <c r="K2585" s="26"/>
      <c r="L2585" s="26"/>
      <c r="M2585" s="26"/>
      <c r="N2585" s="26"/>
      <c r="O2585" s="26"/>
      <c r="P2585" s="26"/>
      <c r="Q2585" s="26" t="s">
        <v>1333</v>
      </c>
    </row>
    <row r="2586" ht="17.25" customHeight="1">
      <c r="A2586" s="51"/>
      <c r="B2586" s="55"/>
      <c r="C2586" s="55"/>
      <c r="D2586" s="240"/>
      <c r="E2586" s="52"/>
      <c r="F2586" s="55"/>
      <c r="G2586" s="55"/>
      <c r="H2586" s="55"/>
      <c r="I2586" s="26" t="s">
        <v>1333</v>
      </c>
      <c r="J2586" s="26"/>
      <c r="K2586" s="26"/>
      <c r="L2586" s="26"/>
      <c r="M2586" s="26"/>
      <c r="N2586" s="26"/>
      <c r="O2586" s="26"/>
      <c r="P2586" s="26"/>
      <c r="Q2586" s="26" t="s">
        <v>1333</v>
      </c>
    </row>
    <row r="2587" ht="17.25" customHeight="1">
      <c r="A2587" s="51"/>
      <c r="B2587" s="55"/>
      <c r="C2587" s="55"/>
      <c r="D2587" s="240"/>
      <c r="E2587" s="52"/>
      <c r="F2587" s="55"/>
      <c r="G2587" s="55"/>
      <c r="H2587" s="55"/>
      <c r="I2587" s="26" t="s">
        <v>1333</v>
      </c>
      <c r="J2587" s="26"/>
      <c r="K2587" s="26"/>
      <c r="L2587" s="26"/>
      <c r="M2587" s="26"/>
      <c r="N2587" s="26"/>
      <c r="O2587" s="26"/>
      <c r="P2587" s="26"/>
      <c r="Q2587" s="26" t="s">
        <v>1333</v>
      </c>
    </row>
    <row r="2588" ht="17.25" customHeight="1">
      <c r="A2588" s="51"/>
      <c r="B2588" s="55"/>
      <c r="C2588" s="55"/>
      <c r="D2588" s="240"/>
      <c r="E2588" s="52"/>
      <c r="F2588" s="55"/>
      <c r="G2588" s="55"/>
      <c r="H2588" s="55"/>
      <c r="I2588" s="26" t="s">
        <v>1333</v>
      </c>
      <c r="J2588" s="26"/>
      <c r="K2588" s="26"/>
      <c r="L2588" s="26"/>
      <c r="M2588" s="26"/>
      <c r="N2588" s="26"/>
      <c r="O2588" s="26"/>
      <c r="P2588" s="26"/>
      <c r="Q2588" s="26" t="s">
        <v>1333</v>
      </c>
    </row>
    <row r="2589" ht="17.25" customHeight="1">
      <c r="A2589" s="51"/>
      <c r="B2589" s="55"/>
      <c r="C2589" s="55"/>
      <c r="D2589" s="240"/>
      <c r="E2589" s="52"/>
      <c r="F2589" s="55"/>
      <c r="G2589" s="55"/>
      <c r="H2589" s="55"/>
      <c r="I2589" s="26" t="s">
        <v>1333</v>
      </c>
      <c r="J2589" s="26"/>
      <c r="K2589" s="26"/>
      <c r="L2589" s="26"/>
      <c r="M2589" s="26"/>
      <c r="N2589" s="26"/>
      <c r="O2589" s="26"/>
      <c r="P2589" s="26"/>
      <c r="Q2589" s="26" t="s">
        <v>1333</v>
      </c>
    </row>
    <row r="2590" ht="17.25" customHeight="1">
      <c r="A2590" s="51"/>
      <c r="B2590" s="55"/>
      <c r="C2590" s="55"/>
      <c r="D2590" s="240"/>
      <c r="E2590" s="52"/>
      <c r="F2590" s="55"/>
      <c r="G2590" s="55"/>
      <c r="H2590" s="55"/>
      <c r="I2590" s="26" t="s">
        <v>1333</v>
      </c>
      <c r="J2590" s="26"/>
      <c r="K2590" s="26"/>
      <c r="L2590" s="26"/>
      <c r="M2590" s="26"/>
      <c r="N2590" s="26"/>
      <c r="O2590" s="26"/>
      <c r="P2590" s="26"/>
      <c r="Q2590" s="26" t="s">
        <v>1333</v>
      </c>
    </row>
    <row r="2591" ht="17.25" customHeight="1">
      <c r="A2591" s="51"/>
      <c r="B2591" s="55"/>
      <c r="C2591" s="55"/>
      <c r="D2591" s="240"/>
      <c r="E2591" s="52"/>
      <c r="F2591" s="55"/>
      <c r="G2591" s="55"/>
      <c r="H2591" s="55"/>
      <c r="I2591" s="26" t="s">
        <v>1333</v>
      </c>
      <c r="J2591" s="26"/>
      <c r="K2591" s="26"/>
      <c r="L2591" s="26"/>
      <c r="M2591" s="26"/>
      <c r="N2591" s="26"/>
      <c r="O2591" s="26"/>
      <c r="P2591" s="26"/>
      <c r="Q2591" s="26" t="s">
        <v>1333</v>
      </c>
    </row>
    <row r="2592" ht="17.25" customHeight="1">
      <c r="A2592" s="51"/>
      <c r="B2592" s="55"/>
      <c r="C2592" s="55"/>
      <c r="D2592" s="240"/>
      <c r="E2592" s="52"/>
      <c r="F2592" s="55"/>
      <c r="G2592" s="55"/>
      <c r="H2592" s="55"/>
      <c r="I2592" s="26" t="s">
        <v>1333</v>
      </c>
      <c r="J2592" s="26"/>
      <c r="K2592" s="26"/>
      <c r="L2592" s="26"/>
      <c r="M2592" s="26"/>
      <c r="N2592" s="26"/>
      <c r="O2592" s="26"/>
      <c r="P2592" s="26"/>
      <c r="Q2592" s="26" t="s">
        <v>1333</v>
      </c>
    </row>
    <row r="2593" ht="17.25" customHeight="1">
      <c r="A2593" s="51"/>
      <c r="B2593" s="55"/>
      <c r="C2593" s="55"/>
      <c r="D2593" s="240"/>
      <c r="E2593" s="52"/>
      <c r="F2593" s="55"/>
      <c r="G2593" s="55"/>
      <c r="H2593" s="55"/>
      <c r="I2593" s="26" t="s">
        <v>1333</v>
      </c>
      <c r="J2593" s="26"/>
      <c r="K2593" s="26"/>
      <c r="L2593" s="26"/>
      <c r="M2593" s="26"/>
      <c r="N2593" s="26"/>
      <c r="O2593" s="26"/>
      <c r="P2593" s="26"/>
      <c r="Q2593" s="26" t="s">
        <v>1333</v>
      </c>
    </row>
    <row r="2594" ht="17.25" customHeight="1">
      <c r="A2594" s="51"/>
      <c r="B2594" s="55"/>
      <c r="C2594" s="55"/>
      <c r="D2594" s="240"/>
      <c r="E2594" s="52"/>
      <c r="F2594" s="55"/>
      <c r="G2594" s="55"/>
      <c r="H2594" s="55"/>
      <c r="I2594" s="26" t="s">
        <v>1333</v>
      </c>
      <c r="J2594" s="26"/>
      <c r="K2594" s="26"/>
      <c r="L2594" s="26"/>
      <c r="M2594" s="26"/>
      <c r="N2594" s="26"/>
      <c r="O2594" s="26"/>
      <c r="P2594" s="26"/>
      <c r="Q2594" s="26" t="s">
        <v>1333</v>
      </c>
    </row>
    <row r="2595" ht="17.25" customHeight="1">
      <c r="A2595" s="51"/>
      <c r="B2595" s="55"/>
      <c r="C2595" s="55"/>
      <c r="D2595" s="240"/>
      <c r="E2595" s="52"/>
      <c r="F2595" s="55"/>
      <c r="G2595" s="55"/>
      <c r="H2595" s="55"/>
      <c r="I2595" s="26" t="s">
        <v>1333</v>
      </c>
      <c r="J2595" s="26"/>
      <c r="K2595" s="26"/>
      <c r="L2595" s="26"/>
      <c r="M2595" s="26"/>
      <c r="N2595" s="26"/>
      <c r="O2595" s="26"/>
      <c r="P2595" s="26"/>
      <c r="Q2595" s="26" t="s">
        <v>1333</v>
      </c>
    </row>
    <row r="2596" ht="17.25" customHeight="1">
      <c r="A2596" s="51"/>
      <c r="B2596" s="55"/>
      <c r="C2596" s="55"/>
      <c r="D2596" s="240"/>
      <c r="E2596" s="52"/>
      <c r="F2596" s="55"/>
      <c r="G2596" s="55"/>
      <c r="H2596" s="55"/>
      <c r="I2596" s="26" t="s">
        <v>1333</v>
      </c>
      <c r="J2596" s="26"/>
      <c r="K2596" s="26"/>
      <c r="L2596" s="26"/>
      <c r="M2596" s="26"/>
      <c r="N2596" s="26"/>
      <c r="O2596" s="26"/>
      <c r="P2596" s="26"/>
      <c r="Q2596" s="26" t="s">
        <v>1333</v>
      </c>
    </row>
    <row r="2597" ht="17.25" customHeight="1">
      <c r="A2597" s="51"/>
      <c r="B2597" s="55"/>
      <c r="C2597" s="55"/>
      <c r="D2597" s="240"/>
      <c r="E2597" s="52"/>
      <c r="F2597" s="55"/>
      <c r="G2597" s="55"/>
      <c r="H2597" s="55"/>
      <c r="I2597" s="26" t="s">
        <v>1333</v>
      </c>
      <c r="J2597" s="26"/>
      <c r="K2597" s="26"/>
      <c r="L2597" s="26"/>
      <c r="M2597" s="26"/>
      <c r="N2597" s="26"/>
      <c r="O2597" s="26"/>
      <c r="P2597" s="26"/>
      <c r="Q2597" s="26" t="s">
        <v>1333</v>
      </c>
    </row>
    <row r="2598" ht="17.25" customHeight="1">
      <c r="A2598" s="51"/>
      <c r="B2598" s="55"/>
      <c r="C2598" s="55"/>
      <c r="D2598" s="240"/>
      <c r="E2598" s="52"/>
      <c r="F2598" s="55"/>
      <c r="G2598" s="55"/>
      <c r="H2598" s="55"/>
      <c r="I2598" s="26" t="s">
        <v>1333</v>
      </c>
      <c r="J2598" s="26"/>
      <c r="K2598" s="26"/>
      <c r="L2598" s="26"/>
      <c r="M2598" s="26"/>
      <c r="N2598" s="26"/>
      <c r="O2598" s="26"/>
      <c r="P2598" s="26"/>
      <c r="Q2598" s="26" t="s">
        <v>1333</v>
      </c>
    </row>
    <row r="2599" ht="17.25" customHeight="1">
      <c r="A2599" s="51"/>
      <c r="B2599" s="55"/>
      <c r="C2599" s="55"/>
      <c r="D2599" s="240"/>
      <c r="E2599" s="52"/>
      <c r="F2599" s="55"/>
      <c r="G2599" s="55"/>
      <c r="H2599" s="55"/>
      <c r="I2599" s="26" t="s">
        <v>1333</v>
      </c>
      <c r="J2599" s="26"/>
      <c r="K2599" s="26"/>
      <c r="L2599" s="26"/>
      <c r="M2599" s="26"/>
      <c r="N2599" s="26"/>
      <c r="O2599" s="26"/>
      <c r="P2599" s="26"/>
      <c r="Q2599" s="26" t="s">
        <v>1333</v>
      </c>
    </row>
    <row r="2600" ht="17.25" customHeight="1">
      <c r="A2600" s="51"/>
      <c r="B2600" s="55"/>
      <c r="C2600" s="55"/>
      <c r="D2600" s="240"/>
      <c r="E2600" s="52"/>
      <c r="F2600" s="55"/>
      <c r="G2600" s="55"/>
      <c r="H2600" s="55"/>
      <c r="I2600" s="26" t="s">
        <v>1333</v>
      </c>
      <c r="J2600" s="26"/>
      <c r="K2600" s="26"/>
      <c r="L2600" s="26"/>
      <c r="M2600" s="26"/>
      <c r="N2600" s="26"/>
      <c r="O2600" s="26"/>
      <c r="P2600" s="26"/>
      <c r="Q2600" s="26" t="s">
        <v>1333</v>
      </c>
    </row>
    <row r="2601" ht="17.25" customHeight="1">
      <c r="A2601" s="51"/>
      <c r="B2601" s="55"/>
      <c r="C2601" s="55"/>
      <c r="D2601" s="240"/>
      <c r="E2601" s="52"/>
      <c r="F2601" s="55"/>
      <c r="G2601" s="55"/>
      <c r="H2601" s="55"/>
      <c r="I2601" s="26" t="s">
        <v>1333</v>
      </c>
      <c r="J2601" s="26"/>
      <c r="K2601" s="26"/>
      <c r="L2601" s="26"/>
      <c r="M2601" s="26"/>
      <c r="N2601" s="26"/>
      <c r="O2601" s="26"/>
      <c r="P2601" s="26"/>
      <c r="Q2601" s="26" t="s">
        <v>1333</v>
      </c>
    </row>
    <row r="2602" ht="17.25" customHeight="1">
      <c r="A2602" s="51"/>
      <c r="B2602" s="55"/>
      <c r="C2602" s="55"/>
      <c r="D2602" s="240"/>
      <c r="E2602" s="52"/>
      <c r="F2602" s="55"/>
      <c r="G2602" s="55"/>
      <c r="H2602" s="55"/>
      <c r="I2602" s="26" t="s">
        <v>1333</v>
      </c>
      <c r="J2602" s="26"/>
      <c r="K2602" s="26"/>
      <c r="L2602" s="26"/>
      <c r="M2602" s="26"/>
      <c r="N2602" s="26"/>
      <c r="O2602" s="26"/>
      <c r="P2602" s="26"/>
      <c r="Q2602" s="26" t="s">
        <v>1333</v>
      </c>
    </row>
    <row r="2603" ht="17.25" customHeight="1">
      <c r="A2603" s="51"/>
      <c r="B2603" s="55"/>
      <c r="C2603" s="55"/>
      <c r="D2603" s="240"/>
      <c r="E2603" s="52"/>
      <c r="F2603" s="55"/>
      <c r="G2603" s="55"/>
      <c r="H2603" s="55"/>
      <c r="I2603" s="26" t="s">
        <v>1333</v>
      </c>
      <c r="J2603" s="26"/>
      <c r="K2603" s="26"/>
      <c r="L2603" s="26"/>
      <c r="M2603" s="26"/>
      <c r="N2603" s="26"/>
      <c r="O2603" s="26"/>
      <c r="P2603" s="26"/>
      <c r="Q2603" s="26" t="s">
        <v>1333</v>
      </c>
    </row>
    <row r="2604" ht="17.25" customHeight="1">
      <c r="A2604" s="51"/>
      <c r="B2604" s="55"/>
      <c r="C2604" s="55"/>
      <c r="D2604" s="240"/>
      <c r="E2604" s="52"/>
      <c r="F2604" s="55"/>
      <c r="G2604" s="55"/>
      <c r="H2604" s="55"/>
      <c r="I2604" s="26" t="s">
        <v>1333</v>
      </c>
      <c r="J2604" s="26"/>
      <c r="K2604" s="26"/>
      <c r="L2604" s="26"/>
      <c r="M2604" s="26"/>
      <c r="N2604" s="26"/>
      <c r="O2604" s="26"/>
      <c r="P2604" s="26"/>
      <c r="Q2604" s="26" t="s">
        <v>1333</v>
      </c>
    </row>
    <row r="2605" ht="17.25" customHeight="1">
      <c r="A2605" s="51"/>
      <c r="B2605" s="55"/>
      <c r="C2605" s="55"/>
      <c r="D2605" s="240"/>
      <c r="E2605" s="52"/>
      <c r="F2605" s="55"/>
      <c r="G2605" s="55"/>
      <c r="H2605" s="55"/>
      <c r="I2605" s="26" t="s">
        <v>1333</v>
      </c>
      <c r="J2605" s="26"/>
      <c r="K2605" s="26"/>
      <c r="L2605" s="26"/>
      <c r="M2605" s="26"/>
      <c r="N2605" s="26"/>
      <c r="O2605" s="26"/>
      <c r="P2605" s="26"/>
      <c r="Q2605" s="26" t="s">
        <v>1333</v>
      </c>
    </row>
    <row r="2606" ht="17.25" customHeight="1">
      <c r="A2606" s="51"/>
      <c r="B2606" s="55"/>
      <c r="C2606" s="55"/>
      <c r="D2606" s="240"/>
      <c r="E2606" s="52"/>
      <c r="F2606" s="55"/>
      <c r="G2606" s="55"/>
      <c r="H2606" s="55"/>
      <c r="I2606" s="26" t="s">
        <v>1333</v>
      </c>
      <c r="J2606" s="26"/>
      <c r="K2606" s="26"/>
      <c r="L2606" s="26"/>
      <c r="M2606" s="26"/>
      <c r="N2606" s="26"/>
      <c r="O2606" s="26"/>
      <c r="P2606" s="26"/>
      <c r="Q2606" s="26" t="s">
        <v>1333</v>
      </c>
    </row>
    <row r="2607" ht="17.25" customHeight="1">
      <c r="A2607" s="51"/>
      <c r="B2607" s="55"/>
      <c r="C2607" s="55"/>
      <c r="D2607" s="240"/>
      <c r="E2607" s="52"/>
      <c r="F2607" s="55"/>
      <c r="G2607" s="55"/>
      <c r="H2607" s="55"/>
      <c r="I2607" s="26" t="s">
        <v>1333</v>
      </c>
      <c r="J2607" s="26"/>
      <c r="K2607" s="26"/>
      <c r="L2607" s="26"/>
      <c r="M2607" s="26"/>
      <c r="N2607" s="26"/>
      <c r="O2607" s="26"/>
      <c r="P2607" s="26"/>
      <c r="Q2607" s="26" t="s">
        <v>1333</v>
      </c>
    </row>
    <row r="2608" ht="17.25" customHeight="1">
      <c r="A2608" s="51"/>
      <c r="B2608" s="55"/>
      <c r="C2608" s="55"/>
      <c r="D2608" s="240"/>
      <c r="E2608" s="52"/>
      <c r="F2608" s="55"/>
      <c r="G2608" s="55"/>
      <c r="H2608" s="55"/>
      <c r="I2608" s="26" t="s">
        <v>1333</v>
      </c>
      <c r="J2608" s="26"/>
      <c r="K2608" s="26"/>
      <c r="L2608" s="26"/>
      <c r="M2608" s="26"/>
      <c r="N2608" s="26"/>
      <c r="O2608" s="26"/>
      <c r="P2608" s="26"/>
      <c r="Q2608" s="26" t="s">
        <v>1333</v>
      </c>
    </row>
    <row r="2609" ht="17.25" customHeight="1">
      <c r="A2609" s="51"/>
      <c r="B2609" s="55"/>
      <c r="C2609" s="55"/>
      <c r="D2609" s="240"/>
      <c r="E2609" s="52"/>
      <c r="F2609" s="55"/>
      <c r="G2609" s="55"/>
      <c r="H2609" s="55"/>
      <c r="I2609" s="26" t="s">
        <v>1333</v>
      </c>
      <c r="J2609" s="26"/>
      <c r="K2609" s="26"/>
      <c r="L2609" s="26"/>
      <c r="M2609" s="26"/>
      <c r="N2609" s="26"/>
      <c r="O2609" s="26"/>
      <c r="P2609" s="26"/>
      <c r="Q2609" s="26" t="s">
        <v>1333</v>
      </c>
    </row>
    <row r="2610" ht="17.25" customHeight="1">
      <c r="A2610" s="51"/>
      <c r="B2610" s="55"/>
      <c r="C2610" s="55"/>
      <c r="D2610" s="240"/>
      <c r="E2610" s="52"/>
      <c r="F2610" s="55"/>
      <c r="G2610" s="55"/>
      <c r="H2610" s="55"/>
      <c r="I2610" s="26" t="s">
        <v>1333</v>
      </c>
      <c r="J2610" s="26"/>
      <c r="K2610" s="26"/>
      <c r="L2610" s="26"/>
      <c r="M2610" s="26"/>
      <c r="N2610" s="26"/>
      <c r="O2610" s="26"/>
      <c r="P2610" s="26"/>
      <c r="Q2610" s="26" t="s">
        <v>1333</v>
      </c>
    </row>
    <row r="2611" ht="17.25" customHeight="1">
      <c r="A2611" s="51"/>
      <c r="B2611" s="55"/>
      <c r="C2611" s="55"/>
      <c r="D2611" s="240"/>
      <c r="E2611" s="52"/>
      <c r="F2611" s="55"/>
      <c r="G2611" s="55"/>
      <c r="H2611" s="55"/>
      <c r="I2611" s="26" t="s">
        <v>1333</v>
      </c>
      <c r="J2611" s="26"/>
      <c r="K2611" s="26"/>
      <c r="L2611" s="26"/>
      <c r="M2611" s="26"/>
      <c r="N2611" s="26"/>
      <c r="O2611" s="26"/>
      <c r="P2611" s="26"/>
      <c r="Q2611" s="26" t="s">
        <v>1333</v>
      </c>
    </row>
    <row r="2612" ht="17.25" customHeight="1">
      <c r="A2612" s="51"/>
      <c r="B2612" s="55"/>
      <c r="C2612" s="55"/>
      <c r="D2612" s="240"/>
      <c r="E2612" s="52"/>
      <c r="F2612" s="55"/>
      <c r="G2612" s="55"/>
      <c r="H2612" s="55"/>
      <c r="I2612" s="26" t="s">
        <v>1333</v>
      </c>
      <c r="J2612" s="26"/>
      <c r="K2612" s="26"/>
      <c r="L2612" s="26"/>
      <c r="M2612" s="26"/>
      <c r="N2612" s="26"/>
      <c r="O2612" s="26"/>
      <c r="P2612" s="26"/>
      <c r="Q2612" s="26" t="s">
        <v>1333</v>
      </c>
    </row>
    <row r="2613" ht="17.25" customHeight="1">
      <c r="A2613" s="51"/>
      <c r="B2613" s="55"/>
      <c r="C2613" s="55"/>
      <c r="D2613" s="240"/>
      <c r="E2613" s="52"/>
      <c r="F2613" s="55"/>
      <c r="G2613" s="55"/>
      <c r="H2613" s="55"/>
      <c r="I2613" s="26" t="s">
        <v>1333</v>
      </c>
      <c r="J2613" s="26"/>
      <c r="K2613" s="26"/>
      <c r="L2613" s="26"/>
      <c r="M2613" s="26"/>
      <c r="N2613" s="26"/>
      <c r="O2613" s="26"/>
      <c r="P2613" s="26"/>
      <c r="Q2613" s="26" t="s">
        <v>1333</v>
      </c>
    </row>
    <row r="2614" ht="17.25" customHeight="1">
      <c r="A2614" s="51"/>
      <c r="B2614" s="55"/>
      <c r="C2614" s="55"/>
      <c r="D2614" s="240"/>
      <c r="E2614" s="52"/>
      <c r="F2614" s="55"/>
      <c r="G2614" s="55"/>
      <c r="H2614" s="55"/>
      <c r="I2614" s="26" t="s">
        <v>1333</v>
      </c>
      <c r="J2614" s="26"/>
      <c r="K2614" s="26"/>
      <c r="L2614" s="26"/>
      <c r="M2614" s="26"/>
      <c r="N2614" s="26"/>
      <c r="O2614" s="26"/>
      <c r="P2614" s="26"/>
      <c r="Q2614" s="26" t="s">
        <v>1333</v>
      </c>
    </row>
    <row r="2615" ht="17.25" customHeight="1">
      <c r="A2615" s="51"/>
      <c r="B2615" s="55"/>
      <c r="C2615" s="55"/>
      <c r="D2615" s="240"/>
      <c r="E2615" s="52"/>
      <c r="F2615" s="55"/>
      <c r="G2615" s="55"/>
      <c r="H2615" s="55"/>
      <c r="I2615" s="26" t="s">
        <v>1333</v>
      </c>
      <c r="J2615" s="26"/>
      <c r="K2615" s="26"/>
      <c r="L2615" s="26"/>
      <c r="M2615" s="26"/>
      <c r="N2615" s="26"/>
      <c r="O2615" s="26"/>
      <c r="P2615" s="26"/>
      <c r="Q2615" s="26" t="s">
        <v>1333</v>
      </c>
    </row>
    <row r="2616" ht="17.25" customHeight="1">
      <c r="A2616" s="51"/>
      <c r="B2616" s="55"/>
      <c r="C2616" s="55"/>
      <c r="D2616" s="240"/>
      <c r="E2616" s="52"/>
      <c r="F2616" s="55"/>
      <c r="G2616" s="55"/>
      <c r="H2616" s="55"/>
      <c r="I2616" s="26" t="s">
        <v>1333</v>
      </c>
      <c r="J2616" s="26"/>
      <c r="K2616" s="26"/>
      <c r="L2616" s="26"/>
      <c r="M2616" s="26"/>
      <c r="N2616" s="26"/>
      <c r="O2616" s="26"/>
      <c r="P2616" s="26"/>
      <c r="Q2616" s="26" t="s">
        <v>1333</v>
      </c>
    </row>
    <row r="2617" ht="17.25" customHeight="1">
      <c r="A2617" s="51"/>
      <c r="B2617" s="55"/>
      <c r="C2617" s="55"/>
      <c r="D2617" s="240"/>
      <c r="E2617" s="52"/>
      <c r="F2617" s="55"/>
      <c r="G2617" s="55"/>
      <c r="H2617" s="55"/>
      <c r="I2617" s="26" t="s">
        <v>1333</v>
      </c>
      <c r="J2617" s="26"/>
      <c r="K2617" s="26"/>
      <c r="L2617" s="26"/>
      <c r="M2617" s="26"/>
      <c r="N2617" s="26"/>
      <c r="O2617" s="26"/>
      <c r="P2617" s="26"/>
      <c r="Q2617" s="26" t="s">
        <v>1333</v>
      </c>
    </row>
    <row r="2618" ht="17.25" customHeight="1">
      <c r="A2618" s="51"/>
      <c r="B2618" s="55"/>
      <c r="C2618" s="55"/>
      <c r="D2618" s="240"/>
      <c r="E2618" s="52"/>
      <c r="F2618" s="55"/>
      <c r="G2618" s="55"/>
      <c r="H2618" s="55"/>
      <c r="I2618" s="26" t="s">
        <v>1333</v>
      </c>
      <c r="J2618" s="26"/>
      <c r="K2618" s="26"/>
      <c r="L2618" s="26"/>
      <c r="M2618" s="26"/>
      <c r="N2618" s="26"/>
      <c r="O2618" s="26"/>
      <c r="P2618" s="26"/>
      <c r="Q2618" s="26" t="s">
        <v>1333</v>
      </c>
    </row>
    <row r="2619" ht="17.25" customHeight="1">
      <c r="A2619" s="51"/>
      <c r="B2619" s="55"/>
      <c r="C2619" s="55"/>
      <c r="D2619" s="240"/>
      <c r="E2619" s="52"/>
      <c r="F2619" s="55"/>
      <c r="G2619" s="55"/>
      <c r="H2619" s="55"/>
      <c r="I2619" s="26" t="s">
        <v>1333</v>
      </c>
      <c r="J2619" s="26"/>
      <c r="K2619" s="26"/>
      <c r="L2619" s="26"/>
      <c r="M2619" s="26"/>
      <c r="N2619" s="26"/>
      <c r="O2619" s="26"/>
      <c r="P2619" s="26"/>
      <c r="Q2619" s="26" t="s">
        <v>1333</v>
      </c>
    </row>
    <row r="2620" ht="17.25" customHeight="1">
      <c r="A2620" s="51"/>
      <c r="B2620" s="55"/>
      <c r="C2620" s="55"/>
      <c r="D2620" s="240"/>
      <c r="E2620" s="52"/>
      <c r="F2620" s="55"/>
      <c r="G2620" s="55"/>
      <c r="H2620" s="55"/>
      <c r="I2620" s="26" t="s">
        <v>1333</v>
      </c>
      <c r="J2620" s="26"/>
      <c r="K2620" s="26"/>
      <c r="L2620" s="26"/>
      <c r="M2620" s="26"/>
      <c r="N2620" s="26"/>
      <c r="O2620" s="26"/>
      <c r="P2620" s="26"/>
      <c r="Q2620" s="26" t="s">
        <v>1333</v>
      </c>
    </row>
    <row r="2621" ht="17.25" customHeight="1">
      <c r="A2621" s="51"/>
      <c r="B2621" s="55"/>
      <c r="C2621" s="55"/>
      <c r="D2621" s="240"/>
      <c r="E2621" s="52"/>
      <c r="F2621" s="55"/>
      <c r="G2621" s="55"/>
      <c r="H2621" s="55"/>
      <c r="I2621" s="26" t="s">
        <v>1333</v>
      </c>
      <c r="J2621" s="26"/>
      <c r="K2621" s="26"/>
      <c r="L2621" s="26"/>
      <c r="M2621" s="26"/>
      <c r="N2621" s="26"/>
      <c r="O2621" s="26"/>
      <c r="P2621" s="26"/>
      <c r="Q2621" s="26" t="s">
        <v>1333</v>
      </c>
    </row>
    <row r="2622" ht="17.25" customHeight="1">
      <c r="A2622" s="51"/>
      <c r="B2622" s="55"/>
      <c r="C2622" s="55"/>
      <c r="D2622" s="240"/>
      <c r="E2622" s="52"/>
      <c r="F2622" s="55"/>
      <c r="G2622" s="55"/>
      <c r="H2622" s="55"/>
      <c r="I2622" s="26" t="s">
        <v>1333</v>
      </c>
      <c r="J2622" s="26"/>
      <c r="K2622" s="26"/>
      <c r="L2622" s="26"/>
      <c r="M2622" s="26"/>
      <c r="N2622" s="26"/>
      <c r="O2622" s="26"/>
      <c r="P2622" s="26"/>
      <c r="Q2622" s="26" t="s">
        <v>1333</v>
      </c>
    </row>
    <row r="2623" ht="17.25" customHeight="1">
      <c r="A2623" s="51"/>
      <c r="B2623" s="55"/>
      <c r="C2623" s="55"/>
      <c r="D2623" s="240"/>
      <c r="E2623" s="52"/>
      <c r="F2623" s="55"/>
      <c r="G2623" s="55"/>
      <c r="H2623" s="55"/>
      <c r="I2623" s="26" t="s">
        <v>1333</v>
      </c>
      <c r="J2623" s="26"/>
      <c r="K2623" s="26"/>
      <c r="L2623" s="26"/>
      <c r="M2623" s="26"/>
      <c r="N2623" s="26"/>
      <c r="O2623" s="26"/>
      <c r="P2623" s="26"/>
      <c r="Q2623" s="26" t="s">
        <v>1333</v>
      </c>
    </row>
    <row r="2624" ht="17.25" customHeight="1">
      <c r="A2624" s="51"/>
      <c r="B2624" s="55"/>
      <c r="C2624" s="55"/>
      <c r="D2624" s="240"/>
      <c r="E2624" s="52"/>
      <c r="F2624" s="55"/>
      <c r="G2624" s="55"/>
      <c r="H2624" s="55"/>
      <c r="I2624" s="26" t="s">
        <v>1333</v>
      </c>
      <c r="J2624" s="26"/>
      <c r="K2624" s="26"/>
      <c r="L2624" s="26"/>
      <c r="M2624" s="26"/>
      <c r="N2624" s="26"/>
      <c r="O2624" s="26"/>
      <c r="P2624" s="26"/>
      <c r="Q2624" s="26" t="s">
        <v>1333</v>
      </c>
    </row>
    <row r="2625" ht="17.25" customHeight="1">
      <c r="A2625" s="51"/>
      <c r="B2625" s="55"/>
      <c r="C2625" s="55"/>
      <c r="D2625" s="240"/>
      <c r="E2625" s="52"/>
      <c r="F2625" s="55"/>
      <c r="G2625" s="55"/>
      <c r="H2625" s="55"/>
      <c r="I2625" s="26" t="s">
        <v>1333</v>
      </c>
      <c r="J2625" s="26"/>
      <c r="K2625" s="26"/>
      <c r="L2625" s="26"/>
      <c r="M2625" s="26"/>
      <c r="N2625" s="26"/>
      <c r="O2625" s="26"/>
      <c r="P2625" s="26"/>
      <c r="Q2625" s="26" t="s">
        <v>1333</v>
      </c>
    </row>
    <row r="2626" ht="17.25" customHeight="1">
      <c r="A2626" s="51"/>
      <c r="B2626" s="55"/>
      <c r="C2626" s="55"/>
      <c r="D2626" s="240"/>
      <c r="E2626" s="52"/>
      <c r="F2626" s="55"/>
      <c r="G2626" s="55"/>
      <c r="H2626" s="55"/>
      <c r="I2626" s="26" t="s">
        <v>1333</v>
      </c>
      <c r="J2626" s="26"/>
      <c r="K2626" s="26"/>
      <c r="L2626" s="26"/>
      <c r="M2626" s="26"/>
      <c r="N2626" s="26"/>
      <c r="O2626" s="26"/>
      <c r="P2626" s="26"/>
      <c r="Q2626" s="26" t="s">
        <v>1333</v>
      </c>
    </row>
    <row r="2627" ht="17.25" customHeight="1">
      <c r="A2627" s="51"/>
      <c r="B2627" s="55"/>
      <c r="C2627" s="55"/>
      <c r="D2627" s="240"/>
      <c r="E2627" s="52"/>
      <c r="F2627" s="55"/>
      <c r="G2627" s="55"/>
      <c r="H2627" s="55"/>
      <c r="I2627" s="26" t="s">
        <v>1333</v>
      </c>
      <c r="J2627" s="26"/>
      <c r="K2627" s="26"/>
      <c r="L2627" s="26"/>
      <c r="M2627" s="26"/>
      <c r="N2627" s="26"/>
      <c r="O2627" s="26"/>
      <c r="P2627" s="26"/>
      <c r="Q2627" s="26" t="s">
        <v>1333</v>
      </c>
    </row>
    <row r="2628" ht="17.25" customHeight="1">
      <c r="A2628" s="51"/>
      <c r="B2628" s="55"/>
      <c r="C2628" s="55"/>
      <c r="D2628" s="240"/>
      <c r="E2628" s="52"/>
      <c r="F2628" s="55"/>
      <c r="G2628" s="55"/>
      <c r="H2628" s="55"/>
      <c r="I2628" s="26" t="s">
        <v>1333</v>
      </c>
      <c r="J2628" s="26"/>
      <c r="K2628" s="26"/>
      <c r="L2628" s="26"/>
      <c r="M2628" s="26"/>
      <c r="N2628" s="26"/>
      <c r="O2628" s="26"/>
      <c r="P2628" s="26"/>
      <c r="Q2628" s="26" t="s">
        <v>1333</v>
      </c>
    </row>
    <row r="2629" ht="17.25" customHeight="1">
      <c r="A2629" s="51"/>
      <c r="B2629" s="55"/>
      <c r="C2629" s="55"/>
      <c r="D2629" s="240"/>
      <c r="E2629" s="52"/>
      <c r="F2629" s="55"/>
      <c r="G2629" s="55"/>
      <c r="H2629" s="55"/>
      <c r="I2629" s="26" t="s">
        <v>1333</v>
      </c>
      <c r="J2629" s="26"/>
      <c r="K2629" s="26"/>
      <c r="L2629" s="26"/>
      <c r="M2629" s="26"/>
      <c r="N2629" s="26"/>
      <c r="O2629" s="26"/>
      <c r="P2629" s="26"/>
      <c r="Q2629" s="26" t="s">
        <v>1333</v>
      </c>
    </row>
    <row r="2630" ht="17.25" customHeight="1">
      <c r="A2630" s="51"/>
      <c r="B2630" s="55"/>
      <c r="C2630" s="55"/>
      <c r="D2630" s="240"/>
      <c r="E2630" s="52"/>
      <c r="F2630" s="55"/>
      <c r="G2630" s="55"/>
      <c r="H2630" s="55"/>
      <c r="I2630" s="26" t="s">
        <v>1333</v>
      </c>
      <c r="J2630" s="26"/>
      <c r="K2630" s="26"/>
      <c r="L2630" s="26"/>
      <c r="M2630" s="26"/>
      <c r="N2630" s="26"/>
      <c r="O2630" s="26"/>
      <c r="P2630" s="26"/>
      <c r="Q2630" s="26" t="s">
        <v>1333</v>
      </c>
    </row>
    <row r="2631" ht="17.25" customHeight="1">
      <c r="A2631" s="51"/>
      <c r="B2631" s="55"/>
      <c r="C2631" s="55"/>
      <c r="D2631" s="240"/>
      <c r="E2631" s="52"/>
      <c r="F2631" s="55"/>
      <c r="G2631" s="55"/>
      <c r="H2631" s="55"/>
      <c r="I2631" s="26" t="s">
        <v>1333</v>
      </c>
      <c r="J2631" s="26"/>
      <c r="K2631" s="26"/>
      <c r="L2631" s="26"/>
      <c r="M2631" s="26"/>
      <c r="N2631" s="26"/>
      <c r="O2631" s="26"/>
      <c r="P2631" s="26"/>
      <c r="Q2631" s="26" t="s">
        <v>1333</v>
      </c>
    </row>
    <row r="2632" ht="17.25" customHeight="1">
      <c r="A2632" s="51"/>
      <c r="B2632" s="55"/>
      <c r="C2632" s="55"/>
      <c r="D2632" s="240"/>
      <c r="E2632" s="52"/>
      <c r="F2632" s="55"/>
      <c r="G2632" s="55"/>
      <c r="H2632" s="55"/>
      <c r="I2632" s="26" t="s">
        <v>1333</v>
      </c>
      <c r="J2632" s="26"/>
      <c r="K2632" s="26"/>
      <c r="L2632" s="26"/>
      <c r="M2632" s="26"/>
      <c r="N2632" s="26"/>
      <c r="O2632" s="26"/>
      <c r="P2632" s="26"/>
      <c r="Q2632" s="26" t="s">
        <v>1333</v>
      </c>
    </row>
    <row r="2633" ht="17.25" customHeight="1">
      <c r="A2633" s="51"/>
      <c r="B2633" s="55"/>
      <c r="C2633" s="55"/>
      <c r="D2633" s="240"/>
      <c r="E2633" s="52"/>
      <c r="F2633" s="55"/>
      <c r="G2633" s="55"/>
      <c r="H2633" s="55"/>
      <c r="I2633" s="26" t="s">
        <v>1333</v>
      </c>
      <c r="J2633" s="26"/>
      <c r="K2633" s="26"/>
      <c r="L2633" s="26"/>
      <c r="M2633" s="26"/>
      <c r="N2633" s="26"/>
      <c r="O2633" s="26"/>
      <c r="P2633" s="26"/>
      <c r="Q2633" s="26" t="s">
        <v>1333</v>
      </c>
    </row>
    <row r="2634" ht="17.25" customHeight="1">
      <c r="A2634" s="51"/>
      <c r="B2634" s="55"/>
      <c r="C2634" s="55"/>
      <c r="D2634" s="240"/>
      <c r="E2634" s="52"/>
      <c r="F2634" s="55"/>
      <c r="G2634" s="55"/>
      <c r="H2634" s="55"/>
      <c r="I2634" s="26" t="s">
        <v>1333</v>
      </c>
      <c r="J2634" s="26"/>
      <c r="K2634" s="26"/>
      <c r="L2634" s="26"/>
      <c r="M2634" s="26"/>
      <c r="N2634" s="26"/>
      <c r="O2634" s="26"/>
      <c r="P2634" s="26"/>
      <c r="Q2634" s="26" t="s">
        <v>1333</v>
      </c>
    </row>
    <row r="2635" ht="17.25" customHeight="1">
      <c r="A2635" s="51"/>
      <c r="B2635" s="55"/>
      <c r="C2635" s="55"/>
      <c r="D2635" s="240"/>
      <c r="E2635" s="52"/>
      <c r="F2635" s="55"/>
      <c r="G2635" s="55"/>
      <c r="H2635" s="55"/>
      <c r="I2635" s="26" t="s">
        <v>1333</v>
      </c>
      <c r="J2635" s="26"/>
      <c r="K2635" s="26"/>
      <c r="L2635" s="26"/>
      <c r="M2635" s="26"/>
      <c r="N2635" s="26"/>
      <c r="O2635" s="26"/>
      <c r="P2635" s="26"/>
      <c r="Q2635" s="26" t="s">
        <v>1333</v>
      </c>
    </row>
    <row r="2636" ht="17.25" customHeight="1">
      <c r="A2636" s="51"/>
      <c r="B2636" s="55"/>
      <c r="C2636" s="55"/>
      <c r="D2636" s="240"/>
      <c r="E2636" s="52"/>
      <c r="F2636" s="55"/>
      <c r="G2636" s="55"/>
      <c r="H2636" s="55"/>
      <c r="I2636" s="26" t="s">
        <v>1333</v>
      </c>
      <c r="J2636" s="26"/>
      <c r="K2636" s="26"/>
      <c r="L2636" s="26"/>
      <c r="M2636" s="26"/>
      <c r="N2636" s="26"/>
      <c r="O2636" s="26"/>
      <c r="P2636" s="26"/>
      <c r="Q2636" s="26" t="s">
        <v>1333</v>
      </c>
    </row>
    <row r="2637" ht="17.25" customHeight="1">
      <c r="A2637" s="51"/>
      <c r="B2637" s="55"/>
      <c r="C2637" s="55"/>
      <c r="D2637" s="240"/>
      <c r="E2637" s="52"/>
      <c r="F2637" s="55"/>
      <c r="G2637" s="55"/>
      <c r="H2637" s="55"/>
      <c r="I2637" s="26" t="s">
        <v>1333</v>
      </c>
      <c r="J2637" s="26"/>
      <c r="K2637" s="26"/>
      <c r="L2637" s="26"/>
      <c r="M2637" s="26"/>
      <c r="N2637" s="26"/>
      <c r="O2637" s="26"/>
      <c r="P2637" s="26"/>
      <c r="Q2637" s="26" t="s">
        <v>1333</v>
      </c>
    </row>
    <row r="2638" ht="17.25" customHeight="1">
      <c r="A2638" s="51"/>
      <c r="B2638" s="55"/>
      <c r="C2638" s="55"/>
      <c r="D2638" s="240"/>
      <c r="E2638" s="52"/>
      <c r="F2638" s="55"/>
      <c r="G2638" s="55"/>
      <c r="H2638" s="55"/>
      <c r="I2638" s="26" t="s">
        <v>1333</v>
      </c>
      <c r="J2638" s="26"/>
      <c r="K2638" s="26"/>
      <c r="L2638" s="26"/>
      <c r="M2638" s="26"/>
      <c r="N2638" s="26"/>
      <c r="O2638" s="26"/>
      <c r="P2638" s="26"/>
      <c r="Q2638" s="26" t="s">
        <v>1333</v>
      </c>
    </row>
    <row r="2639" ht="17.25" customHeight="1">
      <c r="A2639" s="51"/>
      <c r="B2639" s="55"/>
      <c r="C2639" s="55"/>
      <c r="D2639" s="240"/>
      <c r="E2639" s="52"/>
      <c r="F2639" s="55"/>
      <c r="G2639" s="55"/>
      <c r="H2639" s="55"/>
      <c r="I2639" s="26" t="s">
        <v>1333</v>
      </c>
      <c r="J2639" s="26"/>
      <c r="K2639" s="26"/>
      <c r="L2639" s="26"/>
      <c r="M2639" s="26"/>
      <c r="N2639" s="26"/>
      <c r="O2639" s="26"/>
      <c r="P2639" s="26"/>
      <c r="Q2639" s="26" t="s">
        <v>1333</v>
      </c>
    </row>
    <row r="2640" ht="17.25" customHeight="1">
      <c r="A2640" s="51"/>
      <c r="B2640" s="55"/>
      <c r="C2640" s="55"/>
      <c r="D2640" s="240"/>
      <c r="E2640" s="52"/>
      <c r="F2640" s="55"/>
      <c r="G2640" s="55"/>
      <c r="H2640" s="55"/>
      <c r="I2640" s="26" t="s">
        <v>1333</v>
      </c>
      <c r="J2640" s="26"/>
      <c r="K2640" s="26"/>
      <c r="L2640" s="26"/>
      <c r="M2640" s="26"/>
      <c r="N2640" s="26"/>
      <c r="O2640" s="26"/>
      <c r="P2640" s="26"/>
      <c r="Q2640" s="26" t="s">
        <v>1333</v>
      </c>
    </row>
    <row r="2641" ht="17.25" customHeight="1">
      <c r="A2641" s="51"/>
      <c r="B2641" s="55"/>
      <c r="C2641" s="55"/>
      <c r="D2641" s="240"/>
      <c r="E2641" s="52"/>
      <c r="F2641" s="55"/>
      <c r="G2641" s="55"/>
      <c r="H2641" s="55"/>
      <c r="I2641" s="26" t="s">
        <v>1333</v>
      </c>
      <c r="J2641" s="26"/>
      <c r="K2641" s="26"/>
      <c r="L2641" s="26"/>
      <c r="M2641" s="26"/>
      <c r="N2641" s="26"/>
      <c r="O2641" s="26"/>
      <c r="P2641" s="26"/>
      <c r="Q2641" s="26" t="s">
        <v>1333</v>
      </c>
    </row>
    <row r="2642" ht="17.25" customHeight="1">
      <c r="A2642" s="51"/>
      <c r="B2642" s="55"/>
      <c r="C2642" s="55"/>
      <c r="D2642" s="240"/>
      <c r="E2642" s="52"/>
      <c r="F2642" s="55"/>
      <c r="G2642" s="55"/>
      <c r="H2642" s="55"/>
      <c r="I2642" s="26" t="s">
        <v>1333</v>
      </c>
      <c r="J2642" s="26"/>
      <c r="K2642" s="26"/>
      <c r="L2642" s="26"/>
      <c r="M2642" s="26"/>
      <c r="N2642" s="26"/>
      <c r="O2642" s="26"/>
      <c r="P2642" s="26"/>
      <c r="Q2642" s="26" t="s">
        <v>1333</v>
      </c>
    </row>
    <row r="2643" ht="17.25" customHeight="1">
      <c r="A2643" s="51"/>
      <c r="B2643" s="55"/>
      <c r="C2643" s="55"/>
      <c r="D2643" s="240"/>
      <c r="E2643" s="52"/>
      <c r="F2643" s="55"/>
      <c r="G2643" s="55"/>
      <c r="H2643" s="55"/>
      <c r="I2643" s="26" t="s">
        <v>1333</v>
      </c>
      <c r="J2643" s="26"/>
      <c r="K2643" s="26"/>
      <c r="L2643" s="26"/>
      <c r="M2643" s="26"/>
      <c r="N2643" s="26"/>
      <c r="O2643" s="26"/>
      <c r="P2643" s="26"/>
      <c r="Q2643" s="26" t="s">
        <v>1333</v>
      </c>
    </row>
    <row r="2644" ht="17.25" customHeight="1">
      <c r="A2644" s="51"/>
      <c r="B2644" s="55"/>
      <c r="C2644" s="55"/>
      <c r="D2644" s="240"/>
      <c r="E2644" s="52"/>
      <c r="F2644" s="55"/>
      <c r="G2644" s="55"/>
      <c r="H2644" s="55"/>
      <c r="I2644" s="26" t="s">
        <v>1333</v>
      </c>
      <c r="J2644" s="26"/>
      <c r="K2644" s="26"/>
      <c r="L2644" s="26"/>
      <c r="M2644" s="26"/>
      <c r="N2644" s="26"/>
      <c r="O2644" s="26"/>
      <c r="P2644" s="26"/>
      <c r="Q2644" s="26" t="s">
        <v>1333</v>
      </c>
    </row>
    <row r="2645" ht="17.25" customHeight="1">
      <c r="A2645" s="51"/>
      <c r="B2645" s="55"/>
      <c r="C2645" s="55"/>
      <c r="D2645" s="240"/>
      <c r="E2645" s="52"/>
      <c r="F2645" s="55"/>
      <c r="G2645" s="55"/>
      <c r="H2645" s="55"/>
      <c r="I2645" s="26" t="s">
        <v>1333</v>
      </c>
      <c r="J2645" s="26"/>
      <c r="K2645" s="26"/>
      <c r="L2645" s="26"/>
      <c r="M2645" s="26"/>
      <c r="N2645" s="26"/>
      <c r="O2645" s="26"/>
      <c r="P2645" s="26"/>
      <c r="Q2645" s="26" t="s">
        <v>1333</v>
      </c>
    </row>
    <row r="2646" ht="17.25" customHeight="1">
      <c r="A2646" s="51"/>
      <c r="B2646" s="55"/>
      <c r="C2646" s="55"/>
      <c r="D2646" s="240"/>
      <c r="E2646" s="52"/>
      <c r="F2646" s="55"/>
      <c r="G2646" s="55"/>
      <c r="H2646" s="55"/>
      <c r="I2646" s="26" t="s">
        <v>1333</v>
      </c>
      <c r="J2646" s="26"/>
      <c r="K2646" s="26"/>
      <c r="L2646" s="26"/>
      <c r="M2646" s="26"/>
      <c r="N2646" s="26"/>
      <c r="O2646" s="26"/>
      <c r="P2646" s="26"/>
      <c r="Q2646" s="26" t="s">
        <v>1333</v>
      </c>
    </row>
    <row r="2647" ht="17.25" customHeight="1">
      <c r="A2647" s="51"/>
      <c r="B2647" s="55"/>
      <c r="C2647" s="55"/>
      <c r="D2647" s="240"/>
      <c r="E2647" s="52"/>
      <c r="F2647" s="55"/>
      <c r="G2647" s="55"/>
      <c r="H2647" s="55"/>
      <c r="I2647" s="26" t="s">
        <v>1333</v>
      </c>
      <c r="J2647" s="26"/>
      <c r="K2647" s="26"/>
      <c r="L2647" s="26"/>
      <c r="M2647" s="26"/>
      <c r="N2647" s="26"/>
      <c r="O2647" s="26"/>
      <c r="P2647" s="26"/>
      <c r="Q2647" s="26" t="s">
        <v>1333</v>
      </c>
    </row>
    <row r="2648" ht="17.25" customHeight="1">
      <c r="A2648" s="51"/>
      <c r="B2648" s="55"/>
      <c r="C2648" s="55"/>
      <c r="D2648" s="240"/>
      <c r="E2648" s="52"/>
      <c r="F2648" s="55"/>
      <c r="G2648" s="55"/>
      <c r="H2648" s="55"/>
      <c r="I2648" s="26" t="s">
        <v>1333</v>
      </c>
      <c r="J2648" s="26"/>
      <c r="K2648" s="26"/>
      <c r="L2648" s="26"/>
      <c r="M2648" s="26"/>
      <c r="N2648" s="26"/>
      <c r="O2648" s="26"/>
      <c r="P2648" s="26"/>
      <c r="Q2648" s="26" t="s">
        <v>1333</v>
      </c>
    </row>
    <row r="2649" ht="17.25" customHeight="1">
      <c r="A2649" s="51"/>
      <c r="B2649" s="55"/>
      <c r="C2649" s="55"/>
      <c r="D2649" s="240"/>
      <c r="E2649" s="52"/>
      <c r="F2649" s="55"/>
      <c r="G2649" s="55"/>
      <c r="H2649" s="55"/>
      <c r="I2649" s="26" t="s">
        <v>1333</v>
      </c>
      <c r="J2649" s="26"/>
      <c r="K2649" s="26"/>
      <c r="L2649" s="26"/>
      <c r="M2649" s="26"/>
      <c r="N2649" s="26"/>
      <c r="O2649" s="26"/>
      <c r="P2649" s="26"/>
      <c r="Q2649" s="26" t="s">
        <v>1333</v>
      </c>
    </row>
    <row r="2650" ht="17.25" customHeight="1">
      <c r="A2650" s="51"/>
      <c r="B2650" s="55"/>
      <c r="C2650" s="55"/>
      <c r="D2650" s="240"/>
      <c r="E2650" s="52"/>
      <c r="F2650" s="55"/>
      <c r="G2650" s="55"/>
      <c r="H2650" s="55"/>
      <c r="I2650" s="26" t="s">
        <v>1333</v>
      </c>
      <c r="J2650" s="26"/>
      <c r="K2650" s="26"/>
      <c r="L2650" s="26"/>
      <c r="M2650" s="26"/>
      <c r="N2650" s="26"/>
      <c r="O2650" s="26"/>
      <c r="P2650" s="26"/>
      <c r="Q2650" s="26" t="s">
        <v>1333</v>
      </c>
    </row>
    <row r="2651" ht="17.25" customHeight="1">
      <c r="A2651" s="51"/>
      <c r="B2651" s="55"/>
      <c r="C2651" s="55"/>
      <c r="D2651" s="240"/>
      <c r="E2651" s="52"/>
      <c r="F2651" s="55"/>
      <c r="G2651" s="55"/>
      <c r="H2651" s="55"/>
      <c r="I2651" s="26" t="s">
        <v>1333</v>
      </c>
      <c r="J2651" s="26"/>
      <c r="K2651" s="26"/>
      <c r="L2651" s="26"/>
      <c r="M2651" s="26"/>
      <c r="N2651" s="26"/>
      <c r="O2651" s="26"/>
      <c r="P2651" s="26"/>
      <c r="Q2651" s="26" t="s">
        <v>1333</v>
      </c>
    </row>
    <row r="2652" ht="17.25" customHeight="1">
      <c r="A2652" s="51"/>
      <c r="B2652" s="55"/>
      <c r="C2652" s="55"/>
      <c r="D2652" s="240"/>
      <c r="E2652" s="52"/>
      <c r="F2652" s="55"/>
      <c r="G2652" s="55"/>
      <c r="H2652" s="55"/>
      <c r="I2652" s="26" t="s">
        <v>1333</v>
      </c>
      <c r="J2652" s="26"/>
      <c r="K2652" s="26"/>
      <c r="L2652" s="26"/>
      <c r="M2652" s="26"/>
      <c r="N2652" s="26"/>
      <c r="O2652" s="26"/>
      <c r="P2652" s="26"/>
      <c r="Q2652" s="26" t="s">
        <v>1333</v>
      </c>
    </row>
    <row r="2653" ht="17.25" customHeight="1">
      <c r="A2653" s="51"/>
      <c r="B2653" s="55"/>
      <c r="C2653" s="55"/>
      <c r="D2653" s="240"/>
      <c r="E2653" s="52"/>
      <c r="F2653" s="55"/>
      <c r="G2653" s="55"/>
      <c r="H2653" s="55"/>
      <c r="I2653" s="26" t="s">
        <v>1333</v>
      </c>
      <c r="J2653" s="26"/>
      <c r="K2653" s="26"/>
      <c r="L2653" s="26"/>
      <c r="M2653" s="26"/>
      <c r="N2653" s="26"/>
      <c r="O2653" s="26"/>
      <c r="P2653" s="26"/>
      <c r="Q2653" s="26" t="s">
        <v>1333</v>
      </c>
    </row>
    <row r="2654" ht="17.25" customHeight="1">
      <c r="A2654" s="51"/>
      <c r="B2654" s="55"/>
      <c r="C2654" s="55"/>
      <c r="D2654" s="240"/>
      <c r="E2654" s="52"/>
      <c r="F2654" s="55"/>
      <c r="G2654" s="55"/>
      <c r="H2654" s="55"/>
      <c r="I2654" s="26" t="s">
        <v>1333</v>
      </c>
      <c r="J2654" s="26"/>
      <c r="K2654" s="26"/>
      <c r="L2654" s="26"/>
      <c r="M2654" s="26"/>
      <c r="N2654" s="26"/>
      <c r="O2654" s="26"/>
      <c r="P2654" s="26"/>
      <c r="Q2654" s="26" t="s">
        <v>1333</v>
      </c>
    </row>
    <row r="2655" ht="17.25" customHeight="1">
      <c r="A2655" s="51"/>
      <c r="B2655" s="55"/>
      <c r="C2655" s="55"/>
      <c r="D2655" s="240"/>
      <c r="E2655" s="52"/>
      <c r="F2655" s="55"/>
      <c r="G2655" s="55"/>
      <c r="H2655" s="55"/>
      <c r="I2655" s="26" t="s">
        <v>1333</v>
      </c>
      <c r="J2655" s="26"/>
      <c r="K2655" s="26"/>
      <c r="L2655" s="26"/>
      <c r="M2655" s="26"/>
      <c r="N2655" s="26"/>
      <c r="O2655" s="26"/>
      <c r="P2655" s="26"/>
      <c r="Q2655" s="26" t="s">
        <v>1333</v>
      </c>
    </row>
    <row r="2656" ht="17.25" customHeight="1">
      <c r="A2656" s="51"/>
      <c r="B2656" s="55"/>
      <c r="C2656" s="55"/>
      <c r="D2656" s="240"/>
      <c r="E2656" s="52"/>
      <c r="F2656" s="55"/>
      <c r="G2656" s="55"/>
      <c r="H2656" s="55"/>
      <c r="I2656" s="26" t="s">
        <v>1333</v>
      </c>
      <c r="J2656" s="26"/>
      <c r="K2656" s="26"/>
      <c r="L2656" s="26"/>
      <c r="M2656" s="26"/>
      <c r="N2656" s="26"/>
      <c r="O2656" s="26"/>
      <c r="P2656" s="26"/>
      <c r="Q2656" s="26" t="s">
        <v>1333</v>
      </c>
    </row>
    <row r="2657" ht="17.25" customHeight="1">
      <c r="A2657" s="51"/>
      <c r="B2657" s="55"/>
      <c r="C2657" s="55"/>
      <c r="D2657" s="240"/>
      <c r="E2657" s="52"/>
      <c r="F2657" s="55"/>
      <c r="G2657" s="55"/>
      <c r="H2657" s="55"/>
      <c r="I2657" s="26" t="s">
        <v>1333</v>
      </c>
      <c r="J2657" s="26"/>
      <c r="K2657" s="26"/>
      <c r="L2657" s="26"/>
      <c r="M2657" s="26"/>
      <c r="N2657" s="26"/>
      <c r="O2657" s="26"/>
      <c r="P2657" s="26"/>
      <c r="Q2657" s="26" t="s">
        <v>1333</v>
      </c>
    </row>
    <row r="2658" ht="17.25" customHeight="1">
      <c r="A2658" s="51"/>
      <c r="B2658" s="55"/>
      <c r="C2658" s="55"/>
      <c r="D2658" s="240"/>
      <c r="E2658" s="52"/>
      <c r="F2658" s="55"/>
      <c r="G2658" s="55"/>
      <c r="H2658" s="55"/>
      <c r="I2658" s="26" t="s">
        <v>1333</v>
      </c>
      <c r="J2658" s="26"/>
      <c r="K2658" s="26"/>
      <c r="L2658" s="26"/>
      <c r="M2658" s="26"/>
      <c r="N2658" s="26"/>
      <c r="O2658" s="26"/>
      <c r="P2658" s="26"/>
      <c r="Q2658" s="26" t="s">
        <v>1333</v>
      </c>
    </row>
    <row r="2659" ht="17.25" customHeight="1">
      <c r="A2659" s="51"/>
      <c r="B2659" s="55"/>
      <c r="C2659" s="55"/>
      <c r="D2659" s="240"/>
      <c r="E2659" s="52"/>
      <c r="F2659" s="55"/>
      <c r="G2659" s="55"/>
      <c r="H2659" s="55"/>
      <c r="I2659" s="26" t="s">
        <v>1333</v>
      </c>
      <c r="J2659" s="26"/>
      <c r="K2659" s="26"/>
      <c r="L2659" s="26"/>
      <c r="M2659" s="26"/>
      <c r="N2659" s="26"/>
      <c r="O2659" s="26"/>
      <c r="P2659" s="26"/>
      <c r="Q2659" s="26" t="s">
        <v>1333</v>
      </c>
    </row>
    <row r="2660" ht="17.25" customHeight="1">
      <c r="A2660" s="51"/>
      <c r="B2660" s="55"/>
      <c r="C2660" s="55"/>
      <c r="D2660" s="240"/>
      <c r="E2660" s="52"/>
      <c r="F2660" s="55"/>
      <c r="G2660" s="55"/>
      <c r="H2660" s="55"/>
      <c r="I2660" s="26" t="s">
        <v>1333</v>
      </c>
      <c r="J2660" s="26"/>
      <c r="K2660" s="26"/>
      <c r="L2660" s="26"/>
      <c r="M2660" s="26"/>
      <c r="N2660" s="26"/>
      <c r="O2660" s="26"/>
      <c r="P2660" s="26"/>
      <c r="Q2660" s="26" t="s">
        <v>1333</v>
      </c>
    </row>
    <row r="2661" ht="17.25" customHeight="1">
      <c r="A2661" s="51"/>
      <c r="B2661" s="55"/>
      <c r="C2661" s="55"/>
      <c r="D2661" s="240"/>
      <c r="E2661" s="52"/>
      <c r="F2661" s="55"/>
      <c r="G2661" s="55"/>
      <c r="H2661" s="55"/>
      <c r="I2661" s="26" t="s">
        <v>1333</v>
      </c>
      <c r="J2661" s="26"/>
      <c r="K2661" s="26"/>
      <c r="L2661" s="26"/>
      <c r="M2661" s="26"/>
      <c r="N2661" s="26"/>
      <c r="O2661" s="26"/>
      <c r="P2661" s="26"/>
      <c r="Q2661" s="26" t="s">
        <v>1333</v>
      </c>
    </row>
    <row r="2662" ht="17.25" customHeight="1">
      <c r="A2662" s="51"/>
      <c r="B2662" s="55"/>
      <c r="C2662" s="55"/>
      <c r="D2662" s="240"/>
      <c r="E2662" s="52"/>
      <c r="F2662" s="55"/>
      <c r="G2662" s="55"/>
      <c r="H2662" s="55"/>
      <c r="I2662" s="26" t="s">
        <v>1333</v>
      </c>
      <c r="J2662" s="26"/>
      <c r="K2662" s="26"/>
      <c r="L2662" s="26"/>
      <c r="M2662" s="26"/>
      <c r="N2662" s="26"/>
      <c r="O2662" s="26"/>
      <c r="P2662" s="26"/>
      <c r="Q2662" s="26" t="s">
        <v>1333</v>
      </c>
    </row>
    <row r="2663" ht="17.25" customHeight="1">
      <c r="A2663" s="51"/>
      <c r="B2663" s="55"/>
      <c r="C2663" s="55"/>
      <c r="D2663" s="240"/>
      <c r="E2663" s="52"/>
      <c r="F2663" s="55"/>
      <c r="G2663" s="55"/>
      <c r="H2663" s="55"/>
      <c r="I2663" s="26" t="s">
        <v>1333</v>
      </c>
      <c r="J2663" s="26"/>
      <c r="K2663" s="26"/>
      <c r="L2663" s="26"/>
      <c r="M2663" s="26"/>
      <c r="N2663" s="26"/>
      <c r="O2663" s="26"/>
      <c r="P2663" s="26"/>
      <c r="Q2663" s="26" t="s">
        <v>1333</v>
      </c>
    </row>
    <row r="2664" ht="17.25" customHeight="1">
      <c r="A2664" s="51"/>
      <c r="B2664" s="55"/>
      <c r="C2664" s="55"/>
      <c r="D2664" s="240"/>
      <c r="E2664" s="52"/>
      <c r="F2664" s="55"/>
      <c r="G2664" s="55"/>
      <c r="H2664" s="55"/>
      <c r="I2664" s="26" t="s">
        <v>1333</v>
      </c>
      <c r="J2664" s="26"/>
      <c r="K2664" s="26"/>
      <c r="L2664" s="26"/>
      <c r="M2664" s="26"/>
      <c r="N2664" s="26"/>
      <c r="O2664" s="26"/>
      <c r="P2664" s="26"/>
      <c r="Q2664" s="26" t="s">
        <v>1333</v>
      </c>
    </row>
    <row r="2665" ht="17.25" customHeight="1">
      <c r="A2665" s="51"/>
      <c r="B2665" s="55"/>
      <c r="C2665" s="55"/>
      <c r="D2665" s="240"/>
      <c r="E2665" s="52"/>
      <c r="F2665" s="55"/>
      <c r="G2665" s="55"/>
      <c r="H2665" s="55"/>
      <c r="I2665" s="26" t="s">
        <v>1333</v>
      </c>
      <c r="J2665" s="26"/>
      <c r="K2665" s="26"/>
      <c r="L2665" s="26"/>
      <c r="M2665" s="26"/>
      <c r="N2665" s="26"/>
      <c r="O2665" s="26"/>
      <c r="P2665" s="26"/>
      <c r="Q2665" s="26" t="s">
        <v>1333</v>
      </c>
    </row>
    <row r="2666" ht="17.25" customHeight="1">
      <c r="A2666" s="51"/>
      <c r="B2666" s="55"/>
      <c r="C2666" s="55"/>
      <c r="D2666" s="240"/>
      <c r="E2666" s="52"/>
      <c r="F2666" s="55"/>
      <c r="G2666" s="55"/>
      <c r="H2666" s="55"/>
      <c r="I2666" s="26" t="s">
        <v>1333</v>
      </c>
      <c r="J2666" s="26"/>
      <c r="K2666" s="26"/>
      <c r="L2666" s="26"/>
      <c r="M2666" s="26"/>
      <c r="N2666" s="26"/>
      <c r="O2666" s="26"/>
      <c r="P2666" s="26"/>
      <c r="Q2666" s="26" t="s">
        <v>1333</v>
      </c>
    </row>
    <row r="2667" ht="17.25" customHeight="1">
      <c r="A2667" s="51"/>
      <c r="B2667" s="55"/>
      <c r="C2667" s="55"/>
      <c r="D2667" s="240"/>
      <c r="E2667" s="52"/>
      <c r="F2667" s="55"/>
      <c r="G2667" s="55"/>
      <c r="H2667" s="55"/>
      <c r="I2667" s="26" t="s">
        <v>1333</v>
      </c>
      <c r="J2667" s="26"/>
      <c r="K2667" s="26"/>
      <c r="L2667" s="26"/>
      <c r="M2667" s="26"/>
      <c r="N2667" s="26"/>
      <c r="O2667" s="26"/>
      <c r="P2667" s="26"/>
      <c r="Q2667" s="26" t="s">
        <v>1333</v>
      </c>
    </row>
    <row r="2668" ht="17.25" customHeight="1">
      <c r="A2668" s="51"/>
      <c r="B2668" s="55"/>
      <c r="C2668" s="55"/>
      <c r="D2668" s="240"/>
      <c r="E2668" s="52"/>
      <c r="F2668" s="55"/>
      <c r="G2668" s="55"/>
      <c r="H2668" s="55"/>
      <c r="I2668" s="26" t="s">
        <v>1333</v>
      </c>
      <c r="J2668" s="26"/>
      <c r="K2668" s="26"/>
      <c r="L2668" s="26"/>
      <c r="M2668" s="26"/>
      <c r="N2668" s="26"/>
      <c r="O2668" s="26"/>
      <c r="P2668" s="26"/>
      <c r="Q2668" s="26" t="s">
        <v>1333</v>
      </c>
    </row>
    <row r="2669" ht="17.25" customHeight="1">
      <c r="A2669" s="51"/>
      <c r="B2669" s="55"/>
      <c r="C2669" s="55"/>
      <c r="D2669" s="240"/>
      <c r="E2669" s="52"/>
      <c r="F2669" s="55"/>
      <c r="G2669" s="55"/>
      <c r="H2669" s="55"/>
      <c r="I2669" s="26" t="s">
        <v>1333</v>
      </c>
      <c r="J2669" s="26"/>
      <c r="K2669" s="26"/>
      <c r="L2669" s="26"/>
      <c r="M2669" s="26"/>
      <c r="N2669" s="26"/>
      <c r="O2669" s="26"/>
      <c r="P2669" s="26"/>
      <c r="Q2669" s="26" t="s">
        <v>1333</v>
      </c>
    </row>
    <row r="2670" ht="17.25" customHeight="1">
      <c r="A2670" s="51"/>
      <c r="B2670" s="55"/>
      <c r="C2670" s="55"/>
      <c r="D2670" s="240"/>
      <c r="E2670" s="52"/>
      <c r="F2670" s="55"/>
      <c r="G2670" s="55"/>
      <c r="H2670" s="55"/>
      <c r="I2670" s="26" t="s">
        <v>1333</v>
      </c>
      <c r="J2670" s="26"/>
      <c r="K2670" s="26"/>
      <c r="L2670" s="26"/>
      <c r="M2670" s="26"/>
      <c r="N2670" s="26"/>
      <c r="O2670" s="26"/>
      <c r="P2670" s="26"/>
      <c r="Q2670" s="26" t="s">
        <v>1333</v>
      </c>
    </row>
    <row r="2671" ht="17.25" customHeight="1">
      <c r="A2671" s="51"/>
      <c r="B2671" s="55"/>
      <c r="C2671" s="55"/>
      <c r="D2671" s="240"/>
      <c r="E2671" s="52"/>
      <c r="F2671" s="55"/>
      <c r="G2671" s="55"/>
      <c r="H2671" s="55"/>
      <c r="I2671" s="26" t="s">
        <v>1333</v>
      </c>
      <c r="J2671" s="26"/>
      <c r="K2671" s="26"/>
      <c r="L2671" s="26"/>
      <c r="M2671" s="26"/>
      <c r="N2671" s="26"/>
      <c r="O2671" s="26"/>
      <c r="P2671" s="26"/>
      <c r="Q2671" s="26" t="s">
        <v>1333</v>
      </c>
    </row>
    <row r="2672" ht="17.25" customHeight="1">
      <c r="A2672" s="51"/>
      <c r="B2672" s="55"/>
      <c r="C2672" s="55"/>
      <c r="D2672" s="240"/>
      <c r="E2672" s="52"/>
      <c r="F2672" s="55"/>
      <c r="G2672" s="55"/>
      <c r="H2672" s="55"/>
      <c r="I2672" s="26" t="s">
        <v>1333</v>
      </c>
      <c r="J2672" s="26"/>
      <c r="K2672" s="26"/>
      <c r="L2672" s="26"/>
      <c r="M2672" s="26"/>
      <c r="N2672" s="26"/>
      <c r="O2672" s="26"/>
      <c r="P2672" s="26"/>
      <c r="Q2672" s="26" t="s">
        <v>1333</v>
      </c>
    </row>
    <row r="2673" ht="17.25" customHeight="1">
      <c r="A2673" s="51"/>
      <c r="B2673" s="55"/>
      <c r="C2673" s="55"/>
      <c r="D2673" s="240"/>
      <c r="E2673" s="52"/>
      <c r="F2673" s="55"/>
      <c r="G2673" s="55"/>
      <c r="H2673" s="55"/>
      <c r="I2673" s="26" t="s">
        <v>1333</v>
      </c>
      <c r="J2673" s="26"/>
      <c r="K2673" s="26"/>
      <c r="L2673" s="26"/>
      <c r="M2673" s="26"/>
      <c r="N2673" s="26"/>
      <c r="O2673" s="26"/>
      <c r="P2673" s="26"/>
      <c r="Q2673" s="26" t="s">
        <v>1333</v>
      </c>
    </row>
    <row r="2674" ht="17.25" customHeight="1">
      <c r="A2674" s="51"/>
      <c r="B2674" s="55"/>
      <c r="C2674" s="55"/>
      <c r="D2674" s="240"/>
      <c r="E2674" s="52"/>
      <c r="F2674" s="55"/>
      <c r="G2674" s="55"/>
      <c r="H2674" s="55"/>
      <c r="I2674" s="26" t="s">
        <v>1333</v>
      </c>
      <c r="J2674" s="26"/>
      <c r="K2674" s="26"/>
      <c r="L2674" s="26"/>
      <c r="M2674" s="26"/>
      <c r="N2674" s="26"/>
      <c r="O2674" s="26"/>
      <c r="P2674" s="26"/>
      <c r="Q2674" s="26" t="s">
        <v>1333</v>
      </c>
    </row>
    <row r="2675" ht="17.25" customHeight="1">
      <c r="A2675" s="51"/>
      <c r="B2675" s="55"/>
      <c r="C2675" s="55"/>
      <c r="D2675" s="240"/>
      <c r="E2675" s="52"/>
      <c r="F2675" s="55"/>
      <c r="G2675" s="55"/>
      <c r="H2675" s="55"/>
      <c r="I2675" s="26" t="s">
        <v>1333</v>
      </c>
      <c r="J2675" s="26"/>
      <c r="K2675" s="26"/>
      <c r="L2675" s="26"/>
      <c r="M2675" s="26"/>
      <c r="N2675" s="26"/>
      <c r="O2675" s="26"/>
      <c r="P2675" s="26"/>
      <c r="Q2675" s="26" t="s">
        <v>1333</v>
      </c>
    </row>
    <row r="2676" ht="17.25" customHeight="1">
      <c r="A2676" s="51"/>
      <c r="B2676" s="55"/>
      <c r="C2676" s="55"/>
      <c r="D2676" s="240"/>
      <c r="E2676" s="52"/>
      <c r="F2676" s="55"/>
      <c r="G2676" s="55"/>
      <c r="H2676" s="55"/>
      <c r="I2676" s="26" t="s">
        <v>1333</v>
      </c>
      <c r="J2676" s="26"/>
      <c r="K2676" s="26"/>
      <c r="L2676" s="26"/>
      <c r="M2676" s="26"/>
      <c r="N2676" s="26"/>
      <c r="O2676" s="26"/>
      <c r="P2676" s="26"/>
      <c r="Q2676" s="26" t="s">
        <v>1333</v>
      </c>
    </row>
    <row r="2677" ht="17.25" customHeight="1">
      <c r="A2677" s="51"/>
      <c r="B2677" s="55"/>
      <c r="C2677" s="55"/>
      <c r="D2677" s="240"/>
      <c r="E2677" s="52"/>
      <c r="F2677" s="55"/>
      <c r="G2677" s="55"/>
      <c r="H2677" s="55"/>
      <c r="I2677" s="26" t="s">
        <v>1333</v>
      </c>
      <c r="J2677" s="26"/>
      <c r="K2677" s="26"/>
      <c r="L2677" s="26"/>
      <c r="M2677" s="26"/>
      <c r="N2677" s="26"/>
      <c r="O2677" s="26"/>
      <c r="P2677" s="26"/>
      <c r="Q2677" s="26" t="s">
        <v>1333</v>
      </c>
    </row>
    <row r="2678" ht="17.25" customHeight="1">
      <c r="A2678" s="51"/>
      <c r="B2678" s="55"/>
      <c r="C2678" s="55"/>
      <c r="D2678" s="240"/>
      <c r="E2678" s="52"/>
      <c r="F2678" s="55"/>
      <c r="G2678" s="55"/>
      <c r="H2678" s="55"/>
      <c r="I2678" s="26" t="s">
        <v>1333</v>
      </c>
      <c r="J2678" s="26"/>
      <c r="K2678" s="26"/>
      <c r="L2678" s="26"/>
      <c r="M2678" s="26"/>
      <c r="N2678" s="26"/>
      <c r="O2678" s="26"/>
      <c r="P2678" s="26"/>
      <c r="Q2678" s="26" t="s">
        <v>1333</v>
      </c>
    </row>
    <row r="2679" ht="17.25" customHeight="1">
      <c r="A2679" s="51"/>
      <c r="B2679" s="55"/>
      <c r="C2679" s="55"/>
      <c r="D2679" s="240"/>
      <c r="E2679" s="52"/>
      <c r="F2679" s="55"/>
      <c r="G2679" s="55"/>
      <c r="H2679" s="55"/>
      <c r="I2679" s="26" t="s">
        <v>1333</v>
      </c>
      <c r="J2679" s="26"/>
      <c r="K2679" s="26"/>
      <c r="L2679" s="26"/>
      <c r="M2679" s="26"/>
      <c r="N2679" s="26"/>
      <c r="O2679" s="26"/>
      <c r="P2679" s="26"/>
      <c r="Q2679" s="26" t="s">
        <v>1333</v>
      </c>
    </row>
    <row r="2680" ht="17.25" customHeight="1">
      <c r="A2680" s="51"/>
      <c r="B2680" s="55"/>
      <c r="C2680" s="55"/>
      <c r="D2680" s="240"/>
      <c r="E2680" s="52"/>
      <c r="F2680" s="55"/>
      <c r="G2680" s="55"/>
      <c r="H2680" s="55"/>
      <c r="I2680" s="26" t="s">
        <v>1333</v>
      </c>
      <c r="J2680" s="26"/>
      <c r="K2680" s="26"/>
      <c r="L2680" s="26"/>
      <c r="M2680" s="26"/>
      <c r="N2680" s="26"/>
      <c r="O2680" s="26"/>
      <c r="P2680" s="26"/>
      <c r="Q2680" s="26" t="s">
        <v>1333</v>
      </c>
    </row>
    <row r="2681" ht="17.25" customHeight="1">
      <c r="A2681" s="51"/>
      <c r="B2681" s="55"/>
      <c r="C2681" s="55"/>
      <c r="D2681" s="240"/>
      <c r="E2681" s="52"/>
      <c r="F2681" s="55"/>
      <c r="G2681" s="55"/>
      <c r="H2681" s="55"/>
      <c r="I2681" s="26" t="s">
        <v>1333</v>
      </c>
      <c r="J2681" s="26"/>
      <c r="K2681" s="26"/>
      <c r="L2681" s="26"/>
      <c r="M2681" s="26"/>
      <c r="N2681" s="26"/>
      <c r="O2681" s="26"/>
      <c r="P2681" s="26"/>
      <c r="Q2681" s="26" t="s">
        <v>1333</v>
      </c>
    </row>
    <row r="2682" ht="17.25" customHeight="1">
      <c r="A2682" s="51"/>
      <c r="B2682" s="55"/>
      <c r="C2682" s="55"/>
      <c r="D2682" s="240"/>
      <c r="E2682" s="52"/>
      <c r="F2682" s="55"/>
      <c r="G2682" s="55"/>
      <c r="H2682" s="55"/>
      <c r="I2682" s="26" t="s">
        <v>1333</v>
      </c>
      <c r="J2682" s="26"/>
      <c r="K2682" s="26"/>
      <c r="L2682" s="26"/>
      <c r="M2682" s="26"/>
      <c r="N2682" s="26"/>
      <c r="O2682" s="26"/>
      <c r="P2682" s="26"/>
      <c r="Q2682" s="26" t="s">
        <v>1333</v>
      </c>
    </row>
    <row r="2683" ht="17.25" customHeight="1">
      <c r="A2683" s="51"/>
      <c r="B2683" s="55"/>
      <c r="C2683" s="55"/>
      <c r="D2683" s="240"/>
      <c r="E2683" s="52"/>
      <c r="F2683" s="55"/>
      <c r="G2683" s="55"/>
      <c r="H2683" s="55"/>
      <c r="I2683" s="26" t="s">
        <v>1333</v>
      </c>
      <c r="J2683" s="26"/>
      <c r="K2683" s="26"/>
      <c r="L2683" s="26"/>
      <c r="M2683" s="26"/>
      <c r="N2683" s="26"/>
      <c r="O2683" s="26"/>
      <c r="P2683" s="26"/>
      <c r="Q2683" s="26" t="s">
        <v>1333</v>
      </c>
    </row>
    <row r="2684" ht="17.25" customHeight="1">
      <c r="A2684" s="51"/>
      <c r="B2684" s="55"/>
      <c r="C2684" s="55"/>
      <c r="D2684" s="240"/>
      <c r="E2684" s="52"/>
      <c r="F2684" s="55"/>
      <c r="G2684" s="55"/>
      <c r="H2684" s="55"/>
      <c r="I2684" s="26" t="s">
        <v>1333</v>
      </c>
      <c r="J2684" s="26"/>
      <c r="K2684" s="26"/>
      <c r="L2684" s="26"/>
      <c r="M2684" s="26"/>
      <c r="N2684" s="26"/>
      <c r="O2684" s="26"/>
      <c r="P2684" s="26"/>
      <c r="Q2684" s="26" t="s">
        <v>1333</v>
      </c>
    </row>
    <row r="2685" ht="17.25" customHeight="1">
      <c r="A2685" s="51"/>
      <c r="B2685" s="55"/>
      <c r="C2685" s="55"/>
      <c r="D2685" s="240"/>
      <c r="E2685" s="52"/>
      <c r="F2685" s="55"/>
      <c r="G2685" s="55"/>
      <c r="H2685" s="55"/>
      <c r="I2685" s="26" t="s">
        <v>1333</v>
      </c>
      <c r="J2685" s="26"/>
      <c r="K2685" s="26"/>
      <c r="L2685" s="26"/>
      <c r="M2685" s="26"/>
      <c r="N2685" s="26"/>
      <c r="O2685" s="26"/>
      <c r="P2685" s="26"/>
      <c r="Q2685" s="26" t="s">
        <v>1333</v>
      </c>
    </row>
    <row r="2686" ht="17.25" customHeight="1">
      <c r="A2686" s="51"/>
      <c r="B2686" s="55"/>
      <c r="C2686" s="55"/>
      <c r="D2686" s="240"/>
      <c r="E2686" s="52"/>
      <c r="F2686" s="55"/>
      <c r="G2686" s="55"/>
      <c r="H2686" s="55"/>
      <c r="I2686" s="26" t="s">
        <v>1333</v>
      </c>
      <c r="J2686" s="26"/>
      <c r="K2686" s="26"/>
      <c r="L2686" s="26"/>
      <c r="M2686" s="26"/>
      <c r="N2686" s="26"/>
      <c r="O2686" s="26"/>
      <c r="P2686" s="26"/>
      <c r="Q2686" s="26" t="s">
        <v>1333</v>
      </c>
    </row>
    <row r="2687" ht="17.25" customHeight="1">
      <c r="A2687" s="51"/>
      <c r="B2687" s="55"/>
      <c r="C2687" s="55"/>
      <c r="D2687" s="240"/>
      <c r="E2687" s="52"/>
      <c r="F2687" s="55"/>
      <c r="G2687" s="55"/>
      <c r="H2687" s="55"/>
      <c r="I2687" s="26" t="s">
        <v>1333</v>
      </c>
      <c r="J2687" s="26"/>
      <c r="K2687" s="26"/>
      <c r="L2687" s="26"/>
      <c r="M2687" s="26"/>
      <c r="N2687" s="26"/>
      <c r="O2687" s="26"/>
      <c r="P2687" s="26"/>
      <c r="Q2687" s="26" t="s">
        <v>1333</v>
      </c>
    </row>
    <row r="2688" ht="17.25" customHeight="1">
      <c r="A2688" s="51"/>
      <c r="B2688" s="55"/>
      <c r="C2688" s="55"/>
      <c r="D2688" s="240"/>
      <c r="E2688" s="52"/>
      <c r="F2688" s="55"/>
      <c r="G2688" s="55"/>
      <c r="H2688" s="55"/>
      <c r="I2688" s="26" t="s">
        <v>1333</v>
      </c>
      <c r="J2688" s="26"/>
      <c r="K2688" s="26"/>
      <c r="L2688" s="26"/>
      <c r="M2688" s="26"/>
      <c r="N2688" s="26"/>
      <c r="O2688" s="26"/>
      <c r="P2688" s="26"/>
      <c r="Q2688" s="26" t="s">
        <v>1333</v>
      </c>
    </row>
    <row r="2689" ht="17.25" customHeight="1">
      <c r="A2689" s="51"/>
      <c r="B2689" s="55"/>
      <c r="C2689" s="55"/>
      <c r="D2689" s="240"/>
      <c r="E2689" s="52"/>
      <c r="F2689" s="55"/>
      <c r="G2689" s="55"/>
      <c r="H2689" s="55"/>
      <c r="I2689" s="26" t="s">
        <v>1333</v>
      </c>
      <c r="J2689" s="26"/>
      <c r="K2689" s="26"/>
      <c r="L2689" s="26"/>
      <c r="M2689" s="26"/>
      <c r="N2689" s="26"/>
      <c r="O2689" s="26"/>
      <c r="P2689" s="26"/>
      <c r="Q2689" s="26" t="s">
        <v>1333</v>
      </c>
    </row>
    <row r="2690" ht="17.25" customHeight="1">
      <c r="A2690" s="51"/>
      <c r="B2690" s="55"/>
      <c r="C2690" s="55"/>
      <c r="D2690" s="240"/>
      <c r="E2690" s="52"/>
      <c r="F2690" s="55"/>
      <c r="G2690" s="55"/>
      <c r="H2690" s="55"/>
      <c r="I2690" s="26" t="s">
        <v>1333</v>
      </c>
      <c r="J2690" s="26"/>
      <c r="K2690" s="26"/>
      <c r="L2690" s="26"/>
      <c r="M2690" s="26"/>
      <c r="N2690" s="26"/>
      <c r="O2690" s="26"/>
      <c r="P2690" s="26"/>
      <c r="Q2690" s="26" t="s">
        <v>1333</v>
      </c>
    </row>
    <row r="2691" ht="17.25" customHeight="1">
      <c r="A2691" s="51"/>
      <c r="B2691" s="55"/>
      <c r="C2691" s="55"/>
      <c r="D2691" s="240"/>
      <c r="E2691" s="52"/>
      <c r="F2691" s="55"/>
      <c r="G2691" s="55"/>
      <c r="H2691" s="55"/>
      <c r="I2691" s="26" t="s">
        <v>1333</v>
      </c>
      <c r="J2691" s="26"/>
      <c r="K2691" s="26"/>
      <c r="L2691" s="26"/>
      <c r="M2691" s="26"/>
      <c r="N2691" s="26"/>
      <c r="O2691" s="26"/>
      <c r="P2691" s="26"/>
      <c r="Q2691" s="26" t="s">
        <v>1333</v>
      </c>
    </row>
    <row r="2692" ht="17.25" customHeight="1">
      <c r="A2692" s="51"/>
      <c r="B2692" s="55"/>
      <c r="C2692" s="55"/>
      <c r="D2692" s="240"/>
      <c r="E2692" s="52"/>
      <c r="F2692" s="55"/>
      <c r="G2692" s="55"/>
      <c r="H2692" s="55"/>
      <c r="I2692" s="26" t="s">
        <v>1333</v>
      </c>
      <c r="J2692" s="26"/>
      <c r="K2692" s="26"/>
      <c r="L2692" s="26"/>
      <c r="M2692" s="26"/>
      <c r="N2692" s="26"/>
      <c r="O2692" s="26"/>
      <c r="P2692" s="26"/>
      <c r="Q2692" s="26" t="s">
        <v>1333</v>
      </c>
    </row>
    <row r="2693" ht="17.25" customHeight="1">
      <c r="A2693" s="51"/>
      <c r="B2693" s="55"/>
      <c r="C2693" s="55"/>
      <c r="D2693" s="240"/>
      <c r="E2693" s="52"/>
      <c r="F2693" s="55"/>
      <c r="G2693" s="55"/>
      <c r="H2693" s="55"/>
      <c r="I2693" s="26" t="s">
        <v>1333</v>
      </c>
      <c r="J2693" s="26"/>
      <c r="K2693" s="26"/>
      <c r="L2693" s="26"/>
      <c r="M2693" s="26"/>
      <c r="N2693" s="26"/>
      <c r="O2693" s="26"/>
      <c r="P2693" s="26"/>
      <c r="Q2693" s="26" t="s">
        <v>1333</v>
      </c>
    </row>
    <row r="2694" ht="17.25" customHeight="1">
      <c r="A2694" s="51"/>
      <c r="B2694" s="55"/>
      <c r="C2694" s="55"/>
      <c r="D2694" s="240"/>
      <c r="E2694" s="52"/>
      <c r="F2694" s="55"/>
      <c r="G2694" s="55"/>
      <c r="H2694" s="55"/>
      <c r="I2694" s="26" t="s">
        <v>1333</v>
      </c>
      <c r="J2694" s="26"/>
      <c r="K2694" s="26"/>
      <c r="L2694" s="26"/>
      <c r="M2694" s="26"/>
      <c r="N2694" s="26"/>
      <c r="O2694" s="26"/>
      <c r="P2694" s="26"/>
      <c r="Q2694" s="26" t="s">
        <v>1333</v>
      </c>
    </row>
    <row r="2695" ht="17.25" customHeight="1">
      <c r="A2695" s="51"/>
      <c r="B2695" s="55"/>
      <c r="C2695" s="55"/>
      <c r="D2695" s="240"/>
      <c r="E2695" s="52"/>
      <c r="F2695" s="55"/>
      <c r="G2695" s="55"/>
      <c r="H2695" s="55"/>
      <c r="I2695" s="26" t="s">
        <v>1333</v>
      </c>
      <c r="J2695" s="26"/>
      <c r="K2695" s="26"/>
      <c r="L2695" s="26"/>
      <c r="M2695" s="26"/>
      <c r="N2695" s="26"/>
      <c r="O2695" s="26"/>
      <c r="P2695" s="26"/>
      <c r="Q2695" s="26" t="s">
        <v>1333</v>
      </c>
    </row>
    <row r="2696" ht="17.25" customHeight="1">
      <c r="A2696" s="51"/>
      <c r="B2696" s="55"/>
      <c r="C2696" s="55"/>
      <c r="D2696" s="240"/>
      <c r="E2696" s="52"/>
      <c r="F2696" s="55"/>
      <c r="G2696" s="55"/>
      <c r="H2696" s="55"/>
      <c r="I2696" s="26" t="s">
        <v>1333</v>
      </c>
      <c r="J2696" s="26"/>
      <c r="K2696" s="26"/>
      <c r="L2696" s="26"/>
      <c r="M2696" s="26"/>
      <c r="N2696" s="26"/>
      <c r="O2696" s="26"/>
      <c r="P2696" s="26"/>
      <c r="Q2696" s="26" t="s">
        <v>1333</v>
      </c>
    </row>
    <row r="2697" ht="17.25" customHeight="1">
      <c r="A2697" s="51"/>
      <c r="B2697" s="55"/>
      <c r="C2697" s="55"/>
      <c r="D2697" s="240"/>
      <c r="E2697" s="52"/>
      <c r="F2697" s="55"/>
      <c r="G2697" s="55"/>
      <c r="H2697" s="55"/>
      <c r="I2697" s="26" t="s">
        <v>1333</v>
      </c>
      <c r="J2697" s="26"/>
      <c r="K2697" s="26"/>
      <c r="L2697" s="26"/>
      <c r="M2697" s="26"/>
      <c r="N2697" s="26"/>
      <c r="O2697" s="26"/>
      <c r="P2697" s="26"/>
      <c r="Q2697" s="26" t="s">
        <v>1333</v>
      </c>
    </row>
    <row r="2698" ht="17.25" customHeight="1">
      <c r="A2698" s="51"/>
      <c r="B2698" s="55"/>
      <c r="C2698" s="55"/>
      <c r="D2698" s="240"/>
      <c r="E2698" s="52"/>
      <c r="F2698" s="55"/>
      <c r="G2698" s="55"/>
      <c r="H2698" s="55"/>
      <c r="I2698" s="26" t="s">
        <v>1333</v>
      </c>
      <c r="J2698" s="26"/>
      <c r="K2698" s="26"/>
      <c r="L2698" s="26"/>
      <c r="M2698" s="26"/>
      <c r="N2698" s="26"/>
      <c r="O2698" s="26"/>
      <c r="P2698" s="26"/>
      <c r="Q2698" s="26" t="s">
        <v>1333</v>
      </c>
    </row>
    <row r="2699" ht="17.25" customHeight="1">
      <c r="A2699" s="51"/>
      <c r="B2699" s="55"/>
      <c r="C2699" s="55"/>
      <c r="D2699" s="240"/>
      <c r="E2699" s="52"/>
      <c r="F2699" s="55"/>
      <c r="G2699" s="55"/>
      <c r="H2699" s="55"/>
      <c r="I2699" s="26" t="s">
        <v>1333</v>
      </c>
      <c r="J2699" s="26"/>
      <c r="K2699" s="26"/>
      <c r="L2699" s="26"/>
      <c r="M2699" s="26"/>
      <c r="N2699" s="26"/>
      <c r="O2699" s="26"/>
      <c r="P2699" s="26"/>
      <c r="Q2699" s="26" t="s">
        <v>1333</v>
      </c>
    </row>
    <row r="2700" ht="17.25" customHeight="1">
      <c r="A2700" s="51"/>
      <c r="B2700" s="55"/>
      <c r="C2700" s="55"/>
      <c r="D2700" s="240"/>
      <c r="E2700" s="52"/>
      <c r="F2700" s="55"/>
      <c r="G2700" s="55"/>
      <c r="H2700" s="55"/>
      <c r="I2700" s="26" t="s">
        <v>1333</v>
      </c>
      <c r="J2700" s="26"/>
      <c r="K2700" s="26"/>
      <c r="L2700" s="26"/>
      <c r="M2700" s="26"/>
      <c r="N2700" s="26"/>
      <c r="O2700" s="26"/>
      <c r="P2700" s="26"/>
      <c r="Q2700" s="26" t="s">
        <v>1333</v>
      </c>
    </row>
    <row r="2701" ht="17.25" customHeight="1">
      <c r="A2701" s="51"/>
      <c r="B2701" s="55"/>
      <c r="C2701" s="55"/>
      <c r="D2701" s="240"/>
      <c r="E2701" s="52"/>
      <c r="F2701" s="55"/>
      <c r="G2701" s="55"/>
      <c r="H2701" s="55"/>
      <c r="I2701" s="26" t="s">
        <v>1333</v>
      </c>
      <c r="J2701" s="26"/>
      <c r="K2701" s="26"/>
      <c r="L2701" s="26"/>
      <c r="M2701" s="26"/>
      <c r="N2701" s="26"/>
      <c r="O2701" s="26"/>
      <c r="P2701" s="26"/>
      <c r="Q2701" s="26" t="s">
        <v>1333</v>
      </c>
    </row>
    <row r="2702" ht="17.25" customHeight="1">
      <c r="A2702" s="51"/>
      <c r="B2702" s="55"/>
      <c r="C2702" s="55"/>
      <c r="D2702" s="240"/>
      <c r="E2702" s="52"/>
      <c r="F2702" s="55"/>
      <c r="G2702" s="55"/>
      <c r="H2702" s="55"/>
      <c r="I2702" s="26" t="s">
        <v>1333</v>
      </c>
      <c r="J2702" s="26"/>
      <c r="K2702" s="26"/>
      <c r="L2702" s="26"/>
      <c r="M2702" s="26"/>
      <c r="N2702" s="26"/>
      <c r="O2702" s="26"/>
      <c r="P2702" s="26"/>
      <c r="Q2702" s="26" t="s">
        <v>1333</v>
      </c>
    </row>
    <row r="2703" ht="17.25" customHeight="1">
      <c r="A2703" s="51"/>
      <c r="B2703" s="55"/>
      <c r="C2703" s="55"/>
      <c r="D2703" s="240"/>
      <c r="E2703" s="52"/>
      <c r="F2703" s="55"/>
      <c r="G2703" s="55"/>
      <c r="H2703" s="55"/>
      <c r="I2703" s="26" t="s">
        <v>1333</v>
      </c>
      <c r="J2703" s="26"/>
      <c r="K2703" s="26"/>
      <c r="L2703" s="26"/>
      <c r="M2703" s="26"/>
      <c r="N2703" s="26"/>
      <c r="O2703" s="26"/>
      <c r="P2703" s="26"/>
      <c r="Q2703" s="26" t="s">
        <v>1333</v>
      </c>
    </row>
    <row r="2704" ht="17.25" customHeight="1">
      <c r="A2704" s="51"/>
      <c r="B2704" s="55"/>
      <c r="C2704" s="55"/>
      <c r="D2704" s="240"/>
      <c r="E2704" s="52"/>
      <c r="F2704" s="55"/>
      <c r="G2704" s="55"/>
      <c r="H2704" s="55"/>
      <c r="I2704" s="26" t="s">
        <v>1333</v>
      </c>
      <c r="J2704" s="26"/>
      <c r="K2704" s="26"/>
      <c r="L2704" s="26"/>
      <c r="M2704" s="26"/>
      <c r="N2704" s="26"/>
      <c r="O2704" s="26"/>
      <c r="P2704" s="26"/>
      <c r="Q2704" s="26" t="s">
        <v>1333</v>
      </c>
    </row>
    <row r="2705" ht="17.25" customHeight="1">
      <c r="A2705" s="51"/>
      <c r="B2705" s="55"/>
      <c r="C2705" s="55"/>
      <c r="D2705" s="240"/>
      <c r="E2705" s="52"/>
      <c r="F2705" s="55"/>
      <c r="G2705" s="55"/>
      <c r="H2705" s="55"/>
      <c r="I2705" s="26" t="s">
        <v>1333</v>
      </c>
      <c r="J2705" s="26"/>
      <c r="K2705" s="26"/>
      <c r="L2705" s="26"/>
      <c r="M2705" s="26"/>
      <c r="N2705" s="26"/>
      <c r="O2705" s="26"/>
      <c r="P2705" s="26"/>
      <c r="Q2705" s="26" t="s">
        <v>1333</v>
      </c>
    </row>
    <row r="2706" ht="17.25" customHeight="1">
      <c r="A2706" s="51"/>
      <c r="B2706" s="55"/>
      <c r="C2706" s="55"/>
      <c r="D2706" s="240"/>
      <c r="E2706" s="52"/>
      <c r="F2706" s="55"/>
      <c r="G2706" s="55"/>
      <c r="H2706" s="55"/>
      <c r="I2706" s="26" t="s">
        <v>1333</v>
      </c>
      <c r="J2706" s="26"/>
      <c r="K2706" s="26"/>
      <c r="L2706" s="26"/>
      <c r="M2706" s="26"/>
      <c r="N2706" s="26"/>
      <c r="O2706" s="26"/>
      <c r="P2706" s="26"/>
      <c r="Q2706" s="26" t="s">
        <v>1333</v>
      </c>
    </row>
    <row r="2707" ht="17.25" customHeight="1">
      <c r="A2707" s="51"/>
      <c r="B2707" s="55"/>
      <c r="C2707" s="55"/>
      <c r="D2707" s="240"/>
      <c r="E2707" s="52"/>
      <c r="F2707" s="55"/>
      <c r="G2707" s="55"/>
      <c r="H2707" s="55"/>
      <c r="I2707" s="26" t="s">
        <v>1333</v>
      </c>
      <c r="J2707" s="26"/>
      <c r="K2707" s="26"/>
      <c r="L2707" s="26"/>
      <c r="M2707" s="26"/>
      <c r="N2707" s="26"/>
      <c r="O2707" s="26"/>
      <c r="P2707" s="26"/>
      <c r="Q2707" s="26" t="s">
        <v>1333</v>
      </c>
    </row>
    <row r="2708" ht="17.25" customHeight="1">
      <c r="A2708" s="51"/>
      <c r="B2708" s="55"/>
      <c r="C2708" s="55"/>
      <c r="D2708" s="240"/>
      <c r="E2708" s="52"/>
      <c r="F2708" s="55"/>
      <c r="G2708" s="55"/>
      <c r="H2708" s="55"/>
      <c r="I2708" s="26" t="s">
        <v>1333</v>
      </c>
      <c r="J2708" s="26"/>
      <c r="K2708" s="26"/>
      <c r="L2708" s="26"/>
      <c r="M2708" s="26"/>
      <c r="N2708" s="26"/>
      <c r="O2708" s="26"/>
      <c r="P2708" s="26"/>
      <c r="Q2708" s="26" t="s">
        <v>1333</v>
      </c>
    </row>
    <row r="2709" ht="17.25" customHeight="1">
      <c r="A2709" s="51"/>
      <c r="B2709" s="55"/>
      <c r="C2709" s="55"/>
      <c r="D2709" s="240"/>
      <c r="E2709" s="52"/>
      <c r="F2709" s="55"/>
      <c r="G2709" s="55"/>
      <c r="H2709" s="55"/>
      <c r="I2709" s="26" t="s">
        <v>1333</v>
      </c>
      <c r="J2709" s="26"/>
      <c r="K2709" s="26"/>
      <c r="L2709" s="26"/>
      <c r="M2709" s="26"/>
      <c r="N2709" s="26"/>
      <c r="O2709" s="26"/>
      <c r="P2709" s="26"/>
      <c r="Q2709" s="26" t="s">
        <v>1333</v>
      </c>
    </row>
    <row r="2710" ht="17.25" customHeight="1">
      <c r="A2710" s="51"/>
      <c r="B2710" s="55"/>
      <c r="C2710" s="55"/>
      <c r="D2710" s="240"/>
      <c r="E2710" s="52"/>
      <c r="F2710" s="55"/>
      <c r="G2710" s="55"/>
      <c r="H2710" s="55"/>
      <c r="I2710" s="26" t="s">
        <v>1333</v>
      </c>
      <c r="J2710" s="26"/>
      <c r="K2710" s="26"/>
      <c r="L2710" s="26"/>
      <c r="M2710" s="26"/>
      <c r="N2710" s="26"/>
      <c r="O2710" s="26"/>
      <c r="P2710" s="26"/>
      <c r="Q2710" s="26" t="s">
        <v>1333</v>
      </c>
    </row>
    <row r="2711" ht="17.25" customHeight="1">
      <c r="A2711" s="51"/>
      <c r="B2711" s="55"/>
      <c r="C2711" s="55"/>
      <c r="D2711" s="240"/>
      <c r="E2711" s="52"/>
      <c r="F2711" s="55"/>
      <c r="G2711" s="55"/>
      <c r="H2711" s="55"/>
      <c r="I2711" s="26" t="s">
        <v>1333</v>
      </c>
      <c r="J2711" s="26"/>
      <c r="K2711" s="26"/>
      <c r="L2711" s="26"/>
      <c r="M2711" s="26"/>
      <c r="N2711" s="26"/>
      <c r="O2711" s="26"/>
      <c r="P2711" s="26"/>
      <c r="Q2711" s="26" t="s">
        <v>1333</v>
      </c>
    </row>
    <row r="2712" ht="17.25" customHeight="1">
      <c r="A2712" s="51"/>
      <c r="B2712" s="55"/>
      <c r="C2712" s="55"/>
      <c r="D2712" s="240"/>
      <c r="E2712" s="52"/>
      <c r="F2712" s="55"/>
      <c r="G2712" s="55"/>
      <c r="H2712" s="55"/>
      <c r="I2712" s="26" t="s">
        <v>1333</v>
      </c>
      <c r="J2712" s="26"/>
      <c r="K2712" s="26"/>
      <c r="L2712" s="26"/>
      <c r="M2712" s="26"/>
      <c r="N2712" s="26"/>
      <c r="O2712" s="26"/>
      <c r="P2712" s="26"/>
      <c r="Q2712" s="26" t="s">
        <v>1333</v>
      </c>
    </row>
    <row r="2713" ht="17.25" customHeight="1">
      <c r="A2713" s="51"/>
      <c r="B2713" s="55"/>
      <c r="C2713" s="55"/>
      <c r="D2713" s="240"/>
      <c r="E2713" s="52"/>
      <c r="F2713" s="55"/>
      <c r="G2713" s="55"/>
      <c r="H2713" s="55"/>
      <c r="I2713" s="26" t="s">
        <v>1333</v>
      </c>
      <c r="J2713" s="26"/>
      <c r="K2713" s="26"/>
      <c r="L2713" s="26"/>
      <c r="M2713" s="26"/>
      <c r="N2713" s="26"/>
      <c r="O2713" s="26"/>
      <c r="P2713" s="26"/>
      <c r="Q2713" s="26" t="s">
        <v>1333</v>
      </c>
    </row>
    <row r="2714" ht="17.25" customHeight="1">
      <c r="A2714" s="51"/>
      <c r="B2714" s="55"/>
      <c r="C2714" s="55"/>
      <c r="D2714" s="240"/>
      <c r="E2714" s="52"/>
      <c r="F2714" s="55"/>
      <c r="G2714" s="55"/>
      <c r="H2714" s="55"/>
      <c r="I2714" s="26" t="s">
        <v>1333</v>
      </c>
      <c r="J2714" s="26"/>
      <c r="K2714" s="26"/>
      <c r="L2714" s="26"/>
      <c r="M2714" s="26"/>
      <c r="N2714" s="26"/>
      <c r="O2714" s="26"/>
      <c r="P2714" s="26"/>
      <c r="Q2714" s="26" t="s">
        <v>1333</v>
      </c>
    </row>
    <row r="2715" ht="17.25" customHeight="1">
      <c r="A2715" s="51"/>
      <c r="B2715" s="55"/>
      <c r="C2715" s="55"/>
      <c r="D2715" s="240"/>
      <c r="E2715" s="52"/>
      <c r="F2715" s="55"/>
      <c r="G2715" s="55"/>
      <c r="H2715" s="55"/>
      <c r="I2715" s="26" t="s">
        <v>1333</v>
      </c>
      <c r="J2715" s="26"/>
      <c r="K2715" s="26"/>
      <c r="L2715" s="26"/>
      <c r="M2715" s="26"/>
      <c r="N2715" s="26"/>
      <c r="O2715" s="26"/>
      <c r="P2715" s="26"/>
      <c r="Q2715" s="26" t="s">
        <v>1333</v>
      </c>
    </row>
    <row r="2716" ht="17.25" customHeight="1">
      <c r="A2716" s="51"/>
      <c r="B2716" s="55"/>
      <c r="C2716" s="55"/>
      <c r="D2716" s="240"/>
      <c r="E2716" s="52"/>
      <c r="F2716" s="55"/>
      <c r="G2716" s="55"/>
      <c r="H2716" s="55"/>
      <c r="I2716" s="26" t="s">
        <v>1333</v>
      </c>
      <c r="J2716" s="26"/>
      <c r="K2716" s="26"/>
      <c r="L2716" s="26"/>
      <c r="M2716" s="26"/>
      <c r="N2716" s="26"/>
      <c r="O2716" s="26"/>
      <c r="P2716" s="26"/>
      <c r="Q2716" s="26" t="s">
        <v>1333</v>
      </c>
    </row>
    <row r="2717" ht="17.25" customHeight="1">
      <c r="A2717" s="51"/>
      <c r="B2717" s="55"/>
      <c r="C2717" s="55"/>
      <c r="D2717" s="240"/>
      <c r="E2717" s="52"/>
      <c r="F2717" s="55"/>
      <c r="G2717" s="55"/>
      <c r="H2717" s="55"/>
      <c r="I2717" s="26" t="s">
        <v>1333</v>
      </c>
      <c r="J2717" s="26"/>
      <c r="K2717" s="26"/>
      <c r="L2717" s="26"/>
      <c r="M2717" s="26"/>
      <c r="N2717" s="26"/>
      <c r="O2717" s="26"/>
      <c r="P2717" s="26"/>
      <c r="Q2717" s="26" t="s">
        <v>1333</v>
      </c>
    </row>
    <row r="2718" ht="17.25" customHeight="1">
      <c r="A2718" s="51"/>
      <c r="B2718" s="55"/>
      <c r="C2718" s="55"/>
      <c r="D2718" s="240"/>
      <c r="E2718" s="52"/>
      <c r="F2718" s="55"/>
      <c r="G2718" s="55"/>
      <c r="H2718" s="55"/>
      <c r="I2718" s="26" t="s">
        <v>1333</v>
      </c>
      <c r="J2718" s="26"/>
      <c r="K2718" s="26"/>
      <c r="L2718" s="26"/>
      <c r="M2718" s="26"/>
      <c r="N2718" s="26"/>
      <c r="O2718" s="26"/>
      <c r="P2718" s="26"/>
      <c r="Q2718" s="26" t="s">
        <v>1333</v>
      </c>
    </row>
    <row r="2719" ht="17.25" customHeight="1">
      <c r="A2719" s="51"/>
      <c r="B2719" s="55"/>
      <c r="C2719" s="55"/>
      <c r="D2719" s="240"/>
      <c r="E2719" s="52"/>
      <c r="F2719" s="55"/>
      <c r="G2719" s="55"/>
      <c r="H2719" s="55"/>
      <c r="I2719" s="26" t="s">
        <v>1333</v>
      </c>
      <c r="J2719" s="26"/>
      <c r="K2719" s="26"/>
      <c r="L2719" s="26"/>
      <c r="M2719" s="26"/>
      <c r="N2719" s="26"/>
      <c r="O2719" s="26"/>
      <c r="P2719" s="26"/>
      <c r="Q2719" s="26" t="s">
        <v>1333</v>
      </c>
    </row>
    <row r="2720" ht="17.25" customHeight="1">
      <c r="A2720" s="51"/>
      <c r="B2720" s="55"/>
      <c r="C2720" s="55"/>
      <c r="D2720" s="240"/>
      <c r="E2720" s="52"/>
      <c r="F2720" s="55"/>
      <c r="G2720" s="55"/>
      <c r="H2720" s="55"/>
      <c r="I2720" s="26" t="s">
        <v>1333</v>
      </c>
      <c r="J2720" s="26"/>
      <c r="K2720" s="26"/>
      <c r="L2720" s="26"/>
      <c r="M2720" s="26"/>
      <c r="N2720" s="26"/>
      <c r="O2720" s="26"/>
      <c r="P2720" s="26"/>
      <c r="Q2720" s="26" t="s">
        <v>1333</v>
      </c>
    </row>
    <row r="2721" ht="17.25" customHeight="1">
      <c r="A2721" s="51"/>
      <c r="B2721" s="55"/>
      <c r="C2721" s="55"/>
      <c r="D2721" s="240"/>
      <c r="E2721" s="52"/>
      <c r="F2721" s="55"/>
      <c r="G2721" s="55"/>
      <c r="H2721" s="55"/>
      <c r="I2721" s="26" t="s">
        <v>1333</v>
      </c>
      <c r="J2721" s="26"/>
      <c r="K2721" s="26"/>
      <c r="L2721" s="26"/>
      <c r="M2721" s="26"/>
      <c r="N2721" s="26"/>
      <c r="O2721" s="26"/>
      <c r="P2721" s="26"/>
      <c r="Q2721" s="26" t="s">
        <v>1333</v>
      </c>
    </row>
    <row r="2722" ht="17.25" customHeight="1">
      <c r="A2722" s="51"/>
      <c r="B2722" s="55"/>
      <c r="C2722" s="55"/>
      <c r="D2722" s="240"/>
      <c r="E2722" s="52"/>
      <c r="F2722" s="55"/>
      <c r="G2722" s="55"/>
      <c r="H2722" s="55"/>
      <c r="I2722" s="26" t="s">
        <v>1333</v>
      </c>
      <c r="J2722" s="26"/>
      <c r="K2722" s="26"/>
      <c r="L2722" s="26"/>
      <c r="M2722" s="26"/>
      <c r="N2722" s="26"/>
      <c r="O2722" s="26"/>
      <c r="P2722" s="26"/>
      <c r="Q2722" s="26" t="s">
        <v>1333</v>
      </c>
    </row>
    <row r="2723" ht="17.25" customHeight="1">
      <c r="A2723" s="51"/>
      <c r="B2723" s="55"/>
      <c r="C2723" s="55"/>
      <c r="D2723" s="240"/>
      <c r="E2723" s="52"/>
      <c r="F2723" s="55"/>
      <c r="G2723" s="55"/>
      <c r="H2723" s="55"/>
      <c r="I2723" s="26" t="s">
        <v>1333</v>
      </c>
      <c r="J2723" s="26"/>
      <c r="K2723" s="26"/>
      <c r="L2723" s="26"/>
      <c r="M2723" s="26"/>
      <c r="N2723" s="26"/>
      <c r="O2723" s="26"/>
      <c r="P2723" s="26"/>
      <c r="Q2723" s="26" t="s">
        <v>1333</v>
      </c>
    </row>
    <row r="2724" ht="17.25" customHeight="1">
      <c r="A2724" s="51"/>
      <c r="B2724" s="55"/>
      <c r="C2724" s="55"/>
      <c r="D2724" s="240"/>
      <c r="E2724" s="52"/>
      <c r="F2724" s="55"/>
      <c r="G2724" s="55"/>
      <c r="H2724" s="55"/>
      <c r="I2724" s="26" t="s">
        <v>1333</v>
      </c>
      <c r="J2724" s="26"/>
      <c r="K2724" s="26"/>
      <c r="L2724" s="26"/>
      <c r="M2724" s="26"/>
      <c r="N2724" s="26"/>
      <c r="O2724" s="26"/>
      <c r="P2724" s="26"/>
      <c r="Q2724" s="26" t="s">
        <v>1333</v>
      </c>
    </row>
    <row r="2725" ht="17.25" customHeight="1">
      <c r="A2725" s="51"/>
      <c r="B2725" s="55"/>
      <c r="C2725" s="55"/>
      <c r="D2725" s="240"/>
      <c r="E2725" s="52"/>
      <c r="F2725" s="55"/>
      <c r="G2725" s="55"/>
      <c r="H2725" s="55"/>
      <c r="I2725" s="26" t="s">
        <v>1333</v>
      </c>
      <c r="J2725" s="26"/>
      <c r="K2725" s="26"/>
      <c r="L2725" s="26"/>
      <c r="M2725" s="26"/>
      <c r="N2725" s="26"/>
      <c r="O2725" s="26"/>
      <c r="P2725" s="26"/>
      <c r="Q2725" s="26" t="s">
        <v>1333</v>
      </c>
    </row>
    <row r="2726" ht="17.25" customHeight="1">
      <c r="A2726" s="51"/>
      <c r="B2726" s="55"/>
      <c r="C2726" s="55"/>
      <c r="D2726" s="240"/>
      <c r="E2726" s="52"/>
      <c r="F2726" s="55"/>
      <c r="G2726" s="55"/>
      <c r="H2726" s="55"/>
      <c r="I2726" s="26" t="s">
        <v>1333</v>
      </c>
      <c r="J2726" s="26"/>
      <c r="K2726" s="26"/>
      <c r="L2726" s="26"/>
      <c r="M2726" s="26"/>
      <c r="N2726" s="26"/>
      <c r="O2726" s="26"/>
      <c r="P2726" s="26"/>
      <c r="Q2726" s="26" t="s">
        <v>1333</v>
      </c>
    </row>
    <row r="2727" ht="17.25" customHeight="1">
      <c r="A2727" s="51"/>
      <c r="B2727" s="55"/>
      <c r="C2727" s="55"/>
      <c r="D2727" s="240"/>
      <c r="E2727" s="52"/>
      <c r="F2727" s="55"/>
      <c r="G2727" s="55"/>
      <c r="H2727" s="55"/>
      <c r="I2727" s="26" t="s">
        <v>1333</v>
      </c>
      <c r="J2727" s="26"/>
      <c r="K2727" s="26"/>
      <c r="L2727" s="26"/>
      <c r="M2727" s="26"/>
      <c r="N2727" s="26"/>
      <c r="O2727" s="26"/>
      <c r="P2727" s="26"/>
      <c r="Q2727" s="26" t="s">
        <v>1333</v>
      </c>
    </row>
    <row r="2728" ht="17.25" customHeight="1">
      <c r="A2728" s="51"/>
      <c r="B2728" s="55"/>
      <c r="C2728" s="55"/>
      <c r="D2728" s="240"/>
      <c r="E2728" s="52"/>
      <c r="F2728" s="55"/>
      <c r="G2728" s="55"/>
      <c r="H2728" s="55"/>
      <c r="I2728" s="26" t="s">
        <v>1333</v>
      </c>
      <c r="J2728" s="26"/>
      <c r="K2728" s="26"/>
      <c r="L2728" s="26"/>
      <c r="M2728" s="26"/>
      <c r="N2728" s="26"/>
      <c r="O2728" s="26"/>
      <c r="P2728" s="26"/>
      <c r="Q2728" s="26" t="s">
        <v>1333</v>
      </c>
    </row>
    <row r="2729" ht="17.25" customHeight="1">
      <c r="A2729" s="51"/>
      <c r="B2729" s="55"/>
      <c r="C2729" s="55"/>
      <c r="D2729" s="240"/>
      <c r="E2729" s="52"/>
      <c r="F2729" s="55"/>
      <c r="G2729" s="55"/>
      <c r="H2729" s="55"/>
      <c r="I2729" s="26" t="s">
        <v>1333</v>
      </c>
      <c r="J2729" s="26"/>
      <c r="K2729" s="26"/>
      <c r="L2729" s="26"/>
      <c r="M2729" s="26"/>
      <c r="N2729" s="26"/>
      <c r="O2729" s="26"/>
      <c r="P2729" s="26"/>
      <c r="Q2729" s="26" t="s">
        <v>1333</v>
      </c>
    </row>
    <row r="2730" ht="17.25" customHeight="1">
      <c r="A2730" s="51"/>
      <c r="B2730" s="55"/>
      <c r="C2730" s="55"/>
      <c r="D2730" s="240"/>
      <c r="E2730" s="52"/>
      <c r="F2730" s="55"/>
      <c r="G2730" s="55"/>
      <c r="H2730" s="55"/>
      <c r="I2730" s="26" t="s">
        <v>1333</v>
      </c>
      <c r="J2730" s="26"/>
      <c r="K2730" s="26"/>
      <c r="L2730" s="26"/>
      <c r="M2730" s="26"/>
      <c r="N2730" s="26"/>
      <c r="O2730" s="26"/>
      <c r="P2730" s="26"/>
      <c r="Q2730" s="26" t="s">
        <v>1333</v>
      </c>
    </row>
    <row r="2731" ht="17.25" customHeight="1">
      <c r="A2731" s="51"/>
      <c r="B2731" s="55"/>
      <c r="C2731" s="55"/>
      <c r="D2731" s="240"/>
      <c r="E2731" s="52"/>
      <c r="F2731" s="55"/>
      <c r="G2731" s="55"/>
      <c r="H2731" s="55"/>
      <c r="I2731" s="26" t="s">
        <v>1333</v>
      </c>
      <c r="J2731" s="26"/>
      <c r="K2731" s="26"/>
      <c r="L2731" s="26"/>
      <c r="M2731" s="26"/>
      <c r="N2731" s="26"/>
      <c r="O2731" s="26"/>
      <c r="P2731" s="26"/>
      <c r="Q2731" s="26" t="s">
        <v>1333</v>
      </c>
    </row>
    <row r="2732" ht="17.25" customHeight="1">
      <c r="A2732" s="51"/>
      <c r="B2732" s="55"/>
      <c r="C2732" s="55"/>
      <c r="D2732" s="240"/>
      <c r="E2732" s="52"/>
      <c r="F2732" s="55"/>
      <c r="G2732" s="55"/>
      <c r="H2732" s="55"/>
      <c r="I2732" s="26" t="s">
        <v>1333</v>
      </c>
      <c r="J2732" s="26"/>
      <c r="K2732" s="26"/>
      <c r="L2732" s="26"/>
      <c r="M2732" s="26"/>
      <c r="N2732" s="26"/>
      <c r="O2732" s="26"/>
      <c r="P2732" s="26"/>
      <c r="Q2732" s="26" t="s">
        <v>1333</v>
      </c>
    </row>
    <row r="2733" ht="17.25" customHeight="1">
      <c r="A2733" s="51"/>
      <c r="B2733" s="55"/>
      <c r="C2733" s="55"/>
      <c r="D2733" s="240"/>
      <c r="E2733" s="52"/>
      <c r="F2733" s="55"/>
      <c r="G2733" s="55"/>
      <c r="H2733" s="55"/>
      <c r="I2733" s="26" t="s">
        <v>1333</v>
      </c>
      <c r="J2733" s="26"/>
      <c r="K2733" s="26"/>
      <c r="L2733" s="26"/>
      <c r="M2733" s="26"/>
      <c r="N2733" s="26"/>
      <c r="O2733" s="26"/>
      <c r="P2733" s="26"/>
      <c r="Q2733" s="26" t="s">
        <v>1333</v>
      </c>
    </row>
    <row r="2734" ht="17.25" customHeight="1">
      <c r="A2734" s="51"/>
      <c r="B2734" s="55"/>
      <c r="C2734" s="55"/>
      <c r="D2734" s="240"/>
      <c r="E2734" s="52"/>
      <c r="F2734" s="55"/>
      <c r="G2734" s="55"/>
      <c r="H2734" s="55"/>
      <c r="I2734" s="26" t="s">
        <v>1333</v>
      </c>
      <c r="J2734" s="26"/>
      <c r="K2734" s="26"/>
      <c r="L2734" s="26"/>
      <c r="M2734" s="26"/>
      <c r="N2734" s="26"/>
      <c r="O2734" s="26"/>
      <c r="P2734" s="26"/>
      <c r="Q2734" s="26" t="s">
        <v>1333</v>
      </c>
    </row>
    <row r="2735" ht="17.25" customHeight="1">
      <c r="A2735" s="51"/>
      <c r="B2735" s="55"/>
      <c r="C2735" s="55"/>
      <c r="D2735" s="240"/>
      <c r="E2735" s="52"/>
      <c r="F2735" s="55"/>
      <c r="G2735" s="55"/>
      <c r="H2735" s="55"/>
      <c r="I2735" s="26" t="s">
        <v>1333</v>
      </c>
      <c r="J2735" s="26"/>
      <c r="K2735" s="26"/>
      <c r="L2735" s="26"/>
      <c r="M2735" s="26"/>
      <c r="N2735" s="26"/>
      <c r="O2735" s="26"/>
      <c r="P2735" s="26"/>
      <c r="Q2735" s="26" t="s">
        <v>1333</v>
      </c>
    </row>
    <row r="2736" ht="17.25" customHeight="1">
      <c r="A2736" s="51"/>
      <c r="B2736" s="55"/>
      <c r="C2736" s="55"/>
      <c r="D2736" s="240"/>
      <c r="E2736" s="52"/>
      <c r="F2736" s="55"/>
      <c r="G2736" s="55"/>
      <c r="H2736" s="55"/>
      <c r="I2736" s="26" t="s">
        <v>1333</v>
      </c>
      <c r="J2736" s="26"/>
      <c r="K2736" s="26"/>
      <c r="L2736" s="26"/>
      <c r="M2736" s="26"/>
      <c r="N2736" s="26"/>
      <c r="O2736" s="26"/>
      <c r="P2736" s="26"/>
      <c r="Q2736" s="26" t="s">
        <v>1333</v>
      </c>
    </row>
    <row r="2737" ht="17.25" customHeight="1">
      <c r="A2737" s="51"/>
      <c r="B2737" s="55"/>
      <c r="C2737" s="55"/>
      <c r="D2737" s="240"/>
      <c r="E2737" s="52"/>
      <c r="F2737" s="55"/>
      <c r="G2737" s="55"/>
      <c r="H2737" s="55"/>
      <c r="I2737" s="26" t="s">
        <v>1333</v>
      </c>
      <c r="J2737" s="26"/>
      <c r="K2737" s="26"/>
      <c r="L2737" s="26"/>
      <c r="M2737" s="26"/>
      <c r="N2737" s="26"/>
      <c r="O2737" s="26"/>
      <c r="P2737" s="26"/>
      <c r="Q2737" s="26" t="s">
        <v>1333</v>
      </c>
    </row>
    <row r="2738" ht="17.25" customHeight="1">
      <c r="A2738" s="51"/>
      <c r="B2738" s="55"/>
      <c r="C2738" s="55"/>
      <c r="D2738" s="240"/>
      <c r="E2738" s="52"/>
      <c r="F2738" s="55"/>
      <c r="G2738" s="55"/>
      <c r="H2738" s="55"/>
      <c r="I2738" s="26" t="s">
        <v>1333</v>
      </c>
      <c r="J2738" s="26"/>
      <c r="K2738" s="26"/>
      <c r="L2738" s="26"/>
      <c r="M2738" s="26"/>
      <c r="N2738" s="26"/>
      <c r="O2738" s="26"/>
      <c r="P2738" s="26"/>
      <c r="Q2738" s="26" t="s">
        <v>1333</v>
      </c>
    </row>
    <row r="2739" ht="17.25" customHeight="1">
      <c r="A2739" s="51"/>
      <c r="B2739" s="55"/>
      <c r="C2739" s="55"/>
      <c r="D2739" s="240"/>
      <c r="E2739" s="52"/>
      <c r="F2739" s="55"/>
      <c r="G2739" s="55"/>
      <c r="H2739" s="55"/>
      <c r="I2739" s="26" t="s">
        <v>1333</v>
      </c>
      <c r="J2739" s="26"/>
      <c r="K2739" s="26"/>
      <c r="L2739" s="26"/>
      <c r="M2739" s="26"/>
      <c r="N2739" s="26"/>
      <c r="O2739" s="26"/>
      <c r="P2739" s="26"/>
      <c r="Q2739" s="26" t="s">
        <v>1333</v>
      </c>
    </row>
    <row r="2740" ht="17.25" customHeight="1">
      <c r="A2740" s="51"/>
      <c r="B2740" s="55"/>
      <c r="C2740" s="55"/>
      <c r="D2740" s="240"/>
      <c r="E2740" s="52"/>
      <c r="F2740" s="55"/>
      <c r="G2740" s="55"/>
      <c r="H2740" s="55"/>
      <c r="I2740" s="26" t="s">
        <v>1333</v>
      </c>
      <c r="J2740" s="26"/>
      <c r="K2740" s="26"/>
      <c r="L2740" s="26"/>
      <c r="M2740" s="26"/>
      <c r="N2740" s="26"/>
      <c r="O2740" s="26"/>
      <c r="P2740" s="26"/>
      <c r="Q2740" s="26" t="s">
        <v>1333</v>
      </c>
    </row>
    <row r="2741" ht="17.25" customHeight="1">
      <c r="A2741" s="51"/>
      <c r="B2741" s="55"/>
      <c r="C2741" s="55"/>
      <c r="D2741" s="240"/>
      <c r="E2741" s="52"/>
      <c r="F2741" s="55"/>
      <c r="G2741" s="55"/>
      <c r="H2741" s="55"/>
      <c r="I2741" s="26" t="s">
        <v>1333</v>
      </c>
      <c r="J2741" s="26"/>
      <c r="K2741" s="26"/>
      <c r="L2741" s="26"/>
      <c r="M2741" s="26"/>
      <c r="N2741" s="26"/>
      <c r="O2741" s="26"/>
      <c r="P2741" s="26"/>
      <c r="Q2741" s="26" t="s">
        <v>1333</v>
      </c>
    </row>
    <row r="2742" ht="17.25" customHeight="1">
      <c r="A2742" s="51"/>
      <c r="B2742" s="55"/>
      <c r="C2742" s="55"/>
      <c r="D2742" s="240"/>
      <c r="E2742" s="52"/>
      <c r="F2742" s="55"/>
      <c r="G2742" s="55"/>
      <c r="H2742" s="55"/>
      <c r="I2742" s="26" t="s">
        <v>1333</v>
      </c>
      <c r="J2742" s="26"/>
      <c r="K2742" s="26"/>
      <c r="L2742" s="26"/>
      <c r="M2742" s="26"/>
      <c r="N2742" s="26"/>
      <c r="O2742" s="26"/>
      <c r="P2742" s="26"/>
      <c r="Q2742" s="26" t="s">
        <v>1333</v>
      </c>
    </row>
    <row r="2743" ht="17.25" customHeight="1">
      <c r="A2743" s="51"/>
      <c r="B2743" s="55"/>
      <c r="C2743" s="55"/>
      <c r="D2743" s="240"/>
      <c r="E2743" s="52"/>
      <c r="F2743" s="55"/>
      <c r="G2743" s="55"/>
      <c r="H2743" s="55"/>
      <c r="I2743" s="26" t="s">
        <v>1333</v>
      </c>
      <c r="J2743" s="26"/>
      <c r="K2743" s="26"/>
      <c r="L2743" s="26"/>
      <c r="M2743" s="26"/>
      <c r="N2743" s="26"/>
      <c r="O2743" s="26"/>
      <c r="P2743" s="26"/>
      <c r="Q2743" s="26" t="s">
        <v>1333</v>
      </c>
    </row>
    <row r="2744" ht="17.25" customHeight="1">
      <c r="A2744" s="51"/>
      <c r="B2744" s="55"/>
      <c r="C2744" s="55"/>
      <c r="D2744" s="240"/>
      <c r="E2744" s="52"/>
      <c r="F2744" s="55"/>
      <c r="G2744" s="55"/>
      <c r="H2744" s="55"/>
      <c r="I2744" s="26" t="s">
        <v>1333</v>
      </c>
      <c r="J2744" s="26"/>
      <c r="K2744" s="26"/>
      <c r="L2744" s="26"/>
      <c r="M2744" s="26"/>
      <c r="N2744" s="26"/>
      <c r="O2744" s="26"/>
      <c r="P2744" s="26"/>
      <c r="Q2744" s="26" t="s">
        <v>1333</v>
      </c>
    </row>
    <row r="2745" ht="17.25" customHeight="1">
      <c r="A2745" s="51"/>
      <c r="B2745" s="55"/>
      <c r="C2745" s="55"/>
      <c r="D2745" s="240"/>
      <c r="E2745" s="52"/>
      <c r="F2745" s="55"/>
      <c r="G2745" s="55"/>
      <c r="H2745" s="55"/>
      <c r="I2745" s="26" t="s">
        <v>1333</v>
      </c>
      <c r="J2745" s="26"/>
      <c r="K2745" s="26"/>
      <c r="L2745" s="26"/>
      <c r="M2745" s="26"/>
      <c r="N2745" s="26"/>
      <c r="O2745" s="26"/>
      <c r="P2745" s="26"/>
      <c r="Q2745" s="26" t="s">
        <v>1333</v>
      </c>
    </row>
    <row r="2746" ht="17.25" customHeight="1">
      <c r="A2746" s="51"/>
      <c r="B2746" s="55"/>
      <c r="C2746" s="55"/>
      <c r="D2746" s="240"/>
      <c r="E2746" s="52"/>
      <c r="F2746" s="55"/>
      <c r="G2746" s="55"/>
      <c r="H2746" s="55"/>
      <c r="I2746" s="26" t="s">
        <v>1333</v>
      </c>
      <c r="J2746" s="26"/>
      <c r="K2746" s="26"/>
      <c r="L2746" s="26"/>
      <c r="M2746" s="26"/>
      <c r="N2746" s="26"/>
      <c r="O2746" s="26"/>
      <c r="P2746" s="26"/>
      <c r="Q2746" s="26" t="s">
        <v>1333</v>
      </c>
    </row>
    <row r="2747" ht="17.25" customHeight="1">
      <c r="A2747" s="51"/>
      <c r="B2747" s="55"/>
      <c r="C2747" s="55"/>
      <c r="D2747" s="240"/>
      <c r="E2747" s="52"/>
      <c r="F2747" s="55"/>
      <c r="G2747" s="55"/>
      <c r="H2747" s="55"/>
      <c r="I2747" s="26" t="s">
        <v>1333</v>
      </c>
      <c r="J2747" s="26"/>
      <c r="K2747" s="26"/>
      <c r="L2747" s="26"/>
      <c r="M2747" s="26"/>
      <c r="N2747" s="26"/>
      <c r="O2747" s="26"/>
      <c r="P2747" s="26"/>
      <c r="Q2747" s="26" t="s">
        <v>1333</v>
      </c>
    </row>
    <row r="2748" ht="17.25" customHeight="1">
      <c r="A2748" s="51"/>
      <c r="B2748" s="55"/>
      <c r="C2748" s="55"/>
      <c r="D2748" s="240"/>
      <c r="E2748" s="52"/>
      <c r="F2748" s="55"/>
      <c r="G2748" s="55"/>
      <c r="H2748" s="55"/>
      <c r="I2748" s="26" t="s">
        <v>1333</v>
      </c>
      <c r="J2748" s="26"/>
      <c r="K2748" s="26"/>
      <c r="L2748" s="26"/>
      <c r="M2748" s="26"/>
      <c r="N2748" s="26"/>
      <c r="O2748" s="26"/>
      <c r="P2748" s="26"/>
      <c r="Q2748" s="26" t="s">
        <v>1333</v>
      </c>
    </row>
    <row r="2749" ht="17.25" customHeight="1">
      <c r="A2749" s="51"/>
      <c r="B2749" s="55"/>
      <c r="C2749" s="55"/>
      <c r="D2749" s="240"/>
      <c r="E2749" s="52"/>
      <c r="F2749" s="55"/>
      <c r="G2749" s="55"/>
      <c r="H2749" s="55"/>
      <c r="I2749" s="26" t="s">
        <v>1333</v>
      </c>
      <c r="J2749" s="26"/>
      <c r="K2749" s="26"/>
      <c r="L2749" s="26"/>
      <c r="M2749" s="26"/>
      <c r="N2749" s="26"/>
      <c r="O2749" s="26"/>
      <c r="P2749" s="26"/>
      <c r="Q2749" s="26" t="s">
        <v>1333</v>
      </c>
    </row>
    <row r="2750" ht="17.25" customHeight="1">
      <c r="A2750" s="51"/>
      <c r="B2750" s="55"/>
      <c r="C2750" s="55"/>
      <c r="D2750" s="240"/>
      <c r="E2750" s="52"/>
      <c r="F2750" s="55"/>
      <c r="G2750" s="55"/>
      <c r="H2750" s="55"/>
      <c r="I2750" s="26" t="s">
        <v>1333</v>
      </c>
      <c r="J2750" s="26"/>
      <c r="K2750" s="26"/>
      <c r="L2750" s="26"/>
      <c r="M2750" s="26"/>
      <c r="N2750" s="26"/>
      <c r="O2750" s="26"/>
      <c r="P2750" s="26"/>
      <c r="Q2750" s="26" t="s">
        <v>1333</v>
      </c>
    </row>
    <row r="2751" ht="17.25" customHeight="1">
      <c r="A2751" s="51"/>
      <c r="B2751" s="55"/>
      <c r="C2751" s="55"/>
      <c r="D2751" s="240"/>
      <c r="E2751" s="52"/>
      <c r="F2751" s="55"/>
      <c r="G2751" s="55"/>
      <c r="H2751" s="55"/>
      <c r="I2751" s="26" t="s">
        <v>1333</v>
      </c>
      <c r="J2751" s="26"/>
      <c r="K2751" s="26"/>
      <c r="L2751" s="26"/>
      <c r="M2751" s="26"/>
      <c r="N2751" s="26"/>
      <c r="O2751" s="26"/>
      <c r="P2751" s="26"/>
      <c r="Q2751" s="26" t="s">
        <v>1333</v>
      </c>
    </row>
    <row r="2752" ht="17.25" customHeight="1">
      <c r="A2752" s="51"/>
      <c r="B2752" s="55"/>
      <c r="C2752" s="55"/>
      <c r="D2752" s="240"/>
      <c r="E2752" s="52"/>
      <c r="F2752" s="55"/>
      <c r="G2752" s="55"/>
      <c r="H2752" s="55"/>
      <c r="I2752" s="26" t="s">
        <v>1333</v>
      </c>
      <c r="J2752" s="26"/>
      <c r="K2752" s="26"/>
      <c r="L2752" s="26"/>
      <c r="M2752" s="26"/>
      <c r="N2752" s="26"/>
      <c r="O2752" s="26"/>
      <c r="P2752" s="26"/>
      <c r="Q2752" s="26" t="s">
        <v>1333</v>
      </c>
    </row>
    <row r="2753" ht="17.25" customHeight="1">
      <c r="A2753" s="51"/>
      <c r="B2753" s="55"/>
      <c r="C2753" s="55"/>
      <c r="D2753" s="240"/>
      <c r="E2753" s="52"/>
      <c r="F2753" s="55"/>
      <c r="G2753" s="55"/>
      <c r="H2753" s="55"/>
      <c r="I2753" s="26" t="s">
        <v>1333</v>
      </c>
      <c r="J2753" s="26"/>
      <c r="K2753" s="26"/>
      <c r="L2753" s="26"/>
      <c r="M2753" s="26"/>
      <c r="N2753" s="26"/>
      <c r="O2753" s="26"/>
      <c r="P2753" s="26"/>
      <c r="Q2753" s="26" t="s">
        <v>1333</v>
      </c>
    </row>
    <row r="2754" ht="17.25" customHeight="1">
      <c r="A2754" s="51"/>
      <c r="B2754" s="55"/>
      <c r="C2754" s="55"/>
      <c r="D2754" s="240"/>
      <c r="E2754" s="52"/>
      <c r="F2754" s="55"/>
      <c r="G2754" s="55"/>
      <c r="H2754" s="55"/>
      <c r="I2754" s="26" t="s">
        <v>1333</v>
      </c>
      <c r="J2754" s="26"/>
      <c r="K2754" s="26"/>
      <c r="L2754" s="26"/>
      <c r="M2754" s="26"/>
      <c r="N2754" s="26"/>
      <c r="O2754" s="26"/>
      <c r="P2754" s="26"/>
      <c r="Q2754" s="26" t="s">
        <v>1333</v>
      </c>
    </row>
    <row r="2755" ht="17.25" customHeight="1">
      <c r="A2755" s="51"/>
      <c r="B2755" s="55"/>
      <c r="C2755" s="55"/>
      <c r="D2755" s="240"/>
      <c r="E2755" s="52"/>
      <c r="F2755" s="55"/>
      <c r="G2755" s="55"/>
      <c r="H2755" s="55"/>
      <c r="I2755" s="26" t="s">
        <v>1333</v>
      </c>
      <c r="J2755" s="26"/>
      <c r="K2755" s="26"/>
      <c r="L2755" s="26"/>
      <c r="M2755" s="26"/>
      <c r="N2755" s="26"/>
      <c r="O2755" s="26"/>
      <c r="P2755" s="26"/>
      <c r="Q2755" s="26" t="s">
        <v>1333</v>
      </c>
    </row>
    <row r="2756" ht="17.25" customHeight="1">
      <c r="A2756" s="51"/>
      <c r="B2756" s="55"/>
      <c r="C2756" s="55"/>
      <c r="D2756" s="240"/>
      <c r="E2756" s="52"/>
      <c r="F2756" s="55"/>
      <c r="G2756" s="55"/>
      <c r="H2756" s="55"/>
      <c r="I2756" s="26" t="s">
        <v>1333</v>
      </c>
      <c r="J2756" s="26"/>
      <c r="K2756" s="26"/>
      <c r="L2756" s="26"/>
      <c r="M2756" s="26"/>
      <c r="N2756" s="26"/>
      <c r="O2756" s="26"/>
      <c r="P2756" s="26"/>
      <c r="Q2756" s="26" t="s">
        <v>1333</v>
      </c>
    </row>
    <row r="2757" ht="17.25" customHeight="1">
      <c r="A2757" s="51"/>
      <c r="B2757" s="55"/>
      <c r="C2757" s="55"/>
      <c r="D2757" s="240"/>
      <c r="E2757" s="52"/>
      <c r="F2757" s="55"/>
      <c r="G2757" s="55"/>
      <c r="H2757" s="55"/>
      <c r="I2757" s="26" t="s">
        <v>1333</v>
      </c>
      <c r="J2757" s="26"/>
      <c r="K2757" s="26"/>
      <c r="L2757" s="26"/>
      <c r="M2757" s="26"/>
      <c r="N2757" s="26"/>
      <c r="O2757" s="26"/>
      <c r="P2757" s="26"/>
      <c r="Q2757" s="26" t="s">
        <v>1333</v>
      </c>
    </row>
    <row r="2758" ht="17.25" customHeight="1">
      <c r="A2758" s="51"/>
      <c r="B2758" s="55"/>
      <c r="C2758" s="55"/>
      <c r="D2758" s="240"/>
      <c r="E2758" s="52"/>
      <c r="F2758" s="55"/>
      <c r="G2758" s="55"/>
      <c r="H2758" s="55"/>
      <c r="I2758" s="26" t="s">
        <v>1333</v>
      </c>
      <c r="J2758" s="26"/>
      <c r="K2758" s="26"/>
      <c r="L2758" s="26"/>
      <c r="M2758" s="26"/>
      <c r="N2758" s="26"/>
      <c r="O2758" s="26"/>
      <c r="P2758" s="26"/>
      <c r="Q2758" s="26" t="s">
        <v>1333</v>
      </c>
    </row>
    <row r="2759" ht="17.25" customHeight="1">
      <c r="A2759" s="51"/>
      <c r="B2759" s="55"/>
      <c r="C2759" s="55"/>
      <c r="D2759" s="240"/>
      <c r="E2759" s="52"/>
      <c r="F2759" s="55"/>
      <c r="G2759" s="55"/>
      <c r="H2759" s="55"/>
      <c r="I2759" s="26" t="s">
        <v>1333</v>
      </c>
      <c r="J2759" s="26"/>
      <c r="K2759" s="26"/>
      <c r="L2759" s="26"/>
      <c r="M2759" s="26"/>
      <c r="N2759" s="26"/>
      <c r="O2759" s="26"/>
      <c r="P2759" s="26"/>
      <c r="Q2759" s="26" t="s">
        <v>1333</v>
      </c>
    </row>
    <row r="2760" ht="17.25" customHeight="1">
      <c r="A2760" s="51"/>
      <c r="B2760" s="55"/>
      <c r="C2760" s="55"/>
      <c r="D2760" s="240"/>
      <c r="E2760" s="52"/>
      <c r="F2760" s="55"/>
      <c r="G2760" s="55"/>
      <c r="H2760" s="55"/>
      <c r="I2760" s="26" t="s">
        <v>1333</v>
      </c>
      <c r="J2760" s="26"/>
      <c r="K2760" s="26"/>
      <c r="L2760" s="26"/>
      <c r="M2760" s="26"/>
      <c r="N2760" s="26"/>
      <c r="O2760" s="26"/>
      <c r="P2760" s="26"/>
      <c r="Q2760" s="26" t="s">
        <v>1333</v>
      </c>
    </row>
    <row r="2761" ht="17.25" customHeight="1">
      <c r="A2761" s="51"/>
      <c r="B2761" s="55"/>
      <c r="C2761" s="55"/>
      <c r="D2761" s="240"/>
      <c r="E2761" s="52"/>
      <c r="F2761" s="55"/>
      <c r="G2761" s="55"/>
      <c r="H2761" s="55"/>
      <c r="I2761" s="26" t="s">
        <v>1333</v>
      </c>
      <c r="J2761" s="26"/>
      <c r="K2761" s="26"/>
      <c r="L2761" s="26"/>
      <c r="M2761" s="26"/>
      <c r="N2761" s="26"/>
      <c r="O2761" s="26"/>
      <c r="P2761" s="26"/>
      <c r="Q2761" s="26" t="s">
        <v>1333</v>
      </c>
    </row>
    <row r="2762" ht="17.25" customHeight="1">
      <c r="A2762" s="51"/>
      <c r="B2762" s="55"/>
      <c r="C2762" s="55"/>
      <c r="D2762" s="240"/>
      <c r="E2762" s="52"/>
      <c r="F2762" s="55"/>
      <c r="G2762" s="55"/>
      <c r="H2762" s="55"/>
      <c r="I2762" s="26" t="s">
        <v>1333</v>
      </c>
      <c r="J2762" s="26"/>
      <c r="K2762" s="26"/>
      <c r="L2762" s="26"/>
      <c r="M2762" s="26"/>
      <c r="N2762" s="26"/>
      <c r="O2762" s="26"/>
      <c r="P2762" s="26"/>
      <c r="Q2762" s="26" t="s">
        <v>1333</v>
      </c>
    </row>
    <row r="2763" ht="17.25" customHeight="1">
      <c r="A2763" s="51"/>
      <c r="B2763" s="55"/>
      <c r="C2763" s="55"/>
      <c r="D2763" s="240"/>
      <c r="E2763" s="52"/>
      <c r="F2763" s="55"/>
      <c r="G2763" s="55"/>
      <c r="H2763" s="55"/>
      <c r="I2763" s="26" t="s">
        <v>1333</v>
      </c>
      <c r="J2763" s="26"/>
      <c r="K2763" s="26"/>
      <c r="L2763" s="26"/>
      <c r="M2763" s="26"/>
      <c r="N2763" s="26"/>
      <c r="O2763" s="26"/>
      <c r="P2763" s="26"/>
      <c r="Q2763" s="26" t="s">
        <v>1333</v>
      </c>
    </row>
    <row r="2764" ht="17.25" customHeight="1">
      <c r="A2764" s="51"/>
      <c r="B2764" s="55"/>
      <c r="C2764" s="55"/>
      <c r="D2764" s="240"/>
      <c r="E2764" s="52"/>
      <c r="F2764" s="55"/>
      <c r="G2764" s="55"/>
      <c r="H2764" s="55"/>
      <c r="I2764" s="26" t="s">
        <v>1333</v>
      </c>
      <c r="J2764" s="26"/>
      <c r="K2764" s="26"/>
      <c r="L2764" s="26"/>
      <c r="M2764" s="26"/>
      <c r="N2764" s="26"/>
      <c r="O2764" s="26"/>
      <c r="P2764" s="26"/>
      <c r="Q2764" s="26" t="s">
        <v>1333</v>
      </c>
    </row>
    <row r="2765" ht="17.25" customHeight="1">
      <c r="A2765" s="51"/>
      <c r="B2765" s="55"/>
      <c r="C2765" s="55"/>
      <c r="D2765" s="240"/>
      <c r="E2765" s="52"/>
      <c r="F2765" s="55"/>
      <c r="G2765" s="55"/>
      <c r="H2765" s="55"/>
      <c r="I2765" s="26" t="s">
        <v>1333</v>
      </c>
      <c r="J2765" s="26"/>
      <c r="K2765" s="26"/>
      <c r="L2765" s="26"/>
      <c r="M2765" s="26"/>
      <c r="N2765" s="26"/>
      <c r="O2765" s="26"/>
      <c r="P2765" s="26"/>
      <c r="Q2765" s="26" t="s">
        <v>1333</v>
      </c>
    </row>
    <row r="2766" ht="17.25" customHeight="1">
      <c r="A2766" s="51"/>
      <c r="B2766" s="55"/>
      <c r="C2766" s="55"/>
      <c r="D2766" s="240"/>
      <c r="E2766" s="52"/>
      <c r="F2766" s="55"/>
      <c r="G2766" s="55"/>
      <c r="H2766" s="55"/>
      <c r="I2766" s="26" t="s">
        <v>1333</v>
      </c>
      <c r="J2766" s="26"/>
      <c r="K2766" s="26"/>
      <c r="L2766" s="26"/>
      <c r="M2766" s="26"/>
      <c r="N2766" s="26"/>
      <c r="O2766" s="26"/>
      <c r="P2766" s="26"/>
      <c r="Q2766" s="26" t="s">
        <v>1333</v>
      </c>
    </row>
    <row r="2767" ht="17.25" customHeight="1">
      <c r="A2767" s="51"/>
      <c r="B2767" s="55"/>
      <c r="C2767" s="55"/>
      <c r="D2767" s="240"/>
      <c r="E2767" s="52"/>
      <c r="F2767" s="55"/>
      <c r="G2767" s="55"/>
      <c r="H2767" s="55"/>
      <c r="I2767" s="26" t="s">
        <v>1333</v>
      </c>
      <c r="J2767" s="26"/>
      <c r="K2767" s="26"/>
      <c r="L2767" s="26"/>
      <c r="M2767" s="26"/>
      <c r="N2767" s="26"/>
      <c r="O2767" s="26"/>
      <c r="P2767" s="26"/>
      <c r="Q2767" s="26" t="s">
        <v>1333</v>
      </c>
    </row>
    <row r="2768" ht="17.25" customHeight="1">
      <c r="A2768" s="51"/>
      <c r="B2768" s="55"/>
      <c r="C2768" s="55"/>
      <c r="D2768" s="240"/>
      <c r="E2768" s="52"/>
      <c r="F2768" s="55"/>
      <c r="G2768" s="55"/>
      <c r="H2768" s="55"/>
      <c r="I2768" s="26" t="s">
        <v>1333</v>
      </c>
      <c r="J2768" s="26"/>
      <c r="K2768" s="26"/>
      <c r="L2768" s="26"/>
      <c r="M2768" s="26"/>
      <c r="N2768" s="26"/>
      <c r="O2768" s="26"/>
      <c r="P2768" s="26"/>
      <c r="Q2768" s="26" t="s">
        <v>1333</v>
      </c>
    </row>
    <row r="2769" ht="17.25" customHeight="1">
      <c r="A2769" s="51"/>
      <c r="B2769" s="55"/>
      <c r="C2769" s="55"/>
      <c r="D2769" s="240"/>
      <c r="E2769" s="52"/>
      <c r="F2769" s="55"/>
      <c r="G2769" s="55"/>
      <c r="H2769" s="55"/>
      <c r="I2769" s="26" t="s">
        <v>1333</v>
      </c>
      <c r="J2769" s="26"/>
      <c r="K2769" s="26"/>
      <c r="L2769" s="26"/>
      <c r="M2769" s="26"/>
      <c r="N2769" s="26"/>
      <c r="O2769" s="26"/>
      <c r="P2769" s="26"/>
      <c r="Q2769" s="26" t="s">
        <v>1333</v>
      </c>
    </row>
    <row r="2770" ht="17.25" customHeight="1">
      <c r="A2770" s="51"/>
      <c r="B2770" s="55"/>
      <c r="C2770" s="55"/>
      <c r="D2770" s="240"/>
      <c r="E2770" s="52"/>
      <c r="F2770" s="55"/>
      <c r="G2770" s="55"/>
      <c r="H2770" s="55"/>
      <c r="I2770" s="26" t="s">
        <v>1333</v>
      </c>
      <c r="J2770" s="26"/>
      <c r="K2770" s="26"/>
      <c r="L2770" s="26"/>
      <c r="M2770" s="26"/>
      <c r="N2770" s="26"/>
      <c r="O2770" s="26"/>
      <c r="P2770" s="26"/>
      <c r="Q2770" s="26" t="s">
        <v>1333</v>
      </c>
    </row>
    <row r="2771" ht="17.25" customHeight="1">
      <c r="A2771" s="51"/>
      <c r="B2771" s="55"/>
      <c r="C2771" s="55"/>
      <c r="D2771" s="240"/>
      <c r="E2771" s="52"/>
      <c r="F2771" s="55"/>
      <c r="G2771" s="55"/>
      <c r="H2771" s="55"/>
      <c r="I2771" s="26" t="s">
        <v>1333</v>
      </c>
      <c r="J2771" s="26"/>
      <c r="K2771" s="26"/>
      <c r="L2771" s="26"/>
      <c r="M2771" s="26"/>
      <c r="N2771" s="26"/>
      <c r="O2771" s="26"/>
      <c r="P2771" s="26"/>
      <c r="Q2771" s="26" t="s">
        <v>1333</v>
      </c>
    </row>
    <row r="2772" ht="17.25" customHeight="1">
      <c r="A2772" s="51"/>
      <c r="B2772" s="55"/>
      <c r="C2772" s="55"/>
      <c r="D2772" s="240"/>
      <c r="E2772" s="52"/>
      <c r="F2772" s="55"/>
      <c r="G2772" s="55"/>
      <c r="H2772" s="55"/>
      <c r="I2772" s="26" t="s">
        <v>1333</v>
      </c>
      <c r="J2772" s="26"/>
      <c r="K2772" s="26"/>
      <c r="L2772" s="26"/>
      <c r="M2772" s="26"/>
      <c r="N2772" s="26"/>
      <c r="O2772" s="26"/>
      <c r="P2772" s="26"/>
      <c r="Q2772" s="26" t="s">
        <v>1333</v>
      </c>
    </row>
    <row r="2773" ht="17.25" customHeight="1">
      <c r="A2773" s="51"/>
      <c r="B2773" s="55"/>
      <c r="C2773" s="55"/>
      <c r="D2773" s="240"/>
      <c r="E2773" s="52"/>
      <c r="F2773" s="55"/>
      <c r="G2773" s="55"/>
      <c r="H2773" s="55"/>
      <c r="I2773" s="26" t="s">
        <v>1333</v>
      </c>
      <c r="J2773" s="26"/>
      <c r="K2773" s="26"/>
      <c r="L2773" s="26"/>
      <c r="M2773" s="26"/>
      <c r="N2773" s="26"/>
      <c r="O2773" s="26"/>
      <c r="P2773" s="26"/>
      <c r="Q2773" s="26" t="s">
        <v>1333</v>
      </c>
    </row>
    <row r="2774" ht="17.25" customHeight="1">
      <c r="A2774" s="51"/>
      <c r="B2774" s="55"/>
      <c r="C2774" s="55"/>
      <c r="D2774" s="240"/>
      <c r="E2774" s="52"/>
      <c r="F2774" s="55"/>
      <c r="G2774" s="55"/>
      <c r="H2774" s="55"/>
      <c r="I2774" s="26" t="s">
        <v>1333</v>
      </c>
      <c r="J2774" s="26"/>
      <c r="K2774" s="26"/>
      <c r="L2774" s="26"/>
      <c r="M2774" s="26"/>
      <c r="N2774" s="26"/>
      <c r="O2774" s="26"/>
      <c r="P2774" s="26"/>
      <c r="Q2774" s="26" t="s">
        <v>1333</v>
      </c>
    </row>
    <row r="2775" ht="17.25" customHeight="1">
      <c r="A2775" s="51"/>
      <c r="B2775" s="55"/>
      <c r="C2775" s="55"/>
      <c r="D2775" s="240"/>
      <c r="E2775" s="52"/>
      <c r="F2775" s="55"/>
      <c r="G2775" s="55"/>
      <c r="H2775" s="55"/>
      <c r="I2775" s="26" t="s">
        <v>1333</v>
      </c>
      <c r="J2775" s="26"/>
      <c r="K2775" s="26"/>
      <c r="L2775" s="26"/>
      <c r="M2775" s="26"/>
      <c r="N2775" s="26"/>
      <c r="O2775" s="26"/>
      <c r="P2775" s="26"/>
      <c r="Q2775" s="26" t="s">
        <v>1333</v>
      </c>
    </row>
    <row r="2776" ht="17.25" customHeight="1">
      <c r="A2776" s="51"/>
      <c r="B2776" s="55"/>
      <c r="C2776" s="55"/>
      <c r="D2776" s="240"/>
      <c r="E2776" s="52"/>
      <c r="F2776" s="55"/>
      <c r="G2776" s="55"/>
      <c r="H2776" s="55"/>
      <c r="I2776" s="26" t="s">
        <v>1333</v>
      </c>
      <c r="J2776" s="26"/>
      <c r="K2776" s="26"/>
      <c r="L2776" s="26"/>
      <c r="M2776" s="26"/>
      <c r="N2776" s="26"/>
      <c r="O2776" s="26"/>
      <c r="P2776" s="26"/>
      <c r="Q2776" s="26" t="s">
        <v>1333</v>
      </c>
    </row>
    <row r="2777" ht="17.25" customHeight="1">
      <c r="A2777" s="51"/>
      <c r="B2777" s="55"/>
      <c r="C2777" s="55"/>
      <c r="D2777" s="240"/>
      <c r="E2777" s="52"/>
      <c r="F2777" s="55"/>
      <c r="G2777" s="55"/>
      <c r="H2777" s="55"/>
      <c r="I2777" s="26" t="s">
        <v>1333</v>
      </c>
      <c r="J2777" s="26"/>
      <c r="K2777" s="26"/>
      <c r="L2777" s="26"/>
      <c r="M2777" s="26"/>
      <c r="N2777" s="26"/>
      <c r="O2777" s="26"/>
      <c r="P2777" s="26"/>
      <c r="Q2777" s="26" t="s">
        <v>1333</v>
      </c>
    </row>
    <row r="2778" ht="17.25" customHeight="1">
      <c r="A2778" s="51"/>
      <c r="B2778" s="55"/>
      <c r="C2778" s="55"/>
      <c r="D2778" s="240"/>
      <c r="E2778" s="52"/>
      <c r="F2778" s="55"/>
      <c r="G2778" s="55"/>
      <c r="H2778" s="55"/>
      <c r="I2778" s="26" t="s">
        <v>1333</v>
      </c>
      <c r="J2778" s="26"/>
      <c r="K2778" s="26"/>
      <c r="L2778" s="26"/>
      <c r="M2778" s="26"/>
      <c r="N2778" s="26"/>
      <c r="O2778" s="26"/>
      <c r="P2778" s="26"/>
      <c r="Q2778" s="26" t="s">
        <v>1333</v>
      </c>
    </row>
    <row r="2779" ht="17.25" customHeight="1">
      <c r="A2779" s="51"/>
      <c r="B2779" s="55"/>
      <c r="C2779" s="55"/>
      <c r="D2779" s="240"/>
      <c r="E2779" s="52"/>
      <c r="F2779" s="55"/>
      <c r="G2779" s="55"/>
      <c r="H2779" s="55"/>
      <c r="I2779" s="26" t="s">
        <v>1333</v>
      </c>
      <c r="J2779" s="26"/>
      <c r="K2779" s="26"/>
      <c r="L2779" s="26"/>
      <c r="M2779" s="26"/>
      <c r="N2779" s="26"/>
      <c r="O2779" s="26"/>
      <c r="P2779" s="26"/>
      <c r="Q2779" s="26" t="s">
        <v>1333</v>
      </c>
    </row>
    <row r="2780" ht="17.25" customHeight="1">
      <c r="A2780" s="51"/>
      <c r="B2780" s="55"/>
      <c r="C2780" s="55"/>
      <c r="D2780" s="240"/>
      <c r="E2780" s="52"/>
      <c r="F2780" s="55"/>
      <c r="G2780" s="55"/>
      <c r="H2780" s="55"/>
      <c r="I2780" s="26" t="s">
        <v>1333</v>
      </c>
      <c r="J2780" s="26"/>
      <c r="K2780" s="26"/>
      <c r="L2780" s="26"/>
      <c r="M2780" s="26"/>
      <c r="N2780" s="26"/>
      <c r="O2780" s="26"/>
      <c r="P2780" s="26"/>
      <c r="Q2780" s="26" t="s">
        <v>1333</v>
      </c>
    </row>
    <row r="2781" ht="17.25" customHeight="1">
      <c r="A2781" s="51"/>
      <c r="B2781" s="55"/>
      <c r="C2781" s="55"/>
      <c r="D2781" s="240"/>
      <c r="E2781" s="52"/>
      <c r="F2781" s="55"/>
      <c r="G2781" s="55"/>
      <c r="H2781" s="55"/>
      <c r="I2781" s="26" t="s">
        <v>1333</v>
      </c>
      <c r="J2781" s="26"/>
      <c r="K2781" s="26"/>
      <c r="L2781" s="26"/>
      <c r="M2781" s="26"/>
      <c r="N2781" s="26"/>
      <c r="O2781" s="26"/>
      <c r="P2781" s="26"/>
      <c r="Q2781" s="26" t="s">
        <v>1333</v>
      </c>
    </row>
    <row r="2782" ht="17.25" customHeight="1">
      <c r="A2782" s="51"/>
      <c r="B2782" s="55"/>
      <c r="C2782" s="55"/>
      <c r="D2782" s="240"/>
      <c r="E2782" s="52"/>
      <c r="F2782" s="55"/>
      <c r="G2782" s="55"/>
      <c r="H2782" s="55"/>
      <c r="I2782" s="26" t="s">
        <v>1333</v>
      </c>
      <c r="J2782" s="26"/>
      <c r="K2782" s="26"/>
      <c r="L2782" s="26"/>
      <c r="M2782" s="26"/>
      <c r="N2782" s="26"/>
      <c r="O2782" s="26"/>
      <c r="P2782" s="26"/>
      <c r="Q2782" s="26" t="s">
        <v>1333</v>
      </c>
    </row>
    <row r="2783" ht="17.25" customHeight="1">
      <c r="A2783" s="51"/>
      <c r="B2783" s="55"/>
      <c r="C2783" s="55"/>
      <c r="D2783" s="240"/>
      <c r="E2783" s="52"/>
      <c r="F2783" s="55"/>
      <c r="G2783" s="55"/>
      <c r="H2783" s="55"/>
      <c r="I2783" s="26" t="s">
        <v>1333</v>
      </c>
      <c r="J2783" s="26"/>
      <c r="K2783" s="26"/>
      <c r="L2783" s="26"/>
      <c r="M2783" s="26"/>
      <c r="N2783" s="26"/>
      <c r="O2783" s="26"/>
      <c r="P2783" s="26"/>
      <c r="Q2783" s="26" t="s">
        <v>1333</v>
      </c>
    </row>
    <row r="2784" ht="17.25" customHeight="1">
      <c r="A2784" s="51"/>
      <c r="B2784" s="55"/>
      <c r="C2784" s="55"/>
      <c r="D2784" s="240"/>
      <c r="E2784" s="52"/>
      <c r="F2784" s="55"/>
      <c r="G2784" s="55"/>
      <c r="H2784" s="55"/>
      <c r="I2784" s="26" t="s">
        <v>1333</v>
      </c>
      <c r="J2784" s="26"/>
      <c r="K2784" s="26"/>
      <c r="L2784" s="26"/>
      <c r="M2784" s="26"/>
      <c r="N2784" s="26"/>
      <c r="O2784" s="26"/>
      <c r="P2784" s="26"/>
      <c r="Q2784" s="26" t="s">
        <v>1333</v>
      </c>
    </row>
    <row r="2785" ht="17.25" customHeight="1">
      <c r="A2785" s="51"/>
      <c r="B2785" s="55"/>
      <c r="C2785" s="55"/>
      <c r="D2785" s="240"/>
      <c r="E2785" s="52"/>
      <c r="F2785" s="55"/>
      <c r="G2785" s="55"/>
      <c r="H2785" s="55"/>
      <c r="I2785" s="26" t="s">
        <v>1333</v>
      </c>
      <c r="J2785" s="26"/>
      <c r="K2785" s="26"/>
      <c r="L2785" s="26"/>
      <c r="M2785" s="26"/>
      <c r="N2785" s="26"/>
      <c r="O2785" s="26"/>
      <c r="P2785" s="26"/>
      <c r="Q2785" s="26" t="s">
        <v>1333</v>
      </c>
    </row>
    <row r="2786" ht="17.25" customHeight="1">
      <c r="A2786" s="51"/>
      <c r="B2786" s="55"/>
      <c r="C2786" s="55"/>
      <c r="D2786" s="240"/>
      <c r="E2786" s="52"/>
      <c r="F2786" s="55"/>
      <c r="G2786" s="55"/>
      <c r="H2786" s="55"/>
      <c r="I2786" s="26" t="s">
        <v>1333</v>
      </c>
      <c r="J2786" s="26"/>
      <c r="K2786" s="26"/>
      <c r="L2786" s="26"/>
      <c r="M2786" s="26"/>
      <c r="N2786" s="26"/>
      <c r="O2786" s="26"/>
      <c r="P2786" s="26"/>
      <c r="Q2786" s="26" t="s">
        <v>1333</v>
      </c>
    </row>
    <row r="2787" ht="17.25" customHeight="1">
      <c r="A2787" s="51"/>
      <c r="B2787" s="55"/>
      <c r="C2787" s="55"/>
      <c r="D2787" s="240"/>
      <c r="E2787" s="52"/>
      <c r="F2787" s="55"/>
      <c r="G2787" s="55"/>
      <c r="H2787" s="55"/>
      <c r="I2787" s="26" t="s">
        <v>1333</v>
      </c>
      <c r="J2787" s="26"/>
      <c r="K2787" s="26"/>
      <c r="L2787" s="26"/>
      <c r="M2787" s="26"/>
      <c r="N2787" s="26"/>
      <c r="O2787" s="26"/>
      <c r="P2787" s="26"/>
      <c r="Q2787" s="26" t="s">
        <v>1333</v>
      </c>
    </row>
    <row r="2788" ht="17.25" customHeight="1">
      <c r="A2788" s="51"/>
      <c r="B2788" s="55"/>
      <c r="C2788" s="55"/>
      <c r="D2788" s="240"/>
      <c r="E2788" s="52"/>
      <c r="F2788" s="55"/>
      <c r="G2788" s="55"/>
      <c r="H2788" s="55"/>
      <c r="I2788" s="26" t="s">
        <v>1333</v>
      </c>
      <c r="J2788" s="26"/>
      <c r="K2788" s="26"/>
      <c r="L2788" s="26"/>
      <c r="M2788" s="26"/>
      <c r="N2788" s="26"/>
      <c r="O2788" s="26"/>
      <c r="P2788" s="26"/>
      <c r="Q2788" s="26" t="s">
        <v>1333</v>
      </c>
    </row>
    <row r="2789" ht="17.25" customHeight="1">
      <c r="A2789" s="51"/>
      <c r="B2789" s="55"/>
      <c r="C2789" s="55"/>
      <c r="D2789" s="240"/>
      <c r="E2789" s="52"/>
      <c r="F2789" s="55"/>
      <c r="G2789" s="55"/>
      <c r="H2789" s="55"/>
      <c r="I2789" s="26" t="s">
        <v>1333</v>
      </c>
      <c r="J2789" s="26"/>
      <c r="K2789" s="26"/>
      <c r="L2789" s="26"/>
      <c r="M2789" s="26"/>
      <c r="N2789" s="26"/>
      <c r="O2789" s="26"/>
      <c r="P2789" s="26"/>
      <c r="Q2789" s="26" t="s">
        <v>1333</v>
      </c>
    </row>
    <row r="2790" ht="17.25" customHeight="1">
      <c r="A2790" s="51"/>
      <c r="B2790" s="55"/>
      <c r="C2790" s="55"/>
      <c r="D2790" s="240"/>
      <c r="E2790" s="52"/>
      <c r="F2790" s="55"/>
      <c r="G2790" s="55"/>
      <c r="H2790" s="55"/>
      <c r="I2790" s="26" t="s">
        <v>1333</v>
      </c>
      <c r="J2790" s="26"/>
      <c r="K2790" s="26"/>
      <c r="L2790" s="26"/>
      <c r="M2790" s="26"/>
      <c r="N2790" s="26"/>
      <c r="O2790" s="26"/>
      <c r="P2790" s="26"/>
      <c r="Q2790" s="26" t="s">
        <v>1333</v>
      </c>
    </row>
    <row r="2791" ht="17.25" customHeight="1">
      <c r="A2791" s="51"/>
      <c r="B2791" s="55"/>
      <c r="C2791" s="55"/>
      <c r="D2791" s="240"/>
      <c r="E2791" s="52"/>
      <c r="F2791" s="55"/>
      <c r="G2791" s="55"/>
      <c r="H2791" s="55"/>
      <c r="I2791" s="26" t="s">
        <v>1333</v>
      </c>
      <c r="J2791" s="26"/>
      <c r="K2791" s="26"/>
      <c r="L2791" s="26"/>
      <c r="M2791" s="26"/>
      <c r="N2791" s="26"/>
      <c r="O2791" s="26"/>
      <c r="P2791" s="26"/>
      <c r="Q2791" s="26" t="s">
        <v>1333</v>
      </c>
    </row>
    <row r="2792" ht="17.25" customHeight="1">
      <c r="A2792" s="51"/>
      <c r="B2792" s="55"/>
      <c r="C2792" s="55"/>
      <c r="D2792" s="240"/>
      <c r="E2792" s="52"/>
      <c r="F2792" s="55"/>
      <c r="G2792" s="55"/>
      <c r="H2792" s="55"/>
      <c r="I2792" s="26" t="s">
        <v>1333</v>
      </c>
      <c r="J2792" s="26"/>
      <c r="K2792" s="26"/>
      <c r="L2792" s="26"/>
      <c r="M2792" s="26"/>
      <c r="N2792" s="26"/>
      <c r="O2792" s="26"/>
      <c r="P2792" s="26"/>
      <c r="Q2792" s="26" t="s">
        <v>1333</v>
      </c>
    </row>
    <row r="2793" ht="17.25" customHeight="1">
      <c r="A2793" s="51"/>
      <c r="B2793" s="55"/>
      <c r="C2793" s="55"/>
      <c r="D2793" s="240"/>
      <c r="E2793" s="52"/>
      <c r="F2793" s="55"/>
      <c r="G2793" s="55"/>
      <c r="H2793" s="55"/>
      <c r="I2793" s="26" t="s">
        <v>1333</v>
      </c>
      <c r="J2793" s="26"/>
      <c r="K2793" s="26"/>
      <c r="L2793" s="26"/>
      <c r="M2793" s="26"/>
      <c r="N2793" s="26"/>
      <c r="O2793" s="26"/>
      <c r="P2793" s="26"/>
      <c r="Q2793" s="26" t="s">
        <v>1333</v>
      </c>
    </row>
    <row r="2794" ht="17.25" customHeight="1">
      <c r="A2794" s="51"/>
      <c r="B2794" s="55"/>
      <c r="C2794" s="55"/>
      <c r="D2794" s="240"/>
      <c r="E2794" s="52"/>
      <c r="F2794" s="55"/>
      <c r="G2794" s="55"/>
      <c r="H2794" s="55"/>
      <c r="I2794" s="26" t="s">
        <v>1333</v>
      </c>
      <c r="J2794" s="26"/>
      <c r="K2794" s="26"/>
      <c r="L2794" s="26"/>
      <c r="M2794" s="26"/>
      <c r="N2794" s="26"/>
      <c r="O2794" s="26"/>
      <c r="P2794" s="26"/>
      <c r="Q2794" s="26" t="s">
        <v>1333</v>
      </c>
    </row>
    <row r="2795" ht="17.25" customHeight="1">
      <c r="A2795" s="51"/>
      <c r="B2795" s="55"/>
      <c r="C2795" s="55"/>
      <c r="D2795" s="240"/>
      <c r="E2795" s="52"/>
      <c r="F2795" s="55"/>
      <c r="G2795" s="55"/>
      <c r="H2795" s="55"/>
      <c r="I2795" s="26" t="s">
        <v>1333</v>
      </c>
      <c r="J2795" s="26"/>
      <c r="K2795" s="26"/>
      <c r="L2795" s="26"/>
      <c r="M2795" s="26"/>
      <c r="N2795" s="26"/>
      <c r="O2795" s="26"/>
      <c r="P2795" s="26"/>
      <c r="Q2795" s="26" t="s">
        <v>1333</v>
      </c>
    </row>
    <row r="2796" ht="17.25" customHeight="1">
      <c r="A2796" s="51"/>
      <c r="B2796" s="55"/>
      <c r="C2796" s="55"/>
      <c r="D2796" s="240"/>
      <c r="E2796" s="52"/>
      <c r="F2796" s="55"/>
      <c r="G2796" s="55"/>
      <c r="H2796" s="55"/>
      <c r="I2796" s="26" t="s">
        <v>1333</v>
      </c>
      <c r="J2796" s="26"/>
      <c r="K2796" s="26"/>
      <c r="L2796" s="26"/>
      <c r="M2796" s="26"/>
      <c r="N2796" s="26"/>
      <c r="O2796" s="26"/>
      <c r="P2796" s="26"/>
      <c r="Q2796" s="26" t="s">
        <v>1333</v>
      </c>
    </row>
    <row r="2797" ht="17.25" customHeight="1">
      <c r="A2797" s="51"/>
      <c r="B2797" s="55"/>
      <c r="C2797" s="55"/>
      <c r="D2797" s="240"/>
      <c r="E2797" s="52"/>
      <c r="F2797" s="55"/>
      <c r="G2797" s="55"/>
      <c r="H2797" s="55"/>
      <c r="I2797" s="26" t="s">
        <v>1333</v>
      </c>
      <c r="J2797" s="26"/>
      <c r="K2797" s="26"/>
      <c r="L2797" s="26"/>
      <c r="M2797" s="26"/>
      <c r="N2797" s="26"/>
      <c r="O2797" s="26"/>
      <c r="P2797" s="26"/>
      <c r="Q2797" s="26" t="s">
        <v>1333</v>
      </c>
    </row>
    <row r="2798" ht="17.25" customHeight="1">
      <c r="A2798" s="51"/>
      <c r="B2798" s="55"/>
      <c r="C2798" s="55"/>
      <c r="D2798" s="240"/>
      <c r="E2798" s="52"/>
      <c r="F2798" s="55"/>
      <c r="G2798" s="55"/>
      <c r="H2798" s="55"/>
      <c r="I2798" s="26" t="s">
        <v>1333</v>
      </c>
      <c r="J2798" s="26"/>
      <c r="K2798" s="26"/>
      <c r="L2798" s="26"/>
      <c r="M2798" s="26"/>
      <c r="N2798" s="26"/>
      <c r="O2798" s="26"/>
      <c r="P2798" s="26"/>
      <c r="Q2798" s="26" t="s">
        <v>1333</v>
      </c>
    </row>
    <row r="2799" ht="17.25" customHeight="1">
      <c r="A2799" s="51"/>
      <c r="B2799" s="55"/>
      <c r="C2799" s="55"/>
      <c r="D2799" s="240"/>
      <c r="E2799" s="52"/>
      <c r="F2799" s="55"/>
      <c r="G2799" s="55"/>
      <c r="H2799" s="55"/>
      <c r="I2799" s="26" t="s">
        <v>1333</v>
      </c>
      <c r="J2799" s="26"/>
      <c r="K2799" s="26"/>
      <c r="L2799" s="26"/>
      <c r="M2799" s="26"/>
      <c r="N2799" s="26"/>
      <c r="O2799" s="26"/>
      <c r="P2799" s="26"/>
      <c r="Q2799" s="26" t="s">
        <v>1333</v>
      </c>
    </row>
    <row r="2800" ht="17.25" customHeight="1">
      <c r="A2800" s="51"/>
      <c r="B2800" s="55"/>
      <c r="C2800" s="55"/>
      <c r="D2800" s="240"/>
      <c r="E2800" s="52"/>
      <c r="F2800" s="55"/>
      <c r="G2800" s="55"/>
      <c r="H2800" s="55"/>
      <c r="I2800" s="26" t="s">
        <v>1333</v>
      </c>
      <c r="J2800" s="26"/>
      <c r="K2800" s="26"/>
      <c r="L2800" s="26"/>
      <c r="M2800" s="26"/>
      <c r="N2800" s="26"/>
      <c r="O2800" s="26"/>
      <c r="P2800" s="26"/>
      <c r="Q2800" s="26" t="s">
        <v>1333</v>
      </c>
    </row>
    <row r="2801" ht="17.25" customHeight="1">
      <c r="A2801" s="51"/>
      <c r="B2801" s="55"/>
      <c r="C2801" s="55"/>
      <c r="D2801" s="240"/>
      <c r="E2801" s="52"/>
      <c r="F2801" s="55"/>
      <c r="G2801" s="55"/>
      <c r="H2801" s="55"/>
      <c r="I2801" s="26" t="s">
        <v>1333</v>
      </c>
      <c r="J2801" s="26"/>
      <c r="K2801" s="26"/>
      <c r="L2801" s="26"/>
      <c r="M2801" s="26"/>
      <c r="N2801" s="26"/>
      <c r="O2801" s="26"/>
      <c r="P2801" s="26"/>
      <c r="Q2801" s="26" t="s">
        <v>1333</v>
      </c>
    </row>
    <row r="2802" ht="17.25" customHeight="1">
      <c r="A2802" s="51"/>
      <c r="B2802" s="55"/>
      <c r="C2802" s="55"/>
      <c r="D2802" s="240"/>
      <c r="E2802" s="52"/>
      <c r="F2802" s="55"/>
      <c r="G2802" s="55"/>
      <c r="H2802" s="55"/>
      <c r="I2802" s="26" t="s">
        <v>1333</v>
      </c>
      <c r="J2802" s="26"/>
      <c r="K2802" s="26"/>
      <c r="L2802" s="26"/>
      <c r="M2802" s="26"/>
      <c r="N2802" s="26"/>
      <c r="O2802" s="26"/>
      <c r="P2802" s="26"/>
      <c r="Q2802" s="26" t="s">
        <v>1333</v>
      </c>
    </row>
    <row r="2803" ht="17.25" customHeight="1">
      <c r="A2803" s="51"/>
      <c r="B2803" s="55"/>
      <c r="C2803" s="55"/>
      <c r="D2803" s="240"/>
      <c r="E2803" s="52"/>
      <c r="F2803" s="55"/>
      <c r="G2803" s="55"/>
      <c r="H2803" s="55"/>
      <c r="I2803" s="26" t="s">
        <v>1333</v>
      </c>
      <c r="J2803" s="26"/>
      <c r="K2803" s="26"/>
      <c r="L2803" s="26"/>
      <c r="M2803" s="26"/>
      <c r="N2803" s="26"/>
      <c r="O2803" s="26"/>
      <c r="P2803" s="26"/>
      <c r="Q2803" s="26" t="s">
        <v>1333</v>
      </c>
    </row>
    <row r="2804" ht="17.25" customHeight="1">
      <c r="A2804" s="51"/>
      <c r="B2804" s="55"/>
      <c r="C2804" s="55"/>
      <c r="D2804" s="240"/>
      <c r="E2804" s="52"/>
      <c r="F2804" s="55"/>
      <c r="G2804" s="55"/>
      <c r="H2804" s="55"/>
      <c r="I2804" s="26" t="s">
        <v>1333</v>
      </c>
      <c r="J2804" s="26"/>
      <c r="K2804" s="26"/>
      <c r="L2804" s="26"/>
      <c r="M2804" s="26"/>
      <c r="N2804" s="26"/>
      <c r="O2804" s="26"/>
      <c r="P2804" s="26"/>
      <c r="Q2804" s="26" t="s">
        <v>1333</v>
      </c>
    </row>
    <row r="2805" ht="17.25" customHeight="1">
      <c r="A2805" s="51"/>
      <c r="B2805" s="55"/>
      <c r="C2805" s="55"/>
      <c r="D2805" s="240"/>
      <c r="E2805" s="52"/>
      <c r="F2805" s="55"/>
      <c r="G2805" s="55"/>
      <c r="H2805" s="55"/>
      <c r="I2805" s="26" t="s">
        <v>1333</v>
      </c>
      <c r="J2805" s="26"/>
      <c r="K2805" s="26"/>
      <c r="L2805" s="26"/>
      <c r="M2805" s="26"/>
      <c r="N2805" s="26"/>
      <c r="O2805" s="26"/>
      <c r="P2805" s="26"/>
      <c r="Q2805" s="26" t="s">
        <v>1333</v>
      </c>
    </row>
    <row r="2806" ht="17.25" customHeight="1">
      <c r="A2806" s="51"/>
      <c r="B2806" s="55"/>
      <c r="C2806" s="55"/>
      <c r="D2806" s="240"/>
      <c r="E2806" s="52"/>
      <c r="F2806" s="55"/>
      <c r="G2806" s="55"/>
      <c r="H2806" s="55"/>
      <c r="I2806" s="26" t="s">
        <v>1333</v>
      </c>
      <c r="J2806" s="26"/>
      <c r="K2806" s="26"/>
      <c r="L2806" s="26"/>
      <c r="M2806" s="26"/>
      <c r="N2806" s="26"/>
      <c r="O2806" s="26"/>
      <c r="P2806" s="26"/>
      <c r="Q2806" s="26" t="s">
        <v>1333</v>
      </c>
    </row>
    <row r="2807" ht="17.25" customHeight="1">
      <c r="A2807" s="51"/>
      <c r="B2807" s="55"/>
      <c r="C2807" s="55"/>
      <c r="D2807" s="240"/>
      <c r="E2807" s="52"/>
      <c r="F2807" s="55"/>
      <c r="G2807" s="55"/>
      <c r="H2807" s="55"/>
      <c r="I2807" s="26" t="s">
        <v>1333</v>
      </c>
      <c r="J2807" s="26"/>
      <c r="K2807" s="26"/>
      <c r="L2807" s="26"/>
      <c r="M2807" s="26"/>
      <c r="N2807" s="26"/>
      <c r="O2807" s="26"/>
      <c r="P2807" s="26"/>
      <c r="Q2807" s="26" t="s">
        <v>1333</v>
      </c>
    </row>
    <row r="2808" ht="17.25" customHeight="1">
      <c r="A2808" s="51"/>
      <c r="B2808" s="55"/>
      <c r="C2808" s="55"/>
      <c r="D2808" s="240"/>
      <c r="E2808" s="52"/>
      <c r="F2808" s="55"/>
      <c r="G2808" s="55"/>
      <c r="H2808" s="55"/>
      <c r="I2808" s="26" t="s">
        <v>1333</v>
      </c>
      <c r="J2808" s="26"/>
      <c r="K2808" s="26"/>
      <c r="L2808" s="26"/>
      <c r="M2808" s="26"/>
      <c r="N2808" s="26"/>
      <c r="O2808" s="26"/>
      <c r="P2808" s="26"/>
      <c r="Q2808" s="26" t="s">
        <v>1333</v>
      </c>
    </row>
    <row r="2809" ht="17.25" customHeight="1">
      <c r="A2809" s="51"/>
      <c r="B2809" s="55"/>
      <c r="C2809" s="55"/>
      <c r="D2809" s="240"/>
      <c r="E2809" s="52"/>
      <c r="F2809" s="55"/>
      <c r="G2809" s="55"/>
      <c r="H2809" s="55"/>
      <c r="I2809" s="26" t="s">
        <v>1333</v>
      </c>
      <c r="J2809" s="26"/>
      <c r="K2809" s="26"/>
      <c r="L2809" s="26"/>
      <c r="M2809" s="26"/>
      <c r="N2809" s="26"/>
      <c r="O2809" s="26"/>
      <c r="P2809" s="26"/>
      <c r="Q2809" s="26" t="s">
        <v>1333</v>
      </c>
    </row>
    <row r="2810" ht="17.25" customHeight="1">
      <c r="A2810" s="51"/>
      <c r="B2810" s="55"/>
      <c r="C2810" s="55"/>
      <c r="D2810" s="240"/>
      <c r="E2810" s="52"/>
      <c r="F2810" s="55"/>
      <c r="G2810" s="55"/>
      <c r="H2810" s="55"/>
      <c r="I2810" s="26" t="s">
        <v>1333</v>
      </c>
      <c r="J2810" s="26"/>
      <c r="K2810" s="26"/>
      <c r="L2810" s="26"/>
      <c r="M2810" s="26"/>
      <c r="N2810" s="26"/>
      <c r="O2810" s="26"/>
      <c r="P2810" s="26"/>
      <c r="Q2810" s="26" t="s">
        <v>1333</v>
      </c>
    </row>
    <row r="2811" ht="17.25" customHeight="1">
      <c r="A2811" s="51"/>
      <c r="B2811" s="55"/>
      <c r="C2811" s="55"/>
      <c r="D2811" s="240"/>
      <c r="E2811" s="52"/>
      <c r="F2811" s="55"/>
      <c r="G2811" s="55"/>
      <c r="H2811" s="55"/>
      <c r="I2811" s="26" t="s">
        <v>1333</v>
      </c>
      <c r="J2811" s="26"/>
      <c r="K2811" s="26"/>
      <c r="L2811" s="26"/>
      <c r="M2811" s="26"/>
      <c r="N2811" s="26"/>
      <c r="O2811" s="26"/>
      <c r="P2811" s="26"/>
      <c r="Q2811" s="26" t="s">
        <v>1333</v>
      </c>
    </row>
    <row r="2812" ht="17.25" customHeight="1">
      <c r="A2812" s="51"/>
      <c r="B2812" s="55"/>
      <c r="C2812" s="55"/>
      <c r="D2812" s="240"/>
      <c r="E2812" s="52"/>
      <c r="F2812" s="55"/>
      <c r="G2812" s="55"/>
      <c r="H2812" s="55"/>
      <c r="I2812" s="26" t="s">
        <v>1333</v>
      </c>
      <c r="J2812" s="26"/>
      <c r="K2812" s="26"/>
      <c r="L2812" s="26"/>
      <c r="M2812" s="26"/>
      <c r="N2812" s="26"/>
      <c r="O2812" s="26"/>
      <c r="P2812" s="26"/>
      <c r="Q2812" s="26" t="s">
        <v>1333</v>
      </c>
    </row>
    <row r="2813" ht="17.25" customHeight="1">
      <c r="A2813" s="51"/>
      <c r="B2813" s="55"/>
      <c r="C2813" s="55"/>
      <c r="D2813" s="240"/>
      <c r="E2813" s="52"/>
      <c r="F2813" s="55"/>
      <c r="G2813" s="55"/>
      <c r="H2813" s="55"/>
      <c r="I2813" s="26" t="s">
        <v>1333</v>
      </c>
      <c r="J2813" s="26"/>
      <c r="K2813" s="26"/>
      <c r="L2813" s="26"/>
      <c r="M2813" s="26"/>
      <c r="N2813" s="26"/>
      <c r="O2813" s="26"/>
      <c r="P2813" s="26"/>
      <c r="Q2813" s="26" t="s">
        <v>1333</v>
      </c>
    </row>
    <row r="2814" ht="17.25" customHeight="1">
      <c r="A2814" s="51"/>
      <c r="B2814" s="55"/>
      <c r="C2814" s="55"/>
      <c r="D2814" s="240"/>
      <c r="E2814" s="52"/>
      <c r="F2814" s="55"/>
      <c r="G2814" s="55"/>
      <c r="H2814" s="55"/>
      <c r="I2814" s="26" t="s">
        <v>1333</v>
      </c>
      <c r="J2814" s="26"/>
      <c r="K2814" s="26"/>
      <c r="L2814" s="26"/>
      <c r="M2814" s="26"/>
      <c r="N2814" s="26"/>
      <c r="O2814" s="26"/>
      <c r="P2814" s="26"/>
      <c r="Q2814" s="26" t="s">
        <v>1333</v>
      </c>
    </row>
    <row r="2815" ht="17.25" customHeight="1">
      <c r="A2815" s="51"/>
      <c r="B2815" s="55"/>
      <c r="C2815" s="55"/>
      <c r="D2815" s="240"/>
      <c r="E2815" s="52"/>
      <c r="F2815" s="55"/>
      <c r="G2815" s="55"/>
      <c r="H2815" s="55"/>
      <c r="I2815" s="26" t="s">
        <v>1333</v>
      </c>
      <c r="J2815" s="26"/>
      <c r="K2815" s="26"/>
      <c r="L2815" s="26"/>
      <c r="M2815" s="26"/>
      <c r="N2815" s="26"/>
      <c r="O2815" s="26"/>
      <c r="P2815" s="26"/>
      <c r="Q2815" s="26" t="s">
        <v>1333</v>
      </c>
    </row>
    <row r="2816" ht="17.25" customHeight="1">
      <c r="A2816" s="51"/>
      <c r="B2816" s="55"/>
      <c r="C2816" s="55"/>
      <c r="D2816" s="240"/>
      <c r="E2816" s="52"/>
      <c r="F2816" s="55"/>
      <c r="G2816" s="55"/>
      <c r="H2816" s="55"/>
      <c r="I2816" s="26" t="s">
        <v>1333</v>
      </c>
      <c r="J2816" s="26"/>
      <c r="K2816" s="26"/>
      <c r="L2816" s="26"/>
      <c r="M2816" s="26"/>
      <c r="N2816" s="26"/>
      <c r="O2816" s="26"/>
      <c r="P2816" s="26"/>
      <c r="Q2816" s="26" t="s">
        <v>1333</v>
      </c>
    </row>
    <row r="2817" ht="17.25" customHeight="1">
      <c r="A2817" s="51"/>
      <c r="B2817" s="55"/>
      <c r="C2817" s="55"/>
      <c r="D2817" s="240"/>
      <c r="E2817" s="52"/>
      <c r="F2817" s="55"/>
      <c r="G2817" s="55"/>
      <c r="H2817" s="55"/>
      <c r="I2817" s="26" t="s">
        <v>1333</v>
      </c>
      <c r="J2817" s="26"/>
      <c r="K2817" s="26"/>
      <c r="L2817" s="26"/>
      <c r="M2817" s="26"/>
      <c r="N2817" s="26"/>
      <c r="O2817" s="26"/>
      <c r="P2817" s="26"/>
      <c r="Q2817" s="26" t="s">
        <v>1333</v>
      </c>
    </row>
    <row r="2818" ht="17.25" customHeight="1">
      <c r="A2818" s="51"/>
      <c r="B2818" s="55"/>
      <c r="C2818" s="55"/>
      <c r="D2818" s="240"/>
      <c r="E2818" s="52"/>
      <c r="F2818" s="55"/>
      <c r="G2818" s="55"/>
      <c r="H2818" s="55"/>
      <c r="I2818" s="26" t="s">
        <v>1333</v>
      </c>
      <c r="J2818" s="26"/>
      <c r="K2818" s="26"/>
      <c r="L2818" s="26"/>
      <c r="M2818" s="26"/>
      <c r="N2818" s="26"/>
      <c r="O2818" s="26"/>
      <c r="P2818" s="26"/>
      <c r="Q2818" s="26" t="s">
        <v>1333</v>
      </c>
    </row>
    <row r="2819" ht="17.25" customHeight="1">
      <c r="A2819" s="51"/>
      <c r="B2819" s="55"/>
      <c r="C2819" s="55"/>
      <c r="D2819" s="240"/>
      <c r="E2819" s="52"/>
      <c r="F2819" s="55"/>
      <c r="G2819" s="55"/>
      <c r="H2819" s="55"/>
      <c r="I2819" s="26" t="s">
        <v>1333</v>
      </c>
      <c r="J2819" s="26"/>
      <c r="K2819" s="26"/>
      <c r="L2819" s="26"/>
      <c r="M2819" s="26"/>
      <c r="N2819" s="26"/>
      <c r="O2819" s="26"/>
      <c r="P2819" s="26"/>
      <c r="Q2819" s="26" t="s">
        <v>1333</v>
      </c>
    </row>
    <row r="2820" ht="17.25" customHeight="1">
      <c r="A2820" s="51"/>
      <c r="B2820" s="55"/>
      <c r="C2820" s="55"/>
      <c r="D2820" s="240"/>
      <c r="E2820" s="52"/>
      <c r="F2820" s="55"/>
      <c r="G2820" s="55"/>
      <c r="H2820" s="55"/>
      <c r="I2820" s="26" t="s">
        <v>1333</v>
      </c>
      <c r="J2820" s="26"/>
      <c r="K2820" s="26"/>
      <c r="L2820" s="26"/>
      <c r="M2820" s="26"/>
      <c r="N2820" s="26"/>
      <c r="O2820" s="26"/>
      <c r="P2820" s="26"/>
      <c r="Q2820" s="26" t="s">
        <v>1333</v>
      </c>
    </row>
    <row r="2821" ht="17.25" customHeight="1">
      <c r="A2821" s="51"/>
      <c r="B2821" s="55"/>
      <c r="C2821" s="55"/>
      <c r="D2821" s="240"/>
      <c r="E2821" s="52"/>
      <c r="F2821" s="55"/>
      <c r="G2821" s="55"/>
      <c r="H2821" s="55"/>
      <c r="I2821" s="26" t="s">
        <v>1333</v>
      </c>
      <c r="J2821" s="26"/>
      <c r="K2821" s="26"/>
      <c r="L2821" s="26"/>
      <c r="M2821" s="26"/>
      <c r="N2821" s="26"/>
      <c r="O2821" s="26"/>
      <c r="P2821" s="26"/>
      <c r="Q2821" s="26" t="s">
        <v>1333</v>
      </c>
    </row>
    <row r="2822" ht="17.25" customHeight="1">
      <c r="A2822" s="51"/>
      <c r="B2822" s="55"/>
      <c r="C2822" s="55"/>
      <c r="D2822" s="240"/>
      <c r="E2822" s="52"/>
      <c r="F2822" s="55"/>
      <c r="G2822" s="55"/>
      <c r="H2822" s="55"/>
      <c r="I2822" s="26" t="s">
        <v>1333</v>
      </c>
      <c r="J2822" s="26"/>
      <c r="K2822" s="26"/>
      <c r="L2822" s="26"/>
      <c r="M2822" s="26"/>
      <c r="N2822" s="26"/>
      <c r="O2822" s="26"/>
      <c r="P2822" s="26"/>
      <c r="Q2822" s="26" t="s">
        <v>1333</v>
      </c>
    </row>
    <row r="2823" ht="17.25" customHeight="1">
      <c r="A2823" s="51"/>
      <c r="B2823" s="55"/>
      <c r="C2823" s="55"/>
      <c r="D2823" s="240"/>
      <c r="E2823" s="52"/>
      <c r="F2823" s="55"/>
      <c r="G2823" s="55"/>
      <c r="H2823" s="55"/>
      <c r="I2823" s="26" t="s">
        <v>1333</v>
      </c>
      <c r="J2823" s="26"/>
      <c r="K2823" s="26"/>
      <c r="L2823" s="26"/>
      <c r="M2823" s="26"/>
      <c r="N2823" s="26"/>
      <c r="O2823" s="26"/>
      <c r="P2823" s="26"/>
      <c r="Q2823" s="26" t="s">
        <v>1333</v>
      </c>
    </row>
    <row r="2824" ht="17.25" customHeight="1">
      <c r="A2824" s="51"/>
      <c r="B2824" s="55"/>
      <c r="C2824" s="55"/>
      <c r="D2824" s="240"/>
      <c r="E2824" s="52"/>
      <c r="F2824" s="55"/>
      <c r="G2824" s="55"/>
      <c r="H2824" s="55"/>
      <c r="I2824" s="26" t="s">
        <v>1333</v>
      </c>
      <c r="J2824" s="26"/>
      <c r="K2824" s="26"/>
      <c r="L2824" s="26"/>
      <c r="M2824" s="26"/>
      <c r="N2824" s="26"/>
      <c r="O2824" s="26"/>
      <c r="P2824" s="26"/>
      <c r="Q2824" s="26" t="s">
        <v>1333</v>
      </c>
    </row>
    <row r="2825" ht="17.25" customHeight="1">
      <c r="A2825" s="51"/>
      <c r="B2825" s="55"/>
      <c r="C2825" s="55"/>
      <c r="D2825" s="240"/>
      <c r="E2825" s="52"/>
      <c r="F2825" s="55"/>
      <c r="G2825" s="55"/>
      <c r="H2825" s="55"/>
      <c r="I2825" s="26" t="s">
        <v>1333</v>
      </c>
      <c r="J2825" s="26"/>
      <c r="K2825" s="26"/>
      <c r="L2825" s="26"/>
      <c r="M2825" s="26"/>
      <c r="N2825" s="26"/>
      <c r="O2825" s="26"/>
      <c r="P2825" s="26"/>
      <c r="Q2825" s="26" t="s">
        <v>1333</v>
      </c>
    </row>
    <row r="2826" ht="17.25" customHeight="1">
      <c r="A2826" s="51"/>
      <c r="B2826" s="55"/>
      <c r="C2826" s="55"/>
      <c r="D2826" s="240"/>
      <c r="E2826" s="52"/>
      <c r="F2826" s="55"/>
      <c r="G2826" s="55"/>
      <c r="H2826" s="55"/>
      <c r="I2826" s="26" t="s">
        <v>1333</v>
      </c>
      <c r="J2826" s="26"/>
      <c r="K2826" s="26"/>
      <c r="L2826" s="26"/>
      <c r="M2826" s="26"/>
      <c r="N2826" s="26"/>
      <c r="O2826" s="26"/>
      <c r="P2826" s="26"/>
      <c r="Q2826" s="26" t="s">
        <v>1333</v>
      </c>
    </row>
    <row r="2827" ht="17.25" customHeight="1">
      <c r="A2827" s="51"/>
      <c r="B2827" s="55"/>
      <c r="C2827" s="55"/>
      <c r="D2827" s="240"/>
      <c r="E2827" s="52"/>
      <c r="F2827" s="55"/>
      <c r="G2827" s="55"/>
      <c r="H2827" s="55"/>
      <c r="I2827" s="26" t="s">
        <v>1333</v>
      </c>
      <c r="J2827" s="26"/>
      <c r="K2827" s="26"/>
      <c r="L2827" s="26"/>
      <c r="M2827" s="26"/>
      <c r="N2827" s="26"/>
      <c r="O2827" s="26"/>
      <c r="P2827" s="26"/>
      <c r="Q2827" s="26" t="s">
        <v>1333</v>
      </c>
    </row>
    <row r="2828" ht="17.25" customHeight="1">
      <c r="A2828" s="51"/>
      <c r="B2828" s="55"/>
      <c r="C2828" s="55"/>
      <c r="D2828" s="240"/>
      <c r="E2828" s="52"/>
      <c r="F2828" s="55"/>
      <c r="G2828" s="55"/>
      <c r="H2828" s="55"/>
      <c r="I2828" s="26" t="s">
        <v>1333</v>
      </c>
      <c r="J2828" s="26"/>
      <c r="K2828" s="26"/>
      <c r="L2828" s="26"/>
      <c r="M2828" s="26"/>
      <c r="N2828" s="26"/>
      <c r="O2828" s="26"/>
      <c r="P2828" s="26"/>
      <c r="Q2828" s="26" t="s">
        <v>1333</v>
      </c>
    </row>
    <row r="2829" ht="17.25" customHeight="1">
      <c r="A2829" s="51"/>
      <c r="B2829" s="55"/>
      <c r="C2829" s="55"/>
      <c r="D2829" s="240"/>
      <c r="E2829" s="52"/>
      <c r="F2829" s="55"/>
      <c r="G2829" s="55"/>
      <c r="H2829" s="55"/>
      <c r="I2829" s="26" t="s">
        <v>1333</v>
      </c>
      <c r="J2829" s="26"/>
      <c r="K2829" s="26"/>
      <c r="L2829" s="26"/>
      <c r="M2829" s="26"/>
      <c r="N2829" s="26"/>
      <c r="O2829" s="26"/>
      <c r="P2829" s="26"/>
      <c r="Q2829" s="26" t="s">
        <v>1333</v>
      </c>
    </row>
    <row r="2830" ht="17.25" customHeight="1">
      <c r="A2830" s="51"/>
      <c r="B2830" s="55"/>
      <c r="C2830" s="55"/>
      <c r="D2830" s="240"/>
      <c r="E2830" s="52"/>
      <c r="F2830" s="55"/>
      <c r="G2830" s="55"/>
      <c r="H2830" s="55"/>
      <c r="I2830" s="26" t="s">
        <v>1333</v>
      </c>
      <c r="J2830" s="26"/>
      <c r="K2830" s="26"/>
      <c r="L2830" s="26"/>
      <c r="M2830" s="26"/>
      <c r="N2830" s="26"/>
      <c r="O2830" s="26"/>
      <c r="P2830" s="26"/>
      <c r="Q2830" s="26" t="s">
        <v>1333</v>
      </c>
    </row>
    <row r="2831" ht="17.25" customHeight="1">
      <c r="A2831" s="51"/>
      <c r="B2831" s="55"/>
      <c r="C2831" s="55"/>
      <c r="D2831" s="240"/>
      <c r="E2831" s="52"/>
      <c r="F2831" s="55"/>
      <c r="G2831" s="55"/>
      <c r="H2831" s="55"/>
      <c r="I2831" s="26" t="s">
        <v>1333</v>
      </c>
      <c r="J2831" s="26"/>
      <c r="K2831" s="26"/>
      <c r="L2831" s="26"/>
      <c r="M2831" s="26"/>
      <c r="N2831" s="26"/>
      <c r="O2831" s="26"/>
      <c r="P2831" s="26"/>
      <c r="Q2831" s="26" t="s">
        <v>1333</v>
      </c>
    </row>
    <row r="2832" ht="17.25" customHeight="1">
      <c r="A2832" s="51"/>
      <c r="B2832" s="55"/>
      <c r="C2832" s="55"/>
      <c r="D2832" s="240"/>
      <c r="E2832" s="52"/>
      <c r="F2832" s="55"/>
      <c r="G2832" s="55"/>
      <c r="H2832" s="55"/>
      <c r="I2832" s="26" t="s">
        <v>1333</v>
      </c>
      <c r="J2832" s="26"/>
      <c r="K2832" s="26"/>
      <c r="L2832" s="26"/>
      <c r="M2832" s="26"/>
      <c r="N2832" s="26"/>
      <c r="O2832" s="26"/>
      <c r="P2832" s="26"/>
      <c r="Q2832" s="26" t="s">
        <v>1333</v>
      </c>
    </row>
    <row r="2833" ht="17.25" customHeight="1">
      <c r="A2833" s="51"/>
      <c r="B2833" s="55"/>
      <c r="C2833" s="55"/>
      <c r="D2833" s="240"/>
      <c r="E2833" s="52"/>
      <c r="F2833" s="55"/>
      <c r="G2833" s="55"/>
      <c r="H2833" s="55"/>
      <c r="I2833" s="26" t="s">
        <v>1333</v>
      </c>
      <c r="J2833" s="26"/>
      <c r="K2833" s="26"/>
      <c r="L2833" s="26"/>
      <c r="M2833" s="26"/>
      <c r="N2833" s="26"/>
      <c r="O2833" s="26"/>
      <c r="P2833" s="26"/>
      <c r="Q2833" s="26" t="s">
        <v>1333</v>
      </c>
    </row>
    <row r="2834" ht="17.25" customHeight="1">
      <c r="A2834" s="51"/>
      <c r="B2834" s="55"/>
      <c r="C2834" s="55"/>
      <c r="D2834" s="240"/>
      <c r="E2834" s="52"/>
      <c r="F2834" s="55"/>
      <c r="G2834" s="55"/>
      <c r="H2834" s="55"/>
      <c r="I2834" s="26" t="s">
        <v>1333</v>
      </c>
      <c r="J2834" s="26"/>
      <c r="K2834" s="26"/>
      <c r="L2834" s="26"/>
      <c r="M2834" s="26"/>
      <c r="N2834" s="26"/>
      <c r="O2834" s="26"/>
      <c r="P2834" s="26"/>
      <c r="Q2834" s="26" t="s">
        <v>1333</v>
      </c>
    </row>
    <row r="2835" ht="17.25" customHeight="1">
      <c r="A2835" s="51"/>
      <c r="B2835" s="55"/>
      <c r="C2835" s="55"/>
      <c r="D2835" s="240"/>
      <c r="E2835" s="52"/>
      <c r="F2835" s="55"/>
      <c r="G2835" s="55"/>
      <c r="H2835" s="55"/>
      <c r="I2835" s="26" t="s">
        <v>1333</v>
      </c>
      <c r="J2835" s="26"/>
      <c r="K2835" s="26"/>
      <c r="L2835" s="26"/>
      <c r="M2835" s="26"/>
      <c r="N2835" s="26"/>
      <c r="O2835" s="26"/>
      <c r="P2835" s="26"/>
      <c r="Q2835" s="26" t="s">
        <v>1333</v>
      </c>
    </row>
    <row r="2836" ht="17.25" customHeight="1">
      <c r="A2836" s="51"/>
      <c r="B2836" s="55"/>
      <c r="C2836" s="55"/>
      <c r="D2836" s="240"/>
      <c r="E2836" s="52"/>
      <c r="F2836" s="55"/>
      <c r="G2836" s="55"/>
      <c r="H2836" s="55"/>
      <c r="I2836" s="26" t="s">
        <v>1333</v>
      </c>
      <c r="J2836" s="26"/>
      <c r="K2836" s="26"/>
      <c r="L2836" s="26"/>
      <c r="M2836" s="26"/>
      <c r="N2836" s="26"/>
      <c r="O2836" s="26"/>
      <c r="P2836" s="26"/>
      <c r="Q2836" s="26" t="s">
        <v>1333</v>
      </c>
    </row>
    <row r="2837" ht="17.25" customHeight="1">
      <c r="A2837" s="51"/>
      <c r="B2837" s="55"/>
      <c r="C2837" s="55"/>
      <c r="D2837" s="240"/>
      <c r="E2837" s="52"/>
      <c r="F2837" s="55"/>
      <c r="G2837" s="55"/>
      <c r="H2837" s="55"/>
      <c r="I2837" s="26" t="s">
        <v>1333</v>
      </c>
      <c r="J2837" s="26"/>
      <c r="K2837" s="26"/>
      <c r="L2837" s="26"/>
      <c r="M2837" s="26"/>
      <c r="N2837" s="26"/>
      <c r="O2837" s="26"/>
      <c r="P2837" s="26"/>
      <c r="Q2837" s="26" t="s">
        <v>1333</v>
      </c>
    </row>
    <row r="2838" ht="17.25" customHeight="1">
      <c r="A2838" s="51"/>
      <c r="B2838" s="55"/>
      <c r="C2838" s="55"/>
      <c r="D2838" s="240"/>
      <c r="E2838" s="52"/>
      <c r="F2838" s="55"/>
      <c r="G2838" s="55"/>
      <c r="H2838" s="55"/>
      <c r="I2838" s="26" t="s">
        <v>1333</v>
      </c>
      <c r="J2838" s="26"/>
      <c r="K2838" s="26"/>
      <c r="L2838" s="26"/>
      <c r="M2838" s="26"/>
      <c r="N2838" s="26"/>
      <c r="O2838" s="26"/>
      <c r="P2838" s="26"/>
      <c r="Q2838" s="26" t="s">
        <v>1333</v>
      </c>
    </row>
    <row r="2839" ht="17.25" customHeight="1">
      <c r="A2839" s="51"/>
      <c r="B2839" s="55"/>
      <c r="C2839" s="55"/>
      <c r="D2839" s="240"/>
      <c r="E2839" s="52"/>
      <c r="F2839" s="55"/>
      <c r="G2839" s="55"/>
      <c r="H2839" s="55"/>
      <c r="I2839" s="26" t="s">
        <v>1333</v>
      </c>
      <c r="J2839" s="26"/>
      <c r="K2839" s="26"/>
      <c r="L2839" s="26"/>
      <c r="M2839" s="26"/>
      <c r="N2839" s="26"/>
      <c r="O2839" s="26"/>
      <c r="P2839" s="26"/>
      <c r="Q2839" s="26" t="s">
        <v>1333</v>
      </c>
    </row>
    <row r="2840" ht="17.25" customHeight="1">
      <c r="A2840" s="51"/>
      <c r="B2840" s="55"/>
      <c r="C2840" s="55"/>
      <c r="D2840" s="240"/>
      <c r="E2840" s="52"/>
      <c r="F2840" s="55"/>
      <c r="G2840" s="55"/>
      <c r="H2840" s="55"/>
      <c r="I2840" s="26" t="s">
        <v>1333</v>
      </c>
      <c r="J2840" s="26"/>
      <c r="K2840" s="26"/>
      <c r="L2840" s="26"/>
      <c r="M2840" s="26"/>
      <c r="N2840" s="26"/>
      <c r="O2840" s="26"/>
      <c r="P2840" s="26"/>
      <c r="Q2840" s="26" t="s">
        <v>1333</v>
      </c>
    </row>
    <row r="2841" ht="17.25" customHeight="1">
      <c r="A2841" s="51"/>
      <c r="B2841" s="55"/>
      <c r="C2841" s="55"/>
      <c r="D2841" s="240"/>
      <c r="E2841" s="52"/>
      <c r="F2841" s="55"/>
      <c r="G2841" s="55"/>
      <c r="H2841" s="55"/>
      <c r="I2841" s="26" t="s">
        <v>1333</v>
      </c>
      <c r="J2841" s="26"/>
      <c r="K2841" s="26"/>
      <c r="L2841" s="26"/>
      <c r="M2841" s="26"/>
      <c r="N2841" s="26"/>
      <c r="O2841" s="26"/>
      <c r="P2841" s="26"/>
      <c r="Q2841" s="26" t="s">
        <v>1333</v>
      </c>
    </row>
    <row r="2842" ht="17.25" customHeight="1">
      <c r="A2842" s="51"/>
      <c r="B2842" s="55"/>
      <c r="C2842" s="55"/>
      <c r="D2842" s="240"/>
      <c r="E2842" s="52"/>
      <c r="F2842" s="55"/>
      <c r="G2842" s="55"/>
      <c r="H2842" s="55"/>
      <c r="I2842" s="26" t="s">
        <v>1333</v>
      </c>
      <c r="J2842" s="26"/>
      <c r="K2842" s="26"/>
      <c r="L2842" s="26"/>
      <c r="M2842" s="26"/>
      <c r="N2842" s="26"/>
      <c r="O2842" s="26"/>
      <c r="P2842" s="26"/>
      <c r="Q2842" s="26" t="s">
        <v>1333</v>
      </c>
    </row>
    <row r="2843" ht="17.25" customHeight="1">
      <c r="A2843" s="51"/>
      <c r="B2843" s="55"/>
      <c r="C2843" s="55"/>
      <c r="D2843" s="240"/>
      <c r="E2843" s="52"/>
      <c r="F2843" s="55"/>
      <c r="G2843" s="55"/>
      <c r="H2843" s="55"/>
      <c r="I2843" s="26" t="s">
        <v>1333</v>
      </c>
      <c r="J2843" s="26"/>
      <c r="K2843" s="26"/>
      <c r="L2843" s="26"/>
      <c r="M2843" s="26"/>
      <c r="N2843" s="26"/>
      <c r="O2843" s="26"/>
      <c r="P2843" s="26"/>
      <c r="Q2843" s="26" t="s">
        <v>1333</v>
      </c>
    </row>
    <row r="2844" ht="17.25" customHeight="1">
      <c r="A2844" s="51"/>
      <c r="B2844" s="55"/>
      <c r="C2844" s="55"/>
      <c r="D2844" s="240"/>
      <c r="E2844" s="52"/>
      <c r="F2844" s="55"/>
      <c r="G2844" s="55"/>
      <c r="H2844" s="55"/>
      <c r="I2844" s="26" t="s">
        <v>1333</v>
      </c>
      <c r="J2844" s="26"/>
      <c r="K2844" s="26"/>
      <c r="L2844" s="26"/>
      <c r="M2844" s="26"/>
      <c r="N2844" s="26"/>
      <c r="O2844" s="26"/>
      <c r="P2844" s="26"/>
      <c r="Q2844" s="26" t="s">
        <v>1333</v>
      </c>
    </row>
    <row r="2845" ht="17.25" customHeight="1">
      <c r="A2845" s="51"/>
      <c r="B2845" s="55"/>
      <c r="C2845" s="55"/>
      <c r="D2845" s="240"/>
      <c r="E2845" s="52"/>
      <c r="F2845" s="55"/>
      <c r="G2845" s="55"/>
      <c r="H2845" s="55"/>
      <c r="I2845" s="26" t="s">
        <v>1333</v>
      </c>
      <c r="J2845" s="26"/>
      <c r="K2845" s="26"/>
      <c r="L2845" s="26"/>
      <c r="M2845" s="26"/>
      <c r="N2845" s="26"/>
      <c r="O2845" s="26"/>
      <c r="P2845" s="26"/>
      <c r="Q2845" s="26" t="s">
        <v>1333</v>
      </c>
    </row>
    <row r="2846" ht="17.25" customHeight="1">
      <c r="A2846" s="51"/>
      <c r="B2846" s="55"/>
      <c r="C2846" s="55"/>
      <c r="D2846" s="240"/>
      <c r="E2846" s="52"/>
      <c r="F2846" s="55"/>
      <c r="G2846" s="55"/>
      <c r="H2846" s="55"/>
      <c r="I2846" s="26" t="s">
        <v>1333</v>
      </c>
      <c r="J2846" s="26"/>
      <c r="K2846" s="26"/>
      <c r="L2846" s="26"/>
      <c r="M2846" s="26"/>
      <c r="N2846" s="26"/>
      <c r="O2846" s="26"/>
      <c r="P2846" s="26"/>
      <c r="Q2846" s="26" t="s">
        <v>1333</v>
      </c>
    </row>
    <row r="2847" ht="17.25" customHeight="1">
      <c r="A2847" s="51"/>
      <c r="B2847" s="55"/>
      <c r="C2847" s="55"/>
      <c r="D2847" s="240"/>
      <c r="E2847" s="52"/>
      <c r="F2847" s="55"/>
      <c r="G2847" s="55"/>
      <c r="H2847" s="55"/>
      <c r="I2847" s="26" t="s">
        <v>1333</v>
      </c>
      <c r="J2847" s="26"/>
      <c r="K2847" s="26"/>
      <c r="L2847" s="26"/>
      <c r="M2847" s="26"/>
      <c r="N2847" s="26"/>
      <c r="O2847" s="26"/>
      <c r="P2847" s="26"/>
      <c r="Q2847" s="26" t="s">
        <v>1333</v>
      </c>
    </row>
    <row r="2848" ht="17.25" customHeight="1">
      <c r="A2848" s="51"/>
      <c r="B2848" s="55"/>
      <c r="C2848" s="55"/>
      <c r="D2848" s="240"/>
      <c r="E2848" s="52"/>
      <c r="F2848" s="55"/>
      <c r="G2848" s="55"/>
      <c r="H2848" s="55"/>
      <c r="I2848" s="26" t="s">
        <v>1333</v>
      </c>
      <c r="J2848" s="26"/>
      <c r="K2848" s="26"/>
      <c r="L2848" s="26"/>
      <c r="M2848" s="26"/>
      <c r="N2848" s="26"/>
      <c r="O2848" s="26"/>
      <c r="P2848" s="26"/>
      <c r="Q2848" s="26" t="s">
        <v>1333</v>
      </c>
    </row>
    <row r="2849" ht="17.25" customHeight="1">
      <c r="A2849" s="51"/>
      <c r="B2849" s="55"/>
      <c r="C2849" s="55"/>
      <c r="D2849" s="240"/>
      <c r="E2849" s="52"/>
      <c r="F2849" s="55"/>
      <c r="G2849" s="55"/>
      <c r="H2849" s="55"/>
      <c r="I2849" s="26" t="s">
        <v>1333</v>
      </c>
      <c r="J2849" s="26"/>
      <c r="K2849" s="26"/>
      <c r="L2849" s="26"/>
      <c r="M2849" s="26"/>
      <c r="N2849" s="26"/>
      <c r="O2849" s="26"/>
      <c r="P2849" s="26"/>
      <c r="Q2849" s="26" t="s">
        <v>1333</v>
      </c>
    </row>
    <row r="2850" ht="17.25" customHeight="1">
      <c r="A2850" s="51"/>
      <c r="B2850" s="55"/>
      <c r="C2850" s="55"/>
      <c r="D2850" s="240"/>
      <c r="E2850" s="52"/>
      <c r="F2850" s="55"/>
      <c r="G2850" s="55"/>
      <c r="H2850" s="55"/>
      <c r="I2850" s="26" t="s">
        <v>1333</v>
      </c>
      <c r="J2850" s="26"/>
      <c r="K2850" s="26"/>
      <c r="L2850" s="26"/>
      <c r="M2850" s="26"/>
      <c r="N2850" s="26"/>
      <c r="O2850" s="26"/>
      <c r="P2850" s="26"/>
      <c r="Q2850" s="26" t="s">
        <v>1333</v>
      </c>
    </row>
    <row r="2851" ht="17.25" customHeight="1">
      <c r="A2851" s="51"/>
      <c r="B2851" s="55"/>
      <c r="C2851" s="55"/>
      <c r="D2851" s="240"/>
      <c r="E2851" s="52"/>
      <c r="F2851" s="55"/>
      <c r="G2851" s="55"/>
      <c r="H2851" s="55"/>
      <c r="I2851" s="26" t="s">
        <v>1333</v>
      </c>
      <c r="J2851" s="26"/>
      <c r="K2851" s="26"/>
      <c r="L2851" s="26"/>
      <c r="M2851" s="26"/>
      <c r="N2851" s="26"/>
      <c r="O2851" s="26"/>
      <c r="P2851" s="26"/>
      <c r="Q2851" s="26" t="s">
        <v>1333</v>
      </c>
    </row>
    <row r="2852" ht="17.25" customHeight="1">
      <c r="A2852" s="51"/>
      <c r="B2852" s="55"/>
      <c r="C2852" s="55"/>
      <c r="D2852" s="240"/>
      <c r="E2852" s="52"/>
      <c r="F2852" s="55"/>
      <c r="G2852" s="55"/>
      <c r="H2852" s="55"/>
      <c r="I2852" s="26" t="s">
        <v>1333</v>
      </c>
      <c r="J2852" s="26"/>
      <c r="K2852" s="26"/>
      <c r="L2852" s="26"/>
      <c r="M2852" s="26"/>
      <c r="N2852" s="26"/>
      <c r="O2852" s="26"/>
      <c r="P2852" s="26"/>
      <c r="Q2852" s="26" t="s">
        <v>1333</v>
      </c>
    </row>
    <row r="2853" ht="17.25" customHeight="1">
      <c r="A2853" s="51"/>
      <c r="B2853" s="55"/>
      <c r="C2853" s="55"/>
      <c r="D2853" s="240"/>
      <c r="E2853" s="52"/>
      <c r="F2853" s="55"/>
      <c r="G2853" s="55"/>
      <c r="H2853" s="55"/>
      <c r="I2853" s="26" t="s">
        <v>1333</v>
      </c>
      <c r="J2853" s="26"/>
      <c r="K2853" s="26"/>
      <c r="L2853" s="26"/>
      <c r="M2853" s="26"/>
      <c r="N2853" s="26"/>
      <c r="O2853" s="26"/>
      <c r="P2853" s="26"/>
      <c r="Q2853" s="26" t="s">
        <v>1333</v>
      </c>
    </row>
    <row r="2854" ht="17.25" customHeight="1">
      <c r="A2854" s="51"/>
      <c r="B2854" s="55"/>
      <c r="C2854" s="55"/>
      <c r="D2854" s="240"/>
      <c r="E2854" s="52"/>
      <c r="F2854" s="55"/>
      <c r="G2854" s="55"/>
      <c r="H2854" s="55"/>
      <c r="I2854" s="26" t="s">
        <v>1333</v>
      </c>
      <c r="J2854" s="26"/>
      <c r="K2854" s="26"/>
      <c r="L2854" s="26"/>
      <c r="M2854" s="26"/>
      <c r="N2854" s="26"/>
      <c r="O2854" s="26"/>
      <c r="P2854" s="26"/>
      <c r="Q2854" s="26" t="s">
        <v>1333</v>
      </c>
    </row>
    <row r="2855" ht="17.25" customHeight="1">
      <c r="A2855" s="51"/>
      <c r="B2855" s="55"/>
      <c r="C2855" s="55"/>
      <c r="D2855" s="240"/>
      <c r="E2855" s="52"/>
      <c r="F2855" s="55"/>
      <c r="G2855" s="55"/>
      <c r="H2855" s="55"/>
      <c r="I2855" s="26" t="s">
        <v>1333</v>
      </c>
      <c r="J2855" s="26"/>
      <c r="K2855" s="26"/>
      <c r="L2855" s="26"/>
      <c r="M2855" s="26"/>
      <c r="N2855" s="26"/>
      <c r="O2855" s="26"/>
      <c r="P2855" s="26"/>
      <c r="Q2855" s="26" t="s">
        <v>1333</v>
      </c>
    </row>
    <row r="2856" ht="17.25" customHeight="1">
      <c r="A2856" s="51"/>
      <c r="B2856" s="55"/>
      <c r="C2856" s="55"/>
      <c r="D2856" s="240"/>
      <c r="E2856" s="52"/>
      <c r="F2856" s="55"/>
      <c r="G2856" s="55"/>
      <c r="H2856" s="55"/>
      <c r="I2856" s="26" t="s">
        <v>1333</v>
      </c>
      <c r="J2856" s="26"/>
      <c r="K2856" s="26"/>
      <c r="L2856" s="26"/>
      <c r="M2856" s="26"/>
      <c r="N2856" s="26"/>
      <c r="O2856" s="26"/>
      <c r="P2856" s="26"/>
      <c r="Q2856" s="26" t="s">
        <v>1333</v>
      </c>
    </row>
    <row r="2857" ht="17.25" customHeight="1">
      <c r="A2857" s="51"/>
      <c r="B2857" s="55"/>
      <c r="C2857" s="55"/>
      <c r="D2857" s="240"/>
      <c r="E2857" s="52"/>
      <c r="F2857" s="55"/>
      <c r="G2857" s="55"/>
      <c r="H2857" s="55"/>
      <c r="I2857" s="26" t="s">
        <v>1333</v>
      </c>
      <c r="J2857" s="26"/>
      <c r="K2857" s="26"/>
      <c r="L2857" s="26"/>
      <c r="M2857" s="26"/>
      <c r="N2857" s="26"/>
      <c r="O2857" s="26"/>
      <c r="P2857" s="26"/>
      <c r="Q2857" s="26" t="s">
        <v>1333</v>
      </c>
    </row>
    <row r="2858" ht="17.25" customHeight="1">
      <c r="A2858" s="51"/>
      <c r="B2858" s="55"/>
      <c r="C2858" s="55"/>
      <c r="D2858" s="240"/>
      <c r="E2858" s="52"/>
      <c r="F2858" s="55"/>
      <c r="G2858" s="55"/>
      <c r="H2858" s="55"/>
      <c r="I2858" s="26" t="s">
        <v>1333</v>
      </c>
      <c r="J2858" s="26"/>
      <c r="K2858" s="26"/>
      <c r="L2858" s="26"/>
      <c r="M2858" s="26"/>
      <c r="N2858" s="26"/>
      <c r="O2858" s="26"/>
      <c r="P2858" s="26"/>
      <c r="Q2858" s="26" t="s">
        <v>1333</v>
      </c>
    </row>
    <row r="2859" ht="17.25" customHeight="1">
      <c r="A2859" s="51"/>
      <c r="B2859" s="55"/>
      <c r="C2859" s="55"/>
      <c r="D2859" s="240"/>
      <c r="E2859" s="52"/>
      <c r="F2859" s="55"/>
      <c r="G2859" s="55"/>
      <c r="H2859" s="55"/>
      <c r="I2859" s="26" t="s">
        <v>1333</v>
      </c>
      <c r="J2859" s="26"/>
      <c r="K2859" s="26"/>
      <c r="L2859" s="26"/>
      <c r="M2859" s="26"/>
      <c r="N2859" s="26"/>
      <c r="O2859" s="26"/>
      <c r="P2859" s="26"/>
      <c r="Q2859" s="26" t="s">
        <v>1333</v>
      </c>
    </row>
    <row r="2860" ht="17.25" customHeight="1">
      <c r="A2860" s="51"/>
      <c r="B2860" s="55"/>
      <c r="C2860" s="55"/>
      <c r="D2860" s="240"/>
      <c r="E2860" s="52"/>
      <c r="F2860" s="55"/>
      <c r="G2860" s="55"/>
      <c r="H2860" s="55"/>
      <c r="I2860" s="26" t="s">
        <v>1333</v>
      </c>
      <c r="J2860" s="26"/>
      <c r="K2860" s="26"/>
      <c r="L2860" s="26"/>
      <c r="M2860" s="26"/>
      <c r="N2860" s="26"/>
      <c r="O2860" s="26"/>
      <c r="P2860" s="26"/>
      <c r="Q2860" s="26" t="s">
        <v>1333</v>
      </c>
    </row>
    <row r="2861" ht="17.25" customHeight="1">
      <c r="A2861" s="51"/>
      <c r="B2861" s="55"/>
      <c r="C2861" s="55"/>
      <c r="D2861" s="240"/>
      <c r="E2861" s="52"/>
      <c r="F2861" s="55"/>
      <c r="G2861" s="55"/>
      <c r="H2861" s="55"/>
      <c r="I2861" s="26" t="s">
        <v>1333</v>
      </c>
      <c r="J2861" s="26"/>
      <c r="K2861" s="26"/>
      <c r="L2861" s="26"/>
      <c r="M2861" s="26"/>
      <c r="N2861" s="26"/>
      <c r="O2861" s="26"/>
      <c r="P2861" s="26"/>
      <c r="Q2861" s="26" t="s">
        <v>1333</v>
      </c>
    </row>
    <row r="2862" ht="17.25" customHeight="1">
      <c r="A2862" s="51"/>
      <c r="B2862" s="55"/>
      <c r="C2862" s="55"/>
      <c r="D2862" s="240"/>
      <c r="E2862" s="52"/>
      <c r="F2862" s="55"/>
      <c r="G2862" s="55"/>
      <c r="H2862" s="55"/>
      <c r="I2862" s="26" t="s">
        <v>1333</v>
      </c>
      <c r="J2862" s="26"/>
      <c r="K2862" s="26"/>
      <c r="L2862" s="26"/>
      <c r="M2862" s="26"/>
      <c r="N2862" s="26"/>
      <c r="O2862" s="26"/>
      <c r="P2862" s="26"/>
      <c r="Q2862" s="26" t="s">
        <v>1333</v>
      </c>
    </row>
    <row r="2863" ht="17.25" customHeight="1">
      <c r="A2863" s="51"/>
      <c r="B2863" s="55"/>
      <c r="C2863" s="55"/>
      <c r="D2863" s="240"/>
      <c r="E2863" s="52"/>
      <c r="F2863" s="55"/>
      <c r="G2863" s="55"/>
      <c r="H2863" s="55"/>
      <c r="I2863" s="26" t="s">
        <v>1333</v>
      </c>
      <c r="J2863" s="26"/>
      <c r="K2863" s="26"/>
      <c r="L2863" s="26"/>
      <c r="M2863" s="26"/>
      <c r="N2863" s="26"/>
      <c r="O2863" s="26"/>
      <c r="P2863" s="26"/>
      <c r="Q2863" s="26" t="s">
        <v>1333</v>
      </c>
    </row>
    <row r="2864" ht="17.25" customHeight="1">
      <c r="A2864" s="51"/>
      <c r="B2864" s="55"/>
      <c r="C2864" s="55"/>
      <c r="D2864" s="240"/>
      <c r="E2864" s="52"/>
      <c r="F2864" s="55"/>
      <c r="G2864" s="55"/>
      <c r="H2864" s="55"/>
      <c r="I2864" s="26" t="s">
        <v>1333</v>
      </c>
      <c r="J2864" s="26"/>
      <c r="K2864" s="26"/>
      <c r="L2864" s="26"/>
      <c r="M2864" s="26"/>
      <c r="N2864" s="26"/>
      <c r="O2864" s="26"/>
      <c r="P2864" s="26"/>
      <c r="Q2864" s="26" t="s">
        <v>1333</v>
      </c>
    </row>
    <row r="2865" ht="17.25" customHeight="1">
      <c r="A2865" s="51"/>
      <c r="B2865" s="55"/>
      <c r="C2865" s="55"/>
      <c r="D2865" s="240"/>
      <c r="E2865" s="52"/>
      <c r="F2865" s="55"/>
      <c r="G2865" s="55"/>
      <c r="H2865" s="55"/>
      <c r="I2865" s="26" t="s">
        <v>1333</v>
      </c>
      <c r="J2865" s="26"/>
      <c r="K2865" s="26"/>
      <c r="L2865" s="26"/>
      <c r="M2865" s="26"/>
      <c r="N2865" s="26"/>
      <c r="O2865" s="26"/>
      <c r="P2865" s="26"/>
      <c r="Q2865" s="26" t="s">
        <v>1333</v>
      </c>
    </row>
    <row r="2866" ht="17.25" customHeight="1">
      <c r="A2866" s="51"/>
      <c r="B2866" s="55"/>
      <c r="C2866" s="55"/>
      <c r="D2866" s="240"/>
      <c r="E2866" s="52"/>
      <c r="F2866" s="55"/>
      <c r="G2866" s="55"/>
      <c r="H2866" s="55"/>
      <c r="I2866" s="26" t="s">
        <v>1333</v>
      </c>
      <c r="J2866" s="26"/>
      <c r="K2866" s="26"/>
      <c r="L2866" s="26"/>
      <c r="M2866" s="26"/>
      <c r="N2866" s="26"/>
      <c r="O2866" s="26"/>
      <c r="P2866" s="26"/>
      <c r="Q2866" s="26" t="s">
        <v>1333</v>
      </c>
    </row>
    <row r="2867" ht="17.25" customHeight="1">
      <c r="A2867" s="51"/>
      <c r="B2867" s="55"/>
      <c r="C2867" s="55"/>
      <c r="D2867" s="240"/>
      <c r="E2867" s="52"/>
      <c r="F2867" s="55"/>
      <c r="G2867" s="55"/>
      <c r="H2867" s="55"/>
      <c r="I2867" s="26" t="s">
        <v>1333</v>
      </c>
      <c r="J2867" s="26"/>
      <c r="K2867" s="26"/>
      <c r="L2867" s="26"/>
      <c r="M2867" s="26"/>
      <c r="N2867" s="26"/>
      <c r="O2867" s="26"/>
      <c r="P2867" s="26"/>
      <c r="Q2867" s="26" t="s">
        <v>1333</v>
      </c>
    </row>
    <row r="2868" ht="17.25" customHeight="1">
      <c r="A2868" s="51"/>
      <c r="B2868" s="55"/>
      <c r="C2868" s="55"/>
      <c r="D2868" s="240"/>
      <c r="E2868" s="52"/>
      <c r="F2868" s="55"/>
      <c r="G2868" s="55"/>
      <c r="H2868" s="55"/>
      <c r="I2868" s="26" t="s">
        <v>1333</v>
      </c>
      <c r="J2868" s="26"/>
      <c r="K2868" s="26"/>
      <c r="L2868" s="26"/>
      <c r="M2868" s="26"/>
      <c r="N2868" s="26"/>
      <c r="O2868" s="26"/>
      <c r="P2868" s="26"/>
      <c r="Q2868" s="26" t="s">
        <v>1333</v>
      </c>
    </row>
    <row r="2869" ht="17.25" customHeight="1">
      <c r="A2869" s="51"/>
      <c r="B2869" s="55"/>
      <c r="C2869" s="55"/>
      <c r="D2869" s="240"/>
      <c r="E2869" s="52"/>
      <c r="F2869" s="55"/>
      <c r="G2869" s="55"/>
      <c r="H2869" s="55"/>
      <c r="I2869" s="26" t="s">
        <v>1333</v>
      </c>
      <c r="J2869" s="26"/>
      <c r="K2869" s="26"/>
      <c r="L2869" s="26"/>
      <c r="M2869" s="26"/>
      <c r="N2869" s="26"/>
      <c r="O2869" s="26"/>
      <c r="P2869" s="26"/>
      <c r="Q2869" s="26" t="s">
        <v>1333</v>
      </c>
    </row>
    <row r="2870" ht="17.25" customHeight="1">
      <c r="A2870" s="51"/>
      <c r="B2870" s="55"/>
      <c r="C2870" s="55"/>
      <c r="D2870" s="240"/>
      <c r="E2870" s="52"/>
      <c r="F2870" s="55"/>
      <c r="G2870" s="55"/>
      <c r="H2870" s="55"/>
      <c r="I2870" s="26" t="s">
        <v>1333</v>
      </c>
      <c r="J2870" s="26"/>
      <c r="K2870" s="26"/>
      <c r="L2870" s="26"/>
      <c r="M2870" s="26"/>
      <c r="N2870" s="26"/>
      <c r="O2870" s="26"/>
      <c r="P2870" s="26"/>
      <c r="Q2870" s="26" t="s">
        <v>1333</v>
      </c>
    </row>
    <row r="2871" ht="17.25" customHeight="1">
      <c r="A2871" s="51"/>
      <c r="B2871" s="55"/>
      <c r="C2871" s="55"/>
      <c r="D2871" s="240"/>
      <c r="E2871" s="52"/>
      <c r="F2871" s="55"/>
      <c r="G2871" s="55"/>
      <c r="H2871" s="55"/>
      <c r="I2871" s="26" t="s">
        <v>1333</v>
      </c>
      <c r="J2871" s="26"/>
      <c r="K2871" s="26"/>
      <c r="L2871" s="26"/>
      <c r="M2871" s="26"/>
      <c r="N2871" s="26"/>
      <c r="O2871" s="26"/>
      <c r="P2871" s="26"/>
      <c r="Q2871" s="26" t="s">
        <v>1333</v>
      </c>
    </row>
    <row r="2872" ht="17.25" customHeight="1">
      <c r="A2872" s="51"/>
      <c r="B2872" s="55"/>
      <c r="C2872" s="55"/>
      <c r="D2872" s="240"/>
      <c r="E2872" s="52"/>
      <c r="F2872" s="55"/>
      <c r="G2872" s="55"/>
      <c r="H2872" s="55"/>
      <c r="I2872" s="26" t="s">
        <v>1333</v>
      </c>
      <c r="J2872" s="26"/>
      <c r="K2872" s="26"/>
      <c r="L2872" s="26"/>
      <c r="M2872" s="26"/>
      <c r="N2872" s="26"/>
      <c r="O2872" s="26"/>
      <c r="P2872" s="26"/>
      <c r="Q2872" s="26" t="s">
        <v>1333</v>
      </c>
    </row>
    <row r="2873" ht="17.25" customHeight="1">
      <c r="A2873" s="51"/>
      <c r="B2873" s="55"/>
      <c r="C2873" s="55"/>
      <c r="D2873" s="240"/>
      <c r="E2873" s="52"/>
      <c r="F2873" s="55"/>
      <c r="G2873" s="55"/>
      <c r="H2873" s="55"/>
      <c r="I2873" s="26" t="s">
        <v>1333</v>
      </c>
      <c r="J2873" s="26"/>
      <c r="K2873" s="26"/>
      <c r="L2873" s="26"/>
      <c r="M2873" s="26"/>
      <c r="N2873" s="26"/>
      <c r="O2873" s="26"/>
      <c r="P2873" s="26"/>
      <c r="Q2873" s="26" t="s">
        <v>1333</v>
      </c>
    </row>
    <row r="2874" ht="17.25" customHeight="1">
      <c r="A2874" s="51"/>
      <c r="B2874" s="55"/>
      <c r="C2874" s="55"/>
      <c r="D2874" s="240"/>
      <c r="E2874" s="52"/>
      <c r="F2874" s="55"/>
      <c r="G2874" s="55"/>
      <c r="H2874" s="55"/>
      <c r="I2874" s="26" t="s">
        <v>1333</v>
      </c>
      <c r="J2874" s="26"/>
      <c r="K2874" s="26"/>
      <c r="L2874" s="26"/>
      <c r="M2874" s="26"/>
      <c r="N2874" s="26"/>
      <c r="O2874" s="26"/>
      <c r="P2874" s="26"/>
      <c r="Q2874" s="26" t="s">
        <v>1333</v>
      </c>
    </row>
    <row r="2875" ht="17.25" customHeight="1">
      <c r="A2875" s="51"/>
      <c r="B2875" s="55"/>
      <c r="C2875" s="55"/>
      <c r="D2875" s="240"/>
      <c r="E2875" s="52"/>
      <c r="F2875" s="55"/>
      <c r="G2875" s="55"/>
      <c r="H2875" s="55"/>
      <c r="I2875" s="26" t="s">
        <v>1333</v>
      </c>
      <c r="J2875" s="26"/>
      <c r="K2875" s="26"/>
      <c r="L2875" s="26"/>
      <c r="M2875" s="26"/>
      <c r="N2875" s="26"/>
      <c r="O2875" s="26"/>
      <c r="P2875" s="26"/>
      <c r="Q2875" s="26" t="s">
        <v>1333</v>
      </c>
    </row>
    <row r="2876" ht="17.25" customHeight="1">
      <c r="A2876" s="51"/>
      <c r="B2876" s="55"/>
      <c r="C2876" s="55"/>
      <c r="D2876" s="240"/>
      <c r="E2876" s="52"/>
      <c r="F2876" s="55"/>
      <c r="G2876" s="55"/>
      <c r="H2876" s="55"/>
      <c r="I2876" s="26" t="s">
        <v>1333</v>
      </c>
      <c r="J2876" s="26"/>
      <c r="K2876" s="26"/>
      <c r="L2876" s="26"/>
      <c r="M2876" s="26"/>
      <c r="N2876" s="26"/>
      <c r="O2876" s="26"/>
      <c r="P2876" s="26"/>
      <c r="Q2876" s="26" t="s">
        <v>1333</v>
      </c>
    </row>
    <row r="2877" ht="17.25" customHeight="1">
      <c r="A2877" s="51"/>
      <c r="B2877" s="55"/>
      <c r="C2877" s="55"/>
      <c r="D2877" s="240"/>
      <c r="E2877" s="52"/>
      <c r="F2877" s="55"/>
      <c r="G2877" s="55"/>
      <c r="H2877" s="55"/>
      <c r="I2877" s="26" t="s">
        <v>1333</v>
      </c>
      <c r="J2877" s="26"/>
      <c r="K2877" s="26"/>
      <c r="L2877" s="26"/>
      <c r="M2877" s="26"/>
      <c r="N2877" s="26"/>
      <c r="O2877" s="26"/>
      <c r="P2877" s="26"/>
      <c r="Q2877" s="26" t="s">
        <v>1333</v>
      </c>
    </row>
    <row r="2878" ht="17.25" customHeight="1">
      <c r="A2878" s="51"/>
      <c r="B2878" s="55"/>
      <c r="C2878" s="55"/>
      <c r="D2878" s="240"/>
      <c r="E2878" s="52"/>
      <c r="F2878" s="55"/>
      <c r="G2878" s="55"/>
      <c r="H2878" s="55"/>
      <c r="I2878" s="26" t="s">
        <v>1333</v>
      </c>
      <c r="J2878" s="26"/>
      <c r="K2878" s="26"/>
      <c r="L2878" s="26"/>
      <c r="M2878" s="26"/>
      <c r="N2878" s="26"/>
      <c r="O2878" s="26"/>
      <c r="P2878" s="26"/>
      <c r="Q2878" s="26" t="s">
        <v>1333</v>
      </c>
    </row>
    <row r="2879" ht="17.25" customHeight="1">
      <c r="A2879" s="51"/>
      <c r="B2879" s="55"/>
      <c r="C2879" s="55"/>
      <c r="D2879" s="240"/>
      <c r="E2879" s="52"/>
      <c r="F2879" s="55"/>
      <c r="G2879" s="55"/>
      <c r="H2879" s="55"/>
      <c r="I2879" s="26" t="s">
        <v>1333</v>
      </c>
      <c r="J2879" s="26"/>
      <c r="K2879" s="26"/>
      <c r="L2879" s="26"/>
      <c r="M2879" s="26"/>
      <c r="N2879" s="26"/>
      <c r="O2879" s="26"/>
      <c r="P2879" s="26"/>
      <c r="Q2879" s="26" t="s">
        <v>1333</v>
      </c>
    </row>
    <row r="2880" ht="17.25" customHeight="1">
      <c r="A2880" s="51"/>
      <c r="B2880" s="55"/>
      <c r="C2880" s="55"/>
      <c r="D2880" s="240"/>
      <c r="E2880" s="52"/>
      <c r="F2880" s="55"/>
      <c r="G2880" s="55"/>
      <c r="H2880" s="55"/>
      <c r="I2880" s="26" t="s">
        <v>1333</v>
      </c>
      <c r="J2880" s="26"/>
      <c r="K2880" s="26"/>
      <c r="L2880" s="26"/>
      <c r="M2880" s="26"/>
      <c r="N2880" s="26"/>
      <c r="O2880" s="26"/>
      <c r="P2880" s="26"/>
      <c r="Q2880" s="26" t="s">
        <v>1333</v>
      </c>
    </row>
    <row r="2881" ht="17.25" customHeight="1">
      <c r="A2881" s="51"/>
      <c r="B2881" s="55"/>
      <c r="C2881" s="55"/>
      <c r="D2881" s="240"/>
      <c r="E2881" s="52"/>
      <c r="F2881" s="55"/>
      <c r="G2881" s="55"/>
      <c r="H2881" s="55"/>
      <c r="I2881" s="26" t="s">
        <v>1333</v>
      </c>
      <c r="J2881" s="26"/>
      <c r="K2881" s="26"/>
      <c r="L2881" s="26"/>
      <c r="M2881" s="26"/>
      <c r="N2881" s="26"/>
      <c r="O2881" s="26"/>
      <c r="P2881" s="26"/>
      <c r="Q2881" s="26" t="s">
        <v>1333</v>
      </c>
    </row>
    <row r="2882" ht="17.25" customHeight="1">
      <c r="A2882" s="51"/>
      <c r="B2882" s="55"/>
      <c r="C2882" s="55"/>
      <c r="D2882" s="240"/>
      <c r="E2882" s="52"/>
      <c r="F2882" s="55"/>
      <c r="G2882" s="55"/>
      <c r="H2882" s="55"/>
      <c r="I2882" s="26" t="s">
        <v>1333</v>
      </c>
      <c r="J2882" s="26"/>
      <c r="K2882" s="26"/>
      <c r="L2882" s="26"/>
      <c r="M2882" s="26"/>
      <c r="N2882" s="26"/>
      <c r="O2882" s="26"/>
      <c r="P2882" s="26"/>
      <c r="Q2882" s="26" t="s">
        <v>1333</v>
      </c>
    </row>
    <row r="2883" ht="17.25" customHeight="1">
      <c r="A2883" s="51"/>
      <c r="B2883" s="55"/>
      <c r="C2883" s="55"/>
      <c r="D2883" s="240"/>
      <c r="E2883" s="52"/>
      <c r="F2883" s="55"/>
      <c r="G2883" s="55"/>
      <c r="H2883" s="55"/>
      <c r="I2883" s="26" t="s">
        <v>1333</v>
      </c>
      <c r="J2883" s="26"/>
      <c r="K2883" s="26"/>
      <c r="L2883" s="26"/>
      <c r="M2883" s="26"/>
      <c r="N2883" s="26"/>
      <c r="O2883" s="26"/>
      <c r="P2883" s="26"/>
      <c r="Q2883" s="26" t="s">
        <v>1333</v>
      </c>
    </row>
    <row r="2884" ht="17.25" customHeight="1">
      <c r="A2884" s="51"/>
      <c r="B2884" s="55"/>
      <c r="C2884" s="55"/>
      <c r="D2884" s="240"/>
      <c r="E2884" s="52"/>
      <c r="F2884" s="55"/>
      <c r="G2884" s="55"/>
      <c r="H2884" s="55"/>
      <c r="I2884" s="26" t="s">
        <v>1333</v>
      </c>
      <c r="J2884" s="26"/>
      <c r="K2884" s="26"/>
      <c r="L2884" s="26"/>
      <c r="M2884" s="26"/>
      <c r="N2884" s="26"/>
      <c r="O2884" s="26"/>
      <c r="P2884" s="26"/>
      <c r="Q2884" s="26" t="s">
        <v>1333</v>
      </c>
    </row>
    <row r="2885" ht="17.25" customHeight="1">
      <c r="A2885" s="51"/>
      <c r="B2885" s="55"/>
      <c r="C2885" s="55"/>
      <c r="D2885" s="240"/>
      <c r="E2885" s="52"/>
      <c r="F2885" s="55"/>
      <c r="G2885" s="55"/>
      <c r="H2885" s="55"/>
      <c r="I2885" s="26" t="s">
        <v>1333</v>
      </c>
      <c r="J2885" s="26"/>
      <c r="K2885" s="26"/>
      <c r="L2885" s="26"/>
      <c r="M2885" s="26"/>
      <c r="N2885" s="26"/>
      <c r="O2885" s="26"/>
      <c r="P2885" s="26"/>
      <c r="Q2885" s="26" t="s">
        <v>1333</v>
      </c>
    </row>
    <row r="2886" ht="17.25" customHeight="1">
      <c r="A2886" s="51"/>
      <c r="B2886" s="55"/>
      <c r="C2886" s="55"/>
      <c r="D2886" s="240"/>
      <c r="E2886" s="52"/>
      <c r="F2886" s="55"/>
      <c r="G2886" s="55"/>
      <c r="H2886" s="55"/>
      <c r="I2886" s="26" t="s">
        <v>1333</v>
      </c>
      <c r="J2886" s="26"/>
      <c r="K2886" s="26"/>
      <c r="L2886" s="26"/>
      <c r="M2886" s="26"/>
      <c r="N2886" s="26"/>
      <c r="O2886" s="26"/>
      <c r="P2886" s="26"/>
      <c r="Q2886" s="26" t="s">
        <v>1333</v>
      </c>
    </row>
    <row r="2887" ht="17.25" customHeight="1">
      <c r="A2887" s="51"/>
      <c r="B2887" s="55"/>
      <c r="C2887" s="55"/>
      <c r="D2887" s="240"/>
      <c r="E2887" s="52"/>
      <c r="F2887" s="55"/>
      <c r="G2887" s="55"/>
      <c r="H2887" s="55"/>
      <c r="I2887" s="26" t="s">
        <v>1333</v>
      </c>
      <c r="J2887" s="26"/>
      <c r="K2887" s="26"/>
      <c r="L2887" s="26"/>
      <c r="M2887" s="26"/>
      <c r="N2887" s="26"/>
      <c r="O2887" s="26"/>
      <c r="P2887" s="26"/>
      <c r="Q2887" s="26" t="s">
        <v>1333</v>
      </c>
    </row>
    <row r="2888" ht="17.25" customHeight="1">
      <c r="A2888" s="51"/>
      <c r="B2888" s="55"/>
      <c r="C2888" s="55"/>
      <c r="D2888" s="240"/>
      <c r="E2888" s="52"/>
      <c r="F2888" s="55"/>
      <c r="G2888" s="55"/>
      <c r="H2888" s="55"/>
      <c r="I2888" s="26" t="s">
        <v>1333</v>
      </c>
      <c r="J2888" s="26"/>
      <c r="K2888" s="26"/>
      <c r="L2888" s="26"/>
      <c r="M2888" s="26"/>
      <c r="N2888" s="26"/>
      <c r="O2888" s="26"/>
      <c r="P2888" s="26"/>
      <c r="Q2888" s="26" t="s">
        <v>1333</v>
      </c>
    </row>
    <row r="2889" ht="17.25" customHeight="1">
      <c r="A2889" s="51"/>
      <c r="B2889" s="55"/>
      <c r="C2889" s="55"/>
      <c r="D2889" s="240"/>
      <c r="E2889" s="52"/>
      <c r="F2889" s="55"/>
      <c r="G2889" s="55"/>
      <c r="H2889" s="55"/>
      <c r="I2889" s="26" t="s">
        <v>1333</v>
      </c>
      <c r="J2889" s="26"/>
      <c r="K2889" s="26"/>
      <c r="L2889" s="26"/>
      <c r="M2889" s="26"/>
      <c r="N2889" s="26"/>
      <c r="O2889" s="26"/>
      <c r="P2889" s="26"/>
      <c r="Q2889" s="26" t="s">
        <v>1333</v>
      </c>
    </row>
    <row r="2890" ht="17.25" customHeight="1">
      <c r="A2890" s="51"/>
      <c r="B2890" s="55"/>
      <c r="C2890" s="55"/>
      <c r="D2890" s="240"/>
      <c r="E2890" s="52"/>
      <c r="F2890" s="55"/>
      <c r="G2890" s="55"/>
      <c r="H2890" s="55"/>
      <c r="I2890" s="26" t="s">
        <v>1333</v>
      </c>
      <c r="J2890" s="26"/>
      <c r="K2890" s="26"/>
      <c r="L2890" s="26"/>
      <c r="M2890" s="26"/>
      <c r="N2890" s="26"/>
      <c r="O2890" s="26"/>
      <c r="P2890" s="26"/>
      <c r="Q2890" s="26" t="s">
        <v>1333</v>
      </c>
    </row>
    <row r="2891" ht="17.25" customHeight="1">
      <c r="A2891" s="51"/>
      <c r="B2891" s="55"/>
      <c r="C2891" s="55"/>
      <c r="D2891" s="240"/>
      <c r="E2891" s="52"/>
      <c r="F2891" s="55"/>
      <c r="G2891" s="55"/>
      <c r="H2891" s="55"/>
      <c r="I2891" s="26" t="s">
        <v>1333</v>
      </c>
      <c r="J2891" s="26"/>
      <c r="K2891" s="26"/>
      <c r="L2891" s="26"/>
      <c r="M2891" s="26"/>
      <c r="N2891" s="26"/>
      <c r="O2891" s="26"/>
      <c r="P2891" s="26"/>
      <c r="Q2891" s="26" t="s">
        <v>1333</v>
      </c>
    </row>
    <row r="2892" ht="17.25" customHeight="1">
      <c r="A2892" s="51"/>
      <c r="B2892" s="55"/>
      <c r="C2892" s="55"/>
      <c r="D2892" s="240"/>
      <c r="E2892" s="52"/>
      <c r="F2892" s="55"/>
      <c r="G2892" s="55"/>
      <c r="H2892" s="55"/>
      <c r="I2892" s="26" t="s">
        <v>1333</v>
      </c>
      <c r="J2892" s="26"/>
      <c r="K2892" s="26"/>
      <c r="L2892" s="26"/>
      <c r="M2892" s="26"/>
      <c r="N2892" s="26"/>
      <c r="O2892" s="26"/>
      <c r="P2892" s="26"/>
      <c r="Q2892" s="26" t="s">
        <v>1333</v>
      </c>
    </row>
    <row r="2893" ht="17.25" customHeight="1">
      <c r="A2893" s="51"/>
      <c r="B2893" s="55"/>
      <c r="C2893" s="55"/>
      <c r="D2893" s="240"/>
      <c r="E2893" s="52"/>
      <c r="F2893" s="55"/>
      <c r="G2893" s="55"/>
      <c r="H2893" s="55"/>
      <c r="I2893" s="26" t="s">
        <v>1333</v>
      </c>
      <c r="J2893" s="26"/>
      <c r="K2893" s="26"/>
      <c r="L2893" s="26"/>
      <c r="M2893" s="26"/>
      <c r="N2893" s="26"/>
      <c r="O2893" s="26"/>
      <c r="P2893" s="26"/>
      <c r="Q2893" s="26" t="s">
        <v>1333</v>
      </c>
    </row>
    <row r="2894" ht="17.25" customHeight="1">
      <c r="A2894" s="51"/>
      <c r="B2894" s="55"/>
      <c r="C2894" s="55"/>
      <c r="D2894" s="240"/>
      <c r="E2894" s="52"/>
      <c r="F2894" s="55"/>
      <c r="G2894" s="55"/>
      <c r="H2894" s="55"/>
      <c r="I2894" s="26" t="s">
        <v>1333</v>
      </c>
      <c r="J2894" s="26"/>
      <c r="K2894" s="26"/>
      <c r="L2894" s="26"/>
      <c r="M2894" s="26"/>
      <c r="N2894" s="26"/>
      <c r="O2894" s="26"/>
      <c r="P2894" s="26"/>
      <c r="Q2894" s="26" t="s">
        <v>1333</v>
      </c>
    </row>
    <row r="2895" ht="17.25" customHeight="1">
      <c r="A2895" s="51"/>
      <c r="B2895" s="55"/>
      <c r="C2895" s="55"/>
      <c r="D2895" s="240"/>
      <c r="E2895" s="52"/>
      <c r="F2895" s="55"/>
      <c r="G2895" s="55"/>
      <c r="H2895" s="55"/>
      <c r="I2895" s="26" t="s">
        <v>1333</v>
      </c>
      <c r="J2895" s="26"/>
      <c r="K2895" s="26"/>
      <c r="L2895" s="26"/>
      <c r="M2895" s="26"/>
      <c r="N2895" s="26"/>
      <c r="O2895" s="26"/>
      <c r="P2895" s="26"/>
      <c r="Q2895" s="26" t="s">
        <v>1333</v>
      </c>
    </row>
    <row r="2896" ht="17.25" customHeight="1">
      <c r="A2896" s="51"/>
      <c r="B2896" s="55"/>
      <c r="C2896" s="55"/>
      <c r="D2896" s="240"/>
      <c r="E2896" s="52"/>
      <c r="F2896" s="55"/>
      <c r="G2896" s="55"/>
      <c r="H2896" s="55"/>
      <c r="I2896" s="26" t="s">
        <v>1333</v>
      </c>
      <c r="J2896" s="26"/>
      <c r="K2896" s="26"/>
      <c r="L2896" s="26"/>
      <c r="M2896" s="26"/>
      <c r="N2896" s="26"/>
      <c r="O2896" s="26"/>
      <c r="P2896" s="26"/>
      <c r="Q2896" s="26" t="s">
        <v>1333</v>
      </c>
    </row>
    <row r="2897" ht="17.25" customHeight="1">
      <c r="A2897" s="51"/>
      <c r="B2897" s="55"/>
      <c r="C2897" s="55"/>
      <c r="D2897" s="240"/>
      <c r="E2897" s="52"/>
      <c r="F2897" s="55"/>
      <c r="G2897" s="55"/>
      <c r="H2897" s="55"/>
      <c r="I2897" s="26" t="s">
        <v>1333</v>
      </c>
      <c r="J2897" s="26"/>
      <c r="K2897" s="26"/>
      <c r="L2897" s="26"/>
      <c r="M2897" s="26"/>
      <c r="N2897" s="26"/>
      <c r="O2897" s="26"/>
      <c r="P2897" s="26"/>
      <c r="Q2897" s="26" t="s">
        <v>1333</v>
      </c>
    </row>
    <row r="2898" ht="17.25" customHeight="1">
      <c r="A2898" s="51"/>
      <c r="B2898" s="55"/>
      <c r="C2898" s="55"/>
      <c r="D2898" s="240"/>
      <c r="E2898" s="52"/>
      <c r="F2898" s="55"/>
      <c r="G2898" s="55"/>
      <c r="H2898" s="55"/>
      <c r="I2898" s="26" t="s">
        <v>1333</v>
      </c>
      <c r="J2898" s="26"/>
      <c r="K2898" s="26"/>
      <c r="L2898" s="26"/>
      <c r="M2898" s="26"/>
      <c r="N2898" s="26"/>
      <c r="O2898" s="26"/>
      <c r="P2898" s="26"/>
      <c r="Q2898" s="26" t="s">
        <v>1333</v>
      </c>
    </row>
    <row r="2899" ht="17.25" customHeight="1">
      <c r="A2899" s="51"/>
      <c r="B2899" s="55"/>
      <c r="C2899" s="55"/>
      <c r="D2899" s="240"/>
      <c r="E2899" s="52"/>
      <c r="F2899" s="55"/>
      <c r="G2899" s="55"/>
      <c r="H2899" s="55"/>
      <c r="I2899" s="26" t="s">
        <v>1333</v>
      </c>
      <c r="J2899" s="26"/>
      <c r="K2899" s="26"/>
      <c r="L2899" s="26"/>
      <c r="M2899" s="26"/>
      <c r="N2899" s="26"/>
      <c r="O2899" s="26"/>
      <c r="P2899" s="26"/>
      <c r="Q2899" s="26" t="s">
        <v>1333</v>
      </c>
    </row>
    <row r="2900" ht="17.25" customHeight="1">
      <c r="A2900" s="51"/>
      <c r="B2900" s="55"/>
      <c r="C2900" s="55"/>
      <c r="D2900" s="240"/>
      <c r="E2900" s="52"/>
      <c r="F2900" s="55"/>
      <c r="G2900" s="55"/>
      <c r="H2900" s="55"/>
      <c r="I2900" s="26" t="s">
        <v>1333</v>
      </c>
      <c r="J2900" s="26"/>
      <c r="K2900" s="26"/>
      <c r="L2900" s="26"/>
      <c r="M2900" s="26"/>
      <c r="N2900" s="26"/>
      <c r="O2900" s="26"/>
      <c r="P2900" s="26"/>
      <c r="Q2900" s="26" t="s">
        <v>1333</v>
      </c>
    </row>
    <row r="2901" ht="17.25" customHeight="1">
      <c r="A2901" s="51"/>
      <c r="B2901" s="55"/>
      <c r="C2901" s="55"/>
      <c r="D2901" s="240"/>
      <c r="E2901" s="52"/>
      <c r="F2901" s="55"/>
      <c r="G2901" s="55"/>
      <c r="H2901" s="55"/>
      <c r="I2901" s="26" t="s">
        <v>1333</v>
      </c>
      <c r="J2901" s="26"/>
      <c r="K2901" s="26"/>
      <c r="L2901" s="26"/>
      <c r="M2901" s="26"/>
      <c r="N2901" s="26"/>
      <c r="O2901" s="26"/>
      <c r="P2901" s="26"/>
      <c r="Q2901" s="26" t="s">
        <v>1333</v>
      </c>
    </row>
    <row r="2902" ht="17.25" customHeight="1">
      <c r="A2902" s="51"/>
      <c r="B2902" s="55"/>
      <c r="C2902" s="55"/>
      <c r="D2902" s="240"/>
      <c r="E2902" s="52"/>
      <c r="F2902" s="55"/>
      <c r="G2902" s="55"/>
      <c r="H2902" s="55"/>
      <c r="I2902" s="26" t="s">
        <v>1333</v>
      </c>
      <c r="J2902" s="26"/>
      <c r="K2902" s="26"/>
      <c r="L2902" s="26"/>
      <c r="M2902" s="26"/>
      <c r="N2902" s="26"/>
      <c r="O2902" s="26"/>
      <c r="P2902" s="26"/>
      <c r="Q2902" s="26" t="s">
        <v>1333</v>
      </c>
    </row>
    <row r="2903" ht="17.25" customHeight="1">
      <c r="A2903" s="51"/>
      <c r="B2903" s="55"/>
      <c r="C2903" s="55"/>
      <c r="D2903" s="240"/>
      <c r="E2903" s="52"/>
      <c r="F2903" s="55"/>
      <c r="G2903" s="55"/>
      <c r="H2903" s="55"/>
      <c r="I2903" s="26" t="s">
        <v>1333</v>
      </c>
      <c r="J2903" s="26"/>
      <c r="K2903" s="26"/>
      <c r="L2903" s="26"/>
      <c r="M2903" s="26"/>
      <c r="N2903" s="26"/>
      <c r="O2903" s="26"/>
      <c r="P2903" s="26"/>
      <c r="Q2903" s="26" t="s">
        <v>1333</v>
      </c>
    </row>
    <row r="2904" ht="17.25" customHeight="1">
      <c r="A2904" s="51"/>
      <c r="B2904" s="55"/>
      <c r="C2904" s="55"/>
      <c r="D2904" s="240"/>
      <c r="E2904" s="52"/>
      <c r="F2904" s="55"/>
      <c r="G2904" s="55"/>
      <c r="H2904" s="55"/>
      <c r="I2904" s="26" t="s">
        <v>1333</v>
      </c>
      <c r="J2904" s="26"/>
      <c r="K2904" s="26"/>
      <c r="L2904" s="26"/>
      <c r="M2904" s="26"/>
      <c r="N2904" s="26"/>
      <c r="O2904" s="26"/>
      <c r="P2904" s="26"/>
      <c r="Q2904" s="26" t="s">
        <v>1333</v>
      </c>
    </row>
    <row r="2905" ht="17.25" customHeight="1">
      <c r="A2905" s="51"/>
      <c r="B2905" s="55"/>
      <c r="C2905" s="55"/>
      <c r="D2905" s="240"/>
      <c r="E2905" s="52"/>
      <c r="F2905" s="55"/>
      <c r="G2905" s="55"/>
      <c r="H2905" s="55"/>
      <c r="I2905" s="26" t="s">
        <v>1333</v>
      </c>
      <c r="J2905" s="26"/>
      <c r="K2905" s="26"/>
      <c r="L2905" s="26"/>
      <c r="M2905" s="26"/>
      <c r="N2905" s="26"/>
      <c r="O2905" s="26"/>
      <c r="P2905" s="26"/>
      <c r="Q2905" s="26" t="s">
        <v>1333</v>
      </c>
    </row>
    <row r="2906" ht="17.25" customHeight="1">
      <c r="A2906" s="51"/>
      <c r="B2906" s="55"/>
      <c r="C2906" s="55"/>
      <c r="D2906" s="240"/>
      <c r="E2906" s="52"/>
      <c r="F2906" s="55"/>
      <c r="G2906" s="55"/>
      <c r="H2906" s="55"/>
      <c r="I2906" s="26" t="s">
        <v>1333</v>
      </c>
      <c r="J2906" s="26"/>
      <c r="K2906" s="26"/>
      <c r="L2906" s="26"/>
      <c r="M2906" s="26"/>
      <c r="N2906" s="26"/>
      <c r="O2906" s="26"/>
      <c r="P2906" s="26"/>
      <c r="Q2906" s="26" t="s">
        <v>1333</v>
      </c>
    </row>
    <row r="2907" ht="17.25" customHeight="1">
      <c r="A2907" s="51"/>
      <c r="B2907" s="55"/>
      <c r="C2907" s="55"/>
      <c r="D2907" s="240"/>
      <c r="E2907" s="52"/>
      <c r="F2907" s="55"/>
      <c r="G2907" s="55"/>
      <c r="H2907" s="55"/>
      <c r="I2907" s="26" t="s">
        <v>1333</v>
      </c>
      <c r="J2907" s="26"/>
      <c r="K2907" s="26"/>
      <c r="L2907" s="26"/>
      <c r="M2907" s="26"/>
      <c r="N2907" s="26"/>
      <c r="O2907" s="26"/>
      <c r="P2907" s="26"/>
      <c r="Q2907" s="26" t="s">
        <v>1333</v>
      </c>
    </row>
    <row r="2908" ht="17.25" customHeight="1">
      <c r="A2908" s="51"/>
      <c r="B2908" s="55"/>
      <c r="C2908" s="55"/>
      <c r="D2908" s="240"/>
      <c r="E2908" s="52"/>
      <c r="F2908" s="55"/>
      <c r="G2908" s="55"/>
      <c r="H2908" s="55"/>
      <c r="I2908" s="26" t="s">
        <v>1333</v>
      </c>
      <c r="J2908" s="26"/>
      <c r="K2908" s="26"/>
      <c r="L2908" s="26"/>
      <c r="M2908" s="26"/>
      <c r="N2908" s="26"/>
      <c r="O2908" s="26"/>
      <c r="P2908" s="26"/>
      <c r="Q2908" s="26" t="s">
        <v>1333</v>
      </c>
    </row>
    <row r="2909" ht="17.25" customHeight="1">
      <c r="A2909" s="51"/>
      <c r="B2909" s="55"/>
      <c r="C2909" s="55"/>
      <c r="D2909" s="240"/>
      <c r="E2909" s="52"/>
      <c r="F2909" s="55"/>
      <c r="G2909" s="55"/>
      <c r="H2909" s="55"/>
      <c r="I2909" s="26" t="s">
        <v>1333</v>
      </c>
      <c r="J2909" s="26"/>
      <c r="K2909" s="26"/>
      <c r="L2909" s="26"/>
      <c r="M2909" s="26"/>
      <c r="N2909" s="26"/>
      <c r="O2909" s="26"/>
      <c r="P2909" s="26"/>
      <c r="Q2909" s="26" t="s">
        <v>1333</v>
      </c>
    </row>
    <row r="2910" ht="17.25" customHeight="1">
      <c r="A2910" s="51"/>
      <c r="B2910" s="55"/>
      <c r="C2910" s="55"/>
      <c r="D2910" s="240"/>
      <c r="E2910" s="52"/>
      <c r="F2910" s="55"/>
      <c r="G2910" s="55"/>
      <c r="H2910" s="55"/>
      <c r="I2910" s="26" t="s">
        <v>1333</v>
      </c>
      <c r="J2910" s="26"/>
      <c r="K2910" s="26"/>
      <c r="L2910" s="26"/>
      <c r="M2910" s="26"/>
      <c r="N2910" s="26"/>
      <c r="O2910" s="26"/>
      <c r="P2910" s="26"/>
      <c r="Q2910" s="26" t="s">
        <v>1333</v>
      </c>
    </row>
    <row r="2911" ht="17.25" customHeight="1">
      <c r="A2911" s="51"/>
      <c r="B2911" s="55"/>
      <c r="C2911" s="55"/>
      <c r="D2911" s="240"/>
      <c r="E2911" s="52"/>
      <c r="F2911" s="55"/>
      <c r="G2911" s="55"/>
      <c r="H2911" s="55"/>
      <c r="I2911" s="26" t="s">
        <v>1333</v>
      </c>
      <c r="J2911" s="26"/>
      <c r="K2911" s="26"/>
      <c r="L2911" s="26"/>
      <c r="M2911" s="26"/>
      <c r="N2911" s="26"/>
      <c r="O2911" s="26"/>
      <c r="P2911" s="26"/>
      <c r="Q2911" s="26" t="s">
        <v>1333</v>
      </c>
    </row>
    <row r="2912" ht="17.25" customHeight="1">
      <c r="A2912" s="51"/>
      <c r="B2912" s="55"/>
      <c r="C2912" s="55"/>
      <c r="D2912" s="240"/>
      <c r="E2912" s="52"/>
      <c r="F2912" s="55"/>
      <c r="G2912" s="55"/>
      <c r="H2912" s="55"/>
      <c r="I2912" s="26" t="s">
        <v>1333</v>
      </c>
      <c r="J2912" s="26"/>
      <c r="K2912" s="26"/>
      <c r="L2912" s="26"/>
      <c r="M2912" s="26"/>
      <c r="N2912" s="26"/>
      <c r="O2912" s="26"/>
      <c r="P2912" s="26"/>
      <c r="Q2912" s="26" t="s">
        <v>1333</v>
      </c>
    </row>
    <row r="2913" ht="17.25" customHeight="1">
      <c r="A2913" s="51"/>
      <c r="B2913" s="55"/>
      <c r="C2913" s="55"/>
      <c r="D2913" s="240"/>
      <c r="E2913" s="52"/>
      <c r="F2913" s="55"/>
      <c r="G2913" s="55"/>
      <c r="H2913" s="55"/>
      <c r="I2913" s="26" t="s">
        <v>1333</v>
      </c>
      <c r="J2913" s="26"/>
      <c r="K2913" s="26"/>
      <c r="L2913" s="26"/>
      <c r="M2913" s="26"/>
      <c r="N2913" s="26"/>
      <c r="O2913" s="26"/>
      <c r="P2913" s="26"/>
      <c r="Q2913" s="26" t="s">
        <v>1333</v>
      </c>
    </row>
    <row r="2914" ht="17.25" customHeight="1">
      <c r="A2914" s="51"/>
      <c r="B2914" s="55"/>
      <c r="C2914" s="55"/>
      <c r="D2914" s="240"/>
      <c r="E2914" s="52"/>
      <c r="F2914" s="55"/>
      <c r="G2914" s="55"/>
      <c r="H2914" s="55"/>
      <c r="I2914" s="26" t="s">
        <v>1333</v>
      </c>
      <c r="J2914" s="26"/>
      <c r="K2914" s="26"/>
      <c r="L2914" s="26"/>
      <c r="M2914" s="26"/>
      <c r="N2914" s="26"/>
      <c r="O2914" s="26"/>
      <c r="P2914" s="26"/>
      <c r="Q2914" s="26" t="s">
        <v>1333</v>
      </c>
    </row>
    <row r="2915" ht="17.25" customHeight="1">
      <c r="A2915" s="51"/>
      <c r="B2915" s="55"/>
      <c r="C2915" s="55"/>
      <c r="D2915" s="240"/>
      <c r="E2915" s="52"/>
      <c r="F2915" s="55"/>
      <c r="G2915" s="55"/>
      <c r="H2915" s="55"/>
      <c r="I2915" s="26" t="s">
        <v>1333</v>
      </c>
      <c r="J2915" s="26"/>
      <c r="K2915" s="26"/>
      <c r="L2915" s="26"/>
      <c r="M2915" s="26"/>
      <c r="N2915" s="26"/>
      <c r="O2915" s="26"/>
      <c r="P2915" s="26"/>
      <c r="Q2915" s="26" t="s">
        <v>1333</v>
      </c>
    </row>
    <row r="2916" ht="17.25" customHeight="1">
      <c r="A2916" s="51"/>
      <c r="B2916" s="55"/>
      <c r="C2916" s="55"/>
      <c r="D2916" s="240"/>
      <c r="E2916" s="52"/>
      <c r="F2916" s="55"/>
      <c r="G2916" s="55"/>
      <c r="H2916" s="55"/>
      <c r="I2916" s="26" t="s">
        <v>1333</v>
      </c>
      <c r="J2916" s="26"/>
      <c r="K2916" s="26"/>
      <c r="L2916" s="26"/>
      <c r="M2916" s="26"/>
      <c r="N2916" s="26"/>
      <c r="O2916" s="26"/>
      <c r="P2916" s="26"/>
      <c r="Q2916" s="26" t="s">
        <v>1333</v>
      </c>
    </row>
    <row r="2917" ht="17.25" customHeight="1">
      <c r="A2917" s="51"/>
      <c r="B2917" s="55"/>
      <c r="C2917" s="55"/>
      <c r="D2917" s="240"/>
      <c r="E2917" s="52"/>
      <c r="F2917" s="55"/>
      <c r="G2917" s="55"/>
      <c r="H2917" s="55"/>
      <c r="I2917" s="26" t="s">
        <v>1333</v>
      </c>
      <c r="J2917" s="26"/>
      <c r="K2917" s="26"/>
      <c r="L2917" s="26"/>
      <c r="M2917" s="26"/>
      <c r="N2917" s="26"/>
      <c r="O2917" s="26"/>
      <c r="P2917" s="26"/>
      <c r="Q2917" s="26" t="s">
        <v>1333</v>
      </c>
    </row>
    <row r="2918" ht="17.25" customHeight="1">
      <c r="A2918" s="51"/>
      <c r="B2918" s="55"/>
      <c r="C2918" s="55"/>
      <c r="D2918" s="240"/>
      <c r="E2918" s="52"/>
      <c r="F2918" s="55"/>
      <c r="G2918" s="55"/>
      <c r="H2918" s="55"/>
      <c r="I2918" s="26" t="s">
        <v>1333</v>
      </c>
      <c r="J2918" s="26"/>
      <c r="K2918" s="26"/>
      <c r="L2918" s="26"/>
      <c r="M2918" s="26"/>
      <c r="N2918" s="26"/>
      <c r="O2918" s="26"/>
      <c r="P2918" s="26"/>
      <c r="Q2918" s="26" t="s">
        <v>1333</v>
      </c>
    </row>
    <row r="2919" ht="17.25" customHeight="1">
      <c r="A2919" s="51"/>
      <c r="B2919" s="55"/>
      <c r="C2919" s="55"/>
      <c r="D2919" s="240"/>
      <c r="E2919" s="52"/>
      <c r="F2919" s="55"/>
      <c r="G2919" s="55"/>
      <c r="H2919" s="55"/>
      <c r="I2919" s="26" t="s">
        <v>1333</v>
      </c>
      <c r="J2919" s="26"/>
      <c r="K2919" s="26"/>
      <c r="L2919" s="26"/>
      <c r="M2919" s="26"/>
      <c r="N2919" s="26"/>
      <c r="O2919" s="26"/>
      <c r="P2919" s="26"/>
      <c r="Q2919" s="26" t="s">
        <v>1333</v>
      </c>
    </row>
    <row r="2920" ht="17.25" customHeight="1">
      <c r="A2920" s="51"/>
      <c r="B2920" s="55"/>
      <c r="C2920" s="55"/>
      <c r="D2920" s="240"/>
      <c r="E2920" s="52"/>
      <c r="F2920" s="55"/>
      <c r="G2920" s="55"/>
      <c r="H2920" s="55"/>
      <c r="I2920" s="26" t="s">
        <v>1333</v>
      </c>
      <c r="J2920" s="26"/>
      <c r="K2920" s="26"/>
      <c r="L2920" s="26"/>
      <c r="M2920" s="26"/>
      <c r="N2920" s="26"/>
      <c r="O2920" s="26"/>
      <c r="P2920" s="26"/>
      <c r="Q2920" s="26" t="s">
        <v>1333</v>
      </c>
    </row>
    <row r="2921" ht="17.25" customHeight="1">
      <c r="A2921" s="51"/>
      <c r="B2921" s="55"/>
      <c r="C2921" s="55"/>
      <c r="D2921" s="240"/>
      <c r="E2921" s="52"/>
      <c r="F2921" s="55"/>
      <c r="G2921" s="55"/>
      <c r="H2921" s="55"/>
      <c r="I2921" s="26" t="s">
        <v>1333</v>
      </c>
      <c r="J2921" s="26"/>
      <c r="K2921" s="26"/>
      <c r="L2921" s="26"/>
      <c r="M2921" s="26"/>
      <c r="N2921" s="26"/>
      <c r="O2921" s="26"/>
      <c r="P2921" s="26"/>
      <c r="Q2921" s="26" t="s">
        <v>1333</v>
      </c>
    </row>
    <row r="2922" ht="17.25" customHeight="1">
      <c r="A2922" s="51"/>
      <c r="B2922" s="55"/>
      <c r="C2922" s="55"/>
      <c r="D2922" s="240"/>
      <c r="E2922" s="52"/>
      <c r="F2922" s="55"/>
      <c r="G2922" s="55"/>
      <c r="H2922" s="55"/>
      <c r="I2922" s="26" t="s">
        <v>1333</v>
      </c>
      <c r="J2922" s="26"/>
      <c r="K2922" s="26"/>
      <c r="L2922" s="26"/>
      <c r="M2922" s="26"/>
      <c r="N2922" s="26"/>
      <c r="O2922" s="26"/>
      <c r="P2922" s="26"/>
      <c r="Q2922" s="26" t="s">
        <v>1333</v>
      </c>
    </row>
    <row r="2923" ht="17.25" customHeight="1">
      <c r="A2923" s="51"/>
      <c r="B2923" s="55"/>
      <c r="C2923" s="55"/>
      <c r="D2923" s="240"/>
      <c r="E2923" s="52"/>
      <c r="F2923" s="55"/>
      <c r="G2923" s="55"/>
      <c r="H2923" s="55"/>
      <c r="I2923" s="26" t="s">
        <v>1333</v>
      </c>
      <c r="J2923" s="26"/>
      <c r="K2923" s="26"/>
      <c r="L2923" s="26"/>
      <c r="M2923" s="26"/>
      <c r="N2923" s="26"/>
      <c r="O2923" s="26"/>
      <c r="P2923" s="26"/>
      <c r="Q2923" s="26" t="s">
        <v>1333</v>
      </c>
    </row>
    <row r="2924" ht="17.25" customHeight="1">
      <c r="A2924" s="51"/>
      <c r="B2924" s="55"/>
      <c r="C2924" s="55"/>
      <c r="D2924" s="240"/>
      <c r="E2924" s="52"/>
      <c r="F2924" s="55"/>
      <c r="G2924" s="55"/>
      <c r="H2924" s="55"/>
      <c r="I2924" s="26" t="s">
        <v>1333</v>
      </c>
      <c r="J2924" s="26"/>
      <c r="K2924" s="26"/>
      <c r="L2924" s="26"/>
      <c r="M2924" s="26"/>
      <c r="N2924" s="26"/>
      <c r="O2924" s="26"/>
      <c r="P2924" s="26"/>
      <c r="Q2924" s="26" t="s">
        <v>1333</v>
      </c>
    </row>
    <row r="2925" ht="17.25" customHeight="1">
      <c r="A2925" s="51"/>
      <c r="B2925" s="55"/>
      <c r="C2925" s="55"/>
      <c r="D2925" s="240"/>
      <c r="E2925" s="52"/>
      <c r="F2925" s="55"/>
      <c r="G2925" s="55"/>
      <c r="H2925" s="55"/>
      <c r="I2925" s="26" t="s">
        <v>1333</v>
      </c>
      <c r="J2925" s="26"/>
      <c r="K2925" s="26"/>
      <c r="L2925" s="26"/>
      <c r="M2925" s="26"/>
      <c r="N2925" s="26"/>
      <c r="O2925" s="26"/>
      <c r="P2925" s="26"/>
      <c r="Q2925" s="26" t="s">
        <v>1333</v>
      </c>
    </row>
    <row r="2926" ht="17.25" customHeight="1">
      <c r="A2926" s="51"/>
      <c r="B2926" s="55"/>
      <c r="C2926" s="55"/>
      <c r="D2926" s="240"/>
      <c r="E2926" s="52"/>
      <c r="F2926" s="55"/>
      <c r="G2926" s="55"/>
      <c r="H2926" s="55"/>
      <c r="I2926" s="26" t="s">
        <v>1333</v>
      </c>
      <c r="J2926" s="26"/>
      <c r="K2926" s="26"/>
      <c r="L2926" s="26"/>
      <c r="M2926" s="26"/>
      <c r="N2926" s="26"/>
      <c r="O2926" s="26"/>
      <c r="P2926" s="26"/>
      <c r="Q2926" s="26" t="s">
        <v>1333</v>
      </c>
    </row>
    <row r="2927" ht="17.25" customHeight="1">
      <c r="A2927" s="51"/>
      <c r="B2927" s="55"/>
      <c r="C2927" s="55"/>
      <c r="D2927" s="240"/>
      <c r="E2927" s="52"/>
      <c r="F2927" s="55"/>
      <c r="G2927" s="55"/>
      <c r="H2927" s="55"/>
      <c r="I2927" s="26" t="s">
        <v>1333</v>
      </c>
      <c r="J2927" s="26"/>
      <c r="K2927" s="26"/>
      <c r="L2927" s="26"/>
      <c r="M2927" s="26"/>
      <c r="N2927" s="26"/>
      <c r="O2927" s="26"/>
      <c r="P2927" s="26"/>
      <c r="Q2927" s="26" t="s">
        <v>1333</v>
      </c>
    </row>
    <row r="2928" ht="17.25" customHeight="1">
      <c r="A2928" s="51"/>
      <c r="B2928" s="55"/>
      <c r="C2928" s="55"/>
      <c r="D2928" s="240"/>
      <c r="E2928" s="52"/>
      <c r="F2928" s="55"/>
      <c r="G2928" s="55"/>
      <c r="H2928" s="55"/>
      <c r="I2928" s="26" t="s">
        <v>1333</v>
      </c>
      <c r="J2928" s="26"/>
      <c r="K2928" s="26"/>
      <c r="L2928" s="26"/>
      <c r="M2928" s="26"/>
      <c r="N2928" s="26"/>
      <c r="O2928" s="26"/>
      <c r="P2928" s="26"/>
      <c r="Q2928" s="26" t="s">
        <v>1333</v>
      </c>
    </row>
    <row r="2929" ht="17.25" customHeight="1">
      <c r="A2929" s="51"/>
      <c r="B2929" s="55"/>
      <c r="C2929" s="55"/>
      <c r="D2929" s="240"/>
      <c r="E2929" s="52"/>
      <c r="F2929" s="55"/>
      <c r="G2929" s="55"/>
      <c r="H2929" s="55"/>
      <c r="I2929" s="26" t="s">
        <v>1333</v>
      </c>
      <c r="J2929" s="26"/>
      <c r="K2929" s="26"/>
      <c r="L2929" s="26"/>
      <c r="M2929" s="26"/>
      <c r="N2929" s="26"/>
      <c r="O2929" s="26"/>
      <c r="P2929" s="26"/>
      <c r="Q2929" s="26" t="s">
        <v>1333</v>
      </c>
    </row>
    <row r="2930" ht="17.25" customHeight="1">
      <c r="A2930" s="51"/>
      <c r="B2930" s="55"/>
      <c r="C2930" s="55"/>
      <c r="D2930" s="240"/>
      <c r="E2930" s="52"/>
      <c r="F2930" s="55"/>
      <c r="G2930" s="55"/>
      <c r="H2930" s="55"/>
      <c r="I2930" s="26" t="s">
        <v>1333</v>
      </c>
      <c r="J2930" s="26"/>
      <c r="K2930" s="26"/>
      <c r="L2930" s="26"/>
      <c r="M2930" s="26"/>
      <c r="N2930" s="26"/>
      <c r="O2930" s="26"/>
      <c r="P2930" s="26"/>
      <c r="Q2930" s="26" t="s">
        <v>1333</v>
      </c>
    </row>
    <row r="2931" ht="17.25" customHeight="1">
      <c r="A2931" s="51"/>
      <c r="B2931" s="55"/>
      <c r="C2931" s="55"/>
      <c r="D2931" s="240"/>
      <c r="E2931" s="52"/>
      <c r="F2931" s="55"/>
      <c r="G2931" s="55"/>
      <c r="H2931" s="55"/>
      <c r="I2931" s="26" t="s">
        <v>1333</v>
      </c>
      <c r="J2931" s="26"/>
      <c r="K2931" s="26"/>
      <c r="L2931" s="26"/>
      <c r="M2931" s="26"/>
      <c r="N2931" s="26"/>
      <c r="O2931" s="26"/>
      <c r="P2931" s="26"/>
      <c r="Q2931" s="26" t="s">
        <v>1333</v>
      </c>
    </row>
    <row r="2932" ht="17.25" customHeight="1">
      <c r="A2932" s="51"/>
      <c r="B2932" s="55"/>
      <c r="C2932" s="55"/>
      <c r="D2932" s="240"/>
      <c r="E2932" s="52"/>
      <c r="F2932" s="55"/>
      <c r="G2932" s="55"/>
      <c r="H2932" s="55"/>
      <c r="I2932" s="26" t="s">
        <v>1333</v>
      </c>
      <c r="J2932" s="26"/>
      <c r="K2932" s="26"/>
      <c r="L2932" s="26"/>
      <c r="M2932" s="26"/>
      <c r="N2932" s="26"/>
      <c r="O2932" s="26"/>
      <c r="P2932" s="26"/>
      <c r="Q2932" s="26" t="s">
        <v>1333</v>
      </c>
    </row>
    <row r="2933" ht="17.25" customHeight="1">
      <c r="A2933" s="51"/>
      <c r="B2933" s="55"/>
      <c r="C2933" s="55"/>
      <c r="D2933" s="240"/>
      <c r="E2933" s="52"/>
      <c r="F2933" s="55"/>
      <c r="G2933" s="55"/>
      <c r="H2933" s="55"/>
      <c r="I2933" s="26" t="s">
        <v>1333</v>
      </c>
      <c r="J2933" s="26"/>
      <c r="K2933" s="26"/>
      <c r="L2933" s="26"/>
      <c r="M2933" s="26"/>
      <c r="N2933" s="26"/>
      <c r="O2933" s="26"/>
      <c r="P2933" s="26"/>
      <c r="Q2933" s="26" t="s">
        <v>1333</v>
      </c>
    </row>
    <row r="2934" ht="17.25" customHeight="1">
      <c r="A2934" s="51"/>
      <c r="B2934" s="55"/>
      <c r="C2934" s="55"/>
      <c r="D2934" s="240"/>
      <c r="E2934" s="52"/>
      <c r="F2934" s="55"/>
      <c r="G2934" s="55"/>
      <c r="H2934" s="55"/>
      <c r="I2934" s="26" t="s">
        <v>1333</v>
      </c>
      <c r="J2934" s="26"/>
      <c r="K2934" s="26"/>
      <c r="L2934" s="26"/>
      <c r="M2934" s="26"/>
      <c r="N2934" s="26"/>
      <c r="O2934" s="26"/>
      <c r="P2934" s="26"/>
      <c r="Q2934" s="26" t="s">
        <v>1333</v>
      </c>
    </row>
    <row r="2935" ht="17.25" customHeight="1">
      <c r="A2935" s="51"/>
      <c r="B2935" s="55"/>
      <c r="C2935" s="55"/>
      <c r="D2935" s="240"/>
      <c r="E2935" s="52"/>
      <c r="F2935" s="55"/>
      <c r="G2935" s="55"/>
      <c r="H2935" s="55"/>
      <c r="I2935" s="26" t="s">
        <v>1333</v>
      </c>
      <c r="J2935" s="26"/>
      <c r="K2935" s="26"/>
      <c r="L2935" s="26"/>
      <c r="M2935" s="26"/>
      <c r="N2935" s="26"/>
      <c r="O2935" s="26"/>
      <c r="P2935" s="26"/>
      <c r="Q2935" s="26" t="s">
        <v>1333</v>
      </c>
    </row>
    <row r="2936" ht="17.25" customHeight="1">
      <c r="A2936" s="51"/>
      <c r="B2936" s="55"/>
      <c r="C2936" s="55"/>
      <c r="D2936" s="240"/>
      <c r="E2936" s="52"/>
      <c r="F2936" s="55"/>
      <c r="G2936" s="55"/>
      <c r="H2936" s="55"/>
      <c r="I2936" s="26" t="s">
        <v>1333</v>
      </c>
      <c r="J2936" s="26"/>
      <c r="K2936" s="26"/>
      <c r="L2936" s="26"/>
      <c r="M2936" s="26"/>
      <c r="N2936" s="26"/>
      <c r="O2936" s="26"/>
      <c r="P2936" s="26"/>
      <c r="Q2936" s="26" t="s">
        <v>1333</v>
      </c>
    </row>
    <row r="2937" ht="17.25" customHeight="1">
      <c r="A2937" s="51"/>
      <c r="B2937" s="55"/>
      <c r="C2937" s="55"/>
      <c r="D2937" s="240"/>
      <c r="E2937" s="52"/>
      <c r="F2937" s="55"/>
      <c r="G2937" s="55"/>
      <c r="H2937" s="55"/>
      <c r="I2937" s="26" t="s">
        <v>1333</v>
      </c>
      <c r="J2937" s="26"/>
      <c r="K2937" s="26"/>
      <c r="L2937" s="26"/>
      <c r="M2937" s="26"/>
      <c r="N2937" s="26"/>
      <c r="O2937" s="26"/>
      <c r="P2937" s="26"/>
      <c r="Q2937" s="26" t="s">
        <v>1333</v>
      </c>
    </row>
    <row r="2938" ht="17.25" customHeight="1">
      <c r="A2938" s="51"/>
      <c r="B2938" s="55"/>
      <c r="C2938" s="55"/>
      <c r="D2938" s="240"/>
      <c r="E2938" s="52"/>
      <c r="F2938" s="55"/>
      <c r="G2938" s="55"/>
      <c r="H2938" s="55"/>
      <c r="I2938" s="26" t="s">
        <v>1333</v>
      </c>
      <c r="J2938" s="26"/>
      <c r="K2938" s="26"/>
      <c r="L2938" s="26"/>
      <c r="M2938" s="26"/>
      <c r="N2938" s="26"/>
      <c r="O2938" s="26"/>
      <c r="P2938" s="26"/>
      <c r="Q2938" s="26" t="s">
        <v>1333</v>
      </c>
    </row>
    <row r="2939" ht="17.25" customHeight="1">
      <c r="A2939" s="51"/>
      <c r="B2939" s="55"/>
      <c r="C2939" s="55"/>
      <c r="D2939" s="240"/>
      <c r="E2939" s="52"/>
      <c r="F2939" s="55"/>
      <c r="G2939" s="55"/>
      <c r="H2939" s="55"/>
      <c r="I2939" s="26" t="s">
        <v>1333</v>
      </c>
      <c r="J2939" s="26"/>
      <c r="K2939" s="26"/>
      <c r="L2939" s="26"/>
      <c r="M2939" s="26"/>
      <c r="N2939" s="26"/>
      <c r="O2939" s="26"/>
      <c r="P2939" s="26"/>
      <c r="Q2939" s="26" t="s">
        <v>1333</v>
      </c>
    </row>
    <row r="2940" ht="17.25" customHeight="1">
      <c r="A2940" s="51"/>
      <c r="B2940" s="55"/>
      <c r="C2940" s="55"/>
      <c r="D2940" s="240"/>
      <c r="E2940" s="52"/>
      <c r="F2940" s="55"/>
      <c r="G2940" s="55"/>
      <c r="H2940" s="55"/>
      <c r="I2940" s="26" t="s">
        <v>1333</v>
      </c>
      <c r="J2940" s="26"/>
      <c r="K2940" s="26"/>
      <c r="L2940" s="26"/>
      <c r="M2940" s="26"/>
      <c r="N2940" s="26"/>
      <c r="O2940" s="26"/>
      <c r="P2940" s="26"/>
      <c r="Q2940" s="26" t="s">
        <v>1333</v>
      </c>
    </row>
    <row r="2941" ht="17.25" customHeight="1">
      <c r="A2941" s="51"/>
      <c r="B2941" s="55"/>
      <c r="C2941" s="55"/>
      <c r="D2941" s="240"/>
      <c r="E2941" s="52"/>
      <c r="F2941" s="55"/>
      <c r="G2941" s="55"/>
      <c r="H2941" s="55"/>
      <c r="I2941" s="26" t="s">
        <v>1333</v>
      </c>
      <c r="J2941" s="26"/>
      <c r="K2941" s="26"/>
      <c r="L2941" s="26"/>
      <c r="M2941" s="26"/>
      <c r="N2941" s="26"/>
      <c r="O2941" s="26"/>
      <c r="P2941" s="26"/>
      <c r="Q2941" s="26" t="s">
        <v>1333</v>
      </c>
    </row>
    <row r="2942" ht="17.25" customHeight="1">
      <c r="A2942" s="51"/>
      <c r="B2942" s="55"/>
      <c r="C2942" s="55"/>
      <c r="D2942" s="240"/>
      <c r="E2942" s="52"/>
      <c r="F2942" s="55"/>
      <c r="G2942" s="55"/>
      <c r="H2942" s="55"/>
      <c r="I2942" s="26" t="s">
        <v>1333</v>
      </c>
      <c r="J2942" s="26"/>
      <c r="K2942" s="26"/>
      <c r="L2942" s="26"/>
      <c r="M2942" s="26"/>
      <c r="N2942" s="26"/>
      <c r="O2942" s="26"/>
      <c r="P2942" s="26"/>
      <c r="Q2942" s="26" t="s">
        <v>1333</v>
      </c>
    </row>
    <row r="2943" ht="17.25" customHeight="1">
      <c r="A2943" s="51"/>
      <c r="B2943" s="55"/>
      <c r="C2943" s="55"/>
      <c r="D2943" s="240"/>
      <c r="E2943" s="52"/>
      <c r="F2943" s="55"/>
      <c r="G2943" s="55"/>
      <c r="H2943" s="55"/>
      <c r="I2943" s="26" t="s">
        <v>1333</v>
      </c>
      <c r="J2943" s="26"/>
      <c r="K2943" s="26"/>
      <c r="L2943" s="26"/>
      <c r="M2943" s="26"/>
      <c r="N2943" s="26"/>
      <c r="O2943" s="26"/>
      <c r="P2943" s="26"/>
      <c r="Q2943" s="26" t="s">
        <v>1333</v>
      </c>
    </row>
    <row r="2944" ht="17.25" customHeight="1">
      <c r="A2944" s="51"/>
      <c r="B2944" s="55"/>
      <c r="C2944" s="55"/>
      <c r="D2944" s="240"/>
      <c r="E2944" s="52"/>
      <c r="F2944" s="55"/>
      <c r="G2944" s="55"/>
      <c r="H2944" s="55"/>
      <c r="I2944" s="26" t="s">
        <v>1333</v>
      </c>
      <c r="J2944" s="26"/>
      <c r="K2944" s="26"/>
      <c r="L2944" s="26"/>
      <c r="M2944" s="26"/>
      <c r="N2944" s="26"/>
      <c r="O2944" s="26"/>
      <c r="P2944" s="26"/>
      <c r="Q2944" s="26" t="s">
        <v>1333</v>
      </c>
    </row>
    <row r="2945" ht="17.25" customHeight="1">
      <c r="A2945" s="51"/>
      <c r="B2945" s="55"/>
      <c r="C2945" s="55"/>
      <c r="D2945" s="240"/>
      <c r="E2945" s="52"/>
      <c r="F2945" s="55"/>
      <c r="G2945" s="55"/>
      <c r="H2945" s="55"/>
      <c r="I2945" s="26" t="s">
        <v>1333</v>
      </c>
      <c r="J2945" s="26"/>
      <c r="K2945" s="26"/>
      <c r="L2945" s="26"/>
      <c r="M2945" s="26"/>
      <c r="N2945" s="26"/>
      <c r="O2945" s="26"/>
      <c r="P2945" s="26"/>
      <c r="Q2945" s="26" t="s">
        <v>1333</v>
      </c>
    </row>
    <row r="2946" ht="17.25" customHeight="1">
      <c r="A2946" s="51"/>
      <c r="B2946" s="55"/>
      <c r="C2946" s="55"/>
      <c r="D2946" s="240"/>
      <c r="E2946" s="52"/>
      <c r="F2946" s="55"/>
      <c r="G2946" s="55"/>
      <c r="H2946" s="55"/>
      <c r="I2946" s="26" t="s">
        <v>1333</v>
      </c>
      <c r="J2946" s="26"/>
      <c r="K2946" s="26"/>
      <c r="L2946" s="26"/>
      <c r="M2946" s="26"/>
      <c r="N2946" s="26"/>
      <c r="O2946" s="26"/>
      <c r="P2946" s="26"/>
      <c r="Q2946" s="26" t="s">
        <v>1333</v>
      </c>
    </row>
    <row r="2947" ht="17.25" customHeight="1">
      <c r="A2947" s="51"/>
      <c r="B2947" s="55"/>
      <c r="C2947" s="55"/>
      <c r="D2947" s="240"/>
      <c r="E2947" s="52"/>
      <c r="F2947" s="55"/>
      <c r="G2947" s="55"/>
      <c r="H2947" s="55"/>
      <c r="I2947" s="26" t="s">
        <v>1333</v>
      </c>
      <c r="J2947" s="26"/>
      <c r="K2947" s="26"/>
      <c r="L2947" s="26"/>
      <c r="M2947" s="26"/>
      <c r="N2947" s="26"/>
      <c r="O2947" s="26"/>
      <c r="P2947" s="26"/>
      <c r="Q2947" s="26" t="s">
        <v>1333</v>
      </c>
    </row>
    <row r="2948" ht="17.25" customHeight="1">
      <c r="A2948" s="51"/>
      <c r="B2948" s="55"/>
      <c r="C2948" s="55"/>
      <c r="D2948" s="240"/>
      <c r="E2948" s="52"/>
      <c r="F2948" s="55"/>
      <c r="G2948" s="55"/>
      <c r="H2948" s="55"/>
      <c r="I2948" s="26" t="s">
        <v>1333</v>
      </c>
      <c r="J2948" s="26"/>
      <c r="K2948" s="26"/>
      <c r="L2948" s="26"/>
      <c r="M2948" s="26"/>
      <c r="N2948" s="26"/>
      <c r="O2948" s="26"/>
      <c r="P2948" s="26"/>
      <c r="Q2948" s="26" t="s">
        <v>1333</v>
      </c>
    </row>
    <row r="2949" ht="17.25" customHeight="1">
      <c r="A2949" s="51"/>
      <c r="B2949" s="55"/>
      <c r="C2949" s="55"/>
      <c r="D2949" s="240"/>
      <c r="E2949" s="52"/>
      <c r="F2949" s="55"/>
      <c r="G2949" s="55"/>
      <c r="H2949" s="55"/>
      <c r="I2949" s="26" t="s">
        <v>1333</v>
      </c>
      <c r="J2949" s="26"/>
      <c r="K2949" s="26"/>
      <c r="L2949" s="26"/>
      <c r="M2949" s="26"/>
      <c r="N2949" s="26"/>
      <c r="O2949" s="26"/>
      <c r="P2949" s="26"/>
      <c r="Q2949" s="26" t="s">
        <v>1333</v>
      </c>
    </row>
    <row r="2950" ht="17.25" customHeight="1">
      <c r="A2950" s="51"/>
      <c r="B2950" s="55"/>
      <c r="C2950" s="55"/>
      <c r="D2950" s="240"/>
      <c r="E2950" s="52"/>
      <c r="F2950" s="55"/>
      <c r="G2950" s="55"/>
      <c r="H2950" s="55"/>
      <c r="I2950" s="26" t="s">
        <v>1333</v>
      </c>
      <c r="J2950" s="26"/>
      <c r="K2950" s="26"/>
      <c r="L2950" s="26"/>
      <c r="M2950" s="26"/>
      <c r="N2950" s="26"/>
      <c r="O2950" s="26"/>
      <c r="P2950" s="26"/>
      <c r="Q2950" s="26" t="s">
        <v>1333</v>
      </c>
    </row>
    <row r="2951" ht="17.25" customHeight="1">
      <c r="A2951" s="51"/>
      <c r="B2951" s="55"/>
      <c r="C2951" s="55"/>
      <c r="D2951" s="240"/>
      <c r="E2951" s="52"/>
      <c r="F2951" s="55"/>
      <c r="G2951" s="55"/>
      <c r="H2951" s="55"/>
      <c r="I2951" s="26" t="s">
        <v>1333</v>
      </c>
      <c r="J2951" s="26"/>
      <c r="K2951" s="26"/>
      <c r="L2951" s="26"/>
      <c r="M2951" s="26"/>
      <c r="N2951" s="26"/>
      <c r="O2951" s="26"/>
      <c r="P2951" s="26"/>
      <c r="Q2951" s="26" t="s">
        <v>1333</v>
      </c>
    </row>
    <row r="2952" ht="17.25" customHeight="1">
      <c r="A2952" s="51"/>
      <c r="B2952" s="55"/>
      <c r="C2952" s="55"/>
      <c r="D2952" s="240"/>
      <c r="E2952" s="52"/>
      <c r="F2952" s="55"/>
      <c r="G2952" s="55"/>
      <c r="H2952" s="55"/>
      <c r="I2952" s="26" t="s">
        <v>1333</v>
      </c>
      <c r="J2952" s="26"/>
      <c r="K2952" s="26"/>
      <c r="L2952" s="26"/>
      <c r="M2952" s="26"/>
      <c r="N2952" s="26"/>
      <c r="O2952" s="26"/>
      <c r="P2952" s="26"/>
      <c r="Q2952" s="26" t="s">
        <v>1333</v>
      </c>
    </row>
    <row r="2953" ht="17.25" customHeight="1">
      <c r="A2953" s="51"/>
      <c r="B2953" s="55"/>
      <c r="C2953" s="55"/>
      <c r="D2953" s="240"/>
      <c r="E2953" s="52"/>
      <c r="F2953" s="55"/>
      <c r="G2953" s="55"/>
      <c r="H2953" s="55"/>
      <c r="I2953" s="26" t="s">
        <v>1333</v>
      </c>
      <c r="J2953" s="26"/>
      <c r="K2953" s="26"/>
      <c r="L2953" s="26"/>
      <c r="M2953" s="26"/>
      <c r="N2953" s="26"/>
      <c r="O2953" s="26"/>
      <c r="P2953" s="26"/>
      <c r="Q2953" s="26" t="s">
        <v>1333</v>
      </c>
    </row>
    <row r="2954" ht="17.25" customHeight="1">
      <c r="A2954" s="51"/>
      <c r="B2954" s="55"/>
      <c r="C2954" s="55"/>
      <c r="D2954" s="240"/>
      <c r="E2954" s="52"/>
      <c r="F2954" s="55"/>
      <c r="G2954" s="55"/>
      <c r="H2954" s="55"/>
      <c r="I2954" s="26" t="s">
        <v>1333</v>
      </c>
      <c r="J2954" s="26"/>
      <c r="K2954" s="26"/>
      <c r="L2954" s="26"/>
      <c r="M2954" s="26"/>
      <c r="N2954" s="26"/>
      <c r="O2954" s="26"/>
      <c r="P2954" s="26"/>
      <c r="Q2954" s="26" t="s">
        <v>1333</v>
      </c>
    </row>
    <row r="2955" ht="17.25" customHeight="1">
      <c r="A2955" s="51"/>
      <c r="B2955" s="55"/>
      <c r="C2955" s="55"/>
      <c r="D2955" s="240"/>
      <c r="E2955" s="52"/>
      <c r="F2955" s="55"/>
      <c r="G2955" s="55"/>
      <c r="H2955" s="55"/>
      <c r="I2955" s="26" t="s">
        <v>1333</v>
      </c>
      <c r="J2955" s="26"/>
      <c r="K2955" s="26"/>
      <c r="L2955" s="26"/>
      <c r="M2955" s="26"/>
      <c r="N2955" s="26"/>
      <c r="O2955" s="26"/>
      <c r="P2955" s="26"/>
      <c r="Q2955" s="26" t="s">
        <v>1333</v>
      </c>
    </row>
    <row r="2956" ht="17.25" customHeight="1">
      <c r="A2956" s="51"/>
      <c r="B2956" s="55"/>
      <c r="C2956" s="55"/>
      <c r="D2956" s="240"/>
      <c r="E2956" s="52"/>
      <c r="F2956" s="55"/>
      <c r="G2956" s="55"/>
      <c r="H2956" s="55"/>
      <c r="I2956" s="26" t="s">
        <v>1333</v>
      </c>
      <c r="J2956" s="26"/>
      <c r="K2956" s="26"/>
      <c r="L2956" s="26"/>
      <c r="M2956" s="26"/>
      <c r="N2956" s="26"/>
      <c r="O2956" s="26"/>
      <c r="P2956" s="26"/>
      <c r="Q2956" s="26" t="s">
        <v>1333</v>
      </c>
    </row>
    <row r="2957" ht="17.25" customHeight="1">
      <c r="A2957" s="51"/>
      <c r="B2957" s="55"/>
      <c r="C2957" s="55"/>
      <c r="D2957" s="240"/>
      <c r="E2957" s="52"/>
      <c r="F2957" s="55"/>
      <c r="G2957" s="55"/>
      <c r="H2957" s="55"/>
      <c r="I2957" s="26" t="s">
        <v>1333</v>
      </c>
      <c r="J2957" s="26"/>
      <c r="K2957" s="26"/>
      <c r="L2957" s="26"/>
      <c r="M2957" s="26"/>
      <c r="N2957" s="26"/>
      <c r="O2957" s="26"/>
      <c r="P2957" s="26"/>
      <c r="Q2957" s="26" t="s">
        <v>1333</v>
      </c>
    </row>
    <row r="2958" ht="17.25" customHeight="1">
      <c r="A2958" s="51"/>
      <c r="B2958" s="55"/>
      <c r="C2958" s="55"/>
      <c r="D2958" s="240"/>
      <c r="E2958" s="52"/>
      <c r="F2958" s="55"/>
      <c r="G2958" s="55"/>
      <c r="H2958" s="55"/>
      <c r="I2958" s="26" t="s">
        <v>1333</v>
      </c>
      <c r="J2958" s="26"/>
      <c r="K2958" s="26"/>
      <c r="L2958" s="26"/>
      <c r="M2958" s="26"/>
      <c r="N2958" s="26"/>
      <c r="O2958" s="26"/>
      <c r="P2958" s="26"/>
      <c r="Q2958" s="26" t="s">
        <v>1333</v>
      </c>
    </row>
    <row r="2959" ht="17.25" customHeight="1">
      <c r="A2959" s="51"/>
      <c r="B2959" s="55"/>
      <c r="C2959" s="55"/>
      <c r="D2959" s="240"/>
      <c r="E2959" s="52"/>
      <c r="F2959" s="55"/>
      <c r="G2959" s="55"/>
      <c r="H2959" s="55"/>
      <c r="I2959" s="26" t="s">
        <v>1333</v>
      </c>
      <c r="J2959" s="26"/>
      <c r="K2959" s="26"/>
      <c r="L2959" s="26"/>
      <c r="M2959" s="26"/>
      <c r="N2959" s="26"/>
      <c r="O2959" s="26"/>
      <c r="P2959" s="26"/>
      <c r="Q2959" s="26" t="s">
        <v>1333</v>
      </c>
    </row>
    <row r="2960" ht="17.25" customHeight="1">
      <c r="A2960" s="51"/>
      <c r="B2960" s="55"/>
      <c r="C2960" s="55"/>
      <c r="D2960" s="240"/>
      <c r="E2960" s="52"/>
      <c r="F2960" s="55"/>
      <c r="G2960" s="55"/>
      <c r="H2960" s="55"/>
      <c r="I2960" s="26" t="s">
        <v>1333</v>
      </c>
      <c r="J2960" s="26"/>
      <c r="K2960" s="26"/>
      <c r="L2960" s="26"/>
      <c r="M2960" s="26"/>
      <c r="N2960" s="26"/>
      <c r="O2960" s="26"/>
      <c r="P2960" s="26"/>
      <c r="Q2960" s="26" t="s">
        <v>1333</v>
      </c>
    </row>
    <row r="2961" ht="17.25" customHeight="1">
      <c r="A2961" s="51"/>
      <c r="B2961" s="55"/>
      <c r="C2961" s="55"/>
      <c r="D2961" s="240"/>
      <c r="E2961" s="52"/>
      <c r="F2961" s="55"/>
      <c r="G2961" s="55"/>
      <c r="H2961" s="55"/>
      <c r="I2961" s="26" t="s">
        <v>1333</v>
      </c>
      <c r="J2961" s="26"/>
      <c r="K2961" s="26"/>
      <c r="L2961" s="26"/>
      <c r="M2961" s="26"/>
      <c r="N2961" s="26"/>
      <c r="O2961" s="26"/>
      <c r="P2961" s="26"/>
      <c r="Q2961" s="26" t="s">
        <v>1333</v>
      </c>
    </row>
    <row r="2962" ht="17.25" customHeight="1">
      <c r="A2962" s="51"/>
      <c r="B2962" s="55"/>
      <c r="C2962" s="55"/>
      <c r="D2962" s="240"/>
      <c r="E2962" s="52"/>
      <c r="F2962" s="55"/>
      <c r="G2962" s="55"/>
      <c r="H2962" s="55"/>
      <c r="I2962" s="26" t="s">
        <v>1333</v>
      </c>
      <c r="J2962" s="26"/>
      <c r="K2962" s="26"/>
      <c r="L2962" s="26"/>
      <c r="M2962" s="26"/>
      <c r="N2962" s="26"/>
      <c r="O2962" s="26"/>
      <c r="P2962" s="26"/>
      <c r="Q2962" s="26" t="s">
        <v>1333</v>
      </c>
    </row>
    <row r="2963" ht="17.25" customHeight="1">
      <c r="A2963" s="51"/>
      <c r="B2963" s="55"/>
      <c r="C2963" s="55"/>
      <c r="D2963" s="240"/>
      <c r="E2963" s="52"/>
      <c r="F2963" s="55"/>
      <c r="G2963" s="55"/>
      <c r="H2963" s="55"/>
      <c r="I2963" s="26" t="s">
        <v>1333</v>
      </c>
      <c r="J2963" s="26"/>
      <c r="K2963" s="26"/>
      <c r="L2963" s="26"/>
      <c r="M2963" s="26"/>
      <c r="N2963" s="26"/>
      <c r="O2963" s="26"/>
      <c r="P2963" s="26"/>
      <c r="Q2963" s="26" t="s">
        <v>1333</v>
      </c>
    </row>
    <row r="2964" ht="17.25" customHeight="1">
      <c r="A2964" s="51"/>
      <c r="B2964" s="55"/>
      <c r="C2964" s="55"/>
      <c r="D2964" s="240"/>
      <c r="E2964" s="52"/>
      <c r="F2964" s="55"/>
      <c r="G2964" s="55"/>
      <c r="H2964" s="55"/>
      <c r="I2964" s="26" t="s">
        <v>1333</v>
      </c>
      <c r="J2964" s="26"/>
      <c r="K2964" s="26"/>
      <c r="L2964" s="26"/>
      <c r="M2964" s="26"/>
      <c r="N2964" s="26"/>
      <c r="O2964" s="26"/>
      <c r="P2964" s="26"/>
      <c r="Q2964" s="26" t="s">
        <v>1333</v>
      </c>
    </row>
    <row r="2965" ht="17.25" customHeight="1">
      <c r="A2965" s="51"/>
      <c r="B2965" s="55"/>
      <c r="C2965" s="55"/>
      <c r="D2965" s="240"/>
      <c r="E2965" s="52"/>
      <c r="F2965" s="55"/>
      <c r="G2965" s="55"/>
      <c r="H2965" s="55"/>
      <c r="I2965" s="26" t="s">
        <v>1333</v>
      </c>
      <c r="J2965" s="26"/>
      <c r="K2965" s="26"/>
      <c r="L2965" s="26"/>
      <c r="M2965" s="26"/>
      <c r="N2965" s="26"/>
      <c r="O2965" s="26"/>
      <c r="P2965" s="26"/>
      <c r="Q2965" s="26" t="s">
        <v>1333</v>
      </c>
    </row>
    <row r="2966" ht="17.25" customHeight="1">
      <c r="A2966" s="51"/>
      <c r="B2966" s="55"/>
      <c r="C2966" s="55"/>
      <c r="D2966" s="240"/>
      <c r="E2966" s="52"/>
      <c r="F2966" s="55"/>
      <c r="G2966" s="55"/>
      <c r="H2966" s="55"/>
      <c r="I2966" s="26" t="s">
        <v>1333</v>
      </c>
      <c r="J2966" s="26"/>
      <c r="K2966" s="26"/>
      <c r="L2966" s="26"/>
      <c r="M2966" s="26"/>
      <c r="N2966" s="26"/>
      <c r="O2966" s="26"/>
      <c r="P2966" s="26"/>
      <c r="Q2966" s="26" t="s">
        <v>1333</v>
      </c>
    </row>
    <row r="2967" ht="17.25" customHeight="1">
      <c r="A2967" s="51"/>
      <c r="B2967" s="55"/>
      <c r="C2967" s="55"/>
      <c r="D2967" s="240"/>
      <c r="E2967" s="52"/>
      <c r="F2967" s="55"/>
      <c r="G2967" s="55"/>
      <c r="H2967" s="55"/>
      <c r="I2967" s="26" t="s">
        <v>1333</v>
      </c>
      <c r="J2967" s="26"/>
      <c r="K2967" s="26"/>
      <c r="L2967" s="26"/>
      <c r="M2967" s="26"/>
      <c r="N2967" s="26"/>
      <c r="O2967" s="26"/>
      <c r="P2967" s="26"/>
      <c r="Q2967" s="26" t="s">
        <v>1333</v>
      </c>
    </row>
    <row r="2968" ht="17.25" customHeight="1">
      <c r="A2968" s="51"/>
      <c r="B2968" s="55"/>
      <c r="C2968" s="55"/>
      <c r="D2968" s="240"/>
      <c r="E2968" s="52"/>
      <c r="F2968" s="55"/>
      <c r="G2968" s="55"/>
      <c r="H2968" s="55"/>
      <c r="I2968" s="26" t="s">
        <v>1333</v>
      </c>
      <c r="J2968" s="26"/>
      <c r="K2968" s="26"/>
      <c r="L2968" s="26"/>
      <c r="M2968" s="26"/>
      <c r="N2968" s="26"/>
      <c r="O2968" s="26"/>
      <c r="P2968" s="26"/>
      <c r="Q2968" s="26" t="s">
        <v>1333</v>
      </c>
    </row>
    <row r="2969" ht="17.25" customHeight="1">
      <c r="A2969" s="51"/>
      <c r="B2969" s="55"/>
      <c r="C2969" s="55"/>
      <c r="D2969" s="240"/>
      <c r="E2969" s="52"/>
      <c r="F2969" s="55"/>
      <c r="G2969" s="55"/>
      <c r="H2969" s="55"/>
      <c r="I2969" s="26" t="s">
        <v>1333</v>
      </c>
      <c r="J2969" s="26"/>
      <c r="K2969" s="26"/>
      <c r="L2969" s="26"/>
      <c r="M2969" s="26"/>
      <c r="N2969" s="26"/>
      <c r="O2969" s="26"/>
      <c r="P2969" s="26"/>
      <c r="Q2969" s="26" t="s">
        <v>1333</v>
      </c>
    </row>
    <row r="2970" ht="17.25" customHeight="1">
      <c r="A2970" s="51"/>
      <c r="B2970" s="55"/>
      <c r="C2970" s="55"/>
      <c r="D2970" s="240"/>
      <c r="E2970" s="52"/>
      <c r="F2970" s="55"/>
      <c r="G2970" s="55"/>
      <c r="H2970" s="55"/>
      <c r="I2970" s="26" t="s">
        <v>1333</v>
      </c>
      <c r="J2970" s="26"/>
      <c r="K2970" s="26"/>
      <c r="L2970" s="26"/>
      <c r="M2970" s="26"/>
      <c r="N2970" s="26"/>
      <c r="O2970" s="26"/>
      <c r="P2970" s="26"/>
      <c r="Q2970" s="26" t="s">
        <v>1333</v>
      </c>
    </row>
    <row r="2971" ht="17.25" customHeight="1">
      <c r="A2971" s="51"/>
      <c r="B2971" s="55"/>
      <c r="C2971" s="55"/>
      <c r="D2971" s="240"/>
      <c r="E2971" s="52"/>
      <c r="F2971" s="55"/>
      <c r="G2971" s="55"/>
      <c r="H2971" s="55"/>
      <c r="I2971" s="26" t="s">
        <v>1333</v>
      </c>
      <c r="J2971" s="26"/>
      <c r="K2971" s="26"/>
      <c r="L2971" s="26"/>
      <c r="M2971" s="26"/>
      <c r="N2971" s="26"/>
      <c r="O2971" s="26"/>
      <c r="P2971" s="26"/>
      <c r="Q2971" s="26" t="s">
        <v>1333</v>
      </c>
    </row>
    <row r="2972" ht="17.25" customHeight="1">
      <c r="A2972" s="51"/>
      <c r="B2972" s="55"/>
      <c r="C2972" s="55"/>
      <c r="D2972" s="240"/>
      <c r="E2972" s="52"/>
      <c r="F2972" s="55"/>
      <c r="G2972" s="55"/>
      <c r="H2972" s="55"/>
      <c r="I2972" s="26" t="s">
        <v>1333</v>
      </c>
      <c r="J2972" s="26"/>
      <c r="K2972" s="26"/>
      <c r="L2972" s="26"/>
      <c r="M2972" s="26"/>
      <c r="N2972" s="26"/>
      <c r="O2972" s="26"/>
      <c r="P2972" s="26"/>
      <c r="Q2972" s="26" t="s">
        <v>1333</v>
      </c>
    </row>
    <row r="2973" ht="17.25" customHeight="1">
      <c r="A2973" s="51"/>
      <c r="B2973" s="55"/>
      <c r="C2973" s="55"/>
      <c r="D2973" s="240"/>
      <c r="E2973" s="52"/>
      <c r="F2973" s="55"/>
      <c r="G2973" s="55"/>
      <c r="H2973" s="55"/>
      <c r="I2973" s="26" t="s">
        <v>1333</v>
      </c>
      <c r="J2973" s="26"/>
      <c r="K2973" s="26"/>
      <c r="L2973" s="26"/>
      <c r="M2973" s="26"/>
      <c r="N2973" s="26"/>
      <c r="O2973" s="26"/>
      <c r="P2973" s="26"/>
      <c r="Q2973" s="26" t="s">
        <v>1333</v>
      </c>
    </row>
    <row r="2974" ht="17.25" customHeight="1">
      <c r="A2974" s="51"/>
      <c r="B2974" s="55"/>
      <c r="C2974" s="55"/>
      <c r="D2974" s="240"/>
      <c r="E2974" s="52"/>
      <c r="F2974" s="55"/>
      <c r="G2974" s="55"/>
      <c r="H2974" s="55"/>
      <c r="I2974" s="26" t="s">
        <v>1333</v>
      </c>
      <c r="J2974" s="26"/>
      <c r="K2974" s="26"/>
      <c r="L2974" s="26"/>
      <c r="M2974" s="26"/>
      <c r="N2974" s="26"/>
      <c r="O2974" s="26"/>
      <c r="P2974" s="26"/>
      <c r="Q2974" s="26" t="s">
        <v>1333</v>
      </c>
    </row>
    <row r="2975" ht="17.25" customHeight="1">
      <c r="A2975" s="51"/>
      <c r="B2975" s="55"/>
      <c r="C2975" s="55"/>
      <c r="D2975" s="240"/>
      <c r="E2975" s="52"/>
      <c r="F2975" s="55"/>
      <c r="G2975" s="55"/>
      <c r="H2975" s="55"/>
      <c r="I2975" s="26" t="s">
        <v>1333</v>
      </c>
      <c r="J2975" s="26"/>
      <c r="K2975" s="26"/>
      <c r="L2975" s="26"/>
      <c r="M2975" s="26"/>
      <c r="N2975" s="26"/>
      <c r="O2975" s="26"/>
      <c r="P2975" s="26"/>
      <c r="Q2975" s="26" t="s">
        <v>1333</v>
      </c>
    </row>
    <row r="2976" ht="17.25" customHeight="1">
      <c r="A2976" s="51"/>
      <c r="B2976" s="55"/>
      <c r="C2976" s="55"/>
      <c r="D2976" s="240"/>
      <c r="E2976" s="52"/>
      <c r="F2976" s="55"/>
      <c r="G2976" s="55"/>
      <c r="H2976" s="55"/>
      <c r="I2976" s="26" t="s">
        <v>1333</v>
      </c>
      <c r="J2976" s="26"/>
      <c r="K2976" s="26"/>
      <c r="L2976" s="26"/>
      <c r="M2976" s="26"/>
      <c r="N2976" s="26"/>
      <c r="O2976" s="26"/>
      <c r="P2976" s="26"/>
      <c r="Q2976" s="26" t="s">
        <v>1333</v>
      </c>
    </row>
    <row r="2977" ht="17.25" customHeight="1">
      <c r="A2977" s="51"/>
      <c r="B2977" s="55"/>
      <c r="C2977" s="55"/>
      <c r="D2977" s="240"/>
      <c r="E2977" s="52"/>
      <c r="F2977" s="55"/>
      <c r="G2977" s="55"/>
      <c r="H2977" s="55"/>
      <c r="I2977" s="26" t="s">
        <v>1333</v>
      </c>
      <c r="J2977" s="26"/>
      <c r="K2977" s="26"/>
      <c r="L2977" s="26"/>
      <c r="M2977" s="26"/>
      <c r="N2977" s="26"/>
      <c r="O2977" s="26"/>
      <c r="P2977" s="26"/>
      <c r="Q2977" s="26" t="s">
        <v>1333</v>
      </c>
    </row>
    <row r="2978" ht="17.25" customHeight="1">
      <c r="A2978" s="51"/>
      <c r="B2978" s="55"/>
      <c r="C2978" s="55"/>
      <c r="D2978" s="240"/>
      <c r="E2978" s="52"/>
      <c r="F2978" s="55"/>
      <c r="G2978" s="55"/>
      <c r="H2978" s="55"/>
      <c r="I2978" s="26" t="s">
        <v>1333</v>
      </c>
      <c r="J2978" s="26"/>
      <c r="K2978" s="26"/>
      <c r="L2978" s="26"/>
      <c r="M2978" s="26"/>
      <c r="N2978" s="26"/>
      <c r="O2978" s="26"/>
      <c r="P2978" s="26"/>
      <c r="Q2978" s="26" t="s">
        <v>1333</v>
      </c>
    </row>
    <row r="2979" ht="17.25" customHeight="1">
      <c r="A2979" s="51"/>
      <c r="B2979" s="55"/>
      <c r="C2979" s="55"/>
      <c r="D2979" s="240"/>
      <c r="E2979" s="52"/>
      <c r="F2979" s="55"/>
      <c r="G2979" s="55"/>
      <c r="H2979" s="55"/>
      <c r="I2979" s="26" t="s">
        <v>1333</v>
      </c>
      <c r="J2979" s="26"/>
      <c r="K2979" s="26"/>
      <c r="L2979" s="26"/>
      <c r="M2979" s="26"/>
      <c r="N2979" s="26"/>
      <c r="O2979" s="26"/>
      <c r="P2979" s="26"/>
      <c r="Q2979" s="26" t="s">
        <v>1333</v>
      </c>
    </row>
    <row r="2980" ht="17.25" customHeight="1">
      <c r="A2980" s="51"/>
      <c r="B2980" s="55"/>
      <c r="C2980" s="55"/>
      <c r="D2980" s="240"/>
      <c r="E2980" s="52"/>
      <c r="F2980" s="55"/>
      <c r="G2980" s="55"/>
      <c r="H2980" s="55"/>
      <c r="I2980" s="26" t="s">
        <v>1333</v>
      </c>
      <c r="J2980" s="26"/>
      <c r="K2980" s="26"/>
      <c r="L2980" s="26"/>
      <c r="M2980" s="26"/>
      <c r="N2980" s="26"/>
      <c r="O2980" s="26"/>
      <c r="P2980" s="26"/>
      <c r="Q2980" s="26" t="s">
        <v>1333</v>
      </c>
    </row>
    <row r="2981" ht="17.25" customHeight="1">
      <c r="A2981" s="51"/>
      <c r="B2981" s="55"/>
      <c r="C2981" s="55"/>
      <c r="D2981" s="240"/>
      <c r="E2981" s="52"/>
      <c r="F2981" s="55"/>
      <c r="G2981" s="55"/>
      <c r="H2981" s="55"/>
      <c r="I2981" s="26" t="s">
        <v>1333</v>
      </c>
      <c r="J2981" s="26"/>
      <c r="K2981" s="26"/>
      <c r="L2981" s="26"/>
      <c r="M2981" s="26"/>
      <c r="N2981" s="26"/>
      <c r="O2981" s="26"/>
      <c r="P2981" s="26"/>
      <c r="Q2981" s="26" t="s">
        <v>1333</v>
      </c>
    </row>
    <row r="2982" ht="17.25" customHeight="1">
      <c r="A2982" s="51"/>
      <c r="B2982" s="55"/>
      <c r="C2982" s="55"/>
      <c r="D2982" s="240"/>
      <c r="E2982" s="52"/>
      <c r="F2982" s="55"/>
      <c r="G2982" s="55"/>
      <c r="H2982" s="55"/>
      <c r="I2982" s="26" t="s">
        <v>1333</v>
      </c>
      <c r="J2982" s="26"/>
      <c r="K2982" s="26"/>
      <c r="L2982" s="26"/>
      <c r="M2982" s="26"/>
      <c r="N2982" s="26"/>
      <c r="O2982" s="26"/>
      <c r="P2982" s="26"/>
      <c r="Q2982" s="26" t="s">
        <v>1333</v>
      </c>
    </row>
    <row r="2983" ht="17.25" customHeight="1">
      <c r="A2983" s="51"/>
      <c r="B2983" s="55"/>
      <c r="C2983" s="55"/>
      <c r="D2983" s="240"/>
      <c r="E2983" s="52"/>
      <c r="F2983" s="55"/>
      <c r="G2983" s="55"/>
      <c r="H2983" s="55"/>
      <c r="I2983" s="26" t="s">
        <v>1333</v>
      </c>
      <c r="J2983" s="26"/>
      <c r="K2983" s="26"/>
      <c r="L2983" s="26"/>
      <c r="M2983" s="26"/>
      <c r="N2983" s="26"/>
      <c r="O2983" s="26"/>
      <c r="P2983" s="26"/>
      <c r="Q2983" s="26" t="s">
        <v>1333</v>
      </c>
    </row>
    <row r="2984" ht="17.25" customHeight="1">
      <c r="A2984" s="51"/>
      <c r="B2984" s="55"/>
      <c r="C2984" s="55"/>
      <c r="D2984" s="240"/>
      <c r="E2984" s="52"/>
      <c r="F2984" s="55"/>
      <c r="G2984" s="55"/>
      <c r="H2984" s="55"/>
      <c r="I2984" s="26" t="s">
        <v>1333</v>
      </c>
      <c r="J2984" s="26"/>
      <c r="K2984" s="26"/>
      <c r="L2984" s="26"/>
      <c r="M2984" s="26"/>
      <c r="N2984" s="26"/>
      <c r="O2984" s="26"/>
      <c r="P2984" s="26"/>
      <c r="Q2984" s="26" t="s">
        <v>1333</v>
      </c>
    </row>
    <row r="2985" ht="17.25" customHeight="1">
      <c r="A2985" s="51"/>
      <c r="B2985" s="55"/>
      <c r="C2985" s="55"/>
      <c r="D2985" s="240"/>
      <c r="E2985" s="52"/>
      <c r="F2985" s="55"/>
      <c r="G2985" s="55"/>
      <c r="H2985" s="55"/>
      <c r="I2985" s="26" t="s">
        <v>1333</v>
      </c>
      <c r="J2985" s="26"/>
      <c r="K2985" s="26"/>
      <c r="L2985" s="26"/>
      <c r="M2985" s="26"/>
      <c r="N2985" s="26"/>
      <c r="O2985" s="26"/>
      <c r="P2985" s="26"/>
      <c r="Q2985" s="26" t="s">
        <v>1333</v>
      </c>
    </row>
    <row r="2986" ht="17.25" customHeight="1">
      <c r="A2986" s="51"/>
      <c r="B2986" s="55"/>
      <c r="C2986" s="55"/>
      <c r="D2986" s="240"/>
      <c r="E2986" s="52"/>
      <c r="F2986" s="55"/>
      <c r="G2986" s="55"/>
      <c r="H2986" s="55"/>
      <c r="I2986" s="26" t="s">
        <v>1333</v>
      </c>
      <c r="J2986" s="26"/>
      <c r="K2986" s="26"/>
      <c r="L2986" s="26"/>
      <c r="M2986" s="26"/>
      <c r="N2986" s="26"/>
      <c r="O2986" s="26"/>
      <c r="P2986" s="26"/>
      <c r="Q2986" s="26" t="s">
        <v>1333</v>
      </c>
    </row>
    <row r="2987" ht="17.25" customHeight="1">
      <c r="A2987" s="51"/>
      <c r="B2987" s="55"/>
      <c r="C2987" s="55"/>
      <c r="D2987" s="240"/>
      <c r="E2987" s="52"/>
      <c r="F2987" s="55"/>
      <c r="G2987" s="55"/>
      <c r="H2987" s="55"/>
      <c r="I2987" s="26" t="s">
        <v>1333</v>
      </c>
      <c r="J2987" s="26"/>
      <c r="K2987" s="26"/>
      <c r="L2987" s="26"/>
      <c r="M2987" s="26"/>
      <c r="N2987" s="26"/>
      <c r="O2987" s="26"/>
      <c r="P2987" s="26"/>
      <c r="Q2987" s="26" t="s">
        <v>1333</v>
      </c>
    </row>
    <row r="2988" ht="17.25" customHeight="1">
      <c r="A2988" s="51"/>
      <c r="B2988" s="55"/>
      <c r="C2988" s="55"/>
      <c r="D2988" s="240"/>
      <c r="E2988" s="52"/>
      <c r="F2988" s="55"/>
      <c r="G2988" s="55"/>
      <c r="H2988" s="55"/>
      <c r="I2988" s="26" t="s">
        <v>1333</v>
      </c>
      <c r="J2988" s="26"/>
      <c r="K2988" s="26"/>
      <c r="L2988" s="26"/>
      <c r="M2988" s="26"/>
      <c r="N2988" s="26"/>
      <c r="O2988" s="26"/>
      <c r="P2988" s="26"/>
      <c r="Q2988" s="26" t="s">
        <v>1333</v>
      </c>
    </row>
    <row r="2989" ht="17.25" customHeight="1">
      <c r="A2989" s="51"/>
      <c r="B2989" s="55"/>
      <c r="C2989" s="55"/>
      <c r="D2989" s="240"/>
      <c r="E2989" s="52"/>
      <c r="F2989" s="55"/>
      <c r="G2989" s="55"/>
      <c r="H2989" s="55"/>
      <c r="I2989" s="26" t="s">
        <v>1333</v>
      </c>
      <c r="J2989" s="26"/>
      <c r="K2989" s="26"/>
      <c r="L2989" s="26"/>
      <c r="M2989" s="26"/>
      <c r="N2989" s="26"/>
      <c r="O2989" s="26"/>
      <c r="P2989" s="26"/>
      <c r="Q2989" s="26" t="s">
        <v>1333</v>
      </c>
    </row>
    <row r="2990" ht="17.25" customHeight="1">
      <c r="A2990" s="51"/>
      <c r="B2990" s="55"/>
      <c r="C2990" s="55"/>
      <c r="D2990" s="240"/>
      <c r="E2990" s="52"/>
      <c r="F2990" s="55"/>
      <c r="G2990" s="55"/>
      <c r="H2990" s="55"/>
      <c r="I2990" s="26" t="s">
        <v>1333</v>
      </c>
      <c r="J2990" s="26"/>
      <c r="K2990" s="26"/>
      <c r="L2990" s="26"/>
      <c r="M2990" s="26"/>
      <c r="N2990" s="26"/>
      <c r="O2990" s="26"/>
      <c r="P2990" s="26"/>
      <c r="Q2990" s="26" t="s">
        <v>1333</v>
      </c>
    </row>
    <row r="2991" ht="17.25" customHeight="1">
      <c r="A2991" s="51"/>
      <c r="B2991" s="55"/>
      <c r="C2991" s="55"/>
      <c r="D2991" s="240"/>
      <c r="E2991" s="52"/>
      <c r="F2991" s="55"/>
      <c r="G2991" s="55"/>
      <c r="H2991" s="55"/>
      <c r="I2991" s="26" t="s">
        <v>1333</v>
      </c>
      <c r="J2991" s="26"/>
      <c r="K2991" s="26"/>
      <c r="L2991" s="26"/>
      <c r="M2991" s="26"/>
      <c r="N2991" s="26"/>
      <c r="O2991" s="26"/>
      <c r="P2991" s="26"/>
      <c r="Q2991" s="26" t="s">
        <v>1333</v>
      </c>
    </row>
    <row r="2992" ht="17.25" customHeight="1">
      <c r="A2992" s="51"/>
      <c r="B2992" s="55"/>
      <c r="C2992" s="55"/>
      <c r="D2992" s="240"/>
      <c r="E2992" s="52"/>
      <c r="F2992" s="55"/>
      <c r="G2992" s="55"/>
      <c r="H2992" s="55"/>
      <c r="I2992" s="26" t="s">
        <v>1333</v>
      </c>
      <c r="J2992" s="26"/>
      <c r="K2992" s="26"/>
      <c r="L2992" s="26"/>
      <c r="M2992" s="26"/>
      <c r="N2992" s="26"/>
      <c r="O2992" s="26"/>
      <c r="P2992" s="26"/>
      <c r="Q2992" s="26" t="s">
        <v>1333</v>
      </c>
    </row>
    <row r="2993" ht="17.25" customHeight="1">
      <c r="A2993" s="51"/>
      <c r="B2993" s="55"/>
      <c r="C2993" s="55"/>
      <c r="D2993" s="240"/>
      <c r="E2993" s="52"/>
      <c r="F2993" s="55"/>
      <c r="G2993" s="55"/>
      <c r="H2993" s="55"/>
      <c r="I2993" s="26" t="s">
        <v>1333</v>
      </c>
      <c r="J2993" s="26"/>
      <c r="K2993" s="26"/>
      <c r="L2993" s="26"/>
      <c r="M2993" s="26"/>
      <c r="N2993" s="26"/>
      <c r="O2993" s="26"/>
      <c r="P2993" s="26"/>
      <c r="Q2993" s="26" t="s">
        <v>1333</v>
      </c>
    </row>
    <row r="2994" ht="17.25" customHeight="1">
      <c r="A2994" s="51"/>
      <c r="B2994" s="55"/>
      <c r="C2994" s="55"/>
      <c r="D2994" s="240"/>
      <c r="E2994" s="52"/>
      <c r="F2994" s="55"/>
      <c r="G2994" s="55"/>
      <c r="H2994" s="55"/>
      <c r="I2994" s="26" t="s">
        <v>1333</v>
      </c>
      <c r="J2994" s="26"/>
      <c r="K2994" s="26"/>
      <c r="L2994" s="26"/>
      <c r="M2994" s="26"/>
      <c r="N2994" s="26"/>
      <c r="O2994" s="26"/>
      <c r="P2994" s="26"/>
      <c r="Q2994" s="26" t="s">
        <v>1333</v>
      </c>
    </row>
    <row r="2995" ht="17.25" customHeight="1">
      <c r="A2995" s="51"/>
      <c r="B2995" s="55"/>
      <c r="C2995" s="55"/>
      <c r="D2995" s="240"/>
      <c r="E2995" s="52"/>
      <c r="F2995" s="55"/>
      <c r="G2995" s="55"/>
      <c r="H2995" s="55"/>
      <c r="I2995" s="26" t="s">
        <v>1333</v>
      </c>
      <c r="J2995" s="26"/>
      <c r="K2995" s="26"/>
      <c r="L2995" s="26"/>
      <c r="M2995" s="26"/>
      <c r="N2995" s="26"/>
      <c r="O2995" s="26"/>
      <c r="P2995" s="26"/>
      <c r="Q2995" s="26" t="s">
        <v>1333</v>
      </c>
    </row>
    <row r="2996" ht="17.25" customHeight="1">
      <c r="A2996" s="51"/>
      <c r="B2996" s="55"/>
      <c r="C2996" s="55"/>
      <c r="D2996" s="240"/>
      <c r="E2996" s="52"/>
      <c r="F2996" s="55"/>
      <c r="G2996" s="55"/>
      <c r="H2996" s="55"/>
      <c r="I2996" s="26" t="s">
        <v>1333</v>
      </c>
      <c r="J2996" s="26"/>
      <c r="K2996" s="26"/>
      <c r="L2996" s="26"/>
      <c r="M2996" s="26"/>
      <c r="N2996" s="26"/>
      <c r="O2996" s="26"/>
      <c r="P2996" s="26"/>
      <c r="Q2996" s="26" t="s">
        <v>1333</v>
      </c>
    </row>
    <row r="2997" ht="17.25" customHeight="1">
      <c r="A2997" s="51"/>
      <c r="B2997" s="55"/>
      <c r="C2997" s="55"/>
      <c r="D2997" s="240"/>
      <c r="E2997" s="52"/>
      <c r="F2997" s="55"/>
      <c r="G2997" s="55"/>
      <c r="H2997" s="55"/>
      <c r="I2997" s="26" t="s">
        <v>1333</v>
      </c>
      <c r="J2997" s="26"/>
      <c r="K2997" s="26"/>
      <c r="L2997" s="26"/>
      <c r="M2997" s="26"/>
      <c r="N2997" s="26"/>
      <c r="O2997" s="26"/>
      <c r="P2997" s="26"/>
      <c r="Q2997" s="26" t="s">
        <v>1333</v>
      </c>
    </row>
    <row r="2998" ht="17.25" customHeight="1">
      <c r="A2998" s="51"/>
      <c r="B2998" s="55"/>
      <c r="C2998" s="55"/>
      <c r="D2998" s="240"/>
      <c r="E2998" s="52"/>
      <c r="F2998" s="55"/>
      <c r="G2998" s="55"/>
      <c r="H2998" s="55"/>
      <c r="I2998" s="26" t="s">
        <v>1333</v>
      </c>
      <c r="J2998" s="26"/>
      <c r="K2998" s="26"/>
      <c r="L2998" s="26"/>
      <c r="M2998" s="26"/>
      <c r="N2998" s="26"/>
      <c r="O2998" s="26"/>
      <c r="P2998" s="26"/>
      <c r="Q2998" s="26" t="s">
        <v>1333</v>
      </c>
    </row>
    <row r="2999" ht="17.25" customHeight="1">
      <c r="A2999" s="51"/>
      <c r="B2999" s="55"/>
      <c r="C2999" s="55"/>
      <c r="D2999" s="240"/>
      <c r="E2999" s="52"/>
      <c r="F2999" s="55"/>
      <c r="G2999" s="55"/>
      <c r="H2999" s="55"/>
      <c r="I2999" s="26" t="s">
        <v>1333</v>
      </c>
      <c r="J2999" s="26"/>
      <c r="K2999" s="26"/>
      <c r="L2999" s="26"/>
      <c r="M2999" s="26"/>
      <c r="N2999" s="26"/>
      <c r="O2999" s="26"/>
      <c r="P2999" s="26"/>
      <c r="Q2999" s="26" t="s">
        <v>1333</v>
      </c>
    </row>
    <row r="3000" ht="17.25" customHeight="1">
      <c r="A3000" s="51"/>
      <c r="B3000" s="55"/>
      <c r="C3000" s="55"/>
      <c r="D3000" s="240"/>
      <c r="E3000" s="52"/>
      <c r="F3000" s="55"/>
      <c r="G3000" s="55"/>
      <c r="H3000" s="55"/>
      <c r="I3000" s="26" t="s">
        <v>1333</v>
      </c>
      <c r="J3000" s="26"/>
      <c r="K3000" s="26"/>
      <c r="L3000" s="26"/>
      <c r="M3000" s="26"/>
      <c r="N3000" s="26"/>
      <c r="O3000" s="26"/>
      <c r="P3000" s="26"/>
      <c r="Q3000" s="26" t="s">
        <v>1333</v>
      </c>
    </row>
    <row r="3001" ht="17.25" customHeight="1">
      <c r="A3001" s="51"/>
      <c r="B3001" s="55"/>
      <c r="C3001" s="55"/>
      <c r="D3001" s="240"/>
      <c r="E3001" s="52"/>
      <c r="F3001" s="55"/>
      <c r="G3001" s="55"/>
      <c r="H3001" s="55"/>
      <c r="I3001" s="26" t="s">
        <v>1333</v>
      </c>
      <c r="J3001" s="26"/>
      <c r="K3001" s="26"/>
      <c r="L3001" s="26"/>
      <c r="M3001" s="26"/>
      <c r="N3001" s="26"/>
      <c r="O3001" s="26"/>
      <c r="P3001" s="26"/>
      <c r="Q3001" s="26" t="s">
        <v>1333</v>
      </c>
    </row>
    <row r="3002" ht="17.25" customHeight="1">
      <c r="A3002" s="51"/>
      <c r="B3002" s="55"/>
      <c r="C3002" s="55"/>
      <c r="D3002" s="240"/>
      <c r="E3002" s="52"/>
      <c r="F3002" s="55"/>
      <c r="G3002" s="55"/>
      <c r="H3002" s="55"/>
      <c r="I3002" s="26" t="s">
        <v>1333</v>
      </c>
      <c r="J3002" s="26"/>
      <c r="K3002" s="26"/>
      <c r="L3002" s="26"/>
      <c r="M3002" s="26"/>
      <c r="N3002" s="26"/>
      <c r="O3002" s="26"/>
      <c r="P3002" s="26"/>
      <c r="Q3002" s="26" t="s">
        <v>1333</v>
      </c>
    </row>
    <row r="3003" ht="17.25" customHeight="1">
      <c r="A3003" s="51"/>
      <c r="B3003" s="55"/>
      <c r="C3003" s="55"/>
      <c r="D3003" s="240"/>
      <c r="E3003" s="52"/>
      <c r="F3003" s="55"/>
      <c r="G3003" s="55"/>
      <c r="H3003" s="55"/>
      <c r="I3003" s="26" t="s">
        <v>1333</v>
      </c>
      <c r="J3003" s="26"/>
      <c r="K3003" s="26"/>
      <c r="L3003" s="26"/>
      <c r="M3003" s="26"/>
      <c r="N3003" s="26"/>
      <c r="O3003" s="26"/>
      <c r="P3003" s="26"/>
      <c r="Q3003" s="26" t="s">
        <v>1333</v>
      </c>
    </row>
    <row r="3004" ht="17.25" customHeight="1">
      <c r="A3004" s="51"/>
      <c r="B3004" s="55"/>
      <c r="C3004" s="55"/>
      <c r="D3004" s="240"/>
      <c r="E3004" s="52"/>
      <c r="F3004" s="55"/>
      <c r="G3004" s="55"/>
      <c r="H3004" s="55"/>
      <c r="I3004" s="26" t="s">
        <v>1333</v>
      </c>
      <c r="J3004" s="26"/>
      <c r="K3004" s="26"/>
      <c r="L3004" s="26"/>
      <c r="M3004" s="26"/>
      <c r="N3004" s="26"/>
      <c r="O3004" s="26"/>
      <c r="P3004" s="26"/>
      <c r="Q3004" s="26" t="s">
        <v>1333</v>
      </c>
    </row>
    <row r="3005" ht="17.25" customHeight="1">
      <c r="A3005" s="51"/>
      <c r="B3005" s="55"/>
      <c r="C3005" s="55"/>
      <c r="D3005" s="240"/>
      <c r="E3005" s="52"/>
      <c r="F3005" s="55"/>
      <c r="G3005" s="55"/>
      <c r="H3005" s="55"/>
      <c r="I3005" s="26" t="s">
        <v>1333</v>
      </c>
      <c r="J3005" s="26"/>
      <c r="K3005" s="26"/>
      <c r="L3005" s="26"/>
      <c r="M3005" s="26"/>
      <c r="N3005" s="26"/>
      <c r="O3005" s="26"/>
      <c r="P3005" s="26"/>
      <c r="Q3005" s="26" t="s">
        <v>1333</v>
      </c>
    </row>
    <row r="3006" ht="17.25" customHeight="1">
      <c r="A3006" s="51"/>
      <c r="B3006" s="55"/>
      <c r="C3006" s="55"/>
      <c r="D3006" s="240"/>
      <c r="E3006" s="52"/>
      <c r="F3006" s="55"/>
      <c r="G3006" s="55"/>
      <c r="H3006" s="55"/>
      <c r="I3006" s="26" t="s">
        <v>1333</v>
      </c>
      <c r="J3006" s="26"/>
      <c r="K3006" s="26"/>
      <c r="L3006" s="26"/>
      <c r="M3006" s="26"/>
      <c r="N3006" s="26"/>
      <c r="O3006" s="26"/>
      <c r="P3006" s="26"/>
      <c r="Q3006" s="26" t="s">
        <v>1333</v>
      </c>
    </row>
    <row r="3007" ht="17.25" customHeight="1">
      <c r="A3007" s="51"/>
      <c r="B3007" s="55"/>
      <c r="C3007" s="55"/>
      <c r="D3007" s="240"/>
      <c r="E3007" s="52"/>
      <c r="F3007" s="55"/>
      <c r="G3007" s="55"/>
      <c r="H3007" s="55"/>
      <c r="I3007" s="26" t="s">
        <v>1333</v>
      </c>
      <c r="J3007" s="26"/>
      <c r="K3007" s="26"/>
      <c r="L3007" s="26"/>
      <c r="M3007" s="26"/>
      <c r="N3007" s="26"/>
      <c r="O3007" s="26"/>
      <c r="P3007" s="26"/>
      <c r="Q3007" s="26" t="s">
        <v>1333</v>
      </c>
    </row>
    <row r="3008" ht="17.25" customHeight="1">
      <c r="A3008" s="51"/>
      <c r="B3008" s="55"/>
      <c r="C3008" s="55"/>
      <c r="D3008" s="240"/>
      <c r="E3008" s="52"/>
      <c r="F3008" s="55"/>
      <c r="G3008" s="55"/>
      <c r="H3008" s="55"/>
      <c r="I3008" s="26" t="s">
        <v>1333</v>
      </c>
      <c r="J3008" s="26"/>
      <c r="K3008" s="26"/>
      <c r="L3008" s="26"/>
      <c r="M3008" s="26"/>
      <c r="N3008" s="26"/>
      <c r="O3008" s="26"/>
      <c r="P3008" s="26"/>
      <c r="Q3008" s="26" t="s">
        <v>1333</v>
      </c>
    </row>
    <row r="3009" ht="17.25" customHeight="1">
      <c r="A3009" s="51"/>
      <c r="B3009" s="55"/>
      <c r="C3009" s="55"/>
      <c r="D3009" s="240"/>
      <c r="E3009" s="52"/>
      <c r="F3009" s="55"/>
      <c r="G3009" s="55"/>
      <c r="H3009" s="55"/>
      <c r="I3009" s="26" t="s">
        <v>1333</v>
      </c>
      <c r="J3009" s="26"/>
      <c r="K3009" s="26"/>
      <c r="L3009" s="26"/>
      <c r="M3009" s="26"/>
      <c r="N3009" s="26"/>
      <c r="O3009" s="26"/>
      <c r="P3009" s="26"/>
      <c r="Q3009" s="26" t="s">
        <v>1333</v>
      </c>
    </row>
    <row r="3010" ht="17.25" customHeight="1">
      <c r="A3010" s="51"/>
      <c r="B3010" s="55"/>
      <c r="C3010" s="55"/>
      <c r="D3010" s="240"/>
      <c r="E3010" s="52"/>
      <c r="F3010" s="55"/>
      <c r="G3010" s="55"/>
      <c r="H3010" s="55"/>
      <c r="I3010" s="26" t="s">
        <v>1333</v>
      </c>
      <c r="J3010" s="26"/>
      <c r="K3010" s="26"/>
      <c r="L3010" s="26"/>
      <c r="M3010" s="26"/>
      <c r="N3010" s="26"/>
      <c r="O3010" s="26"/>
      <c r="P3010" s="26"/>
      <c r="Q3010" s="26" t="s">
        <v>1333</v>
      </c>
    </row>
    <row r="3011" ht="17.25" customHeight="1">
      <c r="A3011" s="51"/>
      <c r="B3011" s="55"/>
      <c r="C3011" s="55"/>
      <c r="D3011" s="240"/>
      <c r="E3011" s="52"/>
      <c r="F3011" s="55"/>
      <c r="G3011" s="55"/>
      <c r="H3011" s="55"/>
      <c r="I3011" s="26" t="s">
        <v>1333</v>
      </c>
      <c r="J3011" s="26"/>
      <c r="K3011" s="26"/>
      <c r="L3011" s="26"/>
      <c r="M3011" s="26"/>
      <c r="N3011" s="26"/>
      <c r="O3011" s="26"/>
      <c r="P3011" s="26"/>
      <c r="Q3011" s="26" t="s">
        <v>1333</v>
      </c>
    </row>
    <row r="3012" ht="17.25" customHeight="1">
      <c r="A3012" s="51"/>
      <c r="B3012" s="55"/>
      <c r="C3012" s="55"/>
      <c r="D3012" s="240"/>
      <c r="E3012" s="52"/>
      <c r="F3012" s="55"/>
      <c r="G3012" s="55"/>
      <c r="H3012" s="55"/>
      <c r="I3012" s="26" t="s">
        <v>1333</v>
      </c>
      <c r="J3012" s="26"/>
      <c r="K3012" s="26"/>
      <c r="L3012" s="26"/>
      <c r="M3012" s="26"/>
      <c r="N3012" s="26"/>
      <c r="O3012" s="26"/>
      <c r="P3012" s="26"/>
      <c r="Q3012" s="26" t="s">
        <v>1333</v>
      </c>
    </row>
    <row r="3013" ht="17.25" customHeight="1">
      <c r="A3013" s="51"/>
      <c r="B3013" s="55"/>
      <c r="C3013" s="55"/>
      <c r="D3013" s="240"/>
      <c r="E3013" s="52"/>
      <c r="F3013" s="55"/>
      <c r="G3013" s="55"/>
      <c r="H3013" s="55"/>
      <c r="I3013" s="26" t="s">
        <v>1333</v>
      </c>
      <c r="J3013" s="26"/>
      <c r="K3013" s="26"/>
      <c r="L3013" s="26"/>
      <c r="M3013" s="26"/>
      <c r="N3013" s="26"/>
      <c r="O3013" s="26"/>
      <c r="P3013" s="26"/>
      <c r="Q3013" s="26" t="s">
        <v>1333</v>
      </c>
    </row>
    <row r="3014" ht="17.25" customHeight="1">
      <c r="A3014" s="51"/>
      <c r="B3014" s="55"/>
      <c r="C3014" s="55"/>
      <c r="D3014" s="240"/>
      <c r="E3014" s="52"/>
      <c r="F3014" s="55"/>
      <c r="G3014" s="55"/>
      <c r="H3014" s="55"/>
      <c r="I3014" s="26" t="s">
        <v>1333</v>
      </c>
      <c r="J3014" s="26"/>
      <c r="K3014" s="26"/>
      <c r="L3014" s="26"/>
      <c r="M3014" s="26"/>
      <c r="N3014" s="26"/>
      <c r="O3014" s="26"/>
      <c r="P3014" s="26"/>
      <c r="Q3014" s="26" t="s">
        <v>1333</v>
      </c>
    </row>
    <row r="3015" ht="17.25" customHeight="1">
      <c r="A3015" s="51"/>
      <c r="B3015" s="55"/>
      <c r="C3015" s="55"/>
      <c r="D3015" s="240"/>
      <c r="E3015" s="52"/>
      <c r="F3015" s="55"/>
      <c r="G3015" s="55"/>
      <c r="H3015" s="55"/>
      <c r="I3015" s="26" t="s">
        <v>1333</v>
      </c>
      <c r="J3015" s="26"/>
      <c r="K3015" s="26"/>
      <c r="L3015" s="26"/>
      <c r="M3015" s="26"/>
      <c r="N3015" s="26"/>
      <c r="O3015" s="26"/>
      <c r="P3015" s="26"/>
      <c r="Q3015" s="26" t="s">
        <v>1333</v>
      </c>
    </row>
    <row r="3016" ht="17.25" customHeight="1">
      <c r="A3016" s="51"/>
      <c r="B3016" s="55"/>
      <c r="C3016" s="55"/>
      <c r="D3016" s="240"/>
      <c r="E3016" s="52"/>
      <c r="F3016" s="55"/>
      <c r="G3016" s="55"/>
      <c r="H3016" s="55"/>
      <c r="I3016" s="26" t="s">
        <v>1333</v>
      </c>
      <c r="J3016" s="26"/>
      <c r="K3016" s="26"/>
      <c r="L3016" s="26"/>
      <c r="M3016" s="26"/>
      <c r="N3016" s="26"/>
      <c r="O3016" s="26"/>
      <c r="P3016" s="26"/>
      <c r="Q3016" s="26" t="s">
        <v>1333</v>
      </c>
    </row>
    <row r="3017" ht="17.25" customHeight="1">
      <c r="A3017" s="51"/>
      <c r="B3017" s="55"/>
      <c r="C3017" s="55"/>
      <c r="D3017" s="240"/>
      <c r="E3017" s="52"/>
      <c r="F3017" s="55"/>
      <c r="G3017" s="55"/>
      <c r="H3017" s="55"/>
      <c r="I3017" s="26" t="s">
        <v>1333</v>
      </c>
      <c r="J3017" s="26"/>
      <c r="K3017" s="26"/>
      <c r="L3017" s="26"/>
      <c r="M3017" s="26"/>
      <c r="N3017" s="26"/>
      <c r="O3017" s="26"/>
      <c r="P3017" s="26"/>
      <c r="Q3017" s="26" t="s">
        <v>1333</v>
      </c>
    </row>
    <row r="3018" ht="17.25" customHeight="1">
      <c r="A3018" s="51"/>
      <c r="B3018" s="55"/>
      <c r="C3018" s="55"/>
      <c r="D3018" s="240"/>
      <c r="E3018" s="52"/>
      <c r="F3018" s="55"/>
      <c r="G3018" s="55"/>
      <c r="H3018" s="55"/>
      <c r="I3018" s="26" t="s">
        <v>1333</v>
      </c>
      <c r="J3018" s="26"/>
      <c r="K3018" s="26"/>
      <c r="L3018" s="26"/>
      <c r="M3018" s="26"/>
      <c r="N3018" s="26"/>
      <c r="O3018" s="26"/>
      <c r="P3018" s="26"/>
      <c r="Q3018" s="26" t="s">
        <v>1333</v>
      </c>
    </row>
    <row r="3019" ht="17.25" customHeight="1">
      <c r="A3019" s="51"/>
      <c r="B3019" s="55"/>
      <c r="C3019" s="55"/>
      <c r="D3019" s="240"/>
      <c r="E3019" s="52"/>
      <c r="F3019" s="55"/>
      <c r="G3019" s="55"/>
      <c r="H3019" s="55"/>
      <c r="I3019" s="26" t="s">
        <v>1333</v>
      </c>
      <c r="J3019" s="26"/>
      <c r="K3019" s="26"/>
      <c r="L3019" s="26"/>
      <c r="M3019" s="26"/>
      <c r="N3019" s="26"/>
      <c r="O3019" s="26"/>
      <c r="P3019" s="26"/>
      <c r="Q3019" s="26" t="s">
        <v>1333</v>
      </c>
    </row>
    <row r="3020" ht="17.25" customHeight="1">
      <c r="A3020" s="51"/>
      <c r="B3020" s="55"/>
      <c r="C3020" s="55"/>
      <c r="D3020" s="240"/>
      <c r="E3020" s="52"/>
      <c r="F3020" s="55"/>
      <c r="G3020" s="55"/>
      <c r="H3020" s="55"/>
      <c r="I3020" s="26" t="s">
        <v>1333</v>
      </c>
      <c r="J3020" s="26"/>
      <c r="K3020" s="26"/>
      <c r="L3020" s="26"/>
      <c r="M3020" s="26"/>
      <c r="N3020" s="26"/>
      <c r="O3020" s="26"/>
      <c r="P3020" s="26"/>
      <c r="Q3020" s="26" t="s">
        <v>1333</v>
      </c>
    </row>
    <row r="3021" ht="17.25" customHeight="1">
      <c r="A3021" s="51"/>
      <c r="B3021" s="55"/>
      <c r="C3021" s="55"/>
      <c r="D3021" s="240"/>
      <c r="E3021" s="52"/>
      <c r="F3021" s="55"/>
      <c r="G3021" s="55"/>
      <c r="H3021" s="55"/>
      <c r="I3021" s="26" t="s">
        <v>1333</v>
      </c>
      <c r="J3021" s="26"/>
      <c r="K3021" s="26"/>
      <c r="L3021" s="26"/>
      <c r="M3021" s="26"/>
      <c r="N3021" s="26"/>
      <c r="O3021" s="26"/>
      <c r="P3021" s="26"/>
      <c r="Q3021" s="26" t="s">
        <v>1333</v>
      </c>
    </row>
    <row r="3022" ht="17.25" customHeight="1">
      <c r="A3022" s="51"/>
      <c r="B3022" s="55"/>
      <c r="C3022" s="55"/>
      <c r="D3022" s="240"/>
      <c r="E3022" s="52"/>
      <c r="F3022" s="55"/>
      <c r="G3022" s="55"/>
      <c r="H3022" s="55"/>
      <c r="I3022" s="26" t="s">
        <v>1333</v>
      </c>
      <c r="J3022" s="26"/>
      <c r="K3022" s="26"/>
      <c r="L3022" s="26"/>
      <c r="M3022" s="26"/>
      <c r="N3022" s="26"/>
      <c r="O3022" s="26"/>
      <c r="P3022" s="26"/>
      <c r="Q3022" s="26" t="s">
        <v>1333</v>
      </c>
    </row>
    <row r="3023" ht="17.25" customHeight="1">
      <c r="A3023" s="51"/>
      <c r="B3023" s="55"/>
      <c r="C3023" s="55"/>
      <c r="D3023" s="240"/>
      <c r="E3023" s="52"/>
      <c r="F3023" s="55"/>
      <c r="G3023" s="55"/>
      <c r="H3023" s="55"/>
      <c r="I3023" s="26" t="s">
        <v>1333</v>
      </c>
      <c r="J3023" s="26"/>
      <c r="K3023" s="26"/>
      <c r="L3023" s="26"/>
      <c r="M3023" s="26"/>
      <c r="N3023" s="26"/>
      <c r="O3023" s="26"/>
      <c r="P3023" s="26"/>
      <c r="Q3023" s="26" t="s">
        <v>1333</v>
      </c>
    </row>
    <row r="3024" ht="17.25" customHeight="1">
      <c r="A3024" s="51"/>
      <c r="B3024" s="55"/>
      <c r="C3024" s="55"/>
      <c r="D3024" s="240"/>
      <c r="E3024" s="52"/>
      <c r="F3024" s="55"/>
      <c r="G3024" s="55"/>
      <c r="H3024" s="55"/>
      <c r="I3024" s="26" t="s">
        <v>1333</v>
      </c>
      <c r="J3024" s="26"/>
      <c r="K3024" s="26"/>
      <c r="L3024" s="26"/>
      <c r="M3024" s="26"/>
      <c r="N3024" s="26"/>
      <c r="O3024" s="26"/>
      <c r="P3024" s="26"/>
      <c r="Q3024" s="26" t="s">
        <v>1333</v>
      </c>
    </row>
    <row r="3025" ht="17.25" customHeight="1">
      <c r="A3025" s="51"/>
      <c r="B3025" s="55"/>
      <c r="C3025" s="55"/>
      <c r="D3025" s="240"/>
      <c r="E3025" s="52"/>
      <c r="F3025" s="55"/>
      <c r="G3025" s="55"/>
      <c r="H3025" s="55"/>
      <c r="I3025" s="26" t="s">
        <v>1333</v>
      </c>
      <c r="J3025" s="26"/>
      <c r="K3025" s="26"/>
      <c r="L3025" s="26"/>
      <c r="M3025" s="26"/>
      <c r="N3025" s="26"/>
      <c r="O3025" s="26"/>
      <c r="P3025" s="26"/>
      <c r="Q3025" s="26" t="s">
        <v>1333</v>
      </c>
    </row>
    <row r="3026" ht="17.25" customHeight="1">
      <c r="A3026" s="51"/>
      <c r="B3026" s="55"/>
      <c r="C3026" s="55"/>
      <c r="D3026" s="240"/>
      <c r="E3026" s="52"/>
      <c r="F3026" s="55"/>
      <c r="G3026" s="55"/>
      <c r="H3026" s="55"/>
      <c r="I3026" s="26" t="s">
        <v>1333</v>
      </c>
      <c r="J3026" s="26"/>
      <c r="K3026" s="26"/>
      <c r="L3026" s="26"/>
      <c r="M3026" s="26"/>
      <c r="N3026" s="26"/>
      <c r="O3026" s="26"/>
      <c r="P3026" s="26"/>
      <c r="Q3026" s="26" t="s">
        <v>1333</v>
      </c>
    </row>
    <row r="3027" ht="17.25" customHeight="1">
      <c r="A3027" s="51"/>
      <c r="B3027" s="55"/>
      <c r="C3027" s="55"/>
      <c r="D3027" s="240"/>
      <c r="E3027" s="52"/>
      <c r="F3027" s="55"/>
      <c r="G3027" s="55"/>
      <c r="H3027" s="55"/>
      <c r="I3027" s="26" t="s">
        <v>1333</v>
      </c>
      <c r="J3027" s="26"/>
      <c r="K3027" s="26"/>
      <c r="L3027" s="26"/>
      <c r="M3027" s="26"/>
      <c r="N3027" s="26"/>
      <c r="O3027" s="26"/>
      <c r="P3027" s="26"/>
      <c r="Q3027" s="26" t="s">
        <v>1333</v>
      </c>
    </row>
    <row r="3028" ht="17.25" customHeight="1">
      <c r="A3028" s="51"/>
      <c r="B3028" s="55"/>
      <c r="C3028" s="55"/>
      <c r="D3028" s="240"/>
      <c r="E3028" s="52"/>
      <c r="F3028" s="55"/>
      <c r="G3028" s="55"/>
      <c r="H3028" s="55"/>
      <c r="I3028" s="26" t="s">
        <v>1333</v>
      </c>
      <c r="J3028" s="26"/>
      <c r="K3028" s="26"/>
      <c r="L3028" s="26"/>
      <c r="M3028" s="26"/>
      <c r="N3028" s="26"/>
      <c r="O3028" s="26"/>
      <c r="P3028" s="26"/>
      <c r="Q3028" s="26" t="s">
        <v>1333</v>
      </c>
    </row>
    <row r="3029" ht="17.25" customHeight="1">
      <c r="A3029" s="51"/>
      <c r="B3029" s="55"/>
      <c r="C3029" s="55"/>
      <c r="D3029" s="240"/>
      <c r="E3029" s="52"/>
      <c r="F3029" s="55"/>
      <c r="G3029" s="55"/>
      <c r="H3029" s="55"/>
      <c r="I3029" s="26" t="s">
        <v>1333</v>
      </c>
      <c r="J3029" s="26"/>
      <c r="K3029" s="26"/>
      <c r="L3029" s="26"/>
      <c r="M3029" s="26"/>
      <c r="N3029" s="26"/>
      <c r="O3029" s="26"/>
      <c r="P3029" s="26"/>
      <c r="Q3029" s="26" t="s">
        <v>1333</v>
      </c>
    </row>
    <row r="3030" ht="17.25" customHeight="1">
      <c r="A3030" s="51"/>
      <c r="B3030" s="55"/>
      <c r="C3030" s="55"/>
      <c r="D3030" s="240"/>
      <c r="E3030" s="52"/>
      <c r="F3030" s="55"/>
      <c r="G3030" s="55"/>
      <c r="H3030" s="55"/>
      <c r="I3030" s="26" t="s">
        <v>1333</v>
      </c>
      <c r="J3030" s="26"/>
      <c r="K3030" s="26"/>
      <c r="L3030" s="26"/>
      <c r="M3030" s="26"/>
      <c r="N3030" s="26"/>
      <c r="O3030" s="26"/>
      <c r="P3030" s="26"/>
      <c r="Q3030" s="26" t="s">
        <v>1333</v>
      </c>
    </row>
    <row r="3031" ht="17.25" customHeight="1">
      <c r="A3031" s="51"/>
      <c r="B3031" s="55"/>
      <c r="C3031" s="55"/>
      <c r="D3031" s="240"/>
      <c r="E3031" s="52"/>
      <c r="F3031" s="55"/>
      <c r="G3031" s="55"/>
      <c r="H3031" s="55"/>
      <c r="I3031" s="26" t="s">
        <v>1333</v>
      </c>
      <c r="J3031" s="26"/>
      <c r="K3031" s="26"/>
      <c r="L3031" s="26"/>
      <c r="M3031" s="26"/>
      <c r="N3031" s="26"/>
      <c r="O3031" s="26"/>
      <c r="P3031" s="26"/>
      <c r="Q3031" s="26" t="s">
        <v>1333</v>
      </c>
    </row>
    <row r="3032" ht="17.25" customHeight="1">
      <c r="A3032" s="51"/>
      <c r="B3032" s="55"/>
      <c r="C3032" s="55"/>
      <c r="D3032" s="240"/>
      <c r="E3032" s="52"/>
      <c r="F3032" s="55"/>
      <c r="G3032" s="55"/>
      <c r="H3032" s="55"/>
      <c r="I3032" s="26" t="s">
        <v>1333</v>
      </c>
      <c r="J3032" s="26"/>
      <c r="K3032" s="26"/>
      <c r="L3032" s="26"/>
      <c r="M3032" s="26"/>
      <c r="N3032" s="26"/>
      <c r="O3032" s="26"/>
      <c r="P3032" s="26"/>
      <c r="Q3032" s="26" t="s">
        <v>1333</v>
      </c>
    </row>
    <row r="3033" ht="17.25" customHeight="1">
      <c r="A3033" s="51"/>
      <c r="B3033" s="55"/>
      <c r="C3033" s="55"/>
      <c r="D3033" s="240"/>
      <c r="E3033" s="52"/>
      <c r="F3033" s="55"/>
      <c r="G3033" s="55"/>
      <c r="H3033" s="55"/>
      <c r="I3033" s="26" t="s">
        <v>1333</v>
      </c>
      <c r="J3033" s="26"/>
      <c r="K3033" s="26"/>
      <c r="L3033" s="26"/>
      <c r="M3033" s="26"/>
      <c r="N3033" s="26"/>
      <c r="O3033" s="26"/>
      <c r="P3033" s="26"/>
      <c r="Q3033" s="26" t="s">
        <v>1333</v>
      </c>
    </row>
    <row r="3034" ht="17.25" customHeight="1">
      <c r="A3034" s="51"/>
      <c r="B3034" s="55"/>
      <c r="C3034" s="55"/>
      <c r="D3034" s="240"/>
      <c r="E3034" s="52"/>
      <c r="F3034" s="55"/>
      <c r="G3034" s="55"/>
      <c r="H3034" s="55"/>
      <c r="I3034" s="26" t="s">
        <v>1333</v>
      </c>
      <c r="J3034" s="26"/>
      <c r="K3034" s="26"/>
      <c r="L3034" s="26"/>
      <c r="M3034" s="26"/>
      <c r="N3034" s="26"/>
      <c r="O3034" s="26"/>
      <c r="P3034" s="26"/>
      <c r="Q3034" s="26" t="s">
        <v>1333</v>
      </c>
    </row>
    <row r="3035" ht="17.25" customHeight="1">
      <c r="A3035" s="51"/>
      <c r="B3035" s="55"/>
      <c r="C3035" s="55"/>
      <c r="D3035" s="240"/>
      <c r="E3035" s="52"/>
      <c r="F3035" s="55"/>
      <c r="G3035" s="55"/>
      <c r="H3035" s="55"/>
      <c r="I3035" s="26" t="s">
        <v>1333</v>
      </c>
      <c r="J3035" s="26"/>
      <c r="K3035" s="26"/>
      <c r="L3035" s="26"/>
      <c r="M3035" s="26"/>
      <c r="N3035" s="26"/>
      <c r="O3035" s="26"/>
      <c r="P3035" s="26"/>
      <c r="Q3035" s="26" t="s">
        <v>1333</v>
      </c>
    </row>
    <row r="3036" ht="17.25" customHeight="1">
      <c r="A3036" s="51"/>
      <c r="B3036" s="55"/>
      <c r="C3036" s="55"/>
      <c r="D3036" s="240"/>
      <c r="E3036" s="52"/>
      <c r="F3036" s="55"/>
      <c r="G3036" s="55"/>
      <c r="H3036" s="55"/>
      <c r="I3036" s="26" t="s">
        <v>1333</v>
      </c>
      <c r="J3036" s="26"/>
      <c r="K3036" s="26"/>
      <c r="L3036" s="26"/>
      <c r="M3036" s="26"/>
      <c r="N3036" s="26"/>
      <c r="O3036" s="26"/>
      <c r="P3036" s="26"/>
      <c r="Q3036" s="26" t="s">
        <v>1333</v>
      </c>
    </row>
    <row r="3037" ht="17.25" customHeight="1">
      <c r="A3037" s="51"/>
      <c r="B3037" s="55"/>
      <c r="C3037" s="55"/>
      <c r="D3037" s="240"/>
      <c r="E3037" s="52"/>
      <c r="F3037" s="55"/>
      <c r="G3037" s="55"/>
      <c r="H3037" s="55"/>
      <c r="I3037" s="26" t="s">
        <v>1333</v>
      </c>
      <c r="J3037" s="26"/>
      <c r="K3037" s="26"/>
      <c r="L3037" s="26"/>
      <c r="M3037" s="26"/>
      <c r="N3037" s="26"/>
      <c r="O3037" s="26"/>
      <c r="P3037" s="26"/>
      <c r="Q3037" s="26" t="s">
        <v>1333</v>
      </c>
    </row>
    <row r="3038" ht="17.25" customHeight="1">
      <c r="A3038" s="51"/>
      <c r="B3038" s="55"/>
      <c r="C3038" s="55"/>
      <c r="D3038" s="240"/>
      <c r="E3038" s="52"/>
      <c r="F3038" s="55"/>
      <c r="G3038" s="55"/>
      <c r="H3038" s="55"/>
      <c r="I3038" s="26" t="s">
        <v>1333</v>
      </c>
      <c r="J3038" s="26"/>
      <c r="K3038" s="26"/>
      <c r="L3038" s="26"/>
      <c r="M3038" s="26"/>
      <c r="N3038" s="26"/>
      <c r="O3038" s="26"/>
      <c r="P3038" s="26"/>
      <c r="Q3038" s="26" t="s">
        <v>1333</v>
      </c>
    </row>
    <row r="3039" ht="17.25" customHeight="1">
      <c r="A3039" s="51"/>
      <c r="B3039" s="55"/>
      <c r="C3039" s="55"/>
      <c r="D3039" s="240"/>
      <c r="E3039" s="52"/>
      <c r="F3039" s="55"/>
      <c r="G3039" s="55"/>
      <c r="H3039" s="55"/>
      <c r="I3039" s="26" t="s">
        <v>1333</v>
      </c>
      <c r="J3039" s="26"/>
      <c r="K3039" s="26"/>
      <c r="L3039" s="26"/>
      <c r="M3039" s="26"/>
      <c r="N3039" s="26"/>
      <c r="O3039" s="26"/>
      <c r="P3039" s="26"/>
      <c r="Q3039" s="26" t="s">
        <v>1333</v>
      </c>
    </row>
    <row r="3040" ht="17.25" customHeight="1">
      <c r="A3040" s="51"/>
      <c r="B3040" s="55"/>
      <c r="C3040" s="55"/>
      <c r="D3040" s="240"/>
      <c r="E3040" s="52"/>
      <c r="F3040" s="55"/>
      <c r="G3040" s="55"/>
      <c r="H3040" s="55"/>
      <c r="I3040" s="26" t="s">
        <v>1333</v>
      </c>
      <c r="J3040" s="26"/>
      <c r="K3040" s="26"/>
      <c r="L3040" s="26"/>
      <c r="M3040" s="26"/>
      <c r="N3040" s="26"/>
      <c r="O3040" s="26"/>
      <c r="P3040" s="26"/>
      <c r="Q3040" s="26" t="s">
        <v>1333</v>
      </c>
    </row>
    <row r="3041" ht="17.25" customHeight="1">
      <c r="A3041" s="51"/>
      <c r="B3041" s="55"/>
      <c r="C3041" s="55"/>
      <c r="D3041" s="240"/>
      <c r="E3041" s="52"/>
      <c r="F3041" s="55"/>
      <c r="G3041" s="55"/>
      <c r="H3041" s="55"/>
      <c r="I3041" s="26" t="s">
        <v>1333</v>
      </c>
      <c r="J3041" s="26"/>
      <c r="K3041" s="26"/>
      <c r="L3041" s="26"/>
      <c r="M3041" s="26"/>
      <c r="N3041" s="26"/>
      <c r="O3041" s="26"/>
      <c r="P3041" s="26"/>
      <c r="Q3041" s="26" t="s">
        <v>1333</v>
      </c>
    </row>
    <row r="3042" ht="17.25" customHeight="1">
      <c r="A3042" s="51"/>
      <c r="B3042" s="55"/>
      <c r="C3042" s="55"/>
      <c r="D3042" s="240"/>
      <c r="E3042" s="52"/>
      <c r="F3042" s="55"/>
      <c r="G3042" s="55"/>
      <c r="H3042" s="55"/>
      <c r="I3042" s="26" t="s">
        <v>1333</v>
      </c>
      <c r="J3042" s="26"/>
      <c r="K3042" s="26"/>
      <c r="L3042" s="26"/>
      <c r="M3042" s="26"/>
      <c r="N3042" s="26"/>
      <c r="O3042" s="26"/>
      <c r="P3042" s="26"/>
      <c r="Q3042" s="26" t="s">
        <v>1333</v>
      </c>
    </row>
    <row r="3043" ht="17.25" customHeight="1">
      <c r="A3043" s="51"/>
      <c r="B3043" s="55"/>
      <c r="C3043" s="55"/>
      <c r="D3043" s="240"/>
      <c r="E3043" s="52"/>
      <c r="F3043" s="55"/>
      <c r="G3043" s="55"/>
      <c r="H3043" s="55"/>
      <c r="I3043" s="26" t="s">
        <v>1333</v>
      </c>
      <c r="J3043" s="26"/>
      <c r="K3043" s="26"/>
      <c r="L3043" s="26"/>
      <c r="M3043" s="26"/>
      <c r="N3043" s="26"/>
      <c r="O3043" s="26"/>
      <c r="P3043" s="26"/>
      <c r="Q3043" s="26" t="s">
        <v>1333</v>
      </c>
    </row>
    <row r="3044" ht="17.25" customHeight="1">
      <c r="A3044" s="51"/>
      <c r="B3044" s="55"/>
      <c r="C3044" s="55"/>
      <c r="D3044" s="240"/>
      <c r="E3044" s="52"/>
      <c r="F3044" s="55"/>
      <c r="G3044" s="55"/>
      <c r="H3044" s="55"/>
      <c r="I3044" s="26" t="s">
        <v>1333</v>
      </c>
      <c r="J3044" s="26"/>
      <c r="K3044" s="26"/>
      <c r="L3044" s="26"/>
      <c r="M3044" s="26"/>
      <c r="N3044" s="26"/>
      <c r="O3044" s="26"/>
      <c r="P3044" s="26"/>
      <c r="Q3044" s="26" t="s">
        <v>1333</v>
      </c>
    </row>
    <row r="3045" ht="17.25" customHeight="1">
      <c r="A3045" s="51"/>
      <c r="B3045" s="55"/>
      <c r="C3045" s="55"/>
      <c r="D3045" s="240"/>
      <c r="E3045" s="52"/>
      <c r="F3045" s="55"/>
      <c r="G3045" s="55"/>
      <c r="H3045" s="55"/>
      <c r="I3045" s="26" t="s">
        <v>1333</v>
      </c>
      <c r="J3045" s="26"/>
      <c r="K3045" s="26"/>
      <c r="L3045" s="26"/>
      <c r="M3045" s="26"/>
      <c r="N3045" s="26"/>
      <c r="O3045" s="26"/>
      <c r="P3045" s="26"/>
      <c r="Q3045" s="26" t="s">
        <v>1333</v>
      </c>
    </row>
    <row r="3046" ht="17.25" customHeight="1">
      <c r="A3046" s="51"/>
      <c r="B3046" s="55"/>
      <c r="C3046" s="55"/>
      <c r="D3046" s="240"/>
      <c r="E3046" s="52"/>
      <c r="F3046" s="55"/>
      <c r="G3046" s="55"/>
      <c r="H3046" s="55"/>
      <c r="I3046" s="26" t="s">
        <v>1333</v>
      </c>
      <c r="J3046" s="26"/>
      <c r="K3046" s="26"/>
      <c r="L3046" s="26"/>
      <c r="M3046" s="26"/>
      <c r="N3046" s="26"/>
      <c r="O3046" s="26"/>
      <c r="P3046" s="26"/>
      <c r="Q3046" s="26" t="s">
        <v>1333</v>
      </c>
    </row>
    <row r="3047" ht="17.25" customHeight="1">
      <c r="A3047" s="51"/>
      <c r="B3047" s="55"/>
      <c r="C3047" s="55"/>
      <c r="D3047" s="240"/>
      <c r="E3047" s="52"/>
      <c r="F3047" s="55"/>
      <c r="G3047" s="55"/>
      <c r="H3047" s="55"/>
      <c r="I3047" s="26" t="s">
        <v>1333</v>
      </c>
      <c r="J3047" s="26"/>
      <c r="K3047" s="26"/>
      <c r="L3047" s="26"/>
      <c r="M3047" s="26"/>
      <c r="N3047" s="26"/>
      <c r="O3047" s="26"/>
      <c r="P3047" s="26"/>
      <c r="Q3047" s="26" t="s">
        <v>1333</v>
      </c>
    </row>
    <row r="3048" ht="17.25" customHeight="1">
      <c r="A3048" s="51"/>
      <c r="B3048" s="55"/>
      <c r="C3048" s="55"/>
      <c r="D3048" s="240"/>
      <c r="E3048" s="52"/>
      <c r="F3048" s="55"/>
      <c r="G3048" s="55"/>
      <c r="H3048" s="55"/>
      <c r="I3048" s="26" t="s">
        <v>1333</v>
      </c>
      <c r="J3048" s="26"/>
      <c r="K3048" s="26"/>
      <c r="L3048" s="26"/>
      <c r="M3048" s="26"/>
      <c r="N3048" s="26"/>
      <c r="O3048" s="26"/>
      <c r="P3048" s="26"/>
      <c r="Q3048" s="26" t="s">
        <v>1333</v>
      </c>
    </row>
    <row r="3049" ht="17.25" customHeight="1">
      <c r="A3049" s="51"/>
      <c r="B3049" s="55"/>
      <c r="C3049" s="55"/>
      <c r="D3049" s="240"/>
      <c r="E3049" s="52"/>
      <c r="F3049" s="55"/>
      <c r="G3049" s="55"/>
      <c r="H3049" s="55"/>
      <c r="I3049" s="26" t="s">
        <v>1333</v>
      </c>
      <c r="J3049" s="26"/>
      <c r="K3049" s="26"/>
      <c r="L3049" s="26"/>
      <c r="M3049" s="26"/>
      <c r="N3049" s="26"/>
      <c r="O3049" s="26"/>
      <c r="P3049" s="26"/>
      <c r="Q3049" s="26" t="s">
        <v>1333</v>
      </c>
    </row>
    <row r="3050" ht="17.25" customHeight="1">
      <c r="A3050" s="51"/>
      <c r="B3050" s="55"/>
      <c r="C3050" s="55"/>
      <c r="D3050" s="240"/>
      <c r="E3050" s="52"/>
      <c r="F3050" s="55"/>
      <c r="G3050" s="55"/>
      <c r="H3050" s="55"/>
      <c r="I3050" s="26" t="s">
        <v>1333</v>
      </c>
      <c r="J3050" s="26"/>
      <c r="K3050" s="26"/>
      <c r="L3050" s="26"/>
      <c r="M3050" s="26"/>
      <c r="N3050" s="26"/>
      <c r="O3050" s="26"/>
      <c r="P3050" s="26"/>
      <c r="Q3050" s="26" t="s">
        <v>1333</v>
      </c>
    </row>
    <row r="3051" ht="17.25" customHeight="1">
      <c r="A3051" s="51"/>
      <c r="B3051" s="55"/>
      <c r="C3051" s="55"/>
      <c r="D3051" s="240"/>
      <c r="E3051" s="52"/>
      <c r="F3051" s="55"/>
      <c r="G3051" s="55"/>
      <c r="H3051" s="55"/>
      <c r="I3051" s="26" t="s">
        <v>1333</v>
      </c>
      <c r="J3051" s="26"/>
      <c r="K3051" s="26"/>
      <c r="L3051" s="26"/>
      <c r="M3051" s="26"/>
      <c r="N3051" s="26"/>
      <c r="O3051" s="26"/>
      <c r="P3051" s="26"/>
      <c r="Q3051" s="26" t="s">
        <v>1333</v>
      </c>
    </row>
    <row r="3052" ht="17.25" customHeight="1">
      <c r="A3052" s="51"/>
      <c r="B3052" s="55"/>
      <c r="C3052" s="55"/>
      <c r="D3052" s="240"/>
      <c r="E3052" s="52"/>
      <c r="F3052" s="55"/>
      <c r="G3052" s="55"/>
      <c r="H3052" s="55"/>
      <c r="I3052" s="26" t="s">
        <v>1333</v>
      </c>
      <c r="J3052" s="26"/>
      <c r="K3052" s="26"/>
      <c r="L3052" s="26"/>
      <c r="M3052" s="26"/>
      <c r="N3052" s="26"/>
      <c r="O3052" s="26"/>
      <c r="P3052" s="26"/>
      <c r="Q3052" s="26" t="s">
        <v>1333</v>
      </c>
    </row>
    <row r="3053" ht="17.25" customHeight="1">
      <c r="A3053" s="51"/>
      <c r="B3053" s="55"/>
      <c r="C3053" s="55"/>
      <c r="D3053" s="240"/>
      <c r="E3053" s="52"/>
      <c r="F3053" s="55"/>
      <c r="G3053" s="55"/>
      <c r="H3053" s="55"/>
      <c r="I3053" s="26" t="s">
        <v>1333</v>
      </c>
      <c r="J3053" s="26"/>
      <c r="K3053" s="26"/>
      <c r="L3053" s="26"/>
      <c r="M3053" s="26"/>
      <c r="N3053" s="26"/>
      <c r="O3053" s="26"/>
      <c r="P3053" s="26"/>
      <c r="Q3053" s="26" t="s">
        <v>1333</v>
      </c>
    </row>
    <row r="3054" ht="17.25" customHeight="1">
      <c r="A3054" s="51"/>
      <c r="B3054" s="55"/>
      <c r="C3054" s="55"/>
      <c r="D3054" s="240"/>
      <c r="E3054" s="52"/>
      <c r="F3054" s="55"/>
      <c r="G3054" s="55"/>
      <c r="H3054" s="55"/>
      <c r="I3054" s="26" t="s">
        <v>1333</v>
      </c>
      <c r="J3054" s="26"/>
      <c r="K3054" s="26"/>
      <c r="L3054" s="26"/>
      <c r="M3054" s="26"/>
      <c r="N3054" s="26"/>
      <c r="O3054" s="26"/>
      <c r="P3054" s="26"/>
      <c r="Q3054" s="26" t="s">
        <v>1333</v>
      </c>
    </row>
    <row r="3055" ht="17.25" customHeight="1">
      <c r="A3055" s="51"/>
      <c r="B3055" s="55"/>
      <c r="C3055" s="55"/>
      <c r="D3055" s="240"/>
      <c r="E3055" s="52"/>
      <c r="F3055" s="55"/>
      <c r="G3055" s="55"/>
      <c r="H3055" s="55"/>
      <c r="I3055" s="26" t="s">
        <v>1333</v>
      </c>
      <c r="J3055" s="26"/>
      <c r="K3055" s="26"/>
      <c r="L3055" s="26"/>
      <c r="M3055" s="26"/>
      <c r="N3055" s="26"/>
      <c r="O3055" s="26"/>
      <c r="P3055" s="26"/>
      <c r="Q3055" s="26" t="s">
        <v>1333</v>
      </c>
    </row>
    <row r="3056" ht="17.25" customHeight="1">
      <c r="A3056" s="51"/>
      <c r="B3056" s="55"/>
      <c r="C3056" s="55"/>
      <c r="D3056" s="240"/>
      <c r="E3056" s="52"/>
      <c r="F3056" s="55"/>
      <c r="G3056" s="55"/>
      <c r="H3056" s="55"/>
      <c r="I3056" s="26" t="s">
        <v>1333</v>
      </c>
      <c r="J3056" s="26"/>
      <c r="K3056" s="26"/>
      <c r="L3056" s="26"/>
      <c r="M3056" s="26"/>
      <c r="N3056" s="26"/>
      <c r="O3056" s="26"/>
      <c r="P3056" s="26"/>
      <c r="Q3056" s="26" t="s">
        <v>1333</v>
      </c>
    </row>
    <row r="3057" ht="17.25" customHeight="1">
      <c r="A3057" s="51"/>
      <c r="B3057" s="55"/>
      <c r="C3057" s="55"/>
      <c r="D3057" s="240"/>
      <c r="E3057" s="52"/>
      <c r="F3057" s="55"/>
      <c r="G3057" s="55"/>
      <c r="H3057" s="55"/>
      <c r="I3057" s="26" t="s">
        <v>1333</v>
      </c>
      <c r="J3057" s="26"/>
      <c r="K3057" s="26"/>
      <c r="L3057" s="26"/>
      <c r="M3057" s="26"/>
      <c r="N3057" s="26"/>
      <c r="O3057" s="26"/>
      <c r="P3057" s="26"/>
      <c r="Q3057" s="26" t="s">
        <v>1333</v>
      </c>
    </row>
    <row r="3058" ht="17.25" customHeight="1">
      <c r="A3058" s="51"/>
      <c r="B3058" s="55"/>
      <c r="C3058" s="55"/>
      <c r="D3058" s="240"/>
      <c r="E3058" s="52"/>
      <c r="F3058" s="55"/>
      <c r="G3058" s="55"/>
      <c r="H3058" s="55"/>
      <c r="I3058" s="26" t="s">
        <v>1333</v>
      </c>
      <c r="J3058" s="26"/>
      <c r="K3058" s="26"/>
      <c r="L3058" s="26"/>
      <c r="M3058" s="26"/>
      <c r="N3058" s="26"/>
      <c r="O3058" s="26"/>
      <c r="P3058" s="26"/>
      <c r="Q3058" s="26" t="s">
        <v>1333</v>
      </c>
    </row>
    <row r="3059" ht="17.25" customHeight="1">
      <c r="A3059" s="51"/>
      <c r="B3059" s="55"/>
      <c r="C3059" s="55"/>
      <c r="D3059" s="240"/>
      <c r="E3059" s="52"/>
      <c r="F3059" s="55"/>
      <c r="G3059" s="55"/>
      <c r="H3059" s="55"/>
      <c r="I3059" s="26" t="s">
        <v>1333</v>
      </c>
      <c r="J3059" s="26"/>
      <c r="K3059" s="26"/>
      <c r="L3059" s="26"/>
      <c r="M3059" s="26"/>
      <c r="N3059" s="26"/>
      <c r="O3059" s="26"/>
      <c r="P3059" s="26"/>
      <c r="Q3059" s="26" t="s">
        <v>1333</v>
      </c>
    </row>
    <row r="3060" ht="17.25" customHeight="1">
      <c r="A3060" s="51"/>
      <c r="B3060" s="55"/>
      <c r="C3060" s="55"/>
      <c r="D3060" s="240"/>
      <c r="E3060" s="52"/>
      <c r="F3060" s="55"/>
      <c r="G3060" s="55"/>
      <c r="H3060" s="55"/>
      <c r="I3060" s="26" t="s">
        <v>1333</v>
      </c>
      <c r="J3060" s="26"/>
      <c r="K3060" s="26"/>
      <c r="L3060" s="26"/>
      <c r="M3060" s="26"/>
      <c r="N3060" s="26"/>
      <c r="O3060" s="26"/>
      <c r="P3060" s="26"/>
      <c r="Q3060" s="26" t="s">
        <v>1333</v>
      </c>
    </row>
    <row r="3061" ht="17.25" customHeight="1">
      <c r="A3061" s="51"/>
      <c r="B3061" s="55"/>
      <c r="C3061" s="55"/>
      <c r="D3061" s="240"/>
      <c r="E3061" s="52"/>
      <c r="F3061" s="55"/>
      <c r="G3061" s="55"/>
      <c r="H3061" s="55"/>
      <c r="I3061" s="26" t="s">
        <v>1333</v>
      </c>
      <c r="J3061" s="26"/>
      <c r="K3061" s="26"/>
      <c r="L3061" s="26"/>
      <c r="M3061" s="26"/>
      <c r="N3061" s="26"/>
      <c r="O3061" s="26"/>
      <c r="P3061" s="26"/>
      <c r="Q3061" s="26" t="s">
        <v>1333</v>
      </c>
    </row>
    <row r="3062" ht="17.25" customHeight="1">
      <c r="A3062" s="51"/>
      <c r="B3062" s="55"/>
      <c r="C3062" s="55"/>
      <c r="D3062" s="240"/>
      <c r="E3062" s="52"/>
      <c r="F3062" s="55"/>
      <c r="G3062" s="55"/>
      <c r="H3062" s="55"/>
      <c r="I3062" s="26" t="s">
        <v>1333</v>
      </c>
      <c r="J3062" s="26"/>
      <c r="K3062" s="26"/>
      <c r="L3062" s="26"/>
      <c r="M3062" s="26"/>
      <c r="N3062" s="26"/>
      <c r="O3062" s="26"/>
      <c r="P3062" s="26"/>
      <c r="Q3062" s="26" t="s">
        <v>1333</v>
      </c>
    </row>
    <row r="3063" ht="17.25" customHeight="1">
      <c r="A3063" s="51"/>
      <c r="B3063" s="55"/>
      <c r="C3063" s="55"/>
      <c r="D3063" s="240"/>
      <c r="E3063" s="52"/>
      <c r="F3063" s="55"/>
      <c r="G3063" s="55"/>
      <c r="H3063" s="55"/>
      <c r="I3063" s="26" t="s">
        <v>1333</v>
      </c>
      <c r="J3063" s="26"/>
      <c r="K3063" s="26"/>
      <c r="L3063" s="26"/>
      <c r="M3063" s="26"/>
      <c r="N3063" s="26"/>
      <c r="O3063" s="26"/>
      <c r="P3063" s="26"/>
      <c r="Q3063" s="26" t="s">
        <v>1333</v>
      </c>
    </row>
    <row r="3064" ht="17.25" customHeight="1">
      <c r="A3064" s="51"/>
      <c r="B3064" s="55"/>
      <c r="C3064" s="55"/>
      <c r="D3064" s="240"/>
      <c r="E3064" s="52"/>
      <c r="F3064" s="55"/>
      <c r="G3064" s="55"/>
      <c r="H3064" s="55"/>
      <c r="I3064" s="26" t="s">
        <v>1333</v>
      </c>
      <c r="J3064" s="26"/>
      <c r="K3064" s="26"/>
      <c r="L3064" s="26"/>
      <c r="M3064" s="26"/>
      <c r="N3064" s="26"/>
      <c r="O3064" s="26"/>
      <c r="P3064" s="26"/>
      <c r="Q3064" s="26" t="s">
        <v>1333</v>
      </c>
    </row>
    <row r="3065" ht="17.25" customHeight="1">
      <c r="A3065" s="51"/>
      <c r="B3065" s="55"/>
      <c r="C3065" s="55"/>
      <c r="D3065" s="240"/>
      <c r="E3065" s="52"/>
      <c r="F3065" s="55"/>
      <c r="G3065" s="55"/>
      <c r="H3065" s="55"/>
      <c r="I3065" s="26" t="s">
        <v>1333</v>
      </c>
      <c r="J3065" s="26"/>
      <c r="K3065" s="26"/>
      <c r="L3065" s="26"/>
      <c r="M3065" s="26"/>
      <c r="N3065" s="26"/>
      <c r="O3065" s="26"/>
      <c r="P3065" s="26"/>
      <c r="Q3065" s="26" t="s">
        <v>1333</v>
      </c>
    </row>
    <row r="3066" ht="17.25" customHeight="1">
      <c r="A3066" s="51"/>
      <c r="B3066" s="55"/>
      <c r="C3066" s="55"/>
      <c r="D3066" s="240"/>
      <c r="E3066" s="52"/>
      <c r="F3066" s="55"/>
      <c r="G3066" s="55"/>
      <c r="H3066" s="55"/>
      <c r="I3066" s="26" t="s">
        <v>1333</v>
      </c>
      <c r="J3066" s="26"/>
      <c r="K3066" s="26"/>
      <c r="L3066" s="26"/>
      <c r="M3066" s="26"/>
      <c r="N3066" s="26"/>
      <c r="O3066" s="26"/>
      <c r="P3066" s="26"/>
      <c r="Q3066" s="26" t="s">
        <v>1333</v>
      </c>
    </row>
    <row r="3067" ht="17.25" customHeight="1">
      <c r="A3067" s="51"/>
      <c r="B3067" s="55"/>
      <c r="C3067" s="55"/>
      <c r="D3067" s="240"/>
      <c r="E3067" s="52"/>
      <c r="F3067" s="55"/>
      <c r="G3067" s="55"/>
      <c r="H3067" s="55"/>
      <c r="I3067" s="26" t="s">
        <v>1333</v>
      </c>
      <c r="J3067" s="26"/>
      <c r="K3067" s="26"/>
      <c r="L3067" s="26"/>
      <c r="M3067" s="26"/>
      <c r="N3067" s="26"/>
      <c r="O3067" s="26"/>
      <c r="P3067" s="26"/>
      <c r="Q3067" s="26" t="s">
        <v>1333</v>
      </c>
    </row>
    <row r="3068" ht="17.25" customHeight="1">
      <c r="A3068" s="51"/>
      <c r="B3068" s="55"/>
      <c r="C3068" s="55"/>
      <c r="D3068" s="240"/>
      <c r="E3068" s="52"/>
      <c r="F3068" s="55"/>
      <c r="G3068" s="55"/>
      <c r="H3068" s="55"/>
      <c r="I3068" s="26" t="s">
        <v>1333</v>
      </c>
      <c r="J3068" s="26"/>
      <c r="K3068" s="26"/>
      <c r="L3068" s="26"/>
      <c r="M3068" s="26"/>
      <c r="N3068" s="26"/>
      <c r="O3068" s="26"/>
      <c r="P3068" s="26"/>
      <c r="Q3068" s="26" t="s">
        <v>1333</v>
      </c>
    </row>
    <row r="3069" ht="17.25" customHeight="1">
      <c r="A3069" s="51"/>
      <c r="B3069" s="55"/>
      <c r="C3069" s="55"/>
      <c r="D3069" s="240"/>
      <c r="E3069" s="52"/>
      <c r="F3069" s="55"/>
      <c r="G3069" s="55"/>
      <c r="H3069" s="55"/>
      <c r="I3069" s="26" t="s">
        <v>1333</v>
      </c>
      <c r="J3069" s="26"/>
      <c r="K3069" s="26"/>
      <c r="L3069" s="26"/>
      <c r="M3069" s="26"/>
      <c r="N3069" s="26"/>
      <c r="O3069" s="26"/>
      <c r="P3069" s="26"/>
      <c r="Q3069" s="26" t="s">
        <v>1333</v>
      </c>
    </row>
    <row r="3070" ht="17.25" customHeight="1">
      <c r="A3070" s="51"/>
      <c r="B3070" s="55"/>
      <c r="C3070" s="55"/>
      <c r="D3070" s="240"/>
      <c r="E3070" s="52"/>
      <c r="F3070" s="55"/>
      <c r="G3070" s="55"/>
      <c r="H3070" s="55"/>
      <c r="I3070" s="26" t="s">
        <v>1333</v>
      </c>
      <c r="J3070" s="26"/>
      <c r="K3070" s="26"/>
      <c r="L3070" s="26"/>
      <c r="M3070" s="26"/>
      <c r="N3070" s="26"/>
      <c r="O3070" s="26"/>
      <c r="P3070" s="26"/>
      <c r="Q3070" s="26" t="s">
        <v>1333</v>
      </c>
    </row>
    <row r="3071" ht="17.25" customHeight="1">
      <c r="A3071" s="51"/>
      <c r="B3071" s="55"/>
      <c r="C3071" s="55"/>
      <c r="D3071" s="240"/>
      <c r="E3071" s="52"/>
      <c r="F3071" s="55"/>
      <c r="G3071" s="55"/>
      <c r="H3071" s="55"/>
      <c r="I3071" s="26" t="s">
        <v>1333</v>
      </c>
      <c r="J3071" s="26"/>
      <c r="K3071" s="26"/>
      <c r="L3071" s="26"/>
      <c r="M3071" s="26"/>
      <c r="N3071" s="26"/>
      <c r="O3071" s="26"/>
      <c r="P3071" s="26"/>
      <c r="Q3071" s="26" t="s">
        <v>1333</v>
      </c>
    </row>
    <row r="3072" ht="17.25" customHeight="1">
      <c r="A3072" s="51"/>
      <c r="B3072" s="55"/>
      <c r="C3072" s="55"/>
      <c r="D3072" s="240"/>
      <c r="E3072" s="52"/>
      <c r="F3072" s="55"/>
      <c r="G3072" s="55"/>
      <c r="H3072" s="55"/>
      <c r="I3072" s="26" t="s">
        <v>1333</v>
      </c>
      <c r="J3072" s="26"/>
      <c r="K3072" s="26"/>
      <c r="L3072" s="26"/>
      <c r="M3072" s="26"/>
      <c r="N3072" s="26"/>
      <c r="O3072" s="26"/>
      <c r="P3072" s="26"/>
      <c r="Q3072" s="26" t="s">
        <v>1333</v>
      </c>
    </row>
    <row r="3073" ht="17.25" customHeight="1">
      <c r="A3073" s="51"/>
      <c r="B3073" s="55"/>
      <c r="C3073" s="55"/>
      <c r="D3073" s="240"/>
      <c r="E3073" s="52"/>
      <c r="F3073" s="55"/>
      <c r="G3073" s="55"/>
      <c r="H3073" s="55"/>
      <c r="I3073" s="26" t="s">
        <v>1333</v>
      </c>
      <c r="J3073" s="26"/>
      <c r="K3073" s="26"/>
      <c r="L3073" s="26"/>
      <c r="M3073" s="26"/>
      <c r="N3073" s="26"/>
      <c r="O3073" s="26"/>
      <c r="P3073" s="26"/>
      <c r="Q3073" s="26" t="s">
        <v>1333</v>
      </c>
    </row>
    <row r="3074" ht="17.25" customHeight="1">
      <c r="A3074" s="51"/>
      <c r="B3074" s="55"/>
      <c r="C3074" s="55"/>
      <c r="D3074" s="240"/>
      <c r="E3074" s="52"/>
      <c r="F3074" s="55"/>
      <c r="G3074" s="55"/>
      <c r="H3074" s="55"/>
      <c r="I3074" s="26" t="s">
        <v>1333</v>
      </c>
      <c r="J3074" s="26"/>
      <c r="K3074" s="26"/>
      <c r="L3074" s="26"/>
      <c r="M3074" s="26"/>
      <c r="N3074" s="26"/>
      <c r="O3074" s="26"/>
      <c r="P3074" s="26"/>
      <c r="Q3074" s="26" t="s">
        <v>1333</v>
      </c>
    </row>
  </sheetData>
  <dataValidations>
    <dataValidation type="list" allowBlank="1" showErrorMessage="1" sqref="C2:C3074">
      <formula1>"In,Out"</formula1>
    </dataValidation>
  </dataValidations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4" max="4" width="38.63"/>
  </cols>
  <sheetData>
    <row r="1">
      <c r="A1" s="25" t="str">
        <f>IFERROR(__xludf.DUMMYFUNCTION("QUERY('Item List'!A:J, ""SELECT A, B, I WHERE B != 'Paper' LABEL A 'Item Name', B 'Category', I 'SKU Code'"", 1)"),"Item Name")</f>
        <v>Item Name</v>
      </c>
      <c r="B1" s="25" t="str">
        <f>IFERROR(__xludf.DUMMYFUNCTION("""COMPUTED_VALUE"""),"Category")</f>
        <v>Category</v>
      </c>
      <c r="C1" s="25" t="str">
        <f>IFERROR(__xludf.DUMMYFUNCTION("""COMPUTED_VALUE"""),"SKU Code")</f>
        <v>SKU Code</v>
      </c>
      <c r="D1" s="2" t="s">
        <v>1567</v>
      </c>
      <c r="E1" s="2" t="s">
        <v>1568</v>
      </c>
    </row>
    <row r="2">
      <c r="A2" s="25" t="str">
        <f>IFERROR(__xludf.DUMMYFUNCTION("""COMPUTED_VALUE"""),"Universal Plus Black Ink")</f>
        <v>Universal Plus Black Ink</v>
      </c>
      <c r="B2" s="25" t="str">
        <f>IFERROR(__xludf.DUMMYFUNCTION("""COMPUTED_VALUE"""),"Ink")</f>
        <v>Ink</v>
      </c>
      <c r="C2" s="25" t="str">
        <f>IFERROR(__xludf.DUMMYFUNCTION("""COMPUTED_VALUE"""),"I-CMY-061")</f>
        <v>I-CMY-061</v>
      </c>
      <c r="D2" s="38" t="str">
        <f>IF(COUNTIF('Form responses 4'!B:B,C2)&gt;0, "", "https://docs.google.com/forms/d/e/1FAIpQLSdhNamFeglgVtt555M7xM7e8ZAg9KCWMEcDlLzX1oeZsyGxrg/viewform?usp=pp_url&amp;entry.580385001="&amp;C2&amp;"&amp;entry.1376952895="&amp;A2)</f>
        <v/>
      </c>
      <c r="E2" s="25">
        <f>IFERROR(IF(C2&lt;&gt;"",VLOOKUP(C2,IMS!$A$2:$E1000,5,0),""),"")</f>
        <v>16</v>
      </c>
    </row>
    <row r="3">
      <c r="A3" s="25" t="str">
        <f>IFERROR(__xludf.DUMMYFUNCTION("""COMPUTED_VALUE"""),"Universal Plus Cyan Ink")</f>
        <v>Universal Plus Cyan Ink</v>
      </c>
      <c r="B3" s="25" t="str">
        <f>IFERROR(__xludf.DUMMYFUNCTION("""COMPUTED_VALUE"""),"Ink")</f>
        <v>Ink</v>
      </c>
      <c r="C3" s="25" t="str">
        <f>IFERROR(__xludf.DUMMYFUNCTION("""COMPUTED_VALUE"""),"I-CMY-062")</f>
        <v>I-CMY-062</v>
      </c>
      <c r="D3" s="38" t="str">
        <f>IF(COUNTIF('Form responses 4'!B:B,C3)&gt;0, "", "https://docs.google.com/forms/d/e/1FAIpQLSdhNamFeglgVtt555M7xM7e8ZAg9KCWMEcDlLzX1oeZsyGxrg/viewform?usp=pp_url&amp;entry.580385001="&amp;C3&amp;"&amp;entry.1376952895="&amp;A3)</f>
        <v/>
      </c>
      <c r="E3" s="25">
        <f>IFERROR(IF(C3&lt;&gt;"",VLOOKUP(C3,IMS!$A$2:$E1000,5,0),""),"")</f>
        <v>10</v>
      </c>
    </row>
    <row r="4">
      <c r="A4" s="25" t="str">
        <f>IFERROR(__xludf.DUMMYFUNCTION("""COMPUTED_VALUE"""),"Universal Plus Magenta")</f>
        <v>Universal Plus Magenta</v>
      </c>
      <c r="B4" s="25" t="str">
        <f>IFERROR(__xludf.DUMMYFUNCTION("""COMPUTED_VALUE"""),"Ink")</f>
        <v>Ink</v>
      </c>
      <c r="C4" s="25" t="str">
        <f>IFERROR(__xludf.DUMMYFUNCTION("""COMPUTED_VALUE"""),"I-CMY-063")</f>
        <v>I-CMY-063</v>
      </c>
      <c r="D4" s="38" t="str">
        <f>IF(COUNTIF('Form responses 4'!B:B,C4)&gt;0, "", "https://docs.google.com/forms/d/e/1FAIpQLSdhNamFeglgVtt555M7xM7e8ZAg9KCWMEcDlLzX1oeZsyGxrg/viewform?usp=pp_url&amp;entry.580385001="&amp;C4&amp;"&amp;entry.1376952895="&amp;A4)</f>
        <v/>
      </c>
      <c r="E4" s="25">
        <f>IFERROR(IF(C4&lt;&gt;"",VLOOKUP(C4,IMS!$A$2:$E1000,5,0),""),"")</f>
        <v>10</v>
      </c>
    </row>
    <row r="5">
      <c r="A5" s="25" t="str">
        <f>IFERROR(__xludf.DUMMYFUNCTION("""COMPUTED_VALUE"""),"Universal Plus Yellow")</f>
        <v>Universal Plus Yellow</v>
      </c>
      <c r="B5" s="25" t="str">
        <f>IFERROR(__xludf.DUMMYFUNCTION("""COMPUTED_VALUE"""),"Ink")</f>
        <v>Ink</v>
      </c>
      <c r="C5" s="25" t="str">
        <f>IFERROR(__xludf.DUMMYFUNCTION("""COMPUTED_VALUE"""),"I-CMY-064")</f>
        <v>I-CMY-064</v>
      </c>
      <c r="D5" s="38" t="str">
        <f>IF(COUNTIF('Form responses 4'!B:B,C5)&gt;0, "", "https://docs.google.com/forms/d/e/1FAIpQLSdhNamFeglgVtt555M7xM7e8ZAg9KCWMEcDlLzX1oeZsyGxrg/viewform?usp=pp_url&amp;entry.580385001="&amp;C5&amp;"&amp;entry.1376952895="&amp;A5)</f>
        <v/>
      </c>
      <c r="E5" s="25">
        <f>IFERROR(IF(C5&lt;&gt;"",VLOOKUP(C5,IMS!$A$2:$E1000,5,0),""),"")</f>
        <v>6</v>
      </c>
    </row>
    <row r="6">
      <c r="A6" s="25" t="str">
        <f>IFERROR(__xludf.DUMMYFUNCTION("""COMPUTED_VALUE"""),"InstaCure 501 Flashdry Led Pr Black")</f>
        <v>InstaCure 501 Flashdry Led Pr Black</v>
      </c>
      <c r="B6" s="25" t="str">
        <f>IFERROR(__xludf.DUMMYFUNCTION("""COMPUTED_VALUE"""),"Ink")</f>
        <v>Ink</v>
      </c>
      <c r="C6" s="25" t="str">
        <f>IFERROR(__xludf.DUMMYFUNCTION("""COMPUTED_VALUE"""),"I-CMY-065")</f>
        <v>I-CMY-065</v>
      </c>
      <c r="D6" s="38" t="str">
        <f>IF(COUNTIF('Form responses 4'!B:B,C6)&gt;0, "", "https://docs.google.com/forms/d/e/1FAIpQLSdhNamFeglgVtt555M7xM7e8ZAg9KCWMEcDlLzX1oeZsyGxrg/viewform?usp=pp_url&amp;entry.580385001="&amp;C6&amp;"&amp;entry.1376952895="&amp;A6)</f>
        <v>https://docs.google.com/forms/d/e/1FAIpQLSdhNamFeglgVtt555M7xM7e8ZAg9KCWMEcDlLzX1oeZsyGxrg/viewform?usp=pp_url&amp;entry.580385001=I-CMY-065&amp;entry.1376952895=InstaCure 501 Flashdry Led Pr Black</v>
      </c>
      <c r="E6" s="25">
        <f>IFERROR(IF(C6&lt;&gt;"",VLOOKUP(C6,IMS!$A$2:$E1000,5,0),""),"")</f>
        <v>0</v>
      </c>
    </row>
    <row r="7">
      <c r="A7" s="25" t="str">
        <f>IFERROR(__xludf.DUMMYFUNCTION("""COMPUTED_VALUE"""),"InstaCure 501 Flashdry Led Pr White")</f>
        <v>InstaCure 501 Flashdry Led Pr White</v>
      </c>
      <c r="B7" s="25" t="str">
        <f>IFERROR(__xludf.DUMMYFUNCTION("""COMPUTED_VALUE"""),"Ink")</f>
        <v>Ink</v>
      </c>
      <c r="C7" s="25" t="str">
        <f>IFERROR(__xludf.DUMMYFUNCTION("""COMPUTED_VALUE"""),"I-CMY-066")</f>
        <v>I-CMY-066</v>
      </c>
      <c r="D7" s="38" t="str">
        <f>IF(COUNTIF('Form responses 4'!B:B,C7)&gt;0, "", "https://docs.google.com/forms/d/e/1FAIpQLSdhNamFeglgVtt555M7xM7e8ZAg9KCWMEcDlLzX1oeZsyGxrg/viewform?usp=pp_url&amp;entry.580385001="&amp;C7&amp;"&amp;entry.1376952895="&amp;A7)</f>
        <v>https://docs.google.com/forms/d/e/1FAIpQLSdhNamFeglgVtt555M7xM7e8ZAg9KCWMEcDlLzX1oeZsyGxrg/viewform?usp=pp_url&amp;entry.580385001=I-CMY-066&amp;entry.1376952895=InstaCure 501 Flashdry Led Pr White</v>
      </c>
      <c r="E7" s="25">
        <f>IFERROR(IF(C7&lt;&gt;"",VLOOKUP(C7,IMS!$A$2:$E1000,5,0),""),"")</f>
        <v>0</v>
      </c>
    </row>
    <row r="8">
      <c r="A8" s="25" t="str">
        <f>IFERROR(__xludf.DUMMYFUNCTION("""COMPUTED_VALUE"""),"InstaCure 501 Flashdry Led Pr Magenta")</f>
        <v>InstaCure 501 Flashdry Led Pr Magenta</v>
      </c>
      <c r="B8" s="25" t="str">
        <f>IFERROR(__xludf.DUMMYFUNCTION("""COMPUTED_VALUE"""),"Ink")</f>
        <v>Ink</v>
      </c>
      <c r="C8" s="25" t="str">
        <f>IFERROR(__xludf.DUMMYFUNCTION("""COMPUTED_VALUE"""),"I-CMY-067")</f>
        <v>I-CMY-067</v>
      </c>
      <c r="D8" s="38" t="str">
        <f>IF(COUNTIF('Form responses 4'!B:B,C8)&gt;0, "", "https://docs.google.com/forms/d/e/1FAIpQLSdhNamFeglgVtt555M7xM7e8ZAg9KCWMEcDlLzX1oeZsyGxrg/viewform?usp=pp_url&amp;entry.580385001="&amp;C8&amp;"&amp;entry.1376952895="&amp;A8)</f>
        <v>https://docs.google.com/forms/d/e/1FAIpQLSdhNamFeglgVtt555M7xM7e8ZAg9KCWMEcDlLzX1oeZsyGxrg/viewform?usp=pp_url&amp;entry.580385001=I-CMY-067&amp;entry.1376952895=InstaCure 501 Flashdry Led Pr Magenta</v>
      </c>
      <c r="E8" s="25">
        <f>IFERROR(IF(C8&lt;&gt;"",VLOOKUP(C8,IMS!$A$2:$E1000,5,0),""),"")</f>
        <v>1</v>
      </c>
    </row>
    <row r="9">
      <c r="A9" s="25" t="str">
        <f>IFERROR(__xludf.DUMMYFUNCTION("""COMPUTED_VALUE"""),"InstaCure 501 Flashdry Led Pr Yellow")</f>
        <v>InstaCure 501 Flashdry Led Pr Yellow</v>
      </c>
      <c r="B9" s="25" t="str">
        <f>IFERROR(__xludf.DUMMYFUNCTION("""COMPUTED_VALUE"""),"Ink")</f>
        <v>Ink</v>
      </c>
      <c r="C9" s="25" t="str">
        <f>IFERROR(__xludf.DUMMYFUNCTION("""COMPUTED_VALUE"""),"I-CMY-068")</f>
        <v>I-CMY-068</v>
      </c>
      <c r="D9" s="38" t="str">
        <f>IF(COUNTIF('Form responses 4'!B:B,C9)&gt;0, "", "https://docs.google.com/forms/d/e/1FAIpQLSdhNamFeglgVtt555M7xM7e8ZAg9KCWMEcDlLzX1oeZsyGxrg/viewform?usp=pp_url&amp;entry.580385001="&amp;C9&amp;"&amp;entry.1376952895="&amp;A9)</f>
        <v>https://docs.google.com/forms/d/e/1FAIpQLSdhNamFeglgVtt555M7xM7e8ZAg9KCWMEcDlLzX1oeZsyGxrg/viewform?usp=pp_url&amp;entry.580385001=I-CMY-068&amp;entry.1376952895=InstaCure 501 Flashdry Led Pr Yellow</v>
      </c>
      <c r="E9" s="25">
        <f>IFERROR(IF(C9&lt;&gt;"",VLOOKUP(C9,IMS!$A$2:$E1000,5,0),""),"")</f>
        <v>1</v>
      </c>
    </row>
    <row r="10">
      <c r="A10" s="25" t="str">
        <f>IFERROR(__xludf.DUMMYFUNCTION("""COMPUTED_VALUE"""),"InstaCure 501 Flashdry Led - Pr Cyan")</f>
        <v>InstaCure 501 Flashdry Led - Pr Cyan</v>
      </c>
      <c r="B10" s="25" t="str">
        <f>IFERROR(__xludf.DUMMYFUNCTION("""COMPUTED_VALUE"""),"Ink")</f>
        <v>Ink</v>
      </c>
      <c r="C10" s="25" t="str">
        <f>IFERROR(__xludf.DUMMYFUNCTION("""COMPUTED_VALUE"""),"I-CMY-069")</f>
        <v>I-CMY-069</v>
      </c>
      <c r="D10" s="38" t="str">
        <f>IF(COUNTIF('Form responses 4'!B:B,C10)&gt;0, "", "https://docs.google.com/forms/d/e/1FAIpQLSdhNamFeglgVtt555M7xM7e8ZAg9KCWMEcDlLzX1oeZsyGxrg/viewform?usp=pp_url&amp;entry.580385001="&amp;C10&amp;"&amp;entry.1376952895="&amp;A10)</f>
        <v>https://docs.google.com/forms/d/e/1FAIpQLSdhNamFeglgVtt555M7xM7e8ZAg9KCWMEcDlLzX1oeZsyGxrg/viewform?usp=pp_url&amp;entry.580385001=I-CMY-069&amp;entry.1376952895=InstaCure 501 Flashdry Led - Pr Cyan</v>
      </c>
      <c r="E10" s="25">
        <f>IFERROR(IF(C10&lt;&gt;"",VLOOKUP(C10,IMS!$A$2:$E1000,5,0),""),"")</f>
        <v>1</v>
      </c>
    </row>
    <row r="11">
      <c r="A11" s="25" t="str">
        <f>IFERROR(__xludf.DUMMYFUNCTION("""COMPUTED_VALUE"""),"Sicura Smartcure Uv - Led Pr Cyan")</f>
        <v>Sicura Smartcure Uv - Led Pr Cyan</v>
      </c>
      <c r="B11" s="25" t="str">
        <f>IFERROR(__xludf.DUMMYFUNCTION("""COMPUTED_VALUE"""),"Ink")</f>
        <v>Ink</v>
      </c>
      <c r="C11" s="25" t="str">
        <f>IFERROR(__xludf.DUMMYFUNCTION("""COMPUTED_VALUE"""),"I-CMY-070")</f>
        <v>I-CMY-070</v>
      </c>
      <c r="D11" s="38" t="str">
        <f>IF(COUNTIF('Form responses 4'!B:B,C11)&gt;0, "", "https://docs.google.com/forms/d/e/1FAIpQLSdhNamFeglgVtt555M7xM7e8ZAg9KCWMEcDlLzX1oeZsyGxrg/viewform?usp=pp_url&amp;entry.580385001="&amp;C11&amp;"&amp;entry.1376952895="&amp;A11)</f>
        <v>https://docs.google.com/forms/d/e/1FAIpQLSdhNamFeglgVtt555M7xM7e8ZAg9KCWMEcDlLzX1oeZsyGxrg/viewform?usp=pp_url&amp;entry.580385001=I-CMY-070&amp;entry.1376952895=Sicura Smartcure Uv - Led Pr Cyan</v>
      </c>
      <c r="E11" s="25">
        <f>IFERROR(IF(C11&lt;&gt;"",VLOOKUP(C11,IMS!$A$2:$E1000,5,0),""),"")</f>
        <v>3</v>
      </c>
    </row>
    <row r="12">
      <c r="A12" s="25" t="str">
        <f>IFERROR(__xludf.DUMMYFUNCTION("""COMPUTED_VALUE"""),"Sicura Smartcure Uv - Led Pr Magenta")</f>
        <v>Sicura Smartcure Uv - Led Pr Magenta</v>
      </c>
      <c r="B12" s="25" t="str">
        <f>IFERROR(__xludf.DUMMYFUNCTION("""COMPUTED_VALUE"""),"Ink")</f>
        <v>Ink</v>
      </c>
      <c r="C12" s="25" t="str">
        <f>IFERROR(__xludf.DUMMYFUNCTION("""COMPUTED_VALUE"""),"I-CMY-071")</f>
        <v>I-CMY-071</v>
      </c>
      <c r="D12" s="38" t="str">
        <f>IF(COUNTIF('Form responses 4'!B:B,C12)&gt;0, "", "https://docs.google.com/forms/d/e/1FAIpQLSdhNamFeglgVtt555M7xM7e8ZAg9KCWMEcDlLzX1oeZsyGxrg/viewform?usp=pp_url&amp;entry.580385001="&amp;C12&amp;"&amp;entry.1376952895="&amp;A12)</f>
        <v>https://docs.google.com/forms/d/e/1FAIpQLSdhNamFeglgVtt555M7xM7e8ZAg9KCWMEcDlLzX1oeZsyGxrg/viewform?usp=pp_url&amp;entry.580385001=I-CMY-071&amp;entry.1376952895=Sicura Smartcure Uv - Led Pr Magenta</v>
      </c>
      <c r="E12" s="25">
        <f>IFERROR(IF(C12&lt;&gt;"",VLOOKUP(C12,IMS!$A$2:$E1000,5,0),""),"")</f>
        <v>0</v>
      </c>
    </row>
    <row r="13">
      <c r="A13" s="25" t="str">
        <f>IFERROR(__xludf.DUMMYFUNCTION("""COMPUTED_VALUE"""),"Sicura Smartcure Uv - Led Pr Yellow")</f>
        <v>Sicura Smartcure Uv - Led Pr Yellow</v>
      </c>
      <c r="B13" s="25" t="str">
        <f>IFERROR(__xludf.DUMMYFUNCTION("""COMPUTED_VALUE"""),"Ink")</f>
        <v>Ink</v>
      </c>
      <c r="C13" s="25" t="str">
        <f>IFERROR(__xludf.DUMMYFUNCTION("""COMPUTED_VALUE"""),"I-CMY-072")</f>
        <v>I-CMY-072</v>
      </c>
      <c r="D13" s="38" t="str">
        <f>IF(COUNTIF('Form responses 4'!B:B,C13)&gt;0, "", "https://docs.google.com/forms/d/e/1FAIpQLSdhNamFeglgVtt555M7xM7e8ZAg9KCWMEcDlLzX1oeZsyGxrg/viewform?usp=pp_url&amp;entry.580385001="&amp;C13&amp;"&amp;entry.1376952895="&amp;A13)</f>
        <v>https://docs.google.com/forms/d/e/1FAIpQLSdhNamFeglgVtt555M7xM7e8ZAg9KCWMEcDlLzX1oeZsyGxrg/viewform?usp=pp_url&amp;entry.580385001=I-CMY-072&amp;entry.1376952895=Sicura Smartcure Uv - Led Pr Yellow</v>
      </c>
      <c r="E13" s="25">
        <f>IFERROR(IF(C13&lt;&gt;"",VLOOKUP(C13,IMS!$A$2:$E1000,5,0),""),"")</f>
        <v>0</v>
      </c>
    </row>
    <row r="14">
      <c r="A14" s="25" t="str">
        <f>IFERROR(__xludf.DUMMYFUNCTION("""COMPUTED_VALUE"""),"Sicura Smartcure Uv - Led Pr Black")</f>
        <v>Sicura Smartcure Uv - Led Pr Black</v>
      </c>
      <c r="B14" s="25" t="str">
        <f>IFERROR(__xludf.DUMMYFUNCTION("""COMPUTED_VALUE"""),"Ink")</f>
        <v>Ink</v>
      </c>
      <c r="C14" s="25" t="str">
        <f>IFERROR(__xludf.DUMMYFUNCTION("""COMPUTED_VALUE"""),"I-CMY-073")</f>
        <v>I-CMY-073</v>
      </c>
      <c r="D14" s="38" t="str">
        <f>IF(COUNTIF('Form responses 4'!B:B,C14)&gt;0, "", "https://docs.google.com/forms/d/e/1FAIpQLSdhNamFeglgVtt555M7xM7e8ZAg9KCWMEcDlLzX1oeZsyGxrg/viewform?usp=pp_url&amp;entry.580385001="&amp;C14&amp;"&amp;entry.1376952895="&amp;A14)</f>
        <v>https://docs.google.com/forms/d/e/1FAIpQLSdhNamFeglgVtt555M7xM7e8ZAg9KCWMEcDlLzX1oeZsyGxrg/viewform?usp=pp_url&amp;entry.580385001=I-CMY-073&amp;entry.1376952895=Sicura Smartcure Uv - Led Pr Black</v>
      </c>
      <c r="E14" s="25">
        <f>IFERROR(IF(C14&lt;&gt;"",VLOOKUP(C14,IMS!$A$2:$E1000,5,0),""),"")</f>
        <v>0</v>
      </c>
    </row>
    <row r="15">
      <c r="A15" s="25" t="str">
        <f>IFERROR(__xludf.DUMMYFUNCTION("""COMPUTED_VALUE"""),"Pan 520c")</f>
        <v>Pan 520c</v>
      </c>
      <c r="B15" s="25" t="str">
        <f>IFERROR(__xludf.DUMMYFUNCTION("""COMPUTED_VALUE"""),"Ink")</f>
        <v>Ink</v>
      </c>
      <c r="C15" s="25" t="str">
        <f>IFERROR(__xludf.DUMMYFUNCTION("""COMPUTED_VALUE"""),"I-PAN-074")</f>
        <v>I-PAN-074</v>
      </c>
      <c r="D15" s="38" t="str">
        <f>IF(COUNTIF('Form responses 4'!B:B,C15)&gt;0, "", "https://docs.google.com/forms/d/e/1FAIpQLSdhNamFeglgVtt555M7xM7e8ZAg9KCWMEcDlLzX1oeZsyGxrg/viewform?usp=pp_url&amp;entry.580385001="&amp;C15&amp;"&amp;entry.1376952895="&amp;A15)</f>
        <v>https://docs.google.com/forms/d/e/1FAIpQLSdhNamFeglgVtt555M7xM7e8ZAg9KCWMEcDlLzX1oeZsyGxrg/viewform?usp=pp_url&amp;entry.580385001=I-PAN-074&amp;entry.1376952895=Pan 520c</v>
      </c>
      <c r="E15" s="25">
        <f>IFERROR(IF(C15&lt;&gt;"",VLOOKUP(C15,IMS!$A$2:$E1000,5,0),""),"")</f>
        <v>2</v>
      </c>
    </row>
    <row r="16">
      <c r="A16" s="25" t="str">
        <f>IFERROR(__xludf.DUMMYFUNCTION("""COMPUTED_VALUE"""),"Pan 1777c")</f>
        <v>Pan 1777c</v>
      </c>
      <c r="B16" s="25" t="str">
        <f>IFERROR(__xludf.DUMMYFUNCTION("""COMPUTED_VALUE"""),"Ink")</f>
        <v>Ink</v>
      </c>
      <c r="C16" s="25" t="str">
        <f>IFERROR(__xludf.DUMMYFUNCTION("""COMPUTED_VALUE"""),"I-PAN-075")</f>
        <v>I-PAN-075</v>
      </c>
      <c r="D16" s="38" t="str">
        <f>IF(COUNTIF('Form responses 4'!B:B,C16)&gt;0, "", "https://docs.google.com/forms/d/e/1FAIpQLSdhNamFeglgVtt555M7xM7e8ZAg9KCWMEcDlLzX1oeZsyGxrg/viewform?usp=pp_url&amp;entry.580385001="&amp;C16&amp;"&amp;entry.1376952895="&amp;A16)</f>
        <v>https://docs.google.com/forms/d/e/1FAIpQLSdhNamFeglgVtt555M7xM7e8ZAg9KCWMEcDlLzX1oeZsyGxrg/viewform?usp=pp_url&amp;entry.580385001=I-PAN-075&amp;entry.1376952895=Pan 1777c</v>
      </c>
      <c r="E16" s="25">
        <f>IFERROR(IF(C16&lt;&gt;"",VLOOKUP(C16,IMS!$A$2:$E1000,5,0),""),"")</f>
        <v>1</v>
      </c>
    </row>
    <row r="17">
      <c r="A17" s="25" t="str">
        <f>IFERROR(__xludf.DUMMYFUNCTION("""COMPUTED_VALUE"""),"Pan 295c")</f>
        <v>Pan 295c</v>
      </c>
      <c r="B17" s="25" t="str">
        <f>IFERROR(__xludf.DUMMYFUNCTION("""COMPUTED_VALUE"""),"Ink")</f>
        <v>Ink</v>
      </c>
      <c r="C17" s="25" t="str">
        <f>IFERROR(__xludf.DUMMYFUNCTION("""COMPUTED_VALUE"""),"I-PAN-076")</f>
        <v>I-PAN-076</v>
      </c>
      <c r="D17" s="38" t="str">
        <f>IF(COUNTIF('Form responses 4'!B:B,C17)&gt;0, "", "https://docs.google.com/forms/d/e/1FAIpQLSdhNamFeglgVtt555M7xM7e8ZAg9KCWMEcDlLzX1oeZsyGxrg/viewform?usp=pp_url&amp;entry.580385001="&amp;C17&amp;"&amp;entry.1376952895="&amp;A17)</f>
        <v>https://docs.google.com/forms/d/e/1FAIpQLSdhNamFeglgVtt555M7xM7e8ZAg9KCWMEcDlLzX1oeZsyGxrg/viewform?usp=pp_url&amp;entry.580385001=I-PAN-076&amp;entry.1376952895=Pan 295c</v>
      </c>
      <c r="E17" s="25">
        <f>IFERROR(IF(C17&lt;&gt;"",VLOOKUP(C17,IMS!$A$2:$E1000,5,0),""),"")</f>
        <v>8</v>
      </c>
    </row>
    <row r="18">
      <c r="A18" s="25" t="str">
        <f>IFERROR(__xludf.DUMMYFUNCTION("""COMPUTED_VALUE"""),"Pan 429c")</f>
        <v>Pan 429c</v>
      </c>
      <c r="B18" s="25" t="str">
        <f>IFERROR(__xludf.DUMMYFUNCTION("""COMPUTED_VALUE"""),"Ink")</f>
        <v>Ink</v>
      </c>
      <c r="C18" s="25" t="str">
        <f>IFERROR(__xludf.DUMMYFUNCTION("""COMPUTED_VALUE"""),"I-PAN-077")</f>
        <v>I-PAN-077</v>
      </c>
      <c r="D18" s="38" t="str">
        <f>IF(COUNTIF('Form responses 4'!B:B,C18)&gt;0, "", "https://docs.google.com/forms/d/e/1FAIpQLSdhNamFeglgVtt555M7xM7e8ZAg9KCWMEcDlLzX1oeZsyGxrg/viewform?usp=pp_url&amp;entry.580385001="&amp;C18&amp;"&amp;entry.1376952895="&amp;A18)</f>
        <v>https://docs.google.com/forms/d/e/1FAIpQLSdhNamFeglgVtt555M7xM7e8ZAg9KCWMEcDlLzX1oeZsyGxrg/viewform?usp=pp_url&amp;entry.580385001=I-PAN-077&amp;entry.1376952895=Pan 429c</v>
      </c>
      <c r="E18" s="25">
        <f>IFERROR(IF(C18&lt;&gt;"",VLOOKUP(C18,IMS!$A$2:$E1000,5,0),""),"")</f>
        <v>1</v>
      </c>
    </row>
    <row r="19">
      <c r="A19" s="25" t="str">
        <f>IFERROR(__xludf.DUMMYFUNCTION("""COMPUTED_VALUE"""),"Pan 326c")</f>
        <v>Pan 326c</v>
      </c>
      <c r="B19" s="25" t="str">
        <f>IFERROR(__xludf.DUMMYFUNCTION("""COMPUTED_VALUE"""),"Ink")</f>
        <v>Ink</v>
      </c>
      <c r="C19" s="25" t="str">
        <f>IFERROR(__xludf.DUMMYFUNCTION("""COMPUTED_VALUE"""),"I-PAN-078")</f>
        <v>I-PAN-078</v>
      </c>
      <c r="D19" s="38" t="str">
        <f>IF(COUNTIF('Form responses 4'!B:B,C19)&gt;0, "", "https://docs.google.com/forms/d/e/1FAIpQLSdhNamFeglgVtt555M7xM7e8ZAg9KCWMEcDlLzX1oeZsyGxrg/viewform?usp=pp_url&amp;entry.580385001="&amp;C19&amp;"&amp;entry.1376952895="&amp;A19)</f>
        <v>https://docs.google.com/forms/d/e/1FAIpQLSdhNamFeglgVtt555M7xM7e8ZAg9KCWMEcDlLzX1oeZsyGxrg/viewform?usp=pp_url&amp;entry.580385001=I-PAN-078&amp;entry.1376952895=Pan 326c</v>
      </c>
      <c r="E19" s="25">
        <f>IFERROR(IF(C19&lt;&gt;"",VLOOKUP(C19,IMS!$A$2:$E1000,5,0),""),"")</f>
        <v>1</v>
      </c>
    </row>
    <row r="20">
      <c r="A20" s="25" t="str">
        <f>IFERROR(__xludf.DUMMYFUNCTION("""COMPUTED_VALUE"""),"Pan 7505c")</f>
        <v>Pan 7505c</v>
      </c>
      <c r="B20" s="25" t="str">
        <f>IFERROR(__xludf.DUMMYFUNCTION("""COMPUTED_VALUE"""),"Ink")</f>
        <v>Ink</v>
      </c>
      <c r="C20" s="25" t="str">
        <f>IFERROR(__xludf.DUMMYFUNCTION("""COMPUTED_VALUE"""),"I-PAN-079")</f>
        <v>I-PAN-079</v>
      </c>
      <c r="D20" s="38" t="str">
        <f>IF(COUNTIF('Form responses 4'!B:B,C20)&gt;0, "", "https://docs.google.com/forms/d/e/1FAIpQLSdhNamFeglgVtt555M7xM7e8ZAg9KCWMEcDlLzX1oeZsyGxrg/viewform?usp=pp_url&amp;entry.580385001="&amp;C20&amp;"&amp;entry.1376952895="&amp;A20)</f>
        <v>https://docs.google.com/forms/d/e/1FAIpQLSdhNamFeglgVtt555M7xM7e8ZAg9KCWMEcDlLzX1oeZsyGxrg/viewform?usp=pp_url&amp;entry.580385001=I-PAN-079&amp;entry.1376952895=Pan 7505c</v>
      </c>
      <c r="E20" s="25">
        <f>IFERROR(IF(C20&lt;&gt;"",VLOOKUP(C20,IMS!$A$2:$E1000,5,0),""),"")</f>
        <v>1</v>
      </c>
    </row>
    <row r="21">
      <c r="A21" s="25" t="str">
        <f>IFERROR(__xludf.DUMMYFUNCTION("""COMPUTED_VALUE"""),"Pan 185c")</f>
        <v>Pan 185c</v>
      </c>
      <c r="B21" s="25" t="str">
        <f>IFERROR(__xludf.DUMMYFUNCTION("""COMPUTED_VALUE"""),"Ink")</f>
        <v>Ink</v>
      </c>
      <c r="C21" s="25" t="str">
        <f>IFERROR(__xludf.DUMMYFUNCTION("""COMPUTED_VALUE"""),"I-PAN-080")</f>
        <v>I-PAN-080</v>
      </c>
      <c r="D21" s="38" t="str">
        <f>IF(COUNTIF('Form responses 4'!B:B,C21)&gt;0, "", "https://docs.google.com/forms/d/e/1FAIpQLSdhNamFeglgVtt555M7xM7e8ZAg9KCWMEcDlLzX1oeZsyGxrg/viewform?usp=pp_url&amp;entry.580385001="&amp;C21&amp;"&amp;entry.1376952895="&amp;A21)</f>
        <v>https://docs.google.com/forms/d/e/1FAIpQLSdhNamFeglgVtt555M7xM7e8ZAg9KCWMEcDlLzX1oeZsyGxrg/viewform?usp=pp_url&amp;entry.580385001=I-PAN-080&amp;entry.1376952895=Pan 185c</v>
      </c>
      <c r="E21" s="25">
        <f>IFERROR(IF(C21&lt;&gt;"",VLOOKUP(C21,IMS!$A$2:$E1000,5,0),""),"")</f>
        <v>2</v>
      </c>
    </row>
    <row r="22">
      <c r="A22" s="25" t="str">
        <f>IFERROR(__xludf.DUMMYFUNCTION("""COMPUTED_VALUE"""),"Pan 377c")</f>
        <v>Pan 377c</v>
      </c>
      <c r="B22" s="25" t="str">
        <f>IFERROR(__xludf.DUMMYFUNCTION("""COMPUTED_VALUE"""),"Ink")</f>
        <v>Ink</v>
      </c>
      <c r="C22" s="25" t="str">
        <f>IFERROR(__xludf.DUMMYFUNCTION("""COMPUTED_VALUE"""),"I-PAN-081")</f>
        <v>I-PAN-081</v>
      </c>
      <c r="D22" s="38" t="str">
        <f>IF(COUNTIF('Form responses 4'!B:B,C22)&gt;0, "", "https://docs.google.com/forms/d/e/1FAIpQLSdhNamFeglgVtt555M7xM7e8ZAg9KCWMEcDlLzX1oeZsyGxrg/viewform?usp=pp_url&amp;entry.580385001="&amp;C22&amp;"&amp;entry.1376952895="&amp;A22)</f>
        <v>https://docs.google.com/forms/d/e/1FAIpQLSdhNamFeglgVtt555M7xM7e8ZAg9KCWMEcDlLzX1oeZsyGxrg/viewform?usp=pp_url&amp;entry.580385001=I-PAN-081&amp;entry.1376952895=Pan 377c</v>
      </c>
      <c r="E22" s="25">
        <f>IFERROR(IF(C22&lt;&gt;"",VLOOKUP(C22,IMS!$A$2:$E1000,5,0),""),"")</f>
        <v>2</v>
      </c>
    </row>
    <row r="23">
      <c r="A23" s="25" t="str">
        <f>IFERROR(__xludf.DUMMYFUNCTION("""COMPUTED_VALUE"""),"Pan 3125c")</f>
        <v>Pan 3125c</v>
      </c>
      <c r="B23" s="25" t="str">
        <f>IFERROR(__xludf.DUMMYFUNCTION("""COMPUTED_VALUE"""),"Ink")</f>
        <v>Ink</v>
      </c>
      <c r="C23" s="25" t="str">
        <f>IFERROR(__xludf.DUMMYFUNCTION("""COMPUTED_VALUE"""),"I-PAN-082")</f>
        <v>I-PAN-082</v>
      </c>
      <c r="D23" s="38" t="str">
        <f>IF(COUNTIF('Form responses 4'!B:B,C23)&gt;0, "", "https://docs.google.com/forms/d/e/1FAIpQLSdhNamFeglgVtt555M7xM7e8ZAg9KCWMEcDlLzX1oeZsyGxrg/viewform?usp=pp_url&amp;entry.580385001="&amp;C23&amp;"&amp;entry.1376952895="&amp;A23)</f>
        <v>https://docs.google.com/forms/d/e/1FAIpQLSdhNamFeglgVtt555M7xM7e8ZAg9KCWMEcDlLzX1oeZsyGxrg/viewform?usp=pp_url&amp;entry.580385001=I-PAN-082&amp;entry.1376952895=Pan 3125c</v>
      </c>
      <c r="E23" s="25">
        <f>IFERROR(IF(C23&lt;&gt;"",VLOOKUP(C23,IMS!$A$2:$E1000,5,0),""),"")</f>
        <v>1</v>
      </c>
    </row>
    <row r="24">
      <c r="A24" s="25" t="str">
        <f>IFERROR(__xludf.DUMMYFUNCTION("""COMPUTED_VALUE"""),"Pan 021c")</f>
        <v>Pan 021c</v>
      </c>
      <c r="B24" s="25" t="str">
        <f>IFERROR(__xludf.DUMMYFUNCTION("""COMPUTED_VALUE"""),"Ink")</f>
        <v>Ink</v>
      </c>
      <c r="C24" s="25" t="str">
        <f>IFERROR(__xludf.DUMMYFUNCTION("""COMPUTED_VALUE"""),"I-PAN-083")</f>
        <v>I-PAN-083</v>
      </c>
      <c r="D24" s="38" t="str">
        <f>IF(COUNTIF('Form responses 4'!B:B,C24)&gt;0, "", "https://docs.google.com/forms/d/e/1FAIpQLSdhNamFeglgVtt555M7xM7e8ZAg9KCWMEcDlLzX1oeZsyGxrg/viewform?usp=pp_url&amp;entry.580385001="&amp;C24&amp;"&amp;entry.1376952895="&amp;A24)</f>
        <v>https://docs.google.com/forms/d/e/1FAIpQLSdhNamFeglgVtt555M7xM7e8ZAg9KCWMEcDlLzX1oeZsyGxrg/viewform?usp=pp_url&amp;entry.580385001=I-PAN-083&amp;entry.1376952895=Pan 021c</v>
      </c>
      <c r="E24" s="25">
        <f>IFERROR(IF(C24&lt;&gt;"",VLOOKUP(C24,IMS!$A$2:$E1000,5,0),""),"")</f>
        <v>5</v>
      </c>
    </row>
    <row r="25">
      <c r="A25" s="25" t="str">
        <f>IFERROR(__xludf.DUMMYFUNCTION("""COMPUTED_VALUE"""),"O/S jss Orange")</f>
        <v>O/S jss Orange</v>
      </c>
      <c r="B25" s="25" t="str">
        <f>IFERROR(__xludf.DUMMYFUNCTION("""COMPUTED_VALUE"""),"Ink")</f>
        <v>Ink</v>
      </c>
      <c r="C25" s="25" t="str">
        <f>IFERROR(__xludf.DUMMYFUNCTION("""COMPUTED_VALUE"""),"I-PAN-084")</f>
        <v>I-PAN-084</v>
      </c>
      <c r="D25" s="38" t="str">
        <f>IF(COUNTIF('Form responses 4'!B:B,C25)&gt;0, "", "https://docs.google.com/forms/d/e/1FAIpQLSdhNamFeglgVtt555M7xM7e8ZAg9KCWMEcDlLzX1oeZsyGxrg/viewform?usp=pp_url&amp;entry.580385001="&amp;C25&amp;"&amp;entry.1376952895="&amp;A25)</f>
        <v>https://docs.google.com/forms/d/e/1FAIpQLSdhNamFeglgVtt555M7xM7e8ZAg9KCWMEcDlLzX1oeZsyGxrg/viewform?usp=pp_url&amp;entry.580385001=I-PAN-084&amp;entry.1376952895=O/S jss Orange</v>
      </c>
      <c r="E25" s="25">
        <f>IFERROR(IF(C25&lt;&gt;"",VLOOKUP(C25,IMS!$A$2:$E1000,5,0),""),"")</f>
        <v>0</v>
      </c>
    </row>
    <row r="26">
      <c r="A26" s="25" t="str">
        <f>IFERROR(__xludf.DUMMYFUNCTION("""COMPUTED_VALUE"""),"Biocon Red")</f>
        <v>Biocon Red</v>
      </c>
      <c r="B26" s="25" t="str">
        <f>IFERROR(__xludf.DUMMYFUNCTION("""COMPUTED_VALUE"""),"Ink")</f>
        <v>Ink</v>
      </c>
      <c r="C26" s="25" t="str">
        <f>IFERROR(__xludf.DUMMYFUNCTION("""COMPUTED_VALUE"""),"I-PAN-085")</f>
        <v>I-PAN-085</v>
      </c>
      <c r="D26" s="38" t="str">
        <f>IF(COUNTIF('Form responses 4'!B:B,C26)&gt;0, "", "https://docs.google.com/forms/d/e/1FAIpQLSdhNamFeglgVtt555M7xM7e8ZAg9KCWMEcDlLzX1oeZsyGxrg/viewform?usp=pp_url&amp;entry.580385001="&amp;C26&amp;"&amp;entry.1376952895="&amp;A26)</f>
        <v>https://docs.google.com/forms/d/e/1FAIpQLSdhNamFeglgVtt555M7xM7e8ZAg9KCWMEcDlLzX1oeZsyGxrg/viewform?usp=pp_url&amp;entry.580385001=I-PAN-085&amp;entry.1376952895=Biocon Red</v>
      </c>
      <c r="E26" s="25">
        <f>IFERROR(IF(C26&lt;&gt;"",VLOOKUP(C26,IMS!$A$2:$E1000,5,0),""),"")</f>
        <v>3</v>
      </c>
    </row>
    <row r="27">
      <c r="A27" s="25" t="str">
        <f>IFERROR(__xludf.DUMMYFUNCTION("""COMPUTED_VALUE"""),"Pan 3262c")</f>
        <v>Pan 3262c</v>
      </c>
      <c r="B27" s="25" t="str">
        <f>IFERROR(__xludf.DUMMYFUNCTION("""COMPUTED_VALUE"""),"Ink")</f>
        <v>Ink</v>
      </c>
      <c r="C27" s="25" t="str">
        <f>IFERROR(__xludf.DUMMYFUNCTION("""COMPUTED_VALUE"""),"I-PAN-086")</f>
        <v>I-PAN-086</v>
      </c>
      <c r="D27" s="38" t="str">
        <f>IF(COUNTIF('Form responses 4'!B:B,C27)&gt;0, "", "https://docs.google.com/forms/d/e/1FAIpQLSdhNamFeglgVtt555M7xM7e8ZAg9KCWMEcDlLzX1oeZsyGxrg/viewform?usp=pp_url&amp;entry.580385001="&amp;C27&amp;"&amp;entry.1376952895="&amp;A27)</f>
        <v>https://docs.google.com/forms/d/e/1FAIpQLSdhNamFeglgVtt555M7xM7e8ZAg9KCWMEcDlLzX1oeZsyGxrg/viewform?usp=pp_url&amp;entry.580385001=I-PAN-086&amp;entry.1376952895=Pan 3262c</v>
      </c>
      <c r="E27" s="25">
        <f>IFERROR(IF(C27&lt;&gt;"",VLOOKUP(C27,IMS!$A$2:$E1000,5,0),""),"")</f>
        <v>1</v>
      </c>
    </row>
    <row r="28">
      <c r="A28" s="25" t="str">
        <f>IFERROR(__xludf.DUMMYFUNCTION("""COMPUTED_VALUE"""),"Pan 188c")</f>
        <v>Pan 188c</v>
      </c>
      <c r="B28" s="25" t="str">
        <f>IFERROR(__xludf.DUMMYFUNCTION("""COMPUTED_VALUE"""),"Ink")</f>
        <v>Ink</v>
      </c>
      <c r="C28" s="25" t="str">
        <f>IFERROR(__xludf.DUMMYFUNCTION("""COMPUTED_VALUE"""),"I-PAN-087")</f>
        <v>I-PAN-087</v>
      </c>
      <c r="D28" s="38" t="str">
        <f>IF(COUNTIF('Form responses 4'!B:B,C28)&gt;0, "", "https://docs.google.com/forms/d/e/1FAIpQLSdhNamFeglgVtt555M7xM7e8ZAg9KCWMEcDlLzX1oeZsyGxrg/viewform?usp=pp_url&amp;entry.580385001="&amp;C28&amp;"&amp;entry.1376952895="&amp;A28)</f>
        <v>https://docs.google.com/forms/d/e/1FAIpQLSdhNamFeglgVtt555M7xM7e8ZAg9KCWMEcDlLzX1oeZsyGxrg/viewform?usp=pp_url&amp;entry.580385001=I-PAN-087&amp;entry.1376952895=Pan 188c</v>
      </c>
      <c r="E28" s="25">
        <f>IFERROR(IF(C28&lt;&gt;"",VLOOKUP(C28,IMS!$A$2:$E1000,5,0),""),"")</f>
        <v>1</v>
      </c>
    </row>
    <row r="29">
      <c r="A29" s="25" t="str">
        <f>IFERROR(__xludf.DUMMYFUNCTION("""COMPUTED_VALUE"""),"Pan 185c")</f>
        <v>Pan 185c</v>
      </c>
      <c r="B29" s="25" t="str">
        <f>IFERROR(__xludf.DUMMYFUNCTION("""COMPUTED_VALUE"""),"Ink")</f>
        <v>Ink</v>
      </c>
      <c r="C29" s="25" t="str">
        <f>IFERROR(__xludf.DUMMYFUNCTION("""COMPUTED_VALUE"""),"I-PAN-088")</f>
        <v>I-PAN-088</v>
      </c>
      <c r="D29" s="38" t="str">
        <f>IF(COUNTIF('Form responses 4'!B:B,C29)&gt;0, "", "https://docs.google.com/forms/d/e/1FAIpQLSdhNamFeglgVtt555M7xM7e8ZAg9KCWMEcDlLzX1oeZsyGxrg/viewform?usp=pp_url&amp;entry.580385001="&amp;C29&amp;"&amp;entry.1376952895="&amp;A29)</f>
        <v>https://docs.google.com/forms/d/e/1FAIpQLSdhNamFeglgVtt555M7xM7e8ZAg9KCWMEcDlLzX1oeZsyGxrg/viewform?usp=pp_url&amp;entry.580385001=I-PAN-088&amp;entry.1376952895=Pan 185c</v>
      </c>
      <c r="E29" s="25">
        <f>IFERROR(IF(C29&lt;&gt;"",VLOOKUP(C29,IMS!$A$2:$E1000,5,0),""),"")</f>
        <v>1</v>
      </c>
    </row>
    <row r="30">
      <c r="A30" s="25" t="str">
        <f>IFERROR(__xludf.DUMMYFUNCTION("""COMPUTED_VALUE"""),"17718|Philips Blue")</f>
        <v>17718|Philips Blue</v>
      </c>
      <c r="B30" s="25" t="str">
        <f>IFERROR(__xludf.DUMMYFUNCTION("""COMPUTED_VALUE"""),"Ink")</f>
        <v>Ink</v>
      </c>
      <c r="C30" s="25" t="str">
        <f>IFERROR(__xludf.DUMMYFUNCTION("""COMPUTED_VALUE"""),"I-PAN-089")</f>
        <v>I-PAN-089</v>
      </c>
      <c r="D30" s="38" t="str">
        <f>IF(COUNTIF('Form responses 4'!B:B,C30)&gt;0, "", "https://docs.google.com/forms/d/e/1FAIpQLSdhNamFeglgVtt555M7xM7e8ZAg9KCWMEcDlLzX1oeZsyGxrg/viewform?usp=pp_url&amp;entry.580385001="&amp;C30&amp;"&amp;entry.1376952895="&amp;A30)</f>
        <v>https://docs.google.com/forms/d/e/1FAIpQLSdhNamFeglgVtt555M7xM7e8ZAg9KCWMEcDlLzX1oeZsyGxrg/viewform?usp=pp_url&amp;entry.580385001=I-PAN-089&amp;entry.1376952895=17718|Philips Blue</v>
      </c>
      <c r="E30" s="25">
        <f>IFERROR(IF(C30&lt;&gt;"",VLOOKUP(C30,IMS!$A$2:$E1000,5,0),""),"")</f>
        <v>1</v>
      </c>
    </row>
    <row r="31">
      <c r="A31" s="25" t="str">
        <f>IFERROR(__xludf.DUMMYFUNCTION("""COMPUTED_VALUE"""),"Kajal Red")</f>
        <v>Kajal Red</v>
      </c>
      <c r="B31" s="25" t="str">
        <f>IFERROR(__xludf.DUMMYFUNCTION("""COMPUTED_VALUE"""),"Ink")</f>
        <v>Ink</v>
      </c>
      <c r="C31" s="25" t="str">
        <f>IFERROR(__xludf.DUMMYFUNCTION("""COMPUTED_VALUE"""),"I-PAN-090")</f>
        <v>I-PAN-090</v>
      </c>
      <c r="D31" s="38" t="str">
        <f>IF(COUNTIF('Form responses 4'!B:B,C31)&gt;0, "", "https://docs.google.com/forms/d/e/1FAIpQLSdhNamFeglgVtt555M7xM7e8ZAg9KCWMEcDlLzX1oeZsyGxrg/viewform?usp=pp_url&amp;entry.580385001="&amp;C31&amp;"&amp;entry.1376952895="&amp;A31)</f>
        <v>https://docs.google.com/forms/d/e/1FAIpQLSdhNamFeglgVtt555M7xM7e8ZAg9KCWMEcDlLzX1oeZsyGxrg/viewform?usp=pp_url&amp;entry.580385001=I-PAN-090&amp;entry.1376952895=Kajal Red</v>
      </c>
      <c r="E31" s="25">
        <f>IFERROR(IF(C31&lt;&gt;"",VLOOKUP(C31,IMS!$A$2:$E1000,5,0),""),"")</f>
        <v>1</v>
      </c>
    </row>
    <row r="32">
      <c r="A32" s="25" t="str">
        <f>IFERROR(__xludf.DUMMYFUNCTION("""COMPUTED_VALUE"""),"Hans Hotel Dar Brown")</f>
        <v>Hans Hotel Dar Brown</v>
      </c>
      <c r="B32" s="25" t="str">
        <f>IFERROR(__xludf.DUMMYFUNCTION("""COMPUTED_VALUE"""),"Ink")</f>
        <v>Ink</v>
      </c>
      <c r="C32" s="25" t="str">
        <f>IFERROR(__xludf.DUMMYFUNCTION("""COMPUTED_VALUE"""),"I-PAN-091")</f>
        <v>I-PAN-091</v>
      </c>
      <c r="D32" s="38" t="str">
        <f>IF(COUNTIF('Form responses 4'!B:B,C32)&gt;0, "", "https://docs.google.com/forms/d/e/1FAIpQLSdhNamFeglgVtt555M7xM7e8ZAg9KCWMEcDlLzX1oeZsyGxrg/viewform?usp=pp_url&amp;entry.580385001="&amp;C32&amp;"&amp;entry.1376952895="&amp;A32)</f>
        <v>https://docs.google.com/forms/d/e/1FAIpQLSdhNamFeglgVtt555M7xM7e8ZAg9KCWMEcDlLzX1oeZsyGxrg/viewform?usp=pp_url&amp;entry.580385001=I-PAN-091&amp;entry.1376952895=Hans Hotel Dar Brown</v>
      </c>
      <c r="E32" s="25">
        <f>IFERROR(IF(C32&lt;&gt;"",VLOOKUP(C32,IMS!$A$2:$E1000,5,0),""),"")</f>
        <v>1</v>
      </c>
    </row>
    <row r="33">
      <c r="A33" s="25" t="str">
        <f>IFERROR(__xludf.DUMMYFUNCTION("""COMPUTED_VALUE"""),"Pan 2088c|Rosemarry matter")</f>
        <v>Pan 2088c|Rosemarry matter</v>
      </c>
      <c r="B33" s="25" t="str">
        <f>IFERROR(__xludf.DUMMYFUNCTION("""COMPUTED_VALUE"""),"Ink")</f>
        <v>Ink</v>
      </c>
      <c r="C33" s="25" t="str">
        <f>IFERROR(__xludf.DUMMYFUNCTION("""COMPUTED_VALUE"""),"I-PAN-092")</f>
        <v>I-PAN-092</v>
      </c>
      <c r="D33" s="38" t="str">
        <f>IF(COUNTIF('Form responses 4'!B:B,C33)&gt;0, "", "https://docs.google.com/forms/d/e/1FAIpQLSdhNamFeglgVtt555M7xM7e8ZAg9KCWMEcDlLzX1oeZsyGxrg/viewform?usp=pp_url&amp;entry.580385001="&amp;C33&amp;"&amp;entry.1376952895="&amp;A33)</f>
        <v>https://docs.google.com/forms/d/e/1FAIpQLSdhNamFeglgVtt555M7xM7e8ZAg9KCWMEcDlLzX1oeZsyGxrg/viewform?usp=pp_url&amp;entry.580385001=I-PAN-092&amp;entry.1376952895=Pan 2088c|Rosemarry matter</v>
      </c>
      <c r="E33" s="25">
        <f>IFERROR(IF(C33&lt;&gt;"",VLOOKUP(C33,IMS!$A$2:$E1000,5,0),""),"")</f>
        <v>2</v>
      </c>
    </row>
    <row r="34">
      <c r="A34" s="25" t="str">
        <f>IFERROR(__xludf.DUMMYFUNCTION("""COMPUTED_VALUE"""),"Pan 2085c|Rosemarry ground")</f>
        <v>Pan 2085c|Rosemarry ground</v>
      </c>
      <c r="B34" s="25" t="str">
        <f>IFERROR(__xludf.DUMMYFUNCTION("""COMPUTED_VALUE"""),"Ink")</f>
        <v>Ink</v>
      </c>
      <c r="C34" s="25" t="str">
        <f>IFERROR(__xludf.DUMMYFUNCTION("""COMPUTED_VALUE"""),"I-PAN-093")</f>
        <v>I-PAN-093</v>
      </c>
      <c r="D34" s="38" t="str">
        <f>IF(COUNTIF('Form responses 4'!B:B,C34)&gt;0, "", "https://docs.google.com/forms/d/e/1FAIpQLSdhNamFeglgVtt555M7xM7e8ZAg9KCWMEcDlLzX1oeZsyGxrg/viewform?usp=pp_url&amp;entry.580385001="&amp;C34&amp;"&amp;entry.1376952895="&amp;A34)</f>
        <v>https://docs.google.com/forms/d/e/1FAIpQLSdhNamFeglgVtt555M7xM7e8ZAg9KCWMEcDlLzX1oeZsyGxrg/viewform?usp=pp_url&amp;entry.580385001=I-PAN-093&amp;entry.1376952895=Pan 2085c|Rosemarry ground</v>
      </c>
      <c r="E34" s="25">
        <f>IFERROR(IF(C34&lt;&gt;"",VLOOKUP(C34,IMS!$A$2:$E1000,5,0),""),"")</f>
        <v>6</v>
      </c>
    </row>
    <row r="35">
      <c r="A35" s="25" t="str">
        <f>IFERROR(__xludf.DUMMYFUNCTION("""COMPUTED_VALUE"""),"Oshea box buff")</f>
        <v>Oshea box buff</v>
      </c>
      <c r="B35" s="25" t="str">
        <f>IFERROR(__xludf.DUMMYFUNCTION("""COMPUTED_VALUE"""),"Ink")</f>
        <v>Ink</v>
      </c>
      <c r="C35" s="25" t="str">
        <f>IFERROR(__xludf.DUMMYFUNCTION("""COMPUTED_VALUE"""),"I-PAN-094")</f>
        <v>I-PAN-094</v>
      </c>
      <c r="D35" s="38" t="str">
        <f>IF(COUNTIF('Form responses 4'!B:B,C35)&gt;0, "", "https://docs.google.com/forms/d/e/1FAIpQLSdhNamFeglgVtt555M7xM7e8ZAg9KCWMEcDlLzX1oeZsyGxrg/viewform?usp=pp_url&amp;entry.580385001="&amp;C35&amp;"&amp;entry.1376952895="&amp;A35)</f>
        <v>https://docs.google.com/forms/d/e/1FAIpQLSdhNamFeglgVtt555M7xM7e8ZAg9KCWMEcDlLzX1oeZsyGxrg/viewform?usp=pp_url&amp;entry.580385001=I-PAN-094&amp;entry.1376952895=Oshea box buff</v>
      </c>
      <c r="E35" s="25">
        <f>IFERROR(IF(C35&lt;&gt;"",VLOOKUP(C35,IMS!$A$2:$E1000,5,0),""),"")</f>
        <v>0</v>
      </c>
    </row>
    <row r="36">
      <c r="A36" s="25" t="str">
        <f>IFERROR(__xludf.DUMMYFUNCTION("""COMPUTED_VALUE"""),"Colorosence lip color gold new")</f>
        <v>Colorosence lip color gold new</v>
      </c>
      <c r="B36" s="25" t="str">
        <f>IFERROR(__xludf.DUMMYFUNCTION("""COMPUTED_VALUE"""),"Ink")</f>
        <v>Ink</v>
      </c>
      <c r="C36" s="25" t="str">
        <f>IFERROR(__xludf.DUMMYFUNCTION("""COMPUTED_VALUE"""),"I-PAN-095")</f>
        <v>I-PAN-095</v>
      </c>
      <c r="D36" s="38" t="str">
        <f>IF(COUNTIF('Form responses 4'!B:B,C36)&gt;0, "", "https://docs.google.com/forms/d/e/1FAIpQLSdhNamFeglgVtt555M7xM7e8ZAg9KCWMEcDlLzX1oeZsyGxrg/viewform?usp=pp_url&amp;entry.580385001="&amp;C36&amp;"&amp;entry.1376952895="&amp;A36)</f>
        <v>https://docs.google.com/forms/d/e/1FAIpQLSdhNamFeglgVtt555M7xM7e8ZAg9KCWMEcDlLzX1oeZsyGxrg/viewform?usp=pp_url&amp;entry.580385001=I-PAN-095&amp;entry.1376952895=Colorosence lip color gold new</v>
      </c>
      <c r="E36" s="25">
        <f>IFERROR(IF(C36&lt;&gt;"",VLOOKUP(C36,IMS!$A$2:$E1000,5,0),""),"")</f>
        <v>1</v>
      </c>
    </row>
    <row r="37">
      <c r="A37" s="25" t="str">
        <f>IFERROR(__xludf.DUMMYFUNCTION("""COMPUTED_VALUE"""),"Maxo Bond")</f>
        <v>Maxo Bond</v>
      </c>
      <c r="B37" s="25" t="str">
        <f>IFERROR(__xludf.DUMMYFUNCTION("""COMPUTED_VALUE"""),"Ink")</f>
        <v>Ink</v>
      </c>
      <c r="C37" s="25" t="str">
        <f>IFERROR(__xludf.DUMMYFUNCTION("""COMPUTED_VALUE"""),"I-PAN-096")</f>
        <v>I-PAN-096</v>
      </c>
      <c r="D37" s="38" t="str">
        <f>IF(COUNTIF('Form responses 4'!B:B,C37)&gt;0, "", "https://docs.google.com/forms/d/e/1FAIpQLSdhNamFeglgVtt555M7xM7e8ZAg9KCWMEcDlLzX1oeZsyGxrg/viewform?usp=pp_url&amp;entry.580385001="&amp;C37&amp;"&amp;entry.1376952895="&amp;A37)</f>
        <v>https://docs.google.com/forms/d/e/1FAIpQLSdhNamFeglgVtt555M7xM7e8ZAg9KCWMEcDlLzX1oeZsyGxrg/viewform?usp=pp_url&amp;entry.580385001=I-PAN-096&amp;entry.1376952895=Maxo Bond</v>
      </c>
      <c r="E37" s="25">
        <f>IFERROR(IF(C37&lt;&gt;"",VLOOKUP(C37,IMS!$A$2:$E1000,5,0),""),"")</f>
        <v>0</v>
      </c>
    </row>
    <row r="38">
      <c r="A38" s="25" t="str">
        <f>IFERROR(__xludf.DUMMYFUNCTION("""COMPUTED_VALUE"""),"Pan 252c|Primer")</f>
        <v>Pan 252c|Primer</v>
      </c>
      <c r="B38" s="25" t="str">
        <f>IFERROR(__xludf.DUMMYFUNCTION("""COMPUTED_VALUE"""),"Ink")</f>
        <v>Ink</v>
      </c>
      <c r="C38" s="25" t="str">
        <f>IFERROR(__xludf.DUMMYFUNCTION("""COMPUTED_VALUE"""),"I-PAN-097")</f>
        <v>I-PAN-097</v>
      </c>
      <c r="D38" s="38" t="str">
        <f>IF(COUNTIF('Form responses 4'!B:B,C38)&gt;0, "", "https://docs.google.com/forms/d/e/1FAIpQLSdhNamFeglgVtt555M7xM7e8ZAg9KCWMEcDlLzX1oeZsyGxrg/viewform?usp=pp_url&amp;entry.580385001="&amp;C38&amp;"&amp;entry.1376952895="&amp;A38)</f>
        <v>https://docs.google.com/forms/d/e/1FAIpQLSdhNamFeglgVtt555M7xM7e8ZAg9KCWMEcDlLzX1oeZsyGxrg/viewform?usp=pp_url&amp;entry.580385001=I-PAN-097&amp;entry.1376952895=Pan 252c|Primer</v>
      </c>
      <c r="E38" s="25">
        <f>IFERROR(IF(C38&lt;&gt;"",VLOOKUP(C38,IMS!$A$2:$E1000,5,0),""),"")</f>
        <v>2</v>
      </c>
    </row>
    <row r="39">
      <c r="A39" s="25" t="str">
        <f>IFERROR(__xludf.DUMMYFUNCTION("""COMPUTED_VALUE"""),"Natyres organic orange")</f>
        <v>Natyres organic orange</v>
      </c>
      <c r="B39" s="25" t="str">
        <f>IFERROR(__xludf.DUMMYFUNCTION("""COMPUTED_VALUE"""),"Ink")</f>
        <v>Ink</v>
      </c>
      <c r="C39" s="25" t="str">
        <f>IFERROR(__xludf.DUMMYFUNCTION("""COMPUTED_VALUE"""),"I-PAN-098")</f>
        <v>I-PAN-098</v>
      </c>
      <c r="D39" s="38" t="str">
        <f>IF(COUNTIF('Form responses 4'!B:B,C39)&gt;0, "", "https://docs.google.com/forms/d/e/1FAIpQLSdhNamFeglgVtt555M7xM7e8ZAg9KCWMEcDlLzX1oeZsyGxrg/viewform?usp=pp_url&amp;entry.580385001="&amp;C39&amp;"&amp;entry.1376952895="&amp;A39)</f>
        <v>https://docs.google.com/forms/d/e/1FAIpQLSdhNamFeglgVtt555M7xM7e8ZAg9KCWMEcDlLzX1oeZsyGxrg/viewform?usp=pp_url&amp;entry.580385001=I-PAN-098&amp;entry.1376952895=Natyres organic orange</v>
      </c>
      <c r="E39" s="25">
        <f>IFERROR(IF(C39&lt;&gt;"",VLOOKUP(C39,IMS!$A$2:$E1000,5,0),""),"")</f>
        <v>2</v>
      </c>
    </row>
    <row r="40">
      <c r="A40" s="25" t="str">
        <f>IFERROR(__xludf.DUMMYFUNCTION("""COMPUTED_VALUE"""),"Oshea body wash Gray")</f>
        <v>Oshea body wash Gray</v>
      </c>
      <c r="B40" s="25" t="str">
        <f>IFERROR(__xludf.DUMMYFUNCTION("""COMPUTED_VALUE"""),"Ink")</f>
        <v>Ink</v>
      </c>
      <c r="C40" s="25" t="str">
        <f>IFERROR(__xludf.DUMMYFUNCTION("""COMPUTED_VALUE"""),"I-PAN-099")</f>
        <v>I-PAN-099</v>
      </c>
      <c r="D40" s="38" t="str">
        <f>IF(COUNTIF('Form responses 4'!B:B,C40)&gt;0, "", "https://docs.google.com/forms/d/e/1FAIpQLSdhNamFeglgVtt555M7xM7e8ZAg9KCWMEcDlLzX1oeZsyGxrg/viewform?usp=pp_url&amp;entry.580385001="&amp;C40&amp;"&amp;entry.1376952895="&amp;A40)</f>
        <v>https://docs.google.com/forms/d/e/1FAIpQLSdhNamFeglgVtt555M7xM7e8ZAg9KCWMEcDlLzX1oeZsyGxrg/viewform?usp=pp_url&amp;entry.580385001=I-PAN-099&amp;entry.1376952895=Oshea body wash Gray</v>
      </c>
      <c r="E40" s="25">
        <f>IFERROR(IF(C40&lt;&gt;"",VLOOKUP(C40,IMS!$A$2:$E1000,5,0),""),"")</f>
        <v>0</v>
      </c>
    </row>
    <row r="41">
      <c r="A41" s="25" t="str">
        <f>IFERROR(__xludf.DUMMYFUNCTION("""COMPUTED_VALUE"""),"Uv Led Charger red")</f>
        <v>Uv Led Charger red</v>
      </c>
      <c r="B41" s="25" t="str">
        <f>IFERROR(__xludf.DUMMYFUNCTION("""COMPUTED_VALUE"""),"Ink")</f>
        <v>Ink</v>
      </c>
      <c r="C41" s="25" t="str">
        <f>IFERROR(__xludf.DUMMYFUNCTION("""COMPUTED_VALUE"""),"I-PAN-100")</f>
        <v>I-PAN-100</v>
      </c>
      <c r="D41" s="38" t="str">
        <f>IF(COUNTIF('Form responses 4'!B:B,C41)&gt;0, "", "https://docs.google.com/forms/d/e/1FAIpQLSdhNamFeglgVtt555M7xM7e8ZAg9KCWMEcDlLzX1oeZsyGxrg/viewform?usp=pp_url&amp;entry.580385001="&amp;C41&amp;"&amp;entry.1376952895="&amp;A41)</f>
        <v>https://docs.google.com/forms/d/e/1FAIpQLSdhNamFeglgVtt555M7xM7e8ZAg9KCWMEcDlLzX1oeZsyGxrg/viewform?usp=pp_url&amp;entry.580385001=I-PAN-100&amp;entry.1376952895=Uv Led Charger red</v>
      </c>
      <c r="E41" s="25">
        <f>IFERROR(IF(C41&lt;&gt;"",VLOOKUP(C41,IMS!$A$2:$E1000,5,0),""),"")</f>
        <v>4</v>
      </c>
    </row>
    <row r="42">
      <c r="A42" s="25" t="str">
        <f>IFERROR(__xludf.DUMMYFUNCTION("""COMPUTED_VALUE"""),"Uv Led Multani natural gold")</f>
        <v>Uv Led Multani natural gold</v>
      </c>
      <c r="B42" s="25" t="str">
        <f>IFERROR(__xludf.DUMMYFUNCTION("""COMPUTED_VALUE"""),"Ink")</f>
        <v>Ink</v>
      </c>
      <c r="C42" s="25" t="str">
        <f>IFERROR(__xludf.DUMMYFUNCTION("""COMPUTED_VALUE"""),"I-PAN-101")</f>
        <v>I-PAN-101</v>
      </c>
      <c r="D42" s="38" t="str">
        <f>IF(COUNTIF('Form responses 4'!B:B,C42)&gt;0, "", "https://docs.google.com/forms/d/e/1FAIpQLSdhNamFeglgVtt555M7xM7e8ZAg9KCWMEcDlLzX1oeZsyGxrg/viewform?usp=pp_url&amp;entry.580385001="&amp;C42&amp;"&amp;entry.1376952895="&amp;A42)</f>
        <v>https://docs.google.com/forms/d/e/1FAIpQLSdhNamFeglgVtt555M7xM7e8ZAg9KCWMEcDlLzX1oeZsyGxrg/viewform?usp=pp_url&amp;entry.580385001=I-PAN-101&amp;entry.1376952895=Uv Led Multani natural gold</v>
      </c>
      <c r="E42" s="25">
        <f>IFERROR(IF(C42&lt;&gt;"",VLOOKUP(C42,IMS!$A$2:$E1000,5,0),""),"")</f>
        <v>1</v>
      </c>
    </row>
    <row r="43">
      <c r="A43" s="25" t="str">
        <f>IFERROR(__xludf.DUMMYFUNCTION("""COMPUTED_VALUE"""),"Uv Led Platinum gray")</f>
        <v>Uv Led Platinum gray</v>
      </c>
      <c r="B43" s="25" t="str">
        <f>IFERROR(__xludf.DUMMYFUNCTION("""COMPUTED_VALUE"""),"Ink")</f>
        <v>Ink</v>
      </c>
      <c r="C43" s="25" t="str">
        <f>IFERROR(__xludf.DUMMYFUNCTION("""COMPUTED_VALUE"""),"I-PAN-102")</f>
        <v>I-PAN-102</v>
      </c>
      <c r="D43" s="38" t="str">
        <f>IF(COUNTIF('Form responses 4'!B:B,C43)&gt;0, "", "https://docs.google.com/forms/d/e/1FAIpQLSdhNamFeglgVtt555M7xM7e8ZAg9KCWMEcDlLzX1oeZsyGxrg/viewform?usp=pp_url&amp;entry.580385001="&amp;C43&amp;"&amp;entry.1376952895="&amp;A43)</f>
        <v>https://docs.google.com/forms/d/e/1FAIpQLSdhNamFeglgVtt555M7xM7e8ZAg9KCWMEcDlLzX1oeZsyGxrg/viewform?usp=pp_url&amp;entry.580385001=I-PAN-102&amp;entry.1376952895=Uv Led Platinum gray</v>
      </c>
      <c r="E43" s="25">
        <f>IFERROR(IF(C43&lt;&gt;"",VLOOKUP(C43,IMS!$A$2:$E1000,5,0),""),"")</f>
        <v>1</v>
      </c>
    </row>
    <row r="44">
      <c r="A44" s="25" t="str">
        <f>IFERROR(__xludf.DUMMYFUNCTION("""COMPUTED_VALUE"""),"Uv Led De-tan Light Brown")</f>
        <v>Uv Led De-tan Light Brown</v>
      </c>
      <c r="B44" s="25" t="str">
        <f>IFERROR(__xludf.DUMMYFUNCTION("""COMPUTED_VALUE"""),"Ink")</f>
        <v>Ink</v>
      </c>
      <c r="C44" s="25" t="str">
        <f>IFERROR(__xludf.DUMMYFUNCTION("""COMPUTED_VALUE"""),"I-PAN-103")</f>
        <v>I-PAN-103</v>
      </c>
      <c r="D44" s="38" t="str">
        <f>IF(COUNTIF('Form responses 4'!B:B,C44)&gt;0, "", "https://docs.google.com/forms/d/e/1FAIpQLSdhNamFeglgVtt555M7xM7e8ZAg9KCWMEcDlLzX1oeZsyGxrg/viewform?usp=pp_url&amp;entry.580385001="&amp;C44&amp;"&amp;entry.1376952895="&amp;A44)</f>
        <v>https://docs.google.com/forms/d/e/1FAIpQLSdhNamFeglgVtt555M7xM7e8ZAg9KCWMEcDlLzX1oeZsyGxrg/viewform?usp=pp_url&amp;entry.580385001=I-PAN-103&amp;entry.1376952895=Uv Led De-tan Light Brown</v>
      </c>
      <c r="E44" s="25">
        <f>IFERROR(IF(C44&lt;&gt;"",VLOOKUP(C44,IMS!$A$2:$E1000,5,0),""),"")</f>
        <v>1</v>
      </c>
    </row>
    <row r="45">
      <c r="A45" s="25" t="str">
        <f>IFERROR(__xludf.DUMMYFUNCTION("""COMPUTED_VALUE"""),"Uv Led Gold yellow")</f>
        <v>Uv Led Gold yellow</v>
      </c>
      <c r="B45" s="25" t="str">
        <f>IFERROR(__xludf.DUMMYFUNCTION("""COMPUTED_VALUE"""),"Ink")</f>
        <v>Ink</v>
      </c>
      <c r="C45" s="25" t="str">
        <f>IFERROR(__xludf.DUMMYFUNCTION("""COMPUTED_VALUE"""),"I-PAN-104")</f>
        <v>I-PAN-104</v>
      </c>
      <c r="D45" s="38" t="str">
        <f>IF(COUNTIF('Form responses 4'!B:B,C45)&gt;0, "", "https://docs.google.com/forms/d/e/1FAIpQLSdhNamFeglgVtt555M7xM7e8ZAg9KCWMEcDlLzX1oeZsyGxrg/viewform?usp=pp_url&amp;entry.580385001="&amp;C45&amp;"&amp;entry.1376952895="&amp;A45)</f>
        <v>https://docs.google.com/forms/d/e/1FAIpQLSdhNamFeglgVtt555M7xM7e8ZAg9KCWMEcDlLzX1oeZsyGxrg/viewform?usp=pp_url&amp;entry.580385001=I-PAN-104&amp;entry.1376952895=Uv Led Gold yellow</v>
      </c>
      <c r="E45" s="25">
        <f>IFERROR(IF(C45&lt;&gt;"",VLOOKUP(C45,IMS!$A$2:$E1000,5,0),""),"")</f>
        <v>1</v>
      </c>
    </row>
    <row r="46">
      <c r="A46" s="25" t="str">
        <f>IFERROR(__xludf.DUMMYFUNCTION("""COMPUTED_VALUE"""),"Uv Led Oshea pink")</f>
        <v>Uv Led Oshea pink</v>
      </c>
      <c r="B46" s="25" t="str">
        <f>IFERROR(__xludf.DUMMYFUNCTION("""COMPUTED_VALUE"""),"Ink")</f>
        <v>Ink</v>
      </c>
      <c r="C46" s="25" t="str">
        <f>IFERROR(__xludf.DUMMYFUNCTION("""COMPUTED_VALUE"""),"I-PAN-105")</f>
        <v>I-PAN-105</v>
      </c>
      <c r="D46" s="38" t="str">
        <f>IF(COUNTIF('Form responses 4'!B:B,C46)&gt;0, "", "https://docs.google.com/forms/d/e/1FAIpQLSdhNamFeglgVtt555M7xM7e8ZAg9KCWMEcDlLzX1oeZsyGxrg/viewform?usp=pp_url&amp;entry.580385001="&amp;C46&amp;"&amp;entry.1376952895="&amp;A46)</f>
        <v>https://docs.google.com/forms/d/e/1FAIpQLSdhNamFeglgVtt555M7xM7e8ZAg9KCWMEcDlLzX1oeZsyGxrg/viewform?usp=pp_url&amp;entry.580385001=I-PAN-105&amp;entry.1376952895=Uv Led Oshea pink</v>
      </c>
      <c r="E46" s="25">
        <f>IFERROR(IF(C46&lt;&gt;"",VLOOKUP(C46,IMS!$A$2:$E1000,5,0),""),"")</f>
        <v>1</v>
      </c>
    </row>
    <row r="47">
      <c r="A47" s="25" t="str">
        <f>IFERROR(__xludf.DUMMYFUNCTION("""COMPUTED_VALUE"""),"Gloss Op Link (Print Lack)")</f>
        <v>Gloss Op Link (Print Lack)</v>
      </c>
      <c r="B47" s="25" t="str">
        <f>IFERROR(__xludf.DUMMYFUNCTION("""COMPUTED_VALUE"""),"Coating")</f>
        <v>Coating</v>
      </c>
      <c r="C47" s="25" t="str">
        <f>IFERROR(__xludf.DUMMYFUNCTION("""COMPUTED_VALUE"""),"C-COA-106")</f>
        <v>C-COA-106</v>
      </c>
      <c r="D47" s="38" t="str">
        <f>IF(COUNTIF('Form responses 4'!B:B,C47)&gt;0, "", "https://docs.google.com/forms/d/e/1FAIpQLSdhNamFeglgVtt555M7xM7e8ZAg9KCWMEcDlLzX1oeZsyGxrg/viewform?usp=pp_url&amp;entry.580385001="&amp;C47&amp;"&amp;entry.1376952895="&amp;A47)</f>
        <v>https://docs.google.com/forms/d/e/1FAIpQLSdhNamFeglgVtt555M7xM7e8ZAg9KCWMEcDlLzX1oeZsyGxrg/viewform?usp=pp_url&amp;entry.580385001=C-COA-106&amp;entry.1376952895=Gloss Op Link (Print Lack)</v>
      </c>
      <c r="E47" s="25">
        <f>IFERROR(IF(C47&lt;&gt;"",VLOOKUP(C47,IMS!$A$2:$E1000,5,0),""),"")</f>
        <v>2</v>
      </c>
    </row>
    <row r="48">
      <c r="A48" s="25" t="str">
        <f>IFERROR(__xludf.DUMMYFUNCTION("""COMPUTED_VALUE"""),"High Gloss Op Ink (Print Lack)")</f>
        <v>High Gloss Op Ink (Print Lack)</v>
      </c>
      <c r="B48" s="25" t="str">
        <f>IFERROR(__xludf.DUMMYFUNCTION("""COMPUTED_VALUE"""),"Coating")</f>
        <v>Coating</v>
      </c>
      <c r="C48" s="25" t="str">
        <f>IFERROR(__xludf.DUMMYFUNCTION("""COMPUTED_VALUE"""),"C-COA-107")</f>
        <v>C-COA-107</v>
      </c>
      <c r="D48" s="38" t="str">
        <f>IF(COUNTIF('Form responses 4'!B:B,C48)&gt;0, "", "https://docs.google.com/forms/d/e/1FAIpQLSdhNamFeglgVtt555M7xM7e8ZAg9KCWMEcDlLzX1oeZsyGxrg/viewform?usp=pp_url&amp;entry.580385001="&amp;C48&amp;"&amp;entry.1376952895="&amp;A48)</f>
        <v>https://docs.google.com/forms/d/e/1FAIpQLSdhNamFeglgVtt555M7xM7e8ZAg9KCWMEcDlLzX1oeZsyGxrg/viewform?usp=pp_url&amp;entry.580385001=C-COA-107&amp;entry.1376952895=High Gloss Op Ink (Print Lack)</v>
      </c>
      <c r="E48" s="25">
        <f>IFERROR(IF(C48&lt;&gt;"",VLOOKUP(C48,IMS!$A$2:$E1000,5,0),""),"")</f>
        <v>1</v>
      </c>
    </row>
    <row r="49">
      <c r="A49" s="25" t="str">
        <f>IFERROR(__xludf.DUMMYFUNCTION("""COMPUTED_VALUE"""),"Acrylac Extra Matt")</f>
        <v>Acrylac Extra Matt</v>
      </c>
      <c r="B49" s="25" t="str">
        <f>IFERROR(__xludf.DUMMYFUNCTION("""COMPUTED_VALUE"""),"Coating")</f>
        <v>Coating</v>
      </c>
      <c r="C49" s="25" t="str">
        <f>IFERROR(__xludf.DUMMYFUNCTION("""COMPUTED_VALUE"""),"C-COA-108")</f>
        <v>C-COA-108</v>
      </c>
      <c r="D49" s="38" t="str">
        <f>IF(COUNTIF('Form responses 4'!B:B,C49)&gt;0, "", "https://docs.google.com/forms/d/e/1FAIpQLSdhNamFeglgVtt555M7xM7e8ZAg9KCWMEcDlLzX1oeZsyGxrg/viewform?usp=pp_url&amp;entry.580385001="&amp;C49&amp;"&amp;entry.1376952895="&amp;A49)</f>
        <v>https://docs.google.com/forms/d/e/1FAIpQLSdhNamFeglgVtt555M7xM7e8ZAg9KCWMEcDlLzX1oeZsyGxrg/viewform?usp=pp_url&amp;entry.580385001=C-COA-108&amp;entry.1376952895=Acrylac Extra Matt</v>
      </c>
      <c r="E49" s="25">
        <f>IFERROR(IF(C49&lt;&gt;"",VLOOKUP(C49,IMS!$A$2:$E1000,5,0),""),"")</f>
        <v>20</v>
      </c>
    </row>
    <row r="50">
      <c r="A50" s="25" t="str">
        <f>IFERROR(__xludf.DUMMYFUNCTION("""COMPUTED_VALUE"""),"Flex Cure Mt Yellow")</f>
        <v>Flex Cure Mt Yellow</v>
      </c>
      <c r="B50" s="25" t="str">
        <f>IFERROR(__xludf.DUMMYFUNCTION("""COMPUTED_VALUE"""),"Coating")</f>
        <v>Coating</v>
      </c>
      <c r="C50" s="25" t="str">
        <f>IFERROR(__xludf.DUMMYFUNCTION("""COMPUTED_VALUE"""),"C-COA-109")</f>
        <v>C-COA-109</v>
      </c>
      <c r="D50" s="38" t="str">
        <f>IF(COUNTIF('Form responses 4'!B:B,C50)&gt;0, "", "https://docs.google.com/forms/d/e/1FAIpQLSdhNamFeglgVtt555M7xM7e8ZAg9KCWMEcDlLzX1oeZsyGxrg/viewform?usp=pp_url&amp;entry.580385001="&amp;C50&amp;"&amp;entry.1376952895="&amp;A50)</f>
        <v>https://docs.google.com/forms/d/e/1FAIpQLSdhNamFeglgVtt555M7xM7e8ZAg9KCWMEcDlLzX1oeZsyGxrg/viewform?usp=pp_url&amp;entry.580385001=C-COA-109&amp;entry.1376952895=Flex Cure Mt Yellow</v>
      </c>
      <c r="E50" s="25">
        <f>IFERROR(IF(C50&lt;&gt;"",VLOOKUP(C50,IMS!$A$2:$E1000,5,0),""),"")</f>
        <v>1</v>
      </c>
    </row>
    <row r="51">
      <c r="A51" s="25" t="str">
        <f>IFERROR(__xludf.DUMMYFUNCTION("""COMPUTED_VALUE"""),"Radicure Textured Duct Matt")</f>
        <v>Radicure Textured Duct Matt</v>
      </c>
      <c r="B51" s="25" t="str">
        <f>IFERROR(__xludf.DUMMYFUNCTION("""COMPUTED_VALUE"""),"Coating")</f>
        <v>Coating</v>
      </c>
      <c r="C51" s="25" t="str">
        <f>IFERROR(__xludf.DUMMYFUNCTION("""COMPUTED_VALUE"""),"C-COA-110")</f>
        <v>C-COA-110</v>
      </c>
      <c r="D51" s="38" t="str">
        <f>IF(COUNTIF('Form responses 4'!B:B,C51)&gt;0, "", "https://docs.google.com/forms/d/e/1FAIpQLSdhNamFeglgVtt555M7xM7e8ZAg9KCWMEcDlLzX1oeZsyGxrg/viewform?usp=pp_url&amp;entry.580385001="&amp;C51&amp;"&amp;entry.1376952895="&amp;A51)</f>
        <v/>
      </c>
      <c r="E51" s="25">
        <f>IFERROR(IF(C51&lt;&gt;"",VLOOKUP(C51,IMS!$A$2:$E1000,5,0),""),"")</f>
        <v>7</v>
      </c>
    </row>
    <row r="52">
      <c r="A52" s="25" t="str">
        <f>IFERROR(__xludf.DUMMYFUNCTION("""COMPUTED_VALUE"""),"Md Cure Violet")</f>
        <v>Md Cure Violet</v>
      </c>
      <c r="B52" s="25" t="str">
        <f>IFERROR(__xludf.DUMMYFUNCTION("""COMPUTED_VALUE"""),"Ink")</f>
        <v>Ink</v>
      </c>
      <c r="C52" s="25" t="str">
        <f>IFERROR(__xludf.DUMMYFUNCTION("""COMPUTED_VALUE"""),"I-PAN-111")</f>
        <v>I-PAN-111</v>
      </c>
      <c r="D52" s="38" t="str">
        <f>IF(COUNTIF('Form responses 4'!B:B,C52)&gt;0, "", "https://docs.google.com/forms/d/e/1FAIpQLSdhNamFeglgVtt555M7xM7e8ZAg9KCWMEcDlLzX1oeZsyGxrg/viewform?usp=pp_url&amp;entry.580385001="&amp;C52&amp;"&amp;entry.1376952895="&amp;A52)</f>
        <v>https://docs.google.com/forms/d/e/1FAIpQLSdhNamFeglgVtt555M7xM7e8ZAg9KCWMEcDlLzX1oeZsyGxrg/viewform?usp=pp_url&amp;entry.580385001=I-PAN-111&amp;entry.1376952895=Md Cure Violet</v>
      </c>
      <c r="E52" s="25">
        <f>IFERROR(IF(C52&lt;&gt;"",VLOOKUP(C52,IMS!$A$2:$E1000,5,0),""),"")</f>
        <v>2</v>
      </c>
    </row>
    <row r="53">
      <c r="A53" s="25" t="str">
        <f>IFERROR(__xludf.DUMMYFUNCTION("""COMPUTED_VALUE"""),"Uv Varnish Wet Offset Release ")</f>
        <v>Uv Varnish Wet Offset Release </v>
      </c>
      <c r="B53" s="25" t="str">
        <f>IFERROR(__xludf.DUMMYFUNCTION("""COMPUTED_VALUE"""),"Chemical")</f>
        <v>Chemical</v>
      </c>
      <c r="C53" s="25" t="str">
        <f>IFERROR(__xludf.DUMMYFUNCTION("""COMPUTED_VALUE"""),"CH-VAR-112")</f>
        <v>CH-VAR-112</v>
      </c>
      <c r="D53" s="38" t="str">
        <f>IF(COUNTIF('Form responses 4'!B:B,C53)&gt;0, "", "https://docs.google.com/forms/d/e/1FAIpQLSdhNamFeglgVtt555M7xM7e8ZAg9KCWMEcDlLzX1oeZsyGxrg/viewform?usp=pp_url&amp;entry.580385001="&amp;C53&amp;"&amp;entry.1376952895="&amp;A53)</f>
        <v>https://docs.google.com/forms/d/e/1FAIpQLSdhNamFeglgVtt555M7xM7e8ZAg9KCWMEcDlLzX1oeZsyGxrg/viewform?usp=pp_url&amp;entry.580385001=CH-VAR-112&amp;entry.1376952895=Uv Varnish Wet Offset Release </v>
      </c>
      <c r="E53" s="25">
        <f>IFERROR(IF(C53&lt;&gt;"",VLOOKUP(C53,IMS!$A$2:$E1000,5,0),""),"")</f>
        <v>3</v>
      </c>
    </row>
    <row r="54">
      <c r="A54" s="25" t="str">
        <f>IFERROR(__xludf.DUMMYFUNCTION("""COMPUTED_VALUE"""),"Area Fumigant Water Disinfectant Solun.")</f>
        <v>Area Fumigant Water Disinfectant Solun.</v>
      </c>
      <c r="B54" s="25" t="str">
        <f>IFERROR(__xludf.DUMMYFUNCTION("""COMPUTED_VALUE"""),"Chemical")</f>
        <v>Chemical</v>
      </c>
      <c r="C54" s="25" t="str">
        <f>IFERROR(__xludf.DUMMYFUNCTION("""COMPUTED_VALUE"""),"CH-SOL-113")</f>
        <v>CH-SOL-113</v>
      </c>
      <c r="D54" s="38" t="str">
        <f>IF(COUNTIF('Form responses 4'!B:B,C54)&gt;0, "", "https://docs.google.com/forms/d/e/1FAIpQLSdhNamFeglgVtt555M7xM7e8ZAg9KCWMEcDlLzX1oeZsyGxrg/viewform?usp=pp_url&amp;entry.580385001="&amp;C54&amp;"&amp;entry.1376952895="&amp;A54)</f>
        <v>https://docs.google.com/forms/d/e/1FAIpQLSdhNamFeglgVtt555M7xM7e8ZAg9KCWMEcDlLzX1oeZsyGxrg/viewform?usp=pp_url&amp;entry.580385001=CH-SOL-113&amp;entry.1376952895=Area Fumigant Water Disinfectant Solun.</v>
      </c>
      <c r="E54" s="25">
        <f>IFERROR(IF(C54&lt;&gt;"",VLOOKUP(C54,IMS!$A$2:$E1000,5,0),""),"")</f>
        <v>5</v>
      </c>
    </row>
    <row r="55">
      <c r="A55" s="25" t="str">
        <f>IFERROR(__xludf.DUMMYFUNCTION("""COMPUTED_VALUE"""),"Classic Multi Wash-HPC 0214/25D21")</f>
        <v>Classic Multi Wash-HPC 0214/25D21</v>
      </c>
      <c r="B55" s="25" t="str">
        <f>IFERROR(__xludf.DUMMYFUNCTION("""COMPUTED_VALUE"""),"Chemical")</f>
        <v>Chemical</v>
      </c>
      <c r="C55" s="25" t="str">
        <f>IFERROR(__xludf.DUMMYFUNCTION("""COMPUTED_VALUE"""),"CH-SOL-114")</f>
        <v>CH-SOL-114</v>
      </c>
      <c r="D55" s="38" t="str">
        <f>IF(COUNTIF('Form responses 4'!B:B,C55)&gt;0, "", "https://docs.google.com/forms/d/e/1FAIpQLSdhNamFeglgVtt555M7xM7e8ZAg9KCWMEcDlLzX1oeZsyGxrg/viewform?usp=pp_url&amp;entry.580385001="&amp;C55&amp;"&amp;entry.1376952895="&amp;A55)</f>
        <v/>
      </c>
      <c r="E55" s="25">
        <f>IFERROR(IF(C55&lt;&gt;"",VLOOKUP(C55,IMS!$A$2:$E1000,5,0),""),"")</f>
        <v>20</v>
      </c>
    </row>
    <row r="56">
      <c r="A56" s="25" t="str">
        <f>IFERROR(__xludf.DUMMYFUNCTION("""COMPUTED_VALUE"""),"Sodium Hypochlorite 5%")</f>
        <v>Sodium Hypochlorite 5%</v>
      </c>
      <c r="B56" s="25" t="str">
        <f>IFERROR(__xludf.DUMMYFUNCTION("""COMPUTED_VALUE"""),"Chemical")</f>
        <v>Chemical</v>
      </c>
      <c r="C56" s="25" t="str">
        <f>IFERROR(__xludf.DUMMYFUNCTION("""COMPUTED_VALUE"""),"CH-SOL-115")</f>
        <v>CH-SOL-115</v>
      </c>
      <c r="D56" s="38" t="str">
        <f>IF(COUNTIF('Form responses 4'!B:B,C56)&gt;0, "", "https://docs.google.com/forms/d/e/1FAIpQLSdhNamFeglgVtt555M7xM7e8ZAg9KCWMEcDlLzX1oeZsyGxrg/viewform?usp=pp_url&amp;entry.580385001="&amp;C56&amp;"&amp;entry.1376952895="&amp;A56)</f>
        <v>https://docs.google.com/forms/d/e/1FAIpQLSdhNamFeglgVtt555M7xM7e8ZAg9KCWMEcDlLzX1oeZsyGxrg/viewform?usp=pp_url&amp;entry.580385001=CH-SOL-115&amp;entry.1376952895=Sodium Hypochlorite 5%</v>
      </c>
      <c r="E56" s="25">
        <f>IFERROR(IF(C56&lt;&gt;"",VLOOKUP(C56,IMS!$A$2:$E1000,5,0),""),"")</f>
        <v>2.5</v>
      </c>
    </row>
    <row r="57">
      <c r="A57" s="25" t="str">
        <f>IFERROR(__xludf.DUMMYFUNCTION("""COMPUTED_VALUE"""),"Nova Nol Xtra")</f>
        <v>Nova Nol Xtra</v>
      </c>
      <c r="B57" s="25" t="str">
        <f>IFERROR(__xludf.DUMMYFUNCTION("""COMPUTED_VALUE"""),"Chemical")</f>
        <v>Chemical</v>
      </c>
      <c r="C57" s="25" t="str">
        <f>IFERROR(__xludf.DUMMYFUNCTION("""COMPUTED_VALUE"""),"CH-SOL-116")</f>
        <v>CH-SOL-116</v>
      </c>
      <c r="D57" s="38" t="str">
        <f>IF(COUNTIF('Form responses 4'!B:B,C57)&gt;0, "", "https://docs.google.com/forms/d/e/1FAIpQLSdhNamFeglgVtt555M7xM7e8ZAg9KCWMEcDlLzX1oeZsyGxrg/viewform?usp=pp_url&amp;entry.580385001="&amp;C57&amp;"&amp;entry.1376952895="&amp;A57)</f>
        <v/>
      </c>
      <c r="E57" s="25">
        <f>IFERROR(IF(C57&lt;&gt;"",VLOOKUP(C57,IMS!$A$2:$E1000,5,0),""),"")</f>
        <v>20</v>
      </c>
    </row>
    <row r="58">
      <c r="A58" s="25" t="str">
        <f>IFERROR(__xludf.DUMMYFUNCTION("""COMPUTED_VALUE"""),"Inc Reducer (B)")</f>
        <v>Inc Reducer (B)</v>
      </c>
      <c r="B58" s="25" t="str">
        <f>IFERROR(__xludf.DUMMYFUNCTION("""COMPUTED_VALUE"""),"Chemical")</f>
        <v>Chemical</v>
      </c>
      <c r="C58" s="25" t="str">
        <f>IFERROR(__xludf.DUMMYFUNCTION("""COMPUTED_VALUE"""),"CH-SOL-117")</f>
        <v>CH-SOL-117</v>
      </c>
      <c r="D58" s="38" t="str">
        <f>IF(COUNTIF('Form responses 4'!B:B,C58)&gt;0, "", "https://docs.google.com/forms/d/e/1FAIpQLSdhNamFeglgVtt555M7xM7e8ZAg9KCWMEcDlLzX1oeZsyGxrg/viewform?usp=pp_url&amp;entry.580385001="&amp;C58&amp;"&amp;entry.1376952895="&amp;A58)</f>
        <v>https://docs.google.com/forms/d/e/1FAIpQLSdhNamFeglgVtt555M7xM7e8ZAg9KCWMEcDlLzX1oeZsyGxrg/viewform?usp=pp_url&amp;entry.580385001=CH-SOL-117&amp;entry.1376952895=Inc Reducer (B)</v>
      </c>
      <c r="E58" s="25">
        <f>IFERROR(IF(C58&lt;&gt;"",VLOOKUP(C58,IMS!$A$2:$E1000,5,0),""),"")</f>
        <v>0</v>
      </c>
    </row>
    <row r="59">
      <c r="A59" s="25" t="str">
        <f>IFERROR(__xludf.DUMMYFUNCTION("""COMPUTED_VALUE"""),"Anti Set off spray")</f>
        <v>Anti Set off spray</v>
      </c>
      <c r="B59" s="25" t="str">
        <f>IFERROR(__xludf.DUMMYFUNCTION("""COMPUTED_VALUE"""),"Chemical")</f>
        <v>Chemical</v>
      </c>
      <c r="C59" s="25" t="str">
        <f>IFERROR(__xludf.DUMMYFUNCTION("""COMPUTED_VALUE"""),"CH-SOL-118")</f>
        <v>CH-SOL-118</v>
      </c>
      <c r="D59" s="38" t="str">
        <f>IF(COUNTIF('Form responses 4'!B:B,C59)&gt;0, "", "https://docs.google.com/forms/d/e/1FAIpQLSdhNamFeglgVtt555M7xM7e8ZAg9KCWMEcDlLzX1oeZsyGxrg/viewform?usp=pp_url&amp;entry.580385001="&amp;C59&amp;"&amp;entry.1376952895="&amp;A59)</f>
        <v/>
      </c>
      <c r="E59" s="25">
        <f>IFERROR(IF(C59&lt;&gt;"",VLOOKUP(C59,IMS!$A$2:$E1000,5,0),""),"")</f>
        <v>3</v>
      </c>
    </row>
    <row r="60">
      <c r="A60" s="25" t="str">
        <f>IFERROR(__xludf.DUMMYFUNCTION("""COMPUTED_VALUE"""),"Fevicol Sr 505")</f>
        <v>Fevicol Sr 505</v>
      </c>
      <c r="B60" s="25" t="str">
        <f>IFERROR(__xludf.DUMMYFUNCTION("""COMPUTED_VALUE"""),"Adhesive")</f>
        <v>Adhesive</v>
      </c>
      <c r="C60" s="25" t="str">
        <f>IFERROR(__xludf.DUMMYFUNCTION("""COMPUTED_VALUE"""),"A-ADH-119")</f>
        <v>A-ADH-119</v>
      </c>
      <c r="D60" s="38" t="str">
        <f>IF(COUNTIF('Form responses 4'!B:B,C60)&gt;0, "", "https://docs.google.com/forms/d/e/1FAIpQLSdhNamFeglgVtt555M7xM7e8ZAg9KCWMEcDlLzX1oeZsyGxrg/viewform?usp=pp_url&amp;entry.580385001="&amp;C60&amp;"&amp;entry.1376952895="&amp;A60)</f>
        <v/>
      </c>
      <c r="E60" s="25">
        <f>IFERROR(IF(C60&lt;&gt;"",VLOOKUP(C60,IMS!$A$2:$E1000,5,0),""),"")</f>
        <v>2</v>
      </c>
    </row>
    <row r="61">
      <c r="A61" s="25" t="str">
        <f>IFERROR(__xludf.DUMMYFUNCTION("""COMPUTED_VALUE"""),"Self Adhesive Tissue Tape 10 Mm")</f>
        <v>Self Adhesive Tissue Tape 10 Mm</v>
      </c>
      <c r="B61" s="25" t="str">
        <f>IFERROR(__xludf.DUMMYFUNCTION("""COMPUTED_VALUE"""),"Adhesive")</f>
        <v>Adhesive</v>
      </c>
      <c r="C61" s="25" t="str">
        <f>IFERROR(__xludf.DUMMYFUNCTION("""COMPUTED_VALUE"""),"A-TAP-120")</f>
        <v>A-TAP-120</v>
      </c>
      <c r="D61" s="38" t="str">
        <f>IF(COUNTIF('Form responses 4'!B:B,C61)&gt;0, "", "https://docs.google.com/forms/d/e/1FAIpQLSdhNamFeglgVtt555M7xM7e8ZAg9KCWMEcDlLzX1oeZsyGxrg/viewform?usp=pp_url&amp;entry.580385001="&amp;C61&amp;"&amp;entry.1376952895="&amp;A61)</f>
        <v>https://docs.google.com/forms/d/e/1FAIpQLSdhNamFeglgVtt555M7xM7e8ZAg9KCWMEcDlLzX1oeZsyGxrg/viewform?usp=pp_url&amp;entry.580385001=A-TAP-120&amp;entry.1376952895=Self Adhesive Tissue Tape 10 Mm</v>
      </c>
      <c r="E61" s="25">
        <f>IFERROR(IF(C61&lt;&gt;"",VLOOKUP(C61,IMS!$A$2:$E1000,5,0),""),"")</f>
        <v>6</v>
      </c>
    </row>
    <row r="62">
      <c r="A62" s="25" t="str">
        <f>IFERROR(__xludf.DUMMYFUNCTION("""COMPUTED_VALUE"""),"Self Adhesive Tissue Tape 24 Mm")</f>
        <v>Self Adhesive Tissue Tape 24 Mm</v>
      </c>
      <c r="B62" s="25" t="str">
        <f>IFERROR(__xludf.DUMMYFUNCTION("""COMPUTED_VALUE"""),"Adhesive")</f>
        <v>Adhesive</v>
      </c>
      <c r="C62" s="25" t="str">
        <f>IFERROR(__xludf.DUMMYFUNCTION("""COMPUTED_VALUE"""),"A-TAP-121")</f>
        <v>A-TAP-121</v>
      </c>
      <c r="D62" s="38" t="str">
        <f>IF(COUNTIF('Form responses 4'!B:B,C62)&gt;0, "", "https://docs.google.com/forms/d/e/1FAIpQLSdhNamFeglgVtt555M7xM7e8ZAg9KCWMEcDlLzX1oeZsyGxrg/viewform?usp=pp_url&amp;entry.580385001="&amp;C62&amp;"&amp;entry.1376952895="&amp;A62)</f>
        <v>https://docs.google.com/forms/d/e/1FAIpQLSdhNamFeglgVtt555M7xM7e8ZAg9KCWMEcDlLzX1oeZsyGxrg/viewform?usp=pp_url&amp;entry.580385001=A-TAP-121&amp;entry.1376952895=Self Adhesive Tissue Tape 24 Mm</v>
      </c>
      <c r="E62" s="25">
        <f>IFERROR(IF(C62&lt;&gt;"",VLOOKUP(C62,IMS!$A$2:$E1000,5,0),""),"")</f>
        <v>8</v>
      </c>
    </row>
    <row r="63">
      <c r="A63" s="25" t="str">
        <f>IFERROR(__xludf.DUMMYFUNCTION("""COMPUTED_VALUE"""),"Self Adhesive Tissue Tape 8 Mm")</f>
        <v>Self Adhesive Tissue Tape 8 Mm</v>
      </c>
      <c r="B63" s="25" t="str">
        <f>IFERROR(__xludf.DUMMYFUNCTION("""COMPUTED_VALUE"""),"Adhesive")</f>
        <v>Adhesive</v>
      </c>
      <c r="C63" s="25" t="str">
        <f>IFERROR(__xludf.DUMMYFUNCTION("""COMPUTED_VALUE"""),"A-TAP-122")</f>
        <v>A-TAP-122</v>
      </c>
      <c r="D63" s="38" t="str">
        <f>IF(COUNTIF('Form responses 4'!B:B,C63)&gt;0, "", "https://docs.google.com/forms/d/e/1FAIpQLSdhNamFeglgVtt555M7xM7e8ZAg9KCWMEcDlLzX1oeZsyGxrg/viewform?usp=pp_url&amp;entry.580385001="&amp;C63&amp;"&amp;entry.1376952895="&amp;A63)</f>
        <v>https://docs.google.com/forms/d/e/1FAIpQLSdhNamFeglgVtt555M7xM7e8ZAg9KCWMEcDlLzX1oeZsyGxrg/viewform?usp=pp_url&amp;entry.580385001=A-TAP-122&amp;entry.1376952895=Self Adhesive Tissue Tape 8 Mm</v>
      </c>
      <c r="E63" s="25">
        <f>IFERROR(IF(C63&lt;&gt;"",VLOOKUP(C63,IMS!$A$2:$E1000,5,0),""),"")</f>
        <v>30</v>
      </c>
    </row>
    <row r="64">
      <c r="A64" s="25" t="str">
        <f>IFERROR(__xludf.DUMMYFUNCTION("""COMPUTED_VALUE"""),"Self Adhesive Tissue Tape 12Mm")</f>
        <v>Self Adhesive Tissue Tape 12Mm</v>
      </c>
      <c r="B64" s="25" t="str">
        <f>IFERROR(__xludf.DUMMYFUNCTION("""COMPUTED_VALUE"""),"Adhesive")</f>
        <v>Adhesive</v>
      </c>
      <c r="C64" s="25" t="str">
        <f>IFERROR(__xludf.DUMMYFUNCTION("""COMPUTED_VALUE"""),"A-TAP-123")</f>
        <v>A-TAP-123</v>
      </c>
      <c r="D64" s="38" t="str">
        <f>IF(COUNTIF('Form responses 4'!B:B,C64)&gt;0, "", "https://docs.google.com/forms/d/e/1FAIpQLSdhNamFeglgVtt555M7xM7e8ZAg9KCWMEcDlLzX1oeZsyGxrg/viewform?usp=pp_url&amp;entry.580385001="&amp;C64&amp;"&amp;entry.1376952895="&amp;A64)</f>
        <v>https://docs.google.com/forms/d/e/1FAIpQLSdhNamFeglgVtt555M7xM7e8ZAg9KCWMEcDlLzX1oeZsyGxrg/viewform?usp=pp_url&amp;entry.580385001=A-TAP-123&amp;entry.1376952895=Self Adhesive Tissue Tape 12Mm</v>
      </c>
      <c r="E64" s="25">
        <f>IFERROR(IF(C64&lt;&gt;"",VLOOKUP(C64,IMS!$A$2:$E1000,5,0),""),"")</f>
        <v>8</v>
      </c>
    </row>
    <row r="65">
      <c r="A65" s="25" t="str">
        <f>IFERROR(__xludf.DUMMYFUNCTION("""COMPUTED_VALUE"""),"Self Adhesive Tissue Tape 20Mm")</f>
        <v>Self Adhesive Tissue Tape 20Mm</v>
      </c>
      <c r="B65" s="25" t="str">
        <f>IFERROR(__xludf.DUMMYFUNCTION("""COMPUTED_VALUE"""),"Adhesive")</f>
        <v>Adhesive</v>
      </c>
      <c r="C65" s="25" t="str">
        <f>IFERROR(__xludf.DUMMYFUNCTION("""COMPUTED_VALUE"""),"A-TAP-124")</f>
        <v>A-TAP-124</v>
      </c>
      <c r="D65" s="38" t="str">
        <f>IF(COUNTIF('Form responses 4'!B:B,C65)&gt;0, "", "https://docs.google.com/forms/d/e/1FAIpQLSdhNamFeglgVtt555M7xM7e8ZAg9KCWMEcDlLzX1oeZsyGxrg/viewform?usp=pp_url&amp;entry.580385001="&amp;C65&amp;"&amp;entry.1376952895="&amp;A65)</f>
        <v>https://docs.google.com/forms/d/e/1FAIpQLSdhNamFeglgVtt555M7xM7e8ZAg9KCWMEcDlLzX1oeZsyGxrg/viewform?usp=pp_url&amp;entry.580385001=A-TAP-124&amp;entry.1376952895=Self Adhesive Tissue Tape 20Mm</v>
      </c>
      <c r="E65" s="25">
        <f>IFERROR(IF(C65&lt;&gt;"",VLOOKUP(C65,IMS!$A$2:$E1000,5,0),""),"")</f>
        <v>1</v>
      </c>
    </row>
    <row r="66">
      <c r="A66" s="25" t="str">
        <f>IFERROR(__xludf.DUMMYFUNCTION("""COMPUTED_VALUE"""),"Arobond Adhesive")</f>
        <v>Arobond Adhesive</v>
      </c>
      <c r="B66" s="25" t="str">
        <f>IFERROR(__xludf.DUMMYFUNCTION("""COMPUTED_VALUE"""),"Adhesive")</f>
        <v>Adhesive</v>
      </c>
      <c r="C66" s="25" t="str">
        <f>IFERROR(__xludf.DUMMYFUNCTION("""COMPUTED_VALUE"""),"A-TAP-125")</f>
        <v>A-TAP-125</v>
      </c>
      <c r="D66" s="38" t="str">
        <f>IF(COUNTIF('Form responses 4'!B:B,C66)&gt;0, "", "https://docs.google.com/forms/d/e/1FAIpQLSdhNamFeglgVtt555M7xM7e8ZAg9KCWMEcDlLzX1oeZsyGxrg/viewform?usp=pp_url&amp;entry.580385001="&amp;C66&amp;"&amp;entry.1376952895="&amp;A66)</f>
        <v/>
      </c>
      <c r="E66" s="25">
        <f>IFERROR(IF(C66&lt;&gt;"",VLOOKUP(C66,IMS!$A$2:$E1000,5,0),""),"")</f>
        <v>5</v>
      </c>
    </row>
    <row r="67">
      <c r="A67" s="25" t="str">
        <f>IFERROR(__xludf.DUMMYFUNCTION("""COMPUTED_VALUE"""),"At 1/65 Self Adhesive Tape Brown")</f>
        <v>At 1/65 Self Adhesive Tape Brown</v>
      </c>
      <c r="B67" s="25" t="str">
        <f>IFERROR(__xludf.DUMMYFUNCTION("""COMPUTED_VALUE"""),"Adhesive")</f>
        <v>Adhesive</v>
      </c>
      <c r="C67" s="25" t="str">
        <f>IFERROR(__xludf.DUMMYFUNCTION("""COMPUTED_VALUE"""),"A-TAP-126")</f>
        <v>A-TAP-126</v>
      </c>
      <c r="D67" s="38" t="str">
        <f>IF(COUNTIF('Form responses 4'!B:B,C67)&gt;0, "", "https://docs.google.com/forms/d/e/1FAIpQLSdhNamFeglgVtt555M7xM7e8ZAg9KCWMEcDlLzX1oeZsyGxrg/viewform?usp=pp_url&amp;entry.580385001="&amp;C67&amp;"&amp;entry.1376952895="&amp;A67)</f>
        <v/>
      </c>
      <c r="E67" s="25">
        <f>IFERROR(IF(C67&lt;&gt;"",VLOOKUP(C67,IMS!$A$2:$E1000,5,0),""),"")</f>
        <v>45</v>
      </c>
    </row>
    <row r="68">
      <c r="A68" s="25" t="str">
        <f>IFERROR(__xludf.DUMMYFUNCTION("""COMPUTED_VALUE"""),"Fevicol Cpw (Pid) ")</f>
        <v>Fevicol Cpw (Pid) </v>
      </c>
      <c r="B68" s="25" t="str">
        <f>IFERROR(__xludf.DUMMYFUNCTION("""COMPUTED_VALUE"""),"Adhesive")</f>
        <v>Adhesive</v>
      </c>
      <c r="C68" s="25" t="str">
        <f>IFERROR(__xludf.DUMMYFUNCTION("""COMPUTED_VALUE"""),"A-ADH-127")</f>
        <v>A-ADH-127</v>
      </c>
      <c r="D68" s="38" t="str">
        <f>IF(COUNTIF('Form responses 4'!B:B,C68)&gt;0, "", "https://docs.google.com/forms/d/e/1FAIpQLSdhNamFeglgVtt555M7xM7e8ZAg9KCWMEcDlLzX1oeZsyGxrg/viewform?usp=pp_url&amp;entry.580385001="&amp;C68&amp;"&amp;entry.1376952895="&amp;A68)</f>
        <v/>
      </c>
      <c r="E68" s="25">
        <f>IFERROR(IF(C68&lt;&gt;"",VLOOKUP(C68,IMS!$A$2:$E1000,5,0),""),"")</f>
        <v>50</v>
      </c>
    </row>
    <row r="69">
      <c r="A69" s="25" t="str">
        <f>IFERROR(__xludf.DUMMYFUNCTION("""COMPUTED_VALUE"""),"Fevicol 2000 L(Pid) ")</f>
        <v>Fevicol 2000 L(Pid) </v>
      </c>
      <c r="B69" s="25" t="str">
        <f>IFERROR(__xludf.DUMMYFUNCTION("""COMPUTED_VALUE"""),"Adhesive")</f>
        <v>Adhesive</v>
      </c>
      <c r="C69" s="25" t="str">
        <f>IFERROR(__xludf.DUMMYFUNCTION("""COMPUTED_VALUE"""),"A-ADH-128")</f>
        <v>A-ADH-128</v>
      </c>
      <c r="D69" s="38" t="str">
        <f>IF(COUNTIF('Form responses 4'!B:B,C69)&gt;0, "", "https://docs.google.com/forms/d/e/1FAIpQLSdhNamFeglgVtt555M7xM7e8ZAg9KCWMEcDlLzX1oeZsyGxrg/viewform?usp=pp_url&amp;entry.580385001="&amp;C69&amp;"&amp;entry.1376952895="&amp;A69)</f>
        <v>https://docs.google.com/forms/d/e/1FAIpQLSdhNamFeglgVtt555M7xM7e8ZAg9KCWMEcDlLzX1oeZsyGxrg/viewform?usp=pp_url&amp;entry.580385001=A-ADH-128&amp;entry.1376952895=Fevicol 2000 L(Pid) </v>
      </c>
      <c r="E69" s="25">
        <f>IFERROR(IF(C69&lt;&gt;"",VLOOKUP(C69,IMS!$A$2:$E1000,5,0),""),"")</f>
        <v>50</v>
      </c>
    </row>
    <row r="70">
      <c r="A70" s="25" t="str">
        <f>IFERROR(__xludf.DUMMYFUNCTION("""COMPUTED_VALUE"""),"At 2/65 Self Adhesive Tape Brown")</f>
        <v>At 2/65 Self Adhesive Tape Brown</v>
      </c>
      <c r="B70" s="25" t="str">
        <f>IFERROR(__xludf.DUMMYFUNCTION("""COMPUTED_VALUE"""),"Adhesive")</f>
        <v>Adhesive</v>
      </c>
      <c r="C70" s="25" t="str">
        <f>IFERROR(__xludf.DUMMYFUNCTION("""COMPUTED_VALUE"""),"A-TAP-129")</f>
        <v>A-TAP-129</v>
      </c>
      <c r="D70" s="38" t="str">
        <f>IF(COUNTIF('Form responses 4'!B:B,C70)&gt;0, "", "https://docs.google.com/forms/d/e/1FAIpQLSdhNamFeglgVtt555M7xM7e8ZAg9KCWMEcDlLzX1oeZsyGxrg/viewform?usp=pp_url&amp;entry.580385001="&amp;C70&amp;"&amp;entry.1376952895="&amp;A70)</f>
        <v/>
      </c>
      <c r="E70" s="25">
        <f>IFERROR(IF(C70&lt;&gt;"",VLOOKUP(C70,IMS!$A$2:$E1000,5,0),""),"")</f>
        <v>60</v>
      </c>
    </row>
    <row r="71">
      <c r="A71" s="25" t="str">
        <f>IFERROR(__xludf.DUMMYFUNCTION("""COMPUTED_VALUE"""),"Ft 4 Self Adhesive D/S Foam Tape 24 Mm")</f>
        <v>Ft 4 Self Adhesive D/S Foam Tape 24 Mm</v>
      </c>
      <c r="B71" s="25" t="str">
        <f>IFERROR(__xludf.DUMMYFUNCTION("""COMPUTED_VALUE"""),"Adhesive")</f>
        <v>Adhesive</v>
      </c>
      <c r="C71" s="25" t="str">
        <f>IFERROR(__xludf.DUMMYFUNCTION("""COMPUTED_VALUE"""),"A-TAP-130")</f>
        <v>A-TAP-130</v>
      </c>
      <c r="D71" s="38" t="str">
        <f>IF(COUNTIF('Form responses 4'!B:B,C71)&gt;0, "", "https://docs.google.com/forms/d/e/1FAIpQLSdhNamFeglgVtt555M7xM7e8ZAg9KCWMEcDlLzX1oeZsyGxrg/viewform?usp=pp_url&amp;entry.580385001="&amp;C71&amp;"&amp;entry.1376952895="&amp;A71)</f>
        <v/>
      </c>
      <c r="E71" s="25">
        <f>IFERROR(IF(C71&lt;&gt;"",VLOOKUP(C71,IMS!$A$2:$E1000,5,0),""),"")</f>
        <v>17</v>
      </c>
    </row>
    <row r="72">
      <c r="A72" s="25" t="str">
        <f>IFERROR(__xludf.DUMMYFUNCTION("""COMPUTED_VALUE"""),"Ceta")</f>
        <v>Ceta</v>
      </c>
      <c r="B72" s="25" t="str">
        <f>IFERROR(__xludf.DUMMYFUNCTION("""COMPUTED_VALUE"""),"Ceta")</f>
        <v>Ceta</v>
      </c>
      <c r="C72" s="25" t="str">
        <f>IFERROR(__xludf.DUMMYFUNCTION("""COMPUTED_VALUE"""),"CET-CET-131")</f>
        <v>CET-CET-131</v>
      </c>
      <c r="D72" s="38" t="str">
        <f>IF(COUNTIF('Form responses 4'!B:B,C72)&gt;0, "", "https://docs.google.com/forms/d/e/1FAIpQLSdhNamFeglgVtt555M7xM7e8ZAg9KCWMEcDlLzX1oeZsyGxrg/viewform?usp=pp_url&amp;entry.580385001="&amp;C72&amp;"&amp;entry.1376952895="&amp;A72)</f>
        <v/>
      </c>
      <c r="E72" s="25">
        <f>IFERROR(IF(C72&lt;&gt;"",VLOOKUP(C72,IMS!$A$2:$E1000,5,0),""),"")</f>
        <v>100</v>
      </c>
    </row>
    <row r="73">
      <c r="A73" s="25" t="str">
        <f>IFERROR(__xludf.DUMMYFUNCTION("""COMPUTED_VALUE"""),"Self Adhesive Tape Transparent 48 Mm")</f>
        <v>Self Adhesive Tape Transparent 48 Mm</v>
      </c>
      <c r="B73" s="25" t="str">
        <f>IFERROR(__xludf.DUMMYFUNCTION("""COMPUTED_VALUE"""),"Adhesive")</f>
        <v>Adhesive</v>
      </c>
      <c r="C73" s="25" t="str">
        <f>IFERROR(__xludf.DUMMYFUNCTION("""COMPUTED_VALUE"""),"A-TAP-132")</f>
        <v>A-TAP-132</v>
      </c>
      <c r="D73" s="38" t="str">
        <f>IF(COUNTIF('Form responses 4'!B:B,C73)&gt;0, "", "https://docs.google.com/forms/d/e/1FAIpQLSdhNamFeglgVtt555M7xM7e8ZAg9KCWMEcDlLzX1oeZsyGxrg/viewform?usp=pp_url&amp;entry.580385001="&amp;C73&amp;"&amp;entry.1376952895="&amp;A73)</f>
        <v>https://docs.google.com/forms/d/e/1FAIpQLSdhNamFeglgVtt555M7xM7e8ZAg9KCWMEcDlLzX1oeZsyGxrg/viewform?usp=pp_url&amp;entry.580385001=A-TAP-132&amp;entry.1376952895=Self Adhesive Tape Transparent 48 Mm</v>
      </c>
      <c r="E73" s="25">
        <f>IFERROR(IF(C73&lt;&gt;"",VLOOKUP(C73,IMS!$A$2:$E1000,5,0),""),"")</f>
        <v>1</v>
      </c>
    </row>
    <row r="74">
      <c r="A74" s="25" t="str">
        <f>IFERROR(__xludf.DUMMYFUNCTION("""COMPUTED_VALUE"""),"Wire")</f>
        <v>Wire</v>
      </c>
      <c r="B74" s="25" t="str">
        <f>IFERROR(__xludf.DUMMYFUNCTION("""COMPUTED_VALUE"""),"Miscellaneous")</f>
        <v>Miscellaneous</v>
      </c>
      <c r="C74" s="25" t="str">
        <f>IFERROR(__xludf.DUMMYFUNCTION("""COMPUTED_VALUE"""),"M-MIS-133")</f>
        <v>M-MIS-133</v>
      </c>
      <c r="D74" s="105" t="str">
        <f>IF(COUNTIF('Form responses 4'!B:B,C74)&gt;0, "", "https://docs.google.com/forms/d/e/1FAIpQLSdhNamFeglgVtt555M7xM7e8ZAg9KCWMEcDlLzX1oeZsyGxrg/viewform?usp=pp_url&amp;entry.580385001="&amp;C74&amp;"&amp;entry.1376952895="&amp;A74)</f>
        <v>https://docs.google.com/forms/d/e/1FAIpQLSdhNamFeglgVtt555M7xM7e8ZAg9KCWMEcDlLzX1oeZsyGxrg/viewform?usp=pp_url&amp;entry.580385001=M-MIS-133&amp;entry.1376952895=Wire</v>
      </c>
      <c r="E74" s="25">
        <f>IFERROR(IF(C74&lt;&gt;"",VLOOKUP(C74,IMS!$A$2:$E1000,5,0),""),"")</f>
        <v>2</v>
      </c>
    </row>
    <row r="75">
      <c r="A75" s="25" t="str">
        <f>IFERROR(__xludf.DUMMYFUNCTION("""COMPUTED_VALUE"""),"TK/7000 AQUA High Gloss Varnish")</f>
        <v>TK/7000 AQUA High Gloss Varnish</v>
      </c>
      <c r="B75" s="25" t="str">
        <f>IFERROR(__xludf.DUMMYFUNCTION("""COMPUTED_VALUE"""),"Chemical")</f>
        <v>Chemical</v>
      </c>
      <c r="C75" s="25" t="str">
        <f>IFERROR(__xludf.DUMMYFUNCTION("""COMPUTED_VALUE"""),"CH-VAR-134")</f>
        <v>CH-VAR-134</v>
      </c>
      <c r="D75" s="38" t="str">
        <f>IF(COUNTIF('Form responses 4'!B:B,C75)&gt;0, "", "https://docs.google.com/forms/d/e/1FAIpQLSdhNamFeglgVtt555M7xM7e8ZAg9KCWMEcDlLzX1oeZsyGxrg/viewform?usp=pp_url&amp;entry.580385001="&amp;C75&amp;"&amp;entry.1376952895="&amp;A75)</f>
        <v/>
      </c>
      <c r="E75" s="25">
        <f>IFERROR(IF(C75&lt;&gt;"",VLOOKUP(C75,IMS!$A$2:$E1000,5,0),""),"")</f>
        <v>20</v>
      </c>
    </row>
    <row r="76">
      <c r="A76" s="25" t="str">
        <f>IFERROR(__xludf.DUMMYFUNCTION("""COMPUTED_VALUE"""),"Protection Gum")</f>
        <v>Protection Gum</v>
      </c>
      <c r="B76" s="25" t="str">
        <f>IFERROR(__xludf.DUMMYFUNCTION("""COMPUTED_VALUE"""),"Chemical")</f>
        <v>Chemical</v>
      </c>
      <c r="C76" s="25" t="str">
        <f>IFERROR(__xludf.DUMMYFUNCTION("""COMPUTED_VALUE"""),"CH-GUM-135")</f>
        <v>CH-GUM-135</v>
      </c>
      <c r="D76" s="38" t="str">
        <f>IF(COUNTIF('Form responses 4'!B:B,C76)&gt;0, "", "https://docs.google.com/forms/d/e/1FAIpQLSdhNamFeglgVtt555M7xM7e8ZAg9KCWMEcDlLzX1oeZsyGxrg/viewform?usp=pp_url&amp;entry.580385001="&amp;C76&amp;"&amp;entry.1376952895="&amp;A76)</f>
        <v/>
      </c>
      <c r="E76" s="25">
        <f>IFERROR(IF(C76&lt;&gt;"",VLOOKUP(C76,IMS!$A$2:$E1000,5,0),""),"")</f>
        <v>0</v>
      </c>
    </row>
    <row r="77">
      <c r="A77" s="25" t="str">
        <f>IFERROR(__xludf.DUMMYFUNCTION("""COMPUTED_VALUE"""),"Glass Cleaner")</f>
        <v>Glass Cleaner</v>
      </c>
      <c r="B77" s="25" t="str">
        <f>IFERROR(__xludf.DUMMYFUNCTION("""COMPUTED_VALUE"""),"Chemical")</f>
        <v>Chemical</v>
      </c>
      <c r="C77" s="25" t="str">
        <f>IFERROR(__xludf.DUMMYFUNCTION("""COMPUTED_VALUE"""),"CH-SOL-136")</f>
        <v>CH-SOL-136</v>
      </c>
      <c r="D77" s="38" t="str">
        <f>IF(COUNTIF('Form responses 4'!B:B,C77)&gt;0, "", "https://docs.google.com/forms/d/e/1FAIpQLSdhNamFeglgVtt555M7xM7e8ZAg9KCWMEcDlLzX1oeZsyGxrg/viewform?usp=pp_url&amp;entry.580385001="&amp;C77&amp;"&amp;entry.1376952895="&amp;A77)</f>
        <v/>
      </c>
      <c r="E77" s="25">
        <f>IFERROR(IF(C77&lt;&gt;"",VLOOKUP(C77,IMS!$A$2:$E1000,5,0),""),"")</f>
        <v>10</v>
      </c>
    </row>
    <row r="78">
      <c r="A78" s="25" t="str">
        <f>IFERROR(__xludf.DUMMYFUNCTION("""COMPUTED_VALUE"""),"Nova Delete ")</f>
        <v>Nova Delete </v>
      </c>
      <c r="B78" s="25" t="str">
        <f>IFERROR(__xludf.DUMMYFUNCTION("""COMPUTED_VALUE"""),"Chemical")</f>
        <v>Chemical</v>
      </c>
      <c r="C78" s="25" t="str">
        <f>IFERROR(__xludf.DUMMYFUNCTION("""COMPUTED_VALUE"""),"CH-SOL-137")</f>
        <v>CH-SOL-137</v>
      </c>
      <c r="D78" s="38" t="str">
        <f>IF(COUNTIF('Form responses 4'!B:B,C78)&gt;0, "", "https://docs.google.com/forms/d/e/1FAIpQLSdhNamFeglgVtt555M7xM7e8ZAg9KCWMEcDlLzX1oeZsyGxrg/viewform?usp=pp_url&amp;entry.580385001="&amp;C78&amp;"&amp;entry.1376952895="&amp;A78)</f>
        <v/>
      </c>
      <c r="E78" s="25">
        <f>IFERROR(IF(C78&lt;&gt;"",VLOOKUP(C78,IMS!$A$2:$E1000,5,0),""),"")</f>
        <v>0.2</v>
      </c>
    </row>
    <row r="79">
      <c r="A79" s="25" t="str">
        <f>IFERROR(__xludf.DUMMYFUNCTION("""COMPUTED_VALUE"""),"Cleaning Powder")</f>
        <v>Cleaning Powder</v>
      </c>
      <c r="B79" s="25" t="str">
        <f>IFERROR(__xludf.DUMMYFUNCTION("""COMPUTED_VALUE"""),"Chemical")</f>
        <v>Chemical</v>
      </c>
      <c r="C79" s="25" t="str">
        <f>IFERROR(__xludf.DUMMYFUNCTION("""COMPUTED_VALUE"""),"CH-POW-138")</f>
        <v>CH-POW-138</v>
      </c>
      <c r="D79" s="38" t="str">
        <f>IF(COUNTIF('Form responses 4'!B:B,C79)&gt;0, "", "https://docs.google.com/forms/d/e/1FAIpQLSdhNamFeglgVtt555M7xM7e8ZAg9KCWMEcDlLzX1oeZsyGxrg/viewform?usp=pp_url&amp;entry.580385001="&amp;C79&amp;"&amp;entry.1376952895="&amp;A79)</f>
        <v>https://docs.google.com/forms/d/e/1FAIpQLSdhNamFeglgVtt555M7xM7e8ZAg9KCWMEcDlLzX1oeZsyGxrg/viewform?usp=pp_url&amp;entry.580385001=CH-POW-138&amp;entry.1376952895=Cleaning Powder</v>
      </c>
      <c r="E79" s="25">
        <f>IFERROR(IF(C79&lt;&gt;"",VLOOKUP(C79,IMS!$A$2:$E1000,5,0),""),"")</f>
        <v>1.5</v>
      </c>
    </row>
    <row r="80">
      <c r="A80" s="25" t="str">
        <f>IFERROR(__xludf.DUMMYFUNCTION("""COMPUTED_VALUE"""),"Roller Paste-Glazekeen Hydromac")</f>
        <v>Roller Paste-Glazekeen Hydromac</v>
      </c>
      <c r="B80" s="25" t="str">
        <f>IFERROR(__xludf.DUMMYFUNCTION("""COMPUTED_VALUE"""),"Chemical")</f>
        <v>Chemical</v>
      </c>
      <c r="C80" s="25" t="str">
        <f>IFERROR(__xludf.DUMMYFUNCTION("""COMPUTED_VALUE"""),"CH-ADH-139")</f>
        <v>CH-ADH-139</v>
      </c>
      <c r="D80" s="38" t="str">
        <f>IF(COUNTIF('Form responses 4'!B:B,C80)&gt;0, "", "https://docs.google.com/forms/d/e/1FAIpQLSdhNamFeglgVtt555M7xM7e8ZAg9KCWMEcDlLzX1oeZsyGxrg/viewform?usp=pp_url&amp;entry.580385001="&amp;C80&amp;"&amp;entry.1376952895="&amp;A80)</f>
        <v/>
      </c>
      <c r="E80" s="25">
        <f>IFERROR(IF(C80&lt;&gt;"",VLOOKUP(C80,IMS!$A$2:$E1000,5,0),""),"")</f>
        <v>4</v>
      </c>
    </row>
    <row r="81">
      <c r="A81" s="25" t="str">
        <f>IFERROR(__xludf.DUMMYFUNCTION("""COMPUTED_VALUE"""),"Chemical Blanket Saver")</f>
        <v>Chemical Blanket Saver</v>
      </c>
      <c r="B81" s="25" t="str">
        <f>IFERROR(__xludf.DUMMYFUNCTION("""COMPUTED_VALUE"""),"Chemical")</f>
        <v>Chemical</v>
      </c>
      <c r="C81" s="25" t="str">
        <f>IFERROR(__xludf.DUMMYFUNCTION("""COMPUTED_VALUE"""),"CH-SOL-140")</f>
        <v>CH-SOL-140</v>
      </c>
      <c r="D81" s="38" t="str">
        <f>IF(COUNTIF('Form responses 4'!B:B,C81)&gt;0, "", "https://docs.google.com/forms/d/e/1FAIpQLSdhNamFeglgVtt555M7xM7e8ZAg9KCWMEcDlLzX1oeZsyGxrg/viewform?usp=pp_url&amp;entry.580385001="&amp;C81&amp;"&amp;entry.1376952895="&amp;A81)</f>
        <v/>
      </c>
      <c r="E81" s="25">
        <f>IFERROR(IF(C81&lt;&gt;"",VLOOKUP(C81,IMS!$A$2:$E1000,5,0),""),"")</f>
        <v>0.5</v>
      </c>
    </row>
    <row r="82">
      <c r="A82" s="25" t="str">
        <f>IFERROR(__xludf.DUMMYFUNCTION("""COMPUTED_VALUE"""),"Ultra Shield 417 Duct Gloss OP Varnish")</f>
        <v>Ultra Shield 417 Duct Gloss OP Varnish</v>
      </c>
      <c r="B82" s="25" t="str">
        <f>IFERROR(__xludf.DUMMYFUNCTION("""COMPUTED_VALUE"""),"Chemical")</f>
        <v>Chemical</v>
      </c>
      <c r="C82" s="25" t="str">
        <f>IFERROR(__xludf.DUMMYFUNCTION("""COMPUTED_VALUE"""),"CH-VAR-141")</f>
        <v>CH-VAR-141</v>
      </c>
      <c r="D82" s="38" t="str">
        <f>IF(COUNTIF('Form responses 4'!B:B,C82)&gt;0, "", "https://docs.google.com/forms/d/e/1FAIpQLSdhNamFeglgVtt555M7xM7e8ZAg9KCWMEcDlLzX1oeZsyGxrg/viewform?usp=pp_url&amp;entry.580385001="&amp;C82&amp;"&amp;entry.1376952895="&amp;A82)</f>
        <v/>
      </c>
      <c r="E82" s="25">
        <f>IFERROR(IF(C82&lt;&gt;"",VLOOKUP(C82,IMS!$A$2:$E1000,5,0),""),"")</f>
        <v>20</v>
      </c>
    </row>
    <row r="83">
      <c r="A83" s="25" t="str">
        <f>IFERROR(__xludf.DUMMYFUNCTION("""COMPUTED_VALUE"""),"Plate Cleaner Normal")</f>
        <v>Plate Cleaner Normal</v>
      </c>
      <c r="B83" s="25" t="str">
        <f>IFERROR(__xludf.DUMMYFUNCTION("""COMPUTED_VALUE"""),"Chemical")</f>
        <v>Chemical</v>
      </c>
      <c r="C83" s="25" t="str">
        <f>IFERROR(__xludf.DUMMYFUNCTION("""COMPUTED_VALUE"""),"CH-SOL-142")</f>
        <v>CH-SOL-142</v>
      </c>
      <c r="D83" s="38" t="str">
        <f>IF(COUNTIF('Form responses 4'!B:B,C83)&gt;0, "", "https://docs.google.com/forms/d/e/1FAIpQLSdhNamFeglgVtt555M7xM7e8ZAg9KCWMEcDlLzX1oeZsyGxrg/viewform?usp=pp_url&amp;entry.580385001="&amp;C83&amp;"&amp;entry.1376952895="&amp;A83)</f>
        <v/>
      </c>
      <c r="E83" s="25">
        <f>IFERROR(IF(C83&lt;&gt;"",VLOOKUP(C83,IMS!$A$2:$E1000,5,0),""),"")</f>
        <v>15</v>
      </c>
    </row>
    <row r="84">
      <c r="A84" s="25" t="str">
        <f>IFERROR(__xludf.DUMMYFUNCTION("""COMPUTED_VALUE"""),"Plate Cleaner UV")</f>
        <v>Plate Cleaner UV</v>
      </c>
      <c r="B84" s="25" t="str">
        <f>IFERROR(__xludf.DUMMYFUNCTION("""COMPUTED_VALUE"""),"Chemical")</f>
        <v>Chemical</v>
      </c>
      <c r="C84" s="25" t="str">
        <f>IFERROR(__xludf.DUMMYFUNCTION("""COMPUTED_VALUE"""),"CH-SOL-143")</f>
        <v>CH-SOL-143</v>
      </c>
      <c r="D84" s="38" t="str">
        <f>IF(COUNTIF('Form responses 4'!B:B,C84)&gt;0, "", "https://docs.google.com/forms/d/e/1FAIpQLSdhNamFeglgVtt555M7xM7e8ZAg9KCWMEcDlLzX1oeZsyGxrg/viewform?usp=pp_url&amp;entry.580385001="&amp;C84&amp;"&amp;entry.1376952895="&amp;A84)</f>
        <v/>
      </c>
      <c r="E84" s="25">
        <f>IFERROR(IF(C84&lt;&gt;"",VLOOKUP(C84,IMS!$A$2:$E1000,5,0),""),"")</f>
        <v>4</v>
      </c>
    </row>
    <row r="85">
      <c r="A85" s="25" t="str">
        <f>IFERROR(__xludf.DUMMYFUNCTION("""COMPUTED_VALUE"""),"Benzene")</f>
        <v>Benzene</v>
      </c>
      <c r="B85" s="25" t="str">
        <f>IFERROR(__xludf.DUMMYFUNCTION("""COMPUTED_VALUE"""),"Chemical")</f>
        <v>Chemical</v>
      </c>
      <c r="C85" s="25" t="str">
        <f>IFERROR(__xludf.DUMMYFUNCTION("""COMPUTED_VALUE"""),"CH-SOL-144")</f>
        <v>CH-SOL-144</v>
      </c>
      <c r="D85" s="38" t="str">
        <f>IF(COUNTIF('Form responses 4'!B:B,C85)&gt;0, "", "https://docs.google.com/forms/d/e/1FAIpQLSdhNamFeglgVtt555M7xM7e8ZAg9KCWMEcDlLzX1oeZsyGxrg/viewform?usp=pp_url&amp;entry.580385001="&amp;C85&amp;"&amp;entry.1376952895="&amp;A85)</f>
        <v/>
      </c>
      <c r="E85" s="25">
        <f>IFERROR(IF(C85&lt;&gt;"",VLOOKUP(C85,IMS!$A$2:$E1000,5,0),""),"")</f>
        <v>15</v>
      </c>
    </row>
    <row r="86">
      <c r="A86" s="25" t="str">
        <f>IFERROR(__xludf.DUMMYFUNCTION("""COMPUTED_VALUE"""),"Sponge")</f>
        <v>Sponge</v>
      </c>
      <c r="B86" s="25" t="str">
        <f>IFERROR(__xludf.DUMMYFUNCTION("""COMPUTED_VALUE"""),"Miscellaneous")</f>
        <v>Miscellaneous</v>
      </c>
      <c r="C86" s="25" t="str">
        <f>IFERROR(__xludf.DUMMYFUNCTION("""COMPUTED_VALUE"""),"M-MIS-145")</f>
        <v>M-MIS-145</v>
      </c>
      <c r="D86" s="38" t="str">
        <f>IF(COUNTIF('Form responses 4'!B:B,C86)&gt;0, "", "https://docs.google.com/forms/d/e/1FAIpQLSdhNamFeglgVtt555M7xM7e8ZAg9KCWMEcDlLzX1oeZsyGxrg/viewform?usp=pp_url&amp;entry.580385001="&amp;C86&amp;"&amp;entry.1376952895="&amp;A86)</f>
        <v/>
      </c>
      <c r="E86" s="25">
        <f>IFERROR(IF(C86&lt;&gt;"",VLOOKUP(C86,IMS!$A$2:$E1000,5,0),""),"")</f>
        <v>14</v>
      </c>
    </row>
    <row r="87">
      <c r="A87" s="25" t="str">
        <f>IFERROR(__xludf.DUMMYFUNCTION("""COMPUTED_VALUE"""),"Pvc Polythene")</f>
        <v>Pvc Polythene</v>
      </c>
      <c r="B87" s="25" t="str">
        <f>IFERROR(__xludf.DUMMYFUNCTION("""COMPUTED_VALUE"""),"Miscellaneous")</f>
        <v>Miscellaneous</v>
      </c>
      <c r="C87" s="25" t="str">
        <f>IFERROR(__xludf.DUMMYFUNCTION("""COMPUTED_VALUE"""),"M-POL-146")</f>
        <v>M-POL-146</v>
      </c>
      <c r="D87" s="38" t="str">
        <f>IF(COUNTIF('Form responses 4'!B:B,C87)&gt;0, "", "https://docs.google.com/forms/d/e/1FAIpQLSdhNamFeglgVtt555M7xM7e8ZAg9KCWMEcDlLzX1oeZsyGxrg/viewform?usp=pp_url&amp;entry.580385001="&amp;C87&amp;"&amp;entry.1376952895="&amp;A87)</f>
        <v>https://docs.google.com/forms/d/e/1FAIpQLSdhNamFeglgVtt555M7xM7e8ZAg9KCWMEcDlLzX1oeZsyGxrg/viewform?usp=pp_url&amp;entry.580385001=M-POL-146&amp;entry.1376952895=Pvc Polythene</v>
      </c>
      <c r="E87" s="25">
        <f>IFERROR(IF(C87&lt;&gt;"",VLOOKUP(C87,IMS!$A$2:$E1000,5,0),""),"")</f>
        <v>100</v>
      </c>
    </row>
    <row r="88">
      <c r="A88" s="25" t="str">
        <f>IFERROR(__xludf.DUMMYFUNCTION("""COMPUTED_VALUE"""),"Biocon Brown")</f>
        <v>Biocon Brown</v>
      </c>
      <c r="B88" s="25" t="str">
        <f>IFERROR(__xludf.DUMMYFUNCTION("""COMPUTED_VALUE"""),"Ink")</f>
        <v>Ink</v>
      </c>
      <c r="C88" s="25" t="str">
        <f>IFERROR(__xludf.DUMMYFUNCTION("""COMPUTED_VALUE"""),"I-PAN-147")</f>
        <v>I-PAN-147</v>
      </c>
      <c r="D88" s="38" t="str">
        <f>IF(COUNTIF('Form responses 4'!B:B,C88)&gt;0, "", "https://docs.google.com/forms/d/e/1FAIpQLSdhNamFeglgVtt555M7xM7e8ZAg9KCWMEcDlLzX1oeZsyGxrg/viewform?usp=pp_url&amp;entry.580385001="&amp;C88&amp;"&amp;entry.1376952895="&amp;A88)</f>
        <v>https://docs.google.com/forms/d/e/1FAIpQLSdhNamFeglgVtt555M7xM7e8ZAg9KCWMEcDlLzX1oeZsyGxrg/viewform?usp=pp_url&amp;entry.580385001=I-PAN-147&amp;entry.1376952895=Biocon Brown</v>
      </c>
      <c r="E88" s="25">
        <f>IFERROR(IF(C88&lt;&gt;"",VLOOKUP(C88,IMS!$A$2:$E1000,5,0),""),"")</f>
        <v>1</v>
      </c>
    </row>
    <row r="89">
      <c r="A89" s="25" t="str">
        <f>IFERROR(__xludf.DUMMYFUNCTION("""COMPUTED_VALUE"""),"Jss Mul Papaya Yellow")</f>
        <v>Jss Mul Papaya Yellow</v>
      </c>
      <c r="B89" s="25" t="str">
        <f>IFERROR(__xludf.DUMMYFUNCTION("""COMPUTED_VALUE"""),"Ink")</f>
        <v>Ink</v>
      </c>
      <c r="C89" s="25" t="str">
        <f>IFERROR(__xludf.DUMMYFUNCTION("""COMPUTED_VALUE"""),"I-PAN-148")</f>
        <v>I-PAN-148</v>
      </c>
      <c r="D89" s="38" t="str">
        <f>IF(COUNTIF('Form responses 4'!B:B,C89)&gt;0, "", "https://docs.google.com/forms/d/e/1FAIpQLSdhNamFeglgVtt555M7xM7e8ZAg9KCWMEcDlLzX1oeZsyGxrg/viewform?usp=pp_url&amp;entry.580385001="&amp;C89&amp;"&amp;entry.1376952895="&amp;A89)</f>
        <v>https://docs.google.com/forms/d/e/1FAIpQLSdhNamFeglgVtt555M7xM7e8ZAg9KCWMEcDlLzX1oeZsyGxrg/viewform?usp=pp_url&amp;entry.580385001=I-PAN-148&amp;entry.1376952895=Jss Mul Papaya Yellow</v>
      </c>
      <c r="E89" s="25">
        <f>IFERROR(IF(C89&lt;&gt;"",VLOOKUP(C89,IMS!$A$2:$E1000,5,0),""),"")</f>
        <v>1</v>
      </c>
    </row>
    <row r="90">
      <c r="A90" s="25" t="str">
        <f>IFERROR(__xludf.DUMMYFUNCTION("""COMPUTED_VALUE"""),"Jss Mul Papaya Yellow")</f>
        <v>Jss Mul Papaya Yellow</v>
      </c>
      <c r="B90" s="25" t="str">
        <f>IFERROR(__xludf.DUMMYFUNCTION("""COMPUTED_VALUE"""),"Ink")</f>
        <v>Ink</v>
      </c>
      <c r="C90" s="25" t="str">
        <f>IFERROR(__xludf.DUMMYFUNCTION("""COMPUTED_VALUE"""),"I-PAN-149")</f>
        <v>I-PAN-149</v>
      </c>
      <c r="D90" s="38" t="str">
        <f>IF(COUNTIF('Form responses 4'!B:B,C90)&gt;0, "", "https://docs.google.com/forms/d/e/1FAIpQLSdhNamFeglgVtt555M7xM7e8ZAg9KCWMEcDlLzX1oeZsyGxrg/viewform?usp=pp_url&amp;entry.580385001="&amp;C90&amp;"&amp;entry.1376952895="&amp;A90)</f>
        <v>https://docs.google.com/forms/d/e/1FAIpQLSdhNamFeglgVtt555M7xM7e8ZAg9KCWMEcDlLzX1oeZsyGxrg/viewform?usp=pp_url&amp;entry.580385001=I-PAN-149&amp;entry.1376952895=Jss Mul Papaya Yellow</v>
      </c>
      <c r="E90" s="25">
        <f>IFERROR(IF(C90&lt;&gt;"",VLOOKUP(C90,IMS!$A$2:$E1000,5,0),""),"")</f>
        <v>1</v>
      </c>
    </row>
    <row r="91">
      <c r="A91" s="25" t="str">
        <f>IFERROR(__xludf.DUMMYFUNCTION("""COMPUTED_VALUE"""),"Uv Fd ink wash")</f>
        <v>Uv Fd ink wash</v>
      </c>
      <c r="B91" s="25" t="str">
        <f>IFERROR(__xludf.DUMMYFUNCTION("""COMPUTED_VALUE"""),"Chemical")</f>
        <v>Chemical</v>
      </c>
      <c r="C91" s="25" t="str">
        <f>IFERROR(__xludf.DUMMYFUNCTION("""COMPUTED_VALUE"""),"CH-SOL-150")</f>
        <v>CH-SOL-150</v>
      </c>
      <c r="D91" s="38" t="str">
        <f>IF(COUNTIF('Form responses 4'!B:B,C91)&gt;0, "", "https://docs.google.com/forms/d/e/1FAIpQLSdhNamFeglgVtt555M7xM7e8ZAg9KCWMEcDlLzX1oeZsyGxrg/viewform?usp=pp_url&amp;entry.580385001="&amp;C91&amp;"&amp;entry.1376952895="&amp;A91)</f>
        <v>https://docs.google.com/forms/d/e/1FAIpQLSdhNamFeglgVtt555M7xM7e8ZAg9KCWMEcDlLzX1oeZsyGxrg/viewform?usp=pp_url&amp;entry.580385001=CH-SOL-150&amp;entry.1376952895=Uv Fd ink wash</v>
      </c>
      <c r="E91" s="25">
        <f>IFERROR(IF(C91&lt;&gt;"",VLOOKUP(C91,IMS!$A$2:$E1000,5,0),""),"")</f>
        <v>0</v>
      </c>
    </row>
    <row r="92">
      <c r="A92" s="25" t="str">
        <f>IFERROR(__xludf.DUMMYFUNCTION("""COMPUTED_VALUE"""),"Bopp Film 13 inch Normal Matt")</f>
        <v>Bopp Film 13 inch Normal Matt</v>
      </c>
      <c r="B92" s="25" t="str">
        <f>IFERROR(__xludf.DUMMYFUNCTION("""COMPUTED_VALUE"""),"Lamination")</f>
        <v>Lamination</v>
      </c>
      <c r="C92" s="25" t="str">
        <f>IFERROR(__xludf.DUMMYFUNCTION("""COMPUTED_VALUE"""),"L-BOP-151")</f>
        <v>L-BOP-151</v>
      </c>
      <c r="D92" s="38" t="str">
        <f>IF(COUNTIF('Form responses 4'!B:B,C92)&gt;0, "", "https://docs.google.com/forms/d/e/1FAIpQLSdhNamFeglgVtt555M7xM7e8ZAg9KCWMEcDlLzX1oeZsyGxrg/viewform?usp=pp_url&amp;entry.580385001="&amp;C92&amp;"&amp;entry.1376952895="&amp;A92)</f>
        <v>https://docs.google.com/forms/d/e/1FAIpQLSdhNamFeglgVtt555M7xM7e8ZAg9KCWMEcDlLzX1oeZsyGxrg/viewform?usp=pp_url&amp;entry.580385001=L-BOP-151&amp;entry.1376952895=Bopp Film 13 inch Normal Matt</v>
      </c>
      <c r="E92" s="25">
        <f>IFERROR(IF(C92&lt;&gt;"",VLOOKUP(C92,IMS!$A$2:$E1000,5,0),""),"")</f>
        <v>0</v>
      </c>
    </row>
    <row r="93">
      <c r="A93" s="25" t="str">
        <f>IFERROR(__xludf.DUMMYFUNCTION("""COMPUTED_VALUE"""),"Bopp Film 14.5 inch Normal Matt")</f>
        <v>Bopp Film 14.5 inch Normal Matt</v>
      </c>
      <c r="B93" s="25" t="str">
        <f>IFERROR(__xludf.DUMMYFUNCTION("""COMPUTED_VALUE"""),"Lamination")</f>
        <v>Lamination</v>
      </c>
      <c r="C93" s="25" t="str">
        <f>IFERROR(__xludf.DUMMYFUNCTION("""COMPUTED_VALUE"""),"L-BOP-152")</f>
        <v>L-BOP-152</v>
      </c>
      <c r="D93" s="38" t="str">
        <f>IF(COUNTIF('Form responses 4'!B:B,C93)&gt;0, "", "https://docs.google.com/forms/d/e/1FAIpQLSdhNamFeglgVtt555M7xM7e8ZAg9KCWMEcDlLzX1oeZsyGxrg/viewform?usp=pp_url&amp;entry.580385001="&amp;C93&amp;"&amp;entry.1376952895="&amp;A93)</f>
        <v>https://docs.google.com/forms/d/e/1FAIpQLSdhNamFeglgVtt555M7xM7e8ZAg9KCWMEcDlLzX1oeZsyGxrg/viewform?usp=pp_url&amp;entry.580385001=L-BOP-152&amp;entry.1376952895=Bopp Film 14.5 inch Normal Matt</v>
      </c>
      <c r="E93" s="25">
        <f>IFERROR(IF(C93&lt;&gt;"",VLOOKUP(C93,IMS!$A$2:$E1000,5,0),""),"")</f>
        <v>1</v>
      </c>
    </row>
    <row r="94">
      <c r="A94" s="25" t="str">
        <f>IFERROR(__xludf.DUMMYFUNCTION("""COMPUTED_VALUE"""),"Bopp Film 16 inch Normal Matt")</f>
        <v>Bopp Film 16 inch Normal Matt</v>
      </c>
      <c r="B94" s="25" t="str">
        <f>IFERROR(__xludf.DUMMYFUNCTION("""COMPUTED_VALUE"""),"Lamination")</f>
        <v>Lamination</v>
      </c>
      <c r="C94" s="25" t="str">
        <f>IFERROR(__xludf.DUMMYFUNCTION("""COMPUTED_VALUE"""),"L-BOP-153")</f>
        <v>L-BOP-153</v>
      </c>
      <c r="D94" s="38" t="str">
        <f>IF(COUNTIF('Form responses 4'!B:B,C94)&gt;0, "", "https://docs.google.com/forms/d/e/1FAIpQLSdhNamFeglgVtt555M7xM7e8ZAg9KCWMEcDlLzX1oeZsyGxrg/viewform?usp=pp_url&amp;entry.580385001="&amp;C94&amp;"&amp;entry.1376952895="&amp;A94)</f>
        <v>https://docs.google.com/forms/d/e/1FAIpQLSdhNamFeglgVtt555M7xM7e8ZAg9KCWMEcDlLzX1oeZsyGxrg/viewform?usp=pp_url&amp;entry.580385001=L-BOP-153&amp;entry.1376952895=Bopp Film 16 inch Normal Matt</v>
      </c>
      <c r="E94" s="25">
        <f>IFERROR(IF(C94&lt;&gt;"",VLOOKUP(C94,IMS!$A$2:$E1000,5,0),""),"")</f>
        <v>1</v>
      </c>
    </row>
    <row r="95">
      <c r="A95" s="25" t="str">
        <f>IFERROR(__xludf.DUMMYFUNCTION("""COMPUTED_VALUE"""),"Bopp Film 17.5 inch Gloss Matt")</f>
        <v>Bopp Film 17.5 inch Gloss Matt</v>
      </c>
      <c r="B95" s="25" t="str">
        <f>IFERROR(__xludf.DUMMYFUNCTION("""COMPUTED_VALUE"""),"Lamination")</f>
        <v>Lamination</v>
      </c>
      <c r="C95" s="25" t="str">
        <f>IFERROR(__xludf.DUMMYFUNCTION("""COMPUTED_VALUE"""),"L-BOP-154")</f>
        <v>L-BOP-154</v>
      </c>
      <c r="D95" s="38" t="str">
        <f>IF(COUNTIF('Form responses 4'!B:B,C95)&gt;0, "", "https://docs.google.com/forms/d/e/1FAIpQLSdhNamFeglgVtt555M7xM7e8ZAg9KCWMEcDlLzX1oeZsyGxrg/viewform?usp=pp_url&amp;entry.580385001="&amp;C95&amp;"&amp;entry.1376952895="&amp;A95)</f>
        <v>https://docs.google.com/forms/d/e/1FAIpQLSdhNamFeglgVtt555M7xM7e8ZAg9KCWMEcDlLzX1oeZsyGxrg/viewform?usp=pp_url&amp;entry.580385001=L-BOP-154&amp;entry.1376952895=Bopp Film 17.5 inch Gloss Matt</v>
      </c>
      <c r="E95" s="25">
        <f>IFERROR(IF(C95&lt;&gt;"",VLOOKUP(C95,IMS!$A$2:$E1000,5,0),""),"")</f>
        <v>0</v>
      </c>
    </row>
    <row r="96">
      <c r="A96" s="25" t="str">
        <f>IFERROR(__xludf.DUMMYFUNCTION("""COMPUTED_VALUE"""),"Bopp Film 17 inch Normal Matt")</f>
        <v>Bopp Film 17 inch Normal Matt</v>
      </c>
      <c r="B96" s="25" t="str">
        <f>IFERROR(__xludf.DUMMYFUNCTION("""COMPUTED_VALUE"""),"Lamination")</f>
        <v>Lamination</v>
      </c>
      <c r="C96" s="25" t="str">
        <f>IFERROR(__xludf.DUMMYFUNCTION("""COMPUTED_VALUE"""),"L-BOP-155")</f>
        <v>L-BOP-155</v>
      </c>
      <c r="D96" s="38" t="str">
        <f>IF(COUNTIF('Form responses 4'!B:B,C96)&gt;0, "", "https://docs.google.com/forms/d/e/1FAIpQLSdhNamFeglgVtt555M7xM7e8ZAg9KCWMEcDlLzX1oeZsyGxrg/viewform?usp=pp_url&amp;entry.580385001="&amp;C96&amp;"&amp;entry.1376952895="&amp;A96)</f>
        <v>https://docs.google.com/forms/d/e/1FAIpQLSdhNamFeglgVtt555M7xM7e8ZAg9KCWMEcDlLzX1oeZsyGxrg/viewform?usp=pp_url&amp;entry.580385001=L-BOP-155&amp;entry.1376952895=Bopp Film 17 inch Normal Matt</v>
      </c>
      <c r="E96" s="25">
        <f>IFERROR(IF(C96&lt;&gt;"",VLOOKUP(C96,IMS!$A$2:$E1000,5,0),""),"")</f>
        <v>0</v>
      </c>
    </row>
    <row r="97">
      <c r="A97" s="25" t="str">
        <f>IFERROR(__xludf.DUMMYFUNCTION("""COMPUTED_VALUE"""),"Bopp Film 15 inch Gloss")</f>
        <v>Bopp Film 15 inch Gloss</v>
      </c>
      <c r="B97" s="25" t="str">
        <f>IFERROR(__xludf.DUMMYFUNCTION("""COMPUTED_VALUE"""),"Lamination")</f>
        <v>Lamination</v>
      </c>
      <c r="C97" s="25" t="str">
        <f>IFERROR(__xludf.DUMMYFUNCTION("""COMPUTED_VALUE"""),"L-BOP-156")</f>
        <v>L-BOP-156</v>
      </c>
      <c r="D97" s="38" t="str">
        <f>IF(COUNTIF('Form responses 4'!B:B,C97)&gt;0, "", "https://docs.google.com/forms/d/e/1FAIpQLSdhNamFeglgVtt555M7xM7e8ZAg9KCWMEcDlLzX1oeZsyGxrg/viewform?usp=pp_url&amp;entry.580385001="&amp;C97&amp;"&amp;entry.1376952895="&amp;A97)</f>
        <v>https://docs.google.com/forms/d/e/1FAIpQLSdhNamFeglgVtt555M7xM7e8ZAg9KCWMEcDlLzX1oeZsyGxrg/viewform?usp=pp_url&amp;entry.580385001=L-BOP-156&amp;entry.1376952895=Bopp Film 15 inch Gloss</v>
      </c>
      <c r="E97" s="25">
        <f>IFERROR(IF(C97&lt;&gt;"",VLOOKUP(C97,IMS!$A$2:$E1000,5,0),""),"")</f>
        <v>0</v>
      </c>
    </row>
    <row r="98">
      <c r="A98" s="25" t="str">
        <f>IFERROR(__xludf.DUMMYFUNCTION("""COMPUTED_VALUE"""),"Bopp Film 11.5 inch Gloss")</f>
        <v>Bopp Film 11.5 inch Gloss</v>
      </c>
      <c r="B98" s="25" t="str">
        <f>IFERROR(__xludf.DUMMYFUNCTION("""COMPUTED_VALUE"""),"Lamination")</f>
        <v>Lamination</v>
      </c>
      <c r="C98" s="25" t="str">
        <f>IFERROR(__xludf.DUMMYFUNCTION("""COMPUTED_VALUE"""),"L-BOP-157")</f>
        <v>L-BOP-157</v>
      </c>
      <c r="D98" s="38" t="str">
        <f>IF(COUNTIF('Form responses 4'!B:B,C98)&gt;0, "", "https://docs.google.com/forms/d/e/1FAIpQLSdhNamFeglgVtt555M7xM7e8ZAg9KCWMEcDlLzX1oeZsyGxrg/viewform?usp=pp_url&amp;entry.580385001="&amp;C98&amp;"&amp;entry.1376952895="&amp;A98)</f>
        <v>https://docs.google.com/forms/d/e/1FAIpQLSdhNamFeglgVtt555M7xM7e8ZAg9KCWMEcDlLzX1oeZsyGxrg/viewform?usp=pp_url&amp;entry.580385001=L-BOP-157&amp;entry.1376952895=Bopp Film 11.5 inch Gloss</v>
      </c>
      <c r="E98" s="25">
        <f>IFERROR(IF(C98&lt;&gt;"",VLOOKUP(C98,IMS!$A$2:$E1000,5,0),""),"")</f>
        <v>1</v>
      </c>
    </row>
    <row r="99">
      <c r="A99" s="25" t="str">
        <f>IFERROR(__xludf.DUMMYFUNCTION("""COMPUTED_VALUE"""),"Bopp Film 12.5 inch Gloss")</f>
        <v>Bopp Film 12.5 inch Gloss</v>
      </c>
      <c r="B99" s="25" t="str">
        <f>IFERROR(__xludf.DUMMYFUNCTION("""COMPUTED_VALUE"""),"Lamination")</f>
        <v>Lamination</v>
      </c>
      <c r="C99" s="25" t="str">
        <f>IFERROR(__xludf.DUMMYFUNCTION("""COMPUTED_VALUE"""),"L-BOP-158")</f>
        <v>L-BOP-158</v>
      </c>
      <c r="D99" s="38" t="str">
        <f>IF(COUNTIF('Form responses 4'!B:B,C99)&gt;0, "", "https://docs.google.com/forms/d/e/1FAIpQLSdhNamFeglgVtt555M7xM7e8ZAg9KCWMEcDlLzX1oeZsyGxrg/viewform?usp=pp_url&amp;entry.580385001="&amp;C99&amp;"&amp;entry.1376952895="&amp;A99)</f>
        <v>https://docs.google.com/forms/d/e/1FAIpQLSdhNamFeglgVtt555M7xM7e8ZAg9KCWMEcDlLzX1oeZsyGxrg/viewform?usp=pp_url&amp;entry.580385001=L-BOP-158&amp;entry.1376952895=Bopp Film 12.5 inch Gloss</v>
      </c>
      <c r="E99" s="25">
        <f>IFERROR(IF(C99&lt;&gt;"",VLOOKUP(C99,IMS!$A$2:$E1000,5,0),""),"")</f>
        <v>1</v>
      </c>
    </row>
    <row r="100">
      <c r="A100" s="25" t="str">
        <f>IFERROR(__xludf.DUMMYFUNCTION("""COMPUTED_VALUE"""),"Pvc 15inch")</f>
        <v>Pvc 15inch</v>
      </c>
      <c r="B100" s="25" t="str">
        <f>IFERROR(__xludf.DUMMYFUNCTION("""COMPUTED_VALUE"""),"Lamination")</f>
        <v>Lamination</v>
      </c>
      <c r="C100" s="25" t="str">
        <f>IFERROR(__xludf.DUMMYFUNCTION("""COMPUTED_VALUE"""),"L-POL-159")</f>
        <v>L-POL-159</v>
      </c>
      <c r="D100" s="38" t="str">
        <f>IF(COUNTIF('Form responses 4'!B:B,C100)&gt;0, "", "https://docs.google.com/forms/d/e/1FAIpQLSdhNamFeglgVtt555M7xM7e8ZAg9KCWMEcDlLzX1oeZsyGxrg/viewform?usp=pp_url&amp;entry.580385001="&amp;C100&amp;"&amp;entry.1376952895="&amp;A100)</f>
        <v>https://docs.google.com/forms/d/e/1FAIpQLSdhNamFeglgVtt555M7xM7e8ZAg9KCWMEcDlLzX1oeZsyGxrg/viewform?usp=pp_url&amp;entry.580385001=L-POL-159&amp;entry.1376952895=Pvc 15inch</v>
      </c>
      <c r="E100" s="25">
        <f>IFERROR(IF(C100&lt;&gt;"",VLOOKUP(C100,IMS!$A$2:$E1000,5,0),""),"")</f>
        <v>1</v>
      </c>
    </row>
    <row r="101">
      <c r="A101" s="25" t="str">
        <f>IFERROR(__xludf.DUMMYFUNCTION("""COMPUTED_VALUE"""),"Jelly Glue")</f>
        <v>Jelly Glue</v>
      </c>
      <c r="B101" s="25" t="str">
        <f>IFERROR(__xludf.DUMMYFUNCTION("""COMPUTED_VALUE"""),"Adhesive")</f>
        <v>Adhesive</v>
      </c>
      <c r="C101" s="25" t="str">
        <f>IFERROR(__xludf.DUMMYFUNCTION("""COMPUTED_VALUE"""),"A-GLU-160")</f>
        <v>A-GLU-160</v>
      </c>
      <c r="D101" s="38" t="str">
        <f>IF(COUNTIF('Form responses 4'!B:B,C101)&gt;0, "", "https://docs.google.com/forms/d/e/1FAIpQLSdhNamFeglgVtt555M7xM7e8ZAg9KCWMEcDlLzX1oeZsyGxrg/viewform?usp=pp_url&amp;entry.580385001="&amp;C101&amp;"&amp;entry.1376952895="&amp;A101)</f>
        <v/>
      </c>
      <c r="E101" s="25">
        <f>IFERROR(IF(C101&lt;&gt;"",VLOOKUP(C101,IMS!$A$2:$E1000,5,0),""),"")</f>
        <v>9</v>
      </c>
    </row>
    <row r="102">
      <c r="A102" s="25" t="str">
        <f>IFERROR(__xludf.DUMMYFUNCTION("""COMPUTED_VALUE"""),"0.64 M X 240 M Stamping Foil / Srz Silver Roll")</f>
        <v>0.64 M X 240 M Stamping Foil / Srz Silver Roll</v>
      </c>
      <c r="B102" s="25" t="str">
        <f>IFERROR(__xludf.DUMMYFUNCTION("""COMPUTED_VALUE"""),"Lamination")</f>
        <v>Lamination</v>
      </c>
      <c r="C102" s="25" t="str">
        <f>IFERROR(__xludf.DUMMYFUNCTION("""COMPUTED_VALUE"""),"L-POL-161")</f>
        <v>L-POL-161</v>
      </c>
      <c r="D102" s="38" t="str">
        <f>IF(COUNTIF('Form responses 4'!B:B,C102)&gt;0, "", "https://docs.google.com/forms/d/e/1FAIpQLSdhNamFeglgVtt555M7xM7e8ZAg9KCWMEcDlLzX1oeZsyGxrg/viewform?usp=pp_url&amp;entry.580385001="&amp;C102&amp;"&amp;entry.1376952895="&amp;A102)</f>
        <v>https://docs.google.com/forms/d/e/1FAIpQLSdhNamFeglgVtt555M7xM7e8ZAg9KCWMEcDlLzX1oeZsyGxrg/viewform?usp=pp_url&amp;entry.580385001=L-POL-161&amp;entry.1376952895=0.64 M X 240 M Stamping Foil / Srz Silver Roll</v>
      </c>
      <c r="E102" s="25">
        <f>IFERROR(IF(C102&lt;&gt;"",VLOOKUP(C102,IMS!$A$2:$E1000,5,0),""),"")</f>
        <v>0</v>
      </c>
    </row>
    <row r="103">
      <c r="A103" s="25" t="str">
        <f>IFERROR(__xludf.DUMMYFUNCTION("""COMPUTED_VALUE"""),"Esp Em Powder")</f>
        <v>Esp Em Powder</v>
      </c>
      <c r="B103" s="25" t="str">
        <f>IFERROR(__xludf.DUMMYFUNCTION("""COMPUTED_VALUE"""),"Powder")</f>
        <v>Powder</v>
      </c>
      <c r="C103" s="25" t="str">
        <f>IFERROR(__xludf.DUMMYFUNCTION("""COMPUTED_VALUE"""),"POW-POW-162")</f>
        <v>POW-POW-162</v>
      </c>
      <c r="D103" s="38" t="str">
        <f>IF(COUNTIF('Form responses 4'!B:B,C103)&gt;0, "", "https://docs.google.com/forms/d/e/1FAIpQLSdhNamFeglgVtt555M7xM7e8ZAg9KCWMEcDlLzX1oeZsyGxrg/viewform?usp=pp_url&amp;entry.580385001="&amp;C103&amp;"&amp;entry.1376952895="&amp;A103)</f>
        <v>https://docs.google.com/forms/d/e/1FAIpQLSdhNamFeglgVtt555M7xM7e8ZAg9KCWMEcDlLzX1oeZsyGxrg/viewform?usp=pp_url&amp;entry.580385001=POW-POW-162&amp;entry.1376952895=Esp Em Powder</v>
      </c>
      <c r="E103" s="25">
        <f>IFERROR(IF(C103&lt;&gt;"",VLOOKUP(C103,IMS!$A$2:$E1000,5,0),""),"")</f>
        <v>0</v>
      </c>
    </row>
    <row r="104">
      <c r="A104" s="25" t="str">
        <f>IFERROR(__xludf.DUMMYFUNCTION("""COMPUTED_VALUE"""),"Rubber Band Big Size")</f>
        <v>Rubber Band Big Size</v>
      </c>
      <c r="B104" s="25" t="str">
        <f>IFERROR(__xludf.DUMMYFUNCTION("""COMPUTED_VALUE"""),"Miscellaneous")</f>
        <v>Miscellaneous</v>
      </c>
      <c r="C104" s="25" t="str">
        <f>IFERROR(__xludf.DUMMYFUNCTION("""COMPUTED_VALUE"""),"M-RUB-163")</f>
        <v>M-RUB-163</v>
      </c>
      <c r="D104" s="38" t="str">
        <f>IF(COUNTIF('Form responses 4'!B:B,C104)&gt;0, "", "https://docs.google.com/forms/d/e/1FAIpQLSdhNamFeglgVtt555M7xM7e8ZAg9KCWMEcDlLzX1oeZsyGxrg/viewform?usp=pp_url&amp;entry.580385001="&amp;C104&amp;"&amp;entry.1376952895="&amp;A104)</f>
        <v/>
      </c>
      <c r="E104" s="25">
        <f>IFERROR(IF(C104&lt;&gt;"",VLOOKUP(C104,IMS!$A$2:$E1000,5,0),""),"")</f>
        <v>34</v>
      </c>
    </row>
    <row r="105">
      <c r="A105" s="25" t="str">
        <f>IFERROR(__xludf.DUMMYFUNCTION("""COMPUTED_VALUE"""),"Nescafe Signature Premix 1 Kg")</f>
        <v>Nescafe Signature Premix 1 Kg</v>
      </c>
      <c r="B105" s="25" t="str">
        <f>IFERROR(__xludf.DUMMYFUNCTION("""COMPUTED_VALUE"""),"Miscellaneous")</f>
        <v>Miscellaneous</v>
      </c>
      <c r="C105" s="25" t="str">
        <f>IFERROR(__xludf.DUMMYFUNCTION("""COMPUTED_VALUE"""),"M-MIS-164")</f>
        <v>M-MIS-164</v>
      </c>
      <c r="D105" s="38" t="str">
        <f>IF(COUNTIF('Form responses 4'!B:B,C105)&gt;0, "", "https://docs.google.com/forms/d/e/1FAIpQLSdhNamFeglgVtt555M7xM7e8ZAg9KCWMEcDlLzX1oeZsyGxrg/viewform?usp=pp_url&amp;entry.580385001="&amp;C105&amp;"&amp;entry.1376952895="&amp;A105)</f>
        <v>https://docs.google.com/forms/d/e/1FAIpQLSdhNamFeglgVtt555M7xM7e8ZAg9KCWMEcDlLzX1oeZsyGxrg/viewform?usp=pp_url&amp;entry.580385001=M-MIS-164&amp;entry.1376952895=Nescafe Signature Premix 1 Kg</v>
      </c>
      <c r="E105" s="25">
        <f>IFERROR(IF(C105&lt;&gt;"",VLOOKUP(C105,IMS!$A$2:$E1000,5,0),""),"")</f>
        <v>6</v>
      </c>
    </row>
    <row r="106">
      <c r="A106" s="25" t="str">
        <f>IFERROR(__xludf.DUMMYFUNCTION("""COMPUTED_VALUE"""),"Dhoti")</f>
        <v>Dhoti</v>
      </c>
      <c r="B106" s="25" t="str">
        <f>IFERROR(__xludf.DUMMYFUNCTION("""COMPUTED_VALUE"""),"Miscellaneous")</f>
        <v>Miscellaneous</v>
      </c>
      <c r="C106" s="25" t="str">
        <f>IFERROR(__xludf.DUMMYFUNCTION("""COMPUTED_VALUE"""),"M-DHO-165")</f>
        <v>M-DHO-165</v>
      </c>
      <c r="D106" s="105" t="str">
        <f>IF(COUNTIF('Form responses 4'!B:B,C106)&gt;0, "", "https://docs.google.com/forms/d/e/1FAIpQLSdhNamFeglgVtt555M7xM7e8ZAg9KCWMEcDlLzX1oeZsyGxrg/viewform?usp=pp_url&amp;entry.580385001="&amp;C106&amp;"&amp;entry.1376952895="&amp;A106)</f>
        <v>https://docs.google.com/forms/d/e/1FAIpQLSdhNamFeglgVtt555M7xM7e8ZAg9KCWMEcDlLzX1oeZsyGxrg/viewform?usp=pp_url&amp;entry.580385001=M-DHO-165&amp;entry.1376952895=Dhoti</v>
      </c>
      <c r="E106" s="25">
        <f>IFERROR(IF(C106&lt;&gt;"",VLOOKUP(C106,IMS!$A$2:$E1000,5,0),""),"")</f>
        <v>580</v>
      </c>
    </row>
    <row r="107">
      <c r="A107" s="25" t="str">
        <f>IFERROR(__xludf.DUMMYFUNCTION("""COMPUTED_VALUE"""),"Carry Bag Singal Jod Pesting Eyelet &amp; Dori Red Colour")</f>
        <v>Carry Bag Singal Jod Pesting Eyelet &amp; Dori Red Colour</v>
      </c>
      <c r="B107" s="25" t="str">
        <f>IFERROR(__xludf.DUMMYFUNCTION("""COMPUTED_VALUE"""),"Miscellaneous")</f>
        <v>Miscellaneous</v>
      </c>
      <c r="C107" s="25" t="str">
        <f>IFERROR(__xludf.DUMMYFUNCTION("""COMPUTED_VALUE"""),"M-DOR-166")</f>
        <v>M-DOR-166</v>
      </c>
      <c r="D107" s="38" t="str">
        <f>IF(COUNTIF('Form responses 4'!B:B,C107)&gt;0, "", "https://docs.google.com/forms/d/e/1FAIpQLSdhNamFeglgVtt555M7xM7e8ZAg9KCWMEcDlLzX1oeZsyGxrg/viewform?usp=pp_url&amp;entry.580385001="&amp;C107&amp;"&amp;entry.1376952895="&amp;A107)</f>
        <v>https://docs.google.com/forms/d/e/1FAIpQLSdhNamFeglgVtt555M7xM7e8ZAg9KCWMEcDlLzX1oeZsyGxrg/viewform?usp=pp_url&amp;entry.580385001=M-DOR-166&amp;entry.1376952895=Carry Bag Singal Jod Pesting Eyelet &amp; Dori Red Colour</v>
      </c>
      <c r="E107" s="25">
        <f>IFERROR(IF(C107&lt;&gt;"",VLOOKUP(C107,IMS!$A$2:$E1000,5,0),""),"")</f>
        <v>0</v>
      </c>
    </row>
    <row r="108">
      <c r="A108" s="25" t="str">
        <f>IFERROR(__xludf.DUMMYFUNCTION("""COMPUTED_VALUE"""),"Carry Bag Singal Jod Pesting Eyelet &amp; Dori Chinky Minky")</f>
        <v>Carry Bag Singal Jod Pesting Eyelet &amp; Dori Chinky Minky</v>
      </c>
      <c r="B108" s="25" t="str">
        <f>IFERROR(__xludf.DUMMYFUNCTION("""COMPUTED_VALUE"""),"Miscellaneous")</f>
        <v>Miscellaneous</v>
      </c>
      <c r="C108" s="25" t="str">
        <f>IFERROR(__xludf.DUMMYFUNCTION("""COMPUTED_VALUE"""),"M-DOR-167")</f>
        <v>M-DOR-167</v>
      </c>
      <c r="D108" s="38" t="str">
        <f>IF(COUNTIF('Form responses 4'!B:B,C108)&gt;0, "", "https://docs.google.com/forms/d/e/1FAIpQLSdhNamFeglgVtt555M7xM7e8ZAg9KCWMEcDlLzX1oeZsyGxrg/viewform?usp=pp_url&amp;entry.580385001="&amp;C108&amp;"&amp;entry.1376952895="&amp;A108)</f>
        <v>https://docs.google.com/forms/d/e/1FAIpQLSdhNamFeglgVtt555M7xM7e8ZAg9KCWMEcDlLzX1oeZsyGxrg/viewform?usp=pp_url&amp;entry.580385001=M-DOR-167&amp;entry.1376952895=Carry Bag Singal Jod Pesting Eyelet &amp; Dori Chinky Minky</v>
      </c>
      <c r="E108" s="25">
        <f>IFERROR(IF(C108&lt;&gt;"",VLOOKUP(C108,IMS!$A$2:$E1000,5,0),""),"")</f>
        <v>0</v>
      </c>
    </row>
    <row r="109">
      <c r="A109" s="25" t="str">
        <f>IFERROR(__xludf.DUMMYFUNCTION("""COMPUTED_VALUE"""),"Dangler Only For Threading")</f>
        <v>Dangler Only For Threading</v>
      </c>
      <c r="B109" s="25" t="str">
        <f>IFERROR(__xludf.DUMMYFUNCTION("""COMPUTED_VALUE"""),"Miscellaneous")</f>
        <v>Miscellaneous</v>
      </c>
      <c r="C109" s="25" t="str">
        <f>IFERROR(__xludf.DUMMYFUNCTION("""COMPUTED_VALUE"""),"M-DOR-168")</f>
        <v>M-DOR-168</v>
      </c>
      <c r="D109" s="38" t="str">
        <f>IF(COUNTIF('Form responses 4'!B:B,C109)&gt;0, "", "https://docs.google.com/forms/d/e/1FAIpQLSdhNamFeglgVtt555M7xM7e8ZAg9KCWMEcDlLzX1oeZsyGxrg/viewform?usp=pp_url&amp;entry.580385001="&amp;C109&amp;"&amp;entry.1376952895="&amp;A109)</f>
        <v>https://docs.google.com/forms/d/e/1FAIpQLSdhNamFeglgVtt555M7xM7e8ZAg9KCWMEcDlLzX1oeZsyGxrg/viewform?usp=pp_url&amp;entry.580385001=M-DOR-168&amp;entry.1376952895=Dangler Only For Threading</v>
      </c>
      <c r="E109" s="25">
        <f>IFERROR(IF(C109&lt;&gt;"",VLOOKUP(C109,IMS!$A$2:$E1000,5,0),""),"")</f>
        <v>0</v>
      </c>
    </row>
    <row r="110">
      <c r="A110" s="25" t="str">
        <f>IFERROR(__xludf.DUMMYFUNCTION("""COMPUTED_VALUE"""),"Cutting Stick")</f>
        <v>Cutting Stick</v>
      </c>
      <c r="B110" s="25" t="str">
        <f>IFERROR(__xludf.DUMMYFUNCTION("""COMPUTED_VALUE"""),"Miscellaneous")</f>
        <v>Miscellaneous</v>
      </c>
      <c r="C110" s="25" t="str">
        <f>IFERROR(__xludf.DUMMYFUNCTION("""COMPUTED_VALUE"""),"M-CUT-169")</f>
        <v>M-CUT-169</v>
      </c>
      <c r="D110" s="38" t="str">
        <f>IF(COUNTIF('Form responses 4'!B:B,C110)&gt;0, "", "https://docs.google.com/forms/d/e/1FAIpQLSdhNamFeglgVtt555M7xM7e8ZAg9KCWMEcDlLzX1oeZsyGxrg/viewform?usp=pp_url&amp;entry.580385001="&amp;C110&amp;"&amp;entry.1376952895="&amp;A110)</f>
        <v>https://docs.google.com/forms/d/e/1FAIpQLSdhNamFeglgVtt555M7xM7e8ZAg9KCWMEcDlLzX1oeZsyGxrg/viewform?usp=pp_url&amp;entry.580385001=M-CUT-169&amp;entry.1376952895=Cutting Stick</v>
      </c>
      <c r="E110" s="25">
        <f>IFERROR(IF(C110&lt;&gt;"",VLOOKUP(C110,IMS!$A$2:$E1000,5,0),""),"")</f>
        <v>9</v>
      </c>
    </row>
    <row r="111">
      <c r="A111" s="25" t="str">
        <f>IFERROR(__xludf.DUMMYFUNCTION("""COMPUTED_VALUE"""),"Expresso Elachi Tea Premix (Tn)")</f>
        <v>Expresso Elachi Tea Premix (Tn)</v>
      </c>
      <c r="B111" s="25" t="str">
        <f>IFERROR(__xludf.DUMMYFUNCTION("""COMPUTED_VALUE"""),"Miscellaneous")</f>
        <v>Miscellaneous</v>
      </c>
      <c r="C111" s="25" t="str">
        <f>IFERROR(__xludf.DUMMYFUNCTION("""COMPUTED_VALUE"""),"M-MIS-170")</f>
        <v>M-MIS-170</v>
      </c>
      <c r="D111" s="38" t="str">
        <f>IF(COUNTIF('Form responses 4'!B:B,C111)&gt;0, "", "https://docs.google.com/forms/d/e/1FAIpQLSdhNamFeglgVtt555M7xM7e8ZAg9KCWMEcDlLzX1oeZsyGxrg/viewform?usp=pp_url&amp;entry.580385001="&amp;C111&amp;"&amp;entry.1376952895="&amp;A111)</f>
        <v>https://docs.google.com/forms/d/e/1FAIpQLSdhNamFeglgVtt555M7xM7e8ZAg9KCWMEcDlLzX1oeZsyGxrg/viewform?usp=pp_url&amp;entry.580385001=M-MIS-170&amp;entry.1376952895=Expresso Elachi Tea Premix (Tn)</v>
      </c>
      <c r="E111" s="25">
        <f>IFERROR(IF(C111&lt;&gt;"",VLOOKUP(C111,IMS!$A$2:$E1000,5,0),""),"")</f>
        <v>16</v>
      </c>
    </row>
    <row r="112">
      <c r="A112" s="25" t="str">
        <f>IFERROR(__xludf.DUMMYFUNCTION("""COMPUTED_VALUE"""),"Black Processing Uv Foil")</f>
        <v>Black Processing Uv Foil</v>
      </c>
      <c r="B112" s="25" t="str">
        <f>IFERROR(__xludf.DUMMYFUNCTION("""COMPUTED_VALUE"""),"Coating")</f>
        <v>Coating</v>
      </c>
      <c r="C112" s="25" t="str">
        <f>IFERROR(__xludf.DUMMYFUNCTION("""COMPUTED_VALUE"""),"C-FOI-171")</f>
        <v>C-FOI-171</v>
      </c>
      <c r="D112" s="38" t="str">
        <f>IF(COUNTIF('Form responses 4'!B:B,C112)&gt;0, "", "https://docs.google.com/forms/d/e/1FAIpQLSdhNamFeglgVtt555M7xM7e8ZAg9KCWMEcDlLzX1oeZsyGxrg/viewform?usp=pp_url&amp;entry.580385001="&amp;C112&amp;"&amp;entry.1376952895="&amp;A112)</f>
        <v>https://docs.google.com/forms/d/e/1FAIpQLSdhNamFeglgVtt555M7xM7e8ZAg9KCWMEcDlLzX1oeZsyGxrg/viewform?usp=pp_url&amp;entry.580385001=C-FOI-171&amp;entry.1376952895=Black Processing Uv Foil</v>
      </c>
      <c r="E112" s="25">
        <f>IFERROR(IF(C112&lt;&gt;"",VLOOKUP(C112,IMS!$A$2:$E1000,5,0),""),"")</f>
        <v>3</v>
      </c>
    </row>
    <row r="113">
      <c r="A113" s="25" t="str">
        <f>IFERROR(__xludf.DUMMYFUNCTION("""COMPUTED_VALUE"""),"Led Pr cyan led process")</f>
        <v>Led Pr cyan led process</v>
      </c>
      <c r="B113" s="25" t="str">
        <f>IFERROR(__xludf.DUMMYFUNCTION("""COMPUTED_VALUE"""),"Coating")</f>
        <v>Coating</v>
      </c>
      <c r="C113" s="25" t="str">
        <f>IFERROR(__xludf.DUMMYFUNCTION("""COMPUTED_VALUE"""),"C-FOI-172")</f>
        <v>C-FOI-172</v>
      </c>
      <c r="D113" s="38" t="str">
        <f>IF(COUNTIF('Form responses 4'!B:B,C113)&gt;0, "", "https://docs.google.com/forms/d/e/1FAIpQLSdhNamFeglgVtt555M7xM7e8ZAg9KCWMEcDlLzX1oeZsyGxrg/viewform?usp=pp_url&amp;entry.580385001="&amp;C113&amp;"&amp;entry.1376952895="&amp;A113)</f>
        <v>https://docs.google.com/forms/d/e/1FAIpQLSdhNamFeglgVtt555M7xM7e8ZAg9KCWMEcDlLzX1oeZsyGxrg/viewform?usp=pp_url&amp;entry.580385001=C-FOI-172&amp;entry.1376952895=Led Pr cyan led process</v>
      </c>
      <c r="E113" s="25">
        <f>IFERROR(IF(C113&lt;&gt;"",VLOOKUP(C113,IMS!$A$2:$E1000,5,0),""),"")</f>
        <v>3</v>
      </c>
    </row>
    <row r="114">
      <c r="A114" s="25" t="str">
        <f>IFERROR(__xludf.DUMMYFUNCTION("""COMPUTED_VALUE"""),"New V FD Wash(Hard Wash)-HPC-0237/25D21")</f>
        <v>New V FD Wash(Hard Wash)-HPC-0237/25D21</v>
      </c>
      <c r="B114" s="25" t="str">
        <f>IFERROR(__xludf.DUMMYFUNCTION("""COMPUTED_VALUE"""),"Chemical")</f>
        <v>Chemical</v>
      </c>
      <c r="C114" s="25" t="str">
        <f>IFERROR(__xludf.DUMMYFUNCTION("""COMPUTED_VALUE"""),"CH-SOL-179")</f>
        <v>CH-SOL-179</v>
      </c>
      <c r="D114" s="38" t="str">
        <f>IF(COUNTIF('Form responses 4'!B:B,C114)&gt;0, "", "https://docs.google.com/forms/d/e/1FAIpQLSdhNamFeglgVtt555M7xM7e8ZAg9KCWMEcDlLzX1oeZsyGxrg/viewform?usp=pp_url&amp;entry.580385001="&amp;C114&amp;"&amp;entry.1376952895="&amp;A114)</f>
        <v/>
      </c>
      <c r="E114" s="25">
        <f>IFERROR(IF(C114&lt;&gt;"",VLOOKUP(C114,IMS!$A$2:$E1000,5,0),""),"")</f>
        <v>25</v>
      </c>
    </row>
    <row r="115">
      <c r="A115" s="25" t="str">
        <f>IFERROR(__xludf.DUMMYFUNCTION("""COMPUTED_VALUE"""),"UV Hybrid Gloss Duct")</f>
        <v>UV Hybrid Gloss Duct</v>
      </c>
      <c r="B115" s="25" t="str">
        <f>IFERROR(__xludf.DUMMYFUNCTION("""COMPUTED_VALUE"""),"Chemical")</f>
        <v>Chemical</v>
      </c>
      <c r="C115" s="25" t="str">
        <f>IFERROR(__xludf.DUMMYFUNCTION("""COMPUTED_VALUE"""),"CH-SOL-190")</f>
        <v>CH-SOL-190</v>
      </c>
      <c r="D115" s="38" t="str">
        <f>IF(COUNTIF('Form responses 4'!B:B,C115)&gt;0, "", "https://docs.google.com/forms/d/e/1FAIpQLSdhNamFeglgVtt555M7xM7e8ZAg9KCWMEcDlLzX1oeZsyGxrg/viewform?usp=pp_url&amp;entry.580385001="&amp;C115&amp;"&amp;entry.1376952895="&amp;A115)</f>
        <v>https://docs.google.com/forms/d/e/1FAIpQLSdhNamFeglgVtt555M7xM7e8ZAg9KCWMEcDlLzX1oeZsyGxrg/viewform?usp=pp_url&amp;entry.580385001=CH-SOL-190&amp;entry.1376952895=UV Hybrid Gloss Duct</v>
      </c>
      <c r="E115" s="25">
        <f>IFERROR(IF(C115&lt;&gt;"",VLOOKUP(C115,IMS!$A$2:$E1000,5,0),""),"")</f>
        <v>0</v>
      </c>
    </row>
    <row r="116">
      <c r="A116" s="25" t="str">
        <f>IFERROR(__xludf.DUMMYFUNCTION("""COMPUTED_VALUE"""),"Decoating Powder")</f>
        <v>Decoating Powder</v>
      </c>
      <c r="B116" s="25" t="str">
        <f>IFERROR(__xludf.DUMMYFUNCTION("""COMPUTED_VALUE"""),"Powder")</f>
        <v>Powder</v>
      </c>
      <c r="C116" s="25" t="str">
        <f>IFERROR(__xludf.DUMMYFUNCTION("""COMPUTED_VALUE"""),"POW-POW-193")</f>
        <v>POW-POW-193</v>
      </c>
      <c r="D116" s="38" t="str">
        <f>IF(COUNTIF('Form responses 4'!B:B,C116)&gt;0, "", "https://docs.google.com/forms/d/e/1FAIpQLSdhNamFeglgVtt555M7xM7e8ZAg9KCWMEcDlLzX1oeZsyGxrg/viewform?usp=pp_url&amp;entry.580385001="&amp;C116&amp;"&amp;entry.1376952895="&amp;A116)</f>
        <v/>
      </c>
      <c r="E116" s="25">
        <f>IFERROR(IF(C116&lt;&gt;"",VLOOKUP(C116,IMS!$A$2:$E1000,5,0),""),"")</f>
        <v>25</v>
      </c>
    </row>
    <row r="117">
      <c r="A117" s="25" t="str">
        <f>IFERROR(__xludf.DUMMYFUNCTION("""COMPUTED_VALUE"""),"A1 Emulsion Coating Green")</f>
        <v>A1 Emulsion Coating Green</v>
      </c>
      <c r="B117" s="25" t="str">
        <f>IFERROR(__xludf.DUMMYFUNCTION("""COMPUTED_VALUE"""),"Coating")</f>
        <v>Coating</v>
      </c>
      <c r="C117" s="25" t="str">
        <f>IFERROR(__xludf.DUMMYFUNCTION("""COMPUTED_VALUE"""),"C-COA-194")</f>
        <v>C-COA-194</v>
      </c>
      <c r="D117" s="38" t="str">
        <f>IF(COUNTIF('Form responses 4'!B:B,C117)&gt;0, "", "https://docs.google.com/forms/d/e/1FAIpQLSdhNamFeglgVtt555M7xM7e8ZAg9KCWMEcDlLzX1oeZsyGxrg/viewform?usp=pp_url&amp;entry.580385001="&amp;C117&amp;"&amp;entry.1376952895="&amp;A117)</f>
        <v/>
      </c>
      <c r="E117" s="25">
        <f>IFERROR(IF(C117&lt;&gt;"",VLOOKUP(C117,IMS!$A$2:$E1000,5,0),""),"")</f>
        <v>2</v>
      </c>
    </row>
    <row r="118">
      <c r="A118" s="25" t="str">
        <f>IFERROR(__xludf.DUMMYFUNCTION("""COMPUTED_VALUE"""),"At 1/65 Self Adhsevise Tape Transparet ")</f>
        <v>At 1/65 Self Adhsevise Tape Transparet </v>
      </c>
      <c r="B118" s="25" t="str">
        <f>IFERROR(__xludf.DUMMYFUNCTION("""COMPUTED_VALUE"""),"Adhesive")</f>
        <v>Adhesive</v>
      </c>
      <c r="C118" s="25" t="str">
        <f>IFERROR(__xludf.DUMMYFUNCTION("""COMPUTED_VALUE"""),"A-TAP-195")</f>
        <v>A-TAP-195</v>
      </c>
      <c r="D118" s="38" t="str">
        <f>IF(COUNTIF('Form responses 4'!B:B,C118)&gt;0, "", "https://docs.google.com/forms/d/e/1FAIpQLSdhNamFeglgVtt555M7xM7e8ZAg9KCWMEcDlLzX1oeZsyGxrg/viewform?usp=pp_url&amp;entry.580385001="&amp;C118&amp;"&amp;entry.1376952895="&amp;A118)</f>
        <v>https://docs.google.com/forms/d/e/1FAIpQLSdhNamFeglgVtt555M7xM7e8ZAg9KCWMEcDlLzX1oeZsyGxrg/viewform?usp=pp_url&amp;entry.580385001=A-TAP-195&amp;entry.1376952895=At 1/65 Self Adhsevise Tape Transparet </v>
      </c>
      <c r="E118" s="25">
        <f>IFERROR(IF(C118&lt;&gt;"",VLOOKUP(C118,IMS!$A$2:$E1000,5,0),""),"")</f>
        <v>6</v>
      </c>
    </row>
    <row r="119">
      <c r="A119" s="25" t="str">
        <f>IFERROR(__xludf.DUMMYFUNCTION("""COMPUTED_VALUE"""),"TT 50 Self Adhesive Tissue tape 6mm")</f>
        <v>TT 50 Self Adhesive Tissue tape 6mm</v>
      </c>
      <c r="B119" s="25" t="str">
        <f>IFERROR(__xludf.DUMMYFUNCTION("""COMPUTED_VALUE"""),"Adhesive")</f>
        <v>Adhesive</v>
      </c>
      <c r="C119" s="25" t="str">
        <f>IFERROR(__xludf.DUMMYFUNCTION("""COMPUTED_VALUE"""),"A-TAP-196")</f>
        <v>A-TAP-196</v>
      </c>
      <c r="D119" s="38" t="str">
        <f>IF(COUNTIF('Form responses 4'!B:B,C119)&gt;0, "", "https://docs.google.com/forms/d/e/1FAIpQLSdhNamFeglgVtt555M7xM7e8ZAg9KCWMEcDlLzX1oeZsyGxrg/viewform?usp=pp_url&amp;entry.580385001="&amp;C119&amp;"&amp;entry.1376952895="&amp;A119)</f>
        <v>https://docs.google.com/forms/d/e/1FAIpQLSdhNamFeglgVtt555M7xM7e8ZAg9KCWMEcDlLzX1oeZsyGxrg/viewform?usp=pp_url&amp;entry.580385001=A-TAP-196&amp;entry.1376952895=TT 50 Self Adhesive Tissue tape 6mm</v>
      </c>
      <c r="E119" s="25">
        <f>IFERROR(IF(C119&lt;&gt;"",VLOOKUP(C119,IMS!$A$2:$E1000,5,0),""),"")</f>
        <v>15</v>
      </c>
    </row>
    <row r="120">
      <c r="A120" s="25" t="str">
        <f>IFERROR(__xludf.DUMMYFUNCTION("""COMPUTED_VALUE"""),"Sutli")</f>
        <v>Sutli</v>
      </c>
      <c r="B120" s="25" t="str">
        <f>IFERROR(__xludf.DUMMYFUNCTION("""COMPUTED_VALUE"""),"Miscellaneous")</f>
        <v>Miscellaneous</v>
      </c>
      <c r="C120" s="25" t="str">
        <f>IFERROR(__xludf.DUMMYFUNCTION("""COMPUTED_VALUE"""),"M-MIS-197")</f>
        <v>M-MIS-197</v>
      </c>
      <c r="D120" s="105" t="str">
        <f>IF(COUNTIF('Form responses 4'!B:B,C120)&gt;0, "", "https://docs.google.com/forms/d/e/1FAIpQLSdhNamFeglgVtt555M7xM7e8ZAg9KCWMEcDlLzX1oeZsyGxrg/viewform?usp=pp_url&amp;entry.580385001="&amp;C120&amp;"&amp;entry.1376952895="&amp;A120)</f>
        <v>https://docs.google.com/forms/d/e/1FAIpQLSdhNamFeglgVtt555M7xM7e8ZAg9KCWMEcDlLzX1oeZsyGxrg/viewform?usp=pp_url&amp;entry.580385001=M-MIS-197&amp;entry.1376952895=Sutli</v>
      </c>
      <c r="E120" s="25">
        <f>IFERROR(IF(C120&lt;&gt;"",VLOOKUP(C120,IMS!$A$2:$E1000,5,0),""),"")</f>
        <v>8</v>
      </c>
    </row>
    <row r="121">
      <c r="A121" s="25" t="str">
        <f>IFERROR(__xludf.DUMMYFUNCTION("""COMPUTED_VALUE"""),"Tape Dispenser")</f>
        <v>Tape Dispenser</v>
      </c>
      <c r="B121" s="25" t="str">
        <f>IFERROR(__xludf.DUMMYFUNCTION("""COMPUTED_VALUE"""),"Miscellaneous")</f>
        <v>Miscellaneous</v>
      </c>
      <c r="C121" s="25" t="str">
        <f>IFERROR(__xludf.DUMMYFUNCTION("""COMPUTED_VALUE"""),"M-MIS-198")</f>
        <v>M-MIS-198</v>
      </c>
      <c r="D121" s="38" t="str">
        <f>IF(COUNTIF('Form responses 4'!B:B,C121)&gt;0, "", "https://docs.google.com/forms/d/e/1FAIpQLSdhNamFeglgVtt555M7xM7e8ZAg9KCWMEcDlLzX1oeZsyGxrg/viewform?usp=pp_url&amp;entry.580385001="&amp;C121&amp;"&amp;entry.1376952895="&amp;A121)</f>
        <v>https://docs.google.com/forms/d/e/1FAIpQLSdhNamFeglgVtt555M7xM7e8ZAg9KCWMEcDlLzX1oeZsyGxrg/viewform?usp=pp_url&amp;entry.580385001=M-MIS-198&amp;entry.1376952895=Tape Dispenser</v>
      </c>
      <c r="E121" s="25">
        <f>IFERROR(IF(C121&lt;&gt;"",VLOOKUP(C121,IMS!$A$2:$E1000,5,0),""),"")</f>
        <v>2</v>
      </c>
    </row>
    <row r="122">
      <c r="A122" s="25" t="str">
        <f>IFERROR(__xludf.DUMMYFUNCTION("""COMPUTED_VALUE"""),"TK 3400 Wb Board Primer")</f>
        <v>TK 3400 Wb Board Primer</v>
      </c>
      <c r="B122" s="25" t="str">
        <f>IFERROR(__xludf.DUMMYFUNCTION("""COMPUTED_VALUE"""),"Chemical")</f>
        <v>Chemical</v>
      </c>
      <c r="C122" s="25" t="str">
        <f>IFERROR(__xludf.DUMMYFUNCTION("""COMPUTED_VALUE"""),"CH-SOL-199")</f>
        <v>CH-SOL-199</v>
      </c>
      <c r="D122" s="38" t="str">
        <f>IF(COUNTIF('Form responses 4'!B:B,C122)&gt;0, "", "https://docs.google.com/forms/d/e/1FAIpQLSdhNamFeglgVtt555M7xM7e8ZAg9KCWMEcDlLzX1oeZsyGxrg/viewform?usp=pp_url&amp;entry.580385001="&amp;C122&amp;"&amp;entry.1376952895="&amp;A122)</f>
        <v>https://docs.google.com/forms/d/e/1FAIpQLSdhNamFeglgVtt555M7xM7e8ZAg9KCWMEcDlLzX1oeZsyGxrg/viewform?usp=pp_url&amp;entry.580385001=CH-SOL-199&amp;entry.1376952895=TK 3400 Wb Board Primer</v>
      </c>
      <c r="E122" s="25">
        <f>IFERROR(IF(C122&lt;&gt;"",VLOOKUP(C122,IMS!$A$2:$E1000,5,0),""),"")</f>
        <v>25</v>
      </c>
    </row>
    <row r="123">
      <c r="A123" s="25" t="str">
        <f>IFERROR(__xludf.DUMMYFUNCTION("""COMPUTED_VALUE"""),"Gold Foil ")</f>
        <v>Gold Foil </v>
      </c>
      <c r="B123" s="25" t="str">
        <f>IFERROR(__xludf.DUMMYFUNCTION("""COMPUTED_VALUE"""),"Coating")</f>
        <v>Coating</v>
      </c>
      <c r="C123" s="25" t="str">
        <f>IFERROR(__xludf.DUMMYFUNCTION("""COMPUTED_VALUE"""),"C-FOI-200")</f>
        <v>C-FOI-200</v>
      </c>
      <c r="D123" s="38" t="str">
        <f>IF(COUNTIF('Form responses 4'!B:B,C123)&gt;0, "", "https://docs.google.com/forms/d/e/1FAIpQLSdhNamFeglgVtt555M7xM7e8ZAg9KCWMEcDlLzX1oeZsyGxrg/viewform?usp=pp_url&amp;entry.580385001="&amp;C123&amp;"&amp;entry.1376952895="&amp;A123)</f>
        <v>https://docs.google.com/forms/d/e/1FAIpQLSdhNamFeglgVtt555M7xM7e8ZAg9KCWMEcDlLzX1oeZsyGxrg/viewform?usp=pp_url&amp;entry.580385001=C-FOI-200&amp;entry.1376952895=Gold Foil </v>
      </c>
      <c r="E123" s="25">
        <f>IFERROR(IF(C123&lt;&gt;"",VLOOKUP(C123,IMS!$A$2:$E1000,5,0),""),"")</f>
        <v>9</v>
      </c>
    </row>
    <row r="124">
      <c r="A124" s="25" t="str">
        <f>IFERROR(__xludf.DUMMYFUNCTION("""COMPUTED_VALUE"""),"Bopp 10 Micron Film Gloss 20Inch")</f>
        <v>Bopp 10 Micron Film Gloss 20Inch</v>
      </c>
      <c r="B124" s="25" t="str">
        <f>IFERROR(__xludf.DUMMYFUNCTION("""COMPUTED_VALUE"""),"Lamination")</f>
        <v>Lamination</v>
      </c>
      <c r="C124" s="25" t="str">
        <f>IFERROR(__xludf.DUMMYFUNCTION("""COMPUTED_VALUE"""),"L-BOP-202")</f>
        <v>L-BOP-202</v>
      </c>
      <c r="D124" s="38" t="str">
        <f>IF(COUNTIF('Form responses 4'!B:B,C124)&gt;0, "", "https://docs.google.com/forms/d/e/1FAIpQLSdhNamFeglgVtt555M7xM7e8ZAg9KCWMEcDlLzX1oeZsyGxrg/viewform?usp=pp_url&amp;entry.580385001="&amp;C124&amp;"&amp;entry.1376952895="&amp;A124)</f>
        <v>https://docs.google.com/forms/d/e/1FAIpQLSdhNamFeglgVtt555M7xM7e8ZAg9KCWMEcDlLzX1oeZsyGxrg/viewform?usp=pp_url&amp;entry.580385001=L-BOP-202&amp;entry.1376952895=Bopp 10 Micron Film Gloss 20Inch</v>
      </c>
      <c r="E124" s="25">
        <f>IFERROR(IF(C124&lt;&gt;"",VLOOKUP(C124,IMS!$A$2:$E1000,5,0),""),"")</f>
        <v>0</v>
      </c>
    </row>
    <row r="125">
      <c r="A125" s="25" t="str">
        <f>IFERROR(__xludf.DUMMYFUNCTION("""COMPUTED_VALUE"""),"Bopp 12 Micron Film Matt 18.5 Inch")</f>
        <v>Bopp 12 Micron Film Matt 18.5 Inch</v>
      </c>
      <c r="B125" s="25" t="str">
        <f>IFERROR(__xludf.DUMMYFUNCTION("""COMPUTED_VALUE"""),"Lamination")</f>
        <v>Lamination</v>
      </c>
      <c r="C125" s="25" t="str">
        <f>IFERROR(__xludf.DUMMYFUNCTION("""COMPUTED_VALUE"""),"L-BOP-203")</f>
        <v>L-BOP-203</v>
      </c>
      <c r="D125" s="38" t="str">
        <f>IF(COUNTIF('Form responses 4'!B:B,C125)&gt;0, "", "https://docs.google.com/forms/d/e/1FAIpQLSdhNamFeglgVtt555M7xM7e8ZAg9KCWMEcDlLzX1oeZsyGxrg/viewform?usp=pp_url&amp;entry.580385001="&amp;C125&amp;"&amp;entry.1376952895="&amp;A125)</f>
        <v>https://docs.google.com/forms/d/e/1FAIpQLSdhNamFeglgVtt555M7xM7e8ZAg9KCWMEcDlLzX1oeZsyGxrg/viewform?usp=pp_url&amp;entry.580385001=L-BOP-203&amp;entry.1376952895=Bopp 12 Micron Film Matt 18.5 Inch</v>
      </c>
      <c r="E125" s="25">
        <f>IFERROR(IF(C125&lt;&gt;"",VLOOKUP(C125,IMS!$A$2:$E1000,5,0),""),"")</f>
        <v>1</v>
      </c>
    </row>
    <row r="126">
      <c r="A126" s="25" t="str">
        <f>IFERROR(__xludf.DUMMYFUNCTION("""COMPUTED_VALUE"""),"DS/9357 GLORIA RED")</f>
        <v>DS/9357 GLORIA RED</v>
      </c>
      <c r="B126" s="25" t="str">
        <f>IFERROR(__xludf.DUMMYFUNCTION("""COMPUTED_VALUE"""),"Ink")</f>
        <v>Ink</v>
      </c>
      <c r="C126" s="25" t="str">
        <f>IFERROR(__xludf.DUMMYFUNCTION("""COMPUTED_VALUE"""),"I-PAN-204")</f>
        <v>I-PAN-204</v>
      </c>
      <c r="D126" s="38" t="str">
        <f>IF(COUNTIF('Form responses 4'!B:B,C126)&gt;0, "", "https://docs.google.com/forms/d/e/1FAIpQLSdhNamFeglgVtt555M7xM7e8ZAg9KCWMEcDlLzX1oeZsyGxrg/viewform?usp=pp_url&amp;entry.580385001="&amp;C126&amp;"&amp;entry.1376952895="&amp;A126)</f>
        <v>https://docs.google.com/forms/d/e/1FAIpQLSdhNamFeglgVtt555M7xM7e8ZAg9KCWMEcDlLzX1oeZsyGxrg/viewform?usp=pp_url&amp;entry.580385001=I-PAN-204&amp;entry.1376952895=DS/9357 GLORIA RED</v>
      </c>
      <c r="E126" s="25">
        <f>IFERROR(IF(C126&lt;&gt;"",VLOOKUP(C126,IMS!$A$2:$E1000,5,0),""),"")</f>
        <v>1</v>
      </c>
    </row>
    <row r="127">
      <c r="A127" s="25" t="str">
        <f>IFERROR(__xludf.DUMMYFUNCTION("""COMPUTED_VALUE"""),"PVC BASE MATRIX (0.5X1.5X11mm)")</f>
        <v>PVC BASE MATRIX (0.5X1.5X11mm)</v>
      </c>
      <c r="B127" s="25" t="str">
        <f>IFERROR(__xludf.DUMMYFUNCTION("""COMPUTED_VALUE"""),"Lamination")</f>
        <v>Lamination</v>
      </c>
      <c r="C127" s="25" t="str">
        <f>IFERROR(__xludf.DUMMYFUNCTION("""COMPUTED_VALUE"""),"L-POL-206")</f>
        <v>L-POL-206</v>
      </c>
      <c r="D127" s="38" t="str">
        <f>IF(COUNTIF('Form responses 4'!B:B,C127)&gt;0, "", "https://docs.google.com/forms/d/e/1FAIpQLSdhNamFeglgVtt555M7xM7e8ZAg9KCWMEcDlLzX1oeZsyGxrg/viewform?usp=pp_url&amp;entry.580385001="&amp;C127&amp;"&amp;entry.1376952895="&amp;A127)</f>
        <v>https://docs.google.com/forms/d/e/1FAIpQLSdhNamFeglgVtt555M7xM7e8ZAg9KCWMEcDlLzX1oeZsyGxrg/viewform?usp=pp_url&amp;entry.580385001=L-POL-206&amp;entry.1376952895=PVC BASE MATRIX (0.5X1.5X11mm)</v>
      </c>
      <c r="E127" s="25">
        <f>IFERROR(IF(C127&lt;&gt;"",VLOOKUP(C127,IMS!$A$2:$E1000,5,0),""),"")</f>
        <v>5</v>
      </c>
    </row>
    <row r="128">
      <c r="A128" s="25" t="str">
        <f>IFERROR(__xludf.DUMMYFUNCTION("""COMPUTED_VALUE"""),"New V Screen Trans ink")</f>
        <v>New V Screen Trans ink</v>
      </c>
      <c r="B128" s="25" t="str">
        <f>IFERROR(__xludf.DUMMYFUNCTION("""COMPUTED_VALUE"""),"Chemical")</f>
        <v>Chemical</v>
      </c>
      <c r="C128" s="25" t="str">
        <f>IFERROR(__xludf.DUMMYFUNCTION("""COMPUTED_VALUE"""),"CH-SOL-212")</f>
        <v>CH-SOL-212</v>
      </c>
      <c r="D128" s="38" t="str">
        <f>IF(COUNTIF('Form responses 4'!B:B,C128)&gt;0, "", "https://docs.google.com/forms/d/e/1FAIpQLSdhNamFeglgVtt555M7xM7e8ZAg9KCWMEcDlLzX1oeZsyGxrg/viewform?usp=pp_url&amp;entry.580385001="&amp;C128&amp;"&amp;entry.1376952895="&amp;A128)</f>
        <v/>
      </c>
      <c r="E128" s="25">
        <f>IFERROR(IF(C128&lt;&gt;"",VLOOKUP(C128,IMS!$A$2:$E1000,5,0),""),"")</f>
        <v>5</v>
      </c>
    </row>
    <row r="129">
      <c r="A129" s="25" t="str">
        <f>IFERROR(__xludf.DUMMYFUNCTION("""COMPUTED_VALUE"""),"Paper cutter Machine plate")</f>
        <v>Paper cutter Machine plate</v>
      </c>
      <c r="B129" s="25" t="str">
        <f>IFERROR(__xludf.DUMMYFUNCTION("""COMPUTED_VALUE"""),"Miscellaneous")</f>
        <v>Miscellaneous</v>
      </c>
      <c r="C129" s="25" t="str">
        <f>IFERROR(__xludf.DUMMYFUNCTION("""COMPUTED_VALUE"""),"M-MIS-213")</f>
        <v>M-MIS-213</v>
      </c>
      <c r="D129" s="38" t="str">
        <f>IF(COUNTIF('Form responses 4'!B:B,C129)&gt;0, "", "https://docs.google.com/forms/d/e/1FAIpQLSdhNamFeglgVtt555M7xM7e8ZAg9KCWMEcDlLzX1oeZsyGxrg/viewform?usp=pp_url&amp;entry.580385001="&amp;C129&amp;"&amp;entry.1376952895="&amp;A129)</f>
        <v>https://docs.google.com/forms/d/e/1FAIpQLSdhNamFeglgVtt555M7xM7e8ZAg9KCWMEcDlLzX1oeZsyGxrg/viewform?usp=pp_url&amp;entry.580385001=M-MIS-213&amp;entry.1376952895=Paper cutter Machine plate</v>
      </c>
      <c r="E129" s="25">
        <f>IFERROR(IF(C129&lt;&gt;"",VLOOKUP(C129,IMS!$A$2:$E1000,5,0),""),"")</f>
        <v>6</v>
      </c>
    </row>
    <row r="130">
      <c r="A130" s="25" t="str">
        <f>IFERROR(__xludf.DUMMYFUNCTION("""COMPUTED_VALUE"""),"Silver Foil")</f>
        <v>Silver Foil</v>
      </c>
      <c r="B130" s="25" t="str">
        <f>IFERROR(__xludf.DUMMYFUNCTION("""COMPUTED_VALUE"""),"Coating")</f>
        <v>Coating</v>
      </c>
      <c r="C130" s="25" t="str">
        <f>IFERROR(__xludf.DUMMYFUNCTION("""COMPUTED_VALUE"""),"C-FOI-215")</f>
        <v>C-FOI-215</v>
      </c>
      <c r="D130" s="38" t="str">
        <f>IF(COUNTIF('Form responses 4'!B:B,C130)&gt;0, "", "https://docs.google.com/forms/d/e/1FAIpQLSdhNamFeglgVtt555M7xM7e8ZAg9KCWMEcDlLzX1oeZsyGxrg/viewform?usp=pp_url&amp;entry.580385001="&amp;C130&amp;"&amp;entry.1376952895="&amp;A130)</f>
        <v>https://docs.google.com/forms/d/e/1FAIpQLSdhNamFeglgVtt555M7xM7e8ZAg9KCWMEcDlLzX1oeZsyGxrg/viewform?usp=pp_url&amp;entry.580385001=C-FOI-215&amp;entry.1376952895=Silver Foil</v>
      </c>
      <c r="E130" s="25">
        <f>IFERROR(IF(C130&lt;&gt;"",VLOOKUP(C130,IMS!$A$2:$E1000,5,0),""),"")</f>
        <v>9</v>
      </c>
    </row>
    <row r="131">
      <c r="A131" s="25" t="str">
        <f>IFERROR(__xludf.DUMMYFUNCTION("""COMPUTED_VALUE"""),"Standard Screen Cleaner ")</f>
        <v>Standard Screen Cleaner </v>
      </c>
      <c r="B131" s="25" t="str">
        <f>IFERROR(__xludf.DUMMYFUNCTION("""COMPUTED_VALUE"""),"Chemical")</f>
        <v>Chemical</v>
      </c>
      <c r="C131" s="25" t="str">
        <f>IFERROR(__xludf.DUMMYFUNCTION("""COMPUTED_VALUE"""),"CH-SOL-221")</f>
        <v>CH-SOL-221</v>
      </c>
      <c r="D131" s="38" t="str">
        <f>IF(COUNTIF('Form responses 4'!B:B,C131)&gt;0, "", "https://docs.google.com/forms/d/e/1FAIpQLSdhNamFeglgVtt555M7xM7e8ZAg9KCWMEcDlLzX1oeZsyGxrg/viewform?usp=pp_url&amp;entry.580385001="&amp;C131&amp;"&amp;entry.1376952895="&amp;A131)</f>
        <v>https://docs.google.com/forms/d/e/1FAIpQLSdhNamFeglgVtt555M7xM7e8ZAg9KCWMEcDlLzX1oeZsyGxrg/viewform?usp=pp_url&amp;entry.580385001=CH-SOL-221&amp;entry.1376952895=Standard Screen Cleaner </v>
      </c>
      <c r="E131" s="25">
        <f>IFERROR(IF(C131&lt;&gt;"",VLOOKUP(C131,IMS!$A$2:$E1000,5,0),""),"")</f>
        <v>0</v>
      </c>
    </row>
    <row r="132">
      <c r="A132" s="25" t="str">
        <f>IFERROR(__xludf.DUMMYFUNCTION("""COMPUTED_VALUE"""),"Castrol Alpha SP 150")</f>
        <v>Castrol Alpha SP 150</v>
      </c>
      <c r="B132" s="25" t="str">
        <f>IFERROR(__xludf.DUMMYFUNCTION("""COMPUTED_VALUE"""),"Chemical")</f>
        <v>Chemical</v>
      </c>
      <c r="C132" s="25" t="str">
        <f>IFERROR(__xludf.DUMMYFUNCTION("""COMPUTED_VALUE"""),"CH-SOL-223")</f>
        <v>CH-SOL-223</v>
      </c>
      <c r="D132" s="38" t="str">
        <f>IF(COUNTIF('Form responses 4'!B:B,C132)&gt;0, "", "https://docs.google.com/forms/d/e/1FAIpQLSdhNamFeglgVtt555M7xM7e8ZAg9KCWMEcDlLzX1oeZsyGxrg/viewform?usp=pp_url&amp;entry.580385001="&amp;C132&amp;"&amp;entry.1376952895="&amp;A132)</f>
        <v>https://docs.google.com/forms/d/e/1FAIpQLSdhNamFeglgVtt555M7xM7e8ZAg9KCWMEcDlLzX1oeZsyGxrg/viewform?usp=pp_url&amp;entry.580385001=CH-SOL-223&amp;entry.1376952895=Castrol Alpha SP 150</v>
      </c>
      <c r="E132" s="25">
        <f>IFERROR(IF(C132&lt;&gt;"",VLOOKUP(C132,IMS!$A$2:$E1000,5,0),""),"")</f>
        <v>0</v>
      </c>
    </row>
    <row r="133">
      <c r="A133" s="25" t="str">
        <f>IFERROR(__xludf.DUMMYFUNCTION("""COMPUTED_VALUE"""),"Radicure Led 100000 PRO YELLOW")</f>
        <v>Radicure Led 100000 PRO YELLOW</v>
      </c>
      <c r="B133" s="25" t="str">
        <f>IFERROR(__xludf.DUMMYFUNCTION("""COMPUTED_VALUE"""),"Ink")</f>
        <v>Ink</v>
      </c>
      <c r="C133" s="25" t="str">
        <f>IFERROR(__xludf.DUMMYFUNCTION("""COMPUTED_VALUE"""),"I-CMY-225")</f>
        <v>I-CMY-225</v>
      </c>
      <c r="D133" s="38" t="str">
        <f>IF(COUNTIF('Form responses 4'!B:B,C133)&gt;0, "", "https://docs.google.com/forms/d/e/1FAIpQLSdhNamFeglgVtt555M7xM7e8ZAg9KCWMEcDlLzX1oeZsyGxrg/viewform?usp=pp_url&amp;entry.580385001="&amp;C133&amp;"&amp;entry.1376952895="&amp;A133)</f>
        <v/>
      </c>
      <c r="E133" s="25">
        <f>IFERROR(IF(C133&lt;&gt;"",VLOOKUP(C133,IMS!$A$2:$E1000,5,0),""),"")</f>
        <v>6</v>
      </c>
    </row>
    <row r="134">
      <c r="A134" s="25" t="str">
        <f>IFERROR(__xludf.DUMMYFUNCTION("""COMPUTED_VALUE"""),"Radicure Led 100000 PRO WHITE")</f>
        <v>Radicure Led 100000 PRO WHITE</v>
      </c>
      <c r="B134" s="25" t="str">
        <f>IFERROR(__xludf.DUMMYFUNCTION("""COMPUTED_VALUE"""),"Ink")</f>
        <v>Ink</v>
      </c>
      <c r="C134" s="25" t="str">
        <f>IFERROR(__xludf.DUMMYFUNCTION("""COMPUTED_VALUE"""),"I-CMY-226")</f>
        <v>I-CMY-226</v>
      </c>
      <c r="D134" s="38" t="str">
        <f>IF(COUNTIF('Form responses 4'!B:B,C134)&gt;0, "", "https://docs.google.com/forms/d/e/1FAIpQLSdhNamFeglgVtt555M7xM7e8ZAg9KCWMEcDlLzX1oeZsyGxrg/viewform?usp=pp_url&amp;entry.580385001="&amp;C134&amp;"&amp;entry.1376952895="&amp;A134)</f>
        <v/>
      </c>
      <c r="E134" s="25">
        <f>IFERROR(IF(C134&lt;&gt;"",VLOOKUP(C134,IMS!$A$2:$E1000,5,0),""),"")</f>
        <v>2</v>
      </c>
    </row>
    <row r="135">
      <c r="A135" s="25" t="str">
        <f>IFERROR(__xludf.DUMMYFUNCTION("""COMPUTED_VALUE"""),"Radicure Led 100000 PRO MAGENTA")</f>
        <v>Radicure Led 100000 PRO MAGENTA</v>
      </c>
      <c r="B135" s="25" t="str">
        <f>IFERROR(__xludf.DUMMYFUNCTION("""COMPUTED_VALUE"""),"Ink")</f>
        <v>Ink</v>
      </c>
      <c r="C135" s="25" t="str">
        <f>IFERROR(__xludf.DUMMYFUNCTION("""COMPUTED_VALUE"""),"I-CMY-227")</f>
        <v>I-CMY-227</v>
      </c>
      <c r="D135" s="38" t="str">
        <f>IF(COUNTIF('Form responses 4'!B:B,C135)&gt;0, "", "https://docs.google.com/forms/d/e/1FAIpQLSdhNamFeglgVtt555M7xM7e8ZAg9KCWMEcDlLzX1oeZsyGxrg/viewform?usp=pp_url&amp;entry.580385001="&amp;C135&amp;"&amp;entry.1376952895="&amp;A135)</f>
        <v/>
      </c>
      <c r="E135" s="25">
        <f>IFERROR(IF(C135&lt;&gt;"",VLOOKUP(C135,IMS!$A$2:$E1000,5,0),""),"")</f>
        <v>5</v>
      </c>
    </row>
    <row r="136">
      <c r="A136" s="25" t="str">
        <f>IFERROR(__xludf.DUMMYFUNCTION("""COMPUTED_VALUE"""),"Radicure Led 100000 PRO CYAN")</f>
        <v>Radicure Led 100000 PRO CYAN</v>
      </c>
      <c r="B136" s="25" t="str">
        <f>IFERROR(__xludf.DUMMYFUNCTION("""COMPUTED_VALUE"""),"Ink")</f>
        <v>Ink</v>
      </c>
      <c r="C136" s="25" t="str">
        <f>IFERROR(__xludf.DUMMYFUNCTION("""COMPUTED_VALUE"""),"I-CMY-228")</f>
        <v>I-CMY-228</v>
      </c>
      <c r="D136" s="38" t="str">
        <f>IF(COUNTIF('Form responses 4'!B:B,C136)&gt;0, "", "https://docs.google.com/forms/d/e/1FAIpQLSdhNamFeglgVtt555M7xM7e8ZAg9KCWMEcDlLzX1oeZsyGxrg/viewform?usp=pp_url&amp;entry.580385001="&amp;C136&amp;"&amp;entry.1376952895="&amp;A136)</f>
        <v/>
      </c>
      <c r="E136" s="25">
        <f>IFERROR(IF(C136&lt;&gt;"",VLOOKUP(C136,IMS!$A$2:$E1000,5,0),""),"")</f>
        <v>4</v>
      </c>
    </row>
    <row r="137">
      <c r="A137" s="25" t="str">
        <f>IFERROR(__xludf.DUMMYFUNCTION("""COMPUTED_VALUE"""),"Radicure Led 100000 PRO BLACK")</f>
        <v>Radicure Led 100000 PRO BLACK</v>
      </c>
      <c r="B137" s="25" t="str">
        <f>IFERROR(__xludf.DUMMYFUNCTION("""COMPUTED_VALUE"""),"Ink")</f>
        <v>Ink</v>
      </c>
      <c r="C137" s="25" t="str">
        <f>IFERROR(__xludf.DUMMYFUNCTION("""COMPUTED_VALUE"""),"I-CMY-229")</f>
        <v>I-CMY-229</v>
      </c>
      <c r="D137" s="38" t="str">
        <f>IF(COUNTIF('Form responses 4'!B:B,C137)&gt;0, "", "https://docs.google.com/forms/d/e/1FAIpQLSdhNamFeglgVtt555M7xM7e8ZAg9KCWMEcDlLzX1oeZsyGxrg/viewform?usp=pp_url&amp;entry.580385001="&amp;C137&amp;"&amp;entry.1376952895="&amp;A137)</f>
        <v/>
      </c>
      <c r="E137" s="25">
        <f>IFERROR(IF(C137&lt;&gt;"",VLOOKUP(C137,IMS!$A$2:$E1000,5,0),""),"")</f>
        <v>5</v>
      </c>
    </row>
    <row r="138">
      <c r="A138" s="25" t="str">
        <f>IFERROR(__xludf.DUMMYFUNCTION("""COMPUTED_VALUE"""),"555 Powder")</f>
        <v>555 Powder</v>
      </c>
      <c r="B138" s="25" t="str">
        <f>IFERROR(__xludf.DUMMYFUNCTION("""COMPUTED_VALUE"""),"Miscellaneous")</f>
        <v>Miscellaneous</v>
      </c>
      <c r="C138" s="25" t="str">
        <f>IFERROR(__xludf.DUMMYFUNCTION("""COMPUTED_VALUE"""),"M-POW-231")</f>
        <v>M-POW-231</v>
      </c>
      <c r="D138" s="38" t="str">
        <f>IF(COUNTIF('Form responses 4'!B:B,C138)&gt;0, "", "https://docs.google.com/forms/d/e/1FAIpQLSdhNamFeglgVtt555M7xM7e8ZAg9KCWMEcDlLzX1oeZsyGxrg/viewform?usp=pp_url&amp;entry.580385001="&amp;C138&amp;"&amp;entry.1376952895="&amp;A138)</f>
        <v>https://docs.google.com/forms/d/e/1FAIpQLSdhNamFeglgVtt555M7xM7e8ZAg9KCWMEcDlLzX1oeZsyGxrg/viewform?usp=pp_url&amp;entry.580385001=M-POW-231&amp;entry.1376952895=555 Powder</v>
      </c>
      <c r="E138" s="25">
        <f>IFERROR(IF(C138&lt;&gt;"",VLOOKUP(C138,IMS!$A$2:$E1000,5,0),""),"")</f>
        <v>6</v>
      </c>
    </row>
    <row r="139">
      <c r="A139" s="25" t="str">
        <f>IFERROR(__xludf.DUMMYFUNCTION("""COMPUTED_VALUE"""),"New V LAC Gloss Blockable-40UC 74007/20P20")</f>
        <v>New V LAC Gloss Blockable-40UC 74007/20P20</v>
      </c>
      <c r="B139" s="25" t="str">
        <f>IFERROR(__xludf.DUMMYFUNCTION("""COMPUTED_VALUE"""),"Coating")</f>
        <v>Coating</v>
      </c>
      <c r="C139" s="25" t="str">
        <f>IFERROR(__xludf.DUMMYFUNCTION("""COMPUTED_VALUE"""),"C-COA-233")</f>
        <v>C-COA-233</v>
      </c>
      <c r="D139" s="38" t="str">
        <f>IF(COUNTIF('Form responses 4'!B:B,C139)&gt;0, "", "https://docs.google.com/forms/d/e/1FAIpQLSdhNamFeglgVtt555M7xM7e8ZAg9KCWMEcDlLzX1oeZsyGxrg/viewform?usp=pp_url&amp;entry.580385001="&amp;C139&amp;"&amp;entry.1376952895="&amp;A139)</f>
        <v/>
      </c>
      <c r="E139" s="25">
        <f>IFERROR(IF(C139&lt;&gt;"",VLOOKUP(C139,IMS!$A$2:$E1000,5,0),""),"")</f>
        <v>20</v>
      </c>
    </row>
    <row r="140">
      <c r="A140" s="25" t="str">
        <f>IFERROR(__xludf.DUMMYFUNCTION("""COMPUTED_VALUE"""),"NOVA Fount Nectar")</f>
        <v>NOVA Fount Nectar</v>
      </c>
      <c r="B140" s="25" t="str">
        <f>IFERROR(__xludf.DUMMYFUNCTION("""COMPUTED_VALUE"""),"Chemical")</f>
        <v>Chemical</v>
      </c>
      <c r="C140" s="25" t="str">
        <f>IFERROR(__xludf.DUMMYFUNCTION("""COMPUTED_VALUE"""),"CH-SOL-240")</f>
        <v>CH-SOL-240</v>
      </c>
      <c r="D140" s="38" t="str">
        <f>IF(COUNTIF('Form responses 4'!B:B,C140)&gt;0, "", "https://docs.google.com/forms/d/e/1FAIpQLSdhNamFeglgVtt555M7xM7e8ZAg9KCWMEcDlLzX1oeZsyGxrg/viewform?usp=pp_url&amp;entry.580385001="&amp;C140&amp;"&amp;entry.1376952895="&amp;A140)</f>
        <v/>
      </c>
      <c r="E140" s="25">
        <f>IFERROR(IF(C140&lt;&gt;"",VLOOKUP(C140,IMS!$A$2:$E1000,5,0),""),"")</f>
        <v>40</v>
      </c>
    </row>
    <row r="141">
      <c r="A141" s="25" t="str">
        <f>IFERROR(__xludf.DUMMYFUNCTION("""COMPUTED_VALUE"""),"Acrylic Polymers EL-4030")</f>
        <v>Acrylic Polymers EL-4030</v>
      </c>
      <c r="B141" s="25" t="str">
        <f>IFERROR(__xludf.DUMMYFUNCTION("""COMPUTED_VALUE"""),"Adhesive")</f>
        <v>Adhesive</v>
      </c>
      <c r="C141" s="25" t="str">
        <f>IFERROR(__xludf.DUMMYFUNCTION("""COMPUTED_VALUE"""),"A-ADH-242")</f>
        <v>A-ADH-242</v>
      </c>
      <c r="D141" s="38" t="str">
        <f>IF(COUNTIF('Form responses 4'!B:B,C141)&gt;0, "", "https://docs.google.com/forms/d/e/1FAIpQLSdhNamFeglgVtt555M7xM7e8ZAg9KCWMEcDlLzX1oeZsyGxrg/viewform?usp=pp_url&amp;entry.580385001="&amp;C141&amp;"&amp;entry.1376952895="&amp;A141)</f>
        <v>https://docs.google.com/forms/d/e/1FAIpQLSdhNamFeglgVtt555M7xM7e8ZAg9KCWMEcDlLzX1oeZsyGxrg/viewform?usp=pp_url&amp;entry.580385001=A-ADH-242&amp;entry.1376952895=Acrylic Polymers EL-4030</v>
      </c>
      <c r="E141" s="25">
        <f>IFERROR(IF(C141&lt;&gt;"",VLOOKUP(C141,IMS!$A$2:$E1000,5,0),""),"")</f>
        <v>275</v>
      </c>
    </row>
    <row r="142">
      <c r="A142" s="25" t="str">
        <f>IFERROR(__xludf.DUMMYFUNCTION("""COMPUTED_VALUE"""),"Polyster Film")</f>
        <v>Polyster Film</v>
      </c>
      <c r="B142" s="25" t="str">
        <f>IFERROR(__xludf.DUMMYFUNCTION("""COMPUTED_VALUE"""),"Miscellaneous")</f>
        <v>Miscellaneous</v>
      </c>
      <c r="C142" s="25" t="str">
        <f>IFERROR(__xludf.DUMMYFUNCTION("""COMPUTED_VALUE"""),"M-OTH-245")</f>
        <v>M-OTH-245</v>
      </c>
      <c r="D142" s="38" t="str">
        <f>IF(COUNTIF('Form responses 4'!B:B,C142)&gt;0, "", "https://docs.google.com/forms/d/e/1FAIpQLSdhNamFeglgVtt555M7xM7e8ZAg9KCWMEcDlLzX1oeZsyGxrg/viewform?usp=pp_url&amp;entry.580385001="&amp;C142&amp;"&amp;entry.1376952895="&amp;A142)</f>
        <v>https://docs.google.com/forms/d/e/1FAIpQLSdhNamFeglgVtt555M7xM7e8ZAg9KCWMEcDlLzX1oeZsyGxrg/viewform?usp=pp_url&amp;entry.580385001=M-OTH-245&amp;entry.1376952895=Polyster Film</v>
      </c>
      <c r="E142" s="25">
        <f>IFERROR(IF(C142&lt;&gt;"",VLOOKUP(C142,IMS!$A$2:$E1000,5,0),""),"")</f>
        <v>17</v>
      </c>
    </row>
    <row r="143">
      <c r="A143" s="25" t="str">
        <f>IFERROR(__xludf.DUMMYFUNCTION("""COMPUTED_VALUE"""),"Pantone 2736 C Violet")</f>
        <v>Pantone 2736 C Violet</v>
      </c>
      <c r="B143" s="25" t="str">
        <f>IFERROR(__xludf.DUMMYFUNCTION("""COMPUTED_VALUE"""),"Ink")</f>
        <v>Ink</v>
      </c>
      <c r="C143" s="25" t="str">
        <f>IFERROR(__xludf.DUMMYFUNCTION("""COMPUTED_VALUE"""),"I-PAN-246")</f>
        <v>I-PAN-246</v>
      </c>
      <c r="D143" s="38" t="str">
        <f>IF(COUNTIF('Form responses 4'!B:B,C143)&gt;0, "", "https://docs.google.com/forms/d/e/1FAIpQLSdhNamFeglgVtt555M7xM7e8ZAg9KCWMEcDlLzX1oeZsyGxrg/viewform?usp=pp_url&amp;entry.580385001="&amp;C143&amp;"&amp;entry.1376952895="&amp;A143)</f>
        <v>https://docs.google.com/forms/d/e/1FAIpQLSdhNamFeglgVtt555M7xM7e8ZAg9KCWMEcDlLzX1oeZsyGxrg/viewform?usp=pp_url&amp;entry.580385001=I-PAN-246&amp;entry.1376952895=Pantone 2736 C Violet</v>
      </c>
      <c r="E143" s="25">
        <f>IFERROR(IF(C143&lt;&gt;"",VLOOKUP(C143,IMS!$A$2:$E1000,5,0),""),"")</f>
        <v>0</v>
      </c>
    </row>
    <row r="144">
      <c r="A144" s="25" t="str">
        <f>IFERROR(__xludf.DUMMYFUNCTION("""COMPUTED_VALUE"""),"Badi Dhoti")</f>
        <v>Badi Dhoti</v>
      </c>
      <c r="B144" s="25" t="str">
        <f>IFERROR(__xludf.DUMMYFUNCTION("""COMPUTED_VALUE"""),"Miscellaneous")</f>
        <v>Miscellaneous</v>
      </c>
      <c r="C144" s="25" t="str">
        <f>IFERROR(__xludf.DUMMYFUNCTION("""COMPUTED_VALUE"""),"M-OTH-247")</f>
        <v>M-OTH-247</v>
      </c>
      <c r="D144" s="38" t="str">
        <f>IF(COUNTIF('Form responses 4'!B:B,C144)&gt;0, "", "https://docs.google.com/forms/d/e/1FAIpQLSdhNamFeglgVtt555M7xM7e8ZAg9KCWMEcDlLzX1oeZsyGxrg/viewform?usp=pp_url&amp;entry.580385001="&amp;C144&amp;"&amp;entry.1376952895="&amp;A144)</f>
        <v>https://docs.google.com/forms/d/e/1FAIpQLSdhNamFeglgVtt555M7xM7e8ZAg9KCWMEcDlLzX1oeZsyGxrg/viewform?usp=pp_url&amp;entry.580385001=M-OTH-247&amp;entry.1376952895=Badi Dhoti</v>
      </c>
      <c r="E144" s="25">
        <f>IFERROR(IF(C144&lt;&gt;"",VLOOKUP(C144,IMS!$A$2:$E1000,5,0),""),"")</f>
        <v>80</v>
      </c>
    </row>
    <row r="145">
      <c r="A145" s="25" t="str">
        <f>IFERROR(__xludf.DUMMYFUNCTION("""COMPUTED_VALUE"""),"Urban Vitamin Pantone 184c")</f>
        <v>Urban Vitamin Pantone 184c</v>
      </c>
      <c r="B145" s="25" t="str">
        <f>IFERROR(__xludf.DUMMYFUNCTION("""COMPUTED_VALUE"""),"Ink")</f>
        <v>Ink</v>
      </c>
      <c r="C145" s="25" t="str">
        <f>IFERROR(__xludf.DUMMYFUNCTION("""COMPUTED_VALUE"""),"I-PAN-252")</f>
        <v>I-PAN-252</v>
      </c>
      <c r="D145" s="38" t="str">
        <f>IF(COUNTIF('Form responses 4'!B:B,C145)&gt;0, "", "https://docs.google.com/forms/d/e/1FAIpQLSdhNamFeglgVtt555M7xM7e8ZAg9KCWMEcDlLzX1oeZsyGxrg/viewform?usp=pp_url&amp;entry.580385001="&amp;C145&amp;"&amp;entry.1376952895="&amp;A145)</f>
        <v>https://docs.google.com/forms/d/e/1FAIpQLSdhNamFeglgVtt555M7xM7e8ZAg9KCWMEcDlLzX1oeZsyGxrg/viewform?usp=pp_url&amp;entry.580385001=I-PAN-252&amp;entry.1376952895=Urban Vitamin Pantone 184c</v>
      </c>
      <c r="E145" s="25">
        <f>IFERROR(IF(C145&lt;&gt;"",VLOOKUP(C145,IMS!$A$2:$E1000,5,0),""),"")</f>
        <v>0</v>
      </c>
    </row>
    <row r="146">
      <c r="A146" s="25" t="str">
        <f>IFERROR(__xludf.DUMMYFUNCTION("""COMPUTED_VALUE"""),"DS/19530 PANT.350C GREEN")</f>
        <v>DS/19530 PANT.350C GREEN</v>
      </c>
      <c r="B146" s="25" t="str">
        <f>IFERROR(__xludf.DUMMYFUNCTION("""COMPUTED_VALUE"""),"Ink")</f>
        <v>Ink</v>
      </c>
      <c r="C146" s="25" t="str">
        <f>IFERROR(__xludf.DUMMYFUNCTION("""COMPUTED_VALUE"""),"I-PAN-253")</f>
        <v>I-PAN-253</v>
      </c>
      <c r="D146" s="38" t="str">
        <f>IF(COUNTIF('Form responses 4'!B:B,C146)&gt;0, "", "https://docs.google.com/forms/d/e/1FAIpQLSdhNamFeglgVtt555M7xM7e8ZAg9KCWMEcDlLzX1oeZsyGxrg/viewform?usp=pp_url&amp;entry.580385001="&amp;C146&amp;"&amp;entry.1376952895="&amp;A146)</f>
        <v>https://docs.google.com/forms/d/e/1FAIpQLSdhNamFeglgVtt555M7xM7e8ZAg9KCWMEcDlLzX1oeZsyGxrg/viewform?usp=pp_url&amp;entry.580385001=I-PAN-253&amp;entry.1376952895=DS/19530 PANT.350C GREEN</v>
      </c>
      <c r="E146" s="25">
        <f>IFERROR(IF(C146&lt;&gt;"",VLOOKUP(C146,IMS!$A$2:$E1000,5,0),""),"")</f>
        <v>0</v>
      </c>
    </row>
    <row r="147">
      <c r="A147" s="25" t="str">
        <f>IFERROR(__xludf.DUMMYFUNCTION("""COMPUTED_VALUE"""),"Bopp Film 13 inch Normal Gloss")</f>
        <v>Bopp Film 13 inch Normal Gloss</v>
      </c>
      <c r="B147" s="25" t="str">
        <f>IFERROR(__xludf.DUMMYFUNCTION("""COMPUTED_VALUE"""),"Lamination")</f>
        <v>Lamination</v>
      </c>
      <c r="C147" s="25" t="str">
        <f>IFERROR(__xludf.DUMMYFUNCTION("""COMPUTED_VALUE"""),"L-COA-254")</f>
        <v>L-COA-254</v>
      </c>
      <c r="D147" s="38" t="str">
        <f>IF(COUNTIF('Form responses 4'!B:B,C147)&gt;0, "", "https://docs.google.com/forms/d/e/1FAIpQLSdhNamFeglgVtt555M7xM7e8ZAg9KCWMEcDlLzX1oeZsyGxrg/viewform?usp=pp_url&amp;entry.580385001="&amp;C147&amp;"&amp;entry.1376952895="&amp;A147)</f>
        <v>https://docs.google.com/forms/d/e/1FAIpQLSdhNamFeglgVtt555M7xM7e8ZAg9KCWMEcDlLzX1oeZsyGxrg/viewform?usp=pp_url&amp;entry.580385001=L-COA-254&amp;entry.1376952895=Bopp Film 13 inch Normal Gloss</v>
      </c>
      <c r="E147" s="25">
        <f>IFERROR(IF(C147&lt;&gt;"",VLOOKUP(C147,IMS!$A$2:$E1000,5,0),""),"")</f>
        <v>1</v>
      </c>
    </row>
    <row r="148">
      <c r="A148" s="25" t="str">
        <f>IFERROR(__xludf.DUMMYFUNCTION("""COMPUTED_VALUE"""),"Bopp Film 161/2 inch Normal Gloss")</f>
        <v>Bopp Film 161/2 inch Normal Gloss</v>
      </c>
      <c r="B148" s="25" t="str">
        <f>IFERROR(__xludf.DUMMYFUNCTION("""COMPUTED_VALUE"""),"Lamination")</f>
        <v>Lamination</v>
      </c>
      <c r="C148" s="25" t="str">
        <f>IFERROR(__xludf.DUMMYFUNCTION("""COMPUTED_VALUE"""),"L-COA-255")</f>
        <v>L-COA-255</v>
      </c>
      <c r="D148" s="38" t="str">
        <f>IF(COUNTIF('Form responses 4'!B:B,C148)&gt;0, "", "https://docs.google.com/forms/d/e/1FAIpQLSdhNamFeglgVtt555M7xM7e8ZAg9KCWMEcDlLzX1oeZsyGxrg/viewform?usp=pp_url&amp;entry.580385001="&amp;C148&amp;"&amp;entry.1376952895="&amp;A148)</f>
        <v>https://docs.google.com/forms/d/e/1FAIpQLSdhNamFeglgVtt555M7xM7e8ZAg9KCWMEcDlLzX1oeZsyGxrg/viewform?usp=pp_url&amp;entry.580385001=L-COA-255&amp;entry.1376952895=Bopp Film 161/2 inch Normal Gloss</v>
      </c>
      <c r="E148" s="25">
        <f>IFERROR(IF(C148&lt;&gt;"",VLOOKUP(C148,IMS!$A$2:$E1000,5,0),""),"")</f>
        <v>1</v>
      </c>
    </row>
    <row r="149">
      <c r="A149" s="25" t="str">
        <f>IFERROR(__xludf.DUMMYFUNCTION("""COMPUTED_VALUE"""),"NICOBAR CARRY BAG GREY DS/25092")</f>
        <v>NICOBAR CARRY BAG GREY DS/25092</v>
      </c>
      <c r="B149" s="25" t="str">
        <f>IFERROR(__xludf.DUMMYFUNCTION("""COMPUTED_VALUE"""),"Ink")</f>
        <v>Ink</v>
      </c>
      <c r="C149" s="25" t="str">
        <f>IFERROR(__xludf.DUMMYFUNCTION("""COMPUTED_VALUE"""),"I-PAN-257")</f>
        <v>I-PAN-257</v>
      </c>
      <c r="D149" s="38" t="str">
        <f>IF(COUNTIF('Form responses 4'!B:B,C149)&gt;0, "", "https://docs.google.com/forms/d/e/1FAIpQLSdhNamFeglgVtt555M7xM7e8ZAg9KCWMEcDlLzX1oeZsyGxrg/viewform?usp=pp_url&amp;entry.580385001="&amp;C149&amp;"&amp;entry.1376952895="&amp;A149)</f>
        <v>https://docs.google.com/forms/d/e/1FAIpQLSdhNamFeglgVtt555M7xM7e8ZAg9KCWMEcDlLzX1oeZsyGxrg/viewform?usp=pp_url&amp;entry.580385001=I-PAN-257&amp;entry.1376952895=NICOBAR CARRY BAG GREY DS/25092</v>
      </c>
      <c r="E149" s="25">
        <f>IFERROR(IF(C149&lt;&gt;"",VLOOKUP(C149,IMS!$A$2:$E1000,5,0),""),"")</f>
        <v>15</v>
      </c>
    </row>
    <row r="150">
      <c r="A150" s="25" t="str">
        <f>IFERROR(__xludf.DUMMYFUNCTION("""COMPUTED_VALUE"""),"555 Soap")</f>
        <v>555 Soap</v>
      </c>
      <c r="B150" s="25" t="str">
        <f>IFERROR(__xludf.DUMMYFUNCTION("""COMPUTED_VALUE"""),"Miscellaneous")</f>
        <v>Miscellaneous</v>
      </c>
      <c r="C150" s="25" t="str">
        <f>IFERROR(__xludf.DUMMYFUNCTION("""COMPUTED_VALUE"""),"M-MIS-258")</f>
        <v>M-MIS-258</v>
      </c>
      <c r="D150" s="38" t="str">
        <f>IF(COUNTIF('Form responses 4'!B:B,C150)&gt;0, "", "https://docs.google.com/forms/d/e/1FAIpQLSdhNamFeglgVtt555M7xM7e8ZAg9KCWMEcDlLzX1oeZsyGxrg/viewform?usp=pp_url&amp;entry.580385001="&amp;C150&amp;"&amp;entry.1376952895="&amp;A150)</f>
        <v>https://docs.google.com/forms/d/e/1FAIpQLSdhNamFeglgVtt555M7xM7e8ZAg9KCWMEcDlLzX1oeZsyGxrg/viewform?usp=pp_url&amp;entry.580385001=M-MIS-258&amp;entry.1376952895=555 Soap</v>
      </c>
      <c r="E150" s="25">
        <f>IFERROR(IF(C150&lt;&gt;"",VLOOKUP(C150,IMS!$A$2:$E1000,5,0),""),"")</f>
        <v>10</v>
      </c>
    </row>
    <row r="151">
      <c r="A151" s="25" t="str">
        <f>IFERROR(__xludf.DUMMYFUNCTION("""COMPUTED_VALUE"""),"Parle G Buiscuit")</f>
        <v>Parle G Buiscuit</v>
      </c>
      <c r="B151" s="25" t="str">
        <f>IFERROR(__xludf.DUMMYFUNCTION("""COMPUTED_VALUE"""),"Miscellaneous")</f>
        <v>Miscellaneous</v>
      </c>
      <c r="C151" s="25" t="str">
        <f>IFERROR(__xludf.DUMMYFUNCTION("""COMPUTED_VALUE"""),"M-OTH-260")</f>
        <v>M-OTH-260</v>
      </c>
      <c r="D151" s="38" t="str">
        <f>IF(COUNTIF('Form responses 4'!B:B,C151)&gt;0, "", "https://docs.google.com/forms/d/e/1FAIpQLSdhNamFeglgVtt555M7xM7e8ZAg9KCWMEcDlLzX1oeZsyGxrg/viewform?usp=pp_url&amp;entry.580385001="&amp;C151&amp;"&amp;entry.1376952895="&amp;A151)</f>
        <v>https://docs.google.com/forms/d/e/1FAIpQLSdhNamFeglgVtt555M7xM7e8ZAg9KCWMEcDlLzX1oeZsyGxrg/viewform?usp=pp_url&amp;entry.580385001=M-OTH-260&amp;entry.1376952895=Parle G Buiscuit</v>
      </c>
      <c r="E151" s="25">
        <f>IFERROR(IF(C151&lt;&gt;"",VLOOKUP(C151,IMS!$A$2:$E1000,5,0),""),"")</f>
        <v>0</v>
      </c>
    </row>
    <row r="152">
      <c r="A152" s="25" t="str">
        <f>IFERROR(__xludf.DUMMYFUNCTION("""COMPUTED_VALUE"""),"Classic Col Adhesive PG 55Kg Packing")</f>
        <v>Classic Col Adhesive PG 55Kg Packing</v>
      </c>
      <c r="B152" s="25" t="str">
        <f>IFERROR(__xludf.DUMMYFUNCTION("""COMPUTED_VALUE"""),"Adhesive")</f>
        <v>Adhesive</v>
      </c>
      <c r="C152" s="25" t="str">
        <f>IFERROR(__xludf.DUMMYFUNCTION("""COMPUTED_VALUE"""),"A-ADH-267")</f>
        <v>A-ADH-267</v>
      </c>
      <c r="D152" s="38" t="str">
        <f>IF(COUNTIF('Form responses 4'!B:B,C152)&gt;0, "", "https://docs.google.com/forms/d/e/1FAIpQLSdhNamFeglgVtt555M7xM7e8ZAg9KCWMEcDlLzX1oeZsyGxrg/viewform?usp=pp_url&amp;entry.580385001="&amp;C152&amp;"&amp;entry.1376952895="&amp;A152)</f>
        <v>https://docs.google.com/forms/d/e/1FAIpQLSdhNamFeglgVtt555M7xM7e8ZAg9KCWMEcDlLzX1oeZsyGxrg/viewform?usp=pp_url&amp;entry.580385001=A-ADH-267&amp;entry.1376952895=Classic Col Adhesive PG 55Kg Packing</v>
      </c>
      <c r="E152" s="25">
        <f>IFERROR(IF(C152&lt;&gt;"",VLOOKUP(C152,IMS!$A$2:$E1000,5,0),""),"")</f>
        <v>110</v>
      </c>
    </row>
    <row r="153">
      <c r="A153" s="25" t="str">
        <f>IFERROR(__xludf.DUMMYFUNCTION("""COMPUTED_VALUE"""),"Screen Clearning Aid Amyle")</f>
        <v>Screen Clearning Aid Amyle</v>
      </c>
      <c r="B153" s="25" t="str">
        <f>IFERROR(__xludf.DUMMYFUNCTION("""COMPUTED_VALUE"""),"Chemical")</f>
        <v>Chemical</v>
      </c>
      <c r="C153" s="25" t="str">
        <f>IFERROR(__xludf.DUMMYFUNCTION("""COMPUTED_VALUE"""),"CH-SOL-268")</f>
        <v>CH-SOL-268</v>
      </c>
      <c r="D153" s="38" t="str">
        <f>IF(COUNTIF('Form responses 4'!B:B,C153)&gt;0, "", "https://docs.google.com/forms/d/e/1FAIpQLSdhNamFeglgVtt555M7xM7e8ZAg9KCWMEcDlLzX1oeZsyGxrg/viewform?usp=pp_url&amp;entry.580385001="&amp;C153&amp;"&amp;entry.1376952895="&amp;A153)</f>
        <v/>
      </c>
      <c r="E153" s="25">
        <f>IFERROR(IF(C153&lt;&gt;"",VLOOKUP(C153,IMS!$A$2:$E1000,5,0),""),"")</f>
        <v>10</v>
      </c>
    </row>
    <row r="154">
      <c r="A154" s="25" t="str">
        <f>IFERROR(__xludf.DUMMYFUNCTION("""COMPUTED_VALUE"""),"Bichromide")</f>
        <v>Bichromide</v>
      </c>
      <c r="B154" s="25" t="str">
        <f>IFERROR(__xludf.DUMMYFUNCTION("""COMPUTED_VALUE"""),"Powder")</f>
        <v>Powder</v>
      </c>
      <c r="C154" s="25" t="str">
        <f>IFERROR(__xludf.DUMMYFUNCTION("""COMPUTED_VALUE"""),"POW-POW-269")</f>
        <v>POW-POW-269</v>
      </c>
      <c r="D154" s="38" t="str">
        <f>IF(COUNTIF('Form responses 4'!B:B,C154)&gt;0, "", "https://docs.google.com/forms/d/e/1FAIpQLSdhNamFeglgVtt555M7xM7e8ZAg9KCWMEcDlLzX1oeZsyGxrg/viewform?usp=pp_url&amp;entry.580385001="&amp;C154&amp;"&amp;entry.1376952895="&amp;A154)</f>
        <v/>
      </c>
      <c r="E154" s="25">
        <f>IFERROR(IF(C154&lt;&gt;"",VLOOKUP(C154,IMS!$A$2:$E1000,5,0),""),"")</f>
        <v>4</v>
      </c>
    </row>
    <row r="155">
      <c r="A155" s="25" t="str">
        <f>IFERROR(__xludf.DUMMYFUNCTION("""COMPUTED_VALUE"""),"Bopp Film 19.5 inch Gloss")</f>
        <v>Bopp Film 19.5 inch Gloss</v>
      </c>
      <c r="B155" s="25" t="str">
        <f>IFERROR(__xludf.DUMMYFUNCTION("""COMPUTED_VALUE"""),"Lamination")</f>
        <v>Lamination</v>
      </c>
      <c r="C155" s="25" t="str">
        <f>IFERROR(__xludf.DUMMYFUNCTION("""COMPUTED_VALUE"""),"L-COA-270")</f>
        <v>L-COA-270</v>
      </c>
      <c r="D155" s="38" t="str">
        <f>IF(COUNTIF('Form responses 4'!B:B,C155)&gt;0, "", "https://docs.google.com/forms/d/e/1FAIpQLSdhNamFeglgVtt555M7xM7e8ZAg9KCWMEcDlLzX1oeZsyGxrg/viewform?usp=pp_url&amp;entry.580385001="&amp;C155&amp;"&amp;entry.1376952895="&amp;A155)</f>
        <v>https://docs.google.com/forms/d/e/1FAIpQLSdhNamFeglgVtt555M7xM7e8ZAg9KCWMEcDlLzX1oeZsyGxrg/viewform?usp=pp_url&amp;entry.580385001=L-COA-270&amp;entry.1376952895=Bopp Film 19.5 inch Gloss</v>
      </c>
      <c r="E155" s="25">
        <f>IFERROR(IF(C155&lt;&gt;"",VLOOKUP(C155,IMS!$A$2:$E1000,5,0),""),"")</f>
        <v>0</v>
      </c>
    </row>
    <row r="156">
      <c r="A156" s="25" t="str">
        <f>IFERROR(__xludf.DUMMYFUNCTION("""COMPUTED_VALUE"""),"Bopp Film 17.5 inch Matt")</f>
        <v>Bopp Film 17.5 inch Matt</v>
      </c>
      <c r="B156" s="25" t="str">
        <f>IFERROR(__xludf.DUMMYFUNCTION("""COMPUTED_VALUE"""),"Lamination")</f>
        <v>Lamination</v>
      </c>
      <c r="C156" s="25" t="str">
        <f>IFERROR(__xludf.DUMMYFUNCTION("""COMPUTED_VALUE"""),"L-COA-271")</f>
        <v>L-COA-271</v>
      </c>
      <c r="D156" s="38" t="str">
        <f>IF(COUNTIF('Form responses 4'!B:B,C156)&gt;0, "", "https://docs.google.com/forms/d/e/1FAIpQLSdhNamFeglgVtt555M7xM7e8ZAg9KCWMEcDlLzX1oeZsyGxrg/viewform?usp=pp_url&amp;entry.580385001="&amp;C156&amp;"&amp;entry.1376952895="&amp;A156)</f>
        <v>https://docs.google.com/forms/d/e/1FAIpQLSdhNamFeglgVtt555M7xM7e8ZAg9KCWMEcDlLzX1oeZsyGxrg/viewform?usp=pp_url&amp;entry.580385001=L-COA-271&amp;entry.1376952895=Bopp Film 17.5 inch Matt</v>
      </c>
      <c r="E156" s="25">
        <f>IFERROR(IF(C156&lt;&gt;"",VLOOKUP(C156,IMS!$A$2:$E1000,5,0),""),"")</f>
        <v>0</v>
      </c>
    </row>
    <row r="157">
      <c r="A157" s="25" t="str">
        <f>IFERROR(__xludf.DUMMYFUNCTION("""COMPUTED_VALUE"""),"Bopp Film 19.5 inch Matt")</f>
        <v>Bopp Film 19.5 inch Matt</v>
      </c>
      <c r="B157" s="25" t="str">
        <f>IFERROR(__xludf.DUMMYFUNCTION("""COMPUTED_VALUE"""),"Lamination")</f>
        <v>Lamination</v>
      </c>
      <c r="C157" s="25" t="str">
        <f>IFERROR(__xludf.DUMMYFUNCTION("""COMPUTED_VALUE"""),"L-COA-272")</f>
        <v>L-COA-272</v>
      </c>
      <c r="D157" s="38" t="str">
        <f>IF(COUNTIF('Form responses 4'!B:B,C157)&gt;0, "", "https://docs.google.com/forms/d/e/1FAIpQLSdhNamFeglgVtt555M7xM7e8ZAg9KCWMEcDlLzX1oeZsyGxrg/viewform?usp=pp_url&amp;entry.580385001="&amp;C157&amp;"&amp;entry.1376952895="&amp;A157)</f>
        <v>https://docs.google.com/forms/d/e/1FAIpQLSdhNamFeglgVtt555M7xM7e8ZAg9KCWMEcDlLzX1oeZsyGxrg/viewform?usp=pp_url&amp;entry.580385001=L-COA-272&amp;entry.1376952895=Bopp Film 19.5 inch Matt</v>
      </c>
      <c r="E157" s="25">
        <f>IFERROR(IF(C157&lt;&gt;"",VLOOKUP(C157,IMS!$A$2:$E1000,5,0),""),"")</f>
        <v>0</v>
      </c>
    </row>
    <row r="158">
      <c r="A158" s="25" t="str">
        <f>IFERROR(__xludf.DUMMYFUNCTION("""COMPUTED_VALUE"""),"Inkstylo pan 271C")</f>
        <v>Inkstylo pan 271C</v>
      </c>
      <c r="B158" s="25" t="str">
        <f>IFERROR(__xludf.DUMMYFUNCTION("""COMPUTED_VALUE"""),"Ink")</f>
        <v>Ink</v>
      </c>
      <c r="C158" s="25" t="str">
        <f>IFERROR(__xludf.DUMMYFUNCTION("""COMPUTED_VALUE"""),"I-PAN-273")</f>
        <v>I-PAN-273</v>
      </c>
      <c r="D158" s="38" t="str">
        <f>IF(COUNTIF('Form responses 4'!B:B,C158)&gt;0, "", "https://docs.google.com/forms/d/e/1FAIpQLSdhNamFeglgVtt555M7xM7e8ZAg9KCWMEcDlLzX1oeZsyGxrg/viewform?usp=pp_url&amp;entry.580385001="&amp;C158&amp;"&amp;entry.1376952895="&amp;A158)</f>
        <v>https://docs.google.com/forms/d/e/1FAIpQLSdhNamFeglgVtt555M7xM7e8ZAg9KCWMEcDlLzX1oeZsyGxrg/viewform?usp=pp_url&amp;entry.580385001=I-PAN-273&amp;entry.1376952895=Inkstylo pan 271C</v>
      </c>
      <c r="E158" s="25">
        <f>IFERROR(IF(C158&lt;&gt;"",VLOOKUP(C158,IMS!$A$2:$E1000,5,0),""),"")</f>
        <v>0</v>
      </c>
    </row>
    <row r="159">
      <c r="A159" s="25" t="str">
        <f>IFERROR(__xludf.DUMMYFUNCTION("""COMPUTED_VALUE"""),"Thermal Matt 19.5Inch")</f>
        <v>Thermal Matt 19.5Inch</v>
      </c>
      <c r="B159" s="25" t="str">
        <f>IFERROR(__xludf.DUMMYFUNCTION("""COMPUTED_VALUE"""),"Lamination")</f>
        <v>Lamination</v>
      </c>
      <c r="C159" s="25" t="str">
        <f>IFERROR(__xludf.DUMMYFUNCTION("""COMPUTED_VALUE"""),"L-COA-278")</f>
        <v>L-COA-278</v>
      </c>
      <c r="D159" s="38" t="str">
        <f>IF(COUNTIF('Form responses 4'!B:B,C159)&gt;0, "", "https://docs.google.com/forms/d/e/1FAIpQLSdhNamFeglgVtt555M7xM7e8ZAg9KCWMEcDlLzX1oeZsyGxrg/viewform?usp=pp_url&amp;entry.580385001="&amp;C159&amp;"&amp;entry.1376952895="&amp;A159)</f>
        <v>https://docs.google.com/forms/d/e/1FAIpQLSdhNamFeglgVtt555M7xM7e8ZAg9KCWMEcDlLzX1oeZsyGxrg/viewform?usp=pp_url&amp;entry.580385001=L-COA-278&amp;entry.1376952895=Thermal Matt 19.5Inch</v>
      </c>
      <c r="E159" s="25">
        <f>IFERROR(IF(C159&lt;&gt;"",VLOOKUP(C159,IMS!$A$2:$E1000,5,0),""),"")</f>
        <v>0</v>
      </c>
    </row>
    <row r="160">
      <c r="A160" s="25" t="str">
        <f>IFERROR(__xludf.DUMMYFUNCTION("""COMPUTED_VALUE"""),"ink Foul Sheet")</f>
        <v>ink Foul Sheet</v>
      </c>
      <c r="B160" s="25" t="str">
        <f>IFERROR(__xludf.DUMMYFUNCTION("""COMPUTED_VALUE"""),"Miscellaneous")</f>
        <v>Miscellaneous</v>
      </c>
      <c r="C160" s="25" t="str">
        <f>IFERROR(__xludf.DUMMYFUNCTION("""COMPUTED_VALUE"""),"M-MIS-280")</f>
        <v>M-MIS-280</v>
      </c>
      <c r="D160" s="38" t="str">
        <f>IF(COUNTIF('Form responses 4'!B:B,C160)&gt;0, "", "https://docs.google.com/forms/d/e/1FAIpQLSdhNamFeglgVtt555M7xM7e8ZAg9KCWMEcDlLzX1oeZsyGxrg/viewform?usp=pp_url&amp;entry.580385001="&amp;C160&amp;"&amp;entry.1376952895="&amp;A160)</f>
        <v/>
      </c>
      <c r="E160" s="25">
        <f>IFERROR(IF(C160&lt;&gt;"",VLOOKUP(C160,IMS!$A$2:$E1000,5,0),""),"")</f>
        <v>52</v>
      </c>
    </row>
    <row r="161">
      <c r="A161" s="25" t="str">
        <f>IFERROR(__xludf.DUMMYFUNCTION("""COMPUTED_VALUE"""),"JSS ANTI ACNE SERUME P 2262C")</f>
        <v>JSS ANTI ACNE SERUME P 2262C</v>
      </c>
      <c r="B161" s="25" t="str">
        <f>IFERROR(__xludf.DUMMYFUNCTION("""COMPUTED_VALUE"""),"Ink")</f>
        <v>Ink</v>
      </c>
      <c r="C161" s="25" t="str">
        <f>IFERROR(__xludf.DUMMYFUNCTION("""COMPUTED_VALUE"""),"I-PAN-281")</f>
        <v>I-PAN-281</v>
      </c>
      <c r="D161" s="38" t="str">
        <f>IF(COUNTIF('Form responses 4'!B:B,C161)&gt;0, "", "https://docs.google.com/forms/d/e/1FAIpQLSdhNamFeglgVtt555M7xM7e8ZAg9KCWMEcDlLzX1oeZsyGxrg/viewform?usp=pp_url&amp;entry.580385001="&amp;C161&amp;"&amp;entry.1376952895="&amp;A161)</f>
        <v>https://docs.google.com/forms/d/e/1FAIpQLSdhNamFeglgVtt555M7xM7e8ZAg9KCWMEcDlLzX1oeZsyGxrg/viewform?usp=pp_url&amp;entry.580385001=I-PAN-281&amp;entry.1376952895=JSS ANTI ACNE SERUME P 2262C</v>
      </c>
      <c r="E161" s="25">
        <f>IFERROR(IF(C161&lt;&gt;"",VLOOKUP(C161,IMS!$A$2:$E1000,5,0),""),"")</f>
        <v>0</v>
      </c>
    </row>
    <row r="162">
      <c r="A162" s="25" t="str">
        <f>IFERROR(__xludf.DUMMYFUNCTION("""COMPUTED_VALUE"""),"JSS VITAMIN C SERUM PAN 1575C")</f>
        <v>JSS VITAMIN C SERUM PAN 1575C</v>
      </c>
      <c r="B162" s="25" t="str">
        <f>IFERROR(__xludf.DUMMYFUNCTION("""COMPUTED_VALUE"""),"Ink")</f>
        <v>Ink</v>
      </c>
      <c r="C162" s="25" t="str">
        <f>IFERROR(__xludf.DUMMYFUNCTION("""COMPUTED_VALUE"""),"I-PAN-282")</f>
        <v>I-PAN-282</v>
      </c>
      <c r="D162" s="38" t="str">
        <f>IF(COUNTIF('Form responses 4'!B:B,C162)&gt;0, "", "https://docs.google.com/forms/d/e/1FAIpQLSdhNamFeglgVtt555M7xM7e8ZAg9KCWMEcDlLzX1oeZsyGxrg/viewform?usp=pp_url&amp;entry.580385001="&amp;C162&amp;"&amp;entry.1376952895="&amp;A162)</f>
        <v>https://docs.google.com/forms/d/e/1FAIpQLSdhNamFeglgVtt555M7xM7e8ZAg9KCWMEcDlLzX1oeZsyGxrg/viewform?usp=pp_url&amp;entry.580385001=I-PAN-282&amp;entry.1376952895=JSS VITAMIN C SERUM PAN 1575C</v>
      </c>
      <c r="E162" s="25">
        <f>IFERROR(IF(C162&lt;&gt;"",VLOOKUP(C162,IMS!$A$2:$E1000,5,0),""),"")</f>
        <v>0</v>
      </c>
    </row>
    <row r="163">
      <c r="A163" s="25" t="str">
        <f>IFERROR(__xludf.DUMMYFUNCTION("""COMPUTED_VALUE"""),"JSS PAN 213C INTIMATE ROLL ON ")</f>
        <v>JSS PAN 213C INTIMATE ROLL ON </v>
      </c>
      <c r="B163" s="25" t="str">
        <f>IFERROR(__xludf.DUMMYFUNCTION("""COMPUTED_VALUE"""),"Ink")</f>
        <v>Ink</v>
      </c>
      <c r="C163" s="25" t="str">
        <f>IFERROR(__xludf.DUMMYFUNCTION("""COMPUTED_VALUE"""),"I-PAN-283")</f>
        <v>I-PAN-283</v>
      </c>
      <c r="D163" s="38" t="str">
        <f>IF(COUNTIF('Form responses 4'!B:B,C163)&gt;0, "", "https://docs.google.com/forms/d/e/1FAIpQLSdhNamFeglgVtt555M7xM7e8ZAg9KCWMEcDlLzX1oeZsyGxrg/viewform?usp=pp_url&amp;entry.580385001="&amp;C163&amp;"&amp;entry.1376952895="&amp;A163)</f>
        <v>https://docs.google.com/forms/d/e/1FAIpQLSdhNamFeglgVtt555M7xM7e8ZAg9KCWMEcDlLzX1oeZsyGxrg/viewform?usp=pp_url&amp;entry.580385001=I-PAN-283&amp;entry.1376952895=JSS PAN 213C INTIMATE ROLL ON </v>
      </c>
      <c r="E163" s="25">
        <f>IFERROR(IF(C163&lt;&gt;"",VLOOKUP(C163,IMS!$A$2:$E1000,5,0),""),"")</f>
        <v>0</v>
      </c>
    </row>
    <row r="164">
      <c r="A164" s="25" t="str">
        <f>IFERROR(__xludf.DUMMYFUNCTION("""COMPUTED_VALUE"""),"UV LED PINK")</f>
        <v>UV LED PINK</v>
      </c>
      <c r="B164" s="25" t="str">
        <f>IFERROR(__xludf.DUMMYFUNCTION("""COMPUTED_VALUE"""),"Ink")</f>
        <v>Ink</v>
      </c>
      <c r="C164" s="25" t="str">
        <f>IFERROR(__xludf.DUMMYFUNCTION("""COMPUTED_VALUE"""),"I-PAN-285")</f>
        <v>I-PAN-285</v>
      </c>
      <c r="D164" s="38" t="str">
        <f>IF(COUNTIF('Form responses 4'!B:B,C164)&gt;0, "", "https://docs.google.com/forms/d/e/1FAIpQLSdhNamFeglgVtt555M7xM7e8ZAg9KCWMEcDlLzX1oeZsyGxrg/viewform?usp=pp_url&amp;entry.580385001="&amp;C164&amp;"&amp;entry.1376952895="&amp;A164)</f>
        <v>https://docs.google.com/forms/d/e/1FAIpQLSdhNamFeglgVtt555M7xM7e8ZAg9KCWMEcDlLzX1oeZsyGxrg/viewform?usp=pp_url&amp;entry.580385001=I-PAN-285&amp;entry.1376952895=UV LED PINK</v>
      </c>
      <c r="E164" s="25">
        <f>IFERROR(IF(C164&lt;&gt;"",VLOOKUP(C164,IMS!$A$2:$E1000,5,0),""),"")</f>
        <v>1</v>
      </c>
    </row>
    <row r="165">
      <c r="A165" s="25" t="str">
        <f>IFERROR(__xludf.DUMMYFUNCTION("""COMPUTED_VALUE"""),"Castrol activ essential 20w-40")</f>
        <v>Castrol activ essential 20w-40</v>
      </c>
      <c r="B165" s="25" t="str">
        <f>IFERROR(__xludf.DUMMYFUNCTION("""COMPUTED_VALUE"""),"Miscellaneous")</f>
        <v>Miscellaneous</v>
      </c>
      <c r="C165" s="25" t="str">
        <f>IFERROR(__xludf.DUMMYFUNCTION("""COMPUTED_VALUE"""),"M-OTH-299")</f>
        <v>M-OTH-299</v>
      </c>
      <c r="D165" s="38" t="str">
        <f>IF(COUNTIF('Form responses 4'!B:B,C165)&gt;0, "", "https://docs.google.com/forms/d/e/1FAIpQLSdhNamFeglgVtt555M7xM7e8ZAg9KCWMEcDlLzX1oeZsyGxrg/viewform?usp=pp_url&amp;entry.580385001="&amp;C165&amp;"&amp;entry.1376952895="&amp;A165)</f>
        <v>https://docs.google.com/forms/d/e/1FAIpQLSdhNamFeglgVtt555M7xM7e8ZAg9KCWMEcDlLzX1oeZsyGxrg/viewform?usp=pp_url&amp;entry.580385001=M-OTH-299&amp;entry.1376952895=Castrol activ essential 20w-40</v>
      </c>
      <c r="E165" s="25">
        <f>IFERROR(IF(C165&lt;&gt;"",VLOOKUP(C165,IMS!$A$2:$E1000,5,0),""),"")</f>
        <v>0.95</v>
      </c>
    </row>
    <row r="166">
      <c r="A166" s="25" t="str">
        <f>IFERROR(__xludf.DUMMYFUNCTION("""COMPUTED_VALUE"""),"4 Number Soccer ( Die Cutting Automatic)")</f>
        <v>4 Number Soccer ( Die Cutting Automatic)</v>
      </c>
      <c r="B166" s="25" t="str">
        <f>IFERROR(__xludf.DUMMYFUNCTION("""COMPUTED_VALUE"""),"Miscellaneous")</f>
        <v>Miscellaneous</v>
      </c>
      <c r="C166" s="25" t="str">
        <f>IFERROR(__xludf.DUMMYFUNCTION("""COMPUTED_VALUE"""),"M-OTH-300")</f>
        <v>M-OTH-300</v>
      </c>
      <c r="D166" s="38" t="str">
        <f>IF(COUNTIF('Form responses 4'!B:B,C166)&gt;0, "", "https://docs.google.com/forms/d/e/1FAIpQLSdhNamFeglgVtt555M7xM7e8ZAg9KCWMEcDlLzX1oeZsyGxrg/viewform?usp=pp_url&amp;entry.580385001="&amp;C166&amp;"&amp;entry.1376952895="&amp;A166)</f>
        <v/>
      </c>
      <c r="E166" s="25">
        <f>IFERROR(IF(C166&lt;&gt;"",VLOOKUP(C166,IMS!$A$2:$E1000,5,0),""),"")</f>
        <v>80</v>
      </c>
    </row>
    <row r="167">
      <c r="A167" s="25" t="str">
        <f>IFERROR(__xludf.DUMMYFUNCTION("""COMPUTED_VALUE"""),"14 Number Soccer ( Die Cutting Automatic)")</f>
        <v>14 Number Soccer ( Die Cutting Automatic)</v>
      </c>
      <c r="B167" s="25" t="str">
        <f>IFERROR(__xludf.DUMMYFUNCTION("""COMPUTED_VALUE"""),"Miscellaneous")</f>
        <v>Miscellaneous</v>
      </c>
      <c r="C167" s="25" t="str">
        <f>IFERROR(__xludf.DUMMYFUNCTION("""COMPUTED_VALUE"""),"M-OTH-301")</f>
        <v>M-OTH-301</v>
      </c>
      <c r="D167" s="38" t="str">
        <f>IF(COUNTIF('Form responses 4'!B:B,C167)&gt;0, "", "https://docs.google.com/forms/d/e/1FAIpQLSdhNamFeglgVtt555M7xM7e8ZAg9KCWMEcDlLzX1oeZsyGxrg/viewform?usp=pp_url&amp;entry.580385001="&amp;C167&amp;"&amp;entry.1376952895="&amp;A167)</f>
        <v/>
      </c>
      <c r="E167" s="25">
        <f>IFERROR(IF(C167&lt;&gt;"",VLOOKUP(C167,IMS!$A$2:$E1000,5,0),""),"")</f>
        <v>180</v>
      </c>
    </row>
    <row r="168">
      <c r="A168" s="25" t="str">
        <f>IFERROR(__xludf.DUMMYFUNCTION("""COMPUTED_VALUE"""),"Bleaching Powder")</f>
        <v>Bleaching Powder</v>
      </c>
      <c r="B168" s="25" t="str">
        <f>IFERROR(__xludf.DUMMYFUNCTION("""COMPUTED_VALUE"""),"Powder")</f>
        <v>Powder</v>
      </c>
      <c r="C168" s="25" t="str">
        <f>IFERROR(__xludf.DUMMYFUNCTION("""COMPUTED_VALUE"""),"POW-POW-302")</f>
        <v>POW-POW-302</v>
      </c>
      <c r="D168" s="38" t="str">
        <f>IF(COUNTIF('Form responses 4'!B:B,C168)&gt;0, "", "https://docs.google.com/forms/d/e/1FAIpQLSdhNamFeglgVtt555M7xM7e8ZAg9KCWMEcDlLzX1oeZsyGxrg/viewform?usp=pp_url&amp;entry.580385001="&amp;C168&amp;"&amp;entry.1376952895="&amp;A168)</f>
        <v/>
      </c>
      <c r="E168" s="25">
        <f>IFERROR(IF(C168&lt;&gt;"",VLOOKUP(C168,IMS!$A$2:$E1000,5,0),""),"")</f>
        <v>3</v>
      </c>
    </row>
    <row r="169">
      <c r="A169" s="25" t="str">
        <f>IFERROR(__xludf.DUMMYFUNCTION("""COMPUTED_VALUE"""),"Thanik Gum and Adhesive")</f>
        <v>Thanik Gum and Adhesive</v>
      </c>
      <c r="B169" s="25" t="str">
        <f>IFERROR(__xludf.DUMMYFUNCTION("""COMPUTED_VALUE"""),"Adhesive")</f>
        <v>Adhesive</v>
      </c>
      <c r="C169" s="25" t="str">
        <f>IFERROR(__xludf.DUMMYFUNCTION("""COMPUTED_VALUE"""),"A-ADH-303")</f>
        <v>A-ADH-303</v>
      </c>
      <c r="D169" s="38" t="str">
        <f>IF(COUNTIF('Form responses 4'!B:B,C169)&gt;0, "", "https://docs.google.com/forms/d/e/1FAIpQLSdhNamFeglgVtt555M7xM7e8ZAg9KCWMEcDlLzX1oeZsyGxrg/viewform?usp=pp_url&amp;entry.580385001="&amp;C169&amp;"&amp;entry.1376952895="&amp;A169)</f>
        <v>https://docs.google.com/forms/d/e/1FAIpQLSdhNamFeglgVtt555M7xM7e8ZAg9KCWMEcDlLzX1oeZsyGxrg/viewform?usp=pp_url&amp;entry.580385001=A-ADH-303&amp;entry.1376952895=Thanik Gum and Adhesive</v>
      </c>
      <c r="E169" s="25">
        <f>IFERROR(IF(C169&lt;&gt;"",VLOOKUP(C169,IMS!$A$2:$E1000,5,0),""),"")</f>
        <v>2</v>
      </c>
    </row>
    <row r="170">
      <c r="A170" s="25" t="str">
        <f>IFERROR(__xludf.DUMMYFUNCTION("""COMPUTED_VALUE"""),"GEL TACK REDUCER")</f>
        <v>GEL TACK REDUCER</v>
      </c>
      <c r="B170" s="25" t="str">
        <f>IFERROR(__xludf.DUMMYFUNCTION("""COMPUTED_VALUE"""),"Chemical")</f>
        <v>Chemical</v>
      </c>
      <c r="C170" s="25" t="str">
        <f>IFERROR(__xludf.DUMMYFUNCTION("""COMPUTED_VALUE"""),"CH-SOL-305")</f>
        <v>CH-SOL-305</v>
      </c>
      <c r="D170" s="38" t="str">
        <f>IF(COUNTIF('Form responses 4'!B:B,C170)&gt;0, "", "https://docs.google.com/forms/d/e/1FAIpQLSdhNamFeglgVtt555M7xM7e8ZAg9KCWMEcDlLzX1oeZsyGxrg/viewform?usp=pp_url&amp;entry.580385001="&amp;C170&amp;"&amp;entry.1376952895="&amp;A170)</f>
        <v/>
      </c>
      <c r="E170" s="25">
        <f>IFERROR(IF(C170&lt;&gt;"",VLOOKUP(C170,IMS!$A$2:$E1000,5,0),""),"")</f>
        <v>2</v>
      </c>
    </row>
    <row r="171">
      <c r="A171" s="25" t="str">
        <f>IFERROR(__xludf.DUMMYFUNCTION("""COMPUTED_VALUE"""),"Pantone 1915C")</f>
        <v>Pantone 1915C</v>
      </c>
      <c r="B171" s="25" t="str">
        <f>IFERROR(__xludf.DUMMYFUNCTION("""COMPUTED_VALUE"""),"Ink")</f>
        <v>Ink</v>
      </c>
      <c r="C171" s="25" t="str">
        <f>IFERROR(__xludf.DUMMYFUNCTION("""COMPUTED_VALUE"""),"I-PAN-309")</f>
        <v>I-PAN-309</v>
      </c>
      <c r="D171" s="38" t="str">
        <f>IF(COUNTIF('Form responses 4'!B:B,C171)&gt;0, "", "https://docs.google.com/forms/d/e/1FAIpQLSdhNamFeglgVtt555M7xM7e8ZAg9KCWMEcDlLzX1oeZsyGxrg/viewform?usp=pp_url&amp;entry.580385001="&amp;C171&amp;"&amp;entry.1376952895="&amp;A171)</f>
        <v>https://docs.google.com/forms/d/e/1FAIpQLSdhNamFeglgVtt555M7xM7e8ZAg9KCWMEcDlLzX1oeZsyGxrg/viewform?usp=pp_url&amp;entry.580385001=I-PAN-309&amp;entry.1376952895=Pantone 1915C</v>
      </c>
      <c r="E171" s="25">
        <f>IFERROR(IF(C171&lt;&gt;"",VLOOKUP(C171,IMS!$A$2:$E1000,5,0),""),"")</f>
        <v>0</v>
      </c>
    </row>
    <row r="172">
      <c r="A172" s="25" t="str">
        <f>IFERROR(__xludf.DUMMYFUNCTION("""COMPUTED_VALUE"""),"WD 40")</f>
        <v>WD 40</v>
      </c>
      <c r="B172" s="25" t="str">
        <f>IFERROR(__xludf.DUMMYFUNCTION("""COMPUTED_VALUE"""),"Chemical")</f>
        <v>Chemical</v>
      </c>
      <c r="C172" s="25" t="str">
        <f>IFERROR(__xludf.DUMMYFUNCTION("""COMPUTED_VALUE"""),"CH-SOL-313")</f>
        <v>CH-SOL-313</v>
      </c>
      <c r="D172" s="38" t="str">
        <f>IF(COUNTIF('Form responses 4'!B:B,C172)&gt;0, "", "https://docs.google.com/forms/d/e/1FAIpQLSdhNamFeglgVtt555M7xM7e8ZAg9KCWMEcDlLzX1oeZsyGxrg/viewform?usp=pp_url&amp;entry.580385001="&amp;C172&amp;"&amp;entry.1376952895="&amp;A172)</f>
        <v/>
      </c>
      <c r="E172" s="25">
        <f>IFERROR(IF(C172&lt;&gt;"",VLOOKUP(C172,IMS!$A$2:$E1000,5,0),""),"")</f>
        <v>0</v>
      </c>
    </row>
    <row r="173">
      <c r="A173" s="25" t="str">
        <f>IFERROR(__xludf.DUMMYFUNCTION("""COMPUTED_VALUE"""),"Orgate Face Mask Pantone 113C Yellow")</f>
        <v>Orgate Face Mask Pantone 113C Yellow</v>
      </c>
      <c r="B173" s="25" t="str">
        <f>IFERROR(__xludf.DUMMYFUNCTION("""COMPUTED_VALUE"""),"Ink")</f>
        <v>Ink</v>
      </c>
      <c r="C173" s="25" t="str">
        <f>IFERROR(__xludf.DUMMYFUNCTION("""COMPUTED_VALUE"""),"I-PAN-327")</f>
        <v>I-PAN-327</v>
      </c>
      <c r="D173" s="38" t="str">
        <f>IF(COUNTIF('Form responses 4'!B:B,C173)&gt;0, "", "https://docs.google.com/forms/d/e/1FAIpQLSdhNamFeglgVtt555M7xM7e8ZAg9KCWMEcDlLzX1oeZsyGxrg/viewform?usp=pp_url&amp;entry.580385001="&amp;C173&amp;"&amp;entry.1376952895="&amp;A173)</f>
        <v>https://docs.google.com/forms/d/e/1FAIpQLSdhNamFeglgVtt555M7xM7e8ZAg9KCWMEcDlLzX1oeZsyGxrg/viewform?usp=pp_url&amp;entry.580385001=I-PAN-327&amp;entry.1376952895=Orgate Face Mask Pantone 113C Yellow</v>
      </c>
    </row>
    <row r="174">
      <c r="A174" s="25" t="str">
        <f>IFERROR(__xludf.DUMMYFUNCTION("""COMPUTED_VALUE"""),"Orgate Mood Bliss Pantone 510C Pink")</f>
        <v>Orgate Mood Bliss Pantone 510C Pink</v>
      </c>
      <c r="B174" s="25" t="str">
        <f>IFERROR(__xludf.DUMMYFUNCTION("""COMPUTED_VALUE"""),"Ink")</f>
        <v>Ink</v>
      </c>
      <c r="C174" s="25" t="str">
        <f>IFERROR(__xludf.DUMMYFUNCTION("""COMPUTED_VALUE"""),"I-PAN-328")</f>
        <v>I-PAN-328</v>
      </c>
      <c r="D174" s="38" t="str">
        <f>IF(COUNTIF('Form responses 4'!B:B,C174)&gt;0, "", "https://docs.google.com/forms/d/e/1FAIpQLSdhNamFeglgVtt555M7xM7e8ZAg9KCWMEcDlLzX1oeZsyGxrg/viewform?usp=pp_url&amp;entry.580385001="&amp;C174&amp;"&amp;entry.1376952895="&amp;A174)</f>
        <v>https://docs.google.com/forms/d/e/1FAIpQLSdhNamFeglgVtt555M7xM7e8ZAg9KCWMEcDlLzX1oeZsyGxrg/viewform?usp=pp_url&amp;entry.580385001=I-PAN-328&amp;entry.1376952895=Orgate Mood Bliss Pantone 510C Pink</v>
      </c>
    </row>
    <row r="175">
      <c r="A175" s="25" t="str">
        <f>IFERROR(__xludf.DUMMYFUNCTION("""COMPUTED_VALUE"""),"UV LED FEBBLE PERFECTION PINK DS/25205")</f>
        <v>UV LED FEBBLE PERFECTION PINK DS/25205</v>
      </c>
      <c r="B175" s="25" t="str">
        <f>IFERROR(__xludf.DUMMYFUNCTION("""COMPUTED_VALUE"""),"Ink")</f>
        <v>Ink</v>
      </c>
      <c r="C175" s="25" t="str">
        <f>IFERROR(__xludf.DUMMYFUNCTION("""COMPUTED_VALUE"""),"I-PAN-329")</f>
        <v>I-PAN-329</v>
      </c>
      <c r="D175" s="38" t="str">
        <f>IF(COUNTIF('Form responses 4'!B:B,C175)&gt;0, "", "https://docs.google.com/forms/d/e/1FAIpQLSdhNamFeglgVtt555M7xM7e8ZAg9KCWMEcDlLzX1oeZsyGxrg/viewform?usp=pp_url&amp;entry.580385001="&amp;C175&amp;"&amp;entry.1376952895="&amp;A175)</f>
        <v>https://docs.google.com/forms/d/e/1FAIpQLSdhNamFeglgVtt555M7xM7e8ZAg9KCWMEcDlLzX1oeZsyGxrg/viewform?usp=pp_url&amp;entry.580385001=I-PAN-329&amp;entry.1376952895=UV LED FEBBLE PERFECTION PINK DS/25205</v>
      </c>
    </row>
    <row r="176">
      <c r="A176" s="25" t="str">
        <f>IFERROR(__xludf.DUMMYFUNCTION("""COMPUTED_VALUE"""),"Bopp Film 18.5 inch Gloss")</f>
        <v>Bopp Film 18.5 inch Gloss</v>
      </c>
      <c r="B176" s="25" t="str">
        <f>IFERROR(__xludf.DUMMYFUNCTION("""COMPUTED_VALUE"""),"Lamination")</f>
        <v>Lamination</v>
      </c>
      <c r="C176" s="25" t="str">
        <f>IFERROR(__xludf.DUMMYFUNCTION("""COMPUTED_VALUE"""),"L-COA-332")</f>
        <v>L-COA-332</v>
      </c>
      <c r="D176" s="38" t="str">
        <f>IF(COUNTIF('Form responses 4'!B:B,C176)&gt;0, "", "https://docs.google.com/forms/d/e/1FAIpQLSdhNamFeglgVtt555M7xM7e8ZAg9KCWMEcDlLzX1oeZsyGxrg/viewform?usp=pp_url&amp;entry.580385001="&amp;C176&amp;"&amp;entry.1376952895="&amp;A176)</f>
        <v>https://docs.google.com/forms/d/e/1FAIpQLSdhNamFeglgVtt555M7xM7e8ZAg9KCWMEcDlLzX1oeZsyGxrg/viewform?usp=pp_url&amp;entry.580385001=L-COA-332&amp;entry.1376952895=Bopp Film 18.5 inch Gloss</v>
      </c>
    </row>
    <row r="177">
      <c r="A177" s="25" t="str">
        <f>IFERROR(__xludf.DUMMYFUNCTION("""COMPUTED_VALUE"""),"Pan 211C-SSE 001349")</f>
        <v>Pan 211C-SSE 001349</v>
      </c>
      <c r="B177" s="25" t="str">
        <f>IFERROR(__xludf.DUMMYFUNCTION("""COMPUTED_VALUE"""),"Ink")</f>
        <v>Ink</v>
      </c>
      <c r="C177" s="25" t="str">
        <f>IFERROR(__xludf.DUMMYFUNCTION("""COMPUTED_VALUE"""),"I-PAN-333")</f>
        <v>I-PAN-333</v>
      </c>
      <c r="D177" s="38" t="str">
        <f>IF(COUNTIF('Form responses 4'!B:B,C177)&gt;0, "", "https://docs.google.com/forms/d/e/1FAIpQLSdhNamFeglgVtt555M7xM7e8ZAg9KCWMEcDlLzX1oeZsyGxrg/viewform?usp=pp_url&amp;entry.580385001="&amp;C177&amp;"&amp;entry.1376952895="&amp;A177)</f>
        <v>https://docs.google.com/forms/d/e/1FAIpQLSdhNamFeglgVtt555M7xM7e8ZAg9KCWMEcDlLzX1oeZsyGxrg/viewform?usp=pp_url&amp;entry.580385001=I-PAN-333&amp;entry.1376952895=Pan 211C-SSE 001349</v>
      </c>
    </row>
    <row r="178">
      <c r="A178" s="25" t="str">
        <f>IFERROR(__xludf.DUMMYFUNCTION("""COMPUTED_VALUE"""),"RAINBOW FOIL")</f>
        <v>RAINBOW FOIL</v>
      </c>
      <c r="B178" s="25" t="str">
        <f>IFERROR(__xludf.DUMMYFUNCTION("""COMPUTED_VALUE"""),"Coating")</f>
        <v>Coating</v>
      </c>
      <c r="C178" s="25" t="str">
        <f>IFERROR(__xludf.DUMMYFUNCTION("""COMPUTED_VALUE"""),"C-COA-334")</f>
        <v>C-COA-334</v>
      </c>
      <c r="D178" s="38" t="str">
        <f>IF(COUNTIF('Form responses 4'!B:B,C178)&gt;0, "", "https://docs.google.com/forms/d/e/1FAIpQLSdhNamFeglgVtt555M7xM7e8ZAg9KCWMEcDlLzX1oeZsyGxrg/viewform?usp=pp_url&amp;entry.580385001="&amp;C178&amp;"&amp;entry.1376952895="&amp;A178)</f>
        <v>https://docs.google.com/forms/d/e/1FAIpQLSdhNamFeglgVtt555M7xM7e8ZAg9KCWMEcDlLzX1oeZsyGxrg/viewform?usp=pp_url&amp;entry.580385001=C-COA-334&amp;entry.1376952895=RAINBOW FOIL</v>
      </c>
    </row>
    <row r="179">
      <c r="A179" s="25" t="str">
        <f>IFERROR(__xludf.DUMMYFUNCTION("""COMPUTED_VALUE"""),"CALIBRATED SHEET YELLOW")</f>
        <v>CALIBRATED SHEET YELLOW</v>
      </c>
      <c r="B179" s="25" t="str">
        <f>IFERROR(__xludf.DUMMYFUNCTION("""COMPUTED_VALUE"""),"Miscellaneous")</f>
        <v>Miscellaneous</v>
      </c>
      <c r="C179" s="25" t="str">
        <f>IFERROR(__xludf.DUMMYFUNCTION("""COMPUTED_VALUE"""),"M-OTH-335")</f>
        <v>M-OTH-335</v>
      </c>
      <c r="D179" s="38" t="str">
        <f>IF(COUNTIF('Form responses 4'!B:B,C179)&gt;0, "", "https://docs.google.com/forms/d/e/1FAIpQLSdhNamFeglgVtt555M7xM7e8ZAg9KCWMEcDlLzX1oeZsyGxrg/viewform?usp=pp_url&amp;entry.580385001="&amp;C179&amp;"&amp;entry.1376952895="&amp;A179)</f>
        <v>https://docs.google.com/forms/d/e/1FAIpQLSdhNamFeglgVtt555M7xM7e8ZAg9KCWMEcDlLzX1oeZsyGxrg/viewform?usp=pp_url&amp;entry.580385001=M-OTH-335&amp;entry.1376952895=CALIBRATED SHEET YELLOW</v>
      </c>
    </row>
    <row r="180">
      <c r="A180" s="25" t="str">
        <f>IFERROR(__xludf.DUMMYFUNCTION("""COMPUTED_VALUE"""),"CALIBRATED SHEET BLUE")</f>
        <v>CALIBRATED SHEET BLUE</v>
      </c>
      <c r="B180" s="25" t="str">
        <f>IFERROR(__xludf.DUMMYFUNCTION("""COMPUTED_VALUE"""),"Miscellaneous")</f>
        <v>Miscellaneous</v>
      </c>
      <c r="C180" s="25" t="str">
        <f>IFERROR(__xludf.DUMMYFUNCTION("""COMPUTED_VALUE"""),"M-OTH-336")</f>
        <v>M-OTH-336</v>
      </c>
      <c r="D180" s="38" t="str">
        <f>IF(COUNTIF('Form responses 4'!B:B,C180)&gt;0, "", "https://docs.google.com/forms/d/e/1FAIpQLSdhNamFeglgVtt555M7xM7e8ZAg9KCWMEcDlLzX1oeZsyGxrg/viewform?usp=pp_url&amp;entry.580385001="&amp;C180&amp;"&amp;entry.1376952895="&amp;A180)</f>
        <v>https://docs.google.com/forms/d/e/1FAIpQLSdhNamFeglgVtt555M7xM7e8ZAg9KCWMEcDlLzX1oeZsyGxrg/viewform?usp=pp_url&amp;entry.580385001=M-OTH-336&amp;entry.1376952895=CALIBRATED SHEET BLUE</v>
      </c>
    </row>
    <row r="181">
      <c r="A181" s="25" t="str">
        <f>IFERROR(__xludf.DUMMYFUNCTION("""COMPUTED_VALUE"""),"Bopp Film 16.5 inch Normal Matt")</f>
        <v>Bopp Film 16.5 inch Normal Matt</v>
      </c>
      <c r="B181" s="25" t="str">
        <f>IFERROR(__xludf.DUMMYFUNCTION("""COMPUTED_VALUE"""),"Lamination")</f>
        <v>Lamination</v>
      </c>
      <c r="C181" s="25" t="str">
        <f>IFERROR(__xludf.DUMMYFUNCTION("""COMPUTED_VALUE"""),"L-COA-338")</f>
        <v>L-COA-338</v>
      </c>
      <c r="D181" s="38" t="str">
        <f>IF(COUNTIF('Form responses 4'!B:B,C181)&gt;0, "", "https://docs.google.com/forms/d/e/1FAIpQLSdhNamFeglgVtt555M7xM7e8ZAg9KCWMEcDlLzX1oeZsyGxrg/viewform?usp=pp_url&amp;entry.580385001="&amp;C181&amp;"&amp;entry.1376952895="&amp;A181)</f>
        <v>https://docs.google.com/forms/d/e/1FAIpQLSdhNamFeglgVtt555M7xM7e8ZAg9KCWMEcDlLzX1oeZsyGxrg/viewform?usp=pp_url&amp;entry.580385001=L-COA-338&amp;entry.1376952895=Bopp Film 16.5 inch Normal Matt</v>
      </c>
    </row>
    <row r="182">
      <c r="A182" s="25" t="str">
        <f>IFERROR(__xludf.DUMMYFUNCTION("""COMPUTED_VALUE"""),"Bopp Film 18.5 inch Normal Matt")</f>
        <v>Bopp Film 18.5 inch Normal Matt</v>
      </c>
      <c r="B182" s="25" t="str">
        <f>IFERROR(__xludf.DUMMYFUNCTION("""COMPUTED_VALUE"""),"Lamination")</f>
        <v>Lamination</v>
      </c>
      <c r="C182" s="25" t="str">
        <f>IFERROR(__xludf.DUMMYFUNCTION("""COMPUTED_VALUE"""),"L-COA-339")</f>
        <v>L-COA-339</v>
      </c>
      <c r="D182" s="38" t="str">
        <f>IF(COUNTIF('Form responses 4'!B:B,C182)&gt;0, "", "https://docs.google.com/forms/d/e/1FAIpQLSdhNamFeglgVtt555M7xM7e8ZAg9KCWMEcDlLzX1oeZsyGxrg/viewform?usp=pp_url&amp;entry.580385001="&amp;C182&amp;"&amp;entry.1376952895="&amp;A182)</f>
        <v>https://docs.google.com/forms/d/e/1FAIpQLSdhNamFeglgVtt555M7xM7e8ZAg9KCWMEcDlLzX1oeZsyGxrg/viewform?usp=pp_url&amp;entry.580385001=L-COA-339&amp;entry.1376952895=Bopp Film 18.5 inch Normal Matt</v>
      </c>
    </row>
    <row r="183">
      <c r="A183" s="25" t="str">
        <f>IFERROR(__xludf.DUMMYFUNCTION("""COMPUTED_VALUE"""),"Blanket")</f>
        <v>Blanket</v>
      </c>
      <c r="B183" s="25" t="str">
        <f>IFERROR(__xludf.DUMMYFUNCTION("""COMPUTED_VALUE"""),"Miscellaneous")</f>
        <v>Miscellaneous</v>
      </c>
      <c r="C183" s="25" t="str">
        <f>IFERROR(__xludf.DUMMYFUNCTION("""COMPUTED_VALUE"""),"M-OTH-344")</f>
        <v>M-OTH-344</v>
      </c>
      <c r="D183" s="38" t="str">
        <f>IF(COUNTIF('Form responses 4'!B:B,C183)&gt;0, "", "https://docs.google.com/forms/d/e/1FAIpQLSdhNamFeglgVtt555M7xM7e8ZAg9KCWMEcDlLzX1oeZsyGxrg/viewform?usp=pp_url&amp;entry.580385001="&amp;C183&amp;"&amp;entry.1376952895="&amp;A183)</f>
        <v/>
      </c>
    </row>
    <row r="184">
      <c r="A184" s="25" t="str">
        <f>IFERROR(__xludf.DUMMYFUNCTION("""COMPUTED_VALUE"""),"JSS P-7597 THANDA HERBAL OIL SSE - 001457")</f>
        <v>JSS P-7597 THANDA HERBAL OIL SSE - 001457</v>
      </c>
      <c r="B184" s="25" t="str">
        <f>IFERROR(__xludf.DUMMYFUNCTION("""COMPUTED_VALUE"""),"Ink")</f>
        <v>Ink</v>
      </c>
      <c r="C184" s="25" t="str">
        <f>IFERROR(__xludf.DUMMYFUNCTION("""COMPUTED_VALUE"""),"I-PAN-345")</f>
        <v>I-PAN-345</v>
      </c>
      <c r="D184" s="38" t="str">
        <f>IF(COUNTIF('Form responses 4'!B:B,C184)&gt;0, "", "https://docs.google.com/forms/d/e/1FAIpQLSdhNamFeglgVtt555M7xM7e8ZAg9KCWMEcDlLzX1oeZsyGxrg/viewform?usp=pp_url&amp;entry.580385001="&amp;C184&amp;"&amp;entry.1376952895="&amp;A184)</f>
        <v>https://docs.google.com/forms/d/e/1FAIpQLSdhNamFeglgVtt555M7xM7e8ZAg9KCWMEcDlLzX1oeZsyGxrg/viewform?usp=pp_url&amp;entry.580385001=I-PAN-345&amp;entry.1376952895=JSS P-7597 THANDA HERBAL OIL SSE - 001457</v>
      </c>
    </row>
    <row r="185">
      <c r="A185" s="25" t="str">
        <f>IFERROR(__xludf.DUMMYFUNCTION("""COMPUTED_VALUE"""),"Self Adhesive Tape Transparent 12.5 Mm")</f>
        <v>Self Adhesive Tape Transparent 12.5 Mm</v>
      </c>
      <c r="B185" s="25" t="str">
        <f>IFERROR(__xludf.DUMMYFUNCTION("""COMPUTED_VALUE"""),"Adhesive")</f>
        <v>Adhesive</v>
      </c>
      <c r="C185" s="25" t="str">
        <f>IFERROR(__xludf.DUMMYFUNCTION("""COMPUTED_VALUE"""),"A-ADH-350")</f>
        <v>A-ADH-350</v>
      </c>
      <c r="D185" s="38" t="str">
        <f>IF(COUNTIF('Form responses 4'!B:B,C185)&gt;0, "", "https://docs.google.com/forms/d/e/1FAIpQLSdhNamFeglgVtt555M7xM7e8ZAg9KCWMEcDlLzX1oeZsyGxrg/viewform?usp=pp_url&amp;entry.580385001="&amp;C185&amp;"&amp;entry.1376952895="&amp;A185)</f>
        <v>https://docs.google.com/forms/d/e/1FAIpQLSdhNamFeglgVtt555M7xM7e8ZAg9KCWMEcDlLzX1oeZsyGxrg/viewform?usp=pp_url&amp;entry.580385001=A-ADH-350&amp;entry.1376952895=Self Adhesive Tape Transparent 12.5 Mm</v>
      </c>
    </row>
    <row r="186">
      <c r="A186" s="25" t="str">
        <f>IFERROR(__xludf.DUMMYFUNCTION("""COMPUTED_VALUE"""),"Pantone 5125C mederma care for scars ")</f>
        <v>Pantone 5125C mederma care for scars </v>
      </c>
      <c r="B186" s="25" t="str">
        <f>IFERROR(__xludf.DUMMYFUNCTION("""COMPUTED_VALUE"""),"Ink")</f>
        <v>Ink</v>
      </c>
      <c r="C186" s="25" t="str">
        <f>IFERROR(__xludf.DUMMYFUNCTION("""COMPUTED_VALUE"""),"I-PAN-351")</f>
        <v>I-PAN-351</v>
      </c>
      <c r="D186" s="38" t="str">
        <f>IF(COUNTIF('Form responses 4'!B:B,C186)&gt;0, "", "https://docs.google.com/forms/d/e/1FAIpQLSdhNamFeglgVtt555M7xM7e8ZAg9KCWMEcDlLzX1oeZsyGxrg/viewform?usp=pp_url&amp;entry.580385001="&amp;C186&amp;"&amp;entry.1376952895="&amp;A186)</f>
        <v>https://docs.google.com/forms/d/e/1FAIpQLSdhNamFeglgVtt555M7xM7e8ZAg9KCWMEcDlLzX1oeZsyGxrg/viewform?usp=pp_url&amp;entry.580385001=I-PAN-351&amp;entry.1376952895=Pantone 5125C mederma care for scars </v>
      </c>
    </row>
    <row r="187">
      <c r="A187" s="25" t="str">
        <f>IFERROR(__xludf.DUMMYFUNCTION("""COMPUTED_VALUE"""),"DS/24604 BOX PINK (URBANZEN KIT )")</f>
        <v>DS/24604 BOX PINK (URBANZEN KIT )</v>
      </c>
      <c r="B187" s="25" t="str">
        <f>IFERROR(__xludf.DUMMYFUNCTION("""COMPUTED_VALUE"""),"Ink")</f>
        <v>Ink</v>
      </c>
      <c r="C187" s="25" t="str">
        <f>IFERROR(__xludf.DUMMYFUNCTION("""COMPUTED_VALUE"""),"I-PAN-356")</f>
        <v>I-PAN-356</v>
      </c>
      <c r="D187" s="38" t="str">
        <f>IF(COUNTIF('Form responses 4'!B:B,C187)&gt;0, "", "https://docs.google.com/forms/d/e/1FAIpQLSdhNamFeglgVtt555M7xM7e8ZAg9KCWMEcDlLzX1oeZsyGxrg/viewform?usp=pp_url&amp;entry.580385001="&amp;C187&amp;"&amp;entry.1376952895="&amp;A187)</f>
        <v>https://docs.google.com/forms/d/e/1FAIpQLSdhNamFeglgVtt555M7xM7e8ZAg9KCWMEcDlLzX1oeZsyGxrg/viewform?usp=pp_url&amp;entry.580385001=I-PAN-356&amp;entry.1376952895=DS/24604 BOX PINK (URBANZEN KIT )</v>
      </c>
    </row>
    <row r="188">
      <c r="A188" s="25" t="str">
        <f>IFERROR(__xludf.DUMMYFUNCTION("""COMPUTED_VALUE"""),"POLYFIX YELLOW")</f>
        <v>POLYFIX YELLOW</v>
      </c>
      <c r="B188" s="25" t="str">
        <f>IFERROR(__xludf.DUMMYFUNCTION("""COMPUTED_VALUE"""),"Ink")</f>
        <v>Ink</v>
      </c>
      <c r="C188" s="25" t="str">
        <f>IFERROR(__xludf.DUMMYFUNCTION("""COMPUTED_VALUE"""),"I-OTH-357")</f>
        <v>I-OTH-357</v>
      </c>
      <c r="D188" s="38" t="str">
        <f>IF(COUNTIF('Form responses 4'!B:B,C188)&gt;0, "", "https://docs.google.com/forms/d/e/1FAIpQLSdhNamFeglgVtt555M7xM7e8ZAg9KCWMEcDlLzX1oeZsyGxrg/viewform?usp=pp_url&amp;entry.580385001="&amp;C188&amp;"&amp;entry.1376952895="&amp;A188)</f>
        <v>https://docs.google.com/forms/d/e/1FAIpQLSdhNamFeglgVtt555M7xM7e8ZAg9KCWMEcDlLzX1oeZsyGxrg/viewform?usp=pp_url&amp;entry.580385001=I-OTH-357&amp;entry.1376952895=POLYFIX YELLOW</v>
      </c>
    </row>
    <row r="189">
      <c r="A189" s="25" t="str">
        <f>IFERROR(__xludf.DUMMYFUNCTION("""COMPUTED_VALUE"""),"POLYFIX MAGENTA")</f>
        <v>POLYFIX MAGENTA</v>
      </c>
      <c r="B189" s="25" t="str">
        <f>IFERROR(__xludf.DUMMYFUNCTION("""COMPUTED_VALUE"""),"Ink")</f>
        <v>Ink</v>
      </c>
      <c r="C189" s="25" t="str">
        <f>IFERROR(__xludf.DUMMYFUNCTION("""COMPUTED_VALUE"""),"I-OTH-358")</f>
        <v>I-OTH-358</v>
      </c>
      <c r="D189" s="38" t="str">
        <f>IF(COUNTIF('Form responses 4'!B:B,C189)&gt;0, "", "https://docs.google.com/forms/d/e/1FAIpQLSdhNamFeglgVtt555M7xM7e8ZAg9KCWMEcDlLzX1oeZsyGxrg/viewform?usp=pp_url&amp;entry.580385001="&amp;C189&amp;"&amp;entry.1376952895="&amp;A189)</f>
        <v>https://docs.google.com/forms/d/e/1FAIpQLSdhNamFeglgVtt555M7xM7e8ZAg9KCWMEcDlLzX1oeZsyGxrg/viewform?usp=pp_url&amp;entry.580385001=I-OTH-358&amp;entry.1376952895=POLYFIX MAGENTA</v>
      </c>
    </row>
    <row r="190">
      <c r="A190" s="25" t="str">
        <f>IFERROR(__xludf.DUMMYFUNCTION("""COMPUTED_VALUE"""),"inkreducer(phosporic)")</f>
        <v>inkreducer(phosporic)</v>
      </c>
      <c r="B190" s="25" t="str">
        <f>IFERROR(__xludf.DUMMYFUNCTION("""COMPUTED_VALUE"""),"Chemical")</f>
        <v>Chemical</v>
      </c>
      <c r="C190" s="25" t="str">
        <f>IFERROR(__xludf.DUMMYFUNCTION("""COMPUTED_VALUE"""),"CH-SOL-360")</f>
        <v>CH-SOL-360</v>
      </c>
      <c r="D190" s="105" t="str">
        <f>IF(COUNTIF('Form responses 4'!B:B,C190)&gt;0, "", "https://docs.google.com/forms/d/e/1FAIpQLSdhNamFeglgVtt555M7xM7e8ZAg9KCWMEcDlLzX1oeZsyGxrg/viewform?usp=pp_url&amp;entry.580385001="&amp;C190&amp;"&amp;entry.1376952895="&amp;A190)</f>
        <v>https://docs.google.com/forms/d/e/1FAIpQLSdhNamFeglgVtt555M7xM7e8ZAg9KCWMEcDlLzX1oeZsyGxrg/viewform?usp=pp_url&amp;entry.580385001=CH-SOL-360&amp;entry.1376952895=inkreducer(phosporic)</v>
      </c>
    </row>
    <row r="191">
      <c r="A191" s="25" t="str">
        <f>IFERROR(__xludf.DUMMYFUNCTION("""COMPUTED_VALUE"""),"Bopp Film 17 inch Gloss")</f>
        <v>Bopp Film 17 inch Gloss</v>
      </c>
      <c r="B191" s="25" t="str">
        <f>IFERROR(__xludf.DUMMYFUNCTION("""COMPUTED_VALUE"""),"Lamination")</f>
        <v>Lamination</v>
      </c>
      <c r="C191" s="25" t="str">
        <f>IFERROR(__xludf.DUMMYFUNCTION("""COMPUTED_VALUE"""),"L-BOP-361")</f>
        <v>L-BOP-361</v>
      </c>
      <c r="D191" s="38" t="str">
        <f>IF(COUNTIF('Form responses 4'!B:B,C191)&gt;0, "", "https://docs.google.com/forms/d/e/1FAIpQLSdhNamFeglgVtt555M7xM7e8ZAg9KCWMEcDlLzX1oeZsyGxrg/viewform?usp=pp_url&amp;entry.580385001="&amp;C191&amp;"&amp;entry.1376952895="&amp;A191)</f>
        <v>https://docs.google.com/forms/d/e/1FAIpQLSdhNamFeglgVtt555M7xM7e8ZAg9KCWMEcDlLzX1oeZsyGxrg/viewform?usp=pp_url&amp;entry.580385001=L-BOP-361&amp;entry.1376952895=Bopp Film 17 inch Gloss</v>
      </c>
    </row>
    <row r="192">
      <c r="A192" s="25" t="str">
        <f>IFERROR(__xludf.DUMMYFUNCTION("""COMPUTED_VALUE"""),"MULTANI NATURALS ORANGE DS/25312")</f>
        <v>MULTANI NATURALS ORANGE DS/25312</v>
      </c>
      <c r="B192" s="25" t="str">
        <f>IFERROR(__xludf.DUMMYFUNCTION("""COMPUTED_VALUE"""),"Ink")</f>
        <v>Ink</v>
      </c>
      <c r="C192" s="25" t="str">
        <f>IFERROR(__xludf.DUMMYFUNCTION("""COMPUTED_VALUE"""),"I-PAN-372")</f>
        <v>I-PAN-372</v>
      </c>
      <c r="D192" s="38" t="str">
        <f>IF(COUNTIF('Form responses 4'!B:B,C192)&gt;0, "", "https://docs.google.com/forms/d/e/1FAIpQLSdhNamFeglgVtt555M7xM7e8ZAg9KCWMEcDlLzX1oeZsyGxrg/viewform?usp=pp_url&amp;entry.580385001="&amp;C192&amp;"&amp;entry.1376952895="&amp;A192)</f>
        <v>https://docs.google.com/forms/d/e/1FAIpQLSdhNamFeglgVtt555M7xM7e8ZAg9KCWMEcDlLzX1oeZsyGxrg/viewform?usp=pp_url&amp;entry.580385001=I-PAN-372&amp;entry.1376952895=MULTANI NATURALS ORANGE DS/25312</v>
      </c>
    </row>
    <row r="193">
      <c r="A193" s="25" t="str">
        <f>IFERROR(__xludf.DUMMYFUNCTION("""COMPUTED_VALUE"""),"i pop cosmic blue Kajal SSE 001512")</f>
        <v>i pop cosmic blue Kajal SSE 001512</v>
      </c>
      <c r="B193" s="25" t="str">
        <f>IFERROR(__xludf.DUMMYFUNCTION("""COMPUTED_VALUE"""),"Ink")</f>
        <v>Ink</v>
      </c>
      <c r="C193" s="25" t="str">
        <f>IFERROR(__xludf.DUMMYFUNCTION("""COMPUTED_VALUE"""),"I-PAN-386")</f>
        <v>I-PAN-386</v>
      </c>
      <c r="D193" s="38" t="str">
        <f>IF(COUNTIF('Form responses 4'!B:B,C193)&gt;0, "", "https://docs.google.com/forms/d/e/1FAIpQLSdhNamFeglgVtt555M7xM7e8ZAg9KCWMEcDlLzX1oeZsyGxrg/viewform?usp=pp_url&amp;entry.580385001="&amp;C193&amp;"&amp;entry.1376952895="&amp;A193)</f>
        <v/>
      </c>
    </row>
    <row r="194">
      <c r="A194" s="25" t="str">
        <f>IFERROR(__xludf.DUMMYFUNCTION("""COMPUTED_VALUE"""),"i pop wine wink kajal SSE 001509")</f>
        <v>i pop wine wink kajal SSE 001509</v>
      </c>
      <c r="B194" s="25" t="str">
        <f>IFERROR(__xludf.DUMMYFUNCTION("""COMPUTED_VALUE"""),"Ink")</f>
        <v>Ink</v>
      </c>
      <c r="C194" s="25" t="str">
        <f>IFERROR(__xludf.DUMMYFUNCTION("""COMPUTED_VALUE"""),"I-PAN-387")</f>
        <v>I-PAN-387</v>
      </c>
      <c r="D194" s="38" t="str">
        <f>IF(COUNTIF('Form responses 4'!B:B,C194)&gt;0, "", "https://docs.google.com/forms/d/e/1FAIpQLSdhNamFeglgVtt555M7xM7e8ZAg9KCWMEcDlLzX1oeZsyGxrg/viewform?usp=pp_url&amp;entry.580385001="&amp;C194&amp;"&amp;entry.1376952895="&amp;A194)</f>
        <v/>
      </c>
    </row>
    <row r="195">
      <c r="A195" s="25" t="str">
        <f>IFERROR(__xludf.DUMMYFUNCTION("""COMPUTED_VALUE"""),"i pop emerald kajal SSE 001511")</f>
        <v>i pop emerald kajal SSE 001511</v>
      </c>
      <c r="B195" s="25" t="str">
        <f>IFERROR(__xludf.DUMMYFUNCTION("""COMPUTED_VALUE"""),"Ink")</f>
        <v>Ink</v>
      </c>
      <c r="C195" s="25" t="str">
        <f>IFERROR(__xludf.DUMMYFUNCTION("""COMPUTED_VALUE"""),"I-PAN-388")</f>
        <v>I-PAN-388</v>
      </c>
      <c r="D195" s="38" t="str">
        <f>IF(COUNTIF('Form responses 4'!B:B,C195)&gt;0, "", "https://docs.google.com/forms/d/e/1FAIpQLSdhNamFeglgVtt555M7xM7e8ZAg9KCWMEcDlLzX1oeZsyGxrg/viewform?usp=pp_url&amp;entry.580385001="&amp;C195&amp;"&amp;entry.1376952895="&amp;A195)</f>
        <v/>
      </c>
    </row>
    <row r="196">
      <c r="A196" s="25" t="str">
        <f>IFERROR(__xludf.DUMMYFUNCTION("""COMPUTED_VALUE"""),"i pop blush mauve kajal SSE 001513")</f>
        <v>i pop blush mauve kajal SSE 001513</v>
      </c>
      <c r="B196" s="25" t="str">
        <f>IFERROR(__xludf.DUMMYFUNCTION("""COMPUTED_VALUE"""),"Ink")</f>
        <v>Ink</v>
      </c>
      <c r="C196" s="25" t="str">
        <f>IFERROR(__xludf.DUMMYFUNCTION("""COMPUTED_VALUE"""),"I-PAN-389")</f>
        <v>I-PAN-389</v>
      </c>
      <c r="D196" s="38" t="str">
        <f>IF(COUNTIF('Form responses 4'!B:B,C196)&gt;0, "", "https://docs.google.com/forms/d/e/1FAIpQLSdhNamFeglgVtt555M7xM7e8ZAg9KCWMEcDlLzX1oeZsyGxrg/viewform?usp=pp_url&amp;entry.580385001="&amp;C196&amp;"&amp;entry.1376952895="&amp;A196)</f>
        <v/>
      </c>
    </row>
    <row r="197">
      <c r="A197" s="25" t="str">
        <f>IFERROR(__xludf.DUMMYFUNCTION("""COMPUTED_VALUE"""),"i pop midlight blue kajal SSE 001510")</f>
        <v>i pop midlight blue kajal SSE 001510</v>
      </c>
      <c r="B197" s="25" t="str">
        <f>IFERROR(__xludf.DUMMYFUNCTION("""COMPUTED_VALUE"""),"Ink")</f>
        <v>Ink</v>
      </c>
      <c r="C197" s="25" t="str">
        <f>IFERROR(__xludf.DUMMYFUNCTION("""COMPUTED_VALUE"""),"I-PAN-390")</f>
        <v>I-PAN-390</v>
      </c>
      <c r="D197" s="38" t="str">
        <f>IF(COUNTIF('Form responses 4'!B:B,C197)&gt;0, "", "https://docs.google.com/forms/d/e/1FAIpQLSdhNamFeglgVtt555M7xM7e8ZAg9KCWMEcDlLzX1oeZsyGxrg/viewform?usp=pp_url&amp;entry.580385001="&amp;C197&amp;"&amp;entry.1376952895="&amp;A197)</f>
        <v/>
      </c>
    </row>
    <row r="198">
      <c r="A198" s="25" t="str">
        <f>IFERROR(__xludf.DUMMYFUNCTION("""COMPUTED_VALUE"""),"Multani Morning tablet 60- Pan-2411C SSE 001514")</f>
        <v>Multani Morning tablet 60- Pan-2411C SSE 001514</v>
      </c>
      <c r="B198" s="25" t="str">
        <f>IFERROR(__xludf.DUMMYFUNCTION("""COMPUTED_VALUE"""),"Ink")</f>
        <v>Ink</v>
      </c>
      <c r="C198" s="25" t="str">
        <f>IFERROR(__xludf.DUMMYFUNCTION("""COMPUTED_VALUE"""),"I-PAN-391")</f>
        <v>I-PAN-391</v>
      </c>
      <c r="D198" s="38" t="str">
        <f>IF(COUNTIF('Form responses 4'!B:B,C198)&gt;0, "", "https://docs.google.com/forms/d/e/1FAIpQLSdhNamFeglgVtt555M7xM7e8ZAg9KCWMEcDlLzX1oeZsyGxrg/viewform?usp=pp_url&amp;entry.580385001="&amp;C198&amp;"&amp;entry.1376952895="&amp;A198)</f>
        <v/>
      </c>
    </row>
    <row r="199">
      <c r="A199" s="25" t="str">
        <f>IFERROR(__xludf.DUMMYFUNCTION("""COMPUTED_VALUE"""),"Triphala Pantone 4695C SSE 001515")</f>
        <v>Triphala Pantone 4695C SSE 001515</v>
      </c>
      <c r="B199" s="25" t="str">
        <f>IFERROR(__xludf.DUMMYFUNCTION("""COMPUTED_VALUE"""),"Ink")</f>
        <v>Ink</v>
      </c>
      <c r="C199" s="25" t="str">
        <f>IFERROR(__xludf.DUMMYFUNCTION("""COMPUTED_VALUE"""),"I-PAN-392")</f>
        <v>I-PAN-392</v>
      </c>
      <c r="D199" s="38" t="str">
        <f>IF(COUNTIF('Form responses 4'!B:B,C199)&gt;0, "", "https://docs.google.com/forms/d/e/1FAIpQLSdhNamFeglgVtt555M7xM7e8ZAg9KCWMEcDlLzX1oeZsyGxrg/viewform?usp=pp_url&amp;entry.580385001="&amp;C199&amp;"&amp;entry.1376952895="&amp;A199)</f>
        <v/>
      </c>
    </row>
    <row r="200">
      <c r="A200" s="25" t="str">
        <f>IFERROR(__xludf.DUMMYFUNCTION("""COMPUTED_VALUE"""),"URBAN MOISTURIZER AND TONNER LT PURPLE")</f>
        <v>URBAN MOISTURIZER AND TONNER LT PURPLE</v>
      </c>
      <c r="B200" s="25" t="str">
        <f>IFERROR(__xludf.DUMMYFUNCTION("""COMPUTED_VALUE"""),"Ink")</f>
        <v>Ink</v>
      </c>
      <c r="C200" s="25" t="str">
        <f>IFERROR(__xludf.DUMMYFUNCTION("""COMPUTED_VALUE"""),"I-PAN-398")</f>
        <v>I-PAN-398</v>
      </c>
      <c r="D200" s="38" t="str">
        <f>IF(COUNTIF('Form responses 4'!B:B,C200)&gt;0, "", "https://docs.google.com/forms/d/e/1FAIpQLSdhNamFeglgVtt555M7xM7e8ZAg9KCWMEcDlLzX1oeZsyGxrg/viewform?usp=pp_url&amp;entry.580385001="&amp;C200&amp;"&amp;entry.1376952895="&amp;A200)</f>
        <v>https://docs.google.com/forms/d/e/1FAIpQLSdhNamFeglgVtt555M7xM7e8ZAg9KCWMEcDlLzX1oeZsyGxrg/viewform?usp=pp_url&amp;entry.580385001=I-PAN-398&amp;entry.1376952895=URBAN MOISTURIZER AND TONNER LT PURPLE</v>
      </c>
    </row>
    <row r="201">
      <c r="A201" s="25" t="str">
        <f>IFERROR(__xludf.DUMMYFUNCTION("""COMPUTED_VALUE"""),"DS/25620  UREA FOOT CREAM PANT.2237 C GREEN")</f>
        <v>DS/25620  UREA FOOT CREAM PANT.2237 C GREEN</v>
      </c>
      <c r="B201" s="25" t="str">
        <f>IFERROR(__xludf.DUMMYFUNCTION("""COMPUTED_VALUE"""),"Ink")</f>
        <v>Ink</v>
      </c>
      <c r="C201" s="25" t="str">
        <f>IFERROR(__xludf.DUMMYFUNCTION("""COMPUTED_VALUE"""),"I-CMY-410")</f>
        <v>I-CMY-410</v>
      </c>
      <c r="D201" s="38" t="str">
        <f>IF(COUNTIF('Form responses 4'!B:B,C201)&gt;0, "", "https://docs.google.com/forms/d/e/1FAIpQLSdhNamFeglgVtt555M7xM7e8ZAg9KCWMEcDlLzX1oeZsyGxrg/viewform?usp=pp_url&amp;entry.580385001="&amp;C201&amp;"&amp;entry.1376952895="&amp;A201)</f>
        <v>https://docs.google.com/forms/d/e/1FAIpQLSdhNamFeglgVtt555M7xM7e8ZAg9KCWMEcDlLzX1oeZsyGxrg/viewform?usp=pp_url&amp;entry.580385001=I-CMY-410&amp;entry.1376952895=DS/25620  UREA FOOT CREAM PANT.2237 C GREEN</v>
      </c>
    </row>
    <row r="202">
      <c r="A202" s="25" t="str">
        <f>IFERROR(__xludf.DUMMYFUNCTION("""COMPUTED_VALUE"""),"MULTANI RAJBHOGPRASH IMMUNITY  SYRUP")</f>
        <v>MULTANI RAJBHOGPRASH IMMUNITY  SYRUP</v>
      </c>
      <c r="B202" s="25" t="str">
        <f>IFERROR(__xludf.DUMMYFUNCTION("""COMPUTED_VALUE"""),"Ink")</f>
        <v>Ink</v>
      </c>
      <c r="C202" s="25" t="str">
        <f>IFERROR(__xludf.DUMMYFUNCTION("""COMPUTED_VALUE"""),"I-PAN-420")</f>
        <v>I-PAN-420</v>
      </c>
      <c r="D202" s="38" t="str">
        <f>IF(COUNTIF('Form responses 4'!B:B,C202)&gt;0, "", "https://docs.google.com/forms/d/e/1FAIpQLSdhNamFeglgVtt555M7xM7e8ZAg9KCWMEcDlLzX1oeZsyGxrg/viewform?usp=pp_url&amp;entry.580385001="&amp;C202&amp;"&amp;entry.1376952895="&amp;A202)</f>
        <v/>
      </c>
    </row>
    <row r="203">
      <c r="A203" s="25" t="str">
        <f>IFERROR(__xludf.DUMMYFUNCTION("""COMPUTED_VALUE"""),"DS/25733 NATUROLAX ORANGE")</f>
        <v>DS/25733 NATUROLAX ORANGE</v>
      </c>
      <c r="B203" s="25" t="str">
        <f>IFERROR(__xludf.DUMMYFUNCTION("""COMPUTED_VALUE"""),"Ink")</f>
        <v>Ink</v>
      </c>
      <c r="C203" s="25" t="str">
        <f>IFERROR(__xludf.DUMMYFUNCTION("""COMPUTED_VALUE"""),"I-PAN-421")</f>
        <v>I-PAN-421</v>
      </c>
      <c r="D203" s="38" t="str">
        <f>IF(COUNTIF('Form responses 4'!B:B,C203)&gt;0, "", "https://docs.google.com/forms/d/e/1FAIpQLSdhNamFeglgVtt555M7xM7e8ZAg9KCWMEcDlLzX1oeZsyGxrg/viewform?usp=pp_url&amp;entry.580385001="&amp;C203&amp;"&amp;entry.1376952895="&amp;A203)</f>
        <v>https://docs.google.com/forms/d/e/1FAIpQLSdhNamFeglgVtt555M7xM7e8ZAg9KCWMEcDlLzX1oeZsyGxrg/viewform?usp=pp_url&amp;entry.580385001=I-PAN-421&amp;entry.1376952895=DS/25733 NATUROLAX ORANGE</v>
      </c>
    </row>
    <row r="204">
      <c r="A204" s="25" t="str">
        <f>IFERROR(__xludf.DUMMYFUNCTION("""COMPUTED_VALUE"""),"DS/25673 STUDIO LIGHT BUFF")</f>
        <v>DS/25673 STUDIO LIGHT BUFF</v>
      </c>
      <c r="B204" s="25" t="str">
        <f>IFERROR(__xludf.DUMMYFUNCTION("""COMPUTED_VALUE"""),"Ink")</f>
        <v>Ink</v>
      </c>
      <c r="C204" s="25" t="str">
        <f>IFERROR(__xludf.DUMMYFUNCTION("""COMPUTED_VALUE"""),"I-PAN-423")</f>
        <v>I-PAN-423</v>
      </c>
      <c r="D204" s="38" t="str">
        <f>IF(COUNTIF('Form responses 4'!B:B,C204)&gt;0, "", "https://docs.google.com/forms/d/e/1FAIpQLSdhNamFeglgVtt555M7xM7e8ZAg9KCWMEcDlLzX1oeZsyGxrg/viewform?usp=pp_url&amp;entry.580385001="&amp;C204&amp;"&amp;entry.1376952895="&amp;A204)</f>
        <v>https://docs.google.com/forms/d/e/1FAIpQLSdhNamFeglgVtt555M7xM7e8ZAg9KCWMEcDlLzX1oeZsyGxrg/viewform?usp=pp_url&amp;entry.580385001=I-PAN-423&amp;entry.1376952895=DS/25673 STUDIO LIGHT BUFF</v>
      </c>
    </row>
    <row r="205">
      <c r="A205" s="25" t="str">
        <f>IFERROR(__xludf.DUMMYFUNCTION("""COMPUTED_VALUE"""),"DS/25672 STUDIO LIGHT PINK")</f>
        <v>DS/25672 STUDIO LIGHT PINK</v>
      </c>
      <c r="B205" s="25" t="str">
        <f>IFERROR(__xludf.DUMMYFUNCTION("""COMPUTED_VALUE"""),"Ink")</f>
        <v>Ink</v>
      </c>
      <c r="C205" s="25" t="str">
        <f>IFERROR(__xludf.DUMMYFUNCTION("""COMPUTED_VALUE"""),"I-PAN-424")</f>
        <v>I-PAN-424</v>
      </c>
      <c r="D205" s="38" t="str">
        <f>IF(COUNTIF('Form responses 4'!B:B,C205)&gt;0, "", "https://docs.google.com/forms/d/e/1FAIpQLSdhNamFeglgVtt555M7xM7e8ZAg9KCWMEcDlLzX1oeZsyGxrg/viewform?usp=pp_url&amp;entry.580385001="&amp;C205&amp;"&amp;entry.1376952895="&amp;A205)</f>
        <v>https://docs.google.com/forms/d/e/1FAIpQLSdhNamFeglgVtt555M7xM7e8ZAg9KCWMEcDlLzX1oeZsyGxrg/viewform?usp=pp_url&amp;entry.580385001=I-PAN-424&amp;entry.1376952895=DS/25672 STUDIO LIGHT PINK</v>
      </c>
    </row>
    <row r="206">
      <c r="A206" s="25"/>
      <c r="B206" s="25"/>
      <c r="C206" s="25"/>
      <c r="D206" s="105" t="str">
        <f>IF(COUNTIF('Form responses 4'!B:B,C206)&gt;0, "", "https://docs.google.com/forms/d/e/1FAIpQLSdhNamFeglgVtt555M7xM7e8ZAg9KCWMEcDlLzX1oeZsyGxrg/viewform?usp=pp_url&amp;entry.580385001="&amp;C206&amp;"&amp;entry.1376952895="&amp;A206)</f>
        <v>https://docs.google.com/forms/d/e/1FAIpQLSdhNamFeglgVtt555M7xM7e8ZAg9KCWMEcDlLzX1oeZsyGxrg/viewform?usp=pp_url&amp;entry.580385001=&amp;entry.1376952895=</v>
      </c>
    </row>
    <row r="207">
      <c r="A207" s="25"/>
      <c r="B207" s="25"/>
      <c r="C207" s="25"/>
      <c r="D207" s="105" t="str">
        <f>IF(COUNTIF('Form responses 4'!B:B,C207)&gt;0, "", "https://docs.google.com/forms/d/e/1FAIpQLSdhNamFeglgVtt555M7xM7e8ZAg9KCWMEcDlLzX1oeZsyGxrg/viewform?usp=pp_url&amp;entry.580385001="&amp;C207&amp;"&amp;entry.1376952895="&amp;A207)</f>
        <v>https://docs.google.com/forms/d/e/1FAIpQLSdhNamFeglgVtt555M7xM7e8ZAg9KCWMEcDlLzX1oeZsyGxrg/viewform?usp=pp_url&amp;entry.580385001=&amp;entry.1376952895=</v>
      </c>
    </row>
    <row r="208">
      <c r="A208" s="25"/>
      <c r="B208" s="25"/>
      <c r="C208" s="25"/>
      <c r="D208" s="105" t="str">
        <f>IF(COUNTIF('Form responses 4'!B:B,C208)&gt;0, "", "https://docs.google.com/forms/d/e/1FAIpQLSdhNamFeglgVtt555M7xM7e8ZAg9KCWMEcDlLzX1oeZsyGxrg/viewform?usp=pp_url&amp;entry.580385001="&amp;C208&amp;"&amp;entry.1376952895="&amp;A208)</f>
        <v>https://docs.google.com/forms/d/e/1FAIpQLSdhNamFeglgVtt555M7xM7e8ZAg9KCWMEcDlLzX1oeZsyGxrg/viewform?usp=pp_url&amp;entry.580385001=&amp;entry.1376952895=</v>
      </c>
    </row>
    <row r="209">
      <c r="A209" s="25"/>
      <c r="B209" s="25"/>
      <c r="C209" s="25"/>
      <c r="D209" s="105" t="str">
        <f>IF(COUNTIF('Form responses 4'!B:B,C209)&gt;0, "", "https://docs.google.com/forms/d/e/1FAIpQLSdhNamFeglgVtt555M7xM7e8ZAg9KCWMEcDlLzX1oeZsyGxrg/viewform?usp=pp_url&amp;entry.580385001="&amp;C209&amp;"&amp;entry.1376952895="&amp;A209)</f>
        <v>https://docs.google.com/forms/d/e/1FAIpQLSdhNamFeglgVtt555M7xM7e8ZAg9KCWMEcDlLzX1oeZsyGxrg/viewform?usp=pp_url&amp;entry.580385001=&amp;entry.1376952895=</v>
      </c>
    </row>
    <row r="210">
      <c r="A210" s="25"/>
      <c r="B210" s="25"/>
      <c r="C210" s="25"/>
      <c r="D210" s="105" t="str">
        <f>IF(COUNTIF('Form responses 4'!B:B,C210)&gt;0, "", "https://docs.google.com/forms/d/e/1FAIpQLSdhNamFeglgVtt555M7xM7e8ZAg9KCWMEcDlLzX1oeZsyGxrg/viewform?usp=pp_url&amp;entry.580385001="&amp;C210&amp;"&amp;entry.1376952895="&amp;A210)</f>
        <v>https://docs.google.com/forms/d/e/1FAIpQLSdhNamFeglgVtt555M7xM7e8ZAg9KCWMEcDlLzX1oeZsyGxrg/viewform?usp=pp_url&amp;entry.580385001=&amp;entry.1376952895=</v>
      </c>
    </row>
    <row r="211">
      <c r="A211" s="25"/>
      <c r="B211" s="25"/>
      <c r="C211" s="25"/>
      <c r="D211" s="105" t="str">
        <f>IF(COUNTIF('Form responses 4'!B:B,C211)&gt;0, "", "https://docs.google.com/forms/d/e/1FAIpQLSdhNamFeglgVtt555M7xM7e8ZAg9KCWMEcDlLzX1oeZsyGxrg/viewform?usp=pp_url&amp;entry.580385001="&amp;C211&amp;"&amp;entry.1376952895="&amp;A211)</f>
        <v>https://docs.google.com/forms/d/e/1FAIpQLSdhNamFeglgVtt555M7xM7e8ZAg9KCWMEcDlLzX1oeZsyGxrg/viewform?usp=pp_url&amp;entry.580385001=&amp;entry.1376952895=</v>
      </c>
    </row>
    <row r="212">
      <c r="A212" s="25"/>
      <c r="B212" s="25"/>
      <c r="C212" s="25"/>
      <c r="D212" s="105" t="str">
        <f>IF(COUNTIF('Form responses 4'!B:B,C212)&gt;0, "", "https://docs.google.com/forms/d/e/1FAIpQLSdhNamFeglgVtt555M7xM7e8ZAg9KCWMEcDlLzX1oeZsyGxrg/viewform?usp=pp_url&amp;entry.580385001="&amp;C212&amp;"&amp;entry.1376952895="&amp;A212)</f>
        <v>https://docs.google.com/forms/d/e/1FAIpQLSdhNamFeglgVtt555M7xM7e8ZAg9KCWMEcDlLzX1oeZsyGxrg/viewform?usp=pp_url&amp;entry.580385001=&amp;entry.1376952895=</v>
      </c>
    </row>
    <row r="213">
      <c r="A213" s="25"/>
      <c r="B213" s="25"/>
      <c r="C213" s="25"/>
      <c r="D213" s="105" t="str">
        <f>IF(COUNTIF('Form responses 4'!B:B,C213)&gt;0, "", "https://docs.google.com/forms/d/e/1FAIpQLSdhNamFeglgVtt555M7xM7e8ZAg9KCWMEcDlLzX1oeZsyGxrg/viewform?usp=pp_url&amp;entry.580385001="&amp;C213&amp;"&amp;entry.1376952895="&amp;A213)</f>
        <v>https://docs.google.com/forms/d/e/1FAIpQLSdhNamFeglgVtt555M7xM7e8ZAg9KCWMEcDlLzX1oeZsyGxrg/viewform?usp=pp_url&amp;entry.580385001=&amp;entry.1376952895=</v>
      </c>
    </row>
    <row r="214">
      <c r="A214" s="25"/>
      <c r="B214" s="25"/>
      <c r="C214" s="25"/>
      <c r="D214" s="105" t="str">
        <f>IF(COUNTIF('Form responses 4'!B:B,C214)&gt;0, "", "https://docs.google.com/forms/d/e/1FAIpQLSdhNamFeglgVtt555M7xM7e8ZAg9KCWMEcDlLzX1oeZsyGxrg/viewform?usp=pp_url&amp;entry.580385001="&amp;C214&amp;"&amp;entry.1376952895="&amp;A214)</f>
        <v>https://docs.google.com/forms/d/e/1FAIpQLSdhNamFeglgVtt555M7xM7e8ZAg9KCWMEcDlLzX1oeZsyGxrg/viewform?usp=pp_url&amp;entry.580385001=&amp;entry.1376952895=</v>
      </c>
    </row>
    <row r="215">
      <c r="A215" s="25"/>
      <c r="B215" s="25"/>
      <c r="C215" s="25"/>
      <c r="D215" s="105" t="str">
        <f>IF(COUNTIF('Form responses 4'!B:B,C215)&gt;0, "", "https://docs.google.com/forms/d/e/1FAIpQLSdhNamFeglgVtt555M7xM7e8ZAg9KCWMEcDlLzX1oeZsyGxrg/viewform?usp=pp_url&amp;entry.580385001="&amp;C215&amp;"&amp;entry.1376952895="&amp;A215)</f>
        <v>https://docs.google.com/forms/d/e/1FAIpQLSdhNamFeglgVtt555M7xM7e8ZAg9KCWMEcDlLzX1oeZsyGxrg/viewform?usp=pp_url&amp;entry.580385001=&amp;entry.1376952895=</v>
      </c>
    </row>
    <row r="216">
      <c r="A216" s="25"/>
      <c r="B216" s="25"/>
      <c r="C216" s="25"/>
      <c r="D216" s="105" t="str">
        <f>IF(COUNTIF('Form responses 4'!B:B,C216)&gt;0, "", "https://docs.google.com/forms/d/e/1FAIpQLSdhNamFeglgVtt555M7xM7e8ZAg9KCWMEcDlLzX1oeZsyGxrg/viewform?usp=pp_url&amp;entry.580385001="&amp;C216&amp;"&amp;entry.1376952895="&amp;A216)</f>
        <v>https://docs.google.com/forms/d/e/1FAIpQLSdhNamFeglgVtt555M7xM7e8ZAg9KCWMEcDlLzX1oeZsyGxrg/viewform?usp=pp_url&amp;entry.580385001=&amp;entry.1376952895=</v>
      </c>
    </row>
    <row r="217">
      <c r="A217" s="25"/>
      <c r="B217" s="25"/>
      <c r="C217" s="25"/>
      <c r="D217" s="105" t="str">
        <f>IF(COUNTIF('Form responses 4'!B:B,C217)&gt;0, "", "https://docs.google.com/forms/d/e/1FAIpQLSdhNamFeglgVtt555M7xM7e8ZAg9KCWMEcDlLzX1oeZsyGxrg/viewform?usp=pp_url&amp;entry.580385001="&amp;C217&amp;"&amp;entry.1376952895="&amp;A217)</f>
        <v>https://docs.google.com/forms/d/e/1FAIpQLSdhNamFeglgVtt555M7xM7e8ZAg9KCWMEcDlLzX1oeZsyGxrg/viewform?usp=pp_url&amp;entry.580385001=&amp;entry.1376952895=</v>
      </c>
    </row>
    <row r="218">
      <c r="A218" s="25"/>
      <c r="B218" s="25"/>
      <c r="C218" s="25"/>
      <c r="D218" s="105" t="str">
        <f>IF(COUNTIF('Form responses 4'!B:B,C218)&gt;0, "", "https://docs.google.com/forms/d/e/1FAIpQLSdhNamFeglgVtt555M7xM7e8ZAg9KCWMEcDlLzX1oeZsyGxrg/viewform?usp=pp_url&amp;entry.580385001="&amp;C218&amp;"&amp;entry.1376952895="&amp;A218)</f>
        <v>https://docs.google.com/forms/d/e/1FAIpQLSdhNamFeglgVtt555M7xM7e8ZAg9KCWMEcDlLzX1oeZsyGxrg/viewform?usp=pp_url&amp;entry.580385001=&amp;entry.1376952895=</v>
      </c>
    </row>
    <row r="219">
      <c r="A219" s="25"/>
      <c r="B219" s="25"/>
      <c r="C219" s="25"/>
      <c r="D219" s="105" t="str">
        <f>IF(COUNTIF('Form responses 4'!B:B,C219)&gt;0, "", "https://docs.google.com/forms/d/e/1FAIpQLSdhNamFeglgVtt555M7xM7e8ZAg9KCWMEcDlLzX1oeZsyGxrg/viewform?usp=pp_url&amp;entry.580385001="&amp;C219&amp;"&amp;entry.1376952895="&amp;A219)</f>
        <v>https://docs.google.com/forms/d/e/1FAIpQLSdhNamFeglgVtt555M7xM7e8ZAg9KCWMEcDlLzX1oeZsyGxrg/viewform?usp=pp_url&amp;entry.580385001=&amp;entry.1376952895=</v>
      </c>
    </row>
    <row r="220">
      <c r="A220" s="25"/>
      <c r="B220" s="25"/>
      <c r="C220" s="25"/>
      <c r="D220" s="105" t="str">
        <f>IF(COUNTIF('Form responses 4'!B:B,C220)&gt;0, "", "https://docs.google.com/forms/d/e/1FAIpQLSdhNamFeglgVtt555M7xM7e8ZAg9KCWMEcDlLzX1oeZsyGxrg/viewform?usp=pp_url&amp;entry.580385001="&amp;C220&amp;"&amp;entry.1376952895="&amp;A220)</f>
        <v>https://docs.google.com/forms/d/e/1FAIpQLSdhNamFeglgVtt555M7xM7e8ZAg9KCWMEcDlLzX1oeZsyGxrg/viewform?usp=pp_url&amp;entry.580385001=&amp;entry.1376952895=</v>
      </c>
    </row>
    <row r="221">
      <c r="A221" s="25"/>
      <c r="B221" s="25"/>
      <c r="C221" s="25"/>
      <c r="D221" s="105" t="str">
        <f>IF(COUNTIF('Form responses 4'!B:B,C221)&gt;0, "", "https://docs.google.com/forms/d/e/1FAIpQLSdhNamFeglgVtt555M7xM7e8ZAg9KCWMEcDlLzX1oeZsyGxrg/viewform?usp=pp_url&amp;entry.580385001="&amp;C221&amp;"&amp;entry.1376952895="&amp;A221)</f>
        <v>https://docs.google.com/forms/d/e/1FAIpQLSdhNamFeglgVtt555M7xM7e8ZAg9KCWMEcDlLzX1oeZsyGxrg/viewform?usp=pp_url&amp;entry.580385001=&amp;entry.1376952895=</v>
      </c>
    </row>
    <row r="222">
      <c r="A222" s="25"/>
      <c r="B222" s="25"/>
      <c r="C222" s="25"/>
      <c r="D222" s="105" t="str">
        <f>IF(COUNTIF('Form responses 4'!B:B,C222)&gt;0, "", "https://docs.google.com/forms/d/e/1FAIpQLSdhNamFeglgVtt555M7xM7e8ZAg9KCWMEcDlLzX1oeZsyGxrg/viewform?usp=pp_url&amp;entry.580385001="&amp;C222&amp;"&amp;entry.1376952895="&amp;A222)</f>
        <v>https://docs.google.com/forms/d/e/1FAIpQLSdhNamFeglgVtt555M7xM7e8ZAg9KCWMEcDlLzX1oeZsyGxrg/viewform?usp=pp_url&amp;entry.580385001=&amp;entry.1376952895=</v>
      </c>
    </row>
    <row r="223">
      <c r="A223" s="25"/>
      <c r="B223" s="25"/>
      <c r="C223" s="25"/>
      <c r="D223" s="105" t="str">
        <f>IF(COUNTIF('Form responses 4'!B:B,C223)&gt;0, "", "https://docs.google.com/forms/d/e/1FAIpQLSdhNamFeglgVtt555M7xM7e8ZAg9KCWMEcDlLzX1oeZsyGxrg/viewform?usp=pp_url&amp;entry.580385001="&amp;C223&amp;"&amp;entry.1376952895="&amp;A223)</f>
        <v>https://docs.google.com/forms/d/e/1FAIpQLSdhNamFeglgVtt555M7xM7e8ZAg9KCWMEcDlLzX1oeZsyGxrg/viewform?usp=pp_url&amp;entry.580385001=&amp;entry.1376952895=</v>
      </c>
    </row>
    <row r="224">
      <c r="A224" s="25"/>
      <c r="B224" s="25"/>
      <c r="C224" s="25"/>
      <c r="D224" s="105" t="str">
        <f>IF(COUNTIF('Form responses 4'!B:B,C224)&gt;0, "", "https://docs.google.com/forms/d/e/1FAIpQLSdhNamFeglgVtt555M7xM7e8ZAg9KCWMEcDlLzX1oeZsyGxrg/viewform?usp=pp_url&amp;entry.580385001="&amp;C224&amp;"&amp;entry.1376952895="&amp;A224)</f>
        <v>https://docs.google.com/forms/d/e/1FAIpQLSdhNamFeglgVtt555M7xM7e8ZAg9KCWMEcDlLzX1oeZsyGxrg/viewform?usp=pp_url&amp;entry.580385001=&amp;entry.1376952895=</v>
      </c>
    </row>
    <row r="225">
      <c r="A225" s="25"/>
      <c r="B225" s="25"/>
      <c r="C225" s="25"/>
      <c r="D225" s="105" t="str">
        <f>IF(COUNTIF('Form responses 4'!B:B,C225)&gt;0, "", "https://docs.google.com/forms/d/e/1FAIpQLSdhNamFeglgVtt555M7xM7e8ZAg9KCWMEcDlLzX1oeZsyGxrg/viewform?usp=pp_url&amp;entry.580385001="&amp;C225&amp;"&amp;entry.1376952895="&amp;A225)</f>
        <v>https://docs.google.com/forms/d/e/1FAIpQLSdhNamFeglgVtt555M7xM7e8ZAg9KCWMEcDlLzX1oeZsyGxrg/viewform?usp=pp_url&amp;entry.580385001=&amp;entry.1376952895=</v>
      </c>
    </row>
    <row r="226">
      <c r="A226" s="25"/>
      <c r="B226" s="25"/>
      <c r="C226" s="25"/>
      <c r="D226" s="105" t="str">
        <f>IF(COUNTIF('Form responses 4'!B:B,C226)&gt;0, "", "https://docs.google.com/forms/d/e/1FAIpQLSdhNamFeglgVtt555M7xM7e8ZAg9KCWMEcDlLzX1oeZsyGxrg/viewform?usp=pp_url&amp;entry.580385001="&amp;C226&amp;"&amp;entry.1376952895="&amp;A226)</f>
        <v>https://docs.google.com/forms/d/e/1FAIpQLSdhNamFeglgVtt555M7xM7e8ZAg9KCWMEcDlLzX1oeZsyGxrg/viewform?usp=pp_url&amp;entry.580385001=&amp;entry.1376952895=</v>
      </c>
    </row>
    <row r="227">
      <c r="A227" s="25"/>
      <c r="B227" s="25"/>
      <c r="C227" s="25"/>
      <c r="D227" s="105" t="str">
        <f>IF(COUNTIF('Form responses 4'!B:B,C227)&gt;0, "", "https://docs.google.com/forms/d/e/1FAIpQLSdhNamFeglgVtt555M7xM7e8ZAg9KCWMEcDlLzX1oeZsyGxrg/viewform?usp=pp_url&amp;entry.580385001="&amp;C227&amp;"&amp;entry.1376952895="&amp;A227)</f>
        <v>https://docs.google.com/forms/d/e/1FAIpQLSdhNamFeglgVtt555M7xM7e8ZAg9KCWMEcDlLzX1oeZsyGxrg/viewform?usp=pp_url&amp;entry.580385001=&amp;entry.1376952895=</v>
      </c>
    </row>
    <row r="228">
      <c r="A228" s="25"/>
      <c r="B228" s="25"/>
      <c r="C228" s="25"/>
      <c r="D228" s="105" t="str">
        <f>IF(COUNTIF('Form responses 4'!B:B,C228)&gt;0, "", "https://docs.google.com/forms/d/e/1FAIpQLSdhNamFeglgVtt555M7xM7e8ZAg9KCWMEcDlLzX1oeZsyGxrg/viewform?usp=pp_url&amp;entry.580385001="&amp;C228&amp;"&amp;entry.1376952895="&amp;A228)</f>
        <v>https://docs.google.com/forms/d/e/1FAIpQLSdhNamFeglgVtt555M7xM7e8ZAg9KCWMEcDlLzX1oeZsyGxrg/viewform?usp=pp_url&amp;entry.580385001=&amp;entry.1376952895=</v>
      </c>
    </row>
    <row r="229">
      <c r="A229" s="25"/>
      <c r="B229" s="25"/>
      <c r="C229" s="25"/>
      <c r="D229" s="105" t="str">
        <f>IF(COUNTIF('Form responses 4'!B:B,C229)&gt;0, "", "https://docs.google.com/forms/d/e/1FAIpQLSdhNamFeglgVtt555M7xM7e8ZAg9KCWMEcDlLzX1oeZsyGxrg/viewform?usp=pp_url&amp;entry.580385001="&amp;C229&amp;"&amp;entry.1376952895="&amp;A229)</f>
        <v>https://docs.google.com/forms/d/e/1FAIpQLSdhNamFeglgVtt555M7xM7e8ZAg9KCWMEcDlLzX1oeZsyGxrg/viewform?usp=pp_url&amp;entry.580385001=&amp;entry.1376952895=</v>
      </c>
    </row>
    <row r="230">
      <c r="A230" s="25"/>
      <c r="B230" s="25"/>
      <c r="C230" s="25"/>
      <c r="D230" s="105" t="str">
        <f>IF(COUNTIF('Form responses 4'!B:B,C230)&gt;0, "", "https://docs.google.com/forms/d/e/1FAIpQLSdhNamFeglgVtt555M7xM7e8ZAg9KCWMEcDlLzX1oeZsyGxrg/viewform?usp=pp_url&amp;entry.580385001="&amp;C230&amp;"&amp;entry.1376952895="&amp;A230)</f>
        <v>https://docs.google.com/forms/d/e/1FAIpQLSdhNamFeglgVtt555M7xM7e8ZAg9KCWMEcDlLzX1oeZsyGxrg/viewform?usp=pp_url&amp;entry.580385001=&amp;entry.1376952895=</v>
      </c>
    </row>
    <row r="231">
      <c r="A231" s="25"/>
      <c r="B231" s="25"/>
      <c r="C231" s="25"/>
      <c r="D231" s="105" t="str">
        <f>IF(COUNTIF('Form responses 4'!B:B,C231)&gt;0, "", "https://docs.google.com/forms/d/e/1FAIpQLSdhNamFeglgVtt555M7xM7e8ZAg9KCWMEcDlLzX1oeZsyGxrg/viewform?usp=pp_url&amp;entry.580385001="&amp;C231&amp;"&amp;entry.1376952895="&amp;A231)</f>
        <v>https://docs.google.com/forms/d/e/1FAIpQLSdhNamFeglgVtt555M7xM7e8ZAg9KCWMEcDlLzX1oeZsyGxrg/viewform?usp=pp_url&amp;entry.580385001=&amp;entry.1376952895=</v>
      </c>
    </row>
    <row r="232">
      <c r="A232" s="25"/>
      <c r="B232" s="25"/>
      <c r="C232" s="25"/>
      <c r="D232" s="105" t="str">
        <f>IF(COUNTIF('Form responses 4'!B:B,C232)&gt;0, "", "https://docs.google.com/forms/d/e/1FAIpQLSdhNamFeglgVtt555M7xM7e8ZAg9KCWMEcDlLzX1oeZsyGxrg/viewform?usp=pp_url&amp;entry.580385001="&amp;C232&amp;"&amp;entry.1376952895="&amp;A232)</f>
        <v>https://docs.google.com/forms/d/e/1FAIpQLSdhNamFeglgVtt555M7xM7e8ZAg9KCWMEcDlLzX1oeZsyGxrg/viewform?usp=pp_url&amp;entry.580385001=&amp;entry.1376952895=</v>
      </c>
    </row>
    <row r="233">
      <c r="A233" s="25"/>
      <c r="B233" s="25"/>
      <c r="C233" s="25"/>
      <c r="D233" s="105" t="str">
        <f>IF(COUNTIF('Form responses 4'!B:B,C233)&gt;0, "", "https://docs.google.com/forms/d/e/1FAIpQLSdhNamFeglgVtt555M7xM7e8ZAg9KCWMEcDlLzX1oeZsyGxrg/viewform?usp=pp_url&amp;entry.580385001="&amp;C233&amp;"&amp;entry.1376952895="&amp;A233)</f>
        <v>https://docs.google.com/forms/d/e/1FAIpQLSdhNamFeglgVtt555M7xM7e8ZAg9KCWMEcDlLzX1oeZsyGxrg/viewform?usp=pp_url&amp;entry.580385001=&amp;entry.1376952895=</v>
      </c>
    </row>
    <row r="234">
      <c r="A234" s="25"/>
      <c r="B234" s="25"/>
      <c r="C234" s="25"/>
      <c r="D234" s="105" t="str">
        <f>IF(COUNTIF('Form responses 4'!B:B,C234)&gt;0, "", "https://docs.google.com/forms/d/e/1FAIpQLSdhNamFeglgVtt555M7xM7e8ZAg9KCWMEcDlLzX1oeZsyGxrg/viewform?usp=pp_url&amp;entry.580385001="&amp;C234&amp;"&amp;entry.1376952895="&amp;A234)</f>
        <v>https://docs.google.com/forms/d/e/1FAIpQLSdhNamFeglgVtt555M7xM7e8ZAg9KCWMEcDlLzX1oeZsyGxrg/viewform?usp=pp_url&amp;entry.580385001=&amp;entry.1376952895=</v>
      </c>
    </row>
    <row r="235">
      <c r="A235" s="25"/>
      <c r="B235" s="25"/>
      <c r="C235" s="25"/>
      <c r="D235" s="105" t="str">
        <f>IF(COUNTIF('Form responses 4'!B:B,C235)&gt;0, "", "https://docs.google.com/forms/d/e/1FAIpQLSdhNamFeglgVtt555M7xM7e8ZAg9KCWMEcDlLzX1oeZsyGxrg/viewform?usp=pp_url&amp;entry.580385001="&amp;C235&amp;"&amp;entry.1376952895="&amp;A235)</f>
        <v>https://docs.google.com/forms/d/e/1FAIpQLSdhNamFeglgVtt555M7xM7e8ZAg9KCWMEcDlLzX1oeZsyGxrg/viewform?usp=pp_url&amp;entry.580385001=&amp;entry.1376952895=</v>
      </c>
    </row>
    <row r="236">
      <c r="A236" s="25"/>
      <c r="B236" s="25"/>
      <c r="C236" s="25"/>
      <c r="D236" s="105" t="str">
        <f>IF(COUNTIF('Form responses 4'!B:B,C236)&gt;0, "", "https://docs.google.com/forms/d/e/1FAIpQLSdhNamFeglgVtt555M7xM7e8ZAg9KCWMEcDlLzX1oeZsyGxrg/viewform?usp=pp_url&amp;entry.580385001="&amp;C236&amp;"&amp;entry.1376952895="&amp;A236)</f>
        <v>https://docs.google.com/forms/d/e/1FAIpQLSdhNamFeglgVtt555M7xM7e8ZAg9KCWMEcDlLzX1oeZsyGxrg/viewform?usp=pp_url&amp;entry.580385001=&amp;entry.1376952895=</v>
      </c>
    </row>
    <row r="237">
      <c r="A237" s="25"/>
      <c r="B237" s="25"/>
      <c r="C237" s="25"/>
      <c r="D237" s="105" t="str">
        <f>IF(COUNTIF('Form responses 4'!B:B,C237)&gt;0, "", "https://docs.google.com/forms/d/e/1FAIpQLSdhNamFeglgVtt555M7xM7e8ZAg9KCWMEcDlLzX1oeZsyGxrg/viewform?usp=pp_url&amp;entry.580385001="&amp;C237&amp;"&amp;entry.1376952895="&amp;A237)</f>
        <v>https://docs.google.com/forms/d/e/1FAIpQLSdhNamFeglgVtt555M7xM7e8ZAg9KCWMEcDlLzX1oeZsyGxrg/viewform?usp=pp_url&amp;entry.580385001=&amp;entry.1376952895=</v>
      </c>
    </row>
    <row r="238">
      <c r="A238" s="25"/>
      <c r="B238" s="25"/>
      <c r="C238" s="25"/>
      <c r="D238" s="105" t="str">
        <f>IF(COUNTIF('Form responses 4'!B:B,C238)&gt;0, "", "https://docs.google.com/forms/d/e/1FAIpQLSdhNamFeglgVtt555M7xM7e8ZAg9KCWMEcDlLzX1oeZsyGxrg/viewform?usp=pp_url&amp;entry.580385001="&amp;C238&amp;"&amp;entry.1376952895="&amp;A238)</f>
        <v>https://docs.google.com/forms/d/e/1FAIpQLSdhNamFeglgVtt555M7xM7e8ZAg9KCWMEcDlLzX1oeZsyGxrg/viewform?usp=pp_url&amp;entry.580385001=&amp;entry.1376952895=</v>
      </c>
    </row>
    <row r="239">
      <c r="A239" s="25"/>
      <c r="B239" s="25"/>
      <c r="C239" s="25"/>
      <c r="D239" s="105" t="str">
        <f>IF(COUNTIF('Form responses 4'!B:B,C239)&gt;0, "", "https://docs.google.com/forms/d/e/1FAIpQLSdhNamFeglgVtt555M7xM7e8ZAg9KCWMEcDlLzX1oeZsyGxrg/viewform?usp=pp_url&amp;entry.580385001="&amp;C239&amp;"&amp;entry.1376952895="&amp;A239)</f>
        <v>https://docs.google.com/forms/d/e/1FAIpQLSdhNamFeglgVtt555M7xM7e8ZAg9KCWMEcDlLzX1oeZsyGxrg/viewform?usp=pp_url&amp;entry.580385001=&amp;entry.1376952895=</v>
      </c>
    </row>
    <row r="240">
      <c r="A240" s="25"/>
      <c r="B240" s="25"/>
      <c r="C240" s="25"/>
      <c r="D240" s="105" t="str">
        <f>IF(COUNTIF('Form responses 4'!B:B,C240)&gt;0, "", "https://docs.google.com/forms/d/e/1FAIpQLSdhNamFeglgVtt555M7xM7e8ZAg9KCWMEcDlLzX1oeZsyGxrg/viewform?usp=pp_url&amp;entry.580385001="&amp;C240&amp;"&amp;entry.1376952895="&amp;A240)</f>
        <v>https://docs.google.com/forms/d/e/1FAIpQLSdhNamFeglgVtt555M7xM7e8ZAg9KCWMEcDlLzX1oeZsyGxrg/viewform?usp=pp_url&amp;entry.580385001=&amp;entry.1376952895=</v>
      </c>
    </row>
    <row r="241">
      <c r="A241" s="25"/>
      <c r="B241" s="25"/>
      <c r="C241" s="25"/>
      <c r="D241" s="105" t="str">
        <f>IF(COUNTIF('Form responses 4'!B:B,C241)&gt;0, "", "https://docs.google.com/forms/d/e/1FAIpQLSdhNamFeglgVtt555M7xM7e8ZAg9KCWMEcDlLzX1oeZsyGxrg/viewform?usp=pp_url&amp;entry.580385001="&amp;C241&amp;"&amp;entry.1376952895="&amp;A241)</f>
        <v>https://docs.google.com/forms/d/e/1FAIpQLSdhNamFeglgVtt555M7xM7e8ZAg9KCWMEcDlLzX1oeZsyGxrg/viewform?usp=pp_url&amp;entry.580385001=&amp;entry.1376952895=</v>
      </c>
    </row>
    <row r="242">
      <c r="A242" s="25"/>
      <c r="B242" s="25"/>
      <c r="C242" s="25"/>
      <c r="D242" s="105" t="str">
        <f>IF(COUNTIF('Form responses 4'!B:B,C242)&gt;0, "", "https://docs.google.com/forms/d/e/1FAIpQLSdhNamFeglgVtt555M7xM7e8ZAg9KCWMEcDlLzX1oeZsyGxrg/viewform?usp=pp_url&amp;entry.580385001="&amp;C242&amp;"&amp;entry.1376952895="&amp;A242)</f>
        <v>https://docs.google.com/forms/d/e/1FAIpQLSdhNamFeglgVtt555M7xM7e8ZAg9KCWMEcDlLzX1oeZsyGxrg/viewform?usp=pp_url&amp;entry.580385001=&amp;entry.1376952895=</v>
      </c>
    </row>
    <row r="243">
      <c r="A243" s="25"/>
      <c r="B243" s="25"/>
      <c r="C243" s="25"/>
      <c r="D243" s="105" t="str">
        <f>IF(COUNTIF('Form responses 4'!B:B,C243)&gt;0, "", "https://docs.google.com/forms/d/e/1FAIpQLSdhNamFeglgVtt555M7xM7e8ZAg9KCWMEcDlLzX1oeZsyGxrg/viewform?usp=pp_url&amp;entry.580385001="&amp;C243&amp;"&amp;entry.1376952895="&amp;A243)</f>
        <v>https://docs.google.com/forms/d/e/1FAIpQLSdhNamFeglgVtt555M7xM7e8ZAg9KCWMEcDlLzX1oeZsyGxrg/viewform?usp=pp_url&amp;entry.580385001=&amp;entry.1376952895=</v>
      </c>
    </row>
    <row r="244">
      <c r="A244" s="25"/>
      <c r="B244" s="25"/>
      <c r="C244" s="25"/>
      <c r="D244" s="105" t="str">
        <f>IF(COUNTIF('Form responses 4'!B:B,C244)&gt;0, "", "https://docs.google.com/forms/d/e/1FAIpQLSdhNamFeglgVtt555M7xM7e8ZAg9KCWMEcDlLzX1oeZsyGxrg/viewform?usp=pp_url&amp;entry.580385001="&amp;C244&amp;"&amp;entry.1376952895="&amp;A244)</f>
        <v>https://docs.google.com/forms/d/e/1FAIpQLSdhNamFeglgVtt555M7xM7e8ZAg9KCWMEcDlLzX1oeZsyGxrg/viewform?usp=pp_url&amp;entry.580385001=&amp;entry.1376952895=</v>
      </c>
    </row>
    <row r="245">
      <c r="A245" s="25"/>
      <c r="B245" s="25"/>
      <c r="C245" s="25"/>
      <c r="D245" s="105" t="str">
        <f>IF(COUNTIF('Form responses 4'!B:B,C245)&gt;0, "", "https://docs.google.com/forms/d/e/1FAIpQLSdhNamFeglgVtt555M7xM7e8ZAg9KCWMEcDlLzX1oeZsyGxrg/viewform?usp=pp_url&amp;entry.580385001="&amp;C245&amp;"&amp;entry.1376952895="&amp;A245)</f>
        <v>https://docs.google.com/forms/d/e/1FAIpQLSdhNamFeglgVtt555M7xM7e8ZAg9KCWMEcDlLzX1oeZsyGxrg/viewform?usp=pp_url&amp;entry.580385001=&amp;entry.1376952895=</v>
      </c>
    </row>
    <row r="246">
      <c r="A246" s="25"/>
      <c r="B246" s="25"/>
      <c r="C246" s="25"/>
      <c r="D246" s="105" t="str">
        <f>IF(COUNTIF('Form responses 4'!B:B,C246)&gt;0, "", "https://docs.google.com/forms/d/e/1FAIpQLSdhNamFeglgVtt555M7xM7e8ZAg9KCWMEcDlLzX1oeZsyGxrg/viewform?usp=pp_url&amp;entry.580385001="&amp;C246&amp;"&amp;entry.1376952895="&amp;A246)</f>
        <v>https://docs.google.com/forms/d/e/1FAIpQLSdhNamFeglgVtt555M7xM7e8ZAg9KCWMEcDlLzX1oeZsyGxrg/viewform?usp=pp_url&amp;entry.580385001=&amp;entry.1376952895=</v>
      </c>
    </row>
    <row r="247">
      <c r="A247" s="25"/>
      <c r="B247" s="25"/>
      <c r="C247" s="25"/>
      <c r="D247" s="105" t="str">
        <f>IF(COUNTIF('Form responses 4'!B:B,C247)&gt;0, "", "https://docs.google.com/forms/d/e/1FAIpQLSdhNamFeglgVtt555M7xM7e8ZAg9KCWMEcDlLzX1oeZsyGxrg/viewform?usp=pp_url&amp;entry.580385001="&amp;C247&amp;"&amp;entry.1376952895="&amp;A247)</f>
        <v>https://docs.google.com/forms/d/e/1FAIpQLSdhNamFeglgVtt555M7xM7e8ZAg9KCWMEcDlLzX1oeZsyGxrg/viewform?usp=pp_url&amp;entry.580385001=&amp;entry.1376952895=</v>
      </c>
    </row>
    <row r="248">
      <c r="A248" s="25"/>
      <c r="B248" s="25"/>
      <c r="C248" s="25"/>
      <c r="D248" s="105" t="str">
        <f>IF(COUNTIF('Form responses 4'!B:B,C248)&gt;0, "", "https://docs.google.com/forms/d/e/1FAIpQLSdhNamFeglgVtt555M7xM7e8ZAg9KCWMEcDlLzX1oeZsyGxrg/viewform?usp=pp_url&amp;entry.580385001="&amp;C248&amp;"&amp;entry.1376952895="&amp;A248)</f>
        <v>https://docs.google.com/forms/d/e/1FAIpQLSdhNamFeglgVtt555M7xM7e8ZAg9KCWMEcDlLzX1oeZsyGxrg/viewform?usp=pp_url&amp;entry.580385001=&amp;entry.1376952895=</v>
      </c>
    </row>
    <row r="249">
      <c r="A249" s="25"/>
      <c r="B249" s="25"/>
      <c r="C249" s="25"/>
      <c r="D249" s="105" t="str">
        <f>IF(COUNTIF('Form responses 4'!B:B,C249)&gt;0, "", "https://docs.google.com/forms/d/e/1FAIpQLSdhNamFeglgVtt555M7xM7e8ZAg9KCWMEcDlLzX1oeZsyGxrg/viewform?usp=pp_url&amp;entry.580385001="&amp;C249&amp;"&amp;entry.1376952895="&amp;A249)</f>
        <v>https://docs.google.com/forms/d/e/1FAIpQLSdhNamFeglgVtt555M7xM7e8ZAg9KCWMEcDlLzX1oeZsyGxrg/viewform?usp=pp_url&amp;entry.580385001=&amp;entry.1376952895=</v>
      </c>
    </row>
    <row r="250">
      <c r="A250" s="25"/>
      <c r="B250" s="25"/>
      <c r="C250" s="25"/>
      <c r="D250" s="105" t="str">
        <f>IF(COUNTIF('Form responses 4'!B:B,C250)&gt;0, "", "https://docs.google.com/forms/d/e/1FAIpQLSdhNamFeglgVtt555M7xM7e8ZAg9KCWMEcDlLzX1oeZsyGxrg/viewform?usp=pp_url&amp;entry.580385001="&amp;C250&amp;"&amp;entry.1376952895="&amp;A250)</f>
        <v>https://docs.google.com/forms/d/e/1FAIpQLSdhNamFeglgVtt555M7xM7e8ZAg9KCWMEcDlLzX1oeZsyGxrg/viewform?usp=pp_url&amp;entry.580385001=&amp;entry.1376952895=</v>
      </c>
    </row>
    <row r="251">
      <c r="A251" s="25"/>
      <c r="B251" s="25"/>
      <c r="C251" s="25"/>
      <c r="D251" s="105" t="str">
        <f>IF(COUNTIF('Form responses 4'!B:B,C251)&gt;0, "", "https://docs.google.com/forms/d/e/1FAIpQLSdhNamFeglgVtt555M7xM7e8ZAg9KCWMEcDlLzX1oeZsyGxrg/viewform?usp=pp_url&amp;entry.580385001="&amp;C251&amp;"&amp;entry.1376952895="&amp;A251)</f>
        <v>https://docs.google.com/forms/d/e/1FAIpQLSdhNamFeglgVtt555M7xM7e8ZAg9KCWMEcDlLzX1oeZsyGxrg/viewform?usp=pp_url&amp;entry.580385001=&amp;entry.1376952895=</v>
      </c>
    </row>
    <row r="252">
      <c r="A252" s="25"/>
      <c r="B252" s="25"/>
      <c r="C252" s="25"/>
      <c r="D252" s="105" t="str">
        <f>IF(COUNTIF('Form responses 4'!B:B,C252)&gt;0, "", "https://docs.google.com/forms/d/e/1FAIpQLSdhNamFeglgVtt555M7xM7e8ZAg9KCWMEcDlLzX1oeZsyGxrg/viewform?usp=pp_url&amp;entry.580385001="&amp;C252&amp;"&amp;entry.1376952895="&amp;A252)</f>
        <v>https://docs.google.com/forms/d/e/1FAIpQLSdhNamFeglgVtt555M7xM7e8ZAg9KCWMEcDlLzX1oeZsyGxrg/viewform?usp=pp_url&amp;entry.580385001=&amp;entry.1376952895=</v>
      </c>
    </row>
    <row r="253">
      <c r="A253" s="25"/>
      <c r="B253" s="25"/>
      <c r="C253" s="25"/>
      <c r="D253" s="105" t="str">
        <f>IF(COUNTIF('Form responses 4'!B:B,C253)&gt;0, "", "https://docs.google.com/forms/d/e/1FAIpQLSdhNamFeglgVtt555M7xM7e8ZAg9KCWMEcDlLzX1oeZsyGxrg/viewform?usp=pp_url&amp;entry.580385001="&amp;C253&amp;"&amp;entry.1376952895="&amp;A253)</f>
        <v>https://docs.google.com/forms/d/e/1FAIpQLSdhNamFeglgVtt555M7xM7e8ZAg9KCWMEcDlLzX1oeZsyGxrg/viewform?usp=pp_url&amp;entry.580385001=&amp;entry.1376952895=</v>
      </c>
    </row>
    <row r="254">
      <c r="A254" s="25"/>
      <c r="B254" s="25"/>
      <c r="C254" s="25"/>
      <c r="D254" s="105" t="str">
        <f>IF(COUNTIF('Form responses 4'!B:B,C254)&gt;0, "", "https://docs.google.com/forms/d/e/1FAIpQLSdhNamFeglgVtt555M7xM7e8ZAg9KCWMEcDlLzX1oeZsyGxrg/viewform?usp=pp_url&amp;entry.580385001="&amp;C254&amp;"&amp;entry.1376952895="&amp;A254)</f>
        <v>https://docs.google.com/forms/d/e/1FAIpQLSdhNamFeglgVtt555M7xM7e8ZAg9KCWMEcDlLzX1oeZsyGxrg/viewform?usp=pp_url&amp;entry.580385001=&amp;entry.1376952895=</v>
      </c>
    </row>
    <row r="255">
      <c r="A255" s="25"/>
      <c r="B255" s="25"/>
      <c r="C255" s="25"/>
      <c r="D255" s="105" t="str">
        <f>IF(COUNTIF('Form responses 4'!B:B,C255)&gt;0, "", "https://docs.google.com/forms/d/e/1FAIpQLSdhNamFeglgVtt555M7xM7e8ZAg9KCWMEcDlLzX1oeZsyGxrg/viewform?usp=pp_url&amp;entry.580385001="&amp;C255&amp;"&amp;entry.1376952895="&amp;A255)</f>
        <v>https://docs.google.com/forms/d/e/1FAIpQLSdhNamFeglgVtt555M7xM7e8ZAg9KCWMEcDlLzX1oeZsyGxrg/viewform?usp=pp_url&amp;entry.580385001=&amp;entry.1376952895=</v>
      </c>
    </row>
    <row r="256">
      <c r="A256" s="25"/>
      <c r="B256" s="25"/>
      <c r="C256" s="25"/>
      <c r="D256" s="105" t="str">
        <f>IF(COUNTIF('Form responses 4'!B:B,C256)&gt;0, "", "https://docs.google.com/forms/d/e/1FAIpQLSdhNamFeglgVtt555M7xM7e8ZAg9KCWMEcDlLzX1oeZsyGxrg/viewform?usp=pp_url&amp;entry.580385001="&amp;C256&amp;"&amp;entry.1376952895="&amp;A256)</f>
        <v>https://docs.google.com/forms/d/e/1FAIpQLSdhNamFeglgVtt555M7xM7e8ZAg9KCWMEcDlLzX1oeZsyGxrg/viewform?usp=pp_url&amp;entry.580385001=&amp;entry.1376952895=</v>
      </c>
    </row>
    <row r="257">
      <c r="A257" s="25"/>
      <c r="B257" s="25"/>
      <c r="C257" s="25"/>
      <c r="D257" s="105" t="str">
        <f>IF(COUNTIF('Form responses 4'!B:B,C257)&gt;0, "", "https://docs.google.com/forms/d/e/1FAIpQLSdhNamFeglgVtt555M7xM7e8ZAg9KCWMEcDlLzX1oeZsyGxrg/viewform?usp=pp_url&amp;entry.580385001="&amp;C257&amp;"&amp;entry.1376952895="&amp;A257)</f>
        <v>https://docs.google.com/forms/d/e/1FAIpQLSdhNamFeglgVtt555M7xM7e8ZAg9KCWMEcDlLzX1oeZsyGxrg/viewform?usp=pp_url&amp;entry.580385001=&amp;entry.1376952895=</v>
      </c>
    </row>
    <row r="258">
      <c r="A258" s="25"/>
      <c r="B258" s="25"/>
      <c r="C258" s="25"/>
      <c r="D258" s="105" t="str">
        <f>IF(COUNTIF('Form responses 4'!B:B,C258)&gt;0, "", "https://docs.google.com/forms/d/e/1FAIpQLSdhNamFeglgVtt555M7xM7e8ZAg9KCWMEcDlLzX1oeZsyGxrg/viewform?usp=pp_url&amp;entry.580385001="&amp;C258&amp;"&amp;entry.1376952895="&amp;A258)</f>
        <v>https://docs.google.com/forms/d/e/1FAIpQLSdhNamFeglgVtt555M7xM7e8ZAg9KCWMEcDlLzX1oeZsyGxrg/viewform?usp=pp_url&amp;entry.580385001=&amp;entry.1376952895=</v>
      </c>
    </row>
    <row r="259">
      <c r="A259" s="25"/>
      <c r="B259" s="25"/>
      <c r="C259" s="25"/>
      <c r="D259" s="105" t="str">
        <f>IF(COUNTIF('Form responses 4'!B:B,C259)&gt;0, "", "https://docs.google.com/forms/d/e/1FAIpQLSdhNamFeglgVtt555M7xM7e8ZAg9KCWMEcDlLzX1oeZsyGxrg/viewform?usp=pp_url&amp;entry.580385001="&amp;C259&amp;"&amp;entry.1376952895="&amp;A259)</f>
        <v>https://docs.google.com/forms/d/e/1FAIpQLSdhNamFeglgVtt555M7xM7e8ZAg9KCWMEcDlLzX1oeZsyGxrg/viewform?usp=pp_url&amp;entry.580385001=&amp;entry.1376952895=</v>
      </c>
    </row>
    <row r="260">
      <c r="A260" s="25"/>
      <c r="B260" s="25"/>
      <c r="C260" s="25"/>
      <c r="D260" s="105" t="str">
        <f>IF(COUNTIF('Form responses 4'!B:B,C260)&gt;0, "", "https://docs.google.com/forms/d/e/1FAIpQLSdhNamFeglgVtt555M7xM7e8ZAg9KCWMEcDlLzX1oeZsyGxrg/viewform?usp=pp_url&amp;entry.580385001="&amp;C260&amp;"&amp;entry.1376952895="&amp;A260)</f>
        <v>https://docs.google.com/forms/d/e/1FAIpQLSdhNamFeglgVtt555M7xM7e8ZAg9KCWMEcDlLzX1oeZsyGxrg/viewform?usp=pp_url&amp;entry.580385001=&amp;entry.1376952895=</v>
      </c>
    </row>
    <row r="261">
      <c r="A261" s="25"/>
      <c r="B261" s="25"/>
      <c r="C261" s="25"/>
      <c r="D261" s="105" t="str">
        <f>IF(COUNTIF('Form responses 4'!B:B,C261)&gt;0, "", "https://docs.google.com/forms/d/e/1FAIpQLSdhNamFeglgVtt555M7xM7e8ZAg9KCWMEcDlLzX1oeZsyGxrg/viewform?usp=pp_url&amp;entry.580385001="&amp;C261&amp;"&amp;entry.1376952895="&amp;A261)</f>
        <v>https://docs.google.com/forms/d/e/1FAIpQLSdhNamFeglgVtt555M7xM7e8ZAg9KCWMEcDlLzX1oeZsyGxrg/viewform?usp=pp_url&amp;entry.580385001=&amp;entry.1376952895=</v>
      </c>
    </row>
    <row r="262">
      <c r="A262" s="25"/>
      <c r="B262" s="25"/>
      <c r="C262" s="25"/>
      <c r="D262" s="105" t="str">
        <f>IF(COUNTIF('Form responses 4'!B:B,C262)&gt;0, "", "https://docs.google.com/forms/d/e/1FAIpQLSdhNamFeglgVtt555M7xM7e8ZAg9KCWMEcDlLzX1oeZsyGxrg/viewform?usp=pp_url&amp;entry.580385001="&amp;C262&amp;"&amp;entry.1376952895="&amp;A262)</f>
        <v>https://docs.google.com/forms/d/e/1FAIpQLSdhNamFeglgVtt555M7xM7e8ZAg9KCWMEcDlLzX1oeZsyGxrg/viewform?usp=pp_url&amp;entry.580385001=&amp;entry.1376952895=</v>
      </c>
    </row>
    <row r="263">
      <c r="A263" s="25"/>
      <c r="B263" s="25"/>
      <c r="C263" s="25"/>
      <c r="D263" s="105" t="str">
        <f>IF(COUNTIF('Form responses 4'!B:B,C263)&gt;0, "", "https://docs.google.com/forms/d/e/1FAIpQLSdhNamFeglgVtt555M7xM7e8ZAg9KCWMEcDlLzX1oeZsyGxrg/viewform?usp=pp_url&amp;entry.580385001="&amp;C263&amp;"&amp;entry.1376952895="&amp;A263)</f>
        <v>https://docs.google.com/forms/d/e/1FAIpQLSdhNamFeglgVtt555M7xM7e8ZAg9KCWMEcDlLzX1oeZsyGxrg/viewform?usp=pp_url&amp;entry.580385001=&amp;entry.1376952895=</v>
      </c>
    </row>
    <row r="264">
      <c r="A264" s="25"/>
      <c r="B264" s="25"/>
      <c r="C264" s="25"/>
      <c r="D264" s="105" t="str">
        <f>IF(COUNTIF('Form responses 4'!B:B,C264)&gt;0, "", "https://docs.google.com/forms/d/e/1FAIpQLSdhNamFeglgVtt555M7xM7e8ZAg9KCWMEcDlLzX1oeZsyGxrg/viewform?usp=pp_url&amp;entry.580385001="&amp;C264&amp;"&amp;entry.1376952895="&amp;A264)</f>
        <v>https://docs.google.com/forms/d/e/1FAIpQLSdhNamFeglgVtt555M7xM7e8ZAg9KCWMEcDlLzX1oeZsyGxrg/viewform?usp=pp_url&amp;entry.580385001=&amp;entry.1376952895=</v>
      </c>
    </row>
    <row r="265">
      <c r="A265" s="25"/>
      <c r="B265" s="25"/>
      <c r="C265" s="25"/>
      <c r="D265" s="105" t="str">
        <f>IF(COUNTIF('Form responses 4'!B:B,C265)&gt;0, "", "https://docs.google.com/forms/d/e/1FAIpQLSdhNamFeglgVtt555M7xM7e8ZAg9KCWMEcDlLzX1oeZsyGxrg/viewform?usp=pp_url&amp;entry.580385001="&amp;C265&amp;"&amp;entry.1376952895="&amp;A265)</f>
        <v>https://docs.google.com/forms/d/e/1FAIpQLSdhNamFeglgVtt555M7xM7e8ZAg9KCWMEcDlLzX1oeZsyGxrg/viewform?usp=pp_url&amp;entry.580385001=&amp;entry.1376952895=</v>
      </c>
    </row>
    <row r="266">
      <c r="A266" s="25"/>
      <c r="B266" s="25"/>
      <c r="C266" s="25"/>
      <c r="D266" s="105" t="str">
        <f>IF(COUNTIF('Form responses 4'!B:B,C266)&gt;0, "", "https://docs.google.com/forms/d/e/1FAIpQLSdhNamFeglgVtt555M7xM7e8ZAg9KCWMEcDlLzX1oeZsyGxrg/viewform?usp=pp_url&amp;entry.580385001="&amp;C266&amp;"&amp;entry.1376952895="&amp;A266)</f>
        <v>https://docs.google.com/forms/d/e/1FAIpQLSdhNamFeglgVtt555M7xM7e8ZAg9KCWMEcDlLzX1oeZsyGxrg/viewform?usp=pp_url&amp;entry.580385001=&amp;entry.1376952895=</v>
      </c>
    </row>
    <row r="267">
      <c r="A267" s="25"/>
      <c r="B267" s="25"/>
      <c r="C267" s="25"/>
      <c r="D267" s="105" t="str">
        <f>IF(COUNTIF('Form responses 4'!B:B,C267)&gt;0, "", "https://docs.google.com/forms/d/e/1FAIpQLSdhNamFeglgVtt555M7xM7e8ZAg9KCWMEcDlLzX1oeZsyGxrg/viewform?usp=pp_url&amp;entry.580385001="&amp;C267&amp;"&amp;entry.1376952895="&amp;A267)</f>
        <v>https://docs.google.com/forms/d/e/1FAIpQLSdhNamFeglgVtt555M7xM7e8ZAg9KCWMEcDlLzX1oeZsyGxrg/viewform?usp=pp_url&amp;entry.580385001=&amp;entry.1376952895=</v>
      </c>
    </row>
    <row r="268">
      <c r="A268" s="25"/>
      <c r="B268" s="25"/>
      <c r="C268" s="25"/>
      <c r="D268" s="105" t="str">
        <f>IF(COUNTIF('Form responses 4'!B:B,C268)&gt;0, "", "https://docs.google.com/forms/d/e/1FAIpQLSdhNamFeglgVtt555M7xM7e8ZAg9KCWMEcDlLzX1oeZsyGxrg/viewform?usp=pp_url&amp;entry.580385001="&amp;C268&amp;"&amp;entry.1376952895="&amp;A268)</f>
        <v>https://docs.google.com/forms/d/e/1FAIpQLSdhNamFeglgVtt555M7xM7e8ZAg9KCWMEcDlLzX1oeZsyGxrg/viewform?usp=pp_url&amp;entry.580385001=&amp;entry.1376952895=</v>
      </c>
    </row>
    <row r="269">
      <c r="A269" s="25"/>
      <c r="B269" s="25"/>
      <c r="C269" s="25"/>
      <c r="D269" s="105" t="str">
        <f>IF(COUNTIF('Form responses 4'!B:B,C269)&gt;0, "", "https://docs.google.com/forms/d/e/1FAIpQLSdhNamFeglgVtt555M7xM7e8ZAg9KCWMEcDlLzX1oeZsyGxrg/viewform?usp=pp_url&amp;entry.580385001="&amp;C269&amp;"&amp;entry.1376952895="&amp;A269)</f>
        <v>https://docs.google.com/forms/d/e/1FAIpQLSdhNamFeglgVtt555M7xM7e8ZAg9KCWMEcDlLzX1oeZsyGxrg/viewform?usp=pp_url&amp;entry.580385001=&amp;entry.1376952895=</v>
      </c>
    </row>
    <row r="270">
      <c r="A270" s="25"/>
      <c r="B270" s="25"/>
      <c r="C270" s="25"/>
      <c r="D270" s="105" t="str">
        <f>IF(COUNTIF('Form responses 4'!B:B,C270)&gt;0, "", "https://docs.google.com/forms/d/e/1FAIpQLSdhNamFeglgVtt555M7xM7e8ZAg9KCWMEcDlLzX1oeZsyGxrg/viewform?usp=pp_url&amp;entry.580385001="&amp;C270&amp;"&amp;entry.1376952895="&amp;A270)</f>
        <v>https://docs.google.com/forms/d/e/1FAIpQLSdhNamFeglgVtt555M7xM7e8ZAg9KCWMEcDlLzX1oeZsyGxrg/viewform?usp=pp_url&amp;entry.580385001=&amp;entry.1376952895=</v>
      </c>
    </row>
    <row r="271">
      <c r="A271" s="25"/>
      <c r="B271" s="25"/>
      <c r="C271" s="25"/>
      <c r="D271" s="105" t="str">
        <f>IF(COUNTIF('Form responses 4'!B:B,C271)&gt;0, "", "https://docs.google.com/forms/d/e/1FAIpQLSdhNamFeglgVtt555M7xM7e8ZAg9KCWMEcDlLzX1oeZsyGxrg/viewform?usp=pp_url&amp;entry.580385001="&amp;C271&amp;"&amp;entry.1376952895="&amp;A271)</f>
        <v>https://docs.google.com/forms/d/e/1FAIpQLSdhNamFeglgVtt555M7xM7e8ZAg9KCWMEcDlLzX1oeZsyGxrg/viewform?usp=pp_url&amp;entry.580385001=&amp;entry.1376952895=</v>
      </c>
    </row>
    <row r="272">
      <c r="A272" s="25"/>
      <c r="B272" s="25"/>
      <c r="C272" s="25"/>
      <c r="D272" s="105" t="str">
        <f>IF(COUNTIF('Form responses 4'!B:B,C272)&gt;0, "", "https://docs.google.com/forms/d/e/1FAIpQLSdhNamFeglgVtt555M7xM7e8ZAg9KCWMEcDlLzX1oeZsyGxrg/viewform?usp=pp_url&amp;entry.580385001="&amp;C272&amp;"&amp;entry.1376952895="&amp;A272)</f>
        <v>https://docs.google.com/forms/d/e/1FAIpQLSdhNamFeglgVtt555M7xM7e8ZAg9KCWMEcDlLzX1oeZsyGxrg/viewform?usp=pp_url&amp;entry.580385001=&amp;entry.1376952895=</v>
      </c>
    </row>
    <row r="273">
      <c r="A273" s="25"/>
      <c r="B273" s="25"/>
      <c r="C273" s="25"/>
      <c r="D273" s="105" t="str">
        <f>IF(COUNTIF('Form responses 4'!B:B,C273)&gt;0, "", "https://docs.google.com/forms/d/e/1FAIpQLSdhNamFeglgVtt555M7xM7e8ZAg9KCWMEcDlLzX1oeZsyGxrg/viewform?usp=pp_url&amp;entry.580385001="&amp;C273&amp;"&amp;entry.1376952895="&amp;A273)</f>
        <v>https://docs.google.com/forms/d/e/1FAIpQLSdhNamFeglgVtt555M7xM7e8ZAg9KCWMEcDlLzX1oeZsyGxrg/viewform?usp=pp_url&amp;entry.580385001=&amp;entry.1376952895=</v>
      </c>
    </row>
    <row r="274">
      <c r="A274" s="25"/>
      <c r="B274" s="25"/>
      <c r="C274" s="25"/>
      <c r="D274" s="105" t="str">
        <f>IF(COUNTIF('Form responses 4'!B:B,C274)&gt;0, "", "https://docs.google.com/forms/d/e/1FAIpQLSdhNamFeglgVtt555M7xM7e8ZAg9KCWMEcDlLzX1oeZsyGxrg/viewform?usp=pp_url&amp;entry.580385001="&amp;C274&amp;"&amp;entry.1376952895="&amp;A274)</f>
        <v>https://docs.google.com/forms/d/e/1FAIpQLSdhNamFeglgVtt555M7xM7e8ZAg9KCWMEcDlLzX1oeZsyGxrg/viewform?usp=pp_url&amp;entry.580385001=&amp;entry.1376952895=</v>
      </c>
    </row>
    <row r="275">
      <c r="A275" s="25"/>
      <c r="B275" s="25"/>
      <c r="C275" s="25"/>
      <c r="D275" s="105" t="str">
        <f>IF(COUNTIF('Form responses 4'!B:B,C275)&gt;0, "", "https://docs.google.com/forms/d/e/1FAIpQLSdhNamFeglgVtt555M7xM7e8ZAg9KCWMEcDlLzX1oeZsyGxrg/viewform?usp=pp_url&amp;entry.580385001="&amp;C275&amp;"&amp;entry.1376952895="&amp;A275)</f>
        <v>https://docs.google.com/forms/d/e/1FAIpQLSdhNamFeglgVtt555M7xM7e8ZAg9KCWMEcDlLzX1oeZsyGxrg/viewform?usp=pp_url&amp;entry.580385001=&amp;entry.1376952895=</v>
      </c>
    </row>
    <row r="276">
      <c r="A276" s="25"/>
      <c r="B276" s="25"/>
      <c r="C276" s="25"/>
      <c r="D276" s="105" t="str">
        <f>IF(COUNTIF('Form responses 4'!B:B,C276)&gt;0, "", "https://docs.google.com/forms/d/e/1FAIpQLSdhNamFeglgVtt555M7xM7e8ZAg9KCWMEcDlLzX1oeZsyGxrg/viewform?usp=pp_url&amp;entry.580385001="&amp;C276&amp;"&amp;entry.1376952895="&amp;A276)</f>
        <v>https://docs.google.com/forms/d/e/1FAIpQLSdhNamFeglgVtt555M7xM7e8ZAg9KCWMEcDlLzX1oeZsyGxrg/viewform?usp=pp_url&amp;entry.580385001=&amp;entry.1376952895=</v>
      </c>
    </row>
    <row r="277">
      <c r="A277" s="25"/>
      <c r="B277" s="25"/>
      <c r="C277" s="25"/>
      <c r="D277" s="105" t="str">
        <f>IF(COUNTIF('Form responses 4'!B:B,C277)&gt;0, "", "https://docs.google.com/forms/d/e/1FAIpQLSdhNamFeglgVtt555M7xM7e8ZAg9KCWMEcDlLzX1oeZsyGxrg/viewform?usp=pp_url&amp;entry.580385001="&amp;C277&amp;"&amp;entry.1376952895="&amp;A277)</f>
        <v>https://docs.google.com/forms/d/e/1FAIpQLSdhNamFeglgVtt555M7xM7e8ZAg9KCWMEcDlLzX1oeZsyGxrg/viewform?usp=pp_url&amp;entry.580385001=&amp;entry.1376952895=</v>
      </c>
    </row>
    <row r="278">
      <c r="A278" s="25"/>
      <c r="B278" s="25"/>
      <c r="C278" s="25"/>
      <c r="D278" s="105" t="str">
        <f>IF(COUNTIF('Form responses 4'!B:B,C278)&gt;0, "", "https://docs.google.com/forms/d/e/1FAIpQLSdhNamFeglgVtt555M7xM7e8ZAg9KCWMEcDlLzX1oeZsyGxrg/viewform?usp=pp_url&amp;entry.580385001="&amp;C278&amp;"&amp;entry.1376952895="&amp;A278)</f>
        <v>https://docs.google.com/forms/d/e/1FAIpQLSdhNamFeglgVtt555M7xM7e8ZAg9KCWMEcDlLzX1oeZsyGxrg/viewform?usp=pp_url&amp;entry.580385001=&amp;entry.1376952895=</v>
      </c>
    </row>
    <row r="279">
      <c r="A279" s="25"/>
      <c r="B279" s="25"/>
      <c r="C279" s="25"/>
      <c r="D279" s="105" t="str">
        <f>IF(COUNTIF('Form responses 4'!B:B,C279)&gt;0, "", "https://docs.google.com/forms/d/e/1FAIpQLSdhNamFeglgVtt555M7xM7e8ZAg9KCWMEcDlLzX1oeZsyGxrg/viewform?usp=pp_url&amp;entry.580385001="&amp;C279&amp;"&amp;entry.1376952895="&amp;A279)</f>
        <v>https://docs.google.com/forms/d/e/1FAIpQLSdhNamFeglgVtt555M7xM7e8ZAg9KCWMEcDlLzX1oeZsyGxrg/viewform?usp=pp_url&amp;entry.580385001=&amp;entry.1376952895=</v>
      </c>
    </row>
    <row r="280">
      <c r="A280" s="25"/>
      <c r="B280" s="25"/>
      <c r="C280" s="25"/>
      <c r="D280" s="105" t="str">
        <f>IF(COUNTIF('Form responses 4'!B:B,C280)&gt;0, "", "https://docs.google.com/forms/d/e/1FAIpQLSdhNamFeglgVtt555M7xM7e8ZAg9KCWMEcDlLzX1oeZsyGxrg/viewform?usp=pp_url&amp;entry.580385001="&amp;C280&amp;"&amp;entry.1376952895="&amp;A280)</f>
        <v>https://docs.google.com/forms/d/e/1FAIpQLSdhNamFeglgVtt555M7xM7e8ZAg9KCWMEcDlLzX1oeZsyGxrg/viewform?usp=pp_url&amp;entry.580385001=&amp;entry.1376952895=</v>
      </c>
    </row>
    <row r="281">
      <c r="A281" s="25"/>
      <c r="B281" s="25"/>
      <c r="C281" s="25"/>
      <c r="D281" s="105" t="str">
        <f>IF(COUNTIF('Form responses 4'!B:B,C281)&gt;0, "", "https://docs.google.com/forms/d/e/1FAIpQLSdhNamFeglgVtt555M7xM7e8ZAg9KCWMEcDlLzX1oeZsyGxrg/viewform?usp=pp_url&amp;entry.580385001="&amp;C281&amp;"&amp;entry.1376952895="&amp;A281)</f>
        <v>https://docs.google.com/forms/d/e/1FAIpQLSdhNamFeglgVtt555M7xM7e8ZAg9KCWMEcDlLzX1oeZsyGxrg/viewform?usp=pp_url&amp;entry.580385001=&amp;entry.1376952895=</v>
      </c>
    </row>
    <row r="282">
      <c r="A282" s="25"/>
      <c r="B282" s="25"/>
      <c r="C282" s="25"/>
      <c r="D282" s="105" t="str">
        <f>IF(COUNTIF('Form responses 4'!B:B,C282)&gt;0, "", "https://docs.google.com/forms/d/e/1FAIpQLSdhNamFeglgVtt555M7xM7e8ZAg9KCWMEcDlLzX1oeZsyGxrg/viewform?usp=pp_url&amp;entry.580385001="&amp;C282&amp;"&amp;entry.1376952895="&amp;A282)</f>
        <v>https://docs.google.com/forms/d/e/1FAIpQLSdhNamFeglgVtt555M7xM7e8ZAg9KCWMEcDlLzX1oeZsyGxrg/viewform?usp=pp_url&amp;entry.580385001=&amp;entry.1376952895=</v>
      </c>
    </row>
    <row r="283">
      <c r="A283" s="25"/>
      <c r="B283" s="25"/>
      <c r="C283" s="25"/>
      <c r="D283" s="105" t="str">
        <f>IF(COUNTIF('Form responses 4'!B:B,C283)&gt;0, "", "https://docs.google.com/forms/d/e/1FAIpQLSdhNamFeglgVtt555M7xM7e8ZAg9KCWMEcDlLzX1oeZsyGxrg/viewform?usp=pp_url&amp;entry.580385001="&amp;C283&amp;"&amp;entry.1376952895="&amp;A283)</f>
        <v>https://docs.google.com/forms/d/e/1FAIpQLSdhNamFeglgVtt555M7xM7e8ZAg9KCWMEcDlLzX1oeZsyGxrg/viewform?usp=pp_url&amp;entry.580385001=&amp;entry.1376952895=</v>
      </c>
    </row>
    <row r="284">
      <c r="A284" s="25"/>
      <c r="B284" s="25"/>
      <c r="C284" s="25"/>
      <c r="D284" s="105" t="str">
        <f>IF(COUNTIF('Form responses 4'!B:B,C284)&gt;0, "", "https://docs.google.com/forms/d/e/1FAIpQLSdhNamFeglgVtt555M7xM7e8ZAg9KCWMEcDlLzX1oeZsyGxrg/viewform?usp=pp_url&amp;entry.580385001="&amp;C284&amp;"&amp;entry.1376952895="&amp;A284)</f>
        <v>https://docs.google.com/forms/d/e/1FAIpQLSdhNamFeglgVtt555M7xM7e8ZAg9KCWMEcDlLzX1oeZsyGxrg/viewform?usp=pp_url&amp;entry.580385001=&amp;entry.1376952895=</v>
      </c>
    </row>
    <row r="285">
      <c r="A285" s="25"/>
      <c r="B285" s="25"/>
      <c r="C285" s="25"/>
      <c r="D285" s="105" t="str">
        <f>IF(COUNTIF('Form responses 4'!B:B,C285)&gt;0, "", "https://docs.google.com/forms/d/e/1FAIpQLSdhNamFeglgVtt555M7xM7e8ZAg9KCWMEcDlLzX1oeZsyGxrg/viewform?usp=pp_url&amp;entry.580385001="&amp;C285&amp;"&amp;entry.1376952895="&amp;A285)</f>
        <v>https://docs.google.com/forms/d/e/1FAIpQLSdhNamFeglgVtt555M7xM7e8ZAg9KCWMEcDlLzX1oeZsyGxrg/viewform?usp=pp_url&amp;entry.580385001=&amp;entry.1376952895=</v>
      </c>
    </row>
    <row r="286">
      <c r="A286" s="25"/>
      <c r="B286" s="25"/>
      <c r="C286" s="25"/>
      <c r="D286" s="105" t="str">
        <f>IF(COUNTIF('Form responses 4'!B:B,C286)&gt;0, "", "https://docs.google.com/forms/d/e/1FAIpQLSdhNamFeglgVtt555M7xM7e8ZAg9KCWMEcDlLzX1oeZsyGxrg/viewform?usp=pp_url&amp;entry.580385001="&amp;C286&amp;"&amp;entry.1376952895="&amp;A286)</f>
        <v>https://docs.google.com/forms/d/e/1FAIpQLSdhNamFeglgVtt555M7xM7e8ZAg9KCWMEcDlLzX1oeZsyGxrg/viewform?usp=pp_url&amp;entry.580385001=&amp;entry.1376952895=</v>
      </c>
    </row>
    <row r="287">
      <c r="A287" s="25"/>
      <c r="B287" s="25"/>
      <c r="C287" s="25"/>
      <c r="D287" s="105" t="str">
        <f>IF(COUNTIF('Form responses 4'!B:B,C287)&gt;0, "", "https://docs.google.com/forms/d/e/1FAIpQLSdhNamFeglgVtt555M7xM7e8ZAg9KCWMEcDlLzX1oeZsyGxrg/viewform?usp=pp_url&amp;entry.580385001="&amp;C287&amp;"&amp;entry.1376952895="&amp;A287)</f>
        <v>https://docs.google.com/forms/d/e/1FAIpQLSdhNamFeglgVtt555M7xM7e8ZAg9KCWMEcDlLzX1oeZsyGxrg/viewform?usp=pp_url&amp;entry.580385001=&amp;entry.1376952895=</v>
      </c>
    </row>
    <row r="288">
      <c r="A288" s="25"/>
      <c r="B288" s="25"/>
      <c r="C288" s="25"/>
      <c r="D288" s="105" t="str">
        <f>IF(COUNTIF('Form responses 4'!B:B,C288)&gt;0, "", "https://docs.google.com/forms/d/e/1FAIpQLSdhNamFeglgVtt555M7xM7e8ZAg9KCWMEcDlLzX1oeZsyGxrg/viewform?usp=pp_url&amp;entry.580385001="&amp;C288&amp;"&amp;entry.1376952895="&amp;A288)</f>
        <v>https://docs.google.com/forms/d/e/1FAIpQLSdhNamFeglgVtt555M7xM7e8ZAg9KCWMEcDlLzX1oeZsyGxrg/viewform?usp=pp_url&amp;entry.580385001=&amp;entry.1376952895=</v>
      </c>
    </row>
    <row r="289">
      <c r="A289" s="25"/>
      <c r="B289" s="25"/>
      <c r="C289" s="25"/>
      <c r="D289" s="105" t="str">
        <f>IF(COUNTIF('Form responses 4'!B:B,C289)&gt;0, "", "https://docs.google.com/forms/d/e/1FAIpQLSdhNamFeglgVtt555M7xM7e8ZAg9KCWMEcDlLzX1oeZsyGxrg/viewform?usp=pp_url&amp;entry.580385001="&amp;C289&amp;"&amp;entry.1376952895="&amp;A289)</f>
        <v>https://docs.google.com/forms/d/e/1FAIpQLSdhNamFeglgVtt555M7xM7e8ZAg9KCWMEcDlLzX1oeZsyGxrg/viewform?usp=pp_url&amp;entry.580385001=&amp;entry.1376952895=</v>
      </c>
    </row>
    <row r="290">
      <c r="A290" s="25"/>
      <c r="B290" s="25"/>
      <c r="C290" s="25"/>
      <c r="D290" s="105" t="str">
        <f>IF(COUNTIF('Form responses 4'!B:B,C290)&gt;0, "", "https://docs.google.com/forms/d/e/1FAIpQLSdhNamFeglgVtt555M7xM7e8ZAg9KCWMEcDlLzX1oeZsyGxrg/viewform?usp=pp_url&amp;entry.580385001="&amp;C290&amp;"&amp;entry.1376952895="&amp;A290)</f>
        <v>https://docs.google.com/forms/d/e/1FAIpQLSdhNamFeglgVtt555M7xM7e8ZAg9KCWMEcDlLzX1oeZsyGxrg/viewform?usp=pp_url&amp;entry.580385001=&amp;entry.1376952895=</v>
      </c>
    </row>
    <row r="291">
      <c r="A291" s="25"/>
      <c r="B291" s="25"/>
      <c r="C291" s="25"/>
      <c r="D291" s="105" t="str">
        <f>IF(COUNTIF('Form responses 4'!B:B,C291)&gt;0, "", "https://docs.google.com/forms/d/e/1FAIpQLSdhNamFeglgVtt555M7xM7e8ZAg9KCWMEcDlLzX1oeZsyGxrg/viewform?usp=pp_url&amp;entry.580385001="&amp;C291&amp;"&amp;entry.1376952895="&amp;A291)</f>
        <v>https://docs.google.com/forms/d/e/1FAIpQLSdhNamFeglgVtt555M7xM7e8ZAg9KCWMEcDlLzX1oeZsyGxrg/viewform?usp=pp_url&amp;entry.580385001=&amp;entry.1376952895=</v>
      </c>
    </row>
    <row r="292">
      <c r="A292" s="25"/>
      <c r="B292" s="25"/>
      <c r="C292" s="25"/>
      <c r="D292" s="105" t="str">
        <f>IF(COUNTIF('Form responses 4'!B:B,C292)&gt;0, "", "https://docs.google.com/forms/d/e/1FAIpQLSdhNamFeglgVtt555M7xM7e8ZAg9KCWMEcDlLzX1oeZsyGxrg/viewform?usp=pp_url&amp;entry.580385001="&amp;C292&amp;"&amp;entry.1376952895="&amp;A292)</f>
        <v>https://docs.google.com/forms/d/e/1FAIpQLSdhNamFeglgVtt555M7xM7e8ZAg9KCWMEcDlLzX1oeZsyGxrg/viewform?usp=pp_url&amp;entry.580385001=&amp;entry.1376952895=</v>
      </c>
    </row>
    <row r="293">
      <c r="A293" s="25"/>
      <c r="B293" s="25"/>
      <c r="C293" s="25"/>
      <c r="D293" s="105" t="str">
        <f>IF(COUNTIF('Form responses 4'!B:B,C293)&gt;0, "", "https://docs.google.com/forms/d/e/1FAIpQLSdhNamFeglgVtt555M7xM7e8ZAg9KCWMEcDlLzX1oeZsyGxrg/viewform?usp=pp_url&amp;entry.580385001="&amp;C293&amp;"&amp;entry.1376952895="&amp;A293)</f>
        <v>https://docs.google.com/forms/d/e/1FAIpQLSdhNamFeglgVtt555M7xM7e8ZAg9KCWMEcDlLzX1oeZsyGxrg/viewform?usp=pp_url&amp;entry.580385001=&amp;entry.1376952895=</v>
      </c>
    </row>
    <row r="294">
      <c r="A294" s="25"/>
      <c r="B294" s="25"/>
      <c r="C294" s="25"/>
      <c r="D294" s="105" t="str">
        <f>IF(COUNTIF('Form responses 4'!B:B,C294)&gt;0, "", "https://docs.google.com/forms/d/e/1FAIpQLSdhNamFeglgVtt555M7xM7e8ZAg9KCWMEcDlLzX1oeZsyGxrg/viewform?usp=pp_url&amp;entry.580385001="&amp;C294&amp;"&amp;entry.1376952895="&amp;A294)</f>
        <v>https://docs.google.com/forms/d/e/1FAIpQLSdhNamFeglgVtt555M7xM7e8ZAg9KCWMEcDlLzX1oeZsyGxrg/viewform?usp=pp_url&amp;entry.580385001=&amp;entry.1376952895=</v>
      </c>
    </row>
    <row r="295">
      <c r="A295" s="25"/>
      <c r="B295" s="25"/>
      <c r="C295" s="25"/>
      <c r="D295" s="105" t="str">
        <f>IF(COUNTIF('Form responses 4'!B:B,C295)&gt;0, "", "https://docs.google.com/forms/d/e/1FAIpQLSdhNamFeglgVtt555M7xM7e8ZAg9KCWMEcDlLzX1oeZsyGxrg/viewform?usp=pp_url&amp;entry.580385001="&amp;C295&amp;"&amp;entry.1376952895="&amp;A295)</f>
        <v>https://docs.google.com/forms/d/e/1FAIpQLSdhNamFeglgVtt555M7xM7e8ZAg9KCWMEcDlLzX1oeZsyGxrg/viewform?usp=pp_url&amp;entry.580385001=&amp;entry.1376952895=</v>
      </c>
    </row>
    <row r="296">
      <c r="A296" s="25"/>
      <c r="B296" s="25"/>
      <c r="C296" s="25"/>
      <c r="D296" s="105" t="str">
        <f>IF(COUNTIF('Form responses 4'!B:B,C296)&gt;0, "", "https://docs.google.com/forms/d/e/1FAIpQLSdhNamFeglgVtt555M7xM7e8ZAg9KCWMEcDlLzX1oeZsyGxrg/viewform?usp=pp_url&amp;entry.580385001="&amp;C296&amp;"&amp;entry.1376952895="&amp;A296)</f>
        <v>https://docs.google.com/forms/d/e/1FAIpQLSdhNamFeglgVtt555M7xM7e8ZAg9KCWMEcDlLzX1oeZsyGxrg/viewform?usp=pp_url&amp;entry.580385001=&amp;entry.1376952895=</v>
      </c>
    </row>
    <row r="297">
      <c r="A297" s="25"/>
      <c r="B297" s="25"/>
      <c r="C297" s="25"/>
      <c r="D297" s="105" t="str">
        <f>IF(COUNTIF('Form responses 4'!B:B,C297)&gt;0, "", "https://docs.google.com/forms/d/e/1FAIpQLSdhNamFeglgVtt555M7xM7e8ZAg9KCWMEcDlLzX1oeZsyGxrg/viewform?usp=pp_url&amp;entry.580385001="&amp;C297&amp;"&amp;entry.1376952895="&amp;A297)</f>
        <v>https://docs.google.com/forms/d/e/1FAIpQLSdhNamFeglgVtt555M7xM7e8ZAg9KCWMEcDlLzX1oeZsyGxrg/viewform?usp=pp_url&amp;entry.580385001=&amp;entry.1376952895=</v>
      </c>
    </row>
    <row r="298">
      <c r="A298" s="25"/>
      <c r="B298" s="25"/>
      <c r="C298" s="25"/>
      <c r="D298" s="105" t="str">
        <f>IF(COUNTIF('Form responses 4'!B:B,C298)&gt;0, "", "https://docs.google.com/forms/d/e/1FAIpQLSdhNamFeglgVtt555M7xM7e8ZAg9KCWMEcDlLzX1oeZsyGxrg/viewform?usp=pp_url&amp;entry.580385001="&amp;C298&amp;"&amp;entry.1376952895="&amp;A298)</f>
        <v>https://docs.google.com/forms/d/e/1FAIpQLSdhNamFeglgVtt555M7xM7e8ZAg9KCWMEcDlLzX1oeZsyGxrg/viewform?usp=pp_url&amp;entry.580385001=&amp;entry.1376952895=</v>
      </c>
    </row>
    <row r="299">
      <c r="A299" s="25"/>
      <c r="B299" s="25"/>
      <c r="C299" s="25"/>
      <c r="D299" s="105" t="str">
        <f>IF(COUNTIF('Form responses 4'!B:B,C299)&gt;0, "", "https://docs.google.com/forms/d/e/1FAIpQLSdhNamFeglgVtt555M7xM7e8ZAg9KCWMEcDlLzX1oeZsyGxrg/viewform?usp=pp_url&amp;entry.580385001="&amp;C299&amp;"&amp;entry.1376952895="&amp;A299)</f>
        <v>https://docs.google.com/forms/d/e/1FAIpQLSdhNamFeglgVtt555M7xM7e8ZAg9KCWMEcDlLzX1oeZsyGxrg/viewform?usp=pp_url&amp;entry.580385001=&amp;entry.1376952895=</v>
      </c>
    </row>
    <row r="300">
      <c r="A300" s="25"/>
      <c r="B300" s="25"/>
      <c r="C300" s="25"/>
      <c r="D300" s="105" t="str">
        <f>IF(COUNTIF('Form responses 4'!B:B,C300)&gt;0, "", "https://docs.google.com/forms/d/e/1FAIpQLSdhNamFeglgVtt555M7xM7e8ZAg9KCWMEcDlLzX1oeZsyGxrg/viewform?usp=pp_url&amp;entry.580385001="&amp;C300&amp;"&amp;entry.1376952895="&amp;A300)</f>
        <v>https://docs.google.com/forms/d/e/1FAIpQLSdhNamFeglgVtt555M7xM7e8ZAg9KCWMEcDlLzX1oeZsyGxrg/viewform?usp=pp_url&amp;entry.580385001=&amp;entry.1376952895=</v>
      </c>
    </row>
    <row r="301">
      <c r="A301" s="25"/>
      <c r="B301" s="25"/>
      <c r="C301" s="25"/>
      <c r="D301" s="105" t="str">
        <f>IF(COUNTIF('Form responses 4'!B:B,C301)&gt;0, "", "https://docs.google.com/forms/d/e/1FAIpQLSdhNamFeglgVtt555M7xM7e8ZAg9KCWMEcDlLzX1oeZsyGxrg/viewform?usp=pp_url&amp;entry.580385001="&amp;C301&amp;"&amp;entry.1376952895="&amp;A301)</f>
        <v>https://docs.google.com/forms/d/e/1FAIpQLSdhNamFeglgVtt555M7xM7e8ZAg9KCWMEcDlLzX1oeZsyGxrg/viewform?usp=pp_url&amp;entry.580385001=&amp;entry.1376952895=</v>
      </c>
    </row>
    <row r="302">
      <c r="A302" s="25"/>
      <c r="B302" s="25"/>
      <c r="C302" s="25"/>
      <c r="D302" s="105" t="str">
        <f>IF(COUNTIF('Form responses 4'!B:B,C302)&gt;0, "", "https://docs.google.com/forms/d/e/1FAIpQLSdhNamFeglgVtt555M7xM7e8ZAg9KCWMEcDlLzX1oeZsyGxrg/viewform?usp=pp_url&amp;entry.580385001="&amp;C302&amp;"&amp;entry.1376952895="&amp;A302)</f>
        <v>https://docs.google.com/forms/d/e/1FAIpQLSdhNamFeglgVtt555M7xM7e8ZAg9KCWMEcDlLzX1oeZsyGxrg/viewform?usp=pp_url&amp;entry.580385001=&amp;entry.1376952895=</v>
      </c>
    </row>
    <row r="303">
      <c r="A303" s="25"/>
      <c r="B303" s="25"/>
      <c r="C303" s="25"/>
      <c r="D303" s="105" t="str">
        <f>IF(COUNTIF('Form responses 4'!B:B,C303)&gt;0, "", "https://docs.google.com/forms/d/e/1FAIpQLSdhNamFeglgVtt555M7xM7e8ZAg9KCWMEcDlLzX1oeZsyGxrg/viewform?usp=pp_url&amp;entry.580385001="&amp;C303&amp;"&amp;entry.1376952895="&amp;A303)</f>
        <v>https://docs.google.com/forms/d/e/1FAIpQLSdhNamFeglgVtt555M7xM7e8ZAg9KCWMEcDlLzX1oeZsyGxrg/viewform?usp=pp_url&amp;entry.580385001=&amp;entry.1376952895=</v>
      </c>
    </row>
    <row r="304">
      <c r="A304" s="25"/>
      <c r="B304" s="25"/>
      <c r="C304" s="25"/>
      <c r="D304" s="105" t="str">
        <f>IF(COUNTIF('Form responses 4'!B:B,C304)&gt;0, "", "https://docs.google.com/forms/d/e/1FAIpQLSdhNamFeglgVtt555M7xM7e8ZAg9KCWMEcDlLzX1oeZsyGxrg/viewform?usp=pp_url&amp;entry.580385001="&amp;C304&amp;"&amp;entry.1376952895="&amp;A304)</f>
        <v>https://docs.google.com/forms/d/e/1FAIpQLSdhNamFeglgVtt555M7xM7e8ZAg9KCWMEcDlLzX1oeZsyGxrg/viewform?usp=pp_url&amp;entry.580385001=&amp;entry.1376952895=</v>
      </c>
    </row>
    <row r="305">
      <c r="A305" s="25"/>
      <c r="B305" s="25"/>
      <c r="C305" s="25"/>
      <c r="D305" s="105" t="str">
        <f>IF(COUNTIF('Form responses 4'!B:B,C305)&gt;0, "", "https://docs.google.com/forms/d/e/1FAIpQLSdhNamFeglgVtt555M7xM7e8ZAg9KCWMEcDlLzX1oeZsyGxrg/viewform?usp=pp_url&amp;entry.580385001="&amp;C305&amp;"&amp;entry.1376952895="&amp;A305)</f>
        <v>https://docs.google.com/forms/d/e/1FAIpQLSdhNamFeglgVtt555M7xM7e8ZAg9KCWMEcDlLzX1oeZsyGxrg/viewform?usp=pp_url&amp;entry.580385001=&amp;entry.1376952895=</v>
      </c>
    </row>
    <row r="306">
      <c r="A306" s="25"/>
      <c r="B306" s="25"/>
      <c r="C306" s="25"/>
      <c r="D306" s="105" t="str">
        <f>IF(COUNTIF('Form responses 4'!B:B,C306)&gt;0, "", "https://docs.google.com/forms/d/e/1FAIpQLSdhNamFeglgVtt555M7xM7e8ZAg9KCWMEcDlLzX1oeZsyGxrg/viewform?usp=pp_url&amp;entry.580385001="&amp;C306&amp;"&amp;entry.1376952895="&amp;A306)</f>
        <v>https://docs.google.com/forms/d/e/1FAIpQLSdhNamFeglgVtt555M7xM7e8ZAg9KCWMEcDlLzX1oeZsyGxrg/viewform?usp=pp_url&amp;entry.580385001=&amp;entry.1376952895=</v>
      </c>
    </row>
    <row r="307">
      <c r="A307" s="25"/>
      <c r="B307" s="25"/>
      <c r="C307" s="25"/>
      <c r="D307" s="105" t="str">
        <f>IF(COUNTIF('Form responses 4'!B:B,C307)&gt;0, "", "https://docs.google.com/forms/d/e/1FAIpQLSdhNamFeglgVtt555M7xM7e8ZAg9KCWMEcDlLzX1oeZsyGxrg/viewform?usp=pp_url&amp;entry.580385001="&amp;C307&amp;"&amp;entry.1376952895="&amp;A307)</f>
        <v>https://docs.google.com/forms/d/e/1FAIpQLSdhNamFeglgVtt555M7xM7e8ZAg9KCWMEcDlLzX1oeZsyGxrg/viewform?usp=pp_url&amp;entry.580385001=&amp;entry.1376952895=</v>
      </c>
    </row>
    <row r="308">
      <c r="A308" s="25"/>
      <c r="B308" s="25"/>
      <c r="C308" s="25"/>
      <c r="D308" s="105" t="str">
        <f>IF(COUNTIF('Form responses 4'!B:B,C308)&gt;0, "", "https://docs.google.com/forms/d/e/1FAIpQLSdhNamFeglgVtt555M7xM7e8ZAg9KCWMEcDlLzX1oeZsyGxrg/viewform?usp=pp_url&amp;entry.580385001="&amp;C308&amp;"&amp;entry.1376952895="&amp;A308)</f>
        <v>https://docs.google.com/forms/d/e/1FAIpQLSdhNamFeglgVtt555M7xM7e8ZAg9KCWMEcDlLzX1oeZsyGxrg/viewform?usp=pp_url&amp;entry.580385001=&amp;entry.1376952895=</v>
      </c>
    </row>
    <row r="309">
      <c r="A309" s="25"/>
      <c r="B309" s="25"/>
      <c r="C309" s="25"/>
      <c r="D309" s="105" t="str">
        <f>IF(COUNTIF('Form responses 4'!B:B,C309)&gt;0, "", "https://docs.google.com/forms/d/e/1FAIpQLSdhNamFeglgVtt555M7xM7e8ZAg9KCWMEcDlLzX1oeZsyGxrg/viewform?usp=pp_url&amp;entry.580385001="&amp;C309&amp;"&amp;entry.1376952895="&amp;A309)</f>
        <v>https://docs.google.com/forms/d/e/1FAIpQLSdhNamFeglgVtt555M7xM7e8ZAg9KCWMEcDlLzX1oeZsyGxrg/viewform?usp=pp_url&amp;entry.580385001=&amp;entry.1376952895=</v>
      </c>
    </row>
    <row r="310">
      <c r="A310" s="25"/>
      <c r="B310" s="25"/>
      <c r="C310" s="25"/>
      <c r="D310" s="105" t="str">
        <f>IF(COUNTIF('Form responses 4'!B:B,C310)&gt;0, "", "https://docs.google.com/forms/d/e/1FAIpQLSdhNamFeglgVtt555M7xM7e8ZAg9KCWMEcDlLzX1oeZsyGxrg/viewform?usp=pp_url&amp;entry.580385001="&amp;C310&amp;"&amp;entry.1376952895="&amp;A310)</f>
        <v>https://docs.google.com/forms/d/e/1FAIpQLSdhNamFeglgVtt555M7xM7e8ZAg9KCWMEcDlLzX1oeZsyGxrg/viewform?usp=pp_url&amp;entry.580385001=&amp;entry.1376952895=</v>
      </c>
    </row>
    <row r="311">
      <c r="A311" s="25"/>
      <c r="B311" s="25"/>
      <c r="C311" s="25"/>
      <c r="D311" s="105" t="str">
        <f>IF(COUNTIF('Form responses 4'!B:B,C311)&gt;0, "", "https://docs.google.com/forms/d/e/1FAIpQLSdhNamFeglgVtt555M7xM7e8ZAg9KCWMEcDlLzX1oeZsyGxrg/viewform?usp=pp_url&amp;entry.580385001="&amp;C311&amp;"&amp;entry.1376952895="&amp;A311)</f>
        <v>https://docs.google.com/forms/d/e/1FAIpQLSdhNamFeglgVtt555M7xM7e8ZAg9KCWMEcDlLzX1oeZsyGxrg/viewform?usp=pp_url&amp;entry.580385001=&amp;entry.1376952895=</v>
      </c>
    </row>
    <row r="312">
      <c r="A312" s="25"/>
      <c r="B312" s="25"/>
      <c r="C312" s="25"/>
      <c r="D312" s="105" t="str">
        <f>IF(COUNTIF('Form responses 4'!B:B,C312)&gt;0, "", "https://docs.google.com/forms/d/e/1FAIpQLSdhNamFeglgVtt555M7xM7e8ZAg9KCWMEcDlLzX1oeZsyGxrg/viewform?usp=pp_url&amp;entry.580385001="&amp;C312&amp;"&amp;entry.1376952895="&amp;A312)</f>
        <v>https://docs.google.com/forms/d/e/1FAIpQLSdhNamFeglgVtt555M7xM7e8ZAg9KCWMEcDlLzX1oeZsyGxrg/viewform?usp=pp_url&amp;entry.580385001=&amp;entry.1376952895=</v>
      </c>
    </row>
    <row r="313">
      <c r="A313" s="25"/>
      <c r="B313" s="25"/>
      <c r="C313" s="25"/>
      <c r="D313" s="105" t="str">
        <f>IF(COUNTIF('Form responses 4'!B:B,C313)&gt;0, "", "https://docs.google.com/forms/d/e/1FAIpQLSdhNamFeglgVtt555M7xM7e8ZAg9KCWMEcDlLzX1oeZsyGxrg/viewform?usp=pp_url&amp;entry.580385001="&amp;C313&amp;"&amp;entry.1376952895="&amp;A313)</f>
        <v>https://docs.google.com/forms/d/e/1FAIpQLSdhNamFeglgVtt555M7xM7e8ZAg9KCWMEcDlLzX1oeZsyGxrg/viewform?usp=pp_url&amp;entry.580385001=&amp;entry.1376952895=</v>
      </c>
    </row>
    <row r="314">
      <c r="A314" s="25"/>
      <c r="B314" s="25"/>
      <c r="C314" s="25"/>
      <c r="D314" s="105" t="str">
        <f>IF(COUNTIF('Form responses 4'!B:B,C314)&gt;0, "", "https://docs.google.com/forms/d/e/1FAIpQLSdhNamFeglgVtt555M7xM7e8ZAg9KCWMEcDlLzX1oeZsyGxrg/viewform?usp=pp_url&amp;entry.580385001="&amp;C314&amp;"&amp;entry.1376952895="&amp;A314)</f>
        <v>https://docs.google.com/forms/d/e/1FAIpQLSdhNamFeglgVtt555M7xM7e8ZAg9KCWMEcDlLzX1oeZsyGxrg/viewform?usp=pp_url&amp;entry.580385001=&amp;entry.1376952895=</v>
      </c>
    </row>
    <row r="315">
      <c r="A315" s="25"/>
      <c r="B315" s="25"/>
      <c r="C315" s="25"/>
      <c r="D315" s="105" t="str">
        <f>IF(COUNTIF('Form responses 4'!B:B,C315)&gt;0, "", "https://docs.google.com/forms/d/e/1FAIpQLSdhNamFeglgVtt555M7xM7e8ZAg9KCWMEcDlLzX1oeZsyGxrg/viewform?usp=pp_url&amp;entry.580385001="&amp;C315&amp;"&amp;entry.1376952895="&amp;A315)</f>
        <v>https://docs.google.com/forms/d/e/1FAIpQLSdhNamFeglgVtt555M7xM7e8ZAg9KCWMEcDlLzX1oeZsyGxrg/viewform?usp=pp_url&amp;entry.580385001=&amp;entry.1376952895=</v>
      </c>
    </row>
    <row r="316">
      <c r="A316" s="25"/>
      <c r="B316" s="25"/>
      <c r="C316" s="25"/>
      <c r="D316" s="105" t="str">
        <f>IF(COUNTIF('Form responses 4'!B:B,C316)&gt;0, "", "https://docs.google.com/forms/d/e/1FAIpQLSdhNamFeglgVtt555M7xM7e8ZAg9KCWMEcDlLzX1oeZsyGxrg/viewform?usp=pp_url&amp;entry.580385001="&amp;C316&amp;"&amp;entry.1376952895="&amp;A316)</f>
        <v>https://docs.google.com/forms/d/e/1FAIpQLSdhNamFeglgVtt555M7xM7e8ZAg9KCWMEcDlLzX1oeZsyGxrg/viewform?usp=pp_url&amp;entry.580385001=&amp;entry.1376952895=</v>
      </c>
    </row>
    <row r="317">
      <c r="A317" s="25"/>
      <c r="B317" s="25"/>
      <c r="C317" s="25"/>
      <c r="D317" s="105" t="str">
        <f>IF(COUNTIF('Form responses 4'!B:B,C317)&gt;0, "", "https://docs.google.com/forms/d/e/1FAIpQLSdhNamFeglgVtt555M7xM7e8ZAg9KCWMEcDlLzX1oeZsyGxrg/viewform?usp=pp_url&amp;entry.580385001="&amp;C317&amp;"&amp;entry.1376952895="&amp;A317)</f>
        <v>https://docs.google.com/forms/d/e/1FAIpQLSdhNamFeglgVtt555M7xM7e8ZAg9KCWMEcDlLzX1oeZsyGxrg/viewform?usp=pp_url&amp;entry.580385001=&amp;entry.1376952895=</v>
      </c>
    </row>
    <row r="318">
      <c r="A318" s="25"/>
      <c r="B318" s="25"/>
      <c r="C318" s="25"/>
      <c r="D318" s="105" t="str">
        <f>IF(COUNTIF('Form responses 4'!B:B,C318)&gt;0, "", "https://docs.google.com/forms/d/e/1FAIpQLSdhNamFeglgVtt555M7xM7e8ZAg9KCWMEcDlLzX1oeZsyGxrg/viewform?usp=pp_url&amp;entry.580385001="&amp;C318&amp;"&amp;entry.1376952895="&amp;A318)</f>
        <v>https://docs.google.com/forms/d/e/1FAIpQLSdhNamFeglgVtt555M7xM7e8ZAg9KCWMEcDlLzX1oeZsyGxrg/viewform?usp=pp_url&amp;entry.580385001=&amp;entry.1376952895=</v>
      </c>
    </row>
    <row r="319">
      <c r="A319" s="25"/>
      <c r="B319" s="25"/>
      <c r="C319" s="25"/>
      <c r="D319" s="105" t="str">
        <f>IF(COUNTIF('Form responses 4'!B:B,C319)&gt;0, "", "https://docs.google.com/forms/d/e/1FAIpQLSdhNamFeglgVtt555M7xM7e8ZAg9KCWMEcDlLzX1oeZsyGxrg/viewform?usp=pp_url&amp;entry.580385001="&amp;C319&amp;"&amp;entry.1376952895="&amp;A319)</f>
        <v>https://docs.google.com/forms/d/e/1FAIpQLSdhNamFeglgVtt555M7xM7e8ZAg9KCWMEcDlLzX1oeZsyGxrg/viewform?usp=pp_url&amp;entry.580385001=&amp;entry.1376952895=</v>
      </c>
    </row>
    <row r="320">
      <c r="A320" s="25"/>
      <c r="B320" s="25"/>
      <c r="C320" s="25"/>
      <c r="D320" s="105" t="str">
        <f>IF(COUNTIF('Form responses 4'!B:B,C320)&gt;0, "", "https://docs.google.com/forms/d/e/1FAIpQLSdhNamFeglgVtt555M7xM7e8ZAg9KCWMEcDlLzX1oeZsyGxrg/viewform?usp=pp_url&amp;entry.580385001="&amp;C320&amp;"&amp;entry.1376952895="&amp;A320)</f>
        <v>https://docs.google.com/forms/d/e/1FAIpQLSdhNamFeglgVtt555M7xM7e8ZAg9KCWMEcDlLzX1oeZsyGxrg/viewform?usp=pp_url&amp;entry.580385001=&amp;entry.1376952895=</v>
      </c>
    </row>
    <row r="321">
      <c r="A321" s="25"/>
      <c r="B321" s="25"/>
      <c r="C321" s="25"/>
      <c r="D321" s="105" t="str">
        <f>IF(COUNTIF('Form responses 4'!B:B,C321)&gt;0, "", "https://docs.google.com/forms/d/e/1FAIpQLSdhNamFeglgVtt555M7xM7e8ZAg9KCWMEcDlLzX1oeZsyGxrg/viewform?usp=pp_url&amp;entry.580385001="&amp;C321&amp;"&amp;entry.1376952895="&amp;A321)</f>
        <v>https://docs.google.com/forms/d/e/1FAIpQLSdhNamFeglgVtt555M7xM7e8ZAg9KCWMEcDlLzX1oeZsyGxrg/viewform?usp=pp_url&amp;entry.580385001=&amp;entry.1376952895=</v>
      </c>
    </row>
    <row r="322">
      <c r="A322" s="25"/>
      <c r="B322" s="25"/>
      <c r="C322" s="25"/>
      <c r="D322" s="105" t="str">
        <f>IF(COUNTIF('Form responses 4'!B:B,C322)&gt;0, "", "https://docs.google.com/forms/d/e/1FAIpQLSdhNamFeglgVtt555M7xM7e8ZAg9KCWMEcDlLzX1oeZsyGxrg/viewform?usp=pp_url&amp;entry.580385001="&amp;C322&amp;"&amp;entry.1376952895="&amp;A322)</f>
        <v>https://docs.google.com/forms/d/e/1FAIpQLSdhNamFeglgVtt555M7xM7e8ZAg9KCWMEcDlLzX1oeZsyGxrg/viewform?usp=pp_url&amp;entry.580385001=&amp;entry.1376952895=</v>
      </c>
    </row>
    <row r="323">
      <c r="A323" s="25"/>
      <c r="B323" s="25"/>
      <c r="C323" s="25"/>
      <c r="D323" s="105" t="str">
        <f>IF(COUNTIF('Form responses 4'!B:B,C323)&gt;0, "", "https://docs.google.com/forms/d/e/1FAIpQLSdhNamFeglgVtt555M7xM7e8ZAg9KCWMEcDlLzX1oeZsyGxrg/viewform?usp=pp_url&amp;entry.580385001="&amp;C323&amp;"&amp;entry.1376952895="&amp;A323)</f>
        <v>https://docs.google.com/forms/d/e/1FAIpQLSdhNamFeglgVtt555M7xM7e8ZAg9KCWMEcDlLzX1oeZsyGxrg/viewform?usp=pp_url&amp;entry.580385001=&amp;entry.1376952895=</v>
      </c>
    </row>
    <row r="324">
      <c r="A324" s="25"/>
      <c r="B324" s="25"/>
      <c r="C324" s="25"/>
      <c r="D324" s="105" t="str">
        <f>IF(COUNTIF('Form responses 4'!B:B,C324)&gt;0, "", "https://docs.google.com/forms/d/e/1FAIpQLSdhNamFeglgVtt555M7xM7e8ZAg9KCWMEcDlLzX1oeZsyGxrg/viewform?usp=pp_url&amp;entry.580385001="&amp;C324&amp;"&amp;entry.1376952895="&amp;A324)</f>
        <v>https://docs.google.com/forms/d/e/1FAIpQLSdhNamFeglgVtt555M7xM7e8ZAg9KCWMEcDlLzX1oeZsyGxrg/viewform?usp=pp_url&amp;entry.580385001=&amp;entry.1376952895=</v>
      </c>
    </row>
    <row r="325">
      <c r="A325" s="25"/>
      <c r="B325" s="25"/>
      <c r="C325" s="25"/>
      <c r="D325" s="105" t="str">
        <f>IF(COUNTIF('Form responses 4'!B:B,C325)&gt;0, "", "https://docs.google.com/forms/d/e/1FAIpQLSdhNamFeglgVtt555M7xM7e8ZAg9KCWMEcDlLzX1oeZsyGxrg/viewform?usp=pp_url&amp;entry.580385001="&amp;C325&amp;"&amp;entry.1376952895="&amp;A325)</f>
        <v>https://docs.google.com/forms/d/e/1FAIpQLSdhNamFeglgVtt555M7xM7e8ZAg9KCWMEcDlLzX1oeZsyGxrg/viewform?usp=pp_url&amp;entry.580385001=&amp;entry.1376952895=</v>
      </c>
    </row>
    <row r="326">
      <c r="A326" s="25"/>
      <c r="B326" s="25"/>
      <c r="C326" s="25"/>
      <c r="D326" s="105" t="str">
        <f>IF(COUNTIF('Form responses 4'!B:B,C326)&gt;0, "", "https://docs.google.com/forms/d/e/1FAIpQLSdhNamFeglgVtt555M7xM7e8ZAg9KCWMEcDlLzX1oeZsyGxrg/viewform?usp=pp_url&amp;entry.580385001="&amp;C326&amp;"&amp;entry.1376952895="&amp;A326)</f>
        <v>https://docs.google.com/forms/d/e/1FAIpQLSdhNamFeglgVtt555M7xM7e8ZAg9KCWMEcDlLzX1oeZsyGxrg/viewform?usp=pp_url&amp;entry.580385001=&amp;entry.1376952895=</v>
      </c>
    </row>
    <row r="327">
      <c r="A327" s="25"/>
      <c r="B327" s="25"/>
      <c r="C327" s="25"/>
      <c r="D327" s="105" t="str">
        <f>IF(COUNTIF('Form responses 4'!B:B,C327)&gt;0, "", "https://docs.google.com/forms/d/e/1FAIpQLSdhNamFeglgVtt555M7xM7e8ZAg9KCWMEcDlLzX1oeZsyGxrg/viewform?usp=pp_url&amp;entry.580385001="&amp;C327&amp;"&amp;entry.1376952895="&amp;A327)</f>
        <v>https://docs.google.com/forms/d/e/1FAIpQLSdhNamFeglgVtt555M7xM7e8ZAg9KCWMEcDlLzX1oeZsyGxrg/viewform?usp=pp_url&amp;entry.580385001=&amp;entry.1376952895=</v>
      </c>
    </row>
    <row r="328">
      <c r="A328" s="25"/>
      <c r="B328" s="25"/>
      <c r="C328" s="25"/>
      <c r="D328" s="105" t="str">
        <f>IF(COUNTIF('Form responses 4'!B:B,C328)&gt;0, "", "https://docs.google.com/forms/d/e/1FAIpQLSdhNamFeglgVtt555M7xM7e8ZAg9KCWMEcDlLzX1oeZsyGxrg/viewform?usp=pp_url&amp;entry.580385001="&amp;C328&amp;"&amp;entry.1376952895="&amp;A328)</f>
        <v>https://docs.google.com/forms/d/e/1FAIpQLSdhNamFeglgVtt555M7xM7e8ZAg9KCWMEcDlLzX1oeZsyGxrg/viewform?usp=pp_url&amp;entry.580385001=&amp;entry.1376952895=</v>
      </c>
    </row>
    <row r="329">
      <c r="A329" s="25"/>
      <c r="B329" s="25"/>
      <c r="C329" s="25"/>
      <c r="D329" s="105" t="str">
        <f>IF(COUNTIF('Form responses 4'!B:B,C329)&gt;0, "", "https://docs.google.com/forms/d/e/1FAIpQLSdhNamFeglgVtt555M7xM7e8ZAg9KCWMEcDlLzX1oeZsyGxrg/viewform?usp=pp_url&amp;entry.580385001="&amp;C329&amp;"&amp;entry.1376952895="&amp;A329)</f>
        <v>https://docs.google.com/forms/d/e/1FAIpQLSdhNamFeglgVtt555M7xM7e8ZAg9KCWMEcDlLzX1oeZsyGxrg/viewform?usp=pp_url&amp;entry.580385001=&amp;entry.1376952895=</v>
      </c>
    </row>
    <row r="330">
      <c r="A330" s="25"/>
      <c r="B330" s="25"/>
      <c r="C330" s="25"/>
      <c r="D330" s="105" t="str">
        <f>IF(COUNTIF('Form responses 4'!B:B,C330)&gt;0, "", "https://docs.google.com/forms/d/e/1FAIpQLSdhNamFeglgVtt555M7xM7e8ZAg9KCWMEcDlLzX1oeZsyGxrg/viewform?usp=pp_url&amp;entry.580385001="&amp;C330&amp;"&amp;entry.1376952895="&amp;A330)</f>
        <v>https://docs.google.com/forms/d/e/1FAIpQLSdhNamFeglgVtt555M7xM7e8ZAg9KCWMEcDlLzX1oeZsyGxrg/viewform?usp=pp_url&amp;entry.580385001=&amp;entry.1376952895=</v>
      </c>
    </row>
    <row r="331">
      <c r="A331" s="25"/>
      <c r="B331" s="25"/>
      <c r="C331" s="25"/>
      <c r="D331" s="105" t="str">
        <f>IF(COUNTIF('Form responses 4'!B:B,C331)&gt;0, "", "https://docs.google.com/forms/d/e/1FAIpQLSdhNamFeglgVtt555M7xM7e8ZAg9KCWMEcDlLzX1oeZsyGxrg/viewform?usp=pp_url&amp;entry.580385001="&amp;C331&amp;"&amp;entry.1376952895="&amp;A331)</f>
        <v>https://docs.google.com/forms/d/e/1FAIpQLSdhNamFeglgVtt555M7xM7e8ZAg9KCWMEcDlLzX1oeZsyGxrg/viewform?usp=pp_url&amp;entry.580385001=&amp;entry.1376952895=</v>
      </c>
    </row>
    <row r="332">
      <c r="A332" s="25"/>
      <c r="B332" s="25"/>
      <c r="C332" s="25"/>
      <c r="D332" s="105" t="str">
        <f>IF(COUNTIF('Form responses 4'!B:B,C332)&gt;0, "", "https://docs.google.com/forms/d/e/1FAIpQLSdhNamFeglgVtt555M7xM7e8ZAg9KCWMEcDlLzX1oeZsyGxrg/viewform?usp=pp_url&amp;entry.580385001="&amp;C332&amp;"&amp;entry.1376952895="&amp;A332)</f>
        <v>https://docs.google.com/forms/d/e/1FAIpQLSdhNamFeglgVtt555M7xM7e8ZAg9KCWMEcDlLzX1oeZsyGxrg/viewform?usp=pp_url&amp;entry.580385001=&amp;entry.1376952895=</v>
      </c>
    </row>
    <row r="333">
      <c r="A333" s="25"/>
      <c r="B333" s="25"/>
      <c r="C333" s="25"/>
      <c r="D333" s="105" t="str">
        <f>IF(COUNTIF('Form responses 4'!B:B,C333)&gt;0, "", "https://docs.google.com/forms/d/e/1FAIpQLSdhNamFeglgVtt555M7xM7e8ZAg9KCWMEcDlLzX1oeZsyGxrg/viewform?usp=pp_url&amp;entry.580385001="&amp;C333&amp;"&amp;entry.1376952895="&amp;A333)</f>
        <v>https://docs.google.com/forms/d/e/1FAIpQLSdhNamFeglgVtt555M7xM7e8ZAg9KCWMEcDlLzX1oeZsyGxrg/viewform?usp=pp_url&amp;entry.580385001=&amp;entry.1376952895=</v>
      </c>
    </row>
    <row r="334">
      <c r="A334" s="25"/>
      <c r="B334" s="25"/>
      <c r="C334" s="25"/>
      <c r="D334" s="105" t="str">
        <f>IF(COUNTIF('Form responses 4'!B:B,C334)&gt;0, "", "https://docs.google.com/forms/d/e/1FAIpQLSdhNamFeglgVtt555M7xM7e8ZAg9KCWMEcDlLzX1oeZsyGxrg/viewform?usp=pp_url&amp;entry.580385001="&amp;C334&amp;"&amp;entry.1376952895="&amp;A334)</f>
        <v>https://docs.google.com/forms/d/e/1FAIpQLSdhNamFeglgVtt555M7xM7e8ZAg9KCWMEcDlLzX1oeZsyGxrg/viewform?usp=pp_url&amp;entry.580385001=&amp;entry.1376952895=</v>
      </c>
    </row>
    <row r="335">
      <c r="A335" s="25"/>
      <c r="B335" s="25"/>
      <c r="C335" s="25"/>
      <c r="D335" s="105" t="str">
        <f>IF(COUNTIF('Form responses 4'!B:B,C335)&gt;0, "", "https://docs.google.com/forms/d/e/1FAIpQLSdhNamFeglgVtt555M7xM7e8ZAg9KCWMEcDlLzX1oeZsyGxrg/viewform?usp=pp_url&amp;entry.580385001="&amp;C335&amp;"&amp;entry.1376952895="&amp;A335)</f>
        <v>https://docs.google.com/forms/d/e/1FAIpQLSdhNamFeglgVtt555M7xM7e8ZAg9KCWMEcDlLzX1oeZsyGxrg/viewform?usp=pp_url&amp;entry.580385001=&amp;entry.1376952895=</v>
      </c>
    </row>
    <row r="336">
      <c r="A336" s="25"/>
      <c r="B336" s="25"/>
      <c r="C336" s="25"/>
      <c r="D336" s="105" t="str">
        <f>IF(COUNTIF('Form responses 4'!B:B,C336)&gt;0, "", "https://docs.google.com/forms/d/e/1FAIpQLSdhNamFeglgVtt555M7xM7e8ZAg9KCWMEcDlLzX1oeZsyGxrg/viewform?usp=pp_url&amp;entry.580385001="&amp;C336&amp;"&amp;entry.1376952895="&amp;A336)</f>
        <v>https://docs.google.com/forms/d/e/1FAIpQLSdhNamFeglgVtt555M7xM7e8ZAg9KCWMEcDlLzX1oeZsyGxrg/viewform?usp=pp_url&amp;entry.580385001=&amp;entry.1376952895=</v>
      </c>
    </row>
    <row r="337">
      <c r="A337" s="25"/>
      <c r="B337" s="25"/>
      <c r="C337" s="25"/>
      <c r="D337" s="105" t="str">
        <f>IF(COUNTIF('Form responses 4'!B:B,C337)&gt;0, "", "https://docs.google.com/forms/d/e/1FAIpQLSdhNamFeglgVtt555M7xM7e8ZAg9KCWMEcDlLzX1oeZsyGxrg/viewform?usp=pp_url&amp;entry.580385001="&amp;C337&amp;"&amp;entry.1376952895="&amp;A337)</f>
        <v>https://docs.google.com/forms/d/e/1FAIpQLSdhNamFeglgVtt555M7xM7e8ZAg9KCWMEcDlLzX1oeZsyGxrg/viewform?usp=pp_url&amp;entry.580385001=&amp;entry.1376952895=</v>
      </c>
    </row>
    <row r="338">
      <c r="A338" s="25"/>
      <c r="B338" s="25"/>
      <c r="C338" s="25"/>
      <c r="D338" s="105" t="str">
        <f>IF(COUNTIF('Form responses 4'!B:B,C338)&gt;0, "", "https://docs.google.com/forms/d/e/1FAIpQLSdhNamFeglgVtt555M7xM7e8ZAg9KCWMEcDlLzX1oeZsyGxrg/viewform?usp=pp_url&amp;entry.580385001="&amp;C338&amp;"&amp;entry.1376952895="&amp;A338)</f>
        <v>https://docs.google.com/forms/d/e/1FAIpQLSdhNamFeglgVtt555M7xM7e8ZAg9KCWMEcDlLzX1oeZsyGxrg/viewform?usp=pp_url&amp;entry.580385001=&amp;entry.1376952895=</v>
      </c>
    </row>
    <row r="339">
      <c r="A339" s="25"/>
      <c r="B339" s="25"/>
      <c r="C339" s="25"/>
      <c r="D339" s="105" t="str">
        <f>IF(COUNTIF('Form responses 4'!B:B,C339)&gt;0, "", "https://docs.google.com/forms/d/e/1FAIpQLSdhNamFeglgVtt555M7xM7e8ZAg9KCWMEcDlLzX1oeZsyGxrg/viewform?usp=pp_url&amp;entry.580385001="&amp;C339&amp;"&amp;entry.1376952895="&amp;A339)</f>
        <v>https://docs.google.com/forms/d/e/1FAIpQLSdhNamFeglgVtt555M7xM7e8ZAg9KCWMEcDlLzX1oeZsyGxrg/viewform?usp=pp_url&amp;entry.580385001=&amp;entry.1376952895=</v>
      </c>
    </row>
    <row r="340">
      <c r="A340" s="25"/>
      <c r="B340" s="25"/>
      <c r="C340" s="25"/>
      <c r="D340" s="105" t="str">
        <f>IF(COUNTIF('Form responses 4'!B:B,C340)&gt;0, "", "https://docs.google.com/forms/d/e/1FAIpQLSdhNamFeglgVtt555M7xM7e8ZAg9KCWMEcDlLzX1oeZsyGxrg/viewform?usp=pp_url&amp;entry.580385001="&amp;C340&amp;"&amp;entry.1376952895="&amp;A340)</f>
        <v>https://docs.google.com/forms/d/e/1FAIpQLSdhNamFeglgVtt555M7xM7e8ZAg9KCWMEcDlLzX1oeZsyGxrg/viewform?usp=pp_url&amp;entry.580385001=&amp;entry.1376952895=</v>
      </c>
    </row>
    <row r="341">
      <c r="A341" s="25"/>
      <c r="B341" s="25"/>
      <c r="C341" s="25"/>
      <c r="D341" s="105" t="str">
        <f>IF(COUNTIF('Form responses 4'!B:B,C341)&gt;0, "", "https://docs.google.com/forms/d/e/1FAIpQLSdhNamFeglgVtt555M7xM7e8ZAg9KCWMEcDlLzX1oeZsyGxrg/viewform?usp=pp_url&amp;entry.580385001="&amp;C341&amp;"&amp;entry.1376952895="&amp;A341)</f>
        <v>https://docs.google.com/forms/d/e/1FAIpQLSdhNamFeglgVtt555M7xM7e8ZAg9KCWMEcDlLzX1oeZsyGxrg/viewform?usp=pp_url&amp;entry.580385001=&amp;entry.1376952895=</v>
      </c>
    </row>
    <row r="342">
      <c r="A342" s="25"/>
      <c r="B342" s="25"/>
      <c r="C342" s="25"/>
      <c r="D342" s="105" t="str">
        <f>IF(COUNTIF('Form responses 4'!B:B,C342)&gt;0, "", "https://docs.google.com/forms/d/e/1FAIpQLSdhNamFeglgVtt555M7xM7e8ZAg9KCWMEcDlLzX1oeZsyGxrg/viewform?usp=pp_url&amp;entry.580385001="&amp;C342&amp;"&amp;entry.1376952895="&amp;A342)</f>
        <v>https://docs.google.com/forms/d/e/1FAIpQLSdhNamFeglgVtt555M7xM7e8ZAg9KCWMEcDlLzX1oeZsyGxrg/viewform?usp=pp_url&amp;entry.580385001=&amp;entry.1376952895=</v>
      </c>
    </row>
    <row r="343">
      <c r="A343" s="25"/>
      <c r="B343" s="25"/>
      <c r="C343" s="25"/>
      <c r="D343" s="105" t="str">
        <f>IF(COUNTIF('Form responses 4'!B:B,C343)&gt;0, "", "https://docs.google.com/forms/d/e/1FAIpQLSdhNamFeglgVtt555M7xM7e8ZAg9KCWMEcDlLzX1oeZsyGxrg/viewform?usp=pp_url&amp;entry.580385001="&amp;C343&amp;"&amp;entry.1376952895="&amp;A343)</f>
        <v>https://docs.google.com/forms/d/e/1FAIpQLSdhNamFeglgVtt555M7xM7e8ZAg9KCWMEcDlLzX1oeZsyGxrg/viewform?usp=pp_url&amp;entry.580385001=&amp;entry.1376952895=</v>
      </c>
    </row>
    <row r="344">
      <c r="A344" s="25"/>
      <c r="B344" s="25"/>
      <c r="C344" s="25"/>
      <c r="D344" s="105" t="str">
        <f>IF(COUNTIF('Form responses 4'!B:B,C344)&gt;0, "", "https://docs.google.com/forms/d/e/1FAIpQLSdhNamFeglgVtt555M7xM7e8ZAg9KCWMEcDlLzX1oeZsyGxrg/viewform?usp=pp_url&amp;entry.580385001="&amp;C344&amp;"&amp;entry.1376952895="&amp;A344)</f>
        <v>https://docs.google.com/forms/d/e/1FAIpQLSdhNamFeglgVtt555M7xM7e8ZAg9KCWMEcDlLzX1oeZsyGxrg/viewform?usp=pp_url&amp;entry.580385001=&amp;entry.1376952895=</v>
      </c>
    </row>
    <row r="345">
      <c r="A345" s="25"/>
      <c r="B345" s="25"/>
      <c r="C345" s="25"/>
      <c r="D345" s="105" t="str">
        <f>IF(COUNTIF('Form responses 4'!B:B,C345)&gt;0, "", "https://docs.google.com/forms/d/e/1FAIpQLSdhNamFeglgVtt555M7xM7e8ZAg9KCWMEcDlLzX1oeZsyGxrg/viewform?usp=pp_url&amp;entry.580385001="&amp;C345&amp;"&amp;entry.1376952895="&amp;A345)</f>
        <v>https://docs.google.com/forms/d/e/1FAIpQLSdhNamFeglgVtt555M7xM7e8ZAg9KCWMEcDlLzX1oeZsyGxrg/viewform?usp=pp_url&amp;entry.580385001=&amp;entry.1376952895=</v>
      </c>
    </row>
    <row r="346">
      <c r="A346" s="25"/>
      <c r="B346" s="25"/>
      <c r="C346" s="25"/>
      <c r="D346" s="105" t="str">
        <f>IF(COUNTIF('Form responses 4'!B:B,C346)&gt;0, "", "https://docs.google.com/forms/d/e/1FAIpQLSdhNamFeglgVtt555M7xM7e8ZAg9KCWMEcDlLzX1oeZsyGxrg/viewform?usp=pp_url&amp;entry.580385001="&amp;C346&amp;"&amp;entry.1376952895="&amp;A346)</f>
        <v>https://docs.google.com/forms/d/e/1FAIpQLSdhNamFeglgVtt555M7xM7e8ZAg9KCWMEcDlLzX1oeZsyGxrg/viewform?usp=pp_url&amp;entry.580385001=&amp;entry.1376952895=</v>
      </c>
    </row>
    <row r="347">
      <c r="A347" s="25"/>
      <c r="B347" s="25"/>
      <c r="C347" s="25"/>
      <c r="D347" s="105" t="str">
        <f>IF(COUNTIF('Form responses 4'!B:B,C347)&gt;0, "", "https://docs.google.com/forms/d/e/1FAIpQLSdhNamFeglgVtt555M7xM7e8ZAg9KCWMEcDlLzX1oeZsyGxrg/viewform?usp=pp_url&amp;entry.580385001="&amp;C347&amp;"&amp;entry.1376952895="&amp;A347)</f>
        <v>https://docs.google.com/forms/d/e/1FAIpQLSdhNamFeglgVtt555M7xM7e8ZAg9KCWMEcDlLzX1oeZsyGxrg/viewform?usp=pp_url&amp;entry.580385001=&amp;entry.1376952895=</v>
      </c>
    </row>
    <row r="348">
      <c r="A348" s="25"/>
      <c r="B348" s="25"/>
      <c r="C348" s="25"/>
      <c r="D348" s="105" t="str">
        <f>IF(COUNTIF('Form responses 4'!B:B,C348)&gt;0, "", "https://docs.google.com/forms/d/e/1FAIpQLSdhNamFeglgVtt555M7xM7e8ZAg9KCWMEcDlLzX1oeZsyGxrg/viewform?usp=pp_url&amp;entry.580385001="&amp;C348&amp;"&amp;entry.1376952895="&amp;A348)</f>
        <v>https://docs.google.com/forms/d/e/1FAIpQLSdhNamFeglgVtt555M7xM7e8ZAg9KCWMEcDlLzX1oeZsyGxrg/viewform?usp=pp_url&amp;entry.580385001=&amp;entry.1376952895=</v>
      </c>
    </row>
    <row r="349">
      <c r="A349" s="25"/>
      <c r="B349" s="25"/>
      <c r="C349" s="25"/>
      <c r="D349" s="105" t="str">
        <f>IF(COUNTIF('Form responses 4'!B:B,C349)&gt;0, "", "https://docs.google.com/forms/d/e/1FAIpQLSdhNamFeglgVtt555M7xM7e8ZAg9KCWMEcDlLzX1oeZsyGxrg/viewform?usp=pp_url&amp;entry.580385001="&amp;C349&amp;"&amp;entry.1376952895="&amp;A349)</f>
        <v>https://docs.google.com/forms/d/e/1FAIpQLSdhNamFeglgVtt555M7xM7e8ZAg9KCWMEcDlLzX1oeZsyGxrg/viewform?usp=pp_url&amp;entry.580385001=&amp;entry.1376952895=</v>
      </c>
    </row>
    <row r="350">
      <c r="A350" s="25"/>
      <c r="B350" s="25"/>
      <c r="C350" s="25"/>
      <c r="D350" s="105" t="str">
        <f>IF(COUNTIF('Form responses 4'!B:B,C350)&gt;0, "", "https://docs.google.com/forms/d/e/1FAIpQLSdhNamFeglgVtt555M7xM7e8ZAg9KCWMEcDlLzX1oeZsyGxrg/viewform?usp=pp_url&amp;entry.580385001="&amp;C350&amp;"&amp;entry.1376952895="&amp;A350)</f>
        <v>https://docs.google.com/forms/d/e/1FAIpQLSdhNamFeglgVtt555M7xM7e8ZAg9KCWMEcDlLzX1oeZsyGxrg/viewform?usp=pp_url&amp;entry.580385001=&amp;entry.1376952895=</v>
      </c>
    </row>
    <row r="351">
      <c r="A351" s="25"/>
      <c r="B351" s="25"/>
      <c r="C351" s="25"/>
      <c r="D351" s="105" t="str">
        <f>IF(COUNTIF('Form responses 4'!B:B,C351)&gt;0, "", "https://docs.google.com/forms/d/e/1FAIpQLSdhNamFeglgVtt555M7xM7e8ZAg9KCWMEcDlLzX1oeZsyGxrg/viewform?usp=pp_url&amp;entry.580385001="&amp;C351&amp;"&amp;entry.1376952895="&amp;A351)</f>
        <v>https://docs.google.com/forms/d/e/1FAIpQLSdhNamFeglgVtt555M7xM7e8ZAg9KCWMEcDlLzX1oeZsyGxrg/viewform?usp=pp_url&amp;entry.580385001=&amp;entry.1376952895=</v>
      </c>
    </row>
    <row r="352">
      <c r="A352" s="25"/>
      <c r="B352" s="25"/>
      <c r="C352" s="25"/>
      <c r="D352" s="105" t="str">
        <f>IF(COUNTIF('Form responses 4'!B:B,C352)&gt;0, "", "https://docs.google.com/forms/d/e/1FAIpQLSdhNamFeglgVtt555M7xM7e8ZAg9KCWMEcDlLzX1oeZsyGxrg/viewform?usp=pp_url&amp;entry.580385001="&amp;C352&amp;"&amp;entry.1376952895="&amp;A352)</f>
        <v>https://docs.google.com/forms/d/e/1FAIpQLSdhNamFeglgVtt555M7xM7e8ZAg9KCWMEcDlLzX1oeZsyGxrg/viewform?usp=pp_url&amp;entry.580385001=&amp;entry.1376952895=</v>
      </c>
    </row>
    <row r="353">
      <c r="A353" s="25"/>
      <c r="B353" s="25"/>
      <c r="C353" s="25"/>
      <c r="D353" s="105" t="str">
        <f>IF(COUNTIF('Form responses 4'!B:B,C353)&gt;0, "", "https://docs.google.com/forms/d/e/1FAIpQLSdhNamFeglgVtt555M7xM7e8ZAg9KCWMEcDlLzX1oeZsyGxrg/viewform?usp=pp_url&amp;entry.580385001="&amp;C353&amp;"&amp;entry.1376952895="&amp;A353)</f>
        <v>https://docs.google.com/forms/d/e/1FAIpQLSdhNamFeglgVtt555M7xM7e8ZAg9KCWMEcDlLzX1oeZsyGxrg/viewform?usp=pp_url&amp;entry.580385001=&amp;entry.1376952895=</v>
      </c>
    </row>
    <row r="354">
      <c r="A354" s="25"/>
      <c r="B354" s="25"/>
      <c r="C354" s="25"/>
      <c r="D354" s="105" t="str">
        <f>IF(COUNTIF('Form responses 4'!B:B,C354)&gt;0, "", "https://docs.google.com/forms/d/e/1FAIpQLSdhNamFeglgVtt555M7xM7e8ZAg9KCWMEcDlLzX1oeZsyGxrg/viewform?usp=pp_url&amp;entry.580385001="&amp;C354&amp;"&amp;entry.1376952895="&amp;A354)</f>
        <v>https://docs.google.com/forms/d/e/1FAIpQLSdhNamFeglgVtt555M7xM7e8ZAg9KCWMEcDlLzX1oeZsyGxrg/viewform?usp=pp_url&amp;entry.580385001=&amp;entry.1376952895=</v>
      </c>
    </row>
    <row r="355">
      <c r="A355" s="25"/>
      <c r="B355" s="25"/>
      <c r="C355" s="25"/>
      <c r="D355" s="105" t="str">
        <f>IF(COUNTIF('Form responses 4'!B:B,C355)&gt;0, "", "https://docs.google.com/forms/d/e/1FAIpQLSdhNamFeglgVtt555M7xM7e8ZAg9KCWMEcDlLzX1oeZsyGxrg/viewform?usp=pp_url&amp;entry.580385001="&amp;C355&amp;"&amp;entry.1376952895="&amp;A355)</f>
        <v>https://docs.google.com/forms/d/e/1FAIpQLSdhNamFeglgVtt555M7xM7e8ZAg9KCWMEcDlLzX1oeZsyGxrg/viewform?usp=pp_url&amp;entry.580385001=&amp;entry.1376952895=</v>
      </c>
    </row>
    <row r="356">
      <c r="A356" s="25"/>
      <c r="B356" s="25"/>
      <c r="C356" s="25"/>
      <c r="D356" s="105" t="str">
        <f>IF(COUNTIF('Form responses 4'!B:B,C356)&gt;0, "", "https://docs.google.com/forms/d/e/1FAIpQLSdhNamFeglgVtt555M7xM7e8ZAg9KCWMEcDlLzX1oeZsyGxrg/viewform?usp=pp_url&amp;entry.580385001="&amp;C356&amp;"&amp;entry.1376952895="&amp;A356)</f>
        <v>https://docs.google.com/forms/d/e/1FAIpQLSdhNamFeglgVtt555M7xM7e8ZAg9KCWMEcDlLzX1oeZsyGxrg/viewform?usp=pp_url&amp;entry.580385001=&amp;entry.1376952895=</v>
      </c>
    </row>
    <row r="357">
      <c r="A357" s="25"/>
      <c r="B357" s="25"/>
      <c r="C357" s="25"/>
      <c r="D357" s="105" t="str">
        <f>IF(COUNTIF('Form responses 4'!B:B,C357)&gt;0, "", "https://docs.google.com/forms/d/e/1FAIpQLSdhNamFeglgVtt555M7xM7e8ZAg9KCWMEcDlLzX1oeZsyGxrg/viewform?usp=pp_url&amp;entry.580385001="&amp;C357&amp;"&amp;entry.1376952895="&amp;A357)</f>
        <v>https://docs.google.com/forms/d/e/1FAIpQLSdhNamFeglgVtt555M7xM7e8ZAg9KCWMEcDlLzX1oeZsyGxrg/viewform?usp=pp_url&amp;entry.580385001=&amp;entry.1376952895=</v>
      </c>
    </row>
    <row r="358">
      <c r="A358" s="25"/>
      <c r="B358" s="25"/>
      <c r="C358" s="25"/>
      <c r="D358" s="105" t="str">
        <f>IF(COUNTIF('Form responses 4'!B:B,C358)&gt;0, "", "https://docs.google.com/forms/d/e/1FAIpQLSdhNamFeglgVtt555M7xM7e8ZAg9KCWMEcDlLzX1oeZsyGxrg/viewform?usp=pp_url&amp;entry.580385001="&amp;C358&amp;"&amp;entry.1376952895="&amp;A358)</f>
        <v>https://docs.google.com/forms/d/e/1FAIpQLSdhNamFeglgVtt555M7xM7e8ZAg9KCWMEcDlLzX1oeZsyGxrg/viewform?usp=pp_url&amp;entry.580385001=&amp;entry.1376952895=</v>
      </c>
    </row>
    <row r="359">
      <c r="A359" s="25"/>
      <c r="B359" s="25"/>
      <c r="C359" s="25"/>
      <c r="D359" s="105" t="str">
        <f>IF(COUNTIF('Form responses 4'!B:B,C359)&gt;0, "", "https://docs.google.com/forms/d/e/1FAIpQLSdhNamFeglgVtt555M7xM7e8ZAg9KCWMEcDlLzX1oeZsyGxrg/viewform?usp=pp_url&amp;entry.580385001="&amp;C359&amp;"&amp;entry.1376952895="&amp;A359)</f>
        <v>https://docs.google.com/forms/d/e/1FAIpQLSdhNamFeglgVtt555M7xM7e8ZAg9KCWMEcDlLzX1oeZsyGxrg/viewform?usp=pp_url&amp;entry.580385001=&amp;entry.1376952895=</v>
      </c>
    </row>
    <row r="360">
      <c r="A360" s="25"/>
      <c r="B360" s="25"/>
      <c r="C360" s="25"/>
      <c r="D360" s="105" t="str">
        <f>IF(COUNTIF('Form responses 4'!B:B,C360)&gt;0, "", "https://docs.google.com/forms/d/e/1FAIpQLSdhNamFeglgVtt555M7xM7e8ZAg9KCWMEcDlLzX1oeZsyGxrg/viewform?usp=pp_url&amp;entry.580385001="&amp;C360&amp;"&amp;entry.1376952895="&amp;A360)</f>
        <v>https://docs.google.com/forms/d/e/1FAIpQLSdhNamFeglgVtt555M7xM7e8ZAg9KCWMEcDlLzX1oeZsyGxrg/viewform?usp=pp_url&amp;entry.580385001=&amp;entry.1376952895=</v>
      </c>
    </row>
    <row r="361">
      <c r="A361" s="25"/>
      <c r="B361" s="25"/>
      <c r="C361" s="25"/>
      <c r="D361" s="105" t="str">
        <f>IF(COUNTIF('Form responses 4'!B:B,C361)&gt;0, "", "https://docs.google.com/forms/d/e/1FAIpQLSdhNamFeglgVtt555M7xM7e8ZAg9KCWMEcDlLzX1oeZsyGxrg/viewform?usp=pp_url&amp;entry.580385001="&amp;C361&amp;"&amp;entry.1376952895="&amp;A361)</f>
        <v>https://docs.google.com/forms/d/e/1FAIpQLSdhNamFeglgVtt555M7xM7e8ZAg9KCWMEcDlLzX1oeZsyGxrg/viewform?usp=pp_url&amp;entry.580385001=&amp;entry.1376952895=</v>
      </c>
    </row>
    <row r="362">
      <c r="A362" s="25"/>
      <c r="B362" s="25"/>
      <c r="C362" s="25"/>
      <c r="D362" s="105" t="str">
        <f>IF(COUNTIF('Form responses 4'!B:B,C362)&gt;0, "", "https://docs.google.com/forms/d/e/1FAIpQLSdhNamFeglgVtt555M7xM7e8ZAg9KCWMEcDlLzX1oeZsyGxrg/viewform?usp=pp_url&amp;entry.580385001="&amp;C362&amp;"&amp;entry.1376952895="&amp;A362)</f>
        <v>https://docs.google.com/forms/d/e/1FAIpQLSdhNamFeglgVtt555M7xM7e8ZAg9KCWMEcDlLzX1oeZsyGxrg/viewform?usp=pp_url&amp;entry.580385001=&amp;entry.1376952895=</v>
      </c>
    </row>
    <row r="363">
      <c r="A363" s="25"/>
      <c r="B363" s="25"/>
      <c r="C363" s="25"/>
      <c r="D363" s="105" t="str">
        <f>IF(COUNTIF('Form responses 4'!B:B,C363)&gt;0, "", "https://docs.google.com/forms/d/e/1FAIpQLSdhNamFeglgVtt555M7xM7e8ZAg9KCWMEcDlLzX1oeZsyGxrg/viewform?usp=pp_url&amp;entry.580385001="&amp;C363&amp;"&amp;entry.1376952895="&amp;A363)</f>
        <v>https://docs.google.com/forms/d/e/1FAIpQLSdhNamFeglgVtt555M7xM7e8ZAg9KCWMEcDlLzX1oeZsyGxrg/viewform?usp=pp_url&amp;entry.580385001=&amp;entry.1376952895=</v>
      </c>
    </row>
    <row r="364">
      <c r="A364" s="25"/>
      <c r="B364" s="25"/>
      <c r="C364" s="25"/>
      <c r="D364" s="105" t="str">
        <f>IF(COUNTIF('Form responses 4'!B:B,C364)&gt;0, "", "https://docs.google.com/forms/d/e/1FAIpQLSdhNamFeglgVtt555M7xM7e8ZAg9KCWMEcDlLzX1oeZsyGxrg/viewform?usp=pp_url&amp;entry.580385001="&amp;C364&amp;"&amp;entry.1376952895="&amp;A364)</f>
        <v>https://docs.google.com/forms/d/e/1FAIpQLSdhNamFeglgVtt555M7xM7e8ZAg9KCWMEcDlLzX1oeZsyGxrg/viewform?usp=pp_url&amp;entry.580385001=&amp;entry.1376952895=</v>
      </c>
    </row>
    <row r="365">
      <c r="A365" s="25"/>
      <c r="B365" s="25"/>
      <c r="C365" s="25"/>
      <c r="D365" s="105" t="str">
        <f>IF(COUNTIF('Form responses 4'!B:B,C365)&gt;0, "", "https://docs.google.com/forms/d/e/1FAIpQLSdhNamFeglgVtt555M7xM7e8ZAg9KCWMEcDlLzX1oeZsyGxrg/viewform?usp=pp_url&amp;entry.580385001="&amp;C365&amp;"&amp;entry.1376952895="&amp;A365)</f>
        <v>https://docs.google.com/forms/d/e/1FAIpQLSdhNamFeglgVtt555M7xM7e8ZAg9KCWMEcDlLzX1oeZsyGxrg/viewform?usp=pp_url&amp;entry.580385001=&amp;entry.1376952895=</v>
      </c>
    </row>
    <row r="366">
      <c r="A366" s="25"/>
      <c r="B366" s="25"/>
      <c r="C366" s="25"/>
      <c r="D366" s="105" t="str">
        <f>IF(COUNTIF('Form responses 4'!B:B,C366)&gt;0, "", "https://docs.google.com/forms/d/e/1FAIpQLSdhNamFeglgVtt555M7xM7e8ZAg9KCWMEcDlLzX1oeZsyGxrg/viewform?usp=pp_url&amp;entry.580385001="&amp;C366&amp;"&amp;entry.1376952895="&amp;A366)</f>
        <v>https://docs.google.com/forms/d/e/1FAIpQLSdhNamFeglgVtt555M7xM7e8ZAg9KCWMEcDlLzX1oeZsyGxrg/viewform?usp=pp_url&amp;entry.580385001=&amp;entry.1376952895=</v>
      </c>
    </row>
    <row r="367">
      <c r="A367" s="25"/>
      <c r="B367" s="25"/>
      <c r="C367" s="25"/>
      <c r="D367" s="105" t="str">
        <f>IF(COUNTIF('Form responses 4'!B:B,C367)&gt;0, "", "https://docs.google.com/forms/d/e/1FAIpQLSdhNamFeglgVtt555M7xM7e8ZAg9KCWMEcDlLzX1oeZsyGxrg/viewform?usp=pp_url&amp;entry.580385001="&amp;C367&amp;"&amp;entry.1376952895="&amp;A367)</f>
        <v>https://docs.google.com/forms/d/e/1FAIpQLSdhNamFeglgVtt555M7xM7e8ZAg9KCWMEcDlLzX1oeZsyGxrg/viewform?usp=pp_url&amp;entry.580385001=&amp;entry.1376952895=</v>
      </c>
    </row>
    <row r="368">
      <c r="A368" s="25"/>
      <c r="B368" s="25"/>
      <c r="C368" s="25"/>
      <c r="D368" s="105" t="str">
        <f>IF(COUNTIF('Form responses 4'!B:B,C368)&gt;0, "", "https://docs.google.com/forms/d/e/1FAIpQLSdhNamFeglgVtt555M7xM7e8ZAg9KCWMEcDlLzX1oeZsyGxrg/viewform?usp=pp_url&amp;entry.580385001="&amp;C368&amp;"&amp;entry.1376952895="&amp;A368)</f>
        <v>https://docs.google.com/forms/d/e/1FAIpQLSdhNamFeglgVtt555M7xM7e8ZAg9KCWMEcDlLzX1oeZsyGxrg/viewform?usp=pp_url&amp;entry.580385001=&amp;entry.1376952895=</v>
      </c>
    </row>
    <row r="369">
      <c r="A369" s="25"/>
      <c r="B369" s="25"/>
      <c r="C369" s="25"/>
      <c r="D369" s="105" t="str">
        <f>IF(COUNTIF('Form responses 4'!B:B,C369)&gt;0, "", "https://docs.google.com/forms/d/e/1FAIpQLSdhNamFeglgVtt555M7xM7e8ZAg9KCWMEcDlLzX1oeZsyGxrg/viewform?usp=pp_url&amp;entry.580385001="&amp;C369&amp;"&amp;entry.1376952895="&amp;A369)</f>
        <v>https://docs.google.com/forms/d/e/1FAIpQLSdhNamFeglgVtt555M7xM7e8ZAg9KCWMEcDlLzX1oeZsyGxrg/viewform?usp=pp_url&amp;entry.580385001=&amp;entry.1376952895=</v>
      </c>
    </row>
    <row r="370">
      <c r="A370" s="25"/>
      <c r="B370" s="25"/>
      <c r="C370" s="25"/>
      <c r="D370" s="105" t="str">
        <f>IF(COUNTIF('Form responses 4'!B:B,C370)&gt;0, "", "https://docs.google.com/forms/d/e/1FAIpQLSdhNamFeglgVtt555M7xM7e8ZAg9KCWMEcDlLzX1oeZsyGxrg/viewform?usp=pp_url&amp;entry.580385001="&amp;C370&amp;"&amp;entry.1376952895="&amp;A370)</f>
        <v>https://docs.google.com/forms/d/e/1FAIpQLSdhNamFeglgVtt555M7xM7e8ZAg9KCWMEcDlLzX1oeZsyGxrg/viewform?usp=pp_url&amp;entry.580385001=&amp;entry.1376952895=</v>
      </c>
    </row>
    <row r="371">
      <c r="A371" s="25"/>
      <c r="B371" s="25"/>
      <c r="C371" s="25"/>
      <c r="D371" s="105" t="str">
        <f>IF(COUNTIF('Form responses 4'!B:B,C371)&gt;0, "", "https://docs.google.com/forms/d/e/1FAIpQLSdhNamFeglgVtt555M7xM7e8ZAg9KCWMEcDlLzX1oeZsyGxrg/viewform?usp=pp_url&amp;entry.580385001="&amp;C371&amp;"&amp;entry.1376952895="&amp;A371)</f>
        <v>https://docs.google.com/forms/d/e/1FAIpQLSdhNamFeglgVtt555M7xM7e8ZAg9KCWMEcDlLzX1oeZsyGxrg/viewform?usp=pp_url&amp;entry.580385001=&amp;entry.1376952895=</v>
      </c>
    </row>
    <row r="372">
      <c r="A372" s="25"/>
      <c r="B372" s="25"/>
      <c r="C372" s="25"/>
      <c r="D372" s="105" t="str">
        <f>IF(COUNTIF('Form responses 4'!B:B,C372)&gt;0, "", "https://docs.google.com/forms/d/e/1FAIpQLSdhNamFeglgVtt555M7xM7e8ZAg9KCWMEcDlLzX1oeZsyGxrg/viewform?usp=pp_url&amp;entry.580385001="&amp;C372&amp;"&amp;entry.1376952895="&amp;A372)</f>
        <v>https://docs.google.com/forms/d/e/1FAIpQLSdhNamFeglgVtt555M7xM7e8ZAg9KCWMEcDlLzX1oeZsyGxrg/viewform?usp=pp_url&amp;entry.580385001=&amp;entry.1376952895=</v>
      </c>
    </row>
    <row r="373">
      <c r="A373" s="25"/>
      <c r="B373" s="25"/>
      <c r="C373" s="25"/>
      <c r="D373" s="105" t="str">
        <f>IF(COUNTIF('Form responses 4'!B:B,C373)&gt;0, "", "https://docs.google.com/forms/d/e/1FAIpQLSdhNamFeglgVtt555M7xM7e8ZAg9KCWMEcDlLzX1oeZsyGxrg/viewform?usp=pp_url&amp;entry.580385001="&amp;C373&amp;"&amp;entry.1376952895="&amp;A373)</f>
        <v>https://docs.google.com/forms/d/e/1FAIpQLSdhNamFeglgVtt555M7xM7e8ZAg9KCWMEcDlLzX1oeZsyGxrg/viewform?usp=pp_url&amp;entry.580385001=&amp;entry.1376952895=</v>
      </c>
    </row>
    <row r="374">
      <c r="A374" s="25"/>
      <c r="B374" s="25"/>
      <c r="C374" s="25"/>
      <c r="D374" s="105" t="str">
        <f>IF(COUNTIF('Form responses 4'!B:B,C374)&gt;0, "", "https://docs.google.com/forms/d/e/1FAIpQLSdhNamFeglgVtt555M7xM7e8ZAg9KCWMEcDlLzX1oeZsyGxrg/viewform?usp=pp_url&amp;entry.580385001="&amp;C374&amp;"&amp;entry.1376952895="&amp;A374)</f>
        <v>https://docs.google.com/forms/d/e/1FAIpQLSdhNamFeglgVtt555M7xM7e8ZAg9KCWMEcDlLzX1oeZsyGxrg/viewform?usp=pp_url&amp;entry.580385001=&amp;entry.1376952895=</v>
      </c>
    </row>
    <row r="375">
      <c r="A375" s="25"/>
      <c r="B375" s="25"/>
      <c r="C375" s="25"/>
      <c r="D375" s="105" t="str">
        <f>IF(COUNTIF('Form responses 4'!B:B,C375)&gt;0, "", "https://docs.google.com/forms/d/e/1FAIpQLSdhNamFeglgVtt555M7xM7e8ZAg9KCWMEcDlLzX1oeZsyGxrg/viewform?usp=pp_url&amp;entry.580385001="&amp;C375&amp;"&amp;entry.1376952895="&amp;A375)</f>
        <v>https://docs.google.com/forms/d/e/1FAIpQLSdhNamFeglgVtt555M7xM7e8ZAg9KCWMEcDlLzX1oeZsyGxrg/viewform?usp=pp_url&amp;entry.580385001=&amp;entry.1376952895=</v>
      </c>
    </row>
    <row r="376">
      <c r="A376" s="25"/>
      <c r="B376" s="25"/>
      <c r="C376" s="25"/>
      <c r="D376" s="105" t="str">
        <f>IF(COUNTIF('Form responses 4'!B:B,C376)&gt;0, "", "https://docs.google.com/forms/d/e/1FAIpQLSdhNamFeglgVtt555M7xM7e8ZAg9KCWMEcDlLzX1oeZsyGxrg/viewform?usp=pp_url&amp;entry.580385001="&amp;C376&amp;"&amp;entry.1376952895="&amp;A376)</f>
        <v>https://docs.google.com/forms/d/e/1FAIpQLSdhNamFeglgVtt555M7xM7e8ZAg9KCWMEcDlLzX1oeZsyGxrg/viewform?usp=pp_url&amp;entry.580385001=&amp;entry.1376952895=</v>
      </c>
    </row>
    <row r="377">
      <c r="A377" s="25"/>
      <c r="B377" s="25"/>
      <c r="C377" s="25"/>
      <c r="D377" s="105" t="str">
        <f>IF(COUNTIF('Form responses 4'!B:B,C377)&gt;0, "", "https://docs.google.com/forms/d/e/1FAIpQLSdhNamFeglgVtt555M7xM7e8ZAg9KCWMEcDlLzX1oeZsyGxrg/viewform?usp=pp_url&amp;entry.580385001="&amp;C377&amp;"&amp;entry.1376952895="&amp;A377)</f>
        <v>https://docs.google.com/forms/d/e/1FAIpQLSdhNamFeglgVtt555M7xM7e8ZAg9KCWMEcDlLzX1oeZsyGxrg/viewform?usp=pp_url&amp;entry.580385001=&amp;entry.1376952895=</v>
      </c>
    </row>
    <row r="378">
      <c r="A378" s="25"/>
      <c r="B378" s="25"/>
      <c r="C378" s="25"/>
      <c r="D378" s="105" t="str">
        <f>IF(COUNTIF('Form responses 4'!B:B,C378)&gt;0, "", "https://docs.google.com/forms/d/e/1FAIpQLSdhNamFeglgVtt555M7xM7e8ZAg9KCWMEcDlLzX1oeZsyGxrg/viewform?usp=pp_url&amp;entry.580385001="&amp;C378&amp;"&amp;entry.1376952895="&amp;A378)</f>
        <v>https://docs.google.com/forms/d/e/1FAIpQLSdhNamFeglgVtt555M7xM7e8ZAg9KCWMEcDlLzX1oeZsyGxrg/viewform?usp=pp_url&amp;entry.580385001=&amp;entry.1376952895=</v>
      </c>
    </row>
    <row r="379">
      <c r="A379" s="25"/>
      <c r="B379" s="25"/>
      <c r="C379" s="25"/>
      <c r="D379" s="105" t="str">
        <f>IF(COUNTIF('Form responses 4'!B:B,C379)&gt;0, "", "https://docs.google.com/forms/d/e/1FAIpQLSdhNamFeglgVtt555M7xM7e8ZAg9KCWMEcDlLzX1oeZsyGxrg/viewform?usp=pp_url&amp;entry.580385001="&amp;C379&amp;"&amp;entry.1376952895="&amp;A379)</f>
        <v>https://docs.google.com/forms/d/e/1FAIpQLSdhNamFeglgVtt555M7xM7e8ZAg9KCWMEcDlLzX1oeZsyGxrg/viewform?usp=pp_url&amp;entry.580385001=&amp;entry.1376952895=</v>
      </c>
    </row>
    <row r="380">
      <c r="A380" s="25"/>
      <c r="B380" s="25"/>
      <c r="C380" s="25"/>
      <c r="D380" s="105" t="str">
        <f>IF(COUNTIF('Form responses 4'!B:B,C380)&gt;0, "", "https://docs.google.com/forms/d/e/1FAIpQLSdhNamFeglgVtt555M7xM7e8ZAg9KCWMEcDlLzX1oeZsyGxrg/viewform?usp=pp_url&amp;entry.580385001="&amp;C380&amp;"&amp;entry.1376952895="&amp;A380)</f>
        <v>https://docs.google.com/forms/d/e/1FAIpQLSdhNamFeglgVtt555M7xM7e8ZAg9KCWMEcDlLzX1oeZsyGxrg/viewform?usp=pp_url&amp;entry.580385001=&amp;entry.1376952895=</v>
      </c>
    </row>
    <row r="381">
      <c r="A381" s="25"/>
      <c r="B381" s="25"/>
      <c r="C381" s="25"/>
      <c r="D381" s="105" t="str">
        <f>IF(COUNTIF('Form responses 4'!B:B,C381)&gt;0, "", "https://docs.google.com/forms/d/e/1FAIpQLSdhNamFeglgVtt555M7xM7e8ZAg9KCWMEcDlLzX1oeZsyGxrg/viewform?usp=pp_url&amp;entry.580385001="&amp;C381&amp;"&amp;entry.1376952895="&amp;A381)</f>
        <v>https://docs.google.com/forms/d/e/1FAIpQLSdhNamFeglgVtt555M7xM7e8ZAg9KCWMEcDlLzX1oeZsyGxrg/viewform?usp=pp_url&amp;entry.580385001=&amp;entry.1376952895=</v>
      </c>
    </row>
    <row r="382">
      <c r="A382" s="25"/>
      <c r="B382" s="25"/>
      <c r="C382" s="25"/>
      <c r="D382" s="105" t="str">
        <f>IF(COUNTIF('Form responses 4'!B:B,C382)&gt;0, "", "https://docs.google.com/forms/d/e/1FAIpQLSdhNamFeglgVtt555M7xM7e8ZAg9KCWMEcDlLzX1oeZsyGxrg/viewform?usp=pp_url&amp;entry.580385001="&amp;C382&amp;"&amp;entry.1376952895="&amp;A382)</f>
        <v>https://docs.google.com/forms/d/e/1FAIpQLSdhNamFeglgVtt555M7xM7e8ZAg9KCWMEcDlLzX1oeZsyGxrg/viewform?usp=pp_url&amp;entry.580385001=&amp;entry.1376952895=</v>
      </c>
    </row>
    <row r="383">
      <c r="A383" s="25"/>
      <c r="B383" s="25"/>
      <c r="C383" s="25"/>
      <c r="D383" s="105" t="str">
        <f>IF(COUNTIF('Form responses 4'!B:B,C383)&gt;0, "", "https://docs.google.com/forms/d/e/1FAIpQLSdhNamFeglgVtt555M7xM7e8ZAg9KCWMEcDlLzX1oeZsyGxrg/viewform?usp=pp_url&amp;entry.580385001="&amp;C383&amp;"&amp;entry.1376952895="&amp;A383)</f>
        <v>https://docs.google.com/forms/d/e/1FAIpQLSdhNamFeglgVtt555M7xM7e8ZAg9KCWMEcDlLzX1oeZsyGxrg/viewform?usp=pp_url&amp;entry.580385001=&amp;entry.1376952895=</v>
      </c>
    </row>
    <row r="384">
      <c r="A384" s="25"/>
      <c r="B384" s="25"/>
      <c r="C384" s="25"/>
      <c r="D384" s="105" t="str">
        <f>IF(COUNTIF('Form responses 4'!B:B,C384)&gt;0, "", "https://docs.google.com/forms/d/e/1FAIpQLSdhNamFeglgVtt555M7xM7e8ZAg9KCWMEcDlLzX1oeZsyGxrg/viewform?usp=pp_url&amp;entry.580385001="&amp;C384&amp;"&amp;entry.1376952895="&amp;A384)</f>
        <v>https://docs.google.com/forms/d/e/1FAIpQLSdhNamFeglgVtt555M7xM7e8ZAg9KCWMEcDlLzX1oeZsyGxrg/viewform?usp=pp_url&amp;entry.580385001=&amp;entry.1376952895=</v>
      </c>
    </row>
    <row r="385">
      <c r="A385" s="25"/>
      <c r="B385" s="25"/>
      <c r="C385" s="25"/>
      <c r="D385" s="105" t="str">
        <f>IF(COUNTIF('Form responses 4'!B:B,C385)&gt;0, "", "https://docs.google.com/forms/d/e/1FAIpQLSdhNamFeglgVtt555M7xM7e8ZAg9KCWMEcDlLzX1oeZsyGxrg/viewform?usp=pp_url&amp;entry.580385001="&amp;C385&amp;"&amp;entry.1376952895="&amp;A385)</f>
        <v>https://docs.google.com/forms/d/e/1FAIpQLSdhNamFeglgVtt555M7xM7e8ZAg9KCWMEcDlLzX1oeZsyGxrg/viewform?usp=pp_url&amp;entry.580385001=&amp;entry.1376952895=</v>
      </c>
    </row>
    <row r="386">
      <c r="A386" s="25"/>
      <c r="B386" s="25"/>
      <c r="C386" s="25"/>
      <c r="D386" s="105" t="str">
        <f>IF(COUNTIF('Form responses 4'!B:B,C386)&gt;0, "", "https://docs.google.com/forms/d/e/1FAIpQLSdhNamFeglgVtt555M7xM7e8ZAg9KCWMEcDlLzX1oeZsyGxrg/viewform?usp=pp_url&amp;entry.580385001="&amp;C386&amp;"&amp;entry.1376952895="&amp;A386)</f>
        <v>https://docs.google.com/forms/d/e/1FAIpQLSdhNamFeglgVtt555M7xM7e8ZAg9KCWMEcDlLzX1oeZsyGxrg/viewform?usp=pp_url&amp;entry.580385001=&amp;entry.1376952895=</v>
      </c>
    </row>
    <row r="387">
      <c r="A387" s="25"/>
      <c r="B387" s="25"/>
      <c r="C387" s="25"/>
      <c r="D387" s="105" t="str">
        <f>IF(COUNTIF('Form responses 4'!B:B,C387)&gt;0, "", "https://docs.google.com/forms/d/e/1FAIpQLSdhNamFeglgVtt555M7xM7e8ZAg9KCWMEcDlLzX1oeZsyGxrg/viewform?usp=pp_url&amp;entry.580385001="&amp;C387&amp;"&amp;entry.1376952895="&amp;A387)</f>
        <v>https://docs.google.com/forms/d/e/1FAIpQLSdhNamFeglgVtt555M7xM7e8ZAg9KCWMEcDlLzX1oeZsyGxrg/viewform?usp=pp_url&amp;entry.580385001=&amp;entry.1376952895=</v>
      </c>
    </row>
    <row r="388">
      <c r="A388" s="25"/>
      <c r="B388" s="25"/>
      <c r="C388" s="25"/>
      <c r="D388" s="105" t="str">
        <f>IF(COUNTIF('Form responses 4'!B:B,C388)&gt;0, "", "https://docs.google.com/forms/d/e/1FAIpQLSdhNamFeglgVtt555M7xM7e8ZAg9KCWMEcDlLzX1oeZsyGxrg/viewform?usp=pp_url&amp;entry.580385001="&amp;C388&amp;"&amp;entry.1376952895="&amp;A388)</f>
        <v>https://docs.google.com/forms/d/e/1FAIpQLSdhNamFeglgVtt555M7xM7e8ZAg9KCWMEcDlLzX1oeZsyGxrg/viewform?usp=pp_url&amp;entry.580385001=&amp;entry.1376952895=</v>
      </c>
    </row>
    <row r="389">
      <c r="A389" s="25"/>
      <c r="B389" s="25"/>
      <c r="C389" s="25"/>
      <c r="D389" s="105" t="str">
        <f>IF(COUNTIF('Form responses 4'!B:B,C389)&gt;0, "", "https://docs.google.com/forms/d/e/1FAIpQLSdhNamFeglgVtt555M7xM7e8ZAg9KCWMEcDlLzX1oeZsyGxrg/viewform?usp=pp_url&amp;entry.580385001="&amp;C389&amp;"&amp;entry.1376952895="&amp;A389)</f>
        <v>https://docs.google.com/forms/d/e/1FAIpQLSdhNamFeglgVtt555M7xM7e8ZAg9KCWMEcDlLzX1oeZsyGxrg/viewform?usp=pp_url&amp;entry.580385001=&amp;entry.1376952895=</v>
      </c>
    </row>
    <row r="390">
      <c r="A390" s="25"/>
      <c r="B390" s="25"/>
      <c r="C390" s="25"/>
      <c r="D390" s="105" t="str">
        <f>IF(COUNTIF('Form responses 4'!B:B,C390)&gt;0, "", "https://docs.google.com/forms/d/e/1FAIpQLSdhNamFeglgVtt555M7xM7e8ZAg9KCWMEcDlLzX1oeZsyGxrg/viewform?usp=pp_url&amp;entry.580385001="&amp;C390&amp;"&amp;entry.1376952895="&amp;A390)</f>
        <v>https://docs.google.com/forms/d/e/1FAIpQLSdhNamFeglgVtt555M7xM7e8ZAg9KCWMEcDlLzX1oeZsyGxrg/viewform?usp=pp_url&amp;entry.580385001=&amp;entry.1376952895=</v>
      </c>
    </row>
    <row r="391">
      <c r="A391" s="25"/>
      <c r="B391" s="25"/>
      <c r="C391" s="25"/>
      <c r="D391" s="105" t="str">
        <f>IF(COUNTIF('Form responses 4'!B:B,C391)&gt;0, "", "https://docs.google.com/forms/d/e/1FAIpQLSdhNamFeglgVtt555M7xM7e8ZAg9KCWMEcDlLzX1oeZsyGxrg/viewform?usp=pp_url&amp;entry.580385001="&amp;C391&amp;"&amp;entry.1376952895="&amp;A391)</f>
        <v>https://docs.google.com/forms/d/e/1FAIpQLSdhNamFeglgVtt555M7xM7e8ZAg9KCWMEcDlLzX1oeZsyGxrg/viewform?usp=pp_url&amp;entry.580385001=&amp;entry.1376952895=</v>
      </c>
    </row>
    <row r="392">
      <c r="A392" s="25"/>
      <c r="B392" s="25"/>
      <c r="C392" s="25"/>
      <c r="D392" s="105" t="str">
        <f>IF(COUNTIF('Form responses 4'!B:B,C392)&gt;0, "", "https://docs.google.com/forms/d/e/1FAIpQLSdhNamFeglgVtt555M7xM7e8ZAg9KCWMEcDlLzX1oeZsyGxrg/viewform?usp=pp_url&amp;entry.580385001="&amp;C392&amp;"&amp;entry.1376952895="&amp;A392)</f>
        <v>https://docs.google.com/forms/d/e/1FAIpQLSdhNamFeglgVtt555M7xM7e8ZAg9KCWMEcDlLzX1oeZsyGxrg/viewform?usp=pp_url&amp;entry.580385001=&amp;entry.1376952895=</v>
      </c>
    </row>
    <row r="393">
      <c r="A393" s="25"/>
      <c r="B393" s="25"/>
      <c r="C393" s="25"/>
      <c r="D393" s="105" t="str">
        <f>IF(COUNTIF('Form responses 4'!B:B,C393)&gt;0, "", "https://docs.google.com/forms/d/e/1FAIpQLSdhNamFeglgVtt555M7xM7e8ZAg9KCWMEcDlLzX1oeZsyGxrg/viewform?usp=pp_url&amp;entry.580385001="&amp;C393&amp;"&amp;entry.1376952895="&amp;A393)</f>
        <v>https://docs.google.com/forms/d/e/1FAIpQLSdhNamFeglgVtt555M7xM7e8ZAg9KCWMEcDlLzX1oeZsyGxrg/viewform?usp=pp_url&amp;entry.580385001=&amp;entry.1376952895=</v>
      </c>
    </row>
    <row r="394">
      <c r="A394" s="25"/>
      <c r="B394" s="25"/>
      <c r="C394" s="25"/>
      <c r="D394" s="105" t="str">
        <f>IF(COUNTIF('Form responses 4'!B:B,C394)&gt;0, "", "https://docs.google.com/forms/d/e/1FAIpQLSdhNamFeglgVtt555M7xM7e8ZAg9KCWMEcDlLzX1oeZsyGxrg/viewform?usp=pp_url&amp;entry.580385001="&amp;C394&amp;"&amp;entry.1376952895="&amp;A394)</f>
        <v>https://docs.google.com/forms/d/e/1FAIpQLSdhNamFeglgVtt555M7xM7e8ZAg9KCWMEcDlLzX1oeZsyGxrg/viewform?usp=pp_url&amp;entry.580385001=&amp;entry.1376952895=</v>
      </c>
    </row>
    <row r="395">
      <c r="A395" s="25"/>
      <c r="B395" s="25"/>
      <c r="C395" s="25"/>
      <c r="D395" s="105" t="str">
        <f>IF(COUNTIF('Form responses 4'!B:B,C395)&gt;0, "", "https://docs.google.com/forms/d/e/1FAIpQLSdhNamFeglgVtt555M7xM7e8ZAg9KCWMEcDlLzX1oeZsyGxrg/viewform?usp=pp_url&amp;entry.580385001="&amp;C395&amp;"&amp;entry.1376952895="&amp;A395)</f>
        <v>https://docs.google.com/forms/d/e/1FAIpQLSdhNamFeglgVtt555M7xM7e8ZAg9KCWMEcDlLzX1oeZsyGxrg/viewform?usp=pp_url&amp;entry.580385001=&amp;entry.1376952895=</v>
      </c>
    </row>
    <row r="396">
      <c r="A396" s="25"/>
      <c r="B396" s="25"/>
      <c r="C396" s="25"/>
      <c r="D396" s="105" t="str">
        <f>IF(COUNTIF('Form responses 4'!B:B,C396)&gt;0, "", "https://docs.google.com/forms/d/e/1FAIpQLSdhNamFeglgVtt555M7xM7e8ZAg9KCWMEcDlLzX1oeZsyGxrg/viewform?usp=pp_url&amp;entry.580385001="&amp;C396&amp;"&amp;entry.1376952895="&amp;A396)</f>
        <v>https://docs.google.com/forms/d/e/1FAIpQLSdhNamFeglgVtt555M7xM7e8ZAg9KCWMEcDlLzX1oeZsyGxrg/viewform?usp=pp_url&amp;entry.580385001=&amp;entry.1376952895=</v>
      </c>
    </row>
    <row r="397">
      <c r="A397" s="25"/>
      <c r="B397" s="25"/>
      <c r="C397" s="25"/>
      <c r="D397" s="105" t="str">
        <f>IF(COUNTIF('Form responses 4'!B:B,C397)&gt;0, "", "https://docs.google.com/forms/d/e/1FAIpQLSdhNamFeglgVtt555M7xM7e8ZAg9KCWMEcDlLzX1oeZsyGxrg/viewform?usp=pp_url&amp;entry.580385001="&amp;C397&amp;"&amp;entry.1376952895="&amp;A397)</f>
        <v>https://docs.google.com/forms/d/e/1FAIpQLSdhNamFeglgVtt555M7xM7e8ZAg9KCWMEcDlLzX1oeZsyGxrg/viewform?usp=pp_url&amp;entry.580385001=&amp;entry.1376952895=</v>
      </c>
    </row>
    <row r="398">
      <c r="A398" s="25"/>
      <c r="B398" s="25"/>
      <c r="C398" s="25"/>
      <c r="D398" s="105" t="str">
        <f>IF(COUNTIF('Form responses 4'!B:B,C398)&gt;0, "", "https://docs.google.com/forms/d/e/1FAIpQLSdhNamFeglgVtt555M7xM7e8ZAg9KCWMEcDlLzX1oeZsyGxrg/viewform?usp=pp_url&amp;entry.580385001="&amp;C398&amp;"&amp;entry.1376952895="&amp;A398)</f>
        <v>https://docs.google.com/forms/d/e/1FAIpQLSdhNamFeglgVtt555M7xM7e8ZAg9KCWMEcDlLzX1oeZsyGxrg/viewform?usp=pp_url&amp;entry.580385001=&amp;entry.1376952895=</v>
      </c>
    </row>
    <row r="399">
      <c r="A399" s="25"/>
      <c r="B399" s="25"/>
      <c r="C399" s="25"/>
      <c r="D399" s="105" t="str">
        <f>IF(COUNTIF('Form responses 4'!B:B,C399)&gt;0, "", "https://docs.google.com/forms/d/e/1FAIpQLSdhNamFeglgVtt555M7xM7e8ZAg9KCWMEcDlLzX1oeZsyGxrg/viewform?usp=pp_url&amp;entry.580385001="&amp;C399&amp;"&amp;entry.1376952895="&amp;A399)</f>
        <v>https://docs.google.com/forms/d/e/1FAIpQLSdhNamFeglgVtt555M7xM7e8ZAg9KCWMEcDlLzX1oeZsyGxrg/viewform?usp=pp_url&amp;entry.580385001=&amp;entry.1376952895=</v>
      </c>
    </row>
    <row r="400">
      <c r="A400" s="25"/>
      <c r="B400" s="25"/>
      <c r="C400" s="25"/>
      <c r="D400" s="105" t="str">
        <f>IF(COUNTIF('Form responses 4'!B:B,C400)&gt;0, "", "https://docs.google.com/forms/d/e/1FAIpQLSdhNamFeglgVtt555M7xM7e8ZAg9KCWMEcDlLzX1oeZsyGxrg/viewform?usp=pp_url&amp;entry.580385001="&amp;C400&amp;"&amp;entry.1376952895="&amp;A400)</f>
        <v>https://docs.google.com/forms/d/e/1FAIpQLSdhNamFeglgVtt555M7xM7e8ZAg9KCWMEcDlLzX1oeZsyGxrg/viewform?usp=pp_url&amp;entry.580385001=&amp;entry.1376952895=</v>
      </c>
    </row>
    <row r="401">
      <c r="A401" s="25"/>
      <c r="B401" s="25"/>
      <c r="C401" s="25"/>
      <c r="D401" s="105" t="str">
        <f>IF(COUNTIF('Form responses 4'!B:B,C401)&gt;0, "", "https://docs.google.com/forms/d/e/1FAIpQLSdhNamFeglgVtt555M7xM7e8ZAg9KCWMEcDlLzX1oeZsyGxrg/viewform?usp=pp_url&amp;entry.580385001="&amp;C401&amp;"&amp;entry.1376952895="&amp;A401)</f>
        <v>https://docs.google.com/forms/d/e/1FAIpQLSdhNamFeglgVtt555M7xM7e8ZAg9KCWMEcDlLzX1oeZsyGxrg/viewform?usp=pp_url&amp;entry.580385001=&amp;entry.1376952895=</v>
      </c>
    </row>
    <row r="402">
      <c r="A402" s="25"/>
      <c r="B402" s="25"/>
      <c r="C402" s="25"/>
      <c r="D402" s="105" t="str">
        <f>IF(COUNTIF('Form responses 4'!B:B,C402)&gt;0, "", "https://docs.google.com/forms/d/e/1FAIpQLSdhNamFeglgVtt555M7xM7e8ZAg9KCWMEcDlLzX1oeZsyGxrg/viewform?usp=pp_url&amp;entry.580385001="&amp;C402&amp;"&amp;entry.1376952895="&amp;A402)</f>
        <v>https://docs.google.com/forms/d/e/1FAIpQLSdhNamFeglgVtt555M7xM7e8ZAg9KCWMEcDlLzX1oeZsyGxrg/viewform?usp=pp_url&amp;entry.580385001=&amp;entry.1376952895=</v>
      </c>
    </row>
    <row r="403">
      <c r="A403" s="25"/>
      <c r="B403" s="25"/>
      <c r="C403" s="25"/>
      <c r="D403" s="105" t="str">
        <f>IF(COUNTIF('Form responses 4'!B:B,C403)&gt;0, "", "https://docs.google.com/forms/d/e/1FAIpQLSdhNamFeglgVtt555M7xM7e8ZAg9KCWMEcDlLzX1oeZsyGxrg/viewform?usp=pp_url&amp;entry.580385001="&amp;C403&amp;"&amp;entry.1376952895="&amp;A403)</f>
        <v>https://docs.google.com/forms/d/e/1FAIpQLSdhNamFeglgVtt555M7xM7e8ZAg9KCWMEcDlLzX1oeZsyGxrg/viewform?usp=pp_url&amp;entry.580385001=&amp;entry.1376952895=</v>
      </c>
    </row>
    <row r="404">
      <c r="A404" s="25"/>
      <c r="B404" s="25"/>
      <c r="C404" s="25"/>
      <c r="D404" s="105" t="str">
        <f>IF(COUNTIF('Form responses 4'!B:B,C404)&gt;0, "", "https://docs.google.com/forms/d/e/1FAIpQLSdhNamFeglgVtt555M7xM7e8ZAg9KCWMEcDlLzX1oeZsyGxrg/viewform?usp=pp_url&amp;entry.580385001="&amp;C404&amp;"&amp;entry.1376952895="&amp;A404)</f>
        <v>https://docs.google.com/forms/d/e/1FAIpQLSdhNamFeglgVtt555M7xM7e8ZAg9KCWMEcDlLzX1oeZsyGxrg/viewform?usp=pp_url&amp;entry.580385001=&amp;entry.1376952895=</v>
      </c>
    </row>
    <row r="405">
      <c r="A405" s="25"/>
      <c r="B405" s="25"/>
      <c r="C405" s="25"/>
      <c r="D405" s="105" t="str">
        <f>IF(COUNTIF('Form responses 4'!B:B,C405)&gt;0, "", "https://docs.google.com/forms/d/e/1FAIpQLSdhNamFeglgVtt555M7xM7e8ZAg9KCWMEcDlLzX1oeZsyGxrg/viewform?usp=pp_url&amp;entry.580385001="&amp;C405&amp;"&amp;entry.1376952895="&amp;A405)</f>
        <v>https://docs.google.com/forms/d/e/1FAIpQLSdhNamFeglgVtt555M7xM7e8ZAg9KCWMEcDlLzX1oeZsyGxrg/viewform?usp=pp_url&amp;entry.580385001=&amp;entry.1376952895=</v>
      </c>
    </row>
    <row r="406">
      <c r="A406" s="25"/>
      <c r="B406" s="25"/>
      <c r="C406" s="25"/>
      <c r="D406" s="105" t="str">
        <f>IF(COUNTIF('Form responses 4'!B:B,C406)&gt;0, "", "https://docs.google.com/forms/d/e/1FAIpQLSdhNamFeglgVtt555M7xM7e8ZAg9KCWMEcDlLzX1oeZsyGxrg/viewform?usp=pp_url&amp;entry.580385001="&amp;C406&amp;"&amp;entry.1376952895="&amp;A406)</f>
        <v>https://docs.google.com/forms/d/e/1FAIpQLSdhNamFeglgVtt555M7xM7e8ZAg9KCWMEcDlLzX1oeZsyGxrg/viewform?usp=pp_url&amp;entry.580385001=&amp;entry.1376952895=</v>
      </c>
    </row>
    <row r="407">
      <c r="A407" s="25"/>
      <c r="B407" s="25"/>
      <c r="C407" s="25"/>
      <c r="D407" s="105" t="str">
        <f>IF(COUNTIF('Form responses 4'!B:B,C407)&gt;0, "", "https://docs.google.com/forms/d/e/1FAIpQLSdhNamFeglgVtt555M7xM7e8ZAg9KCWMEcDlLzX1oeZsyGxrg/viewform?usp=pp_url&amp;entry.580385001="&amp;C407&amp;"&amp;entry.1376952895="&amp;A407)</f>
        <v>https://docs.google.com/forms/d/e/1FAIpQLSdhNamFeglgVtt555M7xM7e8ZAg9KCWMEcDlLzX1oeZsyGxrg/viewform?usp=pp_url&amp;entry.580385001=&amp;entry.1376952895=</v>
      </c>
    </row>
    <row r="408">
      <c r="A408" s="25"/>
      <c r="B408" s="25"/>
      <c r="C408" s="25"/>
      <c r="D408" s="105" t="str">
        <f>IF(COUNTIF('Form responses 4'!B:B,C408)&gt;0, "", "https://docs.google.com/forms/d/e/1FAIpQLSdhNamFeglgVtt555M7xM7e8ZAg9KCWMEcDlLzX1oeZsyGxrg/viewform?usp=pp_url&amp;entry.580385001="&amp;C408&amp;"&amp;entry.1376952895="&amp;A408)</f>
        <v>https://docs.google.com/forms/d/e/1FAIpQLSdhNamFeglgVtt555M7xM7e8ZAg9KCWMEcDlLzX1oeZsyGxrg/viewform?usp=pp_url&amp;entry.580385001=&amp;entry.1376952895=</v>
      </c>
    </row>
    <row r="409">
      <c r="A409" s="25"/>
      <c r="B409" s="25"/>
      <c r="C409" s="25"/>
      <c r="D409" s="105" t="str">
        <f>IF(COUNTIF('Form responses 4'!B:B,C409)&gt;0, "", "https://docs.google.com/forms/d/e/1FAIpQLSdhNamFeglgVtt555M7xM7e8ZAg9KCWMEcDlLzX1oeZsyGxrg/viewform?usp=pp_url&amp;entry.580385001="&amp;C409&amp;"&amp;entry.1376952895="&amp;A409)</f>
        <v>https://docs.google.com/forms/d/e/1FAIpQLSdhNamFeglgVtt555M7xM7e8ZAg9KCWMEcDlLzX1oeZsyGxrg/viewform?usp=pp_url&amp;entry.580385001=&amp;entry.1376952895=</v>
      </c>
    </row>
    <row r="410">
      <c r="A410" s="25"/>
      <c r="B410" s="25"/>
      <c r="C410" s="25"/>
      <c r="D410" s="105" t="str">
        <f>IF(COUNTIF('Form responses 4'!B:B,C410)&gt;0, "", "https://docs.google.com/forms/d/e/1FAIpQLSdhNamFeglgVtt555M7xM7e8ZAg9KCWMEcDlLzX1oeZsyGxrg/viewform?usp=pp_url&amp;entry.580385001="&amp;C410&amp;"&amp;entry.1376952895="&amp;A410)</f>
        <v>https://docs.google.com/forms/d/e/1FAIpQLSdhNamFeglgVtt555M7xM7e8ZAg9KCWMEcDlLzX1oeZsyGxrg/viewform?usp=pp_url&amp;entry.580385001=&amp;entry.1376952895=</v>
      </c>
    </row>
    <row r="411">
      <c r="A411" s="25"/>
      <c r="B411" s="25"/>
      <c r="C411" s="25"/>
      <c r="D411" s="105" t="str">
        <f>IF(COUNTIF('Form responses 4'!B:B,C411)&gt;0, "", "https://docs.google.com/forms/d/e/1FAIpQLSdhNamFeglgVtt555M7xM7e8ZAg9KCWMEcDlLzX1oeZsyGxrg/viewform?usp=pp_url&amp;entry.580385001="&amp;C411&amp;"&amp;entry.1376952895="&amp;A411)</f>
        <v>https://docs.google.com/forms/d/e/1FAIpQLSdhNamFeglgVtt555M7xM7e8ZAg9KCWMEcDlLzX1oeZsyGxrg/viewform?usp=pp_url&amp;entry.580385001=&amp;entry.1376952895=</v>
      </c>
    </row>
    <row r="412">
      <c r="A412" s="25"/>
      <c r="B412" s="25"/>
      <c r="C412" s="25"/>
      <c r="D412" s="105" t="str">
        <f>IF(COUNTIF('Form responses 4'!B:B,C412)&gt;0, "", "https://docs.google.com/forms/d/e/1FAIpQLSdhNamFeglgVtt555M7xM7e8ZAg9KCWMEcDlLzX1oeZsyGxrg/viewform?usp=pp_url&amp;entry.580385001="&amp;C412&amp;"&amp;entry.1376952895="&amp;A412)</f>
        <v>https://docs.google.com/forms/d/e/1FAIpQLSdhNamFeglgVtt555M7xM7e8ZAg9KCWMEcDlLzX1oeZsyGxrg/viewform?usp=pp_url&amp;entry.580385001=&amp;entry.1376952895=</v>
      </c>
    </row>
    <row r="413">
      <c r="A413" s="25"/>
      <c r="B413" s="25"/>
      <c r="C413" s="25"/>
      <c r="D413" s="105" t="str">
        <f>IF(COUNTIF('Form responses 4'!B:B,C413)&gt;0, "", "https://docs.google.com/forms/d/e/1FAIpQLSdhNamFeglgVtt555M7xM7e8ZAg9KCWMEcDlLzX1oeZsyGxrg/viewform?usp=pp_url&amp;entry.580385001="&amp;C413&amp;"&amp;entry.1376952895="&amp;A413)</f>
        <v>https://docs.google.com/forms/d/e/1FAIpQLSdhNamFeglgVtt555M7xM7e8ZAg9KCWMEcDlLzX1oeZsyGxrg/viewform?usp=pp_url&amp;entry.580385001=&amp;entry.1376952895=</v>
      </c>
    </row>
    <row r="414">
      <c r="A414" s="25"/>
      <c r="B414" s="25"/>
      <c r="C414" s="25"/>
      <c r="D414" s="105" t="str">
        <f>IF(COUNTIF('Form responses 4'!B:B,C414)&gt;0, "", "https://docs.google.com/forms/d/e/1FAIpQLSdhNamFeglgVtt555M7xM7e8ZAg9KCWMEcDlLzX1oeZsyGxrg/viewform?usp=pp_url&amp;entry.580385001="&amp;C414&amp;"&amp;entry.1376952895="&amp;A414)</f>
        <v>https://docs.google.com/forms/d/e/1FAIpQLSdhNamFeglgVtt555M7xM7e8ZAg9KCWMEcDlLzX1oeZsyGxrg/viewform?usp=pp_url&amp;entry.580385001=&amp;entry.1376952895=</v>
      </c>
    </row>
    <row r="415">
      <c r="A415" s="25"/>
      <c r="B415" s="25"/>
      <c r="C415" s="25"/>
      <c r="D415" s="105" t="str">
        <f>IF(COUNTIF('Form responses 4'!B:B,C415)&gt;0, "", "https://docs.google.com/forms/d/e/1FAIpQLSdhNamFeglgVtt555M7xM7e8ZAg9KCWMEcDlLzX1oeZsyGxrg/viewform?usp=pp_url&amp;entry.580385001="&amp;C415&amp;"&amp;entry.1376952895="&amp;A415)</f>
        <v>https://docs.google.com/forms/d/e/1FAIpQLSdhNamFeglgVtt555M7xM7e8ZAg9KCWMEcDlLzX1oeZsyGxrg/viewform?usp=pp_url&amp;entry.580385001=&amp;entry.1376952895=</v>
      </c>
    </row>
    <row r="416">
      <c r="A416" s="25"/>
      <c r="B416" s="25"/>
      <c r="C416" s="25"/>
      <c r="D416" s="105" t="str">
        <f>IF(COUNTIF('Form responses 4'!B:B,C416)&gt;0, "", "https://docs.google.com/forms/d/e/1FAIpQLSdhNamFeglgVtt555M7xM7e8ZAg9KCWMEcDlLzX1oeZsyGxrg/viewform?usp=pp_url&amp;entry.580385001="&amp;C416&amp;"&amp;entry.1376952895="&amp;A416)</f>
        <v>https://docs.google.com/forms/d/e/1FAIpQLSdhNamFeglgVtt555M7xM7e8ZAg9KCWMEcDlLzX1oeZsyGxrg/viewform?usp=pp_url&amp;entry.580385001=&amp;entry.1376952895=</v>
      </c>
    </row>
    <row r="417">
      <c r="A417" s="25"/>
      <c r="B417" s="25"/>
      <c r="C417" s="25"/>
      <c r="D417" s="105" t="str">
        <f>IF(COUNTIF('Form responses 4'!B:B,C417)&gt;0, "", "https://docs.google.com/forms/d/e/1FAIpQLSdhNamFeglgVtt555M7xM7e8ZAg9KCWMEcDlLzX1oeZsyGxrg/viewform?usp=pp_url&amp;entry.580385001="&amp;C417&amp;"&amp;entry.1376952895="&amp;A417)</f>
        <v>https://docs.google.com/forms/d/e/1FAIpQLSdhNamFeglgVtt555M7xM7e8ZAg9KCWMEcDlLzX1oeZsyGxrg/viewform?usp=pp_url&amp;entry.580385001=&amp;entry.1376952895=</v>
      </c>
    </row>
    <row r="418">
      <c r="A418" s="25"/>
      <c r="B418" s="25"/>
      <c r="C418" s="25"/>
      <c r="D418" s="105" t="str">
        <f>IF(COUNTIF('Form responses 4'!B:B,C418)&gt;0, "", "https://docs.google.com/forms/d/e/1FAIpQLSdhNamFeglgVtt555M7xM7e8ZAg9KCWMEcDlLzX1oeZsyGxrg/viewform?usp=pp_url&amp;entry.580385001="&amp;C418&amp;"&amp;entry.1376952895="&amp;A418)</f>
        <v>https://docs.google.com/forms/d/e/1FAIpQLSdhNamFeglgVtt555M7xM7e8ZAg9KCWMEcDlLzX1oeZsyGxrg/viewform?usp=pp_url&amp;entry.580385001=&amp;entry.1376952895=</v>
      </c>
    </row>
    <row r="419">
      <c r="A419" s="25"/>
      <c r="B419" s="25"/>
      <c r="C419" s="25"/>
      <c r="D419" s="105" t="str">
        <f>IF(COUNTIF('Form responses 4'!B:B,C419)&gt;0, "", "https://docs.google.com/forms/d/e/1FAIpQLSdhNamFeglgVtt555M7xM7e8ZAg9KCWMEcDlLzX1oeZsyGxrg/viewform?usp=pp_url&amp;entry.580385001="&amp;C419&amp;"&amp;entry.1376952895="&amp;A419)</f>
        <v>https://docs.google.com/forms/d/e/1FAIpQLSdhNamFeglgVtt555M7xM7e8ZAg9KCWMEcDlLzX1oeZsyGxrg/viewform?usp=pp_url&amp;entry.580385001=&amp;entry.1376952895=</v>
      </c>
    </row>
    <row r="420">
      <c r="A420" s="25"/>
      <c r="B420" s="25"/>
      <c r="C420" s="25"/>
      <c r="D420" s="105" t="str">
        <f>IF(COUNTIF('Form responses 4'!B:B,C420)&gt;0, "", "https://docs.google.com/forms/d/e/1FAIpQLSdhNamFeglgVtt555M7xM7e8ZAg9KCWMEcDlLzX1oeZsyGxrg/viewform?usp=pp_url&amp;entry.580385001="&amp;C420&amp;"&amp;entry.1376952895="&amp;A420)</f>
        <v>https://docs.google.com/forms/d/e/1FAIpQLSdhNamFeglgVtt555M7xM7e8ZAg9KCWMEcDlLzX1oeZsyGxrg/viewform?usp=pp_url&amp;entry.580385001=&amp;entry.1376952895=</v>
      </c>
    </row>
    <row r="421">
      <c r="A421" s="25"/>
      <c r="B421" s="25"/>
      <c r="C421" s="25"/>
      <c r="D421" s="105" t="str">
        <f>IF(COUNTIF('Form responses 4'!B:B,C421)&gt;0, "", "https://docs.google.com/forms/d/e/1FAIpQLSdhNamFeglgVtt555M7xM7e8ZAg9KCWMEcDlLzX1oeZsyGxrg/viewform?usp=pp_url&amp;entry.580385001="&amp;C421&amp;"&amp;entry.1376952895="&amp;A421)</f>
        <v>https://docs.google.com/forms/d/e/1FAIpQLSdhNamFeglgVtt555M7xM7e8ZAg9KCWMEcDlLzX1oeZsyGxrg/viewform?usp=pp_url&amp;entry.580385001=&amp;entry.1376952895=</v>
      </c>
    </row>
    <row r="422">
      <c r="A422" s="25"/>
      <c r="B422" s="25"/>
      <c r="C422" s="25"/>
      <c r="D422" s="105" t="str">
        <f>IF(COUNTIF('Form responses 4'!B:B,C422)&gt;0, "", "https://docs.google.com/forms/d/e/1FAIpQLSdhNamFeglgVtt555M7xM7e8ZAg9KCWMEcDlLzX1oeZsyGxrg/viewform?usp=pp_url&amp;entry.580385001="&amp;C422&amp;"&amp;entry.1376952895="&amp;A422)</f>
        <v>https://docs.google.com/forms/d/e/1FAIpQLSdhNamFeglgVtt555M7xM7e8ZAg9KCWMEcDlLzX1oeZsyGxrg/viewform?usp=pp_url&amp;entry.580385001=&amp;entry.1376952895=</v>
      </c>
    </row>
    <row r="423">
      <c r="A423" s="25"/>
      <c r="B423" s="25"/>
      <c r="C423" s="25"/>
      <c r="D423" s="105" t="str">
        <f>IF(COUNTIF('Form responses 4'!B:B,C423)&gt;0, "", "https://docs.google.com/forms/d/e/1FAIpQLSdhNamFeglgVtt555M7xM7e8ZAg9KCWMEcDlLzX1oeZsyGxrg/viewform?usp=pp_url&amp;entry.580385001="&amp;C423&amp;"&amp;entry.1376952895="&amp;A423)</f>
        <v>https://docs.google.com/forms/d/e/1FAIpQLSdhNamFeglgVtt555M7xM7e8ZAg9KCWMEcDlLzX1oeZsyGxrg/viewform?usp=pp_url&amp;entry.580385001=&amp;entry.1376952895=</v>
      </c>
    </row>
    <row r="424">
      <c r="A424" s="25"/>
      <c r="B424" s="25"/>
      <c r="C424" s="25"/>
      <c r="D424" s="105" t="str">
        <f>IF(COUNTIF('Form responses 4'!B:B,C424)&gt;0, "", "https://docs.google.com/forms/d/e/1FAIpQLSdhNamFeglgVtt555M7xM7e8ZAg9KCWMEcDlLzX1oeZsyGxrg/viewform?usp=pp_url&amp;entry.580385001="&amp;C424&amp;"&amp;entry.1376952895="&amp;A424)</f>
        <v>https://docs.google.com/forms/d/e/1FAIpQLSdhNamFeglgVtt555M7xM7e8ZAg9KCWMEcDlLzX1oeZsyGxrg/viewform?usp=pp_url&amp;entry.580385001=&amp;entry.1376952895=</v>
      </c>
    </row>
    <row r="425">
      <c r="A425" s="25"/>
      <c r="B425" s="25"/>
      <c r="C425" s="25"/>
      <c r="D425" s="105" t="str">
        <f>IF(COUNTIF('Form responses 4'!B:B,C425)&gt;0, "", "https://docs.google.com/forms/d/e/1FAIpQLSdhNamFeglgVtt555M7xM7e8ZAg9KCWMEcDlLzX1oeZsyGxrg/viewform?usp=pp_url&amp;entry.580385001="&amp;C425&amp;"&amp;entry.1376952895="&amp;A425)</f>
        <v>https://docs.google.com/forms/d/e/1FAIpQLSdhNamFeglgVtt555M7xM7e8ZAg9KCWMEcDlLzX1oeZsyGxrg/viewform?usp=pp_url&amp;entry.580385001=&amp;entry.1376952895=</v>
      </c>
    </row>
    <row r="426">
      <c r="A426" s="25"/>
      <c r="B426" s="25"/>
      <c r="C426" s="25"/>
      <c r="D426" s="105" t="str">
        <f>IF(COUNTIF('Form responses 4'!B:B,C426)&gt;0, "", "https://docs.google.com/forms/d/e/1FAIpQLSdhNamFeglgVtt555M7xM7e8ZAg9KCWMEcDlLzX1oeZsyGxrg/viewform?usp=pp_url&amp;entry.580385001="&amp;C426&amp;"&amp;entry.1376952895="&amp;A426)</f>
        <v>https://docs.google.com/forms/d/e/1FAIpQLSdhNamFeglgVtt555M7xM7e8ZAg9KCWMEcDlLzX1oeZsyGxrg/viewform?usp=pp_url&amp;entry.580385001=&amp;entry.1376952895=</v>
      </c>
    </row>
    <row r="427">
      <c r="A427" s="25"/>
      <c r="B427" s="25"/>
      <c r="C427" s="25"/>
      <c r="D427" s="105" t="str">
        <f>IF(COUNTIF('Form responses 4'!B:B,C427)&gt;0, "", "https://docs.google.com/forms/d/e/1FAIpQLSdhNamFeglgVtt555M7xM7e8ZAg9KCWMEcDlLzX1oeZsyGxrg/viewform?usp=pp_url&amp;entry.580385001="&amp;C427&amp;"&amp;entry.1376952895="&amp;A427)</f>
        <v>https://docs.google.com/forms/d/e/1FAIpQLSdhNamFeglgVtt555M7xM7e8ZAg9KCWMEcDlLzX1oeZsyGxrg/viewform?usp=pp_url&amp;entry.580385001=&amp;entry.1376952895=</v>
      </c>
    </row>
    <row r="428">
      <c r="A428" s="25"/>
      <c r="B428" s="25"/>
      <c r="C428" s="25"/>
      <c r="D428" s="105" t="str">
        <f>IF(COUNTIF('Form responses 4'!B:B,C428)&gt;0, "", "https://docs.google.com/forms/d/e/1FAIpQLSdhNamFeglgVtt555M7xM7e8ZAg9KCWMEcDlLzX1oeZsyGxrg/viewform?usp=pp_url&amp;entry.580385001="&amp;C428&amp;"&amp;entry.1376952895="&amp;A428)</f>
        <v>https://docs.google.com/forms/d/e/1FAIpQLSdhNamFeglgVtt555M7xM7e8ZAg9KCWMEcDlLzX1oeZsyGxrg/viewform?usp=pp_url&amp;entry.580385001=&amp;entry.1376952895=</v>
      </c>
    </row>
    <row r="429">
      <c r="A429" s="25"/>
      <c r="B429" s="25"/>
      <c r="C429" s="25"/>
      <c r="D429" s="105" t="str">
        <f>IF(COUNTIF('Form responses 4'!B:B,C429)&gt;0, "", "https://docs.google.com/forms/d/e/1FAIpQLSdhNamFeglgVtt555M7xM7e8ZAg9KCWMEcDlLzX1oeZsyGxrg/viewform?usp=pp_url&amp;entry.580385001="&amp;C429&amp;"&amp;entry.1376952895="&amp;A429)</f>
        <v>https://docs.google.com/forms/d/e/1FAIpQLSdhNamFeglgVtt555M7xM7e8ZAg9KCWMEcDlLzX1oeZsyGxrg/viewform?usp=pp_url&amp;entry.580385001=&amp;entry.1376952895=</v>
      </c>
    </row>
    <row r="430">
      <c r="A430" s="25"/>
      <c r="B430" s="25"/>
      <c r="C430" s="25"/>
      <c r="D430" s="105" t="str">
        <f>IF(COUNTIF('Form responses 4'!B:B,C430)&gt;0, "", "https://docs.google.com/forms/d/e/1FAIpQLSdhNamFeglgVtt555M7xM7e8ZAg9KCWMEcDlLzX1oeZsyGxrg/viewform?usp=pp_url&amp;entry.580385001="&amp;C430&amp;"&amp;entry.1376952895="&amp;A430)</f>
        <v>https://docs.google.com/forms/d/e/1FAIpQLSdhNamFeglgVtt555M7xM7e8ZAg9KCWMEcDlLzX1oeZsyGxrg/viewform?usp=pp_url&amp;entry.580385001=&amp;entry.1376952895=</v>
      </c>
    </row>
    <row r="431">
      <c r="A431" s="25"/>
      <c r="B431" s="25"/>
      <c r="C431" s="25"/>
      <c r="D431" s="105" t="str">
        <f>IF(COUNTIF('Form responses 4'!B:B,C431)&gt;0, "", "https://docs.google.com/forms/d/e/1FAIpQLSdhNamFeglgVtt555M7xM7e8ZAg9KCWMEcDlLzX1oeZsyGxrg/viewform?usp=pp_url&amp;entry.580385001="&amp;C431&amp;"&amp;entry.1376952895="&amp;A431)</f>
        <v>https://docs.google.com/forms/d/e/1FAIpQLSdhNamFeglgVtt555M7xM7e8ZAg9KCWMEcDlLzX1oeZsyGxrg/viewform?usp=pp_url&amp;entry.580385001=&amp;entry.1376952895=</v>
      </c>
    </row>
    <row r="432">
      <c r="A432" s="25"/>
      <c r="B432" s="25"/>
      <c r="C432" s="25"/>
      <c r="D432" s="105" t="str">
        <f>IF(COUNTIF('Form responses 4'!B:B,C432)&gt;0, "", "https://docs.google.com/forms/d/e/1FAIpQLSdhNamFeglgVtt555M7xM7e8ZAg9KCWMEcDlLzX1oeZsyGxrg/viewform?usp=pp_url&amp;entry.580385001="&amp;C432&amp;"&amp;entry.1376952895="&amp;A432)</f>
        <v>https://docs.google.com/forms/d/e/1FAIpQLSdhNamFeglgVtt555M7xM7e8ZAg9KCWMEcDlLzX1oeZsyGxrg/viewform?usp=pp_url&amp;entry.580385001=&amp;entry.1376952895=</v>
      </c>
    </row>
    <row r="433">
      <c r="A433" s="25"/>
      <c r="B433" s="25"/>
      <c r="C433" s="25"/>
      <c r="D433" s="105" t="str">
        <f>IF(COUNTIF('Form responses 4'!B:B,C433)&gt;0, "", "https://docs.google.com/forms/d/e/1FAIpQLSdhNamFeglgVtt555M7xM7e8ZAg9KCWMEcDlLzX1oeZsyGxrg/viewform?usp=pp_url&amp;entry.580385001="&amp;C433&amp;"&amp;entry.1376952895="&amp;A433)</f>
        <v>https://docs.google.com/forms/d/e/1FAIpQLSdhNamFeglgVtt555M7xM7e8ZAg9KCWMEcDlLzX1oeZsyGxrg/viewform?usp=pp_url&amp;entry.580385001=&amp;entry.1376952895=</v>
      </c>
    </row>
    <row r="434">
      <c r="A434" s="25"/>
      <c r="B434" s="25"/>
      <c r="C434" s="25"/>
      <c r="D434" s="105" t="str">
        <f>IF(COUNTIF('Form responses 4'!B:B,C434)&gt;0, "", "https://docs.google.com/forms/d/e/1FAIpQLSdhNamFeglgVtt555M7xM7e8ZAg9KCWMEcDlLzX1oeZsyGxrg/viewform?usp=pp_url&amp;entry.580385001="&amp;C434&amp;"&amp;entry.1376952895="&amp;A434)</f>
        <v>https://docs.google.com/forms/d/e/1FAIpQLSdhNamFeglgVtt555M7xM7e8ZAg9KCWMEcDlLzX1oeZsyGxrg/viewform?usp=pp_url&amp;entry.580385001=&amp;entry.1376952895=</v>
      </c>
    </row>
    <row r="435">
      <c r="A435" s="25"/>
      <c r="B435" s="25"/>
      <c r="C435" s="25"/>
      <c r="D435" s="105" t="str">
        <f>IF(COUNTIF('Form responses 4'!B:B,C435)&gt;0, "", "https://docs.google.com/forms/d/e/1FAIpQLSdhNamFeglgVtt555M7xM7e8ZAg9KCWMEcDlLzX1oeZsyGxrg/viewform?usp=pp_url&amp;entry.580385001="&amp;C435&amp;"&amp;entry.1376952895="&amp;A435)</f>
        <v>https://docs.google.com/forms/d/e/1FAIpQLSdhNamFeglgVtt555M7xM7e8ZAg9KCWMEcDlLzX1oeZsyGxrg/viewform?usp=pp_url&amp;entry.580385001=&amp;entry.1376952895=</v>
      </c>
    </row>
    <row r="436">
      <c r="A436" s="25"/>
      <c r="B436" s="25"/>
      <c r="C436" s="25"/>
      <c r="D436" s="105" t="str">
        <f>IF(COUNTIF('Form responses 4'!B:B,C436)&gt;0, "", "https://docs.google.com/forms/d/e/1FAIpQLSdhNamFeglgVtt555M7xM7e8ZAg9KCWMEcDlLzX1oeZsyGxrg/viewform?usp=pp_url&amp;entry.580385001="&amp;C436&amp;"&amp;entry.1376952895="&amp;A436)</f>
        <v>https://docs.google.com/forms/d/e/1FAIpQLSdhNamFeglgVtt555M7xM7e8ZAg9KCWMEcDlLzX1oeZsyGxrg/viewform?usp=pp_url&amp;entry.580385001=&amp;entry.1376952895=</v>
      </c>
    </row>
    <row r="437">
      <c r="A437" s="25"/>
      <c r="B437" s="25"/>
      <c r="C437" s="25"/>
      <c r="D437" s="105" t="str">
        <f>IF(COUNTIF('Form responses 4'!B:B,C437)&gt;0, "", "https://docs.google.com/forms/d/e/1FAIpQLSdhNamFeglgVtt555M7xM7e8ZAg9KCWMEcDlLzX1oeZsyGxrg/viewform?usp=pp_url&amp;entry.580385001="&amp;C437&amp;"&amp;entry.1376952895="&amp;A437)</f>
        <v>https://docs.google.com/forms/d/e/1FAIpQLSdhNamFeglgVtt555M7xM7e8ZAg9KCWMEcDlLzX1oeZsyGxrg/viewform?usp=pp_url&amp;entry.580385001=&amp;entry.1376952895=</v>
      </c>
    </row>
    <row r="438">
      <c r="A438" s="25"/>
      <c r="B438" s="25"/>
      <c r="C438" s="25"/>
      <c r="D438" s="105" t="str">
        <f>IF(COUNTIF('Form responses 4'!B:B,C438)&gt;0, "", "https://docs.google.com/forms/d/e/1FAIpQLSdhNamFeglgVtt555M7xM7e8ZAg9KCWMEcDlLzX1oeZsyGxrg/viewform?usp=pp_url&amp;entry.580385001="&amp;C438&amp;"&amp;entry.1376952895="&amp;A438)</f>
        <v>https://docs.google.com/forms/d/e/1FAIpQLSdhNamFeglgVtt555M7xM7e8ZAg9KCWMEcDlLzX1oeZsyGxrg/viewform?usp=pp_url&amp;entry.580385001=&amp;entry.1376952895=</v>
      </c>
    </row>
    <row r="439">
      <c r="A439" s="25"/>
      <c r="B439" s="25"/>
      <c r="C439" s="25"/>
      <c r="D439" s="105" t="str">
        <f>IF(COUNTIF('Form responses 4'!B:B,C439)&gt;0, "", "https://docs.google.com/forms/d/e/1FAIpQLSdhNamFeglgVtt555M7xM7e8ZAg9KCWMEcDlLzX1oeZsyGxrg/viewform?usp=pp_url&amp;entry.580385001="&amp;C439&amp;"&amp;entry.1376952895="&amp;A439)</f>
        <v>https://docs.google.com/forms/d/e/1FAIpQLSdhNamFeglgVtt555M7xM7e8ZAg9KCWMEcDlLzX1oeZsyGxrg/viewform?usp=pp_url&amp;entry.580385001=&amp;entry.1376952895=</v>
      </c>
    </row>
    <row r="440">
      <c r="A440" s="25"/>
      <c r="B440" s="25"/>
      <c r="C440" s="25"/>
      <c r="D440" s="105" t="str">
        <f>IF(COUNTIF('Form responses 4'!B:B,C440)&gt;0, "", "https://docs.google.com/forms/d/e/1FAIpQLSdhNamFeglgVtt555M7xM7e8ZAg9KCWMEcDlLzX1oeZsyGxrg/viewform?usp=pp_url&amp;entry.580385001="&amp;C440&amp;"&amp;entry.1376952895="&amp;A440)</f>
        <v>https://docs.google.com/forms/d/e/1FAIpQLSdhNamFeglgVtt555M7xM7e8ZAg9KCWMEcDlLzX1oeZsyGxrg/viewform?usp=pp_url&amp;entry.580385001=&amp;entry.1376952895=</v>
      </c>
    </row>
    <row r="441">
      <c r="A441" s="25"/>
      <c r="B441" s="25"/>
      <c r="C441" s="25"/>
      <c r="D441" s="105" t="str">
        <f>IF(COUNTIF('Form responses 4'!B:B,C441)&gt;0, "", "https://docs.google.com/forms/d/e/1FAIpQLSdhNamFeglgVtt555M7xM7e8ZAg9KCWMEcDlLzX1oeZsyGxrg/viewform?usp=pp_url&amp;entry.580385001="&amp;C441&amp;"&amp;entry.1376952895="&amp;A441)</f>
        <v>https://docs.google.com/forms/d/e/1FAIpQLSdhNamFeglgVtt555M7xM7e8ZAg9KCWMEcDlLzX1oeZsyGxrg/viewform?usp=pp_url&amp;entry.580385001=&amp;entry.1376952895=</v>
      </c>
    </row>
    <row r="442">
      <c r="A442" s="25"/>
      <c r="B442" s="25"/>
      <c r="C442" s="25"/>
      <c r="D442" s="105" t="str">
        <f>IF(COUNTIF('Form responses 4'!B:B,C442)&gt;0, "", "https://docs.google.com/forms/d/e/1FAIpQLSdhNamFeglgVtt555M7xM7e8ZAg9KCWMEcDlLzX1oeZsyGxrg/viewform?usp=pp_url&amp;entry.580385001="&amp;C442&amp;"&amp;entry.1376952895="&amp;A442)</f>
        <v>https://docs.google.com/forms/d/e/1FAIpQLSdhNamFeglgVtt555M7xM7e8ZAg9KCWMEcDlLzX1oeZsyGxrg/viewform?usp=pp_url&amp;entry.580385001=&amp;entry.1376952895=</v>
      </c>
    </row>
    <row r="443">
      <c r="A443" s="25"/>
      <c r="B443" s="25"/>
      <c r="C443" s="25"/>
      <c r="D443" s="105" t="str">
        <f>IF(COUNTIF('Form responses 4'!B:B,C443)&gt;0, "", "https://docs.google.com/forms/d/e/1FAIpQLSdhNamFeglgVtt555M7xM7e8ZAg9KCWMEcDlLzX1oeZsyGxrg/viewform?usp=pp_url&amp;entry.580385001="&amp;C443&amp;"&amp;entry.1376952895="&amp;A443)</f>
        <v>https://docs.google.com/forms/d/e/1FAIpQLSdhNamFeglgVtt555M7xM7e8ZAg9KCWMEcDlLzX1oeZsyGxrg/viewform?usp=pp_url&amp;entry.580385001=&amp;entry.1376952895=</v>
      </c>
    </row>
    <row r="444">
      <c r="A444" s="25"/>
      <c r="B444" s="25"/>
      <c r="C444" s="25"/>
      <c r="D444" s="105" t="str">
        <f>IF(COUNTIF('Form responses 4'!B:B,C444)&gt;0, "", "https://docs.google.com/forms/d/e/1FAIpQLSdhNamFeglgVtt555M7xM7e8ZAg9KCWMEcDlLzX1oeZsyGxrg/viewform?usp=pp_url&amp;entry.580385001="&amp;C444&amp;"&amp;entry.1376952895="&amp;A444)</f>
        <v>https://docs.google.com/forms/d/e/1FAIpQLSdhNamFeglgVtt555M7xM7e8ZAg9KCWMEcDlLzX1oeZsyGxrg/viewform?usp=pp_url&amp;entry.580385001=&amp;entry.1376952895=</v>
      </c>
    </row>
    <row r="445">
      <c r="A445" s="25"/>
      <c r="B445" s="25"/>
      <c r="C445" s="25"/>
      <c r="D445" s="105" t="str">
        <f>IF(COUNTIF('Form responses 4'!B:B,C445)&gt;0, "", "https://docs.google.com/forms/d/e/1FAIpQLSdhNamFeglgVtt555M7xM7e8ZAg9KCWMEcDlLzX1oeZsyGxrg/viewform?usp=pp_url&amp;entry.580385001="&amp;C445&amp;"&amp;entry.1376952895="&amp;A445)</f>
        <v>https://docs.google.com/forms/d/e/1FAIpQLSdhNamFeglgVtt555M7xM7e8ZAg9KCWMEcDlLzX1oeZsyGxrg/viewform?usp=pp_url&amp;entry.580385001=&amp;entry.1376952895=</v>
      </c>
    </row>
    <row r="446">
      <c r="A446" s="25"/>
      <c r="B446" s="25"/>
      <c r="C446" s="25"/>
      <c r="D446" s="105" t="str">
        <f>IF(COUNTIF('Form responses 4'!B:B,C446)&gt;0, "", "https://docs.google.com/forms/d/e/1FAIpQLSdhNamFeglgVtt555M7xM7e8ZAg9KCWMEcDlLzX1oeZsyGxrg/viewform?usp=pp_url&amp;entry.580385001="&amp;C446&amp;"&amp;entry.1376952895="&amp;A446)</f>
        <v>https://docs.google.com/forms/d/e/1FAIpQLSdhNamFeglgVtt555M7xM7e8ZAg9KCWMEcDlLzX1oeZsyGxrg/viewform?usp=pp_url&amp;entry.580385001=&amp;entry.1376952895=</v>
      </c>
    </row>
    <row r="447">
      <c r="A447" s="25"/>
      <c r="B447" s="25"/>
      <c r="C447" s="25"/>
      <c r="D447" s="105" t="str">
        <f>IF(COUNTIF('Form responses 4'!B:B,C447)&gt;0, "", "https://docs.google.com/forms/d/e/1FAIpQLSdhNamFeglgVtt555M7xM7e8ZAg9KCWMEcDlLzX1oeZsyGxrg/viewform?usp=pp_url&amp;entry.580385001="&amp;C447&amp;"&amp;entry.1376952895="&amp;A447)</f>
        <v>https://docs.google.com/forms/d/e/1FAIpQLSdhNamFeglgVtt555M7xM7e8ZAg9KCWMEcDlLzX1oeZsyGxrg/viewform?usp=pp_url&amp;entry.580385001=&amp;entry.1376952895=</v>
      </c>
    </row>
    <row r="448">
      <c r="A448" s="25"/>
      <c r="B448" s="25"/>
      <c r="C448" s="25"/>
      <c r="D448" s="105" t="str">
        <f>IF(COUNTIF('Form responses 4'!B:B,C448)&gt;0, "", "https://docs.google.com/forms/d/e/1FAIpQLSdhNamFeglgVtt555M7xM7e8ZAg9KCWMEcDlLzX1oeZsyGxrg/viewform?usp=pp_url&amp;entry.580385001="&amp;C448&amp;"&amp;entry.1376952895="&amp;A448)</f>
        <v>https://docs.google.com/forms/d/e/1FAIpQLSdhNamFeglgVtt555M7xM7e8ZAg9KCWMEcDlLzX1oeZsyGxrg/viewform?usp=pp_url&amp;entry.580385001=&amp;entry.1376952895=</v>
      </c>
    </row>
    <row r="449">
      <c r="A449" s="25"/>
      <c r="B449" s="25"/>
      <c r="C449" s="25"/>
      <c r="D449" s="105" t="str">
        <f>IF(COUNTIF('Form responses 4'!B:B,C449)&gt;0, "", "https://docs.google.com/forms/d/e/1FAIpQLSdhNamFeglgVtt555M7xM7e8ZAg9KCWMEcDlLzX1oeZsyGxrg/viewform?usp=pp_url&amp;entry.580385001="&amp;C449&amp;"&amp;entry.1376952895="&amp;A449)</f>
        <v>https://docs.google.com/forms/d/e/1FAIpQLSdhNamFeglgVtt555M7xM7e8ZAg9KCWMEcDlLzX1oeZsyGxrg/viewform?usp=pp_url&amp;entry.580385001=&amp;entry.1376952895=</v>
      </c>
    </row>
    <row r="450">
      <c r="A450" s="25"/>
      <c r="B450" s="25"/>
      <c r="C450" s="25"/>
      <c r="D450" s="105" t="str">
        <f>IF(COUNTIF('Form responses 4'!B:B,C450)&gt;0, "", "https://docs.google.com/forms/d/e/1FAIpQLSdhNamFeglgVtt555M7xM7e8ZAg9KCWMEcDlLzX1oeZsyGxrg/viewform?usp=pp_url&amp;entry.580385001="&amp;C450&amp;"&amp;entry.1376952895="&amp;A450)</f>
        <v>https://docs.google.com/forms/d/e/1FAIpQLSdhNamFeglgVtt555M7xM7e8ZAg9KCWMEcDlLzX1oeZsyGxrg/viewform?usp=pp_url&amp;entry.580385001=&amp;entry.1376952895=</v>
      </c>
    </row>
    <row r="451">
      <c r="A451" s="25"/>
      <c r="B451" s="25"/>
      <c r="C451" s="25"/>
      <c r="D451" s="105" t="str">
        <f>IF(COUNTIF('Form responses 4'!B:B,C451)&gt;0, "", "https://docs.google.com/forms/d/e/1FAIpQLSdhNamFeglgVtt555M7xM7e8ZAg9KCWMEcDlLzX1oeZsyGxrg/viewform?usp=pp_url&amp;entry.580385001="&amp;C451&amp;"&amp;entry.1376952895="&amp;A451)</f>
        <v>https://docs.google.com/forms/d/e/1FAIpQLSdhNamFeglgVtt555M7xM7e8ZAg9KCWMEcDlLzX1oeZsyGxrg/viewform?usp=pp_url&amp;entry.580385001=&amp;entry.1376952895=</v>
      </c>
    </row>
    <row r="452">
      <c r="A452" s="25"/>
      <c r="B452" s="25"/>
      <c r="C452" s="25"/>
      <c r="D452" s="105" t="str">
        <f>IF(COUNTIF('Form responses 4'!B:B,C452)&gt;0, "", "https://docs.google.com/forms/d/e/1FAIpQLSdhNamFeglgVtt555M7xM7e8ZAg9KCWMEcDlLzX1oeZsyGxrg/viewform?usp=pp_url&amp;entry.580385001="&amp;C452&amp;"&amp;entry.1376952895="&amp;A452)</f>
        <v>https://docs.google.com/forms/d/e/1FAIpQLSdhNamFeglgVtt555M7xM7e8ZAg9KCWMEcDlLzX1oeZsyGxrg/viewform?usp=pp_url&amp;entry.580385001=&amp;entry.1376952895=</v>
      </c>
    </row>
    <row r="453">
      <c r="A453" s="25"/>
      <c r="B453" s="25"/>
      <c r="C453" s="25"/>
      <c r="D453" s="105" t="str">
        <f>IF(COUNTIF('Form responses 4'!B:B,C453)&gt;0, "", "https://docs.google.com/forms/d/e/1FAIpQLSdhNamFeglgVtt555M7xM7e8ZAg9KCWMEcDlLzX1oeZsyGxrg/viewform?usp=pp_url&amp;entry.580385001="&amp;C453&amp;"&amp;entry.1376952895="&amp;A453)</f>
        <v>https://docs.google.com/forms/d/e/1FAIpQLSdhNamFeglgVtt555M7xM7e8ZAg9KCWMEcDlLzX1oeZsyGxrg/viewform?usp=pp_url&amp;entry.580385001=&amp;entry.1376952895=</v>
      </c>
    </row>
    <row r="454">
      <c r="A454" s="25"/>
      <c r="B454" s="25"/>
      <c r="C454" s="25"/>
      <c r="D454" s="105" t="str">
        <f>IF(COUNTIF('Form responses 4'!B:B,C454)&gt;0, "", "https://docs.google.com/forms/d/e/1FAIpQLSdhNamFeglgVtt555M7xM7e8ZAg9KCWMEcDlLzX1oeZsyGxrg/viewform?usp=pp_url&amp;entry.580385001="&amp;C454&amp;"&amp;entry.1376952895="&amp;A454)</f>
        <v>https://docs.google.com/forms/d/e/1FAIpQLSdhNamFeglgVtt555M7xM7e8ZAg9KCWMEcDlLzX1oeZsyGxrg/viewform?usp=pp_url&amp;entry.580385001=&amp;entry.1376952895=</v>
      </c>
    </row>
    <row r="455">
      <c r="A455" s="25"/>
      <c r="B455" s="25"/>
      <c r="C455" s="25"/>
      <c r="D455" s="105" t="str">
        <f>IF(COUNTIF('Form responses 4'!B:B,C455)&gt;0, "", "https://docs.google.com/forms/d/e/1FAIpQLSdhNamFeglgVtt555M7xM7e8ZAg9KCWMEcDlLzX1oeZsyGxrg/viewform?usp=pp_url&amp;entry.580385001="&amp;C455&amp;"&amp;entry.1376952895="&amp;A455)</f>
        <v>https://docs.google.com/forms/d/e/1FAIpQLSdhNamFeglgVtt555M7xM7e8ZAg9KCWMEcDlLzX1oeZsyGxrg/viewform?usp=pp_url&amp;entry.580385001=&amp;entry.1376952895=</v>
      </c>
    </row>
    <row r="456">
      <c r="A456" s="25"/>
      <c r="B456" s="25"/>
      <c r="C456" s="25"/>
      <c r="D456" s="105" t="str">
        <f>IF(COUNTIF('Form responses 4'!B:B,C456)&gt;0, "", "https://docs.google.com/forms/d/e/1FAIpQLSdhNamFeglgVtt555M7xM7e8ZAg9KCWMEcDlLzX1oeZsyGxrg/viewform?usp=pp_url&amp;entry.580385001="&amp;C456&amp;"&amp;entry.1376952895="&amp;A456)</f>
        <v>https://docs.google.com/forms/d/e/1FAIpQLSdhNamFeglgVtt555M7xM7e8ZAg9KCWMEcDlLzX1oeZsyGxrg/viewform?usp=pp_url&amp;entry.580385001=&amp;entry.1376952895=</v>
      </c>
    </row>
    <row r="457">
      <c r="A457" s="25"/>
      <c r="B457" s="25"/>
      <c r="C457" s="25"/>
      <c r="D457" s="105" t="str">
        <f>IF(COUNTIF('Form responses 4'!B:B,C457)&gt;0, "", "https://docs.google.com/forms/d/e/1FAIpQLSdhNamFeglgVtt555M7xM7e8ZAg9KCWMEcDlLzX1oeZsyGxrg/viewform?usp=pp_url&amp;entry.580385001="&amp;C457&amp;"&amp;entry.1376952895="&amp;A457)</f>
        <v>https://docs.google.com/forms/d/e/1FAIpQLSdhNamFeglgVtt555M7xM7e8ZAg9KCWMEcDlLzX1oeZsyGxrg/viewform?usp=pp_url&amp;entry.580385001=&amp;entry.1376952895=</v>
      </c>
    </row>
    <row r="458">
      <c r="A458" s="25"/>
      <c r="B458" s="25"/>
      <c r="C458" s="25"/>
      <c r="D458" s="105" t="str">
        <f>IF(COUNTIF('Form responses 4'!B:B,C458)&gt;0, "", "https://docs.google.com/forms/d/e/1FAIpQLSdhNamFeglgVtt555M7xM7e8ZAg9KCWMEcDlLzX1oeZsyGxrg/viewform?usp=pp_url&amp;entry.580385001="&amp;C458&amp;"&amp;entry.1376952895="&amp;A458)</f>
        <v>https://docs.google.com/forms/d/e/1FAIpQLSdhNamFeglgVtt555M7xM7e8ZAg9KCWMEcDlLzX1oeZsyGxrg/viewform?usp=pp_url&amp;entry.580385001=&amp;entry.1376952895=</v>
      </c>
    </row>
    <row r="459">
      <c r="A459" s="25"/>
      <c r="B459" s="25"/>
      <c r="C459" s="25"/>
      <c r="D459" s="105" t="str">
        <f>IF(COUNTIF('Form responses 4'!B:B,C459)&gt;0, "", "https://docs.google.com/forms/d/e/1FAIpQLSdhNamFeglgVtt555M7xM7e8ZAg9KCWMEcDlLzX1oeZsyGxrg/viewform?usp=pp_url&amp;entry.580385001="&amp;C459&amp;"&amp;entry.1376952895="&amp;A459)</f>
        <v>https://docs.google.com/forms/d/e/1FAIpQLSdhNamFeglgVtt555M7xM7e8ZAg9KCWMEcDlLzX1oeZsyGxrg/viewform?usp=pp_url&amp;entry.580385001=&amp;entry.1376952895=</v>
      </c>
    </row>
    <row r="460">
      <c r="A460" s="25"/>
      <c r="B460" s="25"/>
      <c r="C460" s="25"/>
      <c r="D460" s="105" t="str">
        <f>IF(COUNTIF('Form responses 4'!B:B,C460)&gt;0, "", "https://docs.google.com/forms/d/e/1FAIpQLSdhNamFeglgVtt555M7xM7e8ZAg9KCWMEcDlLzX1oeZsyGxrg/viewform?usp=pp_url&amp;entry.580385001="&amp;C460&amp;"&amp;entry.1376952895="&amp;A460)</f>
        <v>https://docs.google.com/forms/d/e/1FAIpQLSdhNamFeglgVtt555M7xM7e8ZAg9KCWMEcDlLzX1oeZsyGxrg/viewform?usp=pp_url&amp;entry.580385001=&amp;entry.1376952895=</v>
      </c>
    </row>
    <row r="461">
      <c r="A461" s="25"/>
      <c r="B461" s="25"/>
      <c r="C461" s="25"/>
      <c r="D461" s="105" t="str">
        <f>IF(COUNTIF('Form responses 4'!B:B,C461)&gt;0, "", "https://docs.google.com/forms/d/e/1FAIpQLSdhNamFeglgVtt555M7xM7e8ZAg9KCWMEcDlLzX1oeZsyGxrg/viewform?usp=pp_url&amp;entry.580385001="&amp;C461&amp;"&amp;entry.1376952895="&amp;A461)</f>
        <v>https://docs.google.com/forms/d/e/1FAIpQLSdhNamFeglgVtt555M7xM7e8ZAg9KCWMEcDlLzX1oeZsyGxrg/viewform?usp=pp_url&amp;entry.580385001=&amp;entry.1376952895=</v>
      </c>
    </row>
    <row r="462">
      <c r="A462" s="25"/>
      <c r="B462" s="25"/>
      <c r="C462" s="25"/>
      <c r="D462" s="105" t="str">
        <f>IF(COUNTIF('Form responses 4'!B:B,C462)&gt;0, "", "https://docs.google.com/forms/d/e/1FAIpQLSdhNamFeglgVtt555M7xM7e8ZAg9KCWMEcDlLzX1oeZsyGxrg/viewform?usp=pp_url&amp;entry.580385001="&amp;C462&amp;"&amp;entry.1376952895="&amp;A462)</f>
        <v>https://docs.google.com/forms/d/e/1FAIpQLSdhNamFeglgVtt555M7xM7e8ZAg9KCWMEcDlLzX1oeZsyGxrg/viewform?usp=pp_url&amp;entry.580385001=&amp;entry.1376952895=</v>
      </c>
    </row>
    <row r="463">
      <c r="A463" s="25"/>
      <c r="B463" s="25"/>
      <c r="C463" s="25"/>
      <c r="D463" s="105" t="str">
        <f>IF(COUNTIF('Form responses 4'!B:B,C463)&gt;0, "", "https://docs.google.com/forms/d/e/1FAIpQLSdhNamFeglgVtt555M7xM7e8ZAg9KCWMEcDlLzX1oeZsyGxrg/viewform?usp=pp_url&amp;entry.580385001="&amp;C463&amp;"&amp;entry.1376952895="&amp;A463)</f>
        <v>https://docs.google.com/forms/d/e/1FAIpQLSdhNamFeglgVtt555M7xM7e8ZAg9KCWMEcDlLzX1oeZsyGxrg/viewform?usp=pp_url&amp;entry.580385001=&amp;entry.1376952895=</v>
      </c>
    </row>
    <row r="464">
      <c r="A464" s="25"/>
      <c r="B464" s="25"/>
      <c r="C464" s="25"/>
      <c r="D464" s="105" t="str">
        <f>IF(COUNTIF('Form responses 4'!B:B,C464)&gt;0, "", "https://docs.google.com/forms/d/e/1FAIpQLSdhNamFeglgVtt555M7xM7e8ZAg9KCWMEcDlLzX1oeZsyGxrg/viewform?usp=pp_url&amp;entry.580385001="&amp;C464&amp;"&amp;entry.1376952895="&amp;A464)</f>
        <v>https://docs.google.com/forms/d/e/1FAIpQLSdhNamFeglgVtt555M7xM7e8ZAg9KCWMEcDlLzX1oeZsyGxrg/viewform?usp=pp_url&amp;entry.580385001=&amp;entry.1376952895=</v>
      </c>
    </row>
    <row r="465">
      <c r="A465" s="25"/>
      <c r="B465" s="25"/>
      <c r="C465" s="25"/>
      <c r="D465" s="105" t="str">
        <f>IF(COUNTIF('Form responses 4'!B:B,C465)&gt;0, "", "https://docs.google.com/forms/d/e/1FAIpQLSdhNamFeglgVtt555M7xM7e8ZAg9KCWMEcDlLzX1oeZsyGxrg/viewform?usp=pp_url&amp;entry.580385001="&amp;C465&amp;"&amp;entry.1376952895="&amp;A465)</f>
        <v>https://docs.google.com/forms/d/e/1FAIpQLSdhNamFeglgVtt555M7xM7e8ZAg9KCWMEcDlLzX1oeZsyGxrg/viewform?usp=pp_url&amp;entry.580385001=&amp;entry.1376952895=</v>
      </c>
    </row>
    <row r="466">
      <c r="A466" s="25"/>
      <c r="B466" s="25"/>
      <c r="C466" s="25"/>
      <c r="D466" s="105" t="str">
        <f>IF(COUNTIF('Form responses 4'!B:B,C466)&gt;0, "", "https://docs.google.com/forms/d/e/1FAIpQLSdhNamFeglgVtt555M7xM7e8ZAg9KCWMEcDlLzX1oeZsyGxrg/viewform?usp=pp_url&amp;entry.580385001="&amp;C466&amp;"&amp;entry.1376952895="&amp;A466)</f>
        <v>https://docs.google.com/forms/d/e/1FAIpQLSdhNamFeglgVtt555M7xM7e8ZAg9KCWMEcDlLzX1oeZsyGxrg/viewform?usp=pp_url&amp;entry.580385001=&amp;entry.1376952895=</v>
      </c>
    </row>
    <row r="467">
      <c r="A467" s="25"/>
      <c r="B467" s="25"/>
      <c r="C467" s="25"/>
      <c r="D467" s="105" t="str">
        <f>IF(COUNTIF('Form responses 4'!B:B,C467)&gt;0, "", "https://docs.google.com/forms/d/e/1FAIpQLSdhNamFeglgVtt555M7xM7e8ZAg9KCWMEcDlLzX1oeZsyGxrg/viewform?usp=pp_url&amp;entry.580385001="&amp;C467&amp;"&amp;entry.1376952895="&amp;A467)</f>
        <v>https://docs.google.com/forms/d/e/1FAIpQLSdhNamFeglgVtt555M7xM7e8ZAg9KCWMEcDlLzX1oeZsyGxrg/viewform?usp=pp_url&amp;entry.580385001=&amp;entry.1376952895=</v>
      </c>
    </row>
    <row r="468">
      <c r="A468" s="25"/>
      <c r="B468" s="25"/>
      <c r="C468" s="25"/>
      <c r="D468" s="105" t="str">
        <f>IF(COUNTIF('Form responses 4'!B:B,C468)&gt;0, "", "https://docs.google.com/forms/d/e/1FAIpQLSdhNamFeglgVtt555M7xM7e8ZAg9KCWMEcDlLzX1oeZsyGxrg/viewform?usp=pp_url&amp;entry.580385001="&amp;C468&amp;"&amp;entry.1376952895="&amp;A468)</f>
        <v>https://docs.google.com/forms/d/e/1FAIpQLSdhNamFeglgVtt555M7xM7e8ZAg9KCWMEcDlLzX1oeZsyGxrg/viewform?usp=pp_url&amp;entry.580385001=&amp;entry.1376952895=</v>
      </c>
    </row>
    <row r="469">
      <c r="A469" s="25"/>
      <c r="B469" s="25"/>
      <c r="C469" s="25"/>
      <c r="D469" s="105" t="str">
        <f>IF(COUNTIF('Form responses 4'!B:B,C469)&gt;0, "", "https://docs.google.com/forms/d/e/1FAIpQLSdhNamFeglgVtt555M7xM7e8ZAg9KCWMEcDlLzX1oeZsyGxrg/viewform?usp=pp_url&amp;entry.580385001="&amp;C469&amp;"&amp;entry.1376952895="&amp;A469)</f>
        <v>https://docs.google.com/forms/d/e/1FAIpQLSdhNamFeglgVtt555M7xM7e8ZAg9KCWMEcDlLzX1oeZsyGxrg/viewform?usp=pp_url&amp;entry.580385001=&amp;entry.1376952895=</v>
      </c>
    </row>
    <row r="470">
      <c r="A470" s="25"/>
      <c r="B470" s="25"/>
      <c r="C470" s="25"/>
      <c r="D470" s="105" t="str">
        <f>IF(COUNTIF('Form responses 4'!B:B,C470)&gt;0, "", "https://docs.google.com/forms/d/e/1FAIpQLSdhNamFeglgVtt555M7xM7e8ZAg9KCWMEcDlLzX1oeZsyGxrg/viewform?usp=pp_url&amp;entry.580385001="&amp;C470&amp;"&amp;entry.1376952895="&amp;A470)</f>
        <v>https://docs.google.com/forms/d/e/1FAIpQLSdhNamFeglgVtt555M7xM7e8ZAg9KCWMEcDlLzX1oeZsyGxrg/viewform?usp=pp_url&amp;entry.580385001=&amp;entry.1376952895=</v>
      </c>
    </row>
    <row r="471">
      <c r="A471" s="25"/>
      <c r="B471" s="25"/>
      <c r="C471" s="25"/>
      <c r="D471" s="105" t="str">
        <f>IF(COUNTIF('Form responses 4'!B:B,C471)&gt;0, "", "https://docs.google.com/forms/d/e/1FAIpQLSdhNamFeglgVtt555M7xM7e8ZAg9KCWMEcDlLzX1oeZsyGxrg/viewform?usp=pp_url&amp;entry.580385001="&amp;C471&amp;"&amp;entry.1376952895="&amp;A471)</f>
        <v>https://docs.google.com/forms/d/e/1FAIpQLSdhNamFeglgVtt555M7xM7e8ZAg9KCWMEcDlLzX1oeZsyGxrg/viewform?usp=pp_url&amp;entry.580385001=&amp;entry.1376952895=</v>
      </c>
    </row>
    <row r="472">
      <c r="A472" s="25"/>
      <c r="B472" s="25"/>
      <c r="C472" s="25"/>
      <c r="D472" s="105" t="str">
        <f>IF(COUNTIF('Form responses 4'!B:B,C472)&gt;0, "", "https://docs.google.com/forms/d/e/1FAIpQLSdhNamFeglgVtt555M7xM7e8ZAg9KCWMEcDlLzX1oeZsyGxrg/viewform?usp=pp_url&amp;entry.580385001="&amp;C472&amp;"&amp;entry.1376952895="&amp;A472)</f>
        <v>https://docs.google.com/forms/d/e/1FAIpQLSdhNamFeglgVtt555M7xM7e8ZAg9KCWMEcDlLzX1oeZsyGxrg/viewform?usp=pp_url&amp;entry.580385001=&amp;entry.1376952895=</v>
      </c>
    </row>
    <row r="473">
      <c r="A473" s="25"/>
      <c r="B473" s="25"/>
      <c r="C473" s="25"/>
      <c r="D473" s="105" t="str">
        <f>IF(COUNTIF('Form responses 4'!B:B,C473)&gt;0, "", "https://docs.google.com/forms/d/e/1FAIpQLSdhNamFeglgVtt555M7xM7e8ZAg9KCWMEcDlLzX1oeZsyGxrg/viewform?usp=pp_url&amp;entry.580385001="&amp;C473&amp;"&amp;entry.1376952895="&amp;A473)</f>
        <v>https://docs.google.com/forms/d/e/1FAIpQLSdhNamFeglgVtt555M7xM7e8ZAg9KCWMEcDlLzX1oeZsyGxrg/viewform?usp=pp_url&amp;entry.580385001=&amp;entry.1376952895=</v>
      </c>
    </row>
    <row r="474">
      <c r="A474" s="25"/>
      <c r="B474" s="25"/>
      <c r="C474" s="25"/>
      <c r="D474" s="105" t="str">
        <f>IF(COUNTIF('Form responses 4'!B:B,C474)&gt;0, "", "https://docs.google.com/forms/d/e/1FAIpQLSdhNamFeglgVtt555M7xM7e8ZAg9KCWMEcDlLzX1oeZsyGxrg/viewform?usp=pp_url&amp;entry.580385001="&amp;C474&amp;"&amp;entry.1376952895="&amp;A474)</f>
        <v>https://docs.google.com/forms/d/e/1FAIpQLSdhNamFeglgVtt555M7xM7e8ZAg9KCWMEcDlLzX1oeZsyGxrg/viewform?usp=pp_url&amp;entry.580385001=&amp;entry.1376952895=</v>
      </c>
    </row>
    <row r="475">
      <c r="A475" s="25"/>
      <c r="B475" s="25"/>
      <c r="C475" s="25"/>
      <c r="D475" s="105" t="str">
        <f>IF(COUNTIF('Form responses 4'!B:B,C475)&gt;0, "", "https://docs.google.com/forms/d/e/1FAIpQLSdhNamFeglgVtt555M7xM7e8ZAg9KCWMEcDlLzX1oeZsyGxrg/viewform?usp=pp_url&amp;entry.580385001="&amp;C475&amp;"&amp;entry.1376952895="&amp;A475)</f>
        <v>https://docs.google.com/forms/d/e/1FAIpQLSdhNamFeglgVtt555M7xM7e8ZAg9KCWMEcDlLzX1oeZsyGxrg/viewform?usp=pp_url&amp;entry.580385001=&amp;entry.1376952895=</v>
      </c>
    </row>
    <row r="476">
      <c r="A476" s="25"/>
      <c r="B476" s="25"/>
      <c r="C476" s="25"/>
      <c r="D476" s="105" t="str">
        <f>IF(COUNTIF('Form responses 4'!B:B,C476)&gt;0, "", "https://docs.google.com/forms/d/e/1FAIpQLSdhNamFeglgVtt555M7xM7e8ZAg9KCWMEcDlLzX1oeZsyGxrg/viewform?usp=pp_url&amp;entry.580385001="&amp;C476&amp;"&amp;entry.1376952895="&amp;A476)</f>
        <v>https://docs.google.com/forms/d/e/1FAIpQLSdhNamFeglgVtt555M7xM7e8ZAg9KCWMEcDlLzX1oeZsyGxrg/viewform?usp=pp_url&amp;entry.580385001=&amp;entry.1376952895=</v>
      </c>
    </row>
    <row r="477">
      <c r="A477" s="25"/>
      <c r="B477" s="25"/>
      <c r="C477" s="25"/>
      <c r="D477" s="105" t="str">
        <f>IF(COUNTIF('Form responses 4'!B:B,C477)&gt;0, "", "https://docs.google.com/forms/d/e/1FAIpQLSdhNamFeglgVtt555M7xM7e8ZAg9KCWMEcDlLzX1oeZsyGxrg/viewform?usp=pp_url&amp;entry.580385001="&amp;C477&amp;"&amp;entry.1376952895="&amp;A477)</f>
        <v>https://docs.google.com/forms/d/e/1FAIpQLSdhNamFeglgVtt555M7xM7e8ZAg9KCWMEcDlLzX1oeZsyGxrg/viewform?usp=pp_url&amp;entry.580385001=&amp;entry.1376952895=</v>
      </c>
    </row>
    <row r="478">
      <c r="A478" s="25"/>
      <c r="B478" s="25"/>
      <c r="C478" s="25"/>
      <c r="D478" s="105" t="str">
        <f>IF(COUNTIF('Form responses 4'!B:B,C478)&gt;0, "", "https://docs.google.com/forms/d/e/1FAIpQLSdhNamFeglgVtt555M7xM7e8ZAg9KCWMEcDlLzX1oeZsyGxrg/viewform?usp=pp_url&amp;entry.580385001="&amp;C478&amp;"&amp;entry.1376952895="&amp;A478)</f>
        <v>https://docs.google.com/forms/d/e/1FAIpQLSdhNamFeglgVtt555M7xM7e8ZAg9KCWMEcDlLzX1oeZsyGxrg/viewform?usp=pp_url&amp;entry.580385001=&amp;entry.1376952895=</v>
      </c>
    </row>
    <row r="479">
      <c r="A479" s="25"/>
      <c r="B479" s="25"/>
      <c r="C479" s="25"/>
      <c r="D479" s="105" t="str">
        <f>IF(COUNTIF('Form responses 4'!B:B,C479)&gt;0, "", "https://docs.google.com/forms/d/e/1FAIpQLSdhNamFeglgVtt555M7xM7e8ZAg9KCWMEcDlLzX1oeZsyGxrg/viewform?usp=pp_url&amp;entry.580385001="&amp;C479&amp;"&amp;entry.1376952895="&amp;A479)</f>
        <v>https://docs.google.com/forms/d/e/1FAIpQLSdhNamFeglgVtt555M7xM7e8ZAg9KCWMEcDlLzX1oeZsyGxrg/viewform?usp=pp_url&amp;entry.580385001=&amp;entry.1376952895=</v>
      </c>
    </row>
    <row r="480">
      <c r="A480" s="25"/>
      <c r="B480" s="25"/>
      <c r="C480" s="25"/>
      <c r="D480" s="105" t="str">
        <f>IF(COUNTIF('Form responses 4'!B:B,C480)&gt;0, "", "https://docs.google.com/forms/d/e/1FAIpQLSdhNamFeglgVtt555M7xM7e8ZAg9KCWMEcDlLzX1oeZsyGxrg/viewform?usp=pp_url&amp;entry.580385001="&amp;C480&amp;"&amp;entry.1376952895="&amp;A480)</f>
        <v>https://docs.google.com/forms/d/e/1FAIpQLSdhNamFeglgVtt555M7xM7e8ZAg9KCWMEcDlLzX1oeZsyGxrg/viewform?usp=pp_url&amp;entry.580385001=&amp;entry.1376952895=</v>
      </c>
    </row>
    <row r="481">
      <c r="A481" s="25"/>
      <c r="B481" s="25"/>
      <c r="C481" s="25"/>
      <c r="D481" s="105" t="str">
        <f>IF(COUNTIF('Form responses 4'!B:B,C481)&gt;0, "", "https://docs.google.com/forms/d/e/1FAIpQLSdhNamFeglgVtt555M7xM7e8ZAg9KCWMEcDlLzX1oeZsyGxrg/viewform?usp=pp_url&amp;entry.580385001="&amp;C481&amp;"&amp;entry.1376952895="&amp;A481)</f>
        <v>https://docs.google.com/forms/d/e/1FAIpQLSdhNamFeglgVtt555M7xM7e8ZAg9KCWMEcDlLzX1oeZsyGxrg/viewform?usp=pp_url&amp;entry.580385001=&amp;entry.1376952895=</v>
      </c>
    </row>
    <row r="482">
      <c r="A482" s="25"/>
      <c r="B482" s="25"/>
      <c r="C482" s="25"/>
      <c r="D482" s="105" t="str">
        <f>IF(COUNTIF('Form responses 4'!B:B,C482)&gt;0, "", "https://docs.google.com/forms/d/e/1FAIpQLSdhNamFeglgVtt555M7xM7e8ZAg9KCWMEcDlLzX1oeZsyGxrg/viewform?usp=pp_url&amp;entry.580385001="&amp;C482&amp;"&amp;entry.1376952895="&amp;A482)</f>
        <v>https://docs.google.com/forms/d/e/1FAIpQLSdhNamFeglgVtt555M7xM7e8ZAg9KCWMEcDlLzX1oeZsyGxrg/viewform?usp=pp_url&amp;entry.580385001=&amp;entry.1376952895=</v>
      </c>
    </row>
    <row r="483">
      <c r="A483" s="25"/>
      <c r="B483" s="25"/>
      <c r="C483" s="25"/>
      <c r="D483" s="105" t="str">
        <f>IF(COUNTIF('Form responses 4'!B:B,C483)&gt;0, "", "https://docs.google.com/forms/d/e/1FAIpQLSdhNamFeglgVtt555M7xM7e8ZAg9KCWMEcDlLzX1oeZsyGxrg/viewform?usp=pp_url&amp;entry.580385001="&amp;C483&amp;"&amp;entry.1376952895="&amp;A483)</f>
        <v>https://docs.google.com/forms/d/e/1FAIpQLSdhNamFeglgVtt555M7xM7e8ZAg9KCWMEcDlLzX1oeZsyGxrg/viewform?usp=pp_url&amp;entry.580385001=&amp;entry.1376952895=</v>
      </c>
    </row>
    <row r="484">
      <c r="A484" s="25"/>
      <c r="B484" s="25"/>
      <c r="C484" s="25"/>
      <c r="D484" s="105" t="str">
        <f>IF(COUNTIF('Form responses 4'!B:B,C484)&gt;0, "", "https://docs.google.com/forms/d/e/1FAIpQLSdhNamFeglgVtt555M7xM7e8ZAg9KCWMEcDlLzX1oeZsyGxrg/viewform?usp=pp_url&amp;entry.580385001="&amp;C484&amp;"&amp;entry.1376952895="&amp;A484)</f>
        <v>https://docs.google.com/forms/d/e/1FAIpQLSdhNamFeglgVtt555M7xM7e8ZAg9KCWMEcDlLzX1oeZsyGxrg/viewform?usp=pp_url&amp;entry.580385001=&amp;entry.1376952895=</v>
      </c>
    </row>
    <row r="485">
      <c r="A485" s="25"/>
      <c r="B485" s="25"/>
      <c r="C485" s="25"/>
      <c r="D485" s="105" t="str">
        <f>IF(COUNTIF('Form responses 4'!B:B,C485)&gt;0, "", "https://docs.google.com/forms/d/e/1FAIpQLSdhNamFeglgVtt555M7xM7e8ZAg9KCWMEcDlLzX1oeZsyGxrg/viewform?usp=pp_url&amp;entry.580385001="&amp;C485&amp;"&amp;entry.1376952895="&amp;A485)</f>
        <v>https://docs.google.com/forms/d/e/1FAIpQLSdhNamFeglgVtt555M7xM7e8ZAg9KCWMEcDlLzX1oeZsyGxrg/viewform?usp=pp_url&amp;entry.580385001=&amp;entry.1376952895=</v>
      </c>
    </row>
    <row r="486">
      <c r="A486" s="25"/>
      <c r="B486" s="25"/>
      <c r="C486" s="25"/>
      <c r="D486" s="105" t="str">
        <f>IF(COUNTIF('Form responses 4'!B:B,C486)&gt;0, "", "https://docs.google.com/forms/d/e/1FAIpQLSdhNamFeglgVtt555M7xM7e8ZAg9KCWMEcDlLzX1oeZsyGxrg/viewform?usp=pp_url&amp;entry.580385001="&amp;C486&amp;"&amp;entry.1376952895="&amp;A486)</f>
        <v>https://docs.google.com/forms/d/e/1FAIpQLSdhNamFeglgVtt555M7xM7e8ZAg9KCWMEcDlLzX1oeZsyGxrg/viewform?usp=pp_url&amp;entry.580385001=&amp;entry.1376952895=</v>
      </c>
    </row>
    <row r="487">
      <c r="A487" s="25"/>
      <c r="B487" s="25"/>
      <c r="C487" s="25"/>
      <c r="D487" s="105" t="str">
        <f>IF(COUNTIF('Form responses 4'!B:B,C487)&gt;0, "", "https://docs.google.com/forms/d/e/1FAIpQLSdhNamFeglgVtt555M7xM7e8ZAg9KCWMEcDlLzX1oeZsyGxrg/viewform?usp=pp_url&amp;entry.580385001="&amp;C487&amp;"&amp;entry.1376952895="&amp;A487)</f>
        <v>https://docs.google.com/forms/d/e/1FAIpQLSdhNamFeglgVtt555M7xM7e8ZAg9KCWMEcDlLzX1oeZsyGxrg/viewform?usp=pp_url&amp;entry.580385001=&amp;entry.1376952895=</v>
      </c>
    </row>
    <row r="488">
      <c r="A488" s="25"/>
      <c r="B488" s="25"/>
      <c r="C488" s="25"/>
      <c r="D488" s="105" t="str">
        <f>IF(COUNTIF('Form responses 4'!B:B,C488)&gt;0, "", "https://docs.google.com/forms/d/e/1FAIpQLSdhNamFeglgVtt555M7xM7e8ZAg9KCWMEcDlLzX1oeZsyGxrg/viewform?usp=pp_url&amp;entry.580385001="&amp;C488&amp;"&amp;entry.1376952895="&amp;A488)</f>
        <v>https://docs.google.com/forms/d/e/1FAIpQLSdhNamFeglgVtt555M7xM7e8ZAg9KCWMEcDlLzX1oeZsyGxrg/viewform?usp=pp_url&amp;entry.580385001=&amp;entry.1376952895=</v>
      </c>
    </row>
    <row r="489">
      <c r="A489" s="25"/>
      <c r="B489" s="25"/>
      <c r="C489" s="25"/>
      <c r="D489" s="105" t="str">
        <f>IF(COUNTIF('Form responses 4'!B:B,C489)&gt;0, "", "https://docs.google.com/forms/d/e/1FAIpQLSdhNamFeglgVtt555M7xM7e8ZAg9KCWMEcDlLzX1oeZsyGxrg/viewform?usp=pp_url&amp;entry.580385001="&amp;C489&amp;"&amp;entry.1376952895="&amp;A489)</f>
        <v>https://docs.google.com/forms/d/e/1FAIpQLSdhNamFeglgVtt555M7xM7e8ZAg9KCWMEcDlLzX1oeZsyGxrg/viewform?usp=pp_url&amp;entry.580385001=&amp;entry.1376952895=</v>
      </c>
    </row>
    <row r="490">
      <c r="A490" s="25"/>
      <c r="B490" s="25"/>
      <c r="C490" s="25"/>
      <c r="D490" s="105" t="str">
        <f>IF(COUNTIF('Form responses 4'!B:B,C490)&gt;0, "", "https://docs.google.com/forms/d/e/1FAIpQLSdhNamFeglgVtt555M7xM7e8ZAg9KCWMEcDlLzX1oeZsyGxrg/viewform?usp=pp_url&amp;entry.580385001="&amp;C490&amp;"&amp;entry.1376952895="&amp;A490)</f>
        <v>https://docs.google.com/forms/d/e/1FAIpQLSdhNamFeglgVtt555M7xM7e8ZAg9KCWMEcDlLzX1oeZsyGxrg/viewform?usp=pp_url&amp;entry.580385001=&amp;entry.1376952895=</v>
      </c>
    </row>
    <row r="491">
      <c r="A491" s="25"/>
      <c r="B491" s="25"/>
      <c r="C491" s="25"/>
      <c r="D491" s="105" t="str">
        <f>IF(COUNTIF('Form responses 4'!B:B,C491)&gt;0, "", "https://docs.google.com/forms/d/e/1FAIpQLSdhNamFeglgVtt555M7xM7e8ZAg9KCWMEcDlLzX1oeZsyGxrg/viewform?usp=pp_url&amp;entry.580385001="&amp;C491&amp;"&amp;entry.1376952895="&amp;A491)</f>
        <v>https://docs.google.com/forms/d/e/1FAIpQLSdhNamFeglgVtt555M7xM7e8ZAg9KCWMEcDlLzX1oeZsyGxrg/viewform?usp=pp_url&amp;entry.580385001=&amp;entry.1376952895=</v>
      </c>
    </row>
    <row r="492">
      <c r="A492" s="25"/>
      <c r="B492" s="25"/>
      <c r="C492" s="25"/>
      <c r="D492" s="105" t="str">
        <f>IF(COUNTIF('Form responses 4'!B:B,C492)&gt;0, "", "https://docs.google.com/forms/d/e/1FAIpQLSdhNamFeglgVtt555M7xM7e8ZAg9KCWMEcDlLzX1oeZsyGxrg/viewform?usp=pp_url&amp;entry.580385001="&amp;C492&amp;"&amp;entry.1376952895="&amp;A492)</f>
        <v>https://docs.google.com/forms/d/e/1FAIpQLSdhNamFeglgVtt555M7xM7e8ZAg9KCWMEcDlLzX1oeZsyGxrg/viewform?usp=pp_url&amp;entry.580385001=&amp;entry.1376952895=</v>
      </c>
    </row>
    <row r="493">
      <c r="A493" s="25"/>
      <c r="B493" s="25"/>
      <c r="C493" s="25"/>
      <c r="D493" s="105" t="str">
        <f>IF(COUNTIF('Form responses 4'!B:B,C493)&gt;0, "", "https://docs.google.com/forms/d/e/1FAIpQLSdhNamFeglgVtt555M7xM7e8ZAg9KCWMEcDlLzX1oeZsyGxrg/viewform?usp=pp_url&amp;entry.580385001="&amp;C493&amp;"&amp;entry.1376952895="&amp;A493)</f>
        <v>https://docs.google.com/forms/d/e/1FAIpQLSdhNamFeglgVtt555M7xM7e8ZAg9KCWMEcDlLzX1oeZsyGxrg/viewform?usp=pp_url&amp;entry.580385001=&amp;entry.1376952895=</v>
      </c>
    </row>
    <row r="494">
      <c r="A494" s="25"/>
      <c r="B494" s="25"/>
      <c r="C494" s="25"/>
      <c r="D494" s="105" t="str">
        <f>IF(COUNTIF('Form responses 4'!B:B,C494)&gt;0, "", "https://docs.google.com/forms/d/e/1FAIpQLSdhNamFeglgVtt555M7xM7e8ZAg9KCWMEcDlLzX1oeZsyGxrg/viewform?usp=pp_url&amp;entry.580385001="&amp;C494&amp;"&amp;entry.1376952895="&amp;A494)</f>
        <v>https://docs.google.com/forms/d/e/1FAIpQLSdhNamFeglgVtt555M7xM7e8ZAg9KCWMEcDlLzX1oeZsyGxrg/viewform?usp=pp_url&amp;entry.580385001=&amp;entry.1376952895=</v>
      </c>
    </row>
    <row r="495">
      <c r="A495" s="25"/>
      <c r="B495" s="25"/>
      <c r="C495" s="25"/>
      <c r="D495" s="105" t="str">
        <f>IF(COUNTIF('Form responses 4'!B:B,C495)&gt;0, "", "https://docs.google.com/forms/d/e/1FAIpQLSdhNamFeglgVtt555M7xM7e8ZAg9KCWMEcDlLzX1oeZsyGxrg/viewform?usp=pp_url&amp;entry.580385001="&amp;C495&amp;"&amp;entry.1376952895="&amp;A495)</f>
        <v>https://docs.google.com/forms/d/e/1FAIpQLSdhNamFeglgVtt555M7xM7e8ZAg9KCWMEcDlLzX1oeZsyGxrg/viewform?usp=pp_url&amp;entry.580385001=&amp;entry.1376952895=</v>
      </c>
    </row>
    <row r="496">
      <c r="A496" s="25"/>
      <c r="B496" s="25"/>
      <c r="C496" s="25"/>
      <c r="D496" s="105" t="str">
        <f>IF(COUNTIF('Form responses 4'!B:B,C496)&gt;0, "", "https://docs.google.com/forms/d/e/1FAIpQLSdhNamFeglgVtt555M7xM7e8ZAg9KCWMEcDlLzX1oeZsyGxrg/viewform?usp=pp_url&amp;entry.580385001="&amp;C496&amp;"&amp;entry.1376952895="&amp;A496)</f>
        <v>https://docs.google.com/forms/d/e/1FAIpQLSdhNamFeglgVtt555M7xM7e8ZAg9KCWMEcDlLzX1oeZsyGxrg/viewform?usp=pp_url&amp;entry.580385001=&amp;entry.1376952895=</v>
      </c>
    </row>
    <row r="497">
      <c r="A497" s="25"/>
      <c r="B497" s="25"/>
      <c r="C497" s="25"/>
      <c r="D497" s="105" t="str">
        <f>IF(COUNTIF('Form responses 4'!B:B,C497)&gt;0, "", "https://docs.google.com/forms/d/e/1FAIpQLSdhNamFeglgVtt555M7xM7e8ZAg9KCWMEcDlLzX1oeZsyGxrg/viewform?usp=pp_url&amp;entry.580385001="&amp;C497&amp;"&amp;entry.1376952895="&amp;A497)</f>
        <v>https://docs.google.com/forms/d/e/1FAIpQLSdhNamFeglgVtt555M7xM7e8ZAg9KCWMEcDlLzX1oeZsyGxrg/viewform?usp=pp_url&amp;entry.580385001=&amp;entry.1376952895=</v>
      </c>
    </row>
    <row r="498">
      <c r="A498" s="25"/>
      <c r="B498" s="25"/>
      <c r="C498" s="25"/>
      <c r="D498" s="105" t="str">
        <f>IF(COUNTIF('Form responses 4'!B:B,C498)&gt;0, "", "https://docs.google.com/forms/d/e/1FAIpQLSdhNamFeglgVtt555M7xM7e8ZAg9KCWMEcDlLzX1oeZsyGxrg/viewform?usp=pp_url&amp;entry.580385001="&amp;C498&amp;"&amp;entry.1376952895="&amp;A498)</f>
        <v>https://docs.google.com/forms/d/e/1FAIpQLSdhNamFeglgVtt555M7xM7e8ZAg9KCWMEcDlLzX1oeZsyGxrg/viewform?usp=pp_url&amp;entry.580385001=&amp;entry.1376952895=</v>
      </c>
    </row>
    <row r="499">
      <c r="A499" s="25"/>
      <c r="B499" s="25"/>
      <c r="C499" s="25"/>
      <c r="D499" s="105" t="str">
        <f>IF(COUNTIF('Form responses 4'!B:B,C499)&gt;0, "", "https://docs.google.com/forms/d/e/1FAIpQLSdhNamFeglgVtt555M7xM7e8ZAg9KCWMEcDlLzX1oeZsyGxrg/viewform?usp=pp_url&amp;entry.580385001="&amp;C499&amp;"&amp;entry.1376952895="&amp;A499)</f>
        <v>https://docs.google.com/forms/d/e/1FAIpQLSdhNamFeglgVtt555M7xM7e8ZAg9KCWMEcDlLzX1oeZsyGxrg/viewform?usp=pp_url&amp;entry.580385001=&amp;entry.1376952895=</v>
      </c>
    </row>
    <row r="500">
      <c r="A500" s="25"/>
      <c r="B500" s="25"/>
      <c r="C500" s="25"/>
      <c r="D500" s="105" t="str">
        <f>IF(COUNTIF('Form responses 4'!B:B,C500)&gt;0, "", "https://docs.google.com/forms/d/e/1FAIpQLSdhNamFeglgVtt555M7xM7e8ZAg9KCWMEcDlLzX1oeZsyGxrg/viewform?usp=pp_url&amp;entry.580385001="&amp;C500&amp;"&amp;entry.1376952895="&amp;A500)</f>
        <v>https://docs.google.com/forms/d/e/1FAIpQLSdhNamFeglgVtt555M7xM7e8ZAg9KCWMEcDlLzX1oeZsyGxrg/viewform?usp=pp_url&amp;entry.580385001=&amp;entry.1376952895=</v>
      </c>
    </row>
    <row r="501">
      <c r="A501" s="25"/>
      <c r="B501" s="25"/>
      <c r="C501" s="25"/>
      <c r="D501" s="105" t="str">
        <f>IF(COUNTIF('Form responses 4'!B:B,C501)&gt;0, "", "https://docs.google.com/forms/d/e/1FAIpQLSdhNamFeglgVtt555M7xM7e8ZAg9KCWMEcDlLzX1oeZsyGxrg/viewform?usp=pp_url&amp;entry.580385001="&amp;C501&amp;"&amp;entry.1376952895="&amp;A501)</f>
        <v>https://docs.google.com/forms/d/e/1FAIpQLSdhNamFeglgVtt555M7xM7e8ZAg9KCWMEcDlLzX1oeZsyGxrg/viewform?usp=pp_url&amp;entry.580385001=&amp;entry.1376952895=</v>
      </c>
    </row>
    <row r="502">
      <c r="A502" s="25"/>
      <c r="B502" s="25"/>
      <c r="C502" s="25"/>
      <c r="D502" s="105" t="str">
        <f>IF(COUNTIF('Form responses 4'!B:B,C502)&gt;0, "", "https://docs.google.com/forms/d/e/1FAIpQLSdhNamFeglgVtt555M7xM7e8ZAg9KCWMEcDlLzX1oeZsyGxrg/viewform?usp=pp_url&amp;entry.580385001="&amp;C502&amp;"&amp;entry.1376952895="&amp;A502)</f>
        <v>https://docs.google.com/forms/d/e/1FAIpQLSdhNamFeglgVtt555M7xM7e8ZAg9KCWMEcDlLzX1oeZsyGxrg/viewform?usp=pp_url&amp;entry.580385001=&amp;entry.1376952895=</v>
      </c>
    </row>
    <row r="503">
      <c r="A503" s="25"/>
      <c r="B503" s="25"/>
      <c r="C503" s="25"/>
      <c r="D503" s="105" t="str">
        <f>IF(COUNTIF('Form responses 4'!B:B,C503)&gt;0, "", "https://docs.google.com/forms/d/e/1FAIpQLSdhNamFeglgVtt555M7xM7e8ZAg9KCWMEcDlLzX1oeZsyGxrg/viewform?usp=pp_url&amp;entry.580385001="&amp;C503&amp;"&amp;entry.1376952895="&amp;A503)</f>
        <v>https://docs.google.com/forms/d/e/1FAIpQLSdhNamFeglgVtt555M7xM7e8ZAg9KCWMEcDlLzX1oeZsyGxrg/viewform?usp=pp_url&amp;entry.580385001=&amp;entry.1376952895=</v>
      </c>
    </row>
    <row r="504">
      <c r="A504" s="25"/>
      <c r="B504" s="25"/>
      <c r="C504" s="25"/>
      <c r="D504" s="105" t="str">
        <f>IF(COUNTIF('Form responses 4'!B:B,C504)&gt;0, "", "https://docs.google.com/forms/d/e/1FAIpQLSdhNamFeglgVtt555M7xM7e8ZAg9KCWMEcDlLzX1oeZsyGxrg/viewform?usp=pp_url&amp;entry.580385001="&amp;C504&amp;"&amp;entry.1376952895="&amp;A504)</f>
        <v>https://docs.google.com/forms/d/e/1FAIpQLSdhNamFeglgVtt555M7xM7e8ZAg9KCWMEcDlLzX1oeZsyGxrg/viewform?usp=pp_url&amp;entry.580385001=&amp;entry.1376952895=</v>
      </c>
    </row>
    <row r="505">
      <c r="A505" s="25"/>
      <c r="B505" s="25"/>
      <c r="C505" s="25"/>
      <c r="D505" s="105" t="str">
        <f>IF(COUNTIF('Form responses 4'!B:B,C505)&gt;0, "", "https://docs.google.com/forms/d/e/1FAIpQLSdhNamFeglgVtt555M7xM7e8ZAg9KCWMEcDlLzX1oeZsyGxrg/viewform?usp=pp_url&amp;entry.580385001="&amp;C505&amp;"&amp;entry.1376952895="&amp;A505)</f>
        <v>https://docs.google.com/forms/d/e/1FAIpQLSdhNamFeglgVtt555M7xM7e8ZAg9KCWMEcDlLzX1oeZsyGxrg/viewform?usp=pp_url&amp;entry.580385001=&amp;entry.1376952895=</v>
      </c>
    </row>
    <row r="506">
      <c r="A506" s="25"/>
      <c r="B506" s="25"/>
      <c r="C506" s="25"/>
      <c r="D506" s="105" t="str">
        <f>IF(COUNTIF('Form responses 4'!B:B,C506)&gt;0, "", "https://docs.google.com/forms/d/e/1FAIpQLSdhNamFeglgVtt555M7xM7e8ZAg9KCWMEcDlLzX1oeZsyGxrg/viewform?usp=pp_url&amp;entry.580385001="&amp;C506&amp;"&amp;entry.1376952895="&amp;A506)</f>
        <v>https://docs.google.com/forms/d/e/1FAIpQLSdhNamFeglgVtt555M7xM7e8ZAg9KCWMEcDlLzX1oeZsyGxrg/viewform?usp=pp_url&amp;entry.580385001=&amp;entry.1376952895=</v>
      </c>
    </row>
    <row r="507">
      <c r="A507" s="25"/>
      <c r="B507" s="25"/>
      <c r="C507" s="25"/>
      <c r="D507" s="105" t="str">
        <f>IF(COUNTIF('Form responses 4'!B:B,C507)&gt;0, "", "https://docs.google.com/forms/d/e/1FAIpQLSdhNamFeglgVtt555M7xM7e8ZAg9KCWMEcDlLzX1oeZsyGxrg/viewform?usp=pp_url&amp;entry.580385001="&amp;C507&amp;"&amp;entry.1376952895="&amp;A507)</f>
        <v>https://docs.google.com/forms/d/e/1FAIpQLSdhNamFeglgVtt555M7xM7e8ZAg9KCWMEcDlLzX1oeZsyGxrg/viewform?usp=pp_url&amp;entry.580385001=&amp;entry.1376952895=</v>
      </c>
    </row>
    <row r="508">
      <c r="A508" s="25"/>
      <c r="B508" s="25"/>
      <c r="C508" s="25"/>
      <c r="D508" s="105" t="str">
        <f>IF(COUNTIF('Form responses 4'!B:B,C508)&gt;0, "", "https://docs.google.com/forms/d/e/1FAIpQLSdhNamFeglgVtt555M7xM7e8ZAg9KCWMEcDlLzX1oeZsyGxrg/viewform?usp=pp_url&amp;entry.580385001="&amp;C508&amp;"&amp;entry.1376952895="&amp;A508)</f>
        <v>https://docs.google.com/forms/d/e/1FAIpQLSdhNamFeglgVtt555M7xM7e8ZAg9KCWMEcDlLzX1oeZsyGxrg/viewform?usp=pp_url&amp;entry.580385001=&amp;entry.1376952895=</v>
      </c>
    </row>
    <row r="509">
      <c r="A509" s="25"/>
      <c r="B509" s="25"/>
      <c r="C509" s="25"/>
      <c r="D509" s="105" t="str">
        <f>IF(COUNTIF('Form responses 4'!B:B,C509)&gt;0, "", "https://docs.google.com/forms/d/e/1FAIpQLSdhNamFeglgVtt555M7xM7e8ZAg9KCWMEcDlLzX1oeZsyGxrg/viewform?usp=pp_url&amp;entry.580385001="&amp;C509&amp;"&amp;entry.1376952895="&amp;A509)</f>
        <v>https://docs.google.com/forms/d/e/1FAIpQLSdhNamFeglgVtt555M7xM7e8ZAg9KCWMEcDlLzX1oeZsyGxrg/viewform?usp=pp_url&amp;entry.580385001=&amp;entry.1376952895=</v>
      </c>
    </row>
    <row r="510">
      <c r="A510" s="25"/>
      <c r="B510" s="25"/>
      <c r="C510" s="25"/>
      <c r="D510" s="105" t="str">
        <f>IF(COUNTIF('Form responses 4'!B:B,C510)&gt;0, "", "https://docs.google.com/forms/d/e/1FAIpQLSdhNamFeglgVtt555M7xM7e8ZAg9KCWMEcDlLzX1oeZsyGxrg/viewform?usp=pp_url&amp;entry.580385001="&amp;C510&amp;"&amp;entry.1376952895="&amp;A510)</f>
        <v>https://docs.google.com/forms/d/e/1FAIpQLSdhNamFeglgVtt555M7xM7e8ZAg9KCWMEcDlLzX1oeZsyGxrg/viewform?usp=pp_url&amp;entry.580385001=&amp;entry.1376952895=</v>
      </c>
    </row>
    <row r="511">
      <c r="A511" s="25"/>
      <c r="B511" s="25"/>
      <c r="C511" s="25"/>
      <c r="D511" s="105" t="str">
        <f>IF(COUNTIF('Form responses 4'!B:B,C511)&gt;0, "", "https://docs.google.com/forms/d/e/1FAIpQLSdhNamFeglgVtt555M7xM7e8ZAg9KCWMEcDlLzX1oeZsyGxrg/viewform?usp=pp_url&amp;entry.580385001="&amp;C511&amp;"&amp;entry.1376952895="&amp;A511)</f>
        <v>https://docs.google.com/forms/d/e/1FAIpQLSdhNamFeglgVtt555M7xM7e8ZAg9KCWMEcDlLzX1oeZsyGxrg/viewform?usp=pp_url&amp;entry.580385001=&amp;entry.1376952895=</v>
      </c>
    </row>
    <row r="512">
      <c r="A512" s="25"/>
      <c r="B512" s="25"/>
      <c r="C512" s="25"/>
      <c r="D512" s="105" t="str">
        <f>IF(COUNTIF('Form responses 4'!B:B,C512)&gt;0, "", "https://docs.google.com/forms/d/e/1FAIpQLSdhNamFeglgVtt555M7xM7e8ZAg9KCWMEcDlLzX1oeZsyGxrg/viewform?usp=pp_url&amp;entry.580385001="&amp;C512&amp;"&amp;entry.1376952895="&amp;A512)</f>
        <v>https://docs.google.com/forms/d/e/1FAIpQLSdhNamFeglgVtt555M7xM7e8ZAg9KCWMEcDlLzX1oeZsyGxrg/viewform?usp=pp_url&amp;entry.580385001=&amp;entry.1376952895=</v>
      </c>
    </row>
    <row r="513">
      <c r="A513" s="25"/>
      <c r="B513" s="25"/>
      <c r="C513" s="25"/>
      <c r="D513" s="105" t="str">
        <f>IF(COUNTIF('Form responses 4'!B:B,C513)&gt;0, "", "https://docs.google.com/forms/d/e/1FAIpQLSdhNamFeglgVtt555M7xM7e8ZAg9KCWMEcDlLzX1oeZsyGxrg/viewform?usp=pp_url&amp;entry.580385001="&amp;C513&amp;"&amp;entry.1376952895="&amp;A513)</f>
        <v>https://docs.google.com/forms/d/e/1FAIpQLSdhNamFeglgVtt555M7xM7e8ZAg9KCWMEcDlLzX1oeZsyGxrg/viewform?usp=pp_url&amp;entry.580385001=&amp;entry.1376952895=</v>
      </c>
    </row>
    <row r="514">
      <c r="A514" s="25"/>
      <c r="B514" s="25"/>
      <c r="C514" s="25"/>
      <c r="D514" s="105" t="str">
        <f>IF(COUNTIF('Form responses 4'!B:B,C514)&gt;0, "", "https://docs.google.com/forms/d/e/1FAIpQLSdhNamFeglgVtt555M7xM7e8ZAg9KCWMEcDlLzX1oeZsyGxrg/viewform?usp=pp_url&amp;entry.580385001="&amp;C514&amp;"&amp;entry.1376952895="&amp;A514)</f>
        <v>https://docs.google.com/forms/d/e/1FAIpQLSdhNamFeglgVtt555M7xM7e8ZAg9KCWMEcDlLzX1oeZsyGxrg/viewform?usp=pp_url&amp;entry.580385001=&amp;entry.1376952895=</v>
      </c>
    </row>
    <row r="515">
      <c r="A515" s="25"/>
      <c r="B515" s="25"/>
      <c r="C515" s="25"/>
      <c r="D515" s="105" t="str">
        <f>IF(COUNTIF('Form responses 4'!B:B,C515)&gt;0, "", "https://docs.google.com/forms/d/e/1FAIpQLSdhNamFeglgVtt555M7xM7e8ZAg9KCWMEcDlLzX1oeZsyGxrg/viewform?usp=pp_url&amp;entry.580385001="&amp;C515&amp;"&amp;entry.1376952895="&amp;A515)</f>
        <v>https://docs.google.com/forms/d/e/1FAIpQLSdhNamFeglgVtt555M7xM7e8ZAg9KCWMEcDlLzX1oeZsyGxrg/viewform?usp=pp_url&amp;entry.580385001=&amp;entry.1376952895=</v>
      </c>
    </row>
    <row r="516">
      <c r="A516" s="25"/>
      <c r="B516" s="25"/>
      <c r="C516" s="25"/>
      <c r="D516" s="105" t="str">
        <f>IF(COUNTIF('Form responses 4'!B:B,C516)&gt;0, "", "https://docs.google.com/forms/d/e/1FAIpQLSdhNamFeglgVtt555M7xM7e8ZAg9KCWMEcDlLzX1oeZsyGxrg/viewform?usp=pp_url&amp;entry.580385001="&amp;C516&amp;"&amp;entry.1376952895="&amp;A516)</f>
        <v>https://docs.google.com/forms/d/e/1FAIpQLSdhNamFeglgVtt555M7xM7e8ZAg9KCWMEcDlLzX1oeZsyGxrg/viewform?usp=pp_url&amp;entry.580385001=&amp;entry.1376952895=</v>
      </c>
    </row>
    <row r="517">
      <c r="A517" s="25"/>
      <c r="B517" s="25"/>
      <c r="C517" s="25"/>
      <c r="D517" s="105" t="str">
        <f>IF(COUNTIF('Form responses 4'!B:B,C517)&gt;0, "", "https://docs.google.com/forms/d/e/1FAIpQLSdhNamFeglgVtt555M7xM7e8ZAg9KCWMEcDlLzX1oeZsyGxrg/viewform?usp=pp_url&amp;entry.580385001="&amp;C517&amp;"&amp;entry.1376952895="&amp;A517)</f>
        <v>https://docs.google.com/forms/d/e/1FAIpQLSdhNamFeglgVtt555M7xM7e8ZAg9KCWMEcDlLzX1oeZsyGxrg/viewform?usp=pp_url&amp;entry.580385001=&amp;entry.1376952895=</v>
      </c>
    </row>
    <row r="518">
      <c r="A518" s="25"/>
      <c r="B518" s="25"/>
      <c r="C518" s="25"/>
      <c r="D518" s="105" t="str">
        <f>IF(COUNTIF('Form responses 4'!B:B,C518)&gt;0, "", "https://docs.google.com/forms/d/e/1FAIpQLSdhNamFeglgVtt555M7xM7e8ZAg9KCWMEcDlLzX1oeZsyGxrg/viewform?usp=pp_url&amp;entry.580385001="&amp;C518&amp;"&amp;entry.1376952895="&amp;A518)</f>
        <v>https://docs.google.com/forms/d/e/1FAIpQLSdhNamFeglgVtt555M7xM7e8ZAg9KCWMEcDlLzX1oeZsyGxrg/viewform?usp=pp_url&amp;entry.580385001=&amp;entry.1376952895=</v>
      </c>
    </row>
    <row r="519">
      <c r="A519" s="25"/>
      <c r="B519" s="25"/>
      <c r="C519" s="25"/>
      <c r="D519" s="105" t="str">
        <f>IF(COUNTIF('Form responses 4'!B:B,C519)&gt;0, "", "https://docs.google.com/forms/d/e/1FAIpQLSdhNamFeglgVtt555M7xM7e8ZAg9KCWMEcDlLzX1oeZsyGxrg/viewform?usp=pp_url&amp;entry.580385001="&amp;C519&amp;"&amp;entry.1376952895="&amp;A519)</f>
        <v>https://docs.google.com/forms/d/e/1FAIpQLSdhNamFeglgVtt555M7xM7e8ZAg9KCWMEcDlLzX1oeZsyGxrg/viewform?usp=pp_url&amp;entry.580385001=&amp;entry.1376952895=</v>
      </c>
    </row>
    <row r="520">
      <c r="A520" s="25"/>
      <c r="B520" s="25"/>
      <c r="C520" s="25"/>
      <c r="D520" s="105" t="str">
        <f>IF(COUNTIF('Form responses 4'!B:B,C520)&gt;0, "", "https://docs.google.com/forms/d/e/1FAIpQLSdhNamFeglgVtt555M7xM7e8ZAg9KCWMEcDlLzX1oeZsyGxrg/viewform?usp=pp_url&amp;entry.580385001="&amp;C520&amp;"&amp;entry.1376952895="&amp;A520)</f>
        <v>https://docs.google.com/forms/d/e/1FAIpQLSdhNamFeglgVtt555M7xM7e8ZAg9KCWMEcDlLzX1oeZsyGxrg/viewform?usp=pp_url&amp;entry.580385001=&amp;entry.1376952895=</v>
      </c>
    </row>
    <row r="521">
      <c r="A521" s="25"/>
      <c r="B521" s="25"/>
      <c r="C521" s="25"/>
      <c r="D521" s="105" t="str">
        <f>IF(COUNTIF('Form responses 4'!B:B,C521)&gt;0, "", "https://docs.google.com/forms/d/e/1FAIpQLSdhNamFeglgVtt555M7xM7e8ZAg9KCWMEcDlLzX1oeZsyGxrg/viewform?usp=pp_url&amp;entry.580385001="&amp;C521&amp;"&amp;entry.1376952895="&amp;A521)</f>
        <v>https://docs.google.com/forms/d/e/1FAIpQLSdhNamFeglgVtt555M7xM7e8ZAg9KCWMEcDlLzX1oeZsyGxrg/viewform?usp=pp_url&amp;entry.580385001=&amp;entry.1376952895=</v>
      </c>
    </row>
    <row r="522">
      <c r="A522" s="25"/>
      <c r="B522" s="25"/>
      <c r="C522" s="25"/>
      <c r="D522" s="105" t="str">
        <f>IF(COUNTIF('Form responses 4'!B:B,C522)&gt;0, "", "https://docs.google.com/forms/d/e/1FAIpQLSdhNamFeglgVtt555M7xM7e8ZAg9KCWMEcDlLzX1oeZsyGxrg/viewform?usp=pp_url&amp;entry.580385001="&amp;C522&amp;"&amp;entry.1376952895="&amp;A522)</f>
        <v>https://docs.google.com/forms/d/e/1FAIpQLSdhNamFeglgVtt555M7xM7e8ZAg9KCWMEcDlLzX1oeZsyGxrg/viewform?usp=pp_url&amp;entry.580385001=&amp;entry.1376952895=</v>
      </c>
    </row>
    <row r="523">
      <c r="A523" s="25"/>
      <c r="B523" s="25"/>
      <c r="C523" s="25"/>
      <c r="D523" s="105" t="str">
        <f>IF(COUNTIF('Form responses 4'!B:B,C523)&gt;0, "", "https://docs.google.com/forms/d/e/1FAIpQLSdhNamFeglgVtt555M7xM7e8ZAg9KCWMEcDlLzX1oeZsyGxrg/viewform?usp=pp_url&amp;entry.580385001="&amp;C523&amp;"&amp;entry.1376952895="&amp;A523)</f>
        <v>https://docs.google.com/forms/d/e/1FAIpQLSdhNamFeglgVtt555M7xM7e8ZAg9KCWMEcDlLzX1oeZsyGxrg/viewform?usp=pp_url&amp;entry.580385001=&amp;entry.1376952895=</v>
      </c>
    </row>
    <row r="524">
      <c r="A524" s="25"/>
      <c r="B524" s="25"/>
      <c r="C524" s="25"/>
      <c r="D524" s="105" t="str">
        <f>IF(COUNTIF('Form responses 4'!B:B,C524)&gt;0, "", "https://docs.google.com/forms/d/e/1FAIpQLSdhNamFeglgVtt555M7xM7e8ZAg9KCWMEcDlLzX1oeZsyGxrg/viewform?usp=pp_url&amp;entry.580385001="&amp;C524&amp;"&amp;entry.1376952895="&amp;A524)</f>
        <v>https://docs.google.com/forms/d/e/1FAIpQLSdhNamFeglgVtt555M7xM7e8ZAg9KCWMEcDlLzX1oeZsyGxrg/viewform?usp=pp_url&amp;entry.580385001=&amp;entry.1376952895=</v>
      </c>
    </row>
    <row r="525">
      <c r="A525" s="25"/>
      <c r="B525" s="25"/>
      <c r="C525" s="25"/>
      <c r="D525" s="105" t="str">
        <f>IF(COUNTIF('Form responses 4'!B:B,C525)&gt;0, "", "https://docs.google.com/forms/d/e/1FAIpQLSdhNamFeglgVtt555M7xM7e8ZAg9KCWMEcDlLzX1oeZsyGxrg/viewform?usp=pp_url&amp;entry.580385001="&amp;C525&amp;"&amp;entry.1376952895="&amp;A525)</f>
        <v>https://docs.google.com/forms/d/e/1FAIpQLSdhNamFeglgVtt555M7xM7e8ZAg9KCWMEcDlLzX1oeZsyGxrg/viewform?usp=pp_url&amp;entry.580385001=&amp;entry.1376952895=</v>
      </c>
    </row>
    <row r="526">
      <c r="A526" s="25"/>
      <c r="B526" s="25"/>
      <c r="C526" s="25"/>
      <c r="D526" s="105" t="str">
        <f>IF(COUNTIF('Form responses 4'!B:B,C526)&gt;0, "", "https://docs.google.com/forms/d/e/1FAIpQLSdhNamFeglgVtt555M7xM7e8ZAg9KCWMEcDlLzX1oeZsyGxrg/viewform?usp=pp_url&amp;entry.580385001="&amp;C526&amp;"&amp;entry.1376952895="&amp;A526)</f>
        <v>https://docs.google.com/forms/d/e/1FAIpQLSdhNamFeglgVtt555M7xM7e8ZAg9KCWMEcDlLzX1oeZsyGxrg/viewform?usp=pp_url&amp;entry.580385001=&amp;entry.1376952895=</v>
      </c>
    </row>
    <row r="527">
      <c r="A527" s="25"/>
      <c r="B527" s="25"/>
      <c r="C527" s="25"/>
      <c r="D527" s="105" t="str">
        <f>IF(COUNTIF('Form responses 4'!B:B,C527)&gt;0, "", "https://docs.google.com/forms/d/e/1FAIpQLSdhNamFeglgVtt555M7xM7e8ZAg9KCWMEcDlLzX1oeZsyGxrg/viewform?usp=pp_url&amp;entry.580385001="&amp;C527&amp;"&amp;entry.1376952895="&amp;A527)</f>
        <v>https://docs.google.com/forms/d/e/1FAIpQLSdhNamFeglgVtt555M7xM7e8ZAg9KCWMEcDlLzX1oeZsyGxrg/viewform?usp=pp_url&amp;entry.580385001=&amp;entry.1376952895=</v>
      </c>
    </row>
    <row r="528">
      <c r="A528" s="25"/>
      <c r="B528" s="25"/>
      <c r="C528" s="25"/>
      <c r="D528" s="105" t="str">
        <f>IF(COUNTIF('Form responses 4'!B:B,C528)&gt;0, "", "https://docs.google.com/forms/d/e/1FAIpQLSdhNamFeglgVtt555M7xM7e8ZAg9KCWMEcDlLzX1oeZsyGxrg/viewform?usp=pp_url&amp;entry.580385001="&amp;C528&amp;"&amp;entry.1376952895="&amp;A528)</f>
        <v>https://docs.google.com/forms/d/e/1FAIpQLSdhNamFeglgVtt555M7xM7e8ZAg9KCWMEcDlLzX1oeZsyGxrg/viewform?usp=pp_url&amp;entry.580385001=&amp;entry.1376952895=</v>
      </c>
    </row>
    <row r="529">
      <c r="A529" s="25"/>
      <c r="B529" s="25"/>
      <c r="C529" s="25"/>
      <c r="D529" s="105" t="str">
        <f>IF(COUNTIF('Form responses 4'!B:B,C529)&gt;0, "", "https://docs.google.com/forms/d/e/1FAIpQLSdhNamFeglgVtt555M7xM7e8ZAg9KCWMEcDlLzX1oeZsyGxrg/viewform?usp=pp_url&amp;entry.580385001="&amp;C529&amp;"&amp;entry.1376952895="&amp;A529)</f>
        <v>https://docs.google.com/forms/d/e/1FAIpQLSdhNamFeglgVtt555M7xM7e8ZAg9KCWMEcDlLzX1oeZsyGxrg/viewform?usp=pp_url&amp;entry.580385001=&amp;entry.1376952895=</v>
      </c>
    </row>
    <row r="530">
      <c r="A530" s="25"/>
      <c r="B530" s="25"/>
      <c r="C530" s="25"/>
      <c r="D530" s="105" t="str">
        <f>IF(COUNTIF('Form responses 4'!B:B,C530)&gt;0, "", "https://docs.google.com/forms/d/e/1FAIpQLSdhNamFeglgVtt555M7xM7e8ZAg9KCWMEcDlLzX1oeZsyGxrg/viewform?usp=pp_url&amp;entry.580385001="&amp;C530&amp;"&amp;entry.1376952895="&amp;A530)</f>
        <v>https://docs.google.com/forms/d/e/1FAIpQLSdhNamFeglgVtt555M7xM7e8ZAg9KCWMEcDlLzX1oeZsyGxrg/viewform?usp=pp_url&amp;entry.580385001=&amp;entry.1376952895=</v>
      </c>
    </row>
    <row r="531">
      <c r="A531" s="25"/>
      <c r="B531" s="25"/>
      <c r="C531" s="25"/>
      <c r="D531" s="105" t="str">
        <f>IF(COUNTIF('Form responses 4'!B:B,C531)&gt;0, "", "https://docs.google.com/forms/d/e/1FAIpQLSdhNamFeglgVtt555M7xM7e8ZAg9KCWMEcDlLzX1oeZsyGxrg/viewform?usp=pp_url&amp;entry.580385001="&amp;C531&amp;"&amp;entry.1376952895="&amp;A531)</f>
        <v>https://docs.google.com/forms/d/e/1FAIpQLSdhNamFeglgVtt555M7xM7e8ZAg9KCWMEcDlLzX1oeZsyGxrg/viewform?usp=pp_url&amp;entry.580385001=&amp;entry.1376952895=</v>
      </c>
    </row>
    <row r="532">
      <c r="A532" s="25"/>
      <c r="B532" s="25"/>
      <c r="C532" s="25"/>
      <c r="D532" s="105" t="str">
        <f>IF(COUNTIF('Form responses 4'!B:B,C532)&gt;0, "", "https://docs.google.com/forms/d/e/1FAIpQLSdhNamFeglgVtt555M7xM7e8ZAg9KCWMEcDlLzX1oeZsyGxrg/viewform?usp=pp_url&amp;entry.580385001="&amp;C532&amp;"&amp;entry.1376952895="&amp;A532)</f>
        <v>https://docs.google.com/forms/d/e/1FAIpQLSdhNamFeglgVtt555M7xM7e8ZAg9KCWMEcDlLzX1oeZsyGxrg/viewform?usp=pp_url&amp;entry.580385001=&amp;entry.1376952895=</v>
      </c>
    </row>
    <row r="533">
      <c r="A533" s="25"/>
      <c r="B533" s="25"/>
      <c r="C533" s="25"/>
      <c r="D533" s="105" t="str">
        <f>IF(COUNTIF('Form responses 4'!B:B,C533)&gt;0, "", "https://docs.google.com/forms/d/e/1FAIpQLSdhNamFeglgVtt555M7xM7e8ZAg9KCWMEcDlLzX1oeZsyGxrg/viewform?usp=pp_url&amp;entry.580385001="&amp;C533&amp;"&amp;entry.1376952895="&amp;A533)</f>
        <v>https://docs.google.com/forms/d/e/1FAIpQLSdhNamFeglgVtt555M7xM7e8ZAg9KCWMEcDlLzX1oeZsyGxrg/viewform?usp=pp_url&amp;entry.580385001=&amp;entry.1376952895=</v>
      </c>
    </row>
    <row r="534">
      <c r="A534" s="25"/>
      <c r="B534" s="25"/>
      <c r="C534" s="25"/>
      <c r="D534" s="105" t="str">
        <f>IF(COUNTIF('Form responses 4'!B:B,C534)&gt;0, "", "https://docs.google.com/forms/d/e/1FAIpQLSdhNamFeglgVtt555M7xM7e8ZAg9KCWMEcDlLzX1oeZsyGxrg/viewform?usp=pp_url&amp;entry.580385001="&amp;C534&amp;"&amp;entry.1376952895="&amp;A534)</f>
        <v>https://docs.google.com/forms/d/e/1FAIpQLSdhNamFeglgVtt555M7xM7e8ZAg9KCWMEcDlLzX1oeZsyGxrg/viewform?usp=pp_url&amp;entry.580385001=&amp;entry.1376952895=</v>
      </c>
    </row>
    <row r="535">
      <c r="A535" s="25"/>
      <c r="B535" s="25"/>
      <c r="C535" s="25"/>
      <c r="D535" s="105" t="str">
        <f>IF(COUNTIF('Form responses 4'!B:B,C535)&gt;0, "", "https://docs.google.com/forms/d/e/1FAIpQLSdhNamFeglgVtt555M7xM7e8ZAg9KCWMEcDlLzX1oeZsyGxrg/viewform?usp=pp_url&amp;entry.580385001="&amp;C535&amp;"&amp;entry.1376952895="&amp;A535)</f>
        <v>https://docs.google.com/forms/d/e/1FAIpQLSdhNamFeglgVtt555M7xM7e8ZAg9KCWMEcDlLzX1oeZsyGxrg/viewform?usp=pp_url&amp;entry.580385001=&amp;entry.1376952895=</v>
      </c>
    </row>
    <row r="536">
      <c r="A536" s="25"/>
      <c r="B536" s="25"/>
      <c r="C536" s="25"/>
      <c r="D536" s="105" t="str">
        <f>IF(COUNTIF('Form responses 4'!B:B,C536)&gt;0, "", "https://docs.google.com/forms/d/e/1FAIpQLSdhNamFeglgVtt555M7xM7e8ZAg9KCWMEcDlLzX1oeZsyGxrg/viewform?usp=pp_url&amp;entry.580385001="&amp;C536&amp;"&amp;entry.1376952895="&amp;A536)</f>
        <v>https://docs.google.com/forms/d/e/1FAIpQLSdhNamFeglgVtt555M7xM7e8ZAg9KCWMEcDlLzX1oeZsyGxrg/viewform?usp=pp_url&amp;entry.580385001=&amp;entry.1376952895=</v>
      </c>
    </row>
    <row r="537">
      <c r="A537" s="25"/>
      <c r="B537" s="25"/>
      <c r="C537" s="25"/>
      <c r="D537" s="105" t="str">
        <f>IF(COUNTIF('Form responses 4'!B:B,C537)&gt;0, "", "https://docs.google.com/forms/d/e/1FAIpQLSdhNamFeglgVtt555M7xM7e8ZAg9KCWMEcDlLzX1oeZsyGxrg/viewform?usp=pp_url&amp;entry.580385001="&amp;C537&amp;"&amp;entry.1376952895="&amp;A537)</f>
        <v>https://docs.google.com/forms/d/e/1FAIpQLSdhNamFeglgVtt555M7xM7e8ZAg9KCWMEcDlLzX1oeZsyGxrg/viewform?usp=pp_url&amp;entry.580385001=&amp;entry.1376952895=</v>
      </c>
    </row>
    <row r="538">
      <c r="A538" s="25"/>
      <c r="B538" s="25"/>
      <c r="C538" s="25"/>
      <c r="D538" s="105" t="str">
        <f>IF(COUNTIF('Form responses 4'!B:B,C538)&gt;0, "", "https://docs.google.com/forms/d/e/1FAIpQLSdhNamFeglgVtt555M7xM7e8ZAg9KCWMEcDlLzX1oeZsyGxrg/viewform?usp=pp_url&amp;entry.580385001="&amp;C538&amp;"&amp;entry.1376952895="&amp;A538)</f>
        <v>https://docs.google.com/forms/d/e/1FAIpQLSdhNamFeglgVtt555M7xM7e8ZAg9KCWMEcDlLzX1oeZsyGxrg/viewform?usp=pp_url&amp;entry.580385001=&amp;entry.1376952895=</v>
      </c>
    </row>
    <row r="539">
      <c r="A539" s="25"/>
      <c r="B539" s="25"/>
      <c r="C539" s="25"/>
      <c r="D539" s="105" t="str">
        <f>IF(COUNTIF('Form responses 4'!B:B,C539)&gt;0, "", "https://docs.google.com/forms/d/e/1FAIpQLSdhNamFeglgVtt555M7xM7e8ZAg9KCWMEcDlLzX1oeZsyGxrg/viewform?usp=pp_url&amp;entry.580385001="&amp;C539&amp;"&amp;entry.1376952895="&amp;A539)</f>
        <v>https://docs.google.com/forms/d/e/1FAIpQLSdhNamFeglgVtt555M7xM7e8ZAg9KCWMEcDlLzX1oeZsyGxrg/viewform?usp=pp_url&amp;entry.580385001=&amp;entry.1376952895=</v>
      </c>
    </row>
    <row r="540">
      <c r="A540" s="25"/>
      <c r="B540" s="25"/>
      <c r="C540" s="25"/>
      <c r="D540" s="105" t="str">
        <f>IF(COUNTIF('Form responses 4'!B:B,C540)&gt;0, "", "https://docs.google.com/forms/d/e/1FAIpQLSdhNamFeglgVtt555M7xM7e8ZAg9KCWMEcDlLzX1oeZsyGxrg/viewform?usp=pp_url&amp;entry.580385001="&amp;C540&amp;"&amp;entry.1376952895="&amp;A540)</f>
        <v>https://docs.google.com/forms/d/e/1FAIpQLSdhNamFeglgVtt555M7xM7e8ZAg9KCWMEcDlLzX1oeZsyGxrg/viewform?usp=pp_url&amp;entry.580385001=&amp;entry.1376952895=</v>
      </c>
    </row>
    <row r="541">
      <c r="A541" s="25"/>
      <c r="B541" s="25"/>
      <c r="C541" s="25"/>
      <c r="D541" s="105" t="str">
        <f>IF(COUNTIF('Form responses 4'!B:B,C541)&gt;0, "", "https://docs.google.com/forms/d/e/1FAIpQLSdhNamFeglgVtt555M7xM7e8ZAg9KCWMEcDlLzX1oeZsyGxrg/viewform?usp=pp_url&amp;entry.580385001="&amp;C541&amp;"&amp;entry.1376952895="&amp;A541)</f>
        <v>https://docs.google.com/forms/d/e/1FAIpQLSdhNamFeglgVtt555M7xM7e8ZAg9KCWMEcDlLzX1oeZsyGxrg/viewform?usp=pp_url&amp;entry.580385001=&amp;entry.1376952895=</v>
      </c>
    </row>
    <row r="542">
      <c r="A542" s="25"/>
      <c r="B542" s="25"/>
      <c r="C542" s="25"/>
      <c r="D542" s="105" t="str">
        <f>IF(COUNTIF('Form responses 4'!B:B,C542)&gt;0, "", "https://docs.google.com/forms/d/e/1FAIpQLSdhNamFeglgVtt555M7xM7e8ZAg9KCWMEcDlLzX1oeZsyGxrg/viewform?usp=pp_url&amp;entry.580385001="&amp;C542&amp;"&amp;entry.1376952895="&amp;A542)</f>
        <v>https://docs.google.com/forms/d/e/1FAIpQLSdhNamFeglgVtt555M7xM7e8ZAg9KCWMEcDlLzX1oeZsyGxrg/viewform?usp=pp_url&amp;entry.580385001=&amp;entry.1376952895=</v>
      </c>
    </row>
    <row r="543">
      <c r="A543" s="25"/>
      <c r="B543" s="25"/>
      <c r="C543" s="25"/>
      <c r="D543" s="105" t="str">
        <f>IF(COUNTIF('Form responses 4'!B:B,C543)&gt;0, "", "https://docs.google.com/forms/d/e/1FAIpQLSdhNamFeglgVtt555M7xM7e8ZAg9KCWMEcDlLzX1oeZsyGxrg/viewform?usp=pp_url&amp;entry.580385001="&amp;C543&amp;"&amp;entry.1376952895="&amp;A543)</f>
        <v>https://docs.google.com/forms/d/e/1FAIpQLSdhNamFeglgVtt555M7xM7e8ZAg9KCWMEcDlLzX1oeZsyGxrg/viewform?usp=pp_url&amp;entry.580385001=&amp;entry.1376952895=</v>
      </c>
    </row>
    <row r="544">
      <c r="A544" s="25"/>
      <c r="B544" s="25"/>
      <c r="C544" s="25"/>
      <c r="D544" s="105" t="str">
        <f>IF(COUNTIF('Form responses 4'!B:B,C544)&gt;0, "", "https://docs.google.com/forms/d/e/1FAIpQLSdhNamFeglgVtt555M7xM7e8ZAg9KCWMEcDlLzX1oeZsyGxrg/viewform?usp=pp_url&amp;entry.580385001="&amp;C544&amp;"&amp;entry.1376952895="&amp;A544)</f>
        <v>https://docs.google.com/forms/d/e/1FAIpQLSdhNamFeglgVtt555M7xM7e8ZAg9KCWMEcDlLzX1oeZsyGxrg/viewform?usp=pp_url&amp;entry.580385001=&amp;entry.1376952895=</v>
      </c>
    </row>
    <row r="545">
      <c r="A545" s="25"/>
      <c r="B545" s="25"/>
      <c r="C545" s="25"/>
      <c r="D545" s="105" t="str">
        <f>IF(COUNTIF('Form responses 4'!B:B,C545)&gt;0, "", "https://docs.google.com/forms/d/e/1FAIpQLSdhNamFeglgVtt555M7xM7e8ZAg9KCWMEcDlLzX1oeZsyGxrg/viewform?usp=pp_url&amp;entry.580385001="&amp;C545&amp;"&amp;entry.1376952895="&amp;A545)</f>
        <v>https://docs.google.com/forms/d/e/1FAIpQLSdhNamFeglgVtt555M7xM7e8ZAg9KCWMEcDlLzX1oeZsyGxrg/viewform?usp=pp_url&amp;entry.580385001=&amp;entry.1376952895=</v>
      </c>
    </row>
    <row r="546">
      <c r="A546" s="25"/>
      <c r="B546" s="25"/>
      <c r="C546" s="25"/>
      <c r="D546" s="105" t="str">
        <f>IF(COUNTIF('Form responses 4'!B:B,C546)&gt;0, "", "https://docs.google.com/forms/d/e/1FAIpQLSdhNamFeglgVtt555M7xM7e8ZAg9KCWMEcDlLzX1oeZsyGxrg/viewform?usp=pp_url&amp;entry.580385001="&amp;C546&amp;"&amp;entry.1376952895="&amp;A546)</f>
        <v>https://docs.google.com/forms/d/e/1FAIpQLSdhNamFeglgVtt555M7xM7e8ZAg9KCWMEcDlLzX1oeZsyGxrg/viewform?usp=pp_url&amp;entry.580385001=&amp;entry.1376952895=</v>
      </c>
    </row>
    <row r="547">
      <c r="A547" s="25"/>
      <c r="B547" s="25"/>
      <c r="C547" s="25"/>
      <c r="D547" s="105" t="str">
        <f>IF(COUNTIF('Form responses 4'!B:B,C547)&gt;0, "", "https://docs.google.com/forms/d/e/1FAIpQLSdhNamFeglgVtt555M7xM7e8ZAg9KCWMEcDlLzX1oeZsyGxrg/viewform?usp=pp_url&amp;entry.580385001="&amp;C547&amp;"&amp;entry.1376952895="&amp;A547)</f>
        <v>https://docs.google.com/forms/d/e/1FAIpQLSdhNamFeglgVtt555M7xM7e8ZAg9KCWMEcDlLzX1oeZsyGxrg/viewform?usp=pp_url&amp;entry.580385001=&amp;entry.1376952895=</v>
      </c>
    </row>
    <row r="548">
      <c r="A548" s="25"/>
      <c r="B548" s="25"/>
      <c r="C548" s="25"/>
      <c r="D548" s="105" t="str">
        <f>IF(COUNTIF('Form responses 4'!B:B,C548)&gt;0, "", "https://docs.google.com/forms/d/e/1FAIpQLSdhNamFeglgVtt555M7xM7e8ZAg9KCWMEcDlLzX1oeZsyGxrg/viewform?usp=pp_url&amp;entry.580385001="&amp;C548&amp;"&amp;entry.1376952895="&amp;A548)</f>
        <v>https://docs.google.com/forms/d/e/1FAIpQLSdhNamFeglgVtt555M7xM7e8ZAg9KCWMEcDlLzX1oeZsyGxrg/viewform?usp=pp_url&amp;entry.580385001=&amp;entry.1376952895=</v>
      </c>
    </row>
    <row r="549">
      <c r="A549" s="25"/>
      <c r="B549" s="25"/>
      <c r="C549" s="25"/>
      <c r="D549" s="105" t="str">
        <f>IF(COUNTIF('Form responses 4'!B:B,C549)&gt;0, "", "https://docs.google.com/forms/d/e/1FAIpQLSdhNamFeglgVtt555M7xM7e8ZAg9KCWMEcDlLzX1oeZsyGxrg/viewform?usp=pp_url&amp;entry.580385001="&amp;C549&amp;"&amp;entry.1376952895="&amp;A549)</f>
        <v>https://docs.google.com/forms/d/e/1FAIpQLSdhNamFeglgVtt555M7xM7e8ZAg9KCWMEcDlLzX1oeZsyGxrg/viewform?usp=pp_url&amp;entry.580385001=&amp;entry.1376952895=</v>
      </c>
    </row>
    <row r="550">
      <c r="A550" s="25"/>
      <c r="B550" s="25"/>
      <c r="C550" s="25"/>
      <c r="D550" s="105" t="str">
        <f>IF(COUNTIF('Form responses 4'!B:B,C550)&gt;0, "", "https://docs.google.com/forms/d/e/1FAIpQLSdhNamFeglgVtt555M7xM7e8ZAg9KCWMEcDlLzX1oeZsyGxrg/viewform?usp=pp_url&amp;entry.580385001="&amp;C550&amp;"&amp;entry.1376952895="&amp;A550)</f>
        <v>https://docs.google.com/forms/d/e/1FAIpQLSdhNamFeglgVtt555M7xM7e8ZAg9KCWMEcDlLzX1oeZsyGxrg/viewform?usp=pp_url&amp;entry.580385001=&amp;entry.1376952895=</v>
      </c>
    </row>
    <row r="551">
      <c r="A551" s="25"/>
      <c r="B551" s="25"/>
      <c r="C551" s="25"/>
      <c r="D551" s="105" t="str">
        <f>IF(COUNTIF('Form responses 4'!B:B,C551)&gt;0, "", "https://docs.google.com/forms/d/e/1FAIpQLSdhNamFeglgVtt555M7xM7e8ZAg9KCWMEcDlLzX1oeZsyGxrg/viewform?usp=pp_url&amp;entry.580385001="&amp;C551&amp;"&amp;entry.1376952895="&amp;A551)</f>
        <v>https://docs.google.com/forms/d/e/1FAIpQLSdhNamFeglgVtt555M7xM7e8ZAg9KCWMEcDlLzX1oeZsyGxrg/viewform?usp=pp_url&amp;entry.580385001=&amp;entry.1376952895=</v>
      </c>
    </row>
    <row r="552">
      <c r="A552" s="25"/>
      <c r="B552" s="25"/>
      <c r="C552" s="25"/>
      <c r="D552" s="105" t="str">
        <f>IF(COUNTIF('Form responses 4'!B:B,C552)&gt;0, "", "https://docs.google.com/forms/d/e/1FAIpQLSdhNamFeglgVtt555M7xM7e8ZAg9KCWMEcDlLzX1oeZsyGxrg/viewform?usp=pp_url&amp;entry.580385001="&amp;C552&amp;"&amp;entry.1376952895="&amp;A552)</f>
        <v>https://docs.google.com/forms/d/e/1FAIpQLSdhNamFeglgVtt555M7xM7e8ZAg9KCWMEcDlLzX1oeZsyGxrg/viewform?usp=pp_url&amp;entry.580385001=&amp;entry.1376952895=</v>
      </c>
    </row>
    <row r="553">
      <c r="A553" s="25"/>
      <c r="B553" s="25"/>
      <c r="C553" s="25"/>
      <c r="D553" s="105" t="str">
        <f>IF(COUNTIF('Form responses 4'!B:B,C553)&gt;0, "", "https://docs.google.com/forms/d/e/1FAIpQLSdhNamFeglgVtt555M7xM7e8ZAg9KCWMEcDlLzX1oeZsyGxrg/viewform?usp=pp_url&amp;entry.580385001="&amp;C553&amp;"&amp;entry.1376952895="&amp;A553)</f>
        <v>https://docs.google.com/forms/d/e/1FAIpQLSdhNamFeglgVtt555M7xM7e8ZAg9KCWMEcDlLzX1oeZsyGxrg/viewform?usp=pp_url&amp;entry.580385001=&amp;entry.1376952895=</v>
      </c>
    </row>
    <row r="554">
      <c r="A554" s="25"/>
      <c r="B554" s="25"/>
      <c r="C554" s="25"/>
      <c r="D554" s="105" t="str">
        <f>IF(COUNTIF('Form responses 4'!B:B,C554)&gt;0, "", "https://docs.google.com/forms/d/e/1FAIpQLSdhNamFeglgVtt555M7xM7e8ZAg9KCWMEcDlLzX1oeZsyGxrg/viewform?usp=pp_url&amp;entry.580385001="&amp;C554&amp;"&amp;entry.1376952895="&amp;A554)</f>
        <v>https://docs.google.com/forms/d/e/1FAIpQLSdhNamFeglgVtt555M7xM7e8ZAg9KCWMEcDlLzX1oeZsyGxrg/viewform?usp=pp_url&amp;entry.580385001=&amp;entry.1376952895=</v>
      </c>
    </row>
    <row r="555">
      <c r="A555" s="25"/>
      <c r="B555" s="25"/>
      <c r="C555" s="25"/>
      <c r="D555" s="105" t="str">
        <f>IF(COUNTIF('Form responses 4'!B:B,C555)&gt;0, "", "https://docs.google.com/forms/d/e/1FAIpQLSdhNamFeglgVtt555M7xM7e8ZAg9KCWMEcDlLzX1oeZsyGxrg/viewform?usp=pp_url&amp;entry.580385001="&amp;C555&amp;"&amp;entry.1376952895="&amp;A555)</f>
        <v>https://docs.google.com/forms/d/e/1FAIpQLSdhNamFeglgVtt555M7xM7e8ZAg9KCWMEcDlLzX1oeZsyGxrg/viewform?usp=pp_url&amp;entry.580385001=&amp;entry.1376952895=</v>
      </c>
    </row>
    <row r="556">
      <c r="A556" s="25"/>
      <c r="B556" s="25"/>
      <c r="C556" s="25"/>
      <c r="D556" s="105" t="str">
        <f>IF(COUNTIF('Form responses 4'!B:B,C556)&gt;0, "", "https://docs.google.com/forms/d/e/1FAIpQLSdhNamFeglgVtt555M7xM7e8ZAg9KCWMEcDlLzX1oeZsyGxrg/viewform?usp=pp_url&amp;entry.580385001="&amp;C556&amp;"&amp;entry.1376952895="&amp;A556)</f>
        <v>https://docs.google.com/forms/d/e/1FAIpQLSdhNamFeglgVtt555M7xM7e8ZAg9KCWMEcDlLzX1oeZsyGxrg/viewform?usp=pp_url&amp;entry.580385001=&amp;entry.1376952895=</v>
      </c>
    </row>
    <row r="557">
      <c r="A557" s="25"/>
      <c r="B557" s="25"/>
      <c r="C557" s="25"/>
      <c r="D557" s="105" t="str">
        <f>IF(COUNTIF('Form responses 4'!B:B,C557)&gt;0, "", "https://docs.google.com/forms/d/e/1FAIpQLSdhNamFeglgVtt555M7xM7e8ZAg9KCWMEcDlLzX1oeZsyGxrg/viewform?usp=pp_url&amp;entry.580385001="&amp;C557&amp;"&amp;entry.1376952895="&amp;A557)</f>
        <v>https://docs.google.com/forms/d/e/1FAIpQLSdhNamFeglgVtt555M7xM7e8ZAg9KCWMEcDlLzX1oeZsyGxrg/viewform?usp=pp_url&amp;entry.580385001=&amp;entry.1376952895=</v>
      </c>
    </row>
    <row r="558">
      <c r="A558" s="25"/>
      <c r="B558" s="25"/>
      <c r="C558" s="25"/>
      <c r="D558" s="105" t="str">
        <f>IF(COUNTIF('Form responses 4'!B:B,C558)&gt;0, "", "https://docs.google.com/forms/d/e/1FAIpQLSdhNamFeglgVtt555M7xM7e8ZAg9KCWMEcDlLzX1oeZsyGxrg/viewform?usp=pp_url&amp;entry.580385001="&amp;C558&amp;"&amp;entry.1376952895="&amp;A558)</f>
        <v>https://docs.google.com/forms/d/e/1FAIpQLSdhNamFeglgVtt555M7xM7e8ZAg9KCWMEcDlLzX1oeZsyGxrg/viewform?usp=pp_url&amp;entry.580385001=&amp;entry.1376952895=</v>
      </c>
    </row>
    <row r="559">
      <c r="A559" s="25"/>
      <c r="B559" s="25"/>
      <c r="C559" s="25"/>
      <c r="D559" s="105" t="str">
        <f>IF(COUNTIF('Form responses 4'!B:B,C559)&gt;0, "", "https://docs.google.com/forms/d/e/1FAIpQLSdhNamFeglgVtt555M7xM7e8ZAg9KCWMEcDlLzX1oeZsyGxrg/viewform?usp=pp_url&amp;entry.580385001="&amp;C559&amp;"&amp;entry.1376952895="&amp;A559)</f>
        <v>https://docs.google.com/forms/d/e/1FAIpQLSdhNamFeglgVtt555M7xM7e8ZAg9KCWMEcDlLzX1oeZsyGxrg/viewform?usp=pp_url&amp;entry.580385001=&amp;entry.1376952895=</v>
      </c>
    </row>
    <row r="560">
      <c r="A560" s="25"/>
      <c r="B560" s="25"/>
      <c r="C560" s="25"/>
      <c r="D560" s="105" t="str">
        <f>IF(COUNTIF('Form responses 4'!B:B,C560)&gt;0, "", "https://docs.google.com/forms/d/e/1FAIpQLSdhNamFeglgVtt555M7xM7e8ZAg9KCWMEcDlLzX1oeZsyGxrg/viewform?usp=pp_url&amp;entry.580385001="&amp;C560&amp;"&amp;entry.1376952895="&amp;A560)</f>
        <v>https://docs.google.com/forms/d/e/1FAIpQLSdhNamFeglgVtt555M7xM7e8ZAg9KCWMEcDlLzX1oeZsyGxrg/viewform?usp=pp_url&amp;entry.580385001=&amp;entry.1376952895=</v>
      </c>
    </row>
    <row r="561">
      <c r="A561" s="25"/>
      <c r="B561" s="25"/>
      <c r="C561" s="25"/>
      <c r="D561" s="105" t="str">
        <f>IF(COUNTIF('Form responses 4'!B:B,C561)&gt;0, "", "https://docs.google.com/forms/d/e/1FAIpQLSdhNamFeglgVtt555M7xM7e8ZAg9KCWMEcDlLzX1oeZsyGxrg/viewform?usp=pp_url&amp;entry.580385001="&amp;C561&amp;"&amp;entry.1376952895="&amp;A561)</f>
        <v>https://docs.google.com/forms/d/e/1FAIpQLSdhNamFeglgVtt555M7xM7e8ZAg9KCWMEcDlLzX1oeZsyGxrg/viewform?usp=pp_url&amp;entry.580385001=&amp;entry.1376952895=</v>
      </c>
    </row>
    <row r="562">
      <c r="A562" s="25"/>
      <c r="B562" s="25"/>
      <c r="C562" s="25"/>
      <c r="D562" s="105" t="str">
        <f>IF(COUNTIF('Form responses 4'!B:B,C562)&gt;0, "", "https://docs.google.com/forms/d/e/1FAIpQLSdhNamFeglgVtt555M7xM7e8ZAg9KCWMEcDlLzX1oeZsyGxrg/viewform?usp=pp_url&amp;entry.580385001="&amp;C562&amp;"&amp;entry.1376952895="&amp;A562)</f>
        <v>https://docs.google.com/forms/d/e/1FAIpQLSdhNamFeglgVtt555M7xM7e8ZAg9KCWMEcDlLzX1oeZsyGxrg/viewform?usp=pp_url&amp;entry.580385001=&amp;entry.1376952895=</v>
      </c>
    </row>
    <row r="563">
      <c r="A563" s="25"/>
      <c r="B563" s="25"/>
      <c r="C563" s="25"/>
      <c r="D563" s="105" t="str">
        <f>IF(COUNTIF('Form responses 4'!B:B,C563)&gt;0, "", "https://docs.google.com/forms/d/e/1FAIpQLSdhNamFeglgVtt555M7xM7e8ZAg9KCWMEcDlLzX1oeZsyGxrg/viewform?usp=pp_url&amp;entry.580385001="&amp;C563&amp;"&amp;entry.1376952895="&amp;A563)</f>
        <v>https://docs.google.com/forms/d/e/1FAIpQLSdhNamFeglgVtt555M7xM7e8ZAg9KCWMEcDlLzX1oeZsyGxrg/viewform?usp=pp_url&amp;entry.580385001=&amp;entry.1376952895=</v>
      </c>
    </row>
    <row r="564">
      <c r="A564" s="25"/>
      <c r="B564" s="25"/>
      <c r="C564" s="25"/>
      <c r="D564" s="105" t="str">
        <f>IF(COUNTIF('Form responses 4'!B:B,C564)&gt;0, "", "https://docs.google.com/forms/d/e/1FAIpQLSdhNamFeglgVtt555M7xM7e8ZAg9KCWMEcDlLzX1oeZsyGxrg/viewform?usp=pp_url&amp;entry.580385001="&amp;C564&amp;"&amp;entry.1376952895="&amp;A564)</f>
        <v>https://docs.google.com/forms/d/e/1FAIpQLSdhNamFeglgVtt555M7xM7e8ZAg9KCWMEcDlLzX1oeZsyGxrg/viewform?usp=pp_url&amp;entry.580385001=&amp;entry.1376952895=</v>
      </c>
    </row>
    <row r="565">
      <c r="A565" s="25"/>
      <c r="B565" s="25"/>
      <c r="C565" s="25"/>
      <c r="D565" s="105" t="str">
        <f>IF(COUNTIF('Form responses 4'!B:B,C565)&gt;0, "", "https://docs.google.com/forms/d/e/1FAIpQLSdhNamFeglgVtt555M7xM7e8ZAg9KCWMEcDlLzX1oeZsyGxrg/viewform?usp=pp_url&amp;entry.580385001="&amp;C565&amp;"&amp;entry.1376952895="&amp;A565)</f>
        <v>https://docs.google.com/forms/d/e/1FAIpQLSdhNamFeglgVtt555M7xM7e8ZAg9KCWMEcDlLzX1oeZsyGxrg/viewform?usp=pp_url&amp;entry.580385001=&amp;entry.1376952895=</v>
      </c>
    </row>
    <row r="566">
      <c r="A566" s="25"/>
      <c r="B566" s="25"/>
      <c r="C566" s="25"/>
      <c r="D566" s="105" t="str">
        <f>IF(COUNTIF('Form responses 4'!B:B,C566)&gt;0, "", "https://docs.google.com/forms/d/e/1FAIpQLSdhNamFeglgVtt555M7xM7e8ZAg9KCWMEcDlLzX1oeZsyGxrg/viewform?usp=pp_url&amp;entry.580385001="&amp;C566&amp;"&amp;entry.1376952895="&amp;A566)</f>
        <v>https://docs.google.com/forms/d/e/1FAIpQLSdhNamFeglgVtt555M7xM7e8ZAg9KCWMEcDlLzX1oeZsyGxrg/viewform?usp=pp_url&amp;entry.580385001=&amp;entry.1376952895=</v>
      </c>
    </row>
    <row r="567">
      <c r="A567" s="25"/>
      <c r="B567" s="25"/>
      <c r="C567" s="25"/>
      <c r="D567" s="105" t="str">
        <f>IF(COUNTIF('Form responses 4'!B:B,C567)&gt;0, "", "https://docs.google.com/forms/d/e/1FAIpQLSdhNamFeglgVtt555M7xM7e8ZAg9KCWMEcDlLzX1oeZsyGxrg/viewform?usp=pp_url&amp;entry.580385001="&amp;C567&amp;"&amp;entry.1376952895="&amp;A567)</f>
        <v>https://docs.google.com/forms/d/e/1FAIpQLSdhNamFeglgVtt555M7xM7e8ZAg9KCWMEcDlLzX1oeZsyGxrg/viewform?usp=pp_url&amp;entry.580385001=&amp;entry.1376952895=</v>
      </c>
    </row>
    <row r="568">
      <c r="A568" s="25"/>
      <c r="B568" s="25"/>
      <c r="C568" s="25"/>
      <c r="D568" s="105" t="str">
        <f>IF(COUNTIF('Form responses 4'!B:B,C568)&gt;0, "", "https://docs.google.com/forms/d/e/1FAIpQLSdhNamFeglgVtt555M7xM7e8ZAg9KCWMEcDlLzX1oeZsyGxrg/viewform?usp=pp_url&amp;entry.580385001="&amp;C568&amp;"&amp;entry.1376952895="&amp;A568)</f>
        <v>https://docs.google.com/forms/d/e/1FAIpQLSdhNamFeglgVtt555M7xM7e8ZAg9KCWMEcDlLzX1oeZsyGxrg/viewform?usp=pp_url&amp;entry.580385001=&amp;entry.1376952895=</v>
      </c>
    </row>
    <row r="569">
      <c r="A569" s="25"/>
      <c r="B569" s="25"/>
      <c r="C569" s="25"/>
      <c r="D569" s="105" t="str">
        <f>IF(COUNTIF('Form responses 4'!B:B,C569)&gt;0, "", "https://docs.google.com/forms/d/e/1FAIpQLSdhNamFeglgVtt555M7xM7e8ZAg9KCWMEcDlLzX1oeZsyGxrg/viewform?usp=pp_url&amp;entry.580385001="&amp;C569&amp;"&amp;entry.1376952895="&amp;A569)</f>
        <v>https://docs.google.com/forms/d/e/1FAIpQLSdhNamFeglgVtt555M7xM7e8ZAg9KCWMEcDlLzX1oeZsyGxrg/viewform?usp=pp_url&amp;entry.580385001=&amp;entry.1376952895=</v>
      </c>
    </row>
    <row r="570">
      <c r="A570" s="25"/>
      <c r="B570" s="25"/>
      <c r="C570" s="25"/>
      <c r="D570" s="105" t="str">
        <f>IF(COUNTIF('Form responses 4'!B:B,C570)&gt;0, "", "https://docs.google.com/forms/d/e/1FAIpQLSdhNamFeglgVtt555M7xM7e8ZAg9KCWMEcDlLzX1oeZsyGxrg/viewform?usp=pp_url&amp;entry.580385001="&amp;C570&amp;"&amp;entry.1376952895="&amp;A570)</f>
        <v>https://docs.google.com/forms/d/e/1FAIpQLSdhNamFeglgVtt555M7xM7e8ZAg9KCWMEcDlLzX1oeZsyGxrg/viewform?usp=pp_url&amp;entry.580385001=&amp;entry.1376952895=</v>
      </c>
    </row>
    <row r="571">
      <c r="A571" s="25"/>
      <c r="B571" s="25"/>
      <c r="C571" s="25"/>
      <c r="D571" s="105" t="str">
        <f>IF(COUNTIF('Form responses 4'!B:B,C571)&gt;0, "", "https://docs.google.com/forms/d/e/1FAIpQLSdhNamFeglgVtt555M7xM7e8ZAg9KCWMEcDlLzX1oeZsyGxrg/viewform?usp=pp_url&amp;entry.580385001="&amp;C571&amp;"&amp;entry.1376952895="&amp;A571)</f>
        <v>https://docs.google.com/forms/d/e/1FAIpQLSdhNamFeglgVtt555M7xM7e8ZAg9KCWMEcDlLzX1oeZsyGxrg/viewform?usp=pp_url&amp;entry.580385001=&amp;entry.1376952895=</v>
      </c>
    </row>
    <row r="572">
      <c r="A572" s="25"/>
      <c r="B572" s="25"/>
      <c r="C572" s="25"/>
      <c r="D572" s="105" t="str">
        <f>IF(COUNTIF('Form responses 4'!B:B,C572)&gt;0, "", "https://docs.google.com/forms/d/e/1FAIpQLSdhNamFeglgVtt555M7xM7e8ZAg9KCWMEcDlLzX1oeZsyGxrg/viewform?usp=pp_url&amp;entry.580385001="&amp;C572&amp;"&amp;entry.1376952895="&amp;A572)</f>
        <v>https://docs.google.com/forms/d/e/1FAIpQLSdhNamFeglgVtt555M7xM7e8ZAg9KCWMEcDlLzX1oeZsyGxrg/viewform?usp=pp_url&amp;entry.580385001=&amp;entry.1376952895=</v>
      </c>
    </row>
    <row r="573">
      <c r="A573" s="25"/>
      <c r="B573" s="25"/>
      <c r="C573" s="25"/>
      <c r="D573" s="105" t="str">
        <f>IF(COUNTIF('Form responses 4'!B:B,C573)&gt;0, "", "https://docs.google.com/forms/d/e/1FAIpQLSdhNamFeglgVtt555M7xM7e8ZAg9KCWMEcDlLzX1oeZsyGxrg/viewform?usp=pp_url&amp;entry.580385001="&amp;C573&amp;"&amp;entry.1376952895="&amp;A573)</f>
        <v>https://docs.google.com/forms/d/e/1FAIpQLSdhNamFeglgVtt555M7xM7e8ZAg9KCWMEcDlLzX1oeZsyGxrg/viewform?usp=pp_url&amp;entry.580385001=&amp;entry.1376952895=</v>
      </c>
    </row>
    <row r="574">
      <c r="A574" s="25"/>
      <c r="B574" s="25"/>
      <c r="C574" s="25"/>
      <c r="D574" s="105" t="str">
        <f>IF(COUNTIF('Form responses 4'!B:B,C574)&gt;0, "", "https://docs.google.com/forms/d/e/1FAIpQLSdhNamFeglgVtt555M7xM7e8ZAg9KCWMEcDlLzX1oeZsyGxrg/viewform?usp=pp_url&amp;entry.580385001="&amp;C574&amp;"&amp;entry.1376952895="&amp;A574)</f>
        <v>https://docs.google.com/forms/d/e/1FAIpQLSdhNamFeglgVtt555M7xM7e8ZAg9KCWMEcDlLzX1oeZsyGxrg/viewform?usp=pp_url&amp;entry.580385001=&amp;entry.1376952895=</v>
      </c>
    </row>
    <row r="575">
      <c r="A575" s="25"/>
      <c r="B575" s="25"/>
      <c r="C575" s="25"/>
      <c r="D575" s="105" t="str">
        <f>IF(COUNTIF('Form responses 4'!B:B,C575)&gt;0, "", "https://docs.google.com/forms/d/e/1FAIpQLSdhNamFeglgVtt555M7xM7e8ZAg9KCWMEcDlLzX1oeZsyGxrg/viewform?usp=pp_url&amp;entry.580385001="&amp;C575&amp;"&amp;entry.1376952895="&amp;A575)</f>
        <v>https://docs.google.com/forms/d/e/1FAIpQLSdhNamFeglgVtt555M7xM7e8ZAg9KCWMEcDlLzX1oeZsyGxrg/viewform?usp=pp_url&amp;entry.580385001=&amp;entry.1376952895=</v>
      </c>
    </row>
    <row r="576">
      <c r="A576" s="25"/>
      <c r="B576" s="25"/>
      <c r="C576" s="25"/>
      <c r="D576" s="105" t="str">
        <f>IF(COUNTIF('Form responses 4'!B:B,C576)&gt;0, "", "https://docs.google.com/forms/d/e/1FAIpQLSdhNamFeglgVtt555M7xM7e8ZAg9KCWMEcDlLzX1oeZsyGxrg/viewform?usp=pp_url&amp;entry.580385001="&amp;C576&amp;"&amp;entry.1376952895="&amp;A576)</f>
        <v>https://docs.google.com/forms/d/e/1FAIpQLSdhNamFeglgVtt555M7xM7e8ZAg9KCWMEcDlLzX1oeZsyGxrg/viewform?usp=pp_url&amp;entry.580385001=&amp;entry.1376952895=</v>
      </c>
    </row>
    <row r="577">
      <c r="A577" s="25"/>
      <c r="B577" s="25"/>
      <c r="C577" s="25"/>
      <c r="D577" s="105" t="str">
        <f>IF(COUNTIF('Form responses 4'!B:B,C577)&gt;0, "", "https://docs.google.com/forms/d/e/1FAIpQLSdhNamFeglgVtt555M7xM7e8ZAg9KCWMEcDlLzX1oeZsyGxrg/viewform?usp=pp_url&amp;entry.580385001="&amp;C577&amp;"&amp;entry.1376952895="&amp;A577)</f>
        <v>https://docs.google.com/forms/d/e/1FAIpQLSdhNamFeglgVtt555M7xM7e8ZAg9KCWMEcDlLzX1oeZsyGxrg/viewform?usp=pp_url&amp;entry.580385001=&amp;entry.1376952895=</v>
      </c>
    </row>
    <row r="578">
      <c r="A578" s="25"/>
      <c r="B578" s="25"/>
      <c r="C578" s="25"/>
      <c r="D578" s="105" t="str">
        <f>IF(COUNTIF('Form responses 4'!B:B,C578)&gt;0, "", "https://docs.google.com/forms/d/e/1FAIpQLSdhNamFeglgVtt555M7xM7e8ZAg9KCWMEcDlLzX1oeZsyGxrg/viewform?usp=pp_url&amp;entry.580385001="&amp;C578&amp;"&amp;entry.1376952895="&amp;A578)</f>
        <v>https://docs.google.com/forms/d/e/1FAIpQLSdhNamFeglgVtt555M7xM7e8ZAg9KCWMEcDlLzX1oeZsyGxrg/viewform?usp=pp_url&amp;entry.580385001=&amp;entry.1376952895=</v>
      </c>
    </row>
    <row r="579">
      <c r="A579" s="25"/>
      <c r="B579" s="25"/>
      <c r="C579" s="25"/>
      <c r="D579" s="105" t="str">
        <f>IF(COUNTIF('Form responses 4'!B:B,C579)&gt;0, "", "https://docs.google.com/forms/d/e/1FAIpQLSdhNamFeglgVtt555M7xM7e8ZAg9KCWMEcDlLzX1oeZsyGxrg/viewform?usp=pp_url&amp;entry.580385001="&amp;C579&amp;"&amp;entry.1376952895="&amp;A579)</f>
        <v>https://docs.google.com/forms/d/e/1FAIpQLSdhNamFeglgVtt555M7xM7e8ZAg9KCWMEcDlLzX1oeZsyGxrg/viewform?usp=pp_url&amp;entry.580385001=&amp;entry.1376952895=</v>
      </c>
    </row>
    <row r="580">
      <c r="A580" s="25"/>
      <c r="B580" s="25"/>
      <c r="C580" s="25"/>
      <c r="D580" s="105" t="str">
        <f>IF(COUNTIF('Form responses 4'!B:B,C580)&gt;0, "", "https://docs.google.com/forms/d/e/1FAIpQLSdhNamFeglgVtt555M7xM7e8ZAg9KCWMEcDlLzX1oeZsyGxrg/viewform?usp=pp_url&amp;entry.580385001="&amp;C580&amp;"&amp;entry.1376952895="&amp;A580)</f>
        <v>https://docs.google.com/forms/d/e/1FAIpQLSdhNamFeglgVtt555M7xM7e8ZAg9KCWMEcDlLzX1oeZsyGxrg/viewform?usp=pp_url&amp;entry.580385001=&amp;entry.1376952895=</v>
      </c>
    </row>
    <row r="581">
      <c r="A581" s="25"/>
      <c r="B581" s="25"/>
      <c r="C581" s="25"/>
      <c r="D581" s="105" t="str">
        <f>IF(COUNTIF('Form responses 4'!B:B,C581)&gt;0, "", "https://docs.google.com/forms/d/e/1FAIpQLSdhNamFeglgVtt555M7xM7e8ZAg9KCWMEcDlLzX1oeZsyGxrg/viewform?usp=pp_url&amp;entry.580385001="&amp;C581&amp;"&amp;entry.1376952895="&amp;A581)</f>
        <v>https://docs.google.com/forms/d/e/1FAIpQLSdhNamFeglgVtt555M7xM7e8ZAg9KCWMEcDlLzX1oeZsyGxrg/viewform?usp=pp_url&amp;entry.580385001=&amp;entry.1376952895=</v>
      </c>
    </row>
    <row r="582">
      <c r="A582" s="25"/>
      <c r="B582" s="25"/>
      <c r="C582" s="25"/>
      <c r="D582" s="105" t="str">
        <f>IF(COUNTIF('Form responses 4'!B:B,C582)&gt;0, "", "https://docs.google.com/forms/d/e/1FAIpQLSdhNamFeglgVtt555M7xM7e8ZAg9KCWMEcDlLzX1oeZsyGxrg/viewform?usp=pp_url&amp;entry.580385001="&amp;C582&amp;"&amp;entry.1376952895="&amp;A582)</f>
        <v>https://docs.google.com/forms/d/e/1FAIpQLSdhNamFeglgVtt555M7xM7e8ZAg9KCWMEcDlLzX1oeZsyGxrg/viewform?usp=pp_url&amp;entry.580385001=&amp;entry.1376952895=</v>
      </c>
    </row>
    <row r="583">
      <c r="A583" s="25"/>
      <c r="B583" s="25"/>
      <c r="C583" s="25"/>
      <c r="D583" s="105" t="str">
        <f>IF(COUNTIF('Form responses 4'!B:B,C583)&gt;0, "", "https://docs.google.com/forms/d/e/1FAIpQLSdhNamFeglgVtt555M7xM7e8ZAg9KCWMEcDlLzX1oeZsyGxrg/viewform?usp=pp_url&amp;entry.580385001="&amp;C583&amp;"&amp;entry.1376952895="&amp;A583)</f>
        <v>https://docs.google.com/forms/d/e/1FAIpQLSdhNamFeglgVtt555M7xM7e8ZAg9KCWMEcDlLzX1oeZsyGxrg/viewform?usp=pp_url&amp;entry.580385001=&amp;entry.1376952895=</v>
      </c>
    </row>
    <row r="584">
      <c r="A584" s="25"/>
      <c r="B584" s="25"/>
      <c r="C584" s="25"/>
      <c r="D584" s="105" t="str">
        <f>IF(COUNTIF('Form responses 4'!B:B,C584)&gt;0, "", "https://docs.google.com/forms/d/e/1FAIpQLSdhNamFeglgVtt555M7xM7e8ZAg9KCWMEcDlLzX1oeZsyGxrg/viewform?usp=pp_url&amp;entry.580385001="&amp;C584&amp;"&amp;entry.1376952895="&amp;A584)</f>
        <v>https://docs.google.com/forms/d/e/1FAIpQLSdhNamFeglgVtt555M7xM7e8ZAg9KCWMEcDlLzX1oeZsyGxrg/viewform?usp=pp_url&amp;entry.580385001=&amp;entry.1376952895=</v>
      </c>
    </row>
    <row r="585">
      <c r="A585" s="25"/>
      <c r="B585" s="25"/>
      <c r="C585" s="25"/>
      <c r="D585" s="105" t="str">
        <f>IF(COUNTIF('Form responses 4'!B:B,C585)&gt;0, "", "https://docs.google.com/forms/d/e/1FAIpQLSdhNamFeglgVtt555M7xM7e8ZAg9KCWMEcDlLzX1oeZsyGxrg/viewform?usp=pp_url&amp;entry.580385001="&amp;C585&amp;"&amp;entry.1376952895="&amp;A585)</f>
        <v>https://docs.google.com/forms/d/e/1FAIpQLSdhNamFeglgVtt555M7xM7e8ZAg9KCWMEcDlLzX1oeZsyGxrg/viewform?usp=pp_url&amp;entry.580385001=&amp;entry.1376952895=</v>
      </c>
    </row>
    <row r="586">
      <c r="A586" s="25"/>
      <c r="B586" s="25"/>
      <c r="C586" s="25"/>
      <c r="D586" s="105" t="str">
        <f>IF(COUNTIF('Form responses 4'!B:B,C586)&gt;0, "", "https://docs.google.com/forms/d/e/1FAIpQLSdhNamFeglgVtt555M7xM7e8ZAg9KCWMEcDlLzX1oeZsyGxrg/viewform?usp=pp_url&amp;entry.580385001="&amp;C586&amp;"&amp;entry.1376952895="&amp;A586)</f>
        <v>https://docs.google.com/forms/d/e/1FAIpQLSdhNamFeglgVtt555M7xM7e8ZAg9KCWMEcDlLzX1oeZsyGxrg/viewform?usp=pp_url&amp;entry.580385001=&amp;entry.1376952895=</v>
      </c>
    </row>
    <row r="587">
      <c r="A587" s="25"/>
      <c r="B587" s="25"/>
      <c r="C587" s="25"/>
      <c r="D587" s="105" t="str">
        <f>IF(COUNTIF('Form responses 4'!B:B,C587)&gt;0, "", "https://docs.google.com/forms/d/e/1FAIpQLSdhNamFeglgVtt555M7xM7e8ZAg9KCWMEcDlLzX1oeZsyGxrg/viewform?usp=pp_url&amp;entry.580385001="&amp;C587&amp;"&amp;entry.1376952895="&amp;A587)</f>
        <v>https://docs.google.com/forms/d/e/1FAIpQLSdhNamFeglgVtt555M7xM7e8ZAg9KCWMEcDlLzX1oeZsyGxrg/viewform?usp=pp_url&amp;entry.580385001=&amp;entry.1376952895=</v>
      </c>
    </row>
    <row r="588">
      <c r="A588" s="25"/>
      <c r="B588" s="25"/>
      <c r="C588" s="25"/>
      <c r="D588" s="105" t="str">
        <f>IF(COUNTIF('Form responses 4'!B:B,C588)&gt;0, "", "https://docs.google.com/forms/d/e/1FAIpQLSdhNamFeglgVtt555M7xM7e8ZAg9KCWMEcDlLzX1oeZsyGxrg/viewform?usp=pp_url&amp;entry.580385001="&amp;C588&amp;"&amp;entry.1376952895="&amp;A588)</f>
        <v>https://docs.google.com/forms/d/e/1FAIpQLSdhNamFeglgVtt555M7xM7e8ZAg9KCWMEcDlLzX1oeZsyGxrg/viewform?usp=pp_url&amp;entry.580385001=&amp;entry.1376952895=</v>
      </c>
    </row>
    <row r="589">
      <c r="A589" s="25"/>
      <c r="B589" s="25"/>
      <c r="C589" s="25"/>
      <c r="D589" s="105" t="str">
        <f>IF(COUNTIF('Form responses 4'!B:B,C589)&gt;0, "", "https://docs.google.com/forms/d/e/1FAIpQLSdhNamFeglgVtt555M7xM7e8ZAg9KCWMEcDlLzX1oeZsyGxrg/viewform?usp=pp_url&amp;entry.580385001="&amp;C589&amp;"&amp;entry.1376952895="&amp;A589)</f>
        <v>https://docs.google.com/forms/d/e/1FAIpQLSdhNamFeglgVtt555M7xM7e8ZAg9KCWMEcDlLzX1oeZsyGxrg/viewform?usp=pp_url&amp;entry.580385001=&amp;entry.1376952895=</v>
      </c>
    </row>
    <row r="590">
      <c r="A590" s="25"/>
      <c r="B590" s="25"/>
      <c r="C590" s="25"/>
      <c r="D590" s="105" t="str">
        <f>IF(COUNTIF('Form responses 4'!B:B,C590)&gt;0, "", "https://docs.google.com/forms/d/e/1FAIpQLSdhNamFeglgVtt555M7xM7e8ZAg9KCWMEcDlLzX1oeZsyGxrg/viewform?usp=pp_url&amp;entry.580385001="&amp;C590&amp;"&amp;entry.1376952895="&amp;A590)</f>
        <v>https://docs.google.com/forms/d/e/1FAIpQLSdhNamFeglgVtt555M7xM7e8ZAg9KCWMEcDlLzX1oeZsyGxrg/viewform?usp=pp_url&amp;entry.580385001=&amp;entry.1376952895=</v>
      </c>
    </row>
    <row r="591">
      <c r="A591" s="25"/>
      <c r="B591" s="25"/>
      <c r="C591" s="25"/>
      <c r="D591" s="105" t="str">
        <f>IF(COUNTIF('Form responses 4'!B:B,C591)&gt;0, "", "https://docs.google.com/forms/d/e/1FAIpQLSdhNamFeglgVtt555M7xM7e8ZAg9KCWMEcDlLzX1oeZsyGxrg/viewform?usp=pp_url&amp;entry.580385001="&amp;C591&amp;"&amp;entry.1376952895="&amp;A591)</f>
        <v>https://docs.google.com/forms/d/e/1FAIpQLSdhNamFeglgVtt555M7xM7e8ZAg9KCWMEcDlLzX1oeZsyGxrg/viewform?usp=pp_url&amp;entry.580385001=&amp;entry.1376952895=</v>
      </c>
    </row>
    <row r="592">
      <c r="A592" s="25"/>
      <c r="B592" s="25"/>
      <c r="C592" s="25"/>
      <c r="D592" s="105" t="str">
        <f>IF(COUNTIF('Form responses 4'!B:B,C592)&gt;0, "", "https://docs.google.com/forms/d/e/1FAIpQLSdhNamFeglgVtt555M7xM7e8ZAg9KCWMEcDlLzX1oeZsyGxrg/viewform?usp=pp_url&amp;entry.580385001="&amp;C592&amp;"&amp;entry.1376952895="&amp;A592)</f>
        <v>https://docs.google.com/forms/d/e/1FAIpQLSdhNamFeglgVtt555M7xM7e8ZAg9KCWMEcDlLzX1oeZsyGxrg/viewform?usp=pp_url&amp;entry.580385001=&amp;entry.1376952895=</v>
      </c>
    </row>
    <row r="593">
      <c r="A593" s="25"/>
      <c r="B593" s="25"/>
      <c r="C593" s="25"/>
      <c r="D593" s="105" t="str">
        <f>IF(COUNTIF('Form responses 4'!B:B,C593)&gt;0, "", "https://docs.google.com/forms/d/e/1FAIpQLSdhNamFeglgVtt555M7xM7e8ZAg9KCWMEcDlLzX1oeZsyGxrg/viewform?usp=pp_url&amp;entry.580385001="&amp;C593&amp;"&amp;entry.1376952895="&amp;A593)</f>
        <v>https://docs.google.com/forms/d/e/1FAIpQLSdhNamFeglgVtt555M7xM7e8ZAg9KCWMEcDlLzX1oeZsyGxrg/viewform?usp=pp_url&amp;entry.580385001=&amp;entry.1376952895=</v>
      </c>
    </row>
    <row r="594">
      <c r="A594" s="25"/>
      <c r="B594" s="25"/>
      <c r="C594" s="25"/>
      <c r="D594" s="105" t="str">
        <f>IF(COUNTIF('Form responses 4'!B:B,C594)&gt;0, "", "https://docs.google.com/forms/d/e/1FAIpQLSdhNamFeglgVtt555M7xM7e8ZAg9KCWMEcDlLzX1oeZsyGxrg/viewform?usp=pp_url&amp;entry.580385001="&amp;C594&amp;"&amp;entry.1376952895="&amp;A594)</f>
        <v>https://docs.google.com/forms/d/e/1FAIpQLSdhNamFeglgVtt555M7xM7e8ZAg9KCWMEcDlLzX1oeZsyGxrg/viewform?usp=pp_url&amp;entry.580385001=&amp;entry.1376952895=</v>
      </c>
    </row>
    <row r="595">
      <c r="A595" s="25"/>
      <c r="B595" s="25"/>
      <c r="C595" s="25"/>
      <c r="D595" s="105" t="str">
        <f>IF(COUNTIF('Form responses 4'!B:B,C595)&gt;0, "", "https://docs.google.com/forms/d/e/1FAIpQLSdhNamFeglgVtt555M7xM7e8ZAg9KCWMEcDlLzX1oeZsyGxrg/viewform?usp=pp_url&amp;entry.580385001="&amp;C595&amp;"&amp;entry.1376952895="&amp;A595)</f>
        <v>https://docs.google.com/forms/d/e/1FAIpQLSdhNamFeglgVtt555M7xM7e8ZAg9KCWMEcDlLzX1oeZsyGxrg/viewform?usp=pp_url&amp;entry.580385001=&amp;entry.1376952895=</v>
      </c>
    </row>
    <row r="596">
      <c r="A596" s="25"/>
      <c r="B596" s="25"/>
      <c r="C596" s="25"/>
      <c r="D596" s="105" t="str">
        <f>IF(COUNTIF('Form responses 4'!B:B,C596)&gt;0, "", "https://docs.google.com/forms/d/e/1FAIpQLSdhNamFeglgVtt555M7xM7e8ZAg9KCWMEcDlLzX1oeZsyGxrg/viewform?usp=pp_url&amp;entry.580385001="&amp;C596&amp;"&amp;entry.1376952895="&amp;A596)</f>
        <v>https://docs.google.com/forms/d/e/1FAIpQLSdhNamFeglgVtt555M7xM7e8ZAg9KCWMEcDlLzX1oeZsyGxrg/viewform?usp=pp_url&amp;entry.580385001=&amp;entry.1376952895=</v>
      </c>
    </row>
    <row r="597">
      <c r="A597" s="25"/>
      <c r="B597" s="25"/>
      <c r="C597" s="25"/>
      <c r="D597" s="105" t="str">
        <f>IF(COUNTIF('Form responses 4'!B:B,C597)&gt;0, "", "https://docs.google.com/forms/d/e/1FAIpQLSdhNamFeglgVtt555M7xM7e8ZAg9KCWMEcDlLzX1oeZsyGxrg/viewform?usp=pp_url&amp;entry.580385001="&amp;C597&amp;"&amp;entry.1376952895="&amp;A597)</f>
        <v>https://docs.google.com/forms/d/e/1FAIpQLSdhNamFeglgVtt555M7xM7e8ZAg9KCWMEcDlLzX1oeZsyGxrg/viewform?usp=pp_url&amp;entry.580385001=&amp;entry.1376952895=</v>
      </c>
    </row>
    <row r="598">
      <c r="A598" s="25"/>
      <c r="B598" s="25"/>
      <c r="C598" s="25"/>
      <c r="D598" s="105" t="str">
        <f>IF(COUNTIF('Form responses 4'!B:B,C598)&gt;0, "", "https://docs.google.com/forms/d/e/1FAIpQLSdhNamFeglgVtt555M7xM7e8ZAg9KCWMEcDlLzX1oeZsyGxrg/viewform?usp=pp_url&amp;entry.580385001="&amp;C598&amp;"&amp;entry.1376952895="&amp;A598)</f>
        <v>https://docs.google.com/forms/d/e/1FAIpQLSdhNamFeglgVtt555M7xM7e8ZAg9KCWMEcDlLzX1oeZsyGxrg/viewform?usp=pp_url&amp;entry.580385001=&amp;entry.1376952895=</v>
      </c>
    </row>
    <row r="599">
      <c r="A599" s="25"/>
      <c r="B599" s="25"/>
      <c r="C599" s="25"/>
      <c r="D599" s="105" t="str">
        <f>IF(COUNTIF('Form responses 4'!B:B,C599)&gt;0, "", "https://docs.google.com/forms/d/e/1FAIpQLSdhNamFeglgVtt555M7xM7e8ZAg9KCWMEcDlLzX1oeZsyGxrg/viewform?usp=pp_url&amp;entry.580385001="&amp;C599&amp;"&amp;entry.1376952895="&amp;A599)</f>
        <v>https://docs.google.com/forms/d/e/1FAIpQLSdhNamFeglgVtt555M7xM7e8ZAg9KCWMEcDlLzX1oeZsyGxrg/viewform?usp=pp_url&amp;entry.580385001=&amp;entry.1376952895=</v>
      </c>
    </row>
    <row r="600">
      <c r="A600" s="25"/>
      <c r="B600" s="25"/>
      <c r="C600" s="25"/>
      <c r="D600" s="105" t="str">
        <f>IF(COUNTIF('Form responses 4'!B:B,C600)&gt;0, "", "https://docs.google.com/forms/d/e/1FAIpQLSdhNamFeglgVtt555M7xM7e8ZAg9KCWMEcDlLzX1oeZsyGxrg/viewform?usp=pp_url&amp;entry.580385001="&amp;C600&amp;"&amp;entry.1376952895="&amp;A600)</f>
        <v>https://docs.google.com/forms/d/e/1FAIpQLSdhNamFeglgVtt555M7xM7e8ZAg9KCWMEcDlLzX1oeZsyGxrg/viewform?usp=pp_url&amp;entry.580385001=&amp;entry.1376952895=</v>
      </c>
    </row>
    <row r="601">
      <c r="A601" s="25"/>
      <c r="B601" s="25"/>
      <c r="C601" s="25"/>
      <c r="D601" s="105" t="str">
        <f>IF(COUNTIF('Form responses 4'!B:B,C601)&gt;0, "", "https://docs.google.com/forms/d/e/1FAIpQLSdhNamFeglgVtt555M7xM7e8ZAg9KCWMEcDlLzX1oeZsyGxrg/viewform?usp=pp_url&amp;entry.580385001="&amp;C601&amp;"&amp;entry.1376952895="&amp;A601)</f>
        <v>https://docs.google.com/forms/d/e/1FAIpQLSdhNamFeglgVtt555M7xM7e8ZAg9KCWMEcDlLzX1oeZsyGxrg/viewform?usp=pp_url&amp;entry.580385001=&amp;entry.1376952895=</v>
      </c>
    </row>
    <row r="602">
      <c r="A602" s="25"/>
      <c r="B602" s="25"/>
      <c r="C602" s="25"/>
      <c r="D602" s="105" t="str">
        <f>IF(COUNTIF('Form responses 4'!B:B,C602)&gt;0, "", "https://docs.google.com/forms/d/e/1FAIpQLSdhNamFeglgVtt555M7xM7e8ZAg9KCWMEcDlLzX1oeZsyGxrg/viewform?usp=pp_url&amp;entry.580385001="&amp;C602&amp;"&amp;entry.1376952895="&amp;A602)</f>
        <v>https://docs.google.com/forms/d/e/1FAIpQLSdhNamFeglgVtt555M7xM7e8ZAg9KCWMEcDlLzX1oeZsyGxrg/viewform?usp=pp_url&amp;entry.580385001=&amp;entry.1376952895=</v>
      </c>
    </row>
    <row r="603">
      <c r="A603" s="25"/>
      <c r="B603" s="25"/>
      <c r="C603" s="25"/>
      <c r="D603" s="105" t="str">
        <f>IF(COUNTIF('Form responses 4'!B:B,C603)&gt;0, "", "https://docs.google.com/forms/d/e/1FAIpQLSdhNamFeglgVtt555M7xM7e8ZAg9KCWMEcDlLzX1oeZsyGxrg/viewform?usp=pp_url&amp;entry.580385001="&amp;C603&amp;"&amp;entry.1376952895="&amp;A603)</f>
        <v>https://docs.google.com/forms/d/e/1FAIpQLSdhNamFeglgVtt555M7xM7e8ZAg9KCWMEcDlLzX1oeZsyGxrg/viewform?usp=pp_url&amp;entry.580385001=&amp;entry.1376952895=</v>
      </c>
    </row>
    <row r="604">
      <c r="A604" s="25"/>
      <c r="B604" s="25"/>
      <c r="C604" s="25"/>
      <c r="D604" s="105" t="str">
        <f>IF(COUNTIF('Form responses 4'!B:B,C604)&gt;0, "", "https://docs.google.com/forms/d/e/1FAIpQLSdhNamFeglgVtt555M7xM7e8ZAg9KCWMEcDlLzX1oeZsyGxrg/viewform?usp=pp_url&amp;entry.580385001="&amp;C604&amp;"&amp;entry.1376952895="&amp;A604)</f>
        <v>https://docs.google.com/forms/d/e/1FAIpQLSdhNamFeglgVtt555M7xM7e8ZAg9KCWMEcDlLzX1oeZsyGxrg/viewform?usp=pp_url&amp;entry.580385001=&amp;entry.1376952895=</v>
      </c>
    </row>
    <row r="605">
      <c r="A605" s="25"/>
      <c r="B605" s="25"/>
      <c r="C605" s="25"/>
      <c r="D605" s="105" t="str">
        <f>IF(COUNTIF('Form responses 4'!B:B,C605)&gt;0, "", "https://docs.google.com/forms/d/e/1FAIpQLSdhNamFeglgVtt555M7xM7e8ZAg9KCWMEcDlLzX1oeZsyGxrg/viewform?usp=pp_url&amp;entry.580385001="&amp;C605&amp;"&amp;entry.1376952895="&amp;A605)</f>
        <v>https://docs.google.com/forms/d/e/1FAIpQLSdhNamFeglgVtt555M7xM7e8ZAg9KCWMEcDlLzX1oeZsyGxrg/viewform?usp=pp_url&amp;entry.580385001=&amp;entry.1376952895=</v>
      </c>
    </row>
    <row r="606">
      <c r="A606" s="25"/>
      <c r="B606" s="25"/>
      <c r="C606" s="25"/>
      <c r="D606" s="105" t="str">
        <f>IF(COUNTIF('Form responses 4'!B:B,C606)&gt;0, "", "https://docs.google.com/forms/d/e/1FAIpQLSdhNamFeglgVtt555M7xM7e8ZAg9KCWMEcDlLzX1oeZsyGxrg/viewform?usp=pp_url&amp;entry.580385001="&amp;C606&amp;"&amp;entry.1376952895="&amp;A606)</f>
        <v>https://docs.google.com/forms/d/e/1FAIpQLSdhNamFeglgVtt555M7xM7e8ZAg9KCWMEcDlLzX1oeZsyGxrg/viewform?usp=pp_url&amp;entry.580385001=&amp;entry.1376952895=</v>
      </c>
    </row>
    <row r="607">
      <c r="A607" s="25"/>
      <c r="B607" s="25"/>
      <c r="C607" s="25"/>
      <c r="D607" s="105" t="str">
        <f>IF(COUNTIF('Form responses 4'!B:B,C607)&gt;0, "", "https://docs.google.com/forms/d/e/1FAIpQLSdhNamFeglgVtt555M7xM7e8ZAg9KCWMEcDlLzX1oeZsyGxrg/viewform?usp=pp_url&amp;entry.580385001="&amp;C607&amp;"&amp;entry.1376952895="&amp;A607)</f>
        <v>https://docs.google.com/forms/d/e/1FAIpQLSdhNamFeglgVtt555M7xM7e8ZAg9KCWMEcDlLzX1oeZsyGxrg/viewform?usp=pp_url&amp;entry.580385001=&amp;entry.1376952895=</v>
      </c>
    </row>
    <row r="608">
      <c r="A608" s="25"/>
      <c r="B608" s="25"/>
      <c r="C608" s="25"/>
      <c r="D608" s="105" t="str">
        <f>IF(COUNTIF('Form responses 4'!B:B,C608)&gt;0, "", "https://docs.google.com/forms/d/e/1FAIpQLSdhNamFeglgVtt555M7xM7e8ZAg9KCWMEcDlLzX1oeZsyGxrg/viewform?usp=pp_url&amp;entry.580385001="&amp;C608&amp;"&amp;entry.1376952895="&amp;A608)</f>
        <v>https://docs.google.com/forms/d/e/1FAIpQLSdhNamFeglgVtt555M7xM7e8ZAg9KCWMEcDlLzX1oeZsyGxrg/viewform?usp=pp_url&amp;entry.580385001=&amp;entry.1376952895=</v>
      </c>
    </row>
    <row r="609">
      <c r="A609" s="25"/>
      <c r="B609" s="25"/>
      <c r="C609" s="25"/>
      <c r="D609" s="105" t="str">
        <f>IF(COUNTIF('Form responses 4'!B:B,C609)&gt;0, "", "https://docs.google.com/forms/d/e/1FAIpQLSdhNamFeglgVtt555M7xM7e8ZAg9KCWMEcDlLzX1oeZsyGxrg/viewform?usp=pp_url&amp;entry.580385001="&amp;C609&amp;"&amp;entry.1376952895="&amp;A609)</f>
        <v>https://docs.google.com/forms/d/e/1FAIpQLSdhNamFeglgVtt555M7xM7e8ZAg9KCWMEcDlLzX1oeZsyGxrg/viewform?usp=pp_url&amp;entry.580385001=&amp;entry.1376952895=</v>
      </c>
    </row>
    <row r="610">
      <c r="A610" s="25"/>
      <c r="B610" s="25"/>
      <c r="C610" s="25"/>
      <c r="D610" s="105" t="str">
        <f>IF(COUNTIF('Form responses 4'!B:B,C610)&gt;0, "", "https://docs.google.com/forms/d/e/1FAIpQLSdhNamFeglgVtt555M7xM7e8ZAg9KCWMEcDlLzX1oeZsyGxrg/viewform?usp=pp_url&amp;entry.580385001="&amp;C610&amp;"&amp;entry.1376952895="&amp;A610)</f>
        <v>https://docs.google.com/forms/d/e/1FAIpQLSdhNamFeglgVtt555M7xM7e8ZAg9KCWMEcDlLzX1oeZsyGxrg/viewform?usp=pp_url&amp;entry.580385001=&amp;entry.1376952895=</v>
      </c>
    </row>
    <row r="611">
      <c r="A611" s="25"/>
      <c r="B611" s="25"/>
      <c r="C611" s="25"/>
      <c r="D611" s="105" t="str">
        <f>IF(COUNTIF('Form responses 4'!B:B,C611)&gt;0, "", "https://docs.google.com/forms/d/e/1FAIpQLSdhNamFeglgVtt555M7xM7e8ZAg9KCWMEcDlLzX1oeZsyGxrg/viewform?usp=pp_url&amp;entry.580385001="&amp;C611&amp;"&amp;entry.1376952895="&amp;A611)</f>
        <v>https://docs.google.com/forms/d/e/1FAIpQLSdhNamFeglgVtt555M7xM7e8ZAg9KCWMEcDlLzX1oeZsyGxrg/viewform?usp=pp_url&amp;entry.580385001=&amp;entry.1376952895=</v>
      </c>
    </row>
    <row r="612">
      <c r="A612" s="25"/>
      <c r="B612" s="25"/>
      <c r="C612" s="25"/>
      <c r="D612" s="105" t="str">
        <f>IF(COUNTIF('Form responses 4'!B:B,C612)&gt;0, "", "https://docs.google.com/forms/d/e/1FAIpQLSdhNamFeglgVtt555M7xM7e8ZAg9KCWMEcDlLzX1oeZsyGxrg/viewform?usp=pp_url&amp;entry.580385001="&amp;C612&amp;"&amp;entry.1376952895="&amp;A612)</f>
        <v>https://docs.google.com/forms/d/e/1FAIpQLSdhNamFeglgVtt555M7xM7e8ZAg9KCWMEcDlLzX1oeZsyGxrg/viewform?usp=pp_url&amp;entry.580385001=&amp;entry.1376952895=</v>
      </c>
    </row>
    <row r="613">
      <c r="A613" s="25"/>
      <c r="B613" s="25"/>
      <c r="C613" s="25"/>
      <c r="D613" s="105" t="str">
        <f>IF(COUNTIF('Form responses 4'!B:B,C613)&gt;0, "", "https://docs.google.com/forms/d/e/1FAIpQLSdhNamFeglgVtt555M7xM7e8ZAg9KCWMEcDlLzX1oeZsyGxrg/viewform?usp=pp_url&amp;entry.580385001="&amp;C613&amp;"&amp;entry.1376952895="&amp;A613)</f>
        <v>https://docs.google.com/forms/d/e/1FAIpQLSdhNamFeglgVtt555M7xM7e8ZAg9KCWMEcDlLzX1oeZsyGxrg/viewform?usp=pp_url&amp;entry.580385001=&amp;entry.1376952895=</v>
      </c>
    </row>
    <row r="614">
      <c r="A614" s="25"/>
      <c r="B614" s="25"/>
      <c r="C614" s="25"/>
      <c r="D614" s="105" t="str">
        <f>IF(COUNTIF('Form responses 4'!B:B,C614)&gt;0, "", "https://docs.google.com/forms/d/e/1FAIpQLSdhNamFeglgVtt555M7xM7e8ZAg9KCWMEcDlLzX1oeZsyGxrg/viewform?usp=pp_url&amp;entry.580385001="&amp;C614&amp;"&amp;entry.1376952895="&amp;A614)</f>
        <v>https://docs.google.com/forms/d/e/1FAIpQLSdhNamFeglgVtt555M7xM7e8ZAg9KCWMEcDlLzX1oeZsyGxrg/viewform?usp=pp_url&amp;entry.580385001=&amp;entry.1376952895=</v>
      </c>
    </row>
    <row r="615">
      <c r="A615" s="25"/>
      <c r="B615" s="25"/>
      <c r="C615" s="25"/>
      <c r="D615" s="105" t="str">
        <f>IF(COUNTIF('Form responses 4'!B:B,C615)&gt;0, "", "https://docs.google.com/forms/d/e/1FAIpQLSdhNamFeglgVtt555M7xM7e8ZAg9KCWMEcDlLzX1oeZsyGxrg/viewform?usp=pp_url&amp;entry.580385001="&amp;C615&amp;"&amp;entry.1376952895="&amp;A615)</f>
        <v>https://docs.google.com/forms/d/e/1FAIpQLSdhNamFeglgVtt555M7xM7e8ZAg9KCWMEcDlLzX1oeZsyGxrg/viewform?usp=pp_url&amp;entry.580385001=&amp;entry.1376952895=</v>
      </c>
    </row>
    <row r="616">
      <c r="A616" s="25"/>
      <c r="B616" s="25"/>
      <c r="C616" s="25"/>
      <c r="D616" s="105" t="str">
        <f>IF(COUNTIF('Form responses 4'!B:B,C616)&gt;0, "", "https://docs.google.com/forms/d/e/1FAIpQLSdhNamFeglgVtt555M7xM7e8ZAg9KCWMEcDlLzX1oeZsyGxrg/viewform?usp=pp_url&amp;entry.580385001="&amp;C616&amp;"&amp;entry.1376952895="&amp;A616)</f>
        <v>https://docs.google.com/forms/d/e/1FAIpQLSdhNamFeglgVtt555M7xM7e8ZAg9KCWMEcDlLzX1oeZsyGxrg/viewform?usp=pp_url&amp;entry.580385001=&amp;entry.1376952895=</v>
      </c>
    </row>
    <row r="617">
      <c r="A617" s="25"/>
      <c r="B617" s="25"/>
      <c r="C617" s="25"/>
      <c r="D617" s="105" t="str">
        <f>IF(COUNTIF('Form responses 4'!B:B,C617)&gt;0, "", "https://docs.google.com/forms/d/e/1FAIpQLSdhNamFeglgVtt555M7xM7e8ZAg9KCWMEcDlLzX1oeZsyGxrg/viewform?usp=pp_url&amp;entry.580385001="&amp;C617&amp;"&amp;entry.1376952895="&amp;A617)</f>
        <v>https://docs.google.com/forms/d/e/1FAIpQLSdhNamFeglgVtt555M7xM7e8ZAg9KCWMEcDlLzX1oeZsyGxrg/viewform?usp=pp_url&amp;entry.580385001=&amp;entry.1376952895=</v>
      </c>
    </row>
    <row r="618">
      <c r="A618" s="25"/>
      <c r="B618" s="25"/>
      <c r="C618" s="25"/>
      <c r="D618" s="105" t="str">
        <f>IF(COUNTIF('Form responses 4'!B:B,C618)&gt;0, "", "https://docs.google.com/forms/d/e/1FAIpQLSdhNamFeglgVtt555M7xM7e8ZAg9KCWMEcDlLzX1oeZsyGxrg/viewform?usp=pp_url&amp;entry.580385001="&amp;C618&amp;"&amp;entry.1376952895="&amp;A618)</f>
        <v>https://docs.google.com/forms/d/e/1FAIpQLSdhNamFeglgVtt555M7xM7e8ZAg9KCWMEcDlLzX1oeZsyGxrg/viewform?usp=pp_url&amp;entry.580385001=&amp;entry.1376952895=</v>
      </c>
    </row>
    <row r="619">
      <c r="A619" s="25"/>
      <c r="B619" s="25"/>
      <c r="C619" s="25"/>
      <c r="D619" s="105" t="str">
        <f>IF(COUNTIF('Form responses 4'!B:B,C619)&gt;0, "", "https://docs.google.com/forms/d/e/1FAIpQLSdhNamFeglgVtt555M7xM7e8ZAg9KCWMEcDlLzX1oeZsyGxrg/viewform?usp=pp_url&amp;entry.580385001="&amp;C619&amp;"&amp;entry.1376952895="&amp;A619)</f>
        <v>https://docs.google.com/forms/d/e/1FAIpQLSdhNamFeglgVtt555M7xM7e8ZAg9KCWMEcDlLzX1oeZsyGxrg/viewform?usp=pp_url&amp;entry.580385001=&amp;entry.1376952895=</v>
      </c>
    </row>
    <row r="620">
      <c r="A620" s="25"/>
      <c r="B620" s="25"/>
      <c r="C620" s="25"/>
      <c r="D620" s="105" t="str">
        <f>IF(COUNTIF('Form responses 4'!B:B,C620)&gt;0, "", "https://docs.google.com/forms/d/e/1FAIpQLSdhNamFeglgVtt555M7xM7e8ZAg9KCWMEcDlLzX1oeZsyGxrg/viewform?usp=pp_url&amp;entry.580385001="&amp;C620&amp;"&amp;entry.1376952895="&amp;A620)</f>
        <v>https://docs.google.com/forms/d/e/1FAIpQLSdhNamFeglgVtt555M7xM7e8ZAg9KCWMEcDlLzX1oeZsyGxrg/viewform?usp=pp_url&amp;entry.580385001=&amp;entry.1376952895=</v>
      </c>
    </row>
    <row r="621">
      <c r="A621" s="25"/>
      <c r="B621" s="25"/>
      <c r="C621" s="25"/>
      <c r="D621" s="105" t="str">
        <f>IF(COUNTIF('Form responses 4'!B:B,C621)&gt;0, "", "https://docs.google.com/forms/d/e/1FAIpQLSdhNamFeglgVtt555M7xM7e8ZAg9KCWMEcDlLzX1oeZsyGxrg/viewform?usp=pp_url&amp;entry.580385001="&amp;C621&amp;"&amp;entry.1376952895="&amp;A621)</f>
        <v>https://docs.google.com/forms/d/e/1FAIpQLSdhNamFeglgVtt555M7xM7e8ZAg9KCWMEcDlLzX1oeZsyGxrg/viewform?usp=pp_url&amp;entry.580385001=&amp;entry.1376952895=</v>
      </c>
    </row>
    <row r="622">
      <c r="A622" s="25"/>
      <c r="B622" s="25"/>
      <c r="C622" s="25"/>
      <c r="D622" s="105" t="str">
        <f>IF(COUNTIF('Form responses 4'!B:B,C622)&gt;0, "", "https://docs.google.com/forms/d/e/1FAIpQLSdhNamFeglgVtt555M7xM7e8ZAg9KCWMEcDlLzX1oeZsyGxrg/viewform?usp=pp_url&amp;entry.580385001="&amp;C622&amp;"&amp;entry.1376952895="&amp;A622)</f>
        <v>https://docs.google.com/forms/d/e/1FAIpQLSdhNamFeglgVtt555M7xM7e8ZAg9KCWMEcDlLzX1oeZsyGxrg/viewform?usp=pp_url&amp;entry.580385001=&amp;entry.1376952895=</v>
      </c>
    </row>
    <row r="623">
      <c r="A623" s="25"/>
      <c r="B623" s="25"/>
      <c r="C623" s="25"/>
      <c r="D623" s="105" t="str">
        <f>IF(COUNTIF('Form responses 4'!B:B,C623)&gt;0, "", "https://docs.google.com/forms/d/e/1FAIpQLSdhNamFeglgVtt555M7xM7e8ZAg9KCWMEcDlLzX1oeZsyGxrg/viewform?usp=pp_url&amp;entry.580385001="&amp;C623&amp;"&amp;entry.1376952895="&amp;A623)</f>
        <v>https://docs.google.com/forms/d/e/1FAIpQLSdhNamFeglgVtt555M7xM7e8ZAg9KCWMEcDlLzX1oeZsyGxrg/viewform?usp=pp_url&amp;entry.580385001=&amp;entry.1376952895=</v>
      </c>
    </row>
    <row r="624">
      <c r="A624" s="25"/>
      <c r="B624" s="25"/>
      <c r="C624" s="25"/>
      <c r="D624" s="105" t="str">
        <f>IF(COUNTIF('Form responses 4'!B:B,C624)&gt;0, "", "https://docs.google.com/forms/d/e/1FAIpQLSdhNamFeglgVtt555M7xM7e8ZAg9KCWMEcDlLzX1oeZsyGxrg/viewform?usp=pp_url&amp;entry.580385001="&amp;C624&amp;"&amp;entry.1376952895="&amp;A624)</f>
        <v>https://docs.google.com/forms/d/e/1FAIpQLSdhNamFeglgVtt555M7xM7e8ZAg9KCWMEcDlLzX1oeZsyGxrg/viewform?usp=pp_url&amp;entry.580385001=&amp;entry.1376952895=</v>
      </c>
    </row>
    <row r="625">
      <c r="A625" s="25"/>
      <c r="B625" s="25"/>
      <c r="C625" s="25"/>
      <c r="D625" s="105" t="str">
        <f>IF(COUNTIF('Form responses 4'!B:B,C625)&gt;0, "", "https://docs.google.com/forms/d/e/1FAIpQLSdhNamFeglgVtt555M7xM7e8ZAg9KCWMEcDlLzX1oeZsyGxrg/viewform?usp=pp_url&amp;entry.580385001="&amp;C625&amp;"&amp;entry.1376952895="&amp;A625)</f>
        <v>https://docs.google.com/forms/d/e/1FAIpQLSdhNamFeglgVtt555M7xM7e8ZAg9KCWMEcDlLzX1oeZsyGxrg/viewform?usp=pp_url&amp;entry.580385001=&amp;entry.1376952895=</v>
      </c>
    </row>
    <row r="626">
      <c r="A626" s="25"/>
      <c r="B626" s="25"/>
      <c r="C626" s="25"/>
      <c r="D626" s="105" t="str">
        <f>IF(COUNTIF('Form responses 4'!B:B,C626)&gt;0, "", "https://docs.google.com/forms/d/e/1FAIpQLSdhNamFeglgVtt555M7xM7e8ZAg9KCWMEcDlLzX1oeZsyGxrg/viewform?usp=pp_url&amp;entry.580385001="&amp;C626&amp;"&amp;entry.1376952895="&amp;A626)</f>
        <v>https://docs.google.com/forms/d/e/1FAIpQLSdhNamFeglgVtt555M7xM7e8ZAg9KCWMEcDlLzX1oeZsyGxrg/viewform?usp=pp_url&amp;entry.580385001=&amp;entry.1376952895=</v>
      </c>
    </row>
    <row r="627">
      <c r="A627" s="25"/>
      <c r="B627" s="25"/>
      <c r="C627" s="25"/>
      <c r="D627" s="105" t="str">
        <f>IF(COUNTIF('Form responses 4'!B:B,C627)&gt;0, "", "https://docs.google.com/forms/d/e/1FAIpQLSdhNamFeglgVtt555M7xM7e8ZAg9KCWMEcDlLzX1oeZsyGxrg/viewform?usp=pp_url&amp;entry.580385001="&amp;C627&amp;"&amp;entry.1376952895="&amp;A627)</f>
        <v>https://docs.google.com/forms/d/e/1FAIpQLSdhNamFeglgVtt555M7xM7e8ZAg9KCWMEcDlLzX1oeZsyGxrg/viewform?usp=pp_url&amp;entry.580385001=&amp;entry.1376952895=</v>
      </c>
    </row>
    <row r="628">
      <c r="A628" s="25"/>
      <c r="B628" s="25"/>
      <c r="C628" s="25"/>
      <c r="D628" s="105" t="str">
        <f>IF(COUNTIF('Form responses 4'!B:B,C628)&gt;0, "", "https://docs.google.com/forms/d/e/1FAIpQLSdhNamFeglgVtt555M7xM7e8ZAg9KCWMEcDlLzX1oeZsyGxrg/viewform?usp=pp_url&amp;entry.580385001="&amp;C628&amp;"&amp;entry.1376952895="&amp;A628)</f>
        <v>https://docs.google.com/forms/d/e/1FAIpQLSdhNamFeglgVtt555M7xM7e8ZAg9KCWMEcDlLzX1oeZsyGxrg/viewform?usp=pp_url&amp;entry.580385001=&amp;entry.1376952895=</v>
      </c>
    </row>
    <row r="629">
      <c r="A629" s="25"/>
      <c r="B629" s="25"/>
      <c r="C629" s="25"/>
      <c r="D629" s="105" t="str">
        <f>IF(COUNTIF('Form responses 4'!B:B,C629)&gt;0, "", "https://docs.google.com/forms/d/e/1FAIpQLSdhNamFeglgVtt555M7xM7e8ZAg9KCWMEcDlLzX1oeZsyGxrg/viewform?usp=pp_url&amp;entry.580385001="&amp;C629&amp;"&amp;entry.1376952895="&amp;A629)</f>
        <v>https://docs.google.com/forms/d/e/1FAIpQLSdhNamFeglgVtt555M7xM7e8ZAg9KCWMEcDlLzX1oeZsyGxrg/viewform?usp=pp_url&amp;entry.580385001=&amp;entry.1376952895=</v>
      </c>
    </row>
    <row r="630">
      <c r="A630" s="25"/>
      <c r="B630" s="25"/>
      <c r="C630" s="25"/>
      <c r="D630" s="105" t="str">
        <f>IF(COUNTIF('Form responses 4'!B:B,C630)&gt;0, "", "https://docs.google.com/forms/d/e/1FAIpQLSdhNamFeglgVtt555M7xM7e8ZAg9KCWMEcDlLzX1oeZsyGxrg/viewform?usp=pp_url&amp;entry.580385001="&amp;C630&amp;"&amp;entry.1376952895="&amp;A630)</f>
        <v>https://docs.google.com/forms/d/e/1FAIpQLSdhNamFeglgVtt555M7xM7e8ZAg9KCWMEcDlLzX1oeZsyGxrg/viewform?usp=pp_url&amp;entry.580385001=&amp;entry.1376952895=</v>
      </c>
    </row>
    <row r="631">
      <c r="A631" s="25"/>
      <c r="B631" s="25"/>
      <c r="C631" s="25"/>
      <c r="D631" s="105" t="str">
        <f>IF(COUNTIF('Form responses 4'!B:B,C631)&gt;0, "", "https://docs.google.com/forms/d/e/1FAIpQLSdhNamFeglgVtt555M7xM7e8ZAg9KCWMEcDlLzX1oeZsyGxrg/viewform?usp=pp_url&amp;entry.580385001="&amp;C631&amp;"&amp;entry.1376952895="&amp;A631)</f>
        <v>https://docs.google.com/forms/d/e/1FAIpQLSdhNamFeglgVtt555M7xM7e8ZAg9KCWMEcDlLzX1oeZsyGxrg/viewform?usp=pp_url&amp;entry.580385001=&amp;entry.1376952895=</v>
      </c>
    </row>
    <row r="632">
      <c r="A632" s="25"/>
      <c r="B632" s="25"/>
      <c r="C632" s="25"/>
      <c r="D632" s="105" t="str">
        <f>IF(COUNTIF('Form responses 4'!B:B,C632)&gt;0, "", "https://docs.google.com/forms/d/e/1FAIpQLSdhNamFeglgVtt555M7xM7e8ZAg9KCWMEcDlLzX1oeZsyGxrg/viewform?usp=pp_url&amp;entry.580385001="&amp;C632&amp;"&amp;entry.1376952895="&amp;A632)</f>
        <v>https://docs.google.com/forms/d/e/1FAIpQLSdhNamFeglgVtt555M7xM7e8ZAg9KCWMEcDlLzX1oeZsyGxrg/viewform?usp=pp_url&amp;entry.580385001=&amp;entry.1376952895=</v>
      </c>
    </row>
    <row r="633">
      <c r="A633" s="25"/>
      <c r="B633" s="25"/>
      <c r="C633" s="25"/>
      <c r="D633" s="105" t="str">
        <f>IF(COUNTIF('Form responses 4'!B:B,C633)&gt;0, "", "https://docs.google.com/forms/d/e/1FAIpQLSdhNamFeglgVtt555M7xM7e8ZAg9KCWMEcDlLzX1oeZsyGxrg/viewform?usp=pp_url&amp;entry.580385001="&amp;C633&amp;"&amp;entry.1376952895="&amp;A633)</f>
        <v>https://docs.google.com/forms/d/e/1FAIpQLSdhNamFeglgVtt555M7xM7e8ZAg9KCWMEcDlLzX1oeZsyGxrg/viewform?usp=pp_url&amp;entry.580385001=&amp;entry.1376952895=</v>
      </c>
    </row>
    <row r="634">
      <c r="A634" s="25"/>
      <c r="B634" s="25"/>
      <c r="C634" s="25"/>
      <c r="D634" s="105" t="str">
        <f>IF(COUNTIF('Form responses 4'!B:B,C634)&gt;0, "", "https://docs.google.com/forms/d/e/1FAIpQLSdhNamFeglgVtt555M7xM7e8ZAg9KCWMEcDlLzX1oeZsyGxrg/viewform?usp=pp_url&amp;entry.580385001="&amp;C634&amp;"&amp;entry.1376952895="&amp;A634)</f>
        <v>https://docs.google.com/forms/d/e/1FAIpQLSdhNamFeglgVtt555M7xM7e8ZAg9KCWMEcDlLzX1oeZsyGxrg/viewform?usp=pp_url&amp;entry.580385001=&amp;entry.1376952895=</v>
      </c>
    </row>
    <row r="635">
      <c r="A635" s="25"/>
      <c r="B635" s="25"/>
      <c r="C635" s="25"/>
      <c r="D635" s="105" t="str">
        <f>IF(COUNTIF('Form responses 4'!B:B,C635)&gt;0, "", "https://docs.google.com/forms/d/e/1FAIpQLSdhNamFeglgVtt555M7xM7e8ZAg9KCWMEcDlLzX1oeZsyGxrg/viewform?usp=pp_url&amp;entry.580385001="&amp;C635&amp;"&amp;entry.1376952895="&amp;A635)</f>
        <v>https://docs.google.com/forms/d/e/1FAIpQLSdhNamFeglgVtt555M7xM7e8ZAg9KCWMEcDlLzX1oeZsyGxrg/viewform?usp=pp_url&amp;entry.580385001=&amp;entry.1376952895=</v>
      </c>
    </row>
    <row r="636">
      <c r="A636" s="25"/>
      <c r="B636" s="25"/>
      <c r="C636" s="25"/>
      <c r="D636" s="105" t="str">
        <f>IF(COUNTIF('Form responses 4'!B:B,C636)&gt;0, "", "https://docs.google.com/forms/d/e/1FAIpQLSdhNamFeglgVtt555M7xM7e8ZAg9KCWMEcDlLzX1oeZsyGxrg/viewform?usp=pp_url&amp;entry.580385001="&amp;C636&amp;"&amp;entry.1376952895="&amp;A636)</f>
        <v>https://docs.google.com/forms/d/e/1FAIpQLSdhNamFeglgVtt555M7xM7e8ZAg9KCWMEcDlLzX1oeZsyGxrg/viewform?usp=pp_url&amp;entry.580385001=&amp;entry.1376952895=</v>
      </c>
    </row>
    <row r="637">
      <c r="A637" s="25"/>
      <c r="B637" s="25"/>
      <c r="C637" s="25"/>
      <c r="D637" s="105" t="str">
        <f>IF(COUNTIF('Form responses 4'!B:B,C637)&gt;0, "", "https://docs.google.com/forms/d/e/1FAIpQLSdhNamFeglgVtt555M7xM7e8ZAg9KCWMEcDlLzX1oeZsyGxrg/viewform?usp=pp_url&amp;entry.580385001="&amp;C637&amp;"&amp;entry.1376952895="&amp;A637)</f>
        <v>https://docs.google.com/forms/d/e/1FAIpQLSdhNamFeglgVtt555M7xM7e8ZAg9KCWMEcDlLzX1oeZsyGxrg/viewform?usp=pp_url&amp;entry.580385001=&amp;entry.1376952895=</v>
      </c>
    </row>
    <row r="638">
      <c r="A638" s="25"/>
      <c r="B638" s="25"/>
      <c r="C638" s="25"/>
      <c r="D638" s="105" t="str">
        <f>IF(COUNTIF('Form responses 4'!B:B,C638)&gt;0, "", "https://docs.google.com/forms/d/e/1FAIpQLSdhNamFeglgVtt555M7xM7e8ZAg9KCWMEcDlLzX1oeZsyGxrg/viewform?usp=pp_url&amp;entry.580385001="&amp;C638&amp;"&amp;entry.1376952895="&amp;A638)</f>
        <v>https://docs.google.com/forms/d/e/1FAIpQLSdhNamFeglgVtt555M7xM7e8ZAg9KCWMEcDlLzX1oeZsyGxrg/viewform?usp=pp_url&amp;entry.580385001=&amp;entry.1376952895=</v>
      </c>
    </row>
    <row r="639">
      <c r="A639" s="25"/>
      <c r="B639" s="25"/>
      <c r="C639" s="25"/>
      <c r="D639" s="105" t="str">
        <f>IF(COUNTIF('Form responses 4'!B:B,C639)&gt;0, "", "https://docs.google.com/forms/d/e/1FAIpQLSdhNamFeglgVtt555M7xM7e8ZAg9KCWMEcDlLzX1oeZsyGxrg/viewform?usp=pp_url&amp;entry.580385001="&amp;C639&amp;"&amp;entry.1376952895="&amp;A639)</f>
        <v>https://docs.google.com/forms/d/e/1FAIpQLSdhNamFeglgVtt555M7xM7e8ZAg9KCWMEcDlLzX1oeZsyGxrg/viewform?usp=pp_url&amp;entry.580385001=&amp;entry.1376952895=</v>
      </c>
    </row>
    <row r="640">
      <c r="A640" s="25"/>
      <c r="B640" s="25"/>
      <c r="C640" s="25"/>
      <c r="D640" s="105" t="str">
        <f>IF(COUNTIF('Form responses 4'!B:B,C640)&gt;0, "", "https://docs.google.com/forms/d/e/1FAIpQLSdhNamFeglgVtt555M7xM7e8ZAg9KCWMEcDlLzX1oeZsyGxrg/viewform?usp=pp_url&amp;entry.580385001="&amp;C640&amp;"&amp;entry.1376952895="&amp;A640)</f>
        <v>https://docs.google.com/forms/d/e/1FAIpQLSdhNamFeglgVtt555M7xM7e8ZAg9KCWMEcDlLzX1oeZsyGxrg/viewform?usp=pp_url&amp;entry.580385001=&amp;entry.1376952895=</v>
      </c>
    </row>
    <row r="641">
      <c r="A641" s="25"/>
      <c r="B641" s="25"/>
      <c r="C641" s="25"/>
      <c r="D641" s="105" t="str">
        <f>IF(COUNTIF('Form responses 4'!B:B,C641)&gt;0, "", "https://docs.google.com/forms/d/e/1FAIpQLSdhNamFeglgVtt555M7xM7e8ZAg9KCWMEcDlLzX1oeZsyGxrg/viewform?usp=pp_url&amp;entry.580385001="&amp;C641&amp;"&amp;entry.1376952895="&amp;A641)</f>
        <v>https://docs.google.com/forms/d/e/1FAIpQLSdhNamFeglgVtt555M7xM7e8ZAg9KCWMEcDlLzX1oeZsyGxrg/viewform?usp=pp_url&amp;entry.580385001=&amp;entry.1376952895=</v>
      </c>
    </row>
    <row r="642">
      <c r="A642" s="25"/>
      <c r="B642" s="25"/>
      <c r="C642" s="25"/>
      <c r="D642" s="105" t="str">
        <f>IF(COUNTIF('Form responses 4'!B:B,C642)&gt;0, "", "https://docs.google.com/forms/d/e/1FAIpQLSdhNamFeglgVtt555M7xM7e8ZAg9KCWMEcDlLzX1oeZsyGxrg/viewform?usp=pp_url&amp;entry.580385001="&amp;C642&amp;"&amp;entry.1376952895="&amp;A642)</f>
        <v>https://docs.google.com/forms/d/e/1FAIpQLSdhNamFeglgVtt555M7xM7e8ZAg9KCWMEcDlLzX1oeZsyGxrg/viewform?usp=pp_url&amp;entry.580385001=&amp;entry.1376952895=</v>
      </c>
    </row>
    <row r="643">
      <c r="A643" s="25"/>
      <c r="B643" s="25"/>
      <c r="C643" s="25"/>
      <c r="D643" s="105" t="str">
        <f>IF(COUNTIF('Form responses 4'!B:B,C643)&gt;0, "", "https://docs.google.com/forms/d/e/1FAIpQLSdhNamFeglgVtt555M7xM7e8ZAg9KCWMEcDlLzX1oeZsyGxrg/viewform?usp=pp_url&amp;entry.580385001="&amp;C643&amp;"&amp;entry.1376952895="&amp;A643)</f>
        <v>https://docs.google.com/forms/d/e/1FAIpQLSdhNamFeglgVtt555M7xM7e8ZAg9KCWMEcDlLzX1oeZsyGxrg/viewform?usp=pp_url&amp;entry.580385001=&amp;entry.1376952895=</v>
      </c>
    </row>
    <row r="644">
      <c r="A644" s="25"/>
      <c r="B644" s="25"/>
      <c r="C644" s="25"/>
      <c r="D644" s="105" t="str">
        <f>IF(COUNTIF('Form responses 4'!B:B,C644)&gt;0, "", "https://docs.google.com/forms/d/e/1FAIpQLSdhNamFeglgVtt555M7xM7e8ZAg9KCWMEcDlLzX1oeZsyGxrg/viewform?usp=pp_url&amp;entry.580385001="&amp;C644&amp;"&amp;entry.1376952895="&amp;A644)</f>
        <v>https://docs.google.com/forms/d/e/1FAIpQLSdhNamFeglgVtt555M7xM7e8ZAg9KCWMEcDlLzX1oeZsyGxrg/viewform?usp=pp_url&amp;entry.580385001=&amp;entry.1376952895=</v>
      </c>
    </row>
    <row r="645">
      <c r="A645" s="25"/>
      <c r="B645" s="25"/>
      <c r="C645" s="25"/>
      <c r="D645" s="105" t="str">
        <f>IF(COUNTIF('Form responses 4'!B:B,C645)&gt;0, "", "https://docs.google.com/forms/d/e/1FAIpQLSdhNamFeglgVtt555M7xM7e8ZAg9KCWMEcDlLzX1oeZsyGxrg/viewform?usp=pp_url&amp;entry.580385001="&amp;C645&amp;"&amp;entry.1376952895="&amp;A645)</f>
        <v>https://docs.google.com/forms/d/e/1FAIpQLSdhNamFeglgVtt555M7xM7e8ZAg9KCWMEcDlLzX1oeZsyGxrg/viewform?usp=pp_url&amp;entry.580385001=&amp;entry.1376952895=</v>
      </c>
    </row>
    <row r="646">
      <c r="A646" s="25"/>
      <c r="B646" s="25"/>
      <c r="C646" s="25"/>
      <c r="D646" s="105" t="str">
        <f>IF(COUNTIF('Form responses 4'!B:B,C646)&gt;0, "", "https://docs.google.com/forms/d/e/1FAIpQLSdhNamFeglgVtt555M7xM7e8ZAg9KCWMEcDlLzX1oeZsyGxrg/viewform?usp=pp_url&amp;entry.580385001="&amp;C646&amp;"&amp;entry.1376952895="&amp;A646)</f>
        <v>https://docs.google.com/forms/d/e/1FAIpQLSdhNamFeglgVtt555M7xM7e8ZAg9KCWMEcDlLzX1oeZsyGxrg/viewform?usp=pp_url&amp;entry.580385001=&amp;entry.1376952895=</v>
      </c>
    </row>
    <row r="647">
      <c r="A647" s="25"/>
      <c r="B647" s="25"/>
      <c r="C647" s="25"/>
      <c r="D647" s="105" t="str">
        <f>IF(COUNTIF('Form responses 4'!B:B,C647)&gt;0, "", "https://docs.google.com/forms/d/e/1FAIpQLSdhNamFeglgVtt555M7xM7e8ZAg9KCWMEcDlLzX1oeZsyGxrg/viewform?usp=pp_url&amp;entry.580385001="&amp;C647&amp;"&amp;entry.1376952895="&amp;A647)</f>
        <v>https://docs.google.com/forms/d/e/1FAIpQLSdhNamFeglgVtt555M7xM7e8ZAg9KCWMEcDlLzX1oeZsyGxrg/viewform?usp=pp_url&amp;entry.580385001=&amp;entry.1376952895=</v>
      </c>
    </row>
    <row r="648">
      <c r="A648" s="25"/>
      <c r="B648" s="25"/>
      <c r="C648" s="25"/>
      <c r="D648" s="105" t="str">
        <f>IF(COUNTIF('Form responses 4'!B:B,C648)&gt;0, "", "https://docs.google.com/forms/d/e/1FAIpQLSdhNamFeglgVtt555M7xM7e8ZAg9KCWMEcDlLzX1oeZsyGxrg/viewform?usp=pp_url&amp;entry.580385001="&amp;C648&amp;"&amp;entry.1376952895="&amp;A648)</f>
        <v>https://docs.google.com/forms/d/e/1FAIpQLSdhNamFeglgVtt555M7xM7e8ZAg9KCWMEcDlLzX1oeZsyGxrg/viewform?usp=pp_url&amp;entry.580385001=&amp;entry.1376952895=</v>
      </c>
    </row>
    <row r="649">
      <c r="A649" s="25"/>
      <c r="B649" s="25"/>
      <c r="C649" s="25"/>
      <c r="D649" s="105" t="str">
        <f>IF(COUNTIF('Form responses 4'!B:B,C649)&gt;0, "", "https://docs.google.com/forms/d/e/1FAIpQLSdhNamFeglgVtt555M7xM7e8ZAg9KCWMEcDlLzX1oeZsyGxrg/viewform?usp=pp_url&amp;entry.580385001="&amp;C649&amp;"&amp;entry.1376952895="&amp;A649)</f>
        <v>https://docs.google.com/forms/d/e/1FAIpQLSdhNamFeglgVtt555M7xM7e8ZAg9KCWMEcDlLzX1oeZsyGxrg/viewform?usp=pp_url&amp;entry.580385001=&amp;entry.1376952895=</v>
      </c>
    </row>
    <row r="650">
      <c r="A650" s="25"/>
      <c r="B650" s="25"/>
      <c r="C650" s="25"/>
      <c r="D650" s="105" t="str">
        <f>IF(COUNTIF('Form responses 4'!B:B,C650)&gt;0, "", "https://docs.google.com/forms/d/e/1FAIpQLSdhNamFeglgVtt555M7xM7e8ZAg9KCWMEcDlLzX1oeZsyGxrg/viewform?usp=pp_url&amp;entry.580385001="&amp;C650&amp;"&amp;entry.1376952895="&amp;A650)</f>
        <v>https://docs.google.com/forms/d/e/1FAIpQLSdhNamFeglgVtt555M7xM7e8ZAg9KCWMEcDlLzX1oeZsyGxrg/viewform?usp=pp_url&amp;entry.580385001=&amp;entry.1376952895=</v>
      </c>
    </row>
    <row r="651">
      <c r="A651" s="25"/>
      <c r="B651" s="25"/>
      <c r="C651" s="25"/>
      <c r="D651" s="105" t="str">
        <f>IF(COUNTIF('Form responses 4'!B:B,C651)&gt;0, "", "https://docs.google.com/forms/d/e/1FAIpQLSdhNamFeglgVtt555M7xM7e8ZAg9KCWMEcDlLzX1oeZsyGxrg/viewform?usp=pp_url&amp;entry.580385001="&amp;C651&amp;"&amp;entry.1376952895="&amp;A651)</f>
        <v>https://docs.google.com/forms/d/e/1FAIpQLSdhNamFeglgVtt555M7xM7e8ZAg9KCWMEcDlLzX1oeZsyGxrg/viewform?usp=pp_url&amp;entry.580385001=&amp;entry.1376952895=</v>
      </c>
    </row>
    <row r="652">
      <c r="A652" s="25"/>
      <c r="B652" s="25"/>
      <c r="C652" s="25"/>
      <c r="D652" s="105" t="str">
        <f>IF(COUNTIF('Form responses 4'!B:B,C652)&gt;0, "", "https://docs.google.com/forms/d/e/1FAIpQLSdhNamFeglgVtt555M7xM7e8ZAg9KCWMEcDlLzX1oeZsyGxrg/viewform?usp=pp_url&amp;entry.580385001="&amp;C652&amp;"&amp;entry.1376952895="&amp;A652)</f>
        <v>https://docs.google.com/forms/d/e/1FAIpQLSdhNamFeglgVtt555M7xM7e8ZAg9KCWMEcDlLzX1oeZsyGxrg/viewform?usp=pp_url&amp;entry.580385001=&amp;entry.1376952895=</v>
      </c>
    </row>
    <row r="653">
      <c r="A653" s="25"/>
      <c r="B653" s="25"/>
      <c r="C653" s="25"/>
      <c r="D653" s="105" t="str">
        <f>IF(COUNTIF('Form responses 4'!B:B,C653)&gt;0, "", "https://docs.google.com/forms/d/e/1FAIpQLSdhNamFeglgVtt555M7xM7e8ZAg9KCWMEcDlLzX1oeZsyGxrg/viewform?usp=pp_url&amp;entry.580385001="&amp;C653&amp;"&amp;entry.1376952895="&amp;A653)</f>
        <v>https://docs.google.com/forms/d/e/1FAIpQLSdhNamFeglgVtt555M7xM7e8ZAg9KCWMEcDlLzX1oeZsyGxrg/viewform?usp=pp_url&amp;entry.580385001=&amp;entry.1376952895=</v>
      </c>
    </row>
    <row r="654">
      <c r="A654" s="25"/>
      <c r="B654" s="25"/>
      <c r="C654" s="25"/>
      <c r="D654" s="105" t="str">
        <f>IF(COUNTIF('Form responses 4'!B:B,C654)&gt;0, "", "https://docs.google.com/forms/d/e/1FAIpQLSdhNamFeglgVtt555M7xM7e8ZAg9KCWMEcDlLzX1oeZsyGxrg/viewform?usp=pp_url&amp;entry.580385001="&amp;C654&amp;"&amp;entry.1376952895="&amp;A654)</f>
        <v>https://docs.google.com/forms/d/e/1FAIpQLSdhNamFeglgVtt555M7xM7e8ZAg9KCWMEcDlLzX1oeZsyGxrg/viewform?usp=pp_url&amp;entry.580385001=&amp;entry.1376952895=</v>
      </c>
    </row>
    <row r="655">
      <c r="A655" s="25"/>
      <c r="B655" s="25"/>
      <c r="C655" s="25"/>
      <c r="D655" s="105" t="str">
        <f>IF(COUNTIF('Form responses 4'!B:B,C655)&gt;0, "", "https://docs.google.com/forms/d/e/1FAIpQLSdhNamFeglgVtt555M7xM7e8ZAg9KCWMEcDlLzX1oeZsyGxrg/viewform?usp=pp_url&amp;entry.580385001="&amp;C655&amp;"&amp;entry.1376952895="&amp;A655)</f>
        <v>https://docs.google.com/forms/d/e/1FAIpQLSdhNamFeglgVtt555M7xM7e8ZAg9KCWMEcDlLzX1oeZsyGxrg/viewform?usp=pp_url&amp;entry.580385001=&amp;entry.1376952895=</v>
      </c>
    </row>
    <row r="656">
      <c r="A656" s="25"/>
      <c r="B656" s="25"/>
      <c r="C656" s="25"/>
      <c r="D656" s="105" t="str">
        <f>IF(COUNTIF('Form responses 4'!B:B,C656)&gt;0, "", "https://docs.google.com/forms/d/e/1FAIpQLSdhNamFeglgVtt555M7xM7e8ZAg9KCWMEcDlLzX1oeZsyGxrg/viewform?usp=pp_url&amp;entry.580385001="&amp;C656&amp;"&amp;entry.1376952895="&amp;A656)</f>
        <v>https://docs.google.com/forms/d/e/1FAIpQLSdhNamFeglgVtt555M7xM7e8ZAg9KCWMEcDlLzX1oeZsyGxrg/viewform?usp=pp_url&amp;entry.580385001=&amp;entry.1376952895=</v>
      </c>
    </row>
    <row r="657">
      <c r="A657" s="25"/>
      <c r="B657" s="25"/>
      <c r="C657" s="25"/>
      <c r="D657" s="105" t="str">
        <f>IF(COUNTIF('Form responses 4'!B:B,C657)&gt;0, "", "https://docs.google.com/forms/d/e/1FAIpQLSdhNamFeglgVtt555M7xM7e8ZAg9KCWMEcDlLzX1oeZsyGxrg/viewform?usp=pp_url&amp;entry.580385001="&amp;C657&amp;"&amp;entry.1376952895="&amp;A657)</f>
        <v>https://docs.google.com/forms/d/e/1FAIpQLSdhNamFeglgVtt555M7xM7e8ZAg9KCWMEcDlLzX1oeZsyGxrg/viewform?usp=pp_url&amp;entry.580385001=&amp;entry.1376952895=</v>
      </c>
    </row>
    <row r="658">
      <c r="A658" s="25"/>
      <c r="B658" s="25"/>
      <c r="C658" s="25"/>
      <c r="D658" s="105" t="str">
        <f>IF(COUNTIF('Form responses 4'!B:B,C658)&gt;0, "", "https://docs.google.com/forms/d/e/1FAIpQLSdhNamFeglgVtt555M7xM7e8ZAg9KCWMEcDlLzX1oeZsyGxrg/viewform?usp=pp_url&amp;entry.580385001="&amp;C658&amp;"&amp;entry.1376952895="&amp;A658)</f>
        <v>https://docs.google.com/forms/d/e/1FAIpQLSdhNamFeglgVtt555M7xM7e8ZAg9KCWMEcDlLzX1oeZsyGxrg/viewform?usp=pp_url&amp;entry.580385001=&amp;entry.1376952895=</v>
      </c>
    </row>
    <row r="659">
      <c r="A659" s="25"/>
      <c r="B659" s="25"/>
      <c r="C659" s="25"/>
      <c r="D659" s="105" t="str">
        <f>IF(COUNTIF('Form responses 4'!B:B,C659)&gt;0, "", "https://docs.google.com/forms/d/e/1FAIpQLSdhNamFeglgVtt555M7xM7e8ZAg9KCWMEcDlLzX1oeZsyGxrg/viewform?usp=pp_url&amp;entry.580385001="&amp;C659&amp;"&amp;entry.1376952895="&amp;A659)</f>
        <v>https://docs.google.com/forms/d/e/1FAIpQLSdhNamFeglgVtt555M7xM7e8ZAg9KCWMEcDlLzX1oeZsyGxrg/viewform?usp=pp_url&amp;entry.580385001=&amp;entry.1376952895=</v>
      </c>
    </row>
    <row r="660">
      <c r="A660" s="25"/>
      <c r="B660" s="25"/>
      <c r="C660" s="25"/>
      <c r="D660" s="105" t="str">
        <f>IF(COUNTIF('Form responses 4'!B:B,C660)&gt;0, "", "https://docs.google.com/forms/d/e/1FAIpQLSdhNamFeglgVtt555M7xM7e8ZAg9KCWMEcDlLzX1oeZsyGxrg/viewform?usp=pp_url&amp;entry.580385001="&amp;C660&amp;"&amp;entry.1376952895="&amp;A660)</f>
        <v>https://docs.google.com/forms/d/e/1FAIpQLSdhNamFeglgVtt555M7xM7e8ZAg9KCWMEcDlLzX1oeZsyGxrg/viewform?usp=pp_url&amp;entry.580385001=&amp;entry.1376952895=</v>
      </c>
    </row>
    <row r="661">
      <c r="A661" s="25"/>
      <c r="B661" s="25"/>
      <c r="C661" s="25"/>
      <c r="D661" s="105" t="str">
        <f>IF(COUNTIF('Form responses 4'!B:B,C661)&gt;0, "", "https://docs.google.com/forms/d/e/1FAIpQLSdhNamFeglgVtt555M7xM7e8ZAg9KCWMEcDlLzX1oeZsyGxrg/viewform?usp=pp_url&amp;entry.580385001="&amp;C661&amp;"&amp;entry.1376952895="&amp;A661)</f>
        <v>https://docs.google.com/forms/d/e/1FAIpQLSdhNamFeglgVtt555M7xM7e8ZAg9KCWMEcDlLzX1oeZsyGxrg/viewform?usp=pp_url&amp;entry.580385001=&amp;entry.1376952895=</v>
      </c>
    </row>
    <row r="662">
      <c r="A662" s="25"/>
      <c r="B662" s="25"/>
      <c r="C662" s="25"/>
      <c r="D662" s="105" t="str">
        <f>IF(COUNTIF('Form responses 4'!B:B,C662)&gt;0, "", "https://docs.google.com/forms/d/e/1FAIpQLSdhNamFeglgVtt555M7xM7e8ZAg9KCWMEcDlLzX1oeZsyGxrg/viewform?usp=pp_url&amp;entry.580385001="&amp;C662&amp;"&amp;entry.1376952895="&amp;A662)</f>
        <v>https://docs.google.com/forms/d/e/1FAIpQLSdhNamFeglgVtt555M7xM7e8ZAg9KCWMEcDlLzX1oeZsyGxrg/viewform?usp=pp_url&amp;entry.580385001=&amp;entry.1376952895=</v>
      </c>
    </row>
    <row r="663">
      <c r="A663" s="25"/>
      <c r="B663" s="25"/>
      <c r="C663" s="25"/>
      <c r="D663" s="105" t="str">
        <f>IF(COUNTIF('Form responses 4'!B:B,C663)&gt;0, "", "https://docs.google.com/forms/d/e/1FAIpQLSdhNamFeglgVtt555M7xM7e8ZAg9KCWMEcDlLzX1oeZsyGxrg/viewform?usp=pp_url&amp;entry.580385001="&amp;C663&amp;"&amp;entry.1376952895="&amp;A663)</f>
        <v>https://docs.google.com/forms/d/e/1FAIpQLSdhNamFeglgVtt555M7xM7e8ZAg9KCWMEcDlLzX1oeZsyGxrg/viewform?usp=pp_url&amp;entry.580385001=&amp;entry.1376952895=</v>
      </c>
    </row>
    <row r="664">
      <c r="A664" s="25"/>
      <c r="B664" s="25"/>
      <c r="C664" s="25"/>
      <c r="D664" s="105" t="str">
        <f>IF(COUNTIF('Form responses 4'!B:B,C664)&gt;0, "", "https://docs.google.com/forms/d/e/1FAIpQLSdhNamFeglgVtt555M7xM7e8ZAg9KCWMEcDlLzX1oeZsyGxrg/viewform?usp=pp_url&amp;entry.580385001="&amp;C664&amp;"&amp;entry.1376952895="&amp;A664)</f>
        <v>https://docs.google.com/forms/d/e/1FAIpQLSdhNamFeglgVtt555M7xM7e8ZAg9KCWMEcDlLzX1oeZsyGxrg/viewform?usp=pp_url&amp;entry.580385001=&amp;entry.1376952895=</v>
      </c>
    </row>
    <row r="665">
      <c r="A665" s="25"/>
      <c r="B665" s="25"/>
      <c r="C665" s="25"/>
      <c r="D665" s="105" t="str">
        <f>IF(COUNTIF('Form responses 4'!B:B,C665)&gt;0, "", "https://docs.google.com/forms/d/e/1FAIpQLSdhNamFeglgVtt555M7xM7e8ZAg9KCWMEcDlLzX1oeZsyGxrg/viewform?usp=pp_url&amp;entry.580385001="&amp;C665&amp;"&amp;entry.1376952895="&amp;A665)</f>
        <v>https://docs.google.com/forms/d/e/1FAIpQLSdhNamFeglgVtt555M7xM7e8ZAg9KCWMEcDlLzX1oeZsyGxrg/viewform?usp=pp_url&amp;entry.580385001=&amp;entry.1376952895=</v>
      </c>
    </row>
    <row r="666">
      <c r="A666" s="25"/>
      <c r="B666" s="25"/>
      <c r="C666" s="25"/>
      <c r="D666" s="105" t="str">
        <f>IF(COUNTIF('Form responses 4'!B:B,C666)&gt;0, "", "https://docs.google.com/forms/d/e/1FAIpQLSdhNamFeglgVtt555M7xM7e8ZAg9KCWMEcDlLzX1oeZsyGxrg/viewform?usp=pp_url&amp;entry.580385001="&amp;C666&amp;"&amp;entry.1376952895="&amp;A666)</f>
        <v>https://docs.google.com/forms/d/e/1FAIpQLSdhNamFeglgVtt555M7xM7e8ZAg9KCWMEcDlLzX1oeZsyGxrg/viewform?usp=pp_url&amp;entry.580385001=&amp;entry.1376952895=</v>
      </c>
    </row>
    <row r="667">
      <c r="A667" s="25"/>
      <c r="B667" s="25"/>
      <c r="C667" s="25"/>
      <c r="D667" s="105" t="str">
        <f>IF(COUNTIF('Form responses 4'!B:B,C667)&gt;0, "", "https://docs.google.com/forms/d/e/1FAIpQLSdhNamFeglgVtt555M7xM7e8ZAg9KCWMEcDlLzX1oeZsyGxrg/viewform?usp=pp_url&amp;entry.580385001="&amp;C667&amp;"&amp;entry.1376952895="&amp;A667)</f>
        <v>https://docs.google.com/forms/d/e/1FAIpQLSdhNamFeglgVtt555M7xM7e8ZAg9KCWMEcDlLzX1oeZsyGxrg/viewform?usp=pp_url&amp;entry.580385001=&amp;entry.1376952895=</v>
      </c>
    </row>
    <row r="668">
      <c r="A668" s="25"/>
      <c r="B668" s="25"/>
      <c r="C668" s="25"/>
      <c r="D668" s="105" t="str">
        <f>IF(COUNTIF('Form responses 4'!B:B,C668)&gt;0, "", "https://docs.google.com/forms/d/e/1FAIpQLSdhNamFeglgVtt555M7xM7e8ZAg9KCWMEcDlLzX1oeZsyGxrg/viewform?usp=pp_url&amp;entry.580385001="&amp;C668&amp;"&amp;entry.1376952895="&amp;A668)</f>
        <v>https://docs.google.com/forms/d/e/1FAIpQLSdhNamFeglgVtt555M7xM7e8ZAg9KCWMEcDlLzX1oeZsyGxrg/viewform?usp=pp_url&amp;entry.580385001=&amp;entry.1376952895=</v>
      </c>
    </row>
    <row r="669">
      <c r="A669" s="25"/>
      <c r="B669" s="25"/>
      <c r="C669" s="25"/>
      <c r="D669" s="105" t="str">
        <f>IF(COUNTIF('Form responses 4'!B:B,C669)&gt;0, "", "https://docs.google.com/forms/d/e/1FAIpQLSdhNamFeglgVtt555M7xM7e8ZAg9KCWMEcDlLzX1oeZsyGxrg/viewform?usp=pp_url&amp;entry.580385001="&amp;C669&amp;"&amp;entry.1376952895="&amp;A669)</f>
        <v>https://docs.google.com/forms/d/e/1FAIpQLSdhNamFeglgVtt555M7xM7e8ZAg9KCWMEcDlLzX1oeZsyGxrg/viewform?usp=pp_url&amp;entry.580385001=&amp;entry.1376952895=</v>
      </c>
    </row>
    <row r="670">
      <c r="A670" s="25"/>
      <c r="B670" s="25"/>
      <c r="C670" s="25"/>
      <c r="D670" s="105" t="str">
        <f>IF(COUNTIF('Form responses 4'!B:B,C670)&gt;0, "", "https://docs.google.com/forms/d/e/1FAIpQLSdhNamFeglgVtt555M7xM7e8ZAg9KCWMEcDlLzX1oeZsyGxrg/viewform?usp=pp_url&amp;entry.580385001="&amp;C670&amp;"&amp;entry.1376952895="&amp;A670)</f>
        <v>https://docs.google.com/forms/d/e/1FAIpQLSdhNamFeglgVtt555M7xM7e8ZAg9KCWMEcDlLzX1oeZsyGxrg/viewform?usp=pp_url&amp;entry.580385001=&amp;entry.1376952895=</v>
      </c>
    </row>
    <row r="671">
      <c r="A671" s="25"/>
      <c r="B671" s="25"/>
      <c r="C671" s="25"/>
      <c r="D671" s="105" t="str">
        <f>IF(COUNTIF('Form responses 4'!B:B,C671)&gt;0, "", "https://docs.google.com/forms/d/e/1FAIpQLSdhNamFeglgVtt555M7xM7e8ZAg9KCWMEcDlLzX1oeZsyGxrg/viewform?usp=pp_url&amp;entry.580385001="&amp;C671&amp;"&amp;entry.1376952895="&amp;A671)</f>
        <v>https://docs.google.com/forms/d/e/1FAIpQLSdhNamFeglgVtt555M7xM7e8ZAg9KCWMEcDlLzX1oeZsyGxrg/viewform?usp=pp_url&amp;entry.580385001=&amp;entry.1376952895=</v>
      </c>
    </row>
    <row r="672">
      <c r="A672" s="25"/>
      <c r="B672" s="25"/>
      <c r="C672" s="25"/>
      <c r="D672" s="105" t="str">
        <f>IF(COUNTIF('Form responses 4'!B:B,C672)&gt;0, "", "https://docs.google.com/forms/d/e/1FAIpQLSdhNamFeglgVtt555M7xM7e8ZAg9KCWMEcDlLzX1oeZsyGxrg/viewform?usp=pp_url&amp;entry.580385001="&amp;C672&amp;"&amp;entry.1376952895="&amp;A672)</f>
        <v>https://docs.google.com/forms/d/e/1FAIpQLSdhNamFeglgVtt555M7xM7e8ZAg9KCWMEcDlLzX1oeZsyGxrg/viewform?usp=pp_url&amp;entry.580385001=&amp;entry.1376952895=</v>
      </c>
    </row>
    <row r="673">
      <c r="A673" s="25"/>
      <c r="B673" s="25"/>
      <c r="C673" s="25"/>
      <c r="D673" s="105" t="str">
        <f>IF(COUNTIF('Form responses 4'!B:B,C673)&gt;0, "", "https://docs.google.com/forms/d/e/1FAIpQLSdhNamFeglgVtt555M7xM7e8ZAg9KCWMEcDlLzX1oeZsyGxrg/viewform?usp=pp_url&amp;entry.580385001="&amp;C673&amp;"&amp;entry.1376952895="&amp;A673)</f>
        <v>https://docs.google.com/forms/d/e/1FAIpQLSdhNamFeglgVtt555M7xM7e8ZAg9KCWMEcDlLzX1oeZsyGxrg/viewform?usp=pp_url&amp;entry.580385001=&amp;entry.1376952895=</v>
      </c>
    </row>
    <row r="674">
      <c r="A674" s="25"/>
      <c r="B674" s="25"/>
      <c r="C674" s="25"/>
      <c r="D674" s="105" t="str">
        <f>IF(COUNTIF('Form responses 4'!B:B,C674)&gt;0, "", "https://docs.google.com/forms/d/e/1FAIpQLSdhNamFeglgVtt555M7xM7e8ZAg9KCWMEcDlLzX1oeZsyGxrg/viewform?usp=pp_url&amp;entry.580385001="&amp;C674&amp;"&amp;entry.1376952895="&amp;A674)</f>
        <v>https://docs.google.com/forms/d/e/1FAIpQLSdhNamFeglgVtt555M7xM7e8ZAg9KCWMEcDlLzX1oeZsyGxrg/viewform?usp=pp_url&amp;entry.580385001=&amp;entry.1376952895=</v>
      </c>
    </row>
    <row r="675">
      <c r="A675" s="25"/>
      <c r="B675" s="25"/>
      <c r="C675" s="25"/>
      <c r="D675" s="105" t="str">
        <f>IF(COUNTIF('Form responses 4'!B:B,C675)&gt;0, "", "https://docs.google.com/forms/d/e/1FAIpQLSdhNamFeglgVtt555M7xM7e8ZAg9KCWMEcDlLzX1oeZsyGxrg/viewform?usp=pp_url&amp;entry.580385001="&amp;C675&amp;"&amp;entry.1376952895="&amp;A675)</f>
        <v>https://docs.google.com/forms/d/e/1FAIpQLSdhNamFeglgVtt555M7xM7e8ZAg9KCWMEcDlLzX1oeZsyGxrg/viewform?usp=pp_url&amp;entry.580385001=&amp;entry.1376952895=</v>
      </c>
    </row>
    <row r="676">
      <c r="A676" s="25"/>
      <c r="B676" s="25"/>
      <c r="C676" s="25"/>
      <c r="D676" s="105" t="str">
        <f>IF(COUNTIF('Form responses 4'!B:B,C676)&gt;0, "", "https://docs.google.com/forms/d/e/1FAIpQLSdhNamFeglgVtt555M7xM7e8ZAg9KCWMEcDlLzX1oeZsyGxrg/viewform?usp=pp_url&amp;entry.580385001="&amp;C676&amp;"&amp;entry.1376952895="&amp;A676)</f>
        <v>https://docs.google.com/forms/d/e/1FAIpQLSdhNamFeglgVtt555M7xM7e8ZAg9KCWMEcDlLzX1oeZsyGxrg/viewform?usp=pp_url&amp;entry.580385001=&amp;entry.1376952895=</v>
      </c>
    </row>
    <row r="677">
      <c r="A677" s="25"/>
      <c r="B677" s="25"/>
      <c r="C677" s="25"/>
      <c r="D677" s="105" t="str">
        <f>IF(COUNTIF('Form responses 4'!B:B,C677)&gt;0, "", "https://docs.google.com/forms/d/e/1FAIpQLSdhNamFeglgVtt555M7xM7e8ZAg9KCWMEcDlLzX1oeZsyGxrg/viewform?usp=pp_url&amp;entry.580385001="&amp;C677&amp;"&amp;entry.1376952895="&amp;A677)</f>
        <v>https://docs.google.com/forms/d/e/1FAIpQLSdhNamFeglgVtt555M7xM7e8ZAg9KCWMEcDlLzX1oeZsyGxrg/viewform?usp=pp_url&amp;entry.580385001=&amp;entry.1376952895=</v>
      </c>
    </row>
    <row r="678">
      <c r="A678" s="25"/>
      <c r="B678" s="25"/>
      <c r="C678" s="25"/>
      <c r="D678" s="105" t="str">
        <f>IF(COUNTIF('Form responses 4'!B:B,C678)&gt;0, "", "https://docs.google.com/forms/d/e/1FAIpQLSdhNamFeglgVtt555M7xM7e8ZAg9KCWMEcDlLzX1oeZsyGxrg/viewform?usp=pp_url&amp;entry.580385001="&amp;C678&amp;"&amp;entry.1376952895="&amp;A678)</f>
        <v>https://docs.google.com/forms/d/e/1FAIpQLSdhNamFeglgVtt555M7xM7e8ZAg9KCWMEcDlLzX1oeZsyGxrg/viewform?usp=pp_url&amp;entry.580385001=&amp;entry.1376952895=</v>
      </c>
    </row>
    <row r="679">
      <c r="A679" s="25"/>
      <c r="B679" s="25"/>
      <c r="C679" s="25"/>
      <c r="D679" s="105" t="str">
        <f>IF(COUNTIF('Form responses 4'!B:B,C679)&gt;0, "", "https://docs.google.com/forms/d/e/1FAIpQLSdhNamFeglgVtt555M7xM7e8ZAg9KCWMEcDlLzX1oeZsyGxrg/viewform?usp=pp_url&amp;entry.580385001="&amp;C679&amp;"&amp;entry.1376952895="&amp;A679)</f>
        <v>https://docs.google.com/forms/d/e/1FAIpQLSdhNamFeglgVtt555M7xM7e8ZAg9KCWMEcDlLzX1oeZsyGxrg/viewform?usp=pp_url&amp;entry.580385001=&amp;entry.1376952895=</v>
      </c>
    </row>
    <row r="680">
      <c r="A680" s="25"/>
      <c r="B680" s="25"/>
      <c r="C680" s="25"/>
      <c r="D680" s="105" t="str">
        <f>IF(COUNTIF('Form responses 4'!B:B,C680)&gt;0, "", "https://docs.google.com/forms/d/e/1FAIpQLSdhNamFeglgVtt555M7xM7e8ZAg9KCWMEcDlLzX1oeZsyGxrg/viewform?usp=pp_url&amp;entry.580385001="&amp;C680&amp;"&amp;entry.1376952895="&amp;A680)</f>
        <v>https://docs.google.com/forms/d/e/1FAIpQLSdhNamFeglgVtt555M7xM7e8ZAg9KCWMEcDlLzX1oeZsyGxrg/viewform?usp=pp_url&amp;entry.580385001=&amp;entry.1376952895=</v>
      </c>
    </row>
    <row r="681">
      <c r="A681" s="25"/>
      <c r="B681" s="25"/>
      <c r="C681" s="25"/>
      <c r="D681" s="105" t="str">
        <f>IF(COUNTIF('Form responses 4'!B:B,C681)&gt;0, "", "https://docs.google.com/forms/d/e/1FAIpQLSdhNamFeglgVtt555M7xM7e8ZAg9KCWMEcDlLzX1oeZsyGxrg/viewform?usp=pp_url&amp;entry.580385001="&amp;C681&amp;"&amp;entry.1376952895="&amp;A681)</f>
        <v>https://docs.google.com/forms/d/e/1FAIpQLSdhNamFeglgVtt555M7xM7e8ZAg9KCWMEcDlLzX1oeZsyGxrg/viewform?usp=pp_url&amp;entry.580385001=&amp;entry.1376952895=</v>
      </c>
    </row>
    <row r="682">
      <c r="A682" s="25"/>
      <c r="B682" s="25"/>
      <c r="C682" s="25"/>
      <c r="D682" s="105" t="str">
        <f>IF(COUNTIF('Form responses 4'!B:B,C682)&gt;0, "", "https://docs.google.com/forms/d/e/1FAIpQLSdhNamFeglgVtt555M7xM7e8ZAg9KCWMEcDlLzX1oeZsyGxrg/viewform?usp=pp_url&amp;entry.580385001="&amp;C682&amp;"&amp;entry.1376952895="&amp;A682)</f>
        <v>https://docs.google.com/forms/d/e/1FAIpQLSdhNamFeglgVtt555M7xM7e8ZAg9KCWMEcDlLzX1oeZsyGxrg/viewform?usp=pp_url&amp;entry.580385001=&amp;entry.1376952895=</v>
      </c>
    </row>
    <row r="683">
      <c r="A683" s="25"/>
      <c r="B683" s="25"/>
      <c r="C683" s="25"/>
      <c r="D683" s="105" t="str">
        <f>IF(COUNTIF('Form responses 4'!B:B,C683)&gt;0, "", "https://docs.google.com/forms/d/e/1FAIpQLSdhNamFeglgVtt555M7xM7e8ZAg9KCWMEcDlLzX1oeZsyGxrg/viewform?usp=pp_url&amp;entry.580385001="&amp;C683&amp;"&amp;entry.1376952895="&amp;A683)</f>
        <v>https://docs.google.com/forms/d/e/1FAIpQLSdhNamFeglgVtt555M7xM7e8ZAg9KCWMEcDlLzX1oeZsyGxrg/viewform?usp=pp_url&amp;entry.580385001=&amp;entry.1376952895=</v>
      </c>
    </row>
    <row r="684">
      <c r="A684" s="25"/>
      <c r="B684" s="25"/>
      <c r="C684" s="25"/>
      <c r="D684" s="105" t="str">
        <f>IF(COUNTIF('Form responses 4'!B:B,C684)&gt;0, "", "https://docs.google.com/forms/d/e/1FAIpQLSdhNamFeglgVtt555M7xM7e8ZAg9KCWMEcDlLzX1oeZsyGxrg/viewform?usp=pp_url&amp;entry.580385001="&amp;C684&amp;"&amp;entry.1376952895="&amp;A684)</f>
        <v>https://docs.google.com/forms/d/e/1FAIpQLSdhNamFeglgVtt555M7xM7e8ZAg9KCWMEcDlLzX1oeZsyGxrg/viewform?usp=pp_url&amp;entry.580385001=&amp;entry.1376952895=</v>
      </c>
    </row>
    <row r="685">
      <c r="A685" s="25"/>
      <c r="B685" s="25"/>
      <c r="C685" s="25"/>
      <c r="D685" s="105" t="str">
        <f>IF(COUNTIF('Form responses 4'!B:B,C685)&gt;0, "", "https://docs.google.com/forms/d/e/1FAIpQLSdhNamFeglgVtt555M7xM7e8ZAg9KCWMEcDlLzX1oeZsyGxrg/viewform?usp=pp_url&amp;entry.580385001="&amp;C685&amp;"&amp;entry.1376952895="&amp;A685)</f>
        <v>https://docs.google.com/forms/d/e/1FAIpQLSdhNamFeglgVtt555M7xM7e8ZAg9KCWMEcDlLzX1oeZsyGxrg/viewform?usp=pp_url&amp;entry.580385001=&amp;entry.1376952895=</v>
      </c>
    </row>
    <row r="686">
      <c r="A686" s="25"/>
      <c r="B686" s="25"/>
      <c r="C686" s="25"/>
      <c r="D686" s="105" t="str">
        <f>IF(COUNTIF('Form responses 4'!B:B,C686)&gt;0, "", "https://docs.google.com/forms/d/e/1FAIpQLSdhNamFeglgVtt555M7xM7e8ZAg9KCWMEcDlLzX1oeZsyGxrg/viewform?usp=pp_url&amp;entry.580385001="&amp;C686&amp;"&amp;entry.1376952895="&amp;A686)</f>
        <v>https://docs.google.com/forms/d/e/1FAIpQLSdhNamFeglgVtt555M7xM7e8ZAg9KCWMEcDlLzX1oeZsyGxrg/viewform?usp=pp_url&amp;entry.580385001=&amp;entry.1376952895=</v>
      </c>
    </row>
    <row r="687">
      <c r="A687" s="25"/>
      <c r="B687" s="25"/>
      <c r="C687" s="25"/>
      <c r="D687" s="105" t="str">
        <f>IF(COUNTIF('Form responses 4'!B:B,C687)&gt;0, "", "https://docs.google.com/forms/d/e/1FAIpQLSdhNamFeglgVtt555M7xM7e8ZAg9KCWMEcDlLzX1oeZsyGxrg/viewform?usp=pp_url&amp;entry.580385001="&amp;C687&amp;"&amp;entry.1376952895="&amp;A687)</f>
        <v>https://docs.google.com/forms/d/e/1FAIpQLSdhNamFeglgVtt555M7xM7e8ZAg9KCWMEcDlLzX1oeZsyGxrg/viewform?usp=pp_url&amp;entry.580385001=&amp;entry.1376952895=</v>
      </c>
    </row>
    <row r="688">
      <c r="A688" s="25"/>
      <c r="B688" s="25"/>
      <c r="C688" s="25"/>
      <c r="D688" s="105" t="str">
        <f>IF(COUNTIF('Form responses 4'!B:B,C688)&gt;0, "", "https://docs.google.com/forms/d/e/1FAIpQLSdhNamFeglgVtt555M7xM7e8ZAg9KCWMEcDlLzX1oeZsyGxrg/viewform?usp=pp_url&amp;entry.580385001="&amp;C688&amp;"&amp;entry.1376952895="&amp;A688)</f>
        <v>https://docs.google.com/forms/d/e/1FAIpQLSdhNamFeglgVtt555M7xM7e8ZAg9KCWMEcDlLzX1oeZsyGxrg/viewform?usp=pp_url&amp;entry.580385001=&amp;entry.1376952895=</v>
      </c>
    </row>
    <row r="689">
      <c r="A689" s="25"/>
      <c r="B689" s="25"/>
      <c r="C689" s="25"/>
      <c r="D689" s="105" t="str">
        <f>IF(COUNTIF('Form responses 4'!B:B,C689)&gt;0, "", "https://docs.google.com/forms/d/e/1FAIpQLSdhNamFeglgVtt555M7xM7e8ZAg9KCWMEcDlLzX1oeZsyGxrg/viewform?usp=pp_url&amp;entry.580385001="&amp;C689&amp;"&amp;entry.1376952895="&amp;A689)</f>
        <v>https://docs.google.com/forms/d/e/1FAIpQLSdhNamFeglgVtt555M7xM7e8ZAg9KCWMEcDlLzX1oeZsyGxrg/viewform?usp=pp_url&amp;entry.580385001=&amp;entry.1376952895=</v>
      </c>
    </row>
    <row r="690">
      <c r="A690" s="25"/>
      <c r="B690" s="25"/>
      <c r="C690" s="25"/>
      <c r="D690" s="105" t="str">
        <f>IF(COUNTIF('Form responses 4'!B:B,C690)&gt;0, "", "https://docs.google.com/forms/d/e/1FAIpQLSdhNamFeglgVtt555M7xM7e8ZAg9KCWMEcDlLzX1oeZsyGxrg/viewform?usp=pp_url&amp;entry.580385001="&amp;C690&amp;"&amp;entry.1376952895="&amp;A690)</f>
        <v>https://docs.google.com/forms/d/e/1FAIpQLSdhNamFeglgVtt555M7xM7e8ZAg9KCWMEcDlLzX1oeZsyGxrg/viewform?usp=pp_url&amp;entry.580385001=&amp;entry.1376952895=</v>
      </c>
    </row>
    <row r="691">
      <c r="A691" s="25"/>
      <c r="B691" s="25"/>
      <c r="C691" s="25"/>
      <c r="D691" s="105" t="str">
        <f>IF(COUNTIF('Form responses 4'!B:B,C691)&gt;0, "", "https://docs.google.com/forms/d/e/1FAIpQLSdhNamFeglgVtt555M7xM7e8ZAg9KCWMEcDlLzX1oeZsyGxrg/viewform?usp=pp_url&amp;entry.580385001="&amp;C691&amp;"&amp;entry.1376952895="&amp;A691)</f>
        <v>https://docs.google.com/forms/d/e/1FAIpQLSdhNamFeglgVtt555M7xM7e8ZAg9KCWMEcDlLzX1oeZsyGxrg/viewform?usp=pp_url&amp;entry.580385001=&amp;entry.1376952895=</v>
      </c>
    </row>
    <row r="692">
      <c r="A692" s="25"/>
      <c r="B692" s="25"/>
      <c r="C692" s="25"/>
      <c r="D692" s="105" t="str">
        <f>IF(COUNTIF('Form responses 4'!B:B,C692)&gt;0, "", "https://docs.google.com/forms/d/e/1FAIpQLSdhNamFeglgVtt555M7xM7e8ZAg9KCWMEcDlLzX1oeZsyGxrg/viewform?usp=pp_url&amp;entry.580385001="&amp;C692&amp;"&amp;entry.1376952895="&amp;A692)</f>
        <v>https://docs.google.com/forms/d/e/1FAIpQLSdhNamFeglgVtt555M7xM7e8ZAg9KCWMEcDlLzX1oeZsyGxrg/viewform?usp=pp_url&amp;entry.580385001=&amp;entry.1376952895=</v>
      </c>
    </row>
    <row r="693">
      <c r="A693" s="25"/>
      <c r="B693" s="25"/>
      <c r="C693" s="25"/>
      <c r="D693" s="105" t="str">
        <f>IF(COUNTIF('Form responses 4'!B:B,C693)&gt;0, "", "https://docs.google.com/forms/d/e/1FAIpQLSdhNamFeglgVtt555M7xM7e8ZAg9KCWMEcDlLzX1oeZsyGxrg/viewform?usp=pp_url&amp;entry.580385001="&amp;C693&amp;"&amp;entry.1376952895="&amp;A693)</f>
        <v>https://docs.google.com/forms/d/e/1FAIpQLSdhNamFeglgVtt555M7xM7e8ZAg9KCWMEcDlLzX1oeZsyGxrg/viewform?usp=pp_url&amp;entry.580385001=&amp;entry.1376952895=</v>
      </c>
    </row>
    <row r="694">
      <c r="A694" s="25"/>
      <c r="B694" s="25"/>
      <c r="C694" s="25"/>
      <c r="D694" s="105" t="str">
        <f>IF(COUNTIF('Form responses 4'!B:B,C694)&gt;0, "", "https://docs.google.com/forms/d/e/1FAIpQLSdhNamFeglgVtt555M7xM7e8ZAg9KCWMEcDlLzX1oeZsyGxrg/viewform?usp=pp_url&amp;entry.580385001="&amp;C694&amp;"&amp;entry.1376952895="&amp;A694)</f>
        <v>https://docs.google.com/forms/d/e/1FAIpQLSdhNamFeglgVtt555M7xM7e8ZAg9KCWMEcDlLzX1oeZsyGxrg/viewform?usp=pp_url&amp;entry.580385001=&amp;entry.1376952895=</v>
      </c>
    </row>
    <row r="695">
      <c r="A695" s="25"/>
      <c r="B695" s="25"/>
      <c r="C695" s="25"/>
      <c r="D695" s="105" t="str">
        <f>IF(COUNTIF('Form responses 4'!B:B,C695)&gt;0, "", "https://docs.google.com/forms/d/e/1FAIpQLSdhNamFeglgVtt555M7xM7e8ZAg9KCWMEcDlLzX1oeZsyGxrg/viewform?usp=pp_url&amp;entry.580385001="&amp;C695&amp;"&amp;entry.1376952895="&amp;A695)</f>
        <v>https://docs.google.com/forms/d/e/1FAIpQLSdhNamFeglgVtt555M7xM7e8ZAg9KCWMEcDlLzX1oeZsyGxrg/viewform?usp=pp_url&amp;entry.580385001=&amp;entry.1376952895=</v>
      </c>
    </row>
    <row r="696">
      <c r="A696" s="25"/>
      <c r="B696" s="25"/>
      <c r="C696" s="25"/>
      <c r="D696" s="105" t="str">
        <f>IF(COUNTIF('Form responses 4'!B:B,C696)&gt;0, "", "https://docs.google.com/forms/d/e/1FAIpQLSdhNamFeglgVtt555M7xM7e8ZAg9KCWMEcDlLzX1oeZsyGxrg/viewform?usp=pp_url&amp;entry.580385001="&amp;C696&amp;"&amp;entry.1376952895="&amp;A696)</f>
        <v>https://docs.google.com/forms/d/e/1FAIpQLSdhNamFeglgVtt555M7xM7e8ZAg9KCWMEcDlLzX1oeZsyGxrg/viewform?usp=pp_url&amp;entry.580385001=&amp;entry.1376952895=</v>
      </c>
    </row>
    <row r="697">
      <c r="A697" s="25"/>
      <c r="B697" s="25"/>
      <c r="C697" s="25"/>
      <c r="D697" s="105" t="str">
        <f>IF(COUNTIF('Form responses 4'!B:B,C697)&gt;0, "", "https://docs.google.com/forms/d/e/1FAIpQLSdhNamFeglgVtt555M7xM7e8ZAg9KCWMEcDlLzX1oeZsyGxrg/viewform?usp=pp_url&amp;entry.580385001="&amp;C697&amp;"&amp;entry.1376952895="&amp;A697)</f>
        <v>https://docs.google.com/forms/d/e/1FAIpQLSdhNamFeglgVtt555M7xM7e8ZAg9KCWMEcDlLzX1oeZsyGxrg/viewform?usp=pp_url&amp;entry.580385001=&amp;entry.1376952895=</v>
      </c>
    </row>
    <row r="698">
      <c r="A698" s="25"/>
      <c r="B698" s="25"/>
      <c r="C698" s="25"/>
      <c r="D698" s="105" t="str">
        <f>IF(COUNTIF('Form responses 4'!B:B,C698)&gt;0, "", "https://docs.google.com/forms/d/e/1FAIpQLSdhNamFeglgVtt555M7xM7e8ZAg9KCWMEcDlLzX1oeZsyGxrg/viewform?usp=pp_url&amp;entry.580385001="&amp;C698&amp;"&amp;entry.1376952895="&amp;A698)</f>
        <v>https://docs.google.com/forms/d/e/1FAIpQLSdhNamFeglgVtt555M7xM7e8ZAg9KCWMEcDlLzX1oeZsyGxrg/viewform?usp=pp_url&amp;entry.580385001=&amp;entry.1376952895=</v>
      </c>
    </row>
    <row r="699">
      <c r="A699" s="25"/>
      <c r="B699" s="25"/>
      <c r="C699" s="25"/>
      <c r="D699" s="105" t="str">
        <f>IF(COUNTIF('Form responses 4'!B:B,C699)&gt;0, "", "https://docs.google.com/forms/d/e/1FAIpQLSdhNamFeglgVtt555M7xM7e8ZAg9KCWMEcDlLzX1oeZsyGxrg/viewform?usp=pp_url&amp;entry.580385001="&amp;C699&amp;"&amp;entry.1376952895="&amp;A699)</f>
        <v>https://docs.google.com/forms/d/e/1FAIpQLSdhNamFeglgVtt555M7xM7e8ZAg9KCWMEcDlLzX1oeZsyGxrg/viewform?usp=pp_url&amp;entry.580385001=&amp;entry.1376952895=</v>
      </c>
    </row>
    <row r="700">
      <c r="A700" s="25"/>
      <c r="B700" s="25"/>
      <c r="C700" s="25"/>
      <c r="D700" s="105" t="str">
        <f>IF(COUNTIF('Form responses 4'!B:B,C700)&gt;0, "", "https://docs.google.com/forms/d/e/1FAIpQLSdhNamFeglgVtt555M7xM7e8ZAg9KCWMEcDlLzX1oeZsyGxrg/viewform?usp=pp_url&amp;entry.580385001="&amp;C700&amp;"&amp;entry.1376952895="&amp;A700)</f>
        <v>https://docs.google.com/forms/d/e/1FAIpQLSdhNamFeglgVtt555M7xM7e8ZAg9KCWMEcDlLzX1oeZsyGxrg/viewform?usp=pp_url&amp;entry.580385001=&amp;entry.1376952895=</v>
      </c>
    </row>
    <row r="701">
      <c r="A701" s="25"/>
      <c r="B701" s="25"/>
      <c r="C701" s="25"/>
      <c r="D701" s="105" t="str">
        <f>IF(COUNTIF('Form responses 4'!B:B,C701)&gt;0, "", "https://docs.google.com/forms/d/e/1FAIpQLSdhNamFeglgVtt555M7xM7e8ZAg9KCWMEcDlLzX1oeZsyGxrg/viewform?usp=pp_url&amp;entry.580385001="&amp;C701&amp;"&amp;entry.1376952895="&amp;A701)</f>
        <v>https://docs.google.com/forms/d/e/1FAIpQLSdhNamFeglgVtt555M7xM7e8ZAg9KCWMEcDlLzX1oeZsyGxrg/viewform?usp=pp_url&amp;entry.580385001=&amp;entry.1376952895=</v>
      </c>
    </row>
    <row r="702">
      <c r="A702" s="25"/>
      <c r="B702" s="25"/>
      <c r="C702" s="25"/>
      <c r="D702" s="105" t="str">
        <f>IF(COUNTIF('Form responses 4'!B:B,C702)&gt;0, "", "https://docs.google.com/forms/d/e/1FAIpQLSdhNamFeglgVtt555M7xM7e8ZAg9KCWMEcDlLzX1oeZsyGxrg/viewform?usp=pp_url&amp;entry.580385001="&amp;C702&amp;"&amp;entry.1376952895="&amp;A702)</f>
        <v>https://docs.google.com/forms/d/e/1FAIpQLSdhNamFeglgVtt555M7xM7e8ZAg9KCWMEcDlLzX1oeZsyGxrg/viewform?usp=pp_url&amp;entry.580385001=&amp;entry.1376952895=</v>
      </c>
    </row>
    <row r="703">
      <c r="A703" s="25"/>
      <c r="B703" s="25"/>
      <c r="C703" s="25"/>
      <c r="D703" s="105" t="str">
        <f>IF(COUNTIF('Form responses 4'!B:B,C703)&gt;0, "", "https://docs.google.com/forms/d/e/1FAIpQLSdhNamFeglgVtt555M7xM7e8ZAg9KCWMEcDlLzX1oeZsyGxrg/viewform?usp=pp_url&amp;entry.580385001="&amp;C703&amp;"&amp;entry.1376952895="&amp;A703)</f>
        <v>https://docs.google.com/forms/d/e/1FAIpQLSdhNamFeglgVtt555M7xM7e8ZAg9KCWMEcDlLzX1oeZsyGxrg/viewform?usp=pp_url&amp;entry.580385001=&amp;entry.1376952895=</v>
      </c>
    </row>
    <row r="704">
      <c r="A704" s="25"/>
      <c r="B704" s="25"/>
      <c r="C704" s="25"/>
      <c r="D704" s="105" t="str">
        <f>IF(COUNTIF('Form responses 4'!B:B,C704)&gt;0, "", "https://docs.google.com/forms/d/e/1FAIpQLSdhNamFeglgVtt555M7xM7e8ZAg9KCWMEcDlLzX1oeZsyGxrg/viewform?usp=pp_url&amp;entry.580385001="&amp;C704&amp;"&amp;entry.1376952895="&amp;A704)</f>
        <v>https://docs.google.com/forms/d/e/1FAIpQLSdhNamFeglgVtt555M7xM7e8ZAg9KCWMEcDlLzX1oeZsyGxrg/viewform?usp=pp_url&amp;entry.580385001=&amp;entry.1376952895=</v>
      </c>
    </row>
    <row r="705">
      <c r="A705" s="25"/>
      <c r="B705" s="25"/>
      <c r="C705" s="25"/>
      <c r="D705" s="105" t="str">
        <f>IF(COUNTIF('Form responses 4'!B:B,C705)&gt;0, "", "https://docs.google.com/forms/d/e/1FAIpQLSdhNamFeglgVtt555M7xM7e8ZAg9KCWMEcDlLzX1oeZsyGxrg/viewform?usp=pp_url&amp;entry.580385001="&amp;C705&amp;"&amp;entry.1376952895="&amp;A705)</f>
        <v>https://docs.google.com/forms/d/e/1FAIpQLSdhNamFeglgVtt555M7xM7e8ZAg9KCWMEcDlLzX1oeZsyGxrg/viewform?usp=pp_url&amp;entry.580385001=&amp;entry.1376952895=</v>
      </c>
    </row>
    <row r="706">
      <c r="A706" s="25"/>
      <c r="B706" s="25"/>
      <c r="C706" s="25"/>
      <c r="D706" s="105" t="str">
        <f>IF(COUNTIF('Form responses 4'!B:B,C706)&gt;0, "", "https://docs.google.com/forms/d/e/1FAIpQLSdhNamFeglgVtt555M7xM7e8ZAg9KCWMEcDlLzX1oeZsyGxrg/viewform?usp=pp_url&amp;entry.580385001="&amp;C706&amp;"&amp;entry.1376952895="&amp;A706)</f>
        <v>https://docs.google.com/forms/d/e/1FAIpQLSdhNamFeglgVtt555M7xM7e8ZAg9KCWMEcDlLzX1oeZsyGxrg/viewform?usp=pp_url&amp;entry.580385001=&amp;entry.1376952895=</v>
      </c>
    </row>
    <row r="707">
      <c r="A707" s="25"/>
      <c r="B707" s="25"/>
      <c r="C707" s="25"/>
      <c r="D707" s="105" t="str">
        <f>IF(COUNTIF('Form responses 4'!B:B,C707)&gt;0, "", "https://docs.google.com/forms/d/e/1FAIpQLSdhNamFeglgVtt555M7xM7e8ZAg9KCWMEcDlLzX1oeZsyGxrg/viewform?usp=pp_url&amp;entry.580385001="&amp;C707&amp;"&amp;entry.1376952895="&amp;A707)</f>
        <v>https://docs.google.com/forms/d/e/1FAIpQLSdhNamFeglgVtt555M7xM7e8ZAg9KCWMEcDlLzX1oeZsyGxrg/viewform?usp=pp_url&amp;entry.580385001=&amp;entry.1376952895=</v>
      </c>
    </row>
    <row r="708">
      <c r="A708" s="25"/>
      <c r="B708" s="25"/>
      <c r="C708" s="25"/>
      <c r="D708" s="105" t="str">
        <f>IF(COUNTIF('Form responses 4'!B:B,C708)&gt;0, "", "https://docs.google.com/forms/d/e/1FAIpQLSdhNamFeglgVtt555M7xM7e8ZAg9KCWMEcDlLzX1oeZsyGxrg/viewform?usp=pp_url&amp;entry.580385001="&amp;C708&amp;"&amp;entry.1376952895="&amp;A708)</f>
        <v>https://docs.google.com/forms/d/e/1FAIpQLSdhNamFeglgVtt555M7xM7e8ZAg9KCWMEcDlLzX1oeZsyGxrg/viewform?usp=pp_url&amp;entry.580385001=&amp;entry.1376952895=</v>
      </c>
    </row>
    <row r="709">
      <c r="A709" s="25"/>
      <c r="B709" s="25"/>
      <c r="C709" s="25"/>
      <c r="D709" s="105" t="str">
        <f>IF(COUNTIF('Form responses 4'!B:B,C709)&gt;0, "", "https://docs.google.com/forms/d/e/1FAIpQLSdhNamFeglgVtt555M7xM7e8ZAg9KCWMEcDlLzX1oeZsyGxrg/viewform?usp=pp_url&amp;entry.580385001="&amp;C709&amp;"&amp;entry.1376952895="&amp;A709)</f>
        <v>https://docs.google.com/forms/d/e/1FAIpQLSdhNamFeglgVtt555M7xM7e8ZAg9KCWMEcDlLzX1oeZsyGxrg/viewform?usp=pp_url&amp;entry.580385001=&amp;entry.1376952895=</v>
      </c>
    </row>
    <row r="710">
      <c r="A710" s="25"/>
      <c r="B710" s="25"/>
      <c r="C710" s="25"/>
      <c r="D710" s="105" t="str">
        <f>IF(COUNTIF('Form responses 4'!B:B,C710)&gt;0, "", "https://docs.google.com/forms/d/e/1FAIpQLSdhNamFeglgVtt555M7xM7e8ZAg9KCWMEcDlLzX1oeZsyGxrg/viewform?usp=pp_url&amp;entry.580385001="&amp;C710&amp;"&amp;entry.1376952895="&amp;A710)</f>
        <v>https://docs.google.com/forms/d/e/1FAIpQLSdhNamFeglgVtt555M7xM7e8ZAg9KCWMEcDlLzX1oeZsyGxrg/viewform?usp=pp_url&amp;entry.580385001=&amp;entry.1376952895=</v>
      </c>
    </row>
    <row r="711">
      <c r="A711" s="25"/>
      <c r="B711" s="25"/>
      <c r="C711" s="25"/>
      <c r="D711" s="105" t="str">
        <f>IF(COUNTIF('Form responses 4'!B:B,C711)&gt;0, "", "https://docs.google.com/forms/d/e/1FAIpQLSdhNamFeglgVtt555M7xM7e8ZAg9KCWMEcDlLzX1oeZsyGxrg/viewform?usp=pp_url&amp;entry.580385001="&amp;C711&amp;"&amp;entry.1376952895="&amp;A711)</f>
        <v>https://docs.google.com/forms/d/e/1FAIpQLSdhNamFeglgVtt555M7xM7e8ZAg9KCWMEcDlLzX1oeZsyGxrg/viewform?usp=pp_url&amp;entry.580385001=&amp;entry.1376952895=</v>
      </c>
    </row>
    <row r="712">
      <c r="A712" s="25"/>
      <c r="B712" s="25"/>
      <c r="C712" s="25"/>
      <c r="D712" s="105" t="str">
        <f>IF(COUNTIF('Form responses 4'!B:B,C712)&gt;0, "", "https://docs.google.com/forms/d/e/1FAIpQLSdhNamFeglgVtt555M7xM7e8ZAg9KCWMEcDlLzX1oeZsyGxrg/viewform?usp=pp_url&amp;entry.580385001="&amp;C712&amp;"&amp;entry.1376952895="&amp;A712)</f>
        <v>https://docs.google.com/forms/d/e/1FAIpQLSdhNamFeglgVtt555M7xM7e8ZAg9KCWMEcDlLzX1oeZsyGxrg/viewform?usp=pp_url&amp;entry.580385001=&amp;entry.1376952895=</v>
      </c>
    </row>
    <row r="713">
      <c r="A713" s="25"/>
      <c r="B713" s="25"/>
      <c r="C713" s="25"/>
      <c r="D713" s="105" t="str">
        <f>IF(COUNTIF('Form responses 4'!B:B,C713)&gt;0, "", "https://docs.google.com/forms/d/e/1FAIpQLSdhNamFeglgVtt555M7xM7e8ZAg9KCWMEcDlLzX1oeZsyGxrg/viewform?usp=pp_url&amp;entry.580385001="&amp;C713&amp;"&amp;entry.1376952895="&amp;A713)</f>
        <v>https://docs.google.com/forms/d/e/1FAIpQLSdhNamFeglgVtt555M7xM7e8ZAg9KCWMEcDlLzX1oeZsyGxrg/viewform?usp=pp_url&amp;entry.580385001=&amp;entry.1376952895=</v>
      </c>
    </row>
    <row r="714">
      <c r="A714" s="25"/>
      <c r="B714" s="25"/>
      <c r="C714" s="25"/>
      <c r="D714" s="105" t="str">
        <f>IF(COUNTIF('Form responses 4'!B:B,C714)&gt;0, "", "https://docs.google.com/forms/d/e/1FAIpQLSdhNamFeglgVtt555M7xM7e8ZAg9KCWMEcDlLzX1oeZsyGxrg/viewform?usp=pp_url&amp;entry.580385001="&amp;C714&amp;"&amp;entry.1376952895="&amp;A714)</f>
        <v>https://docs.google.com/forms/d/e/1FAIpQLSdhNamFeglgVtt555M7xM7e8ZAg9KCWMEcDlLzX1oeZsyGxrg/viewform?usp=pp_url&amp;entry.580385001=&amp;entry.1376952895=</v>
      </c>
    </row>
    <row r="715">
      <c r="A715" s="25"/>
      <c r="B715" s="25"/>
      <c r="C715" s="25"/>
      <c r="D715" s="105" t="str">
        <f>IF(COUNTIF('Form responses 4'!B:B,C715)&gt;0, "", "https://docs.google.com/forms/d/e/1FAIpQLSdhNamFeglgVtt555M7xM7e8ZAg9KCWMEcDlLzX1oeZsyGxrg/viewform?usp=pp_url&amp;entry.580385001="&amp;C715&amp;"&amp;entry.1376952895="&amp;A715)</f>
        <v>https://docs.google.com/forms/d/e/1FAIpQLSdhNamFeglgVtt555M7xM7e8ZAg9KCWMEcDlLzX1oeZsyGxrg/viewform?usp=pp_url&amp;entry.580385001=&amp;entry.1376952895=</v>
      </c>
    </row>
    <row r="716">
      <c r="A716" s="25"/>
      <c r="B716" s="25"/>
      <c r="C716" s="25"/>
      <c r="D716" s="105" t="str">
        <f>IF(COUNTIF('Form responses 4'!B:B,C716)&gt;0, "", "https://docs.google.com/forms/d/e/1FAIpQLSdhNamFeglgVtt555M7xM7e8ZAg9KCWMEcDlLzX1oeZsyGxrg/viewform?usp=pp_url&amp;entry.580385001="&amp;C716&amp;"&amp;entry.1376952895="&amp;A716)</f>
        <v>https://docs.google.com/forms/d/e/1FAIpQLSdhNamFeglgVtt555M7xM7e8ZAg9KCWMEcDlLzX1oeZsyGxrg/viewform?usp=pp_url&amp;entry.580385001=&amp;entry.1376952895=</v>
      </c>
    </row>
    <row r="717">
      <c r="A717" s="25"/>
      <c r="B717" s="25"/>
      <c r="C717" s="25"/>
      <c r="D717" s="105" t="str">
        <f>IF(COUNTIF('Form responses 4'!B:B,C717)&gt;0, "", "https://docs.google.com/forms/d/e/1FAIpQLSdhNamFeglgVtt555M7xM7e8ZAg9KCWMEcDlLzX1oeZsyGxrg/viewform?usp=pp_url&amp;entry.580385001="&amp;C717&amp;"&amp;entry.1376952895="&amp;A717)</f>
        <v>https://docs.google.com/forms/d/e/1FAIpQLSdhNamFeglgVtt555M7xM7e8ZAg9KCWMEcDlLzX1oeZsyGxrg/viewform?usp=pp_url&amp;entry.580385001=&amp;entry.1376952895=</v>
      </c>
    </row>
    <row r="718">
      <c r="A718" s="25"/>
      <c r="B718" s="25"/>
      <c r="C718" s="25"/>
      <c r="D718" s="105" t="str">
        <f>IF(COUNTIF('Form responses 4'!B:B,C718)&gt;0, "", "https://docs.google.com/forms/d/e/1FAIpQLSdhNamFeglgVtt555M7xM7e8ZAg9KCWMEcDlLzX1oeZsyGxrg/viewform?usp=pp_url&amp;entry.580385001="&amp;C718&amp;"&amp;entry.1376952895="&amp;A718)</f>
        <v>https://docs.google.com/forms/d/e/1FAIpQLSdhNamFeglgVtt555M7xM7e8ZAg9KCWMEcDlLzX1oeZsyGxrg/viewform?usp=pp_url&amp;entry.580385001=&amp;entry.1376952895=</v>
      </c>
    </row>
    <row r="719">
      <c r="A719" s="25"/>
      <c r="B719" s="25"/>
      <c r="C719" s="25"/>
      <c r="D719" s="105" t="str">
        <f>IF(COUNTIF('Form responses 4'!B:B,C719)&gt;0, "", "https://docs.google.com/forms/d/e/1FAIpQLSdhNamFeglgVtt555M7xM7e8ZAg9KCWMEcDlLzX1oeZsyGxrg/viewform?usp=pp_url&amp;entry.580385001="&amp;C719&amp;"&amp;entry.1376952895="&amp;A719)</f>
        <v>https://docs.google.com/forms/d/e/1FAIpQLSdhNamFeglgVtt555M7xM7e8ZAg9KCWMEcDlLzX1oeZsyGxrg/viewform?usp=pp_url&amp;entry.580385001=&amp;entry.1376952895=</v>
      </c>
    </row>
    <row r="720">
      <c r="A720" s="25"/>
      <c r="B720" s="25"/>
      <c r="C720" s="25"/>
      <c r="D720" s="105" t="str">
        <f>IF(COUNTIF('Form responses 4'!B:B,C720)&gt;0, "", "https://docs.google.com/forms/d/e/1FAIpQLSdhNamFeglgVtt555M7xM7e8ZAg9KCWMEcDlLzX1oeZsyGxrg/viewform?usp=pp_url&amp;entry.580385001="&amp;C720&amp;"&amp;entry.1376952895="&amp;A720)</f>
        <v>https://docs.google.com/forms/d/e/1FAIpQLSdhNamFeglgVtt555M7xM7e8ZAg9KCWMEcDlLzX1oeZsyGxrg/viewform?usp=pp_url&amp;entry.580385001=&amp;entry.1376952895=</v>
      </c>
    </row>
    <row r="721">
      <c r="A721" s="25"/>
      <c r="B721" s="25"/>
      <c r="C721" s="25"/>
      <c r="D721" s="105" t="str">
        <f>IF(COUNTIF('Form responses 4'!B:B,C721)&gt;0, "", "https://docs.google.com/forms/d/e/1FAIpQLSdhNamFeglgVtt555M7xM7e8ZAg9KCWMEcDlLzX1oeZsyGxrg/viewform?usp=pp_url&amp;entry.580385001="&amp;C721&amp;"&amp;entry.1376952895="&amp;A721)</f>
        <v>https://docs.google.com/forms/d/e/1FAIpQLSdhNamFeglgVtt555M7xM7e8ZAg9KCWMEcDlLzX1oeZsyGxrg/viewform?usp=pp_url&amp;entry.580385001=&amp;entry.1376952895=</v>
      </c>
    </row>
    <row r="722">
      <c r="A722" s="25"/>
      <c r="B722" s="25"/>
      <c r="C722" s="25"/>
      <c r="D722" s="105" t="str">
        <f>IF(COUNTIF('Form responses 4'!B:B,C722)&gt;0, "", "https://docs.google.com/forms/d/e/1FAIpQLSdhNamFeglgVtt555M7xM7e8ZAg9KCWMEcDlLzX1oeZsyGxrg/viewform?usp=pp_url&amp;entry.580385001="&amp;C722&amp;"&amp;entry.1376952895="&amp;A722)</f>
        <v>https://docs.google.com/forms/d/e/1FAIpQLSdhNamFeglgVtt555M7xM7e8ZAg9KCWMEcDlLzX1oeZsyGxrg/viewform?usp=pp_url&amp;entry.580385001=&amp;entry.1376952895=</v>
      </c>
    </row>
    <row r="723">
      <c r="A723" s="25"/>
      <c r="B723" s="25"/>
      <c r="C723" s="25"/>
      <c r="D723" s="105" t="str">
        <f>IF(COUNTIF('Form responses 4'!B:B,C723)&gt;0, "", "https://docs.google.com/forms/d/e/1FAIpQLSdhNamFeglgVtt555M7xM7e8ZAg9KCWMEcDlLzX1oeZsyGxrg/viewform?usp=pp_url&amp;entry.580385001="&amp;C723&amp;"&amp;entry.1376952895="&amp;A723)</f>
        <v>https://docs.google.com/forms/d/e/1FAIpQLSdhNamFeglgVtt555M7xM7e8ZAg9KCWMEcDlLzX1oeZsyGxrg/viewform?usp=pp_url&amp;entry.580385001=&amp;entry.1376952895=</v>
      </c>
    </row>
    <row r="724">
      <c r="A724" s="25"/>
      <c r="B724" s="25"/>
      <c r="C724" s="25"/>
      <c r="D724" s="105" t="str">
        <f>IF(COUNTIF('Form responses 4'!B:B,C724)&gt;0, "", "https://docs.google.com/forms/d/e/1FAIpQLSdhNamFeglgVtt555M7xM7e8ZAg9KCWMEcDlLzX1oeZsyGxrg/viewform?usp=pp_url&amp;entry.580385001="&amp;C724&amp;"&amp;entry.1376952895="&amp;A724)</f>
        <v>https://docs.google.com/forms/d/e/1FAIpQLSdhNamFeglgVtt555M7xM7e8ZAg9KCWMEcDlLzX1oeZsyGxrg/viewform?usp=pp_url&amp;entry.580385001=&amp;entry.1376952895=</v>
      </c>
    </row>
    <row r="725">
      <c r="A725" s="25"/>
      <c r="B725" s="25"/>
      <c r="C725" s="25"/>
      <c r="D725" s="105" t="str">
        <f>IF(COUNTIF('Form responses 4'!B:B,C725)&gt;0, "", "https://docs.google.com/forms/d/e/1FAIpQLSdhNamFeglgVtt555M7xM7e8ZAg9KCWMEcDlLzX1oeZsyGxrg/viewform?usp=pp_url&amp;entry.580385001="&amp;C725&amp;"&amp;entry.1376952895="&amp;A725)</f>
        <v>https://docs.google.com/forms/d/e/1FAIpQLSdhNamFeglgVtt555M7xM7e8ZAg9KCWMEcDlLzX1oeZsyGxrg/viewform?usp=pp_url&amp;entry.580385001=&amp;entry.1376952895=</v>
      </c>
    </row>
    <row r="726">
      <c r="A726" s="25"/>
      <c r="B726" s="25"/>
      <c r="C726" s="25"/>
      <c r="D726" s="105" t="str">
        <f>IF(COUNTIF('Form responses 4'!B:B,C726)&gt;0, "", "https://docs.google.com/forms/d/e/1FAIpQLSdhNamFeglgVtt555M7xM7e8ZAg9KCWMEcDlLzX1oeZsyGxrg/viewform?usp=pp_url&amp;entry.580385001="&amp;C726&amp;"&amp;entry.1376952895="&amp;A726)</f>
        <v>https://docs.google.com/forms/d/e/1FAIpQLSdhNamFeglgVtt555M7xM7e8ZAg9KCWMEcDlLzX1oeZsyGxrg/viewform?usp=pp_url&amp;entry.580385001=&amp;entry.1376952895=</v>
      </c>
    </row>
    <row r="727">
      <c r="A727" s="25"/>
      <c r="B727" s="25"/>
      <c r="C727" s="25"/>
      <c r="D727" s="105" t="str">
        <f>IF(COUNTIF('Form responses 4'!B:B,C727)&gt;0, "", "https://docs.google.com/forms/d/e/1FAIpQLSdhNamFeglgVtt555M7xM7e8ZAg9KCWMEcDlLzX1oeZsyGxrg/viewform?usp=pp_url&amp;entry.580385001="&amp;C727&amp;"&amp;entry.1376952895="&amp;A727)</f>
        <v>https://docs.google.com/forms/d/e/1FAIpQLSdhNamFeglgVtt555M7xM7e8ZAg9KCWMEcDlLzX1oeZsyGxrg/viewform?usp=pp_url&amp;entry.580385001=&amp;entry.1376952895=</v>
      </c>
    </row>
    <row r="728">
      <c r="A728" s="25"/>
      <c r="B728" s="25"/>
      <c r="C728" s="25"/>
      <c r="D728" s="105" t="str">
        <f>IF(COUNTIF('Form responses 4'!B:B,C728)&gt;0, "", "https://docs.google.com/forms/d/e/1FAIpQLSdhNamFeglgVtt555M7xM7e8ZAg9KCWMEcDlLzX1oeZsyGxrg/viewform?usp=pp_url&amp;entry.580385001="&amp;C728&amp;"&amp;entry.1376952895="&amp;A728)</f>
        <v>https://docs.google.com/forms/d/e/1FAIpQLSdhNamFeglgVtt555M7xM7e8ZAg9KCWMEcDlLzX1oeZsyGxrg/viewform?usp=pp_url&amp;entry.580385001=&amp;entry.1376952895=</v>
      </c>
    </row>
    <row r="729">
      <c r="A729" s="25"/>
      <c r="B729" s="25"/>
      <c r="C729" s="25"/>
      <c r="D729" s="105" t="str">
        <f>IF(COUNTIF('Form responses 4'!B:B,C729)&gt;0, "", "https://docs.google.com/forms/d/e/1FAIpQLSdhNamFeglgVtt555M7xM7e8ZAg9KCWMEcDlLzX1oeZsyGxrg/viewform?usp=pp_url&amp;entry.580385001="&amp;C729&amp;"&amp;entry.1376952895="&amp;A729)</f>
        <v>https://docs.google.com/forms/d/e/1FAIpQLSdhNamFeglgVtt555M7xM7e8ZAg9KCWMEcDlLzX1oeZsyGxrg/viewform?usp=pp_url&amp;entry.580385001=&amp;entry.1376952895=</v>
      </c>
    </row>
    <row r="730">
      <c r="A730" s="25"/>
      <c r="B730" s="25"/>
      <c r="C730" s="25"/>
      <c r="D730" s="105" t="str">
        <f>IF(COUNTIF('Form responses 4'!B:B,C730)&gt;0, "", "https://docs.google.com/forms/d/e/1FAIpQLSdhNamFeglgVtt555M7xM7e8ZAg9KCWMEcDlLzX1oeZsyGxrg/viewform?usp=pp_url&amp;entry.580385001="&amp;C730&amp;"&amp;entry.1376952895="&amp;A730)</f>
        <v>https://docs.google.com/forms/d/e/1FAIpQLSdhNamFeglgVtt555M7xM7e8ZAg9KCWMEcDlLzX1oeZsyGxrg/viewform?usp=pp_url&amp;entry.580385001=&amp;entry.1376952895=</v>
      </c>
    </row>
    <row r="731">
      <c r="A731" s="25"/>
      <c r="B731" s="25"/>
      <c r="C731" s="25"/>
      <c r="D731" s="105" t="str">
        <f>IF(COUNTIF('Form responses 4'!B:B,C731)&gt;0, "", "https://docs.google.com/forms/d/e/1FAIpQLSdhNamFeglgVtt555M7xM7e8ZAg9KCWMEcDlLzX1oeZsyGxrg/viewform?usp=pp_url&amp;entry.580385001="&amp;C731&amp;"&amp;entry.1376952895="&amp;A731)</f>
        <v>https://docs.google.com/forms/d/e/1FAIpQLSdhNamFeglgVtt555M7xM7e8ZAg9KCWMEcDlLzX1oeZsyGxrg/viewform?usp=pp_url&amp;entry.580385001=&amp;entry.1376952895=</v>
      </c>
    </row>
    <row r="732">
      <c r="A732" s="25"/>
      <c r="B732" s="25"/>
      <c r="C732" s="25"/>
      <c r="D732" s="105" t="str">
        <f>IF(COUNTIF('Form responses 4'!B:B,C732)&gt;0, "", "https://docs.google.com/forms/d/e/1FAIpQLSdhNamFeglgVtt555M7xM7e8ZAg9KCWMEcDlLzX1oeZsyGxrg/viewform?usp=pp_url&amp;entry.580385001="&amp;C732&amp;"&amp;entry.1376952895="&amp;A732)</f>
        <v>https://docs.google.com/forms/d/e/1FAIpQLSdhNamFeglgVtt555M7xM7e8ZAg9KCWMEcDlLzX1oeZsyGxrg/viewform?usp=pp_url&amp;entry.580385001=&amp;entry.1376952895=</v>
      </c>
    </row>
    <row r="733">
      <c r="A733" s="25"/>
      <c r="B733" s="25"/>
      <c r="C733" s="25"/>
      <c r="D733" s="105" t="str">
        <f>IF(COUNTIF('Form responses 4'!B:B,C733)&gt;0, "", "https://docs.google.com/forms/d/e/1FAIpQLSdhNamFeglgVtt555M7xM7e8ZAg9KCWMEcDlLzX1oeZsyGxrg/viewform?usp=pp_url&amp;entry.580385001="&amp;C733&amp;"&amp;entry.1376952895="&amp;A733)</f>
        <v>https://docs.google.com/forms/d/e/1FAIpQLSdhNamFeglgVtt555M7xM7e8ZAg9KCWMEcDlLzX1oeZsyGxrg/viewform?usp=pp_url&amp;entry.580385001=&amp;entry.1376952895=</v>
      </c>
    </row>
    <row r="734">
      <c r="A734" s="25"/>
      <c r="B734" s="25"/>
      <c r="C734" s="25"/>
      <c r="D734" s="105" t="str">
        <f>IF(COUNTIF('Form responses 4'!B:B,C734)&gt;0, "", "https://docs.google.com/forms/d/e/1FAIpQLSdhNamFeglgVtt555M7xM7e8ZAg9KCWMEcDlLzX1oeZsyGxrg/viewform?usp=pp_url&amp;entry.580385001="&amp;C734&amp;"&amp;entry.1376952895="&amp;A734)</f>
        <v>https://docs.google.com/forms/d/e/1FAIpQLSdhNamFeglgVtt555M7xM7e8ZAg9KCWMEcDlLzX1oeZsyGxrg/viewform?usp=pp_url&amp;entry.580385001=&amp;entry.1376952895=</v>
      </c>
    </row>
    <row r="735">
      <c r="A735" s="25"/>
      <c r="B735" s="25"/>
      <c r="C735" s="25"/>
      <c r="D735" s="105" t="str">
        <f>IF(COUNTIF('Form responses 4'!B:B,C735)&gt;0, "", "https://docs.google.com/forms/d/e/1FAIpQLSdhNamFeglgVtt555M7xM7e8ZAg9KCWMEcDlLzX1oeZsyGxrg/viewform?usp=pp_url&amp;entry.580385001="&amp;C735&amp;"&amp;entry.1376952895="&amp;A735)</f>
        <v>https://docs.google.com/forms/d/e/1FAIpQLSdhNamFeglgVtt555M7xM7e8ZAg9KCWMEcDlLzX1oeZsyGxrg/viewform?usp=pp_url&amp;entry.580385001=&amp;entry.1376952895=</v>
      </c>
    </row>
    <row r="736">
      <c r="A736" s="25"/>
      <c r="B736" s="25"/>
      <c r="C736" s="25"/>
      <c r="D736" s="105" t="str">
        <f>IF(COUNTIF('Form responses 4'!B:B,C736)&gt;0, "", "https://docs.google.com/forms/d/e/1FAIpQLSdhNamFeglgVtt555M7xM7e8ZAg9KCWMEcDlLzX1oeZsyGxrg/viewform?usp=pp_url&amp;entry.580385001="&amp;C736&amp;"&amp;entry.1376952895="&amp;A736)</f>
        <v>https://docs.google.com/forms/d/e/1FAIpQLSdhNamFeglgVtt555M7xM7e8ZAg9KCWMEcDlLzX1oeZsyGxrg/viewform?usp=pp_url&amp;entry.580385001=&amp;entry.1376952895=</v>
      </c>
    </row>
    <row r="737">
      <c r="A737" s="25"/>
      <c r="B737" s="25"/>
      <c r="C737" s="25"/>
      <c r="D737" s="105" t="str">
        <f>IF(COUNTIF('Form responses 4'!B:B,C737)&gt;0, "", "https://docs.google.com/forms/d/e/1FAIpQLSdhNamFeglgVtt555M7xM7e8ZAg9KCWMEcDlLzX1oeZsyGxrg/viewform?usp=pp_url&amp;entry.580385001="&amp;C737&amp;"&amp;entry.1376952895="&amp;A737)</f>
        <v>https://docs.google.com/forms/d/e/1FAIpQLSdhNamFeglgVtt555M7xM7e8ZAg9KCWMEcDlLzX1oeZsyGxrg/viewform?usp=pp_url&amp;entry.580385001=&amp;entry.1376952895=</v>
      </c>
    </row>
    <row r="738">
      <c r="A738" s="25"/>
      <c r="B738" s="25"/>
      <c r="C738" s="25"/>
      <c r="D738" s="105" t="str">
        <f>IF(COUNTIF('Form responses 4'!B:B,C738)&gt;0, "", "https://docs.google.com/forms/d/e/1FAIpQLSdhNamFeglgVtt555M7xM7e8ZAg9KCWMEcDlLzX1oeZsyGxrg/viewform?usp=pp_url&amp;entry.580385001="&amp;C738&amp;"&amp;entry.1376952895="&amp;A738)</f>
        <v>https://docs.google.com/forms/d/e/1FAIpQLSdhNamFeglgVtt555M7xM7e8ZAg9KCWMEcDlLzX1oeZsyGxrg/viewform?usp=pp_url&amp;entry.580385001=&amp;entry.1376952895=</v>
      </c>
    </row>
    <row r="739">
      <c r="A739" s="25"/>
      <c r="B739" s="25"/>
      <c r="C739" s="25"/>
      <c r="D739" s="105" t="str">
        <f>IF(COUNTIF('Form responses 4'!B:B,C739)&gt;0, "", "https://docs.google.com/forms/d/e/1FAIpQLSdhNamFeglgVtt555M7xM7e8ZAg9KCWMEcDlLzX1oeZsyGxrg/viewform?usp=pp_url&amp;entry.580385001="&amp;C739&amp;"&amp;entry.1376952895="&amp;A739)</f>
        <v>https://docs.google.com/forms/d/e/1FAIpQLSdhNamFeglgVtt555M7xM7e8ZAg9KCWMEcDlLzX1oeZsyGxrg/viewform?usp=pp_url&amp;entry.580385001=&amp;entry.1376952895=</v>
      </c>
    </row>
    <row r="740">
      <c r="A740" s="25"/>
      <c r="B740" s="25"/>
      <c r="C740" s="25"/>
      <c r="D740" s="105" t="str">
        <f>IF(COUNTIF('Form responses 4'!B:B,C740)&gt;0, "", "https://docs.google.com/forms/d/e/1FAIpQLSdhNamFeglgVtt555M7xM7e8ZAg9KCWMEcDlLzX1oeZsyGxrg/viewform?usp=pp_url&amp;entry.580385001="&amp;C740&amp;"&amp;entry.1376952895="&amp;A740)</f>
        <v>https://docs.google.com/forms/d/e/1FAIpQLSdhNamFeglgVtt555M7xM7e8ZAg9KCWMEcDlLzX1oeZsyGxrg/viewform?usp=pp_url&amp;entry.580385001=&amp;entry.1376952895=</v>
      </c>
    </row>
    <row r="741">
      <c r="A741" s="25"/>
      <c r="B741" s="25"/>
      <c r="C741" s="25"/>
      <c r="D741" s="105" t="str">
        <f>IF(COUNTIF('Form responses 4'!B:B,C741)&gt;0, "", "https://docs.google.com/forms/d/e/1FAIpQLSdhNamFeglgVtt555M7xM7e8ZAg9KCWMEcDlLzX1oeZsyGxrg/viewform?usp=pp_url&amp;entry.580385001="&amp;C741&amp;"&amp;entry.1376952895="&amp;A741)</f>
        <v>https://docs.google.com/forms/d/e/1FAIpQLSdhNamFeglgVtt555M7xM7e8ZAg9KCWMEcDlLzX1oeZsyGxrg/viewform?usp=pp_url&amp;entry.580385001=&amp;entry.1376952895=</v>
      </c>
    </row>
    <row r="742">
      <c r="A742" s="25"/>
      <c r="B742" s="25"/>
      <c r="C742" s="25"/>
      <c r="D742" s="105" t="str">
        <f>IF(COUNTIF('Form responses 4'!B:B,C742)&gt;0, "", "https://docs.google.com/forms/d/e/1FAIpQLSdhNamFeglgVtt555M7xM7e8ZAg9KCWMEcDlLzX1oeZsyGxrg/viewform?usp=pp_url&amp;entry.580385001="&amp;C742&amp;"&amp;entry.1376952895="&amp;A742)</f>
        <v>https://docs.google.com/forms/d/e/1FAIpQLSdhNamFeglgVtt555M7xM7e8ZAg9KCWMEcDlLzX1oeZsyGxrg/viewform?usp=pp_url&amp;entry.580385001=&amp;entry.1376952895=</v>
      </c>
    </row>
    <row r="743">
      <c r="A743" s="25"/>
      <c r="B743" s="25"/>
      <c r="C743" s="25"/>
      <c r="D743" s="105" t="str">
        <f>IF(COUNTIF('Form responses 4'!B:B,C743)&gt;0, "", "https://docs.google.com/forms/d/e/1FAIpQLSdhNamFeglgVtt555M7xM7e8ZAg9KCWMEcDlLzX1oeZsyGxrg/viewform?usp=pp_url&amp;entry.580385001="&amp;C743&amp;"&amp;entry.1376952895="&amp;A743)</f>
        <v>https://docs.google.com/forms/d/e/1FAIpQLSdhNamFeglgVtt555M7xM7e8ZAg9KCWMEcDlLzX1oeZsyGxrg/viewform?usp=pp_url&amp;entry.580385001=&amp;entry.1376952895=</v>
      </c>
    </row>
    <row r="744">
      <c r="A744" s="25"/>
      <c r="B744" s="25"/>
      <c r="C744" s="25"/>
      <c r="D744" s="105" t="str">
        <f>IF(COUNTIF('Form responses 4'!B:B,C744)&gt;0, "", "https://docs.google.com/forms/d/e/1FAIpQLSdhNamFeglgVtt555M7xM7e8ZAg9KCWMEcDlLzX1oeZsyGxrg/viewform?usp=pp_url&amp;entry.580385001="&amp;C744&amp;"&amp;entry.1376952895="&amp;A744)</f>
        <v>https://docs.google.com/forms/d/e/1FAIpQLSdhNamFeglgVtt555M7xM7e8ZAg9KCWMEcDlLzX1oeZsyGxrg/viewform?usp=pp_url&amp;entry.580385001=&amp;entry.1376952895=</v>
      </c>
    </row>
    <row r="745">
      <c r="A745" s="25"/>
      <c r="B745" s="25"/>
      <c r="C745" s="25"/>
      <c r="D745" s="105" t="str">
        <f>IF(COUNTIF('Form responses 4'!B:B,C745)&gt;0, "", "https://docs.google.com/forms/d/e/1FAIpQLSdhNamFeglgVtt555M7xM7e8ZAg9KCWMEcDlLzX1oeZsyGxrg/viewform?usp=pp_url&amp;entry.580385001="&amp;C745&amp;"&amp;entry.1376952895="&amp;A745)</f>
        <v>https://docs.google.com/forms/d/e/1FAIpQLSdhNamFeglgVtt555M7xM7e8ZAg9KCWMEcDlLzX1oeZsyGxrg/viewform?usp=pp_url&amp;entry.580385001=&amp;entry.1376952895=</v>
      </c>
    </row>
    <row r="746">
      <c r="A746" s="25"/>
      <c r="B746" s="25"/>
      <c r="C746" s="25"/>
      <c r="D746" s="105" t="str">
        <f>IF(COUNTIF('Form responses 4'!B:B,C746)&gt;0, "", "https://docs.google.com/forms/d/e/1FAIpQLSdhNamFeglgVtt555M7xM7e8ZAg9KCWMEcDlLzX1oeZsyGxrg/viewform?usp=pp_url&amp;entry.580385001="&amp;C746&amp;"&amp;entry.1376952895="&amp;A746)</f>
        <v>https://docs.google.com/forms/d/e/1FAIpQLSdhNamFeglgVtt555M7xM7e8ZAg9KCWMEcDlLzX1oeZsyGxrg/viewform?usp=pp_url&amp;entry.580385001=&amp;entry.1376952895=</v>
      </c>
    </row>
    <row r="747">
      <c r="A747" s="25"/>
      <c r="B747" s="25"/>
      <c r="C747" s="25"/>
      <c r="D747" s="105" t="str">
        <f>IF(COUNTIF('Form responses 4'!B:B,C747)&gt;0, "", "https://docs.google.com/forms/d/e/1FAIpQLSdhNamFeglgVtt555M7xM7e8ZAg9KCWMEcDlLzX1oeZsyGxrg/viewform?usp=pp_url&amp;entry.580385001="&amp;C747&amp;"&amp;entry.1376952895="&amp;A747)</f>
        <v>https://docs.google.com/forms/d/e/1FAIpQLSdhNamFeglgVtt555M7xM7e8ZAg9KCWMEcDlLzX1oeZsyGxrg/viewform?usp=pp_url&amp;entry.580385001=&amp;entry.1376952895=</v>
      </c>
    </row>
    <row r="748">
      <c r="A748" s="25"/>
      <c r="B748" s="25"/>
      <c r="C748" s="25"/>
      <c r="D748" s="105" t="str">
        <f>IF(COUNTIF('Form responses 4'!B:B,C748)&gt;0, "", "https://docs.google.com/forms/d/e/1FAIpQLSdhNamFeglgVtt555M7xM7e8ZAg9KCWMEcDlLzX1oeZsyGxrg/viewform?usp=pp_url&amp;entry.580385001="&amp;C748&amp;"&amp;entry.1376952895="&amp;A748)</f>
        <v>https://docs.google.com/forms/d/e/1FAIpQLSdhNamFeglgVtt555M7xM7e8ZAg9KCWMEcDlLzX1oeZsyGxrg/viewform?usp=pp_url&amp;entry.580385001=&amp;entry.1376952895=</v>
      </c>
    </row>
    <row r="749">
      <c r="A749" s="25"/>
      <c r="B749" s="25"/>
      <c r="C749" s="25"/>
      <c r="D749" s="105" t="str">
        <f>IF(COUNTIF('Form responses 4'!B:B,C749)&gt;0, "", "https://docs.google.com/forms/d/e/1FAIpQLSdhNamFeglgVtt555M7xM7e8ZAg9KCWMEcDlLzX1oeZsyGxrg/viewform?usp=pp_url&amp;entry.580385001="&amp;C749&amp;"&amp;entry.1376952895="&amp;A749)</f>
        <v>https://docs.google.com/forms/d/e/1FAIpQLSdhNamFeglgVtt555M7xM7e8ZAg9KCWMEcDlLzX1oeZsyGxrg/viewform?usp=pp_url&amp;entry.580385001=&amp;entry.1376952895=</v>
      </c>
    </row>
    <row r="750">
      <c r="A750" s="25"/>
      <c r="B750" s="25"/>
      <c r="C750" s="25"/>
      <c r="D750" s="105" t="str">
        <f>IF(COUNTIF('Form responses 4'!B:B,C750)&gt;0, "", "https://docs.google.com/forms/d/e/1FAIpQLSdhNamFeglgVtt555M7xM7e8ZAg9KCWMEcDlLzX1oeZsyGxrg/viewform?usp=pp_url&amp;entry.580385001="&amp;C750&amp;"&amp;entry.1376952895="&amp;A750)</f>
        <v>https://docs.google.com/forms/d/e/1FAIpQLSdhNamFeglgVtt555M7xM7e8ZAg9KCWMEcDlLzX1oeZsyGxrg/viewform?usp=pp_url&amp;entry.580385001=&amp;entry.1376952895=</v>
      </c>
    </row>
    <row r="751">
      <c r="A751" s="25"/>
      <c r="B751" s="25"/>
      <c r="C751" s="25"/>
      <c r="D751" s="105" t="str">
        <f>IF(COUNTIF('Form responses 4'!B:B,C751)&gt;0, "", "https://docs.google.com/forms/d/e/1FAIpQLSdhNamFeglgVtt555M7xM7e8ZAg9KCWMEcDlLzX1oeZsyGxrg/viewform?usp=pp_url&amp;entry.580385001="&amp;C751&amp;"&amp;entry.1376952895="&amp;A751)</f>
        <v>https://docs.google.com/forms/d/e/1FAIpQLSdhNamFeglgVtt555M7xM7e8ZAg9KCWMEcDlLzX1oeZsyGxrg/viewform?usp=pp_url&amp;entry.580385001=&amp;entry.1376952895=</v>
      </c>
    </row>
    <row r="752">
      <c r="A752" s="25"/>
      <c r="B752" s="25"/>
      <c r="C752" s="25"/>
      <c r="D752" s="105" t="str">
        <f>IF(COUNTIF('Form responses 4'!B:B,C752)&gt;0, "", "https://docs.google.com/forms/d/e/1FAIpQLSdhNamFeglgVtt555M7xM7e8ZAg9KCWMEcDlLzX1oeZsyGxrg/viewform?usp=pp_url&amp;entry.580385001="&amp;C752&amp;"&amp;entry.1376952895="&amp;A752)</f>
        <v>https://docs.google.com/forms/d/e/1FAIpQLSdhNamFeglgVtt555M7xM7e8ZAg9KCWMEcDlLzX1oeZsyGxrg/viewform?usp=pp_url&amp;entry.580385001=&amp;entry.1376952895=</v>
      </c>
    </row>
    <row r="753">
      <c r="A753" s="25"/>
      <c r="B753" s="25"/>
      <c r="C753" s="25"/>
      <c r="D753" s="105" t="str">
        <f>IF(COUNTIF('Form responses 4'!B:B,C753)&gt;0, "", "https://docs.google.com/forms/d/e/1FAIpQLSdhNamFeglgVtt555M7xM7e8ZAg9KCWMEcDlLzX1oeZsyGxrg/viewform?usp=pp_url&amp;entry.580385001="&amp;C753&amp;"&amp;entry.1376952895="&amp;A753)</f>
        <v>https://docs.google.com/forms/d/e/1FAIpQLSdhNamFeglgVtt555M7xM7e8ZAg9KCWMEcDlLzX1oeZsyGxrg/viewform?usp=pp_url&amp;entry.580385001=&amp;entry.1376952895=</v>
      </c>
    </row>
    <row r="754">
      <c r="A754" s="25"/>
      <c r="B754" s="25"/>
      <c r="C754" s="25"/>
      <c r="D754" s="105" t="str">
        <f>IF(COUNTIF('Form responses 4'!B:B,C754)&gt;0, "", "https://docs.google.com/forms/d/e/1FAIpQLSdhNamFeglgVtt555M7xM7e8ZAg9KCWMEcDlLzX1oeZsyGxrg/viewform?usp=pp_url&amp;entry.580385001="&amp;C754&amp;"&amp;entry.1376952895="&amp;A754)</f>
        <v>https://docs.google.com/forms/d/e/1FAIpQLSdhNamFeglgVtt555M7xM7e8ZAg9KCWMEcDlLzX1oeZsyGxrg/viewform?usp=pp_url&amp;entry.580385001=&amp;entry.1376952895=</v>
      </c>
    </row>
    <row r="755">
      <c r="A755" s="25"/>
      <c r="B755" s="25"/>
      <c r="C755" s="25"/>
      <c r="D755" s="105" t="str">
        <f>IF(COUNTIF('Form responses 4'!B:B,C755)&gt;0, "", "https://docs.google.com/forms/d/e/1FAIpQLSdhNamFeglgVtt555M7xM7e8ZAg9KCWMEcDlLzX1oeZsyGxrg/viewform?usp=pp_url&amp;entry.580385001="&amp;C755&amp;"&amp;entry.1376952895="&amp;A755)</f>
        <v>https://docs.google.com/forms/d/e/1FAIpQLSdhNamFeglgVtt555M7xM7e8ZAg9KCWMEcDlLzX1oeZsyGxrg/viewform?usp=pp_url&amp;entry.580385001=&amp;entry.1376952895=</v>
      </c>
    </row>
    <row r="756">
      <c r="A756" s="25"/>
      <c r="B756" s="25"/>
      <c r="C756" s="25"/>
      <c r="D756" s="105" t="str">
        <f>IF(COUNTIF('Form responses 4'!B:B,C756)&gt;0, "", "https://docs.google.com/forms/d/e/1FAIpQLSdhNamFeglgVtt555M7xM7e8ZAg9KCWMEcDlLzX1oeZsyGxrg/viewform?usp=pp_url&amp;entry.580385001="&amp;C756&amp;"&amp;entry.1376952895="&amp;A756)</f>
        <v>https://docs.google.com/forms/d/e/1FAIpQLSdhNamFeglgVtt555M7xM7e8ZAg9KCWMEcDlLzX1oeZsyGxrg/viewform?usp=pp_url&amp;entry.580385001=&amp;entry.1376952895=</v>
      </c>
    </row>
    <row r="757">
      <c r="A757" s="25"/>
      <c r="B757" s="25"/>
      <c r="C757" s="25"/>
      <c r="D757" s="105" t="str">
        <f>IF(COUNTIF('Form responses 4'!B:B,C757)&gt;0, "", "https://docs.google.com/forms/d/e/1FAIpQLSdhNamFeglgVtt555M7xM7e8ZAg9KCWMEcDlLzX1oeZsyGxrg/viewform?usp=pp_url&amp;entry.580385001="&amp;C757&amp;"&amp;entry.1376952895="&amp;A757)</f>
        <v>https://docs.google.com/forms/d/e/1FAIpQLSdhNamFeglgVtt555M7xM7e8ZAg9KCWMEcDlLzX1oeZsyGxrg/viewform?usp=pp_url&amp;entry.580385001=&amp;entry.1376952895=</v>
      </c>
    </row>
    <row r="758">
      <c r="A758" s="25"/>
      <c r="B758" s="25"/>
      <c r="C758" s="25"/>
      <c r="D758" s="105" t="str">
        <f>IF(COUNTIF('Form responses 4'!B:B,C758)&gt;0, "", "https://docs.google.com/forms/d/e/1FAIpQLSdhNamFeglgVtt555M7xM7e8ZAg9KCWMEcDlLzX1oeZsyGxrg/viewform?usp=pp_url&amp;entry.580385001="&amp;C758&amp;"&amp;entry.1376952895="&amp;A758)</f>
        <v>https://docs.google.com/forms/d/e/1FAIpQLSdhNamFeglgVtt555M7xM7e8ZAg9KCWMEcDlLzX1oeZsyGxrg/viewform?usp=pp_url&amp;entry.580385001=&amp;entry.1376952895=</v>
      </c>
    </row>
    <row r="759">
      <c r="A759" s="25"/>
      <c r="B759" s="25"/>
      <c r="C759" s="25"/>
      <c r="D759" s="105" t="str">
        <f>IF(COUNTIF('Form responses 4'!B:B,C759)&gt;0, "", "https://docs.google.com/forms/d/e/1FAIpQLSdhNamFeglgVtt555M7xM7e8ZAg9KCWMEcDlLzX1oeZsyGxrg/viewform?usp=pp_url&amp;entry.580385001="&amp;C759&amp;"&amp;entry.1376952895="&amp;A759)</f>
        <v>https://docs.google.com/forms/d/e/1FAIpQLSdhNamFeglgVtt555M7xM7e8ZAg9KCWMEcDlLzX1oeZsyGxrg/viewform?usp=pp_url&amp;entry.580385001=&amp;entry.1376952895=</v>
      </c>
    </row>
    <row r="760">
      <c r="A760" s="25"/>
      <c r="B760" s="25"/>
      <c r="C760" s="25"/>
      <c r="D760" s="105" t="str">
        <f>IF(COUNTIF('Form responses 4'!B:B,C760)&gt;0, "", "https://docs.google.com/forms/d/e/1FAIpQLSdhNamFeglgVtt555M7xM7e8ZAg9KCWMEcDlLzX1oeZsyGxrg/viewform?usp=pp_url&amp;entry.580385001="&amp;C760&amp;"&amp;entry.1376952895="&amp;A760)</f>
        <v>https://docs.google.com/forms/d/e/1FAIpQLSdhNamFeglgVtt555M7xM7e8ZAg9KCWMEcDlLzX1oeZsyGxrg/viewform?usp=pp_url&amp;entry.580385001=&amp;entry.1376952895=</v>
      </c>
    </row>
    <row r="761">
      <c r="A761" s="25"/>
      <c r="B761" s="25"/>
      <c r="C761" s="25"/>
      <c r="D761" s="105" t="str">
        <f>IF(COUNTIF('Form responses 4'!B:B,C761)&gt;0, "", "https://docs.google.com/forms/d/e/1FAIpQLSdhNamFeglgVtt555M7xM7e8ZAg9KCWMEcDlLzX1oeZsyGxrg/viewform?usp=pp_url&amp;entry.580385001="&amp;C761&amp;"&amp;entry.1376952895="&amp;A761)</f>
        <v>https://docs.google.com/forms/d/e/1FAIpQLSdhNamFeglgVtt555M7xM7e8ZAg9KCWMEcDlLzX1oeZsyGxrg/viewform?usp=pp_url&amp;entry.580385001=&amp;entry.1376952895=</v>
      </c>
    </row>
    <row r="762">
      <c r="A762" s="25"/>
      <c r="B762" s="25"/>
      <c r="C762" s="25"/>
      <c r="D762" s="105" t="str">
        <f>IF(COUNTIF('Form responses 4'!B:B,C762)&gt;0, "", "https://docs.google.com/forms/d/e/1FAIpQLSdhNamFeglgVtt555M7xM7e8ZAg9KCWMEcDlLzX1oeZsyGxrg/viewform?usp=pp_url&amp;entry.580385001="&amp;C762&amp;"&amp;entry.1376952895="&amp;A762)</f>
        <v>https://docs.google.com/forms/d/e/1FAIpQLSdhNamFeglgVtt555M7xM7e8ZAg9KCWMEcDlLzX1oeZsyGxrg/viewform?usp=pp_url&amp;entry.580385001=&amp;entry.1376952895=</v>
      </c>
    </row>
    <row r="763">
      <c r="A763" s="25"/>
      <c r="B763" s="25"/>
      <c r="C763" s="25"/>
      <c r="D763" s="105" t="str">
        <f>IF(COUNTIF('Form responses 4'!B:B,C763)&gt;0, "", "https://docs.google.com/forms/d/e/1FAIpQLSdhNamFeglgVtt555M7xM7e8ZAg9KCWMEcDlLzX1oeZsyGxrg/viewform?usp=pp_url&amp;entry.580385001="&amp;C763&amp;"&amp;entry.1376952895="&amp;A763)</f>
        <v>https://docs.google.com/forms/d/e/1FAIpQLSdhNamFeglgVtt555M7xM7e8ZAg9KCWMEcDlLzX1oeZsyGxrg/viewform?usp=pp_url&amp;entry.580385001=&amp;entry.1376952895=</v>
      </c>
    </row>
    <row r="764">
      <c r="A764" s="25"/>
      <c r="B764" s="25"/>
      <c r="C764" s="25"/>
      <c r="D764" s="105" t="str">
        <f>IF(COUNTIF('Form responses 4'!B:B,C764)&gt;0, "", "https://docs.google.com/forms/d/e/1FAIpQLSdhNamFeglgVtt555M7xM7e8ZAg9KCWMEcDlLzX1oeZsyGxrg/viewform?usp=pp_url&amp;entry.580385001="&amp;C764&amp;"&amp;entry.1376952895="&amp;A764)</f>
        <v>https://docs.google.com/forms/d/e/1FAIpQLSdhNamFeglgVtt555M7xM7e8ZAg9KCWMEcDlLzX1oeZsyGxrg/viewform?usp=pp_url&amp;entry.580385001=&amp;entry.1376952895=</v>
      </c>
    </row>
    <row r="765">
      <c r="A765" s="25"/>
      <c r="B765" s="25"/>
      <c r="C765" s="25"/>
      <c r="D765" s="105" t="str">
        <f>IF(COUNTIF('Form responses 4'!B:B,C765)&gt;0, "", "https://docs.google.com/forms/d/e/1FAIpQLSdhNamFeglgVtt555M7xM7e8ZAg9KCWMEcDlLzX1oeZsyGxrg/viewform?usp=pp_url&amp;entry.580385001="&amp;C765&amp;"&amp;entry.1376952895="&amp;A765)</f>
        <v>https://docs.google.com/forms/d/e/1FAIpQLSdhNamFeglgVtt555M7xM7e8ZAg9KCWMEcDlLzX1oeZsyGxrg/viewform?usp=pp_url&amp;entry.580385001=&amp;entry.1376952895=</v>
      </c>
    </row>
    <row r="766">
      <c r="A766" s="25"/>
      <c r="B766" s="25"/>
      <c r="C766" s="25"/>
      <c r="D766" s="105" t="str">
        <f>IF(COUNTIF('Form responses 4'!B:B,C766)&gt;0, "", "https://docs.google.com/forms/d/e/1FAIpQLSdhNamFeglgVtt555M7xM7e8ZAg9KCWMEcDlLzX1oeZsyGxrg/viewform?usp=pp_url&amp;entry.580385001="&amp;C766&amp;"&amp;entry.1376952895="&amp;A766)</f>
        <v>https://docs.google.com/forms/d/e/1FAIpQLSdhNamFeglgVtt555M7xM7e8ZAg9KCWMEcDlLzX1oeZsyGxrg/viewform?usp=pp_url&amp;entry.580385001=&amp;entry.1376952895=</v>
      </c>
    </row>
    <row r="767">
      <c r="A767" s="25"/>
      <c r="B767" s="25"/>
      <c r="C767" s="25"/>
      <c r="D767" s="105" t="str">
        <f>IF(COUNTIF('Form responses 4'!B:B,C767)&gt;0, "", "https://docs.google.com/forms/d/e/1FAIpQLSdhNamFeglgVtt555M7xM7e8ZAg9KCWMEcDlLzX1oeZsyGxrg/viewform?usp=pp_url&amp;entry.580385001="&amp;C767&amp;"&amp;entry.1376952895="&amp;A767)</f>
        <v>https://docs.google.com/forms/d/e/1FAIpQLSdhNamFeglgVtt555M7xM7e8ZAg9KCWMEcDlLzX1oeZsyGxrg/viewform?usp=pp_url&amp;entry.580385001=&amp;entry.1376952895=</v>
      </c>
    </row>
    <row r="768">
      <c r="A768" s="25"/>
      <c r="B768" s="25"/>
      <c r="C768" s="25"/>
      <c r="D768" s="105" t="str">
        <f>IF(COUNTIF('Form responses 4'!B:B,C768)&gt;0, "", "https://docs.google.com/forms/d/e/1FAIpQLSdhNamFeglgVtt555M7xM7e8ZAg9KCWMEcDlLzX1oeZsyGxrg/viewform?usp=pp_url&amp;entry.580385001="&amp;C768&amp;"&amp;entry.1376952895="&amp;A768)</f>
        <v>https://docs.google.com/forms/d/e/1FAIpQLSdhNamFeglgVtt555M7xM7e8ZAg9KCWMEcDlLzX1oeZsyGxrg/viewform?usp=pp_url&amp;entry.580385001=&amp;entry.1376952895=</v>
      </c>
    </row>
    <row r="769">
      <c r="A769" s="25"/>
      <c r="B769" s="25"/>
      <c r="C769" s="25"/>
      <c r="D769" s="105" t="str">
        <f>IF(COUNTIF('Form responses 4'!B:B,C769)&gt;0, "", "https://docs.google.com/forms/d/e/1FAIpQLSdhNamFeglgVtt555M7xM7e8ZAg9KCWMEcDlLzX1oeZsyGxrg/viewform?usp=pp_url&amp;entry.580385001="&amp;C769&amp;"&amp;entry.1376952895="&amp;A769)</f>
        <v>https://docs.google.com/forms/d/e/1FAIpQLSdhNamFeglgVtt555M7xM7e8ZAg9KCWMEcDlLzX1oeZsyGxrg/viewform?usp=pp_url&amp;entry.580385001=&amp;entry.1376952895=</v>
      </c>
    </row>
    <row r="770">
      <c r="A770" s="25"/>
      <c r="B770" s="25"/>
      <c r="C770" s="25"/>
      <c r="D770" s="105" t="str">
        <f>IF(COUNTIF('Form responses 4'!B:B,C770)&gt;0, "", "https://docs.google.com/forms/d/e/1FAIpQLSdhNamFeglgVtt555M7xM7e8ZAg9KCWMEcDlLzX1oeZsyGxrg/viewform?usp=pp_url&amp;entry.580385001="&amp;C770&amp;"&amp;entry.1376952895="&amp;A770)</f>
        <v>https://docs.google.com/forms/d/e/1FAIpQLSdhNamFeglgVtt555M7xM7e8ZAg9KCWMEcDlLzX1oeZsyGxrg/viewform?usp=pp_url&amp;entry.580385001=&amp;entry.1376952895=</v>
      </c>
    </row>
    <row r="771">
      <c r="A771" s="25"/>
      <c r="B771" s="25"/>
      <c r="C771" s="25"/>
      <c r="D771" s="105" t="str">
        <f>IF(COUNTIF('Form responses 4'!B:B,C771)&gt;0, "", "https://docs.google.com/forms/d/e/1FAIpQLSdhNamFeglgVtt555M7xM7e8ZAg9KCWMEcDlLzX1oeZsyGxrg/viewform?usp=pp_url&amp;entry.580385001="&amp;C771&amp;"&amp;entry.1376952895="&amp;A771)</f>
        <v>https://docs.google.com/forms/d/e/1FAIpQLSdhNamFeglgVtt555M7xM7e8ZAg9KCWMEcDlLzX1oeZsyGxrg/viewform?usp=pp_url&amp;entry.580385001=&amp;entry.1376952895=</v>
      </c>
    </row>
    <row r="772">
      <c r="A772" s="25"/>
      <c r="B772" s="25"/>
      <c r="C772" s="25"/>
      <c r="D772" s="105" t="str">
        <f>IF(COUNTIF('Form responses 4'!B:B,C772)&gt;0, "", "https://docs.google.com/forms/d/e/1FAIpQLSdhNamFeglgVtt555M7xM7e8ZAg9KCWMEcDlLzX1oeZsyGxrg/viewform?usp=pp_url&amp;entry.580385001="&amp;C772&amp;"&amp;entry.1376952895="&amp;A772)</f>
        <v>https://docs.google.com/forms/d/e/1FAIpQLSdhNamFeglgVtt555M7xM7e8ZAg9KCWMEcDlLzX1oeZsyGxrg/viewform?usp=pp_url&amp;entry.580385001=&amp;entry.1376952895=</v>
      </c>
    </row>
    <row r="773">
      <c r="A773" s="25"/>
      <c r="B773" s="25"/>
      <c r="C773" s="25"/>
      <c r="D773" s="105" t="str">
        <f>IF(COUNTIF('Form responses 4'!B:B,C773)&gt;0, "", "https://docs.google.com/forms/d/e/1FAIpQLSdhNamFeglgVtt555M7xM7e8ZAg9KCWMEcDlLzX1oeZsyGxrg/viewform?usp=pp_url&amp;entry.580385001="&amp;C773&amp;"&amp;entry.1376952895="&amp;A773)</f>
        <v>https://docs.google.com/forms/d/e/1FAIpQLSdhNamFeglgVtt555M7xM7e8ZAg9KCWMEcDlLzX1oeZsyGxrg/viewform?usp=pp_url&amp;entry.580385001=&amp;entry.1376952895=</v>
      </c>
    </row>
    <row r="774">
      <c r="A774" s="25"/>
      <c r="B774" s="25"/>
      <c r="C774" s="25"/>
      <c r="D774" s="105" t="str">
        <f>IF(COUNTIF('Form responses 4'!B:B,C774)&gt;0, "", "https://docs.google.com/forms/d/e/1FAIpQLSdhNamFeglgVtt555M7xM7e8ZAg9KCWMEcDlLzX1oeZsyGxrg/viewform?usp=pp_url&amp;entry.580385001="&amp;C774&amp;"&amp;entry.1376952895="&amp;A774)</f>
        <v>https://docs.google.com/forms/d/e/1FAIpQLSdhNamFeglgVtt555M7xM7e8ZAg9KCWMEcDlLzX1oeZsyGxrg/viewform?usp=pp_url&amp;entry.580385001=&amp;entry.1376952895=</v>
      </c>
    </row>
    <row r="775">
      <c r="A775" s="25"/>
      <c r="B775" s="25"/>
      <c r="C775" s="25"/>
      <c r="D775" s="105" t="str">
        <f>IF(COUNTIF('Form responses 4'!B:B,C775)&gt;0, "", "https://docs.google.com/forms/d/e/1FAIpQLSdhNamFeglgVtt555M7xM7e8ZAg9KCWMEcDlLzX1oeZsyGxrg/viewform?usp=pp_url&amp;entry.580385001="&amp;C775&amp;"&amp;entry.1376952895="&amp;A775)</f>
        <v>https://docs.google.com/forms/d/e/1FAIpQLSdhNamFeglgVtt555M7xM7e8ZAg9KCWMEcDlLzX1oeZsyGxrg/viewform?usp=pp_url&amp;entry.580385001=&amp;entry.1376952895=</v>
      </c>
    </row>
    <row r="776">
      <c r="A776" s="25"/>
      <c r="B776" s="25"/>
      <c r="C776" s="25"/>
      <c r="D776" s="105" t="str">
        <f>IF(COUNTIF('Form responses 4'!B:B,C776)&gt;0, "", "https://docs.google.com/forms/d/e/1FAIpQLSdhNamFeglgVtt555M7xM7e8ZAg9KCWMEcDlLzX1oeZsyGxrg/viewform?usp=pp_url&amp;entry.580385001="&amp;C776&amp;"&amp;entry.1376952895="&amp;A776)</f>
        <v>https://docs.google.com/forms/d/e/1FAIpQLSdhNamFeglgVtt555M7xM7e8ZAg9KCWMEcDlLzX1oeZsyGxrg/viewform?usp=pp_url&amp;entry.580385001=&amp;entry.1376952895=</v>
      </c>
    </row>
    <row r="777">
      <c r="A777" s="25"/>
      <c r="B777" s="25"/>
      <c r="C777" s="25"/>
      <c r="D777" s="105" t="str">
        <f>IF(COUNTIF('Form responses 4'!B:B,C777)&gt;0, "", "https://docs.google.com/forms/d/e/1FAIpQLSdhNamFeglgVtt555M7xM7e8ZAg9KCWMEcDlLzX1oeZsyGxrg/viewform?usp=pp_url&amp;entry.580385001="&amp;C777&amp;"&amp;entry.1376952895="&amp;A777)</f>
        <v>https://docs.google.com/forms/d/e/1FAIpQLSdhNamFeglgVtt555M7xM7e8ZAg9KCWMEcDlLzX1oeZsyGxrg/viewform?usp=pp_url&amp;entry.580385001=&amp;entry.1376952895=</v>
      </c>
    </row>
    <row r="778">
      <c r="A778" s="25"/>
      <c r="B778" s="25"/>
      <c r="C778" s="25"/>
      <c r="D778" s="105" t="str">
        <f>IF(COUNTIF('Form responses 4'!B:B,C778)&gt;0, "", "https://docs.google.com/forms/d/e/1FAIpQLSdhNamFeglgVtt555M7xM7e8ZAg9KCWMEcDlLzX1oeZsyGxrg/viewform?usp=pp_url&amp;entry.580385001="&amp;C778&amp;"&amp;entry.1376952895="&amp;A778)</f>
        <v>https://docs.google.com/forms/d/e/1FAIpQLSdhNamFeglgVtt555M7xM7e8ZAg9KCWMEcDlLzX1oeZsyGxrg/viewform?usp=pp_url&amp;entry.580385001=&amp;entry.1376952895=</v>
      </c>
    </row>
    <row r="779">
      <c r="D779" s="105" t="str">
        <f>IF(COUNTIF('Form responses 4'!B:B,C779)&gt;0, "", "https://docs.google.com/forms/d/e/1FAIpQLSdhNamFeglgVtt555M7xM7e8ZAg9KCWMEcDlLzX1oeZsyGxrg/viewform?usp=pp_url&amp;entry.580385001="&amp;C779&amp;"&amp;entry.1376952895="&amp;A779)</f>
        <v>https://docs.google.com/forms/d/e/1FAIpQLSdhNamFeglgVtt555M7xM7e8ZAg9KCWMEcDlLzX1oeZsyGxrg/viewform?usp=pp_url&amp;entry.580385001=&amp;entry.1376952895=</v>
      </c>
    </row>
    <row r="780">
      <c r="D780" s="105" t="str">
        <f>IF(COUNTIF('Form responses 4'!B:B,C780)&gt;0, "", "https://docs.google.com/forms/d/e/1FAIpQLSdhNamFeglgVtt555M7xM7e8ZAg9KCWMEcDlLzX1oeZsyGxrg/viewform?usp=pp_url&amp;entry.580385001="&amp;C780&amp;"&amp;entry.1376952895="&amp;A780)</f>
        <v>https://docs.google.com/forms/d/e/1FAIpQLSdhNamFeglgVtt555M7xM7e8ZAg9KCWMEcDlLzX1oeZsyGxrg/viewform?usp=pp_url&amp;entry.580385001=&amp;entry.1376952895=</v>
      </c>
    </row>
    <row r="781">
      <c r="D781" s="105" t="str">
        <f>IF(COUNTIF('Form responses 4'!B:B,C781)&gt;0, "", "https://docs.google.com/forms/d/e/1FAIpQLSdhNamFeglgVtt555M7xM7e8ZAg9KCWMEcDlLzX1oeZsyGxrg/viewform?usp=pp_url&amp;entry.580385001="&amp;C781&amp;"&amp;entry.1376952895="&amp;A781)</f>
        <v>https://docs.google.com/forms/d/e/1FAIpQLSdhNamFeglgVtt555M7xM7e8ZAg9KCWMEcDlLzX1oeZsyGxrg/viewform?usp=pp_url&amp;entry.580385001=&amp;entry.1376952895=</v>
      </c>
    </row>
    <row r="782">
      <c r="D782" s="105" t="str">
        <f>IF(COUNTIF('Form responses 4'!B:B,C782)&gt;0, "", "https://docs.google.com/forms/d/e/1FAIpQLSdhNamFeglgVtt555M7xM7e8ZAg9KCWMEcDlLzX1oeZsyGxrg/viewform?usp=pp_url&amp;entry.580385001="&amp;C782&amp;"&amp;entry.1376952895="&amp;A782)</f>
        <v>https://docs.google.com/forms/d/e/1FAIpQLSdhNamFeglgVtt555M7xM7e8ZAg9KCWMEcDlLzX1oeZsyGxrg/viewform?usp=pp_url&amp;entry.580385001=&amp;entry.1376952895=</v>
      </c>
    </row>
    <row r="783">
      <c r="D783" s="105" t="str">
        <f>IF(COUNTIF('Form responses 4'!B:B,C783)&gt;0, "", "https://docs.google.com/forms/d/e/1FAIpQLSdhNamFeglgVtt555M7xM7e8ZAg9KCWMEcDlLzX1oeZsyGxrg/viewform?usp=pp_url&amp;entry.580385001="&amp;C783&amp;"&amp;entry.1376952895="&amp;A783)</f>
        <v>https://docs.google.com/forms/d/e/1FAIpQLSdhNamFeglgVtt555M7xM7e8ZAg9KCWMEcDlLzX1oeZsyGxrg/viewform?usp=pp_url&amp;entry.580385001=&amp;entry.1376952895=</v>
      </c>
    </row>
    <row r="784">
      <c r="D784" s="105" t="str">
        <f>IF(COUNTIF('Form responses 4'!B:B,C784)&gt;0, "", "https://docs.google.com/forms/d/e/1FAIpQLSdhNamFeglgVtt555M7xM7e8ZAg9KCWMEcDlLzX1oeZsyGxrg/viewform?usp=pp_url&amp;entry.580385001="&amp;C784&amp;"&amp;entry.1376952895="&amp;A784)</f>
        <v>https://docs.google.com/forms/d/e/1FAIpQLSdhNamFeglgVtt555M7xM7e8ZAg9KCWMEcDlLzX1oeZsyGxrg/viewform?usp=pp_url&amp;entry.580385001=&amp;entry.1376952895=</v>
      </c>
    </row>
    <row r="785">
      <c r="D785" s="105" t="str">
        <f>IF(COUNTIF('Form responses 4'!B:B,C785)&gt;0, "", "https://docs.google.com/forms/d/e/1FAIpQLSdhNamFeglgVtt555M7xM7e8ZAg9KCWMEcDlLzX1oeZsyGxrg/viewform?usp=pp_url&amp;entry.580385001="&amp;C785&amp;"&amp;entry.1376952895="&amp;A785)</f>
        <v>https://docs.google.com/forms/d/e/1FAIpQLSdhNamFeglgVtt555M7xM7e8ZAg9KCWMEcDlLzX1oeZsyGxrg/viewform?usp=pp_url&amp;entry.580385001=&amp;entry.1376952895=</v>
      </c>
    </row>
    <row r="786">
      <c r="D786" s="105" t="str">
        <f>IF(COUNTIF('Form responses 4'!B:B,C786)&gt;0, "", "https://docs.google.com/forms/d/e/1FAIpQLSdhNamFeglgVtt555M7xM7e8ZAg9KCWMEcDlLzX1oeZsyGxrg/viewform?usp=pp_url&amp;entry.580385001="&amp;C786&amp;"&amp;entry.1376952895="&amp;A786)</f>
        <v>https://docs.google.com/forms/d/e/1FAIpQLSdhNamFeglgVtt555M7xM7e8ZAg9KCWMEcDlLzX1oeZsyGxrg/viewform?usp=pp_url&amp;entry.580385001=&amp;entry.1376952895=</v>
      </c>
    </row>
    <row r="787">
      <c r="D787" s="105" t="str">
        <f>IF(COUNTIF('Form responses 4'!B:B,C787)&gt;0, "", "https://docs.google.com/forms/d/e/1FAIpQLSdhNamFeglgVtt555M7xM7e8ZAg9KCWMEcDlLzX1oeZsyGxrg/viewform?usp=pp_url&amp;entry.580385001="&amp;C787&amp;"&amp;entry.1376952895="&amp;A787)</f>
        <v>https://docs.google.com/forms/d/e/1FAIpQLSdhNamFeglgVtt555M7xM7e8ZAg9KCWMEcDlLzX1oeZsyGxrg/viewform?usp=pp_url&amp;entry.580385001=&amp;entry.1376952895=</v>
      </c>
    </row>
    <row r="788">
      <c r="D788" s="105" t="str">
        <f>IF(COUNTIF('Form responses 4'!B:B,C788)&gt;0, "", "https://docs.google.com/forms/d/e/1FAIpQLSdhNamFeglgVtt555M7xM7e8ZAg9KCWMEcDlLzX1oeZsyGxrg/viewform?usp=pp_url&amp;entry.580385001="&amp;C788&amp;"&amp;entry.1376952895="&amp;A788)</f>
        <v>https://docs.google.com/forms/d/e/1FAIpQLSdhNamFeglgVtt555M7xM7e8ZAg9KCWMEcDlLzX1oeZsyGxrg/viewform?usp=pp_url&amp;entry.580385001=&amp;entry.1376952895=</v>
      </c>
    </row>
    <row r="789">
      <c r="D789" s="105" t="str">
        <f>IF(COUNTIF('Form responses 4'!B:B,C789)&gt;0, "", "https://docs.google.com/forms/d/e/1FAIpQLSdhNamFeglgVtt555M7xM7e8ZAg9KCWMEcDlLzX1oeZsyGxrg/viewform?usp=pp_url&amp;entry.580385001="&amp;C789&amp;"&amp;entry.1376952895="&amp;A789)</f>
        <v>https://docs.google.com/forms/d/e/1FAIpQLSdhNamFeglgVtt555M7xM7e8ZAg9KCWMEcDlLzX1oeZsyGxrg/viewform?usp=pp_url&amp;entry.580385001=&amp;entry.1376952895=</v>
      </c>
    </row>
    <row r="790">
      <c r="D790" s="105" t="str">
        <f>IF(COUNTIF('Form responses 4'!B:B,C790)&gt;0, "", "https://docs.google.com/forms/d/e/1FAIpQLSdhNamFeglgVtt555M7xM7e8ZAg9KCWMEcDlLzX1oeZsyGxrg/viewform?usp=pp_url&amp;entry.580385001="&amp;C790&amp;"&amp;entry.1376952895="&amp;A790)</f>
        <v>https://docs.google.com/forms/d/e/1FAIpQLSdhNamFeglgVtt555M7xM7e8ZAg9KCWMEcDlLzX1oeZsyGxrg/viewform?usp=pp_url&amp;entry.580385001=&amp;entry.1376952895=</v>
      </c>
    </row>
    <row r="791">
      <c r="D791" s="105" t="str">
        <f>IF(COUNTIF('Form responses 4'!B:B,C791)&gt;0, "", "https://docs.google.com/forms/d/e/1FAIpQLSdhNamFeglgVtt555M7xM7e8ZAg9KCWMEcDlLzX1oeZsyGxrg/viewform?usp=pp_url&amp;entry.580385001="&amp;C791&amp;"&amp;entry.1376952895="&amp;A791)</f>
        <v>https://docs.google.com/forms/d/e/1FAIpQLSdhNamFeglgVtt555M7xM7e8ZAg9KCWMEcDlLzX1oeZsyGxrg/viewform?usp=pp_url&amp;entry.580385001=&amp;entry.1376952895=</v>
      </c>
    </row>
    <row r="792">
      <c r="D792" s="105" t="str">
        <f>IF(COUNTIF('Form responses 4'!B:B,C792)&gt;0, "", "https://docs.google.com/forms/d/e/1FAIpQLSdhNamFeglgVtt555M7xM7e8ZAg9KCWMEcDlLzX1oeZsyGxrg/viewform?usp=pp_url&amp;entry.580385001="&amp;C792&amp;"&amp;entry.1376952895="&amp;A792)</f>
        <v>https://docs.google.com/forms/d/e/1FAIpQLSdhNamFeglgVtt555M7xM7e8ZAg9KCWMEcDlLzX1oeZsyGxrg/viewform?usp=pp_url&amp;entry.580385001=&amp;entry.1376952895=</v>
      </c>
    </row>
    <row r="793">
      <c r="D793" s="105" t="str">
        <f>IF(COUNTIF('Form responses 4'!B:B,C793)&gt;0, "", "https://docs.google.com/forms/d/e/1FAIpQLSdhNamFeglgVtt555M7xM7e8ZAg9KCWMEcDlLzX1oeZsyGxrg/viewform?usp=pp_url&amp;entry.580385001="&amp;C793&amp;"&amp;entry.1376952895="&amp;A793)</f>
        <v>https://docs.google.com/forms/d/e/1FAIpQLSdhNamFeglgVtt555M7xM7e8ZAg9KCWMEcDlLzX1oeZsyGxrg/viewform?usp=pp_url&amp;entry.580385001=&amp;entry.1376952895=</v>
      </c>
    </row>
    <row r="794">
      <c r="D794" s="105" t="str">
        <f>IF(COUNTIF('Form responses 4'!B:B,C794)&gt;0, "", "https://docs.google.com/forms/d/e/1FAIpQLSdhNamFeglgVtt555M7xM7e8ZAg9KCWMEcDlLzX1oeZsyGxrg/viewform?usp=pp_url&amp;entry.580385001="&amp;C794&amp;"&amp;entry.1376952895="&amp;A794)</f>
        <v>https://docs.google.com/forms/d/e/1FAIpQLSdhNamFeglgVtt555M7xM7e8ZAg9KCWMEcDlLzX1oeZsyGxrg/viewform?usp=pp_url&amp;entry.580385001=&amp;entry.1376952895=</v>
      </c>
    </row>
    <row r="795">
      <c r="D795" s="105" t="str">
        <f>IF(COUNTIF('Form responses 4'!B:B,C795)&gt;0, "", "https://docs.google.com/forms/d/e/1FAIpQLSdhNamFeglgVtt555M7xM7e8ZAg9KCWMEcDlLzX1oeZsyGxrg/viewform?usp=pp_url&amp;entry.580385001="&amp;C795&amp;"&amp;entry.1376952895="&amp;A795)</f>
        <v>https://docs.google.com/forms/d/e/1FAIpQLSdhNamFeglgVtt555M7xM7e8ZAg9KCWMEcDlLzX1oeZsyGxrg/viewform?usp=pp_url&amp;entry.580385001=&amp;entry.1376952895=</v>
      </c>
    </row>
    <row r="796">
      <c r="D796" s="105" t="str">
        <f>IF(COUNTIF('Form responses 4'!B:B,C796)&gt;0, "", "https://docs.google.com/forms/d/e/1FAIpQLSdhNamFeglgVtt555M7xM7e8ZAg9KCWMEcDlLzX1oeZsyGxrg/viewform?usp=pp_url&amp;entry.580385001="&amp;C796&amp;"&amp;entry.1376952895="&amp;A796)</f>
        <v>https://docs.google.com/forms/d/e/1FAIpQLSdhNamFeglgVtt555M7xM7e8ZAg9KCWMEcDlLzX1oeZsyGxrg/viewform?usp=pp_url&amp;entry.580385001=&amp;entry.1376952895=</v>
      </c>
    </row>
    <row r="797">
      <c r="D797" s="105" t="str">
        <f>IF(COUNTIF('Form responses 4'!B:B,C797)&gt;0, "", "https://docs.google.com/forms/d/e/1FAIpQLSdhNamFeglgVtt555M7xM7e8ZAg9KCWMEcDlLzX1oeZsyGxrg/viewform?usp=pp_url&amp;entry.580385001="&amp;C797&amp;"&amp;entry.1376952895="&amp;A797)</f>
        <v>https://docs.google.com/forms/d/e/1FAIpQLSdhNamFeglgVtt555M7xM7e8ZAg9KCWMEcDlLzX1oeZsyGxrg/viewform?usp=pp_url&amp;entry.580385001=&amp;entry.1376952895=</v>
      </c>
    </row>
    <row r="798">
      <c r="D798" s="105" t="str">
        <f>IF(COUNTIF('Form responses 4'!B:B,C798)&gt;0, "", "https://docs.google.com/forms/d/e/1FAIpQLSdhNamFeglgVtt555M7xM7e8ZAg9KCWMEcDlLzX1oeZsyGxrg/viewform?usp=pp_url&amp;entry.580385001="&amp;C798&amp;"&amp;entry.1376952895="&amp;A798)</f>
        <v>https://docs.google.com/forms/d/e/1FAIpQLSdhNamFeglgVtt555M7xM7e8ZAg9KCWMEcDlLzX1oeZsyGxrg/viewform?usp=pp_url&amp;entry.580385001=&amp;entry.1376952895=</v>
      </c>
    </row>
    <row r="799">
      <c r="D799" s="105" t="str">
        <f>IF(COUNTIF('Form responses 4'!B:B,C799)&gt;0, "", "https://docs.google.com/forms/d/e/1FAIpQLSdhNamFeglgVtt555M7xM7e8ZAg9KCWMEcDlLzX1oeZsyGxrg/viewform?usp=pp_url&amp;entry.580385001="&amp;C799&amp;"&amp;entry.1376952895="&amp;A799)</f>
        <v>https://docs.google.com/forms/d/e/1FAIpQLSdhNamFeglgVtt555M7xM7e8ZAg9KCWMEcDlLzX1oeZsyGxrg/viewform?usp=pp_url&amp;entry.580385001=&amp;entry.1376952895=</v>
      </c>
    </row>
    <row r="800">
      <c r="D800" s="105" t="str">
        <f>IF(COUNTIF('Form responses 4'!B:B,C800)&gt;0, "", "https://docs.google.com/forms/d/e/1FAIpQLSdhNamFeglgVtt555M7xM7e8ZAg9KCWMEcDlLzX1oeZsyGxrg/viewform?usp=pp_url&amp;entry.580385001="&amp;C800&amp;"&amp;entry.1376952895="&amp;A800)</f>
        <v>https://docs.google.com/forms/d/e/1FAIpQLSdhNamFeglgVtt555M7xM7e8ZAg9KCWMEcDlLzX1oeZsyGxrg/viewform?usp=pp_url&amp;entry.580385001=&amp;entry.1376952895=</v>
      </c>
    </row>
    <row r="801">
      <c r="D801" s="105" t="str">
        <f>IF(COUNTIF('Form responses 4'!B:B,C801)&gt;0, "", "https://docs.google.com/forms/d/e/1FAIpQLSdhNamFeglgVtt555M7xM7e8ZAg9KCWMEcDlLzX1oeZsyGxrg/viewform?usp=pp_url&amp;entry.580385001="&amp;C801&amp;"&amp;entry.1376952895="&amp;A801)</f>
        <v>https://docs.google.com/forms/d/e/1FAIpQLSdhNamFeglgVtt555M7xM7e8ZAg9KCWMEcDlLzX1oeZsyGxrg/viewform?usp=pp_url&amp;entry.580385001=&amp;entry.1376952895=</v>
      </c>
    </row>
    <row r="802">
      <c r="D802" s="105" t="str">
        <f>IF(COUNTIF('Form responses 4'!B:B,C802)&gt;0, "", "https://docs.google.com/forms/d/e/1FAIpQLSdhNamFeglgVtt555M7xM7e8ZAg9KCWMEcDlLzX1oeZsyGxrg/viewform?usp=pp_url&amp;entry.580385001="&amp;C802&amp;"&amp;entry.1376952895="&amp;A802)</f>
        <v>https://docs.google.com/forms/d/e/1FAIpQLSdhNamFeglgVtt555M7xM7e8ZAg9KCWMEcDlLzX1oeZsyGxrg/viewform?usp=pp_url&amp;entry.580385001=&amp;entry.1376952895=</v>
      </c>
    </row>
    <row r="803">
      <c r="D803" s="105" t="str">
        <f>IF(COUNTIF('Form responses 4'!B:B,C803)&gt;0, "", "https://docs.google.com/forms/d/e/1FAIpQLSdhNamFeglgVtt555M7xM7e8ZAg9KCWMEcDlLzX1oeZsyGxrg/viewform?usp=pp_url&amp;entry.580385001="&amp;C803&amp;"&amp;entry.1376952895="&amp;A803)</f>
        <v>https://docs.google.com/forms/d/e/1FAIpQLSdhNamFeglgVtt555M7xM7e8ZAg9KCWMEcDlLzX1oeZsyGxrg/viewform?usp=pp_url&amp;entry.580385001=&amp;entry.1376952895=</v>
      </c>
    </row>
    <row r="804">
      <c r="D804" s="105" t="str">
        <f>IF(COUNTIF('Form responses 4'!B:B,C804)&gt;0, "", "https://docs.google.com/forms/d/e/1FAIpQLSdhNamFeglgVtt555M7xM7e8ZAg9KCWMEcDlLzX1oeZsyGxrg/viewform?usp=pp_url&amp;entry.580385001="&amp;C804&amp;"&amp;entry.1376952895="&amp;A804)</f>
        <v>https://docs.google.com/forms/d/e/1FAIpQLSdhNamFeglgVtt555M7xM7e8ZAg9KCWMEcDlLzX1oeZsyGxrg/viewform?usp=pp_url&amp;entry.580385001=&amp;entry.1376952895=</v>
      </c>
    </row>
    <row r="805">
      <c r="D805" s="105" t="str">
        <f>IF(COUNTIF('Form responses 4'!B:B,C805)&gt;0, "", "https://docs.google.com/forms/d/e/1FAIpQLSdhNamFeglgVtt555M7xM7e8ZAg9KCWMEcDlLzX1oeZsyGxrg/viewform?usp=pp_url&amp;entry.580385001="&amp;C805&amp;"&amp;entry.1376952895="&amp;A805)</f>
        <v>https://docs.google.com/forms/d/e/1FAIpQLSdhNamFeglgVtt555M7xM7e8ZAg9KCWMEcDlLzX1oeZsyGxrg/viewform?usp=pp_url&amp;entry.580385001=&amp;entry.1376952895=</v>
      </c>
    </row>
    <row r="806">
      <c r="D806" s="105" t="str">
        <f>IF(COUNTIF('Form responses 4'!B:B,C806)&gt;0, "", "https://docs.google.com/forms/d/e/1FAIpQLSdhNamFeglgVtt555M7xM7e8ZAg9KCWMEcDlLzX1oeZsyGxrg/viewform?usp=pp_url&amp;entry.580385001="&amp;C806&amp;"&amp;entry.1376952895="&amp;A806)</f>
        <v>https://docs.google.com/forms/d/e/1FAIpQLSdhNamFeglgVtt555M7xM7e8ZAg9KCWMEcDlLzX1oeZsyGxrg/viewform?usp=pp_url&amp;entry.580385001=&amp;entry.1376952895=</v>
      </c>
    </row>
    <row r="807">
      <c r="D807" s="105" t="str">
        <f>IF(COUNTIF('Form responses 4'!B:B,C807)&gt;0, "", "https://docs.google.com/forms/d/e/1FAIpQLSdhNamFeglgVtt555M7xM7e8ZAg9KCWMEcDlLzX1oeZsyGxrg/viewform?usp=pp_url&amp;entry.580385001="&amp;C807&amp;"&amp;entry.1376952895="&amp;A807)</f>
        <v>https://docs.google.com/forms/d/e/1FAIpQLSdhNamFeglgVtt555M7xM7e8ZAg9KCWMEcDlLzX1oeZsyGxrg/viewform?usp=pp_url&amp;entry.580385001=&amp;entry.1376952895=</v>
      </c>
    </row>
    <row r="808">
      <c r="D808" s="105" t="str">
        <f>IF(COUNTIF('Form responses 4'!B:B,C808)&gt;0, "", "https://docs.google.com/forms/d/e/1FAIpQLSdhNamFeglgVtt555M7xM7e8ZAg9KCWMEcDlLzX1oeZsyGxrg/viewform?usp=pp_url&amp;entry.580385001="&amp;C808&amp;"&amp;entry.1376952895="&amp;A808)</f>
        <v>https://docs.google.com/forms/d/e/1FAIpQLSdhNamFeglgVtt555M7xM7e8ZAg9KCWMEcDlLzX1oeZsyGxrg/viewform?usp=pp_url&amp;entry.580385001=&amp;entry.1376952895=</v>
      </c>
    </row>
    <row r="809">
      <c r="D809" s="105" t="str">
        <f>IF(COUNTIF('Form responses 4'!B:B,C809)&gt;0, "", "https://docs.google.com/forms/d/e/1FAIpQLSdhNamFeglgVtt555M7xM7e8ZAg9KCWMEcDlLzX1oeZsyGxrg/viewform?usp=pp_url&amp;entry.580385001="&amp;C809&amp;"&amp;entry.1376952895="&amp;A809)</f>
        <v>https://docs.google.com/forms/d/e/1FAIpQLSdhNamFeglgVtt555M7xM7e8ZAg9KCWMEcDlLzX1oeZsyGxrg/viewform?usp=pp_url&amp;entry.580385001=&amp;entry.1376952895=</v>
      </c>
    </row>
    <row r="810">
      <c r="D810" s="105" t="str">
        <f>IF(COUNTIF('Form responses 4'!B:B,C810)&gt;0, "", "https://docs.google.com/forms/d/e/1FAIpQLSdhNamFeglgVtt555M7xM7e8ZAg9KCWMEcDlLzX1oeZsyGxrg/viewform?usp=pp_url&amp;entry.580385001="&amp;C810&amp;"&amp;entry.1376952895="&amp;A810)</f>
        <v>https://docs.google.com/forms/d/e/1FAIpQLSdhNamFeglgVtt555M7xM7e8ZAg9KCWMEcDlLzX1oeZsyGxrg/viewform?usp=pp_url&amp;entry.580385001=&amp;entry.1376952895=</v>
      </c>
    </row>
    <row r="811">
      <c r="D811" s="105" t="str">
        <f>IF(COUNTIF('Form responses 4'!B:B,C811)&gt;0, "", "https://docs.google.com/forms/d/e/1FAIpQLSdhNamFeglgVtt555M7xM7e8ZAg9KCWMEcDlLzX1oeZsyGxrg/viewform?usp=pp_url&amp;entry.580385001="&amp;C811&amp;"&amp;entry.1376952895="&amp;A811)</f>
        <v>https://docs.google.com/forms/d/e/1FAIpQLSdhNamFeglgVtt555M7xM7e8ZAg9KCWMEcDlLzX1oeZsyGxrg/viewform?usp=pp_url&amp;entry.580385001=&amp;entry.1376952895=</v>
      </c>
    </row>
    <row r="812">
      <c r="D812" s="105" t="str">
        <f>IF(COUNTIF('Form responses 4'!B:B,C812)&gt;0, "", "https://docs.google.com/forms/d/e/1FAIpQLSdhNamFeglgVtt555M7xM7e8ZAg9KCWMEcDlLzX1oeZsyGxrg/viewform?usp=pp_url&amp;entry.580385001="&amp;C812&amp;"&amp;entry.1376952895="&amp;A812)</f>
        <v>https://docs.google.com/forms/d/e/1FAIpQLSdhNamFeglgVtt555M7xM7e8ZAg9KCWMEcDlLzX1oeZsyGxrg/viewform?usp=pp_url&amp;entry.580385001=&amp;entry.1376952895=</v>
      </c>
    </row>
    <row r="813">
      <c r="D813" s="105" t="str">
        <f>IF(COUNTIF('Form responses 4'!B:B,C813)&gt;0, "", "https://docs.google.com/forms/d/e/1FAIpQLSdhNamFeglgVtt555M7xM7e8ZAg9KCWMEcDlLzX1oeZsyGxrg/viewform?usp=pp_url&amp;entry.580385001="&amp;C813&amp;"&amp;entry.1376952895="&amp;A813)</f>
        <v>https://docs.google.com/forms/d/e/1FAIpQLSdhNamFeglgVtt555M7xM7e8ZAg9KCWMEcDlLzX1oeZsyGxrg/viewform?usp=pp_url&amp;entry.580385001=&amp;entry.1376952895=</v>
      </c>
    </row>
    <row r="814">
      <c r="D814" s="105" t="str">
        <f>IF(COUNTIF('Form responses 4'!B:B,C814)&gt;0, "", "https://docs.google.com/forms/d/e/1FAIpQLSdhNamFeglgVtt555M7xM7e8ZAg9KCWMEcDlLzX1oeZsyGxrg/viewform?usp=pp_url&amp;entry.580385001="&amp;C814&amp;"&amp;entry.1376952895="&amp;A814)</f>
        <v>https://docs.google.com/forms/d/e/1FAIpQLSdhNamFeglgVtt555M7xM7e8ZAg9KCWMEcDlLzX1oeZsyGxrg/viewform?usp=pp_url&amp;entry.580385001=&amp;entry.1376952895=</v>
      </c>
    </row>
    <row r="815">
      <c r="D815" s="105" t="str">
        <f>IF(COUNTIF('Form responses 4'!B:B,C815)&gt;0, "", "https://docs.google.com/forms/d/e/1FAIpQLSdhNamFeglgVtt555M7xM7e8ZAg9KCWMEcDlLzX1oeZsyGxrg/viewform?usp=pp_url&amp;entry.580385001="&amp;C815&amp;"&amp;entry.1376952895="&amp;A815)</f>
        <v>https://docs.google.com/forms/d/e/1FAIpQLSdhNamFeglgVtt555M7xM7e8ZAg9KCWMEcDlLzX1oeZsyGxrg/viewform?usp=pp_url&amp;entry.580385001=&amp;entry.1376952895=</v>
      </c>
    </row>
    <row r="816">
      <c r="D816" s="105" t="str">
        <f>IF(COUNTIF('Form responses 4'!B:B,C816)&gt;0, "", "https://docs.google.com/forms/d/e/1FAIpQLSdhNamFeglgVtt555M7xM7e8ZAg9KCWMEcDlLzX1oeZsyGxrg/viewform?usp=pp_url&amp;entry.580385001="&amp;C816&amp;"&amp;entry.1376952895="&amp;A816)</f>
        <v>https://docs.google.com/forms/d/e/1FAIpQLSdhNamFeglgVtt555M7xM7e8ZAg9KCWMEcDlLzX1oeZsyGxrg/viewform?usp=pp_url&amp;entry.580385001=&amp;entry.1376952895=</v>
      </c>
    </row>
    <row r="817">
      <c r="D817" s="105" t="str">
        <f>IF(COUNTIF('Form responses 4'!B:B,C817)&gt;0, "", "https://docs.google.com/forms/d/e/1FAIpQLSdhNamFeglgVtt555M7xM7e8ZAg9KCWMEcDlLzX1oeZsyGxrg/viewform?usp=pp_url&amp;entry.580385001="&amp;C817&amp;"&amp;entry.1376952895="&amp;A817)</f>
        <v>https://docs.google.com/forms/d/e/1FAIpQLSdhNamFeglgVtt555M7xM7e8ZAg9KCWMEcDlLzX1oeZsyGxrg/viewform?usp=pp_url&amp;entry.580385001=&amp;entry.1376952895=</v>
      </c>
    </row>
    <row r="818">
      <c r="D818" s="105" t="str">
        <f>IF(COUNTIF('Form responses 4'!B:B,C818)&gt;0, "", "https://docs.google.com/forms/d/e/1FAIpQLSdhNamFeglgVtt555M7xM7e8ZAg9KCWMEcDlLzX1oeZsyGxrg/viewform?usp=pp_url&amp;entry.580385001="&amp;C818&amp;"&amp;entry.1376952895="&amp;A818)</f>
        <v>https://docs.google.com/forms/d/e/1FAIpQLSdhNamFeglgVtt555M7xM7e8ZAg9KCWMEcDlLzX1oeZsyGxrg/viewform?usp=pp_url&amp;entry.580385001=&amp;entry.1376952895=</v>
      </c>
    </row>
    <row r="819">
      <c r="D819" s="105" t="str">
        <f>IF(COUNTIF('Form responses 4'!B:B,C819)&gt;0, "", "https://docs.google.com/forms/d/e/1FAIpQLSdhNamFeglgVtt555M7xM7e8ZAg9KCWMEcDlLzX1oeZsyGxrg/viewform?usp=pp_url&amp;entry.580385001="&amp;C819&amp;"&amp;entry.1376952895="&amp;A819)</f>
        <v>https://docs.google.com/forms/d/e/1FAIpQLSdhNamFeglgVtt555M7xM7e8ZAg9KCWMEcDlLzX1oeZsyGxrg/viewform?usp=pp_url&amp;entry.580385001=&amp;entry.1376952895=</v>
      </c>
    </row>
    <row r="820">
      <c r="D820" s="105" t="str">
        <f>IF(COUNTIF('Form responses 4'!B:B,C820)&gt;0, "", "https://docs.google.com/forms/d/e/1FAIpQLSdhNamFeglgVtt555M7xM7e8ZAg9KCWMEcDlLzX1oeZsyGxrg/viewform?usp=pp_url&amp;entry.580385001="&amp;C820&amp;"&amp;entry.1376952895="&amp;A820)</f>
        <v>https://docs.google.com/forms/d/e/1FAIpQLSdhNamFeglgVtt555M7xM7e8ZAg9KCWMEcDlLzX1oeZsyGxrg/viewform?usp=pp_url&amp;entry.580385001=&amp;entry.1376952895=</v>
      </c>
    </row>
    <row r="821">
      <c r="D821" s="105" t="str">
        <f>IF(COUNTIF('Form responses 4'!B:B,C821)&gt;0, "", "https://docs.google.com/forms/d/e/1FAIpQLSdhNamFeglgVtt555M7xM7e8ZAg9KCWMEcDlLzX1oeZsyGxrg/viewform?usp=pp_url&amp;entry.580385001="&amp;C821&amp;"&amp;entry.1376952895="&amp;A821)</f>
        <v>https://docs.google.com/forms/d/e/1FAIpQLSdhNamFeglgVtt555M7xM7e8ZAg9KCWMEcDlLzX1oeZsyGxrg/viewform?usp=pp_url&amp;entry.580385001=&amp;entry.1376952895=</v>
      </c>
    </row>
    <row r="822">
      <c r="D822" s="105" t="str">
        <f>IF(COUNTIF('Form responses 4'!B:B,C822)&gt;0, "", "https://docs.google.com/forms/d/e/1FAIpQLSdhNamFeglgVtt555M7xM7e8ZAg9KCWMEcDlLzX1oeZsyGxrg/viewform?usp=pp_url&amp;entry.580385001="&amp;C822&amp;"&amp;entry.1376952895="&amp;A822)</f>
        <v>https://docs.google.com/forms/d/e/1FAIpQLSdhNamFeglgVtt555M7xM7e8ZAg9KCWMEcDlLzX1oeZsyGxrg/viewform?usp=pp_url&amp;entry.580385001=&amp;entry.1376952895=</v>
      </c>
    </row>
    <row r="823">
      <c r="D823" s="105" t="str">
        <f>IF(COUNTIF('Form responses 4'!B:B,C823)&gt;0, "", "https://docs.google.com/forms/d/e/1FAIpQLSdhNamFeglgVtt555M7xM7e8ZAg9KCWMEcDlLzX1oeZsyGxrg/viewform?usp=pp_url&amp;entry.580385001="&amp;C823&amp;"&amp;entry.1376952895="&amp;A823)</f>
        <v>https://docs.google.com/forms/d/e/1FAIpQLSdhNamFeglgVtt555M7xM7e8ZAg9KCWMEcDlLzX1oeZsyGxrg/viewform?usp=pp_url&amp;entry.580385001=&amp;entry.1376952895=</v>
      </c>
    </row>
    <row r="824">
      <c r="D824" s="105" t="str">
        <f>IF(COUNTIF('Form responses 4'!B:B,C824)&gt;0, "", "https://docs.google.com/forms/d/e/1FAIpQLSdhNamFeglgVtt555M7xM7e8ZAg9KCWMEcDlLzX1oeZsyGxrg/viewform?usp=pp_url&amp;entry.580385001="&amp;C824&amp;"&amp;entry.1376952895="&amp;A824)</f>
        <v>https://docs.google.com/forms/d/e/1FAIpQLSdhNamFeglgVtt555M7xM7e8ZAg9KCWMEcDlLzX1oeZsyGxrg/viewform?usp=pp_url&amp;entry.580385001=&amp;entry.1376952895=</v>
      </c>
    </row>
    <row r="825">
      <c r="D825" s="105" t="str">
        <f>IF(COUNTIF('Form responses 4'!B:B,C825)&gt;0, "", "https://docs.google.com/forms/d/e/1FAIpQLSdhNamFeglgVtt555M7xM7e8ZAg9KCWMEcDlLzX1oeZsyGxrg/viewform?usp=pp_url&amp;entry.580385001="&amp;C825&amp;"&amp;entry.1376952895="&amp;A825)</f>
        <v>https://docs.google.com/forms/d/e/1FAIpQLSdhNamFeglgVtt555M7xM7e8ZAg9KCWMEcDlLzX1oeZsyGxrg/viewform?usp=pp_url&amp;entry.580385001=&amp;entry.1376952895=</v>
      </c>
    </row>
    <row r="826">
      <c r="D826" s="105" t="str">
        <f>IF(COUNTIF('Form responses 4'!B:B,C826)&gt;0, "", "https://docs.google.com/forms/d/e/1FAIpQLSdhNamFeglgVtt555M7xM7e8ZAg9KCWMEcDlLzX1oeZsyGxrg/viewform?usp=pp_url&amp;entry.580385001="&amp;C826&amp;"&amp;entry.1376952895="&amp;A826)</f>
        <v>https://docs.google.com/forms/d/e/1FAIpQLSdhNamFeglgVtt555M7xM7e8ZAg9KCWMEcDlLzX1oeZsyGxrg/viewform?usp=pp_url&amp;entry.580385001=&amp;entry.1376952895=</v>
      </c>
    </row>
    <row r="827">
      <c r="D827" s="105" t="str">
        <f>IF(COUNTIF('Form responses 4'!B:B,C827)&gt;0, "", "https://docs.google.com/forms/d/e/1FAIpQLSdhNamFeglgVtt555M7xM7e8ZAg9KCWMEcDlLzX1oeZsyGxrg/viewform?usp=pp_url&amp;entry.580385001="&amp;C827&amp;"&amp;entry.1376952895="&amp;A827)</f>
        <v>https://docs.google.com/forms/d/e/1FAIpQLSdhNamFeglgVtt555M7xM7e8ZAg9KCWMEcDlLzX1oeZsyGxrg/viewform?usp=pp_url&amp;entry.580385001=&amp;entry.1376952895=</v>
      </c>
    </row>
    <row r="828">
      <c r="D828" s="105" t="str">
        <f>IF(COUNTIF('Form responses 4'!B:B,C828)&gt;0, "", "https://docs.google.com/forms/d/e/1FAIpQLSdhNamFeglgVtt555M7xM7e8ZAg9KCWMEcDlLzX1oeZsyGxrg/viewform?usp=pp_url&amp;entry.580385001="&amp;C828&amp;"&amp;entry.1376952895="&amp;A828)</f>
        <v>https://docs.google.com/forms/d/e/1FAIpQLSdhNamFeglgVtt555M7xM7e8ZAg9KCWMEcDlLzX1oeZsyGxrg/viewform?usp=pp_url&amp;entry.580385001=&amp;entry.1376952895=</v>
      </c>
    </row>
    <row r="829">
      <c r="D829" s="105" t="str">
        <f>IF(COUNTIF('Form responses 4'!B:B,C829)&gt;0, "", "https://docs.google.com/forms/d/e/1FAIpQLSdhNamFeglgVtt555M7xM7e8ZAg9KCWMEcDlLzX1oeZsyGxrg/viewform?usp=pp_url&amp;entry.580385001="&amp;C829&amp;"&amp;entry.1376952895="&amp;A829)</f>
        <v>https://docs.google.com/forms/d/e/1FAIpQLSdhNamFeglgVtt555M7xM7e8ZAg9KCWMEcDlLzX1oeZsyGxrg/viewform?usp=pp_url&amp;entry.580385001=&amp;entry.1376952895=</v>
      </c>
    </row>
    <row r="830">
      <c r="D830" s="105" t="str">
        <f>IF(COUNTIF('Form responses 4'!B:B,C830)&gt;0, "", "https://docs.google.com/forms/d/e/1FAIpQLSdhNamFeglgVtt555M7xM7e8ZAg9KCWMEcDlLzX1oeZsyGxrg/viewform?usp=pp_url&amp;entry.580385001="&amp;C830&amp;"&amp;entry.1376952895="&amp;A830)</f>
        <v>https://docs.google.com/forms/d/e/1FAIpQLSdhNamFeglgVtt555M7xM7e8ZAg9KCWMEcDlLzX1oeZsyGxrg/viewform?usp=pp_url&amp;entry.580385001=&amp;entry.1376952895=</v>
      </c>
    </row>
    <row r="831">
      <c r="D831" s="105" t="str">
        <f>IF(COUNTIF('Form responses 4'!B:B,C831)&gt;0, "", "https://docs.google.com/forms/d/e/1FAIpQLSdhNamFeglgVtt555M7xM7e8ZAg9KCWMEcDlLzX1oeZsyGxrg/viewform?usp=pp_url&amp;entry.580385001="&amp;C831&amp;"&amp;entry.1376952895="&amp;A831)</f>
        <v>https://docs.google.com/forms/d/e/1FAIpQLSdhNamFeglgVtt555M7xM7e8ZAg9KCWMEcDlLzX1oeZsyGxrg/viewform?usp=pp_url&amp;entry.580385001=&amp;entry.1376952895=</v>
      </c>
    </row>
    <row r="832">
      <c r="D832" s="105" t="str">
        <f>IF(COUNTIF('Form responses 4'!B:B,C832)&gt;0, "", "https://docs.google.com/forms/d/e/1FAIpQLSdhNamFeglgVtt555M7xM7e8ZAg9KCWMEcDlLzX1oeZsyGxrg/viewform?usp=pp_url&amp;entry.580385001="&amp;C832&amp;"&amp;entry.1376952895="&amp;A832)</f>
        <v>https://docs.google.com/forms/d/e/1FAIpQLSdhNamFeglgVtt555M7xM7e8ZAg9KCWMEcDlLzX1oeZsyGxrg/viewform?usp=pp_url&amp;entry.580385001=&amp;entry.1376952895=</v>
      </c>
    </row>
    <row r="833">
      <c r="D833" s="105" t="str">
        <f>IF(COUNTIF('Form responses 4'!B:B,C833)&gt;0, "", "https://docs.google.com/forms/d/e/1FAIpQLSdhNamFeglgVtt555M7xM7e8ZAg9KCWMEcDlLzX1oeZsyGxrg/viewform?usp=pp_url&amp;entry.580385001="&amp;C833&amp;"&amp;entry.1376952895="&amp;A833)</f>
        <v>https://docs.google.com/forms/d/e/1FAIpQLSdhNamFeglgVtt555M7xM7e8ZAg9KCWMEcDlLzX1oeZsyGxrg/viewform?usp=pp_url&amp;entry.580385001=&amp;entry.1376952895=</v>
      </c>
    </row>
    <row r="834">
      <c r="D834" s="105" t="str">
        <f>IF(COUNTIF('Form responses 4'!B:B,C834)&gt;0, "", "https://docs.google.com/forms/d/e/1FAIpQLSdhNamFeglgVtt555M7xM7e8ZAg9KCWMEcDlLzX1oeZsyGxrg/viewform?usp=pp_url&amp;entry.580385001="&amp;C834&amp;"&amp;entry.1376952895="&amp;A834)</f>
        <v>https://docs.google.com/forms/d/e/1FAIpQLSdhNamFeglgVtt555M7xM7e8ZAg9KCWMEcDlLzX1oeZsyGxrg/viewform?usp=pp_url&amp;entry.580385001=&amp;entry.1376952895=</v>
      </c>
    </row>
    <row r="835">
      <c r="D835" s="105" t="str">
        <f>IF(COUNTIF('Form responses 4'!B:B,C835)&gt;0, "", "https://docs.google.com/forms/d/e/1FAIpQLSdhNamFeglgVtt555M7xM7e8ZAg9KCWMEcDlLzX1oeZsyGxrg/viewform?usp=pp_url&amp;entry.580385001="&amp;C835&amp;"&amp;entry.1376952895="&amp;A835)</f>
        <v>https://docs.google.com/forms/d/e/1FAIpQLSdhNamFeglgVtt555M7xM7e8ZAg9KCWMEcDlLzX1oeZsyGxrg/viewform?usp=pp_url&amp;entry.580385001=&amp;entry.1376952895=</v>
      </c>
    </row>
    <row r="836">
      <c r="D836" s="105" t="str">
        <f>IF(COUNTIF('Form responses 4'!B:B,C836)&gt;0, "", "https://docs.google.com/forms/d/e/1FAIpQLSdhNamFeglgVtt555M7xM7e8ZAg9KCWMEcDlLzX1oeZsyGxrg/viewform?usp=pp_url&amp;entry.580385001="&amp;C836&amp;"&amp;entry.1376952895="&amp;A836)</f>
        <v>https://docs.google.com/forms/d/e/1FAIpQLSdhNamFeglgVtt555M7xM7e8ZAg9KCWMEcDlLzX1oeZsyGxrg/viewform?usp=pp_url&amp;entry.580385001=&amp;entry.1376952895=</v>
      </c>
    </row>
    <row r="837">
      <c r="D837" s="105" t="str">
        <f>IF(COUNTIF('Form responses 4'!B:B,C837)&gt;0, "", "https://docs.google.com/forms/d/e/1FAIpQLSdhNamFeglgVtt555M7xM7e8ZAg9KCWMEcDlLzX1oeZsyGxrg/viewform?usp=pp_url&amp;entry.580385001="&amp;C837&amp;"&amp;entry.1376952895="&amp;A837)</f>
        <v>https://docs.google.com/forms/d/e/1FAIpQLSdhNamFeglgVtt555M7xM7e8ZAg9KCWMEcDlLzX1oeZsyGxrg/viewform?usp=pp_url&amp;entry.580385001=&amp;entry.1376952895=</v>
      </c>
    </row>
    <row r="838">
      <c r="D838" s="105" t="str">
        <f>IF(COUNTIF('Form responses 4'!B:B,C838)&gt;0, "", "https://docs.google.com/forms/d/e/1FAIpQLSdhNamFeglgVtt555M7xM7e8ZAg9KCWMEcDlLzX1oeZsyGxrg/viewform?usp=pp_url&amp;entry.580385001="&amp;C838&amp;"&amp;entry.1376952895="&amp;A838)</f>
        <v>https://docs.google.com/forms/d/e/1FAIpQLSdhNamFeglgVtt555M7xM7e8ZAg9KCWMEcDlLzX1oeZsyGxrg/viewform?usp=pp_url&amp;entry.580385001=&amp;entry.1376952895=</v>
      </c>
    </row>
    <row r="839">
      <c r="D839" s="105" t="str">
        <f>IF(COUNTIF('Form responses 4'!B:B,C839)&gt;0, "", "https://docs.google.com/forms/d/e/1FAIpQLSdhNamFeglgVtt555M7xM7e8ZAg9KCWMEcDlLzX1oeZsyGxrg/viewform?usp=pp_url&amp;entry.580385001="&amp;C839&amp;"&amp;entry.1376952895="&amp;A839)</f>
        <v>https://docs.google.com/forms/d/e/1FAIpQLSdhNamFeglgVtt555M7xM7e8ZAg9KCWMEcDlLzX1oeZsyGxrg/viewform?usp=pp_url&amp;entry.580385001=&amp;entry.1376952895=</v>
      </c>
    </row>
    <row r="840">
      <c r="D840" s="105" t="str">
        <f>IF(COUNTIF('Form responses 4'!B:B,C840)&gt;0, "", "https://docs.google.com/forms/d/e/1FAIpQLSdhNamFeglgVtt555M7xM7e8ZAg9KCWMEcDlLzX1oeZsyGxrg/viewform?usp=pp_url&amp;entry.580385001="&amp;C840&amp;"&amp;entry.1376952895="&amp;A840)</f>
        <v>https://docs.google.com/forms/d/e/1FAIpQLSdhNamFeglgVtt555M7xM7e8ZAg9KCWMEcDlLzX1oeZsyGxrg/viewform?usp=pp_url&amp;entry.580385001=&amp;entry.1376952895=</v>
      </c>
    </row>
    <row r="841">
      <c r="D841" s="105" t="str">
        <f>IF(COUNTIF('Form responses 4'!B:B,C841)&gt;0, "", "https://docs.google.com/forms/d/e/1FAIpQLSdhNamFeglgVtt555M7xM7e8ZAg9KCWMEcDlLzX1oeZsyGxrg/viewform?usp=pp_url&amp;entry.580385001="&amp;C841&amp;"&amp;entry.1376952895="&amp;A841)</f>
        <v>https://docs.google.com/forms/d/e/1FAIpQLSdhNamFeglgVtt555M7xM7e8ZAg9KCWMEcDlLzX1oeZsyGxrg/viewform?usp=pp_url&amp;entry.580385001=&amp;entry.1376952895=</v>
      </c>
    </row>
    <row r="842">
      <c r="D842" s="105" t="str">
        <f>IF(COUNTIF('Form responses 4'!B:B,C842)&gt;0, "", "https://docs.google.com/forms/d/e/1FAIpQLSdhNamFeglgVtt555M7xM7e8ZAg9KCWMEcDlLzX1oeZsyGxrg/viewform?usp=pp_url&amp;entry.580385001="&amp;C842&amp;"&amp;entry.1376952895="&amp;A842)</f>
        <v>https://docs.google.com/forms/d/e/1FAIpQLSdhNamFeglgVtt555M7xM7e8ZAg9KCWMEcDlLzX1oeZsyGxrg/viewform?usp=pp_url&amp;entry.580385001=&amp;entry.1376952895=</v>
      </c>
    </row>
    <row r="843">
      <c r="D843" s="105" t="str">
        <f>IF(COUNTIF('Form responses 4'!B:B,C843)&gt;0, "", "https://docs.google.com/forms/d/e/1FAIpQLSdhNamFeglgVtt555M7xM7e8ZAg9KCWMEcDlLzX1oeZsyGxrg/viewform?usp=pp_url&amp;entry.580385001="&amp;C843&amp;"&amp;entry.1376952895="&amp;A843)</f>
        <v>https://docs.google.com/forms/d/e/1FAIpQLSdhNamFeglgVtt555M7xM7e8ZAg9KCWMEcDlLzX1oeZsyGxrg/viewform?usp=pp_url&amp;entry.580385001=&amp;entry.1376952895=</v>
      </c>
    </row>
    <row r="844">
      <c r="D844" s="105" t="str">
        <f>IF(COUNTIF('Form responses 4'!B:B,C844)&gt;0, "", "https://docs.google.com/forms/d/e/1FAIpQLSdhNamFeglgVtt555M7xM7e8ZAg9KCWMEcDlLzX1oeZsyGxrg/viewform?usp=pp_url&amp;entry.580385001="&amp;C844&amp;"&amp;entry.1376952895="&amp;A844)</f>
        <v>https://docs.google.com/forms/d/e/1FAIpQLSdhNamFeglgVtt555M7xM7e8ZAg9KCWMEcDlLzX1oeZsyGxrg/viewform?usp=pp_url&amp;entry.580385001=&amp;entry.1376952895=</v>
      </c>
    </row>
    <row r="845">
      <c r="D845" s="105" t="str">
        <f>IF(COUNTIF('Form responses 4'!B:B,C845)&gt;0, "", "https://docs.google.com/forms/d/e/1FAIpQLSdhNamFeglgVtt555M7xM7e8ZAg9KCWMEcDlLzX1oeZsyGxrg/viewform?usp=pp_url&amp;entry.580385001="&amp;C845&amp;"&amp;entry.1376952895="&amp;A845)</f>
        <v>https://docs.google.com/forms/d/e/1FAIpQLSdhNamFeglgVtt555M7xM7e8ZAg9KCWMEcDlLzX1oeZsyGxrg/viewform?usp=pp_url&amp;entry.580385001=&amp;entry.1376952895=</v>
      </c>
    </row>
    <row r="846">
      <c r="D846" s="105" t="str">
        <f>IF(COUNTIF('Form responses 4'!B:B,C846)&gt;0, "", "https://docs.google.com/forms/d/e/1FAIpQLSdhNamFeglgVtt555M7xM7e8ZAg9KCWMEcDlLzX1oeZsyGxrg/viewform?usp=pp_url&amp;entry.580385001="&amp;C846&amp;"&amp;entry.1376952895="&amp;A846)</f>
        <v>https://docs.google.com/forms/d/e/1FAIpQLSdhNamFeglgVtt555M7xM7e8ZAg9KCWMEcDlLzX1oeZsyGxrg/viewform?usp=pp_url&amp;entry.580385001=&amp;entry.1376952895=</v>
      </c>
    </row>
    <row r="847">
      <c r="D847" s="105" t="str">
        <f>IF(COUNTIF('Form responses 4'!B:B,C847)&gt;0, "", "https://docs.google.com/forms/d/e/1FAIpQLSdhNamFeglgVtt555M7xM7e8ZAg9KCWMEcDlLzX1oeZsyGxrg/viewform?usp=pp_url&amp;entry.580385001="&amp;C847&amp;"&amp;entry.1376952895="&amp;A847)</f>
        <v>https://docs.google.com/forms/d/e/1FAIpQLSdhNamFeglgVtt555M7xM7e8ZAg9KCWMEcDlLzX1oeZsyGxrg/viewform?usp=pp_url&amp;entry.580385001=&amp;entry.1376952895=</v>
      </c>
    </row>
    <row r="848">
      <c r="D848" s="105" t="str">
        <f>IF(COUNTIF('Form responses 4'!B:B,C848)&gt;0, "", "https://docs.google.com/forms/d/e/1FAIpQLSdhNamFeglgVtt555M7xM7e8ZAg9KCWMEcDlLzX1oeZsyGxrg/viewform?usp=pp_url&amp;entry.580385001="&amp;C848&amp;"&amp;entry.1376952895="&amp;A848)</f>
        <v>https://docs.google.com/forms/d/e/1FAIpQLSdhNamFeglgVtt555M7xM7e8ZAg9KCWMEcDlLzX1oeZsyGxrg/viewform?usp=pp_url&amp;entry.580385001=&amp;entry.1376952895=</v>
      </c>
    </row>
    <row r="849">
      <c r="D849" s="105" t="str">
        <f>IF(COUNTIF('Form responses 4'!B:B,C849)&gt;0, "", "https://docs.google.com/forms/d/e/1FAIpQLSdhNamFeglgVtt555M7xM7e8ZAg9KCWMEcDlLzX1oeZsyGxrg/viewform?usp=pp_url&amp;entry.580385001="&amp;C849&amp;"&amp;entry.1376952895="&amp;A849)</f>
        <v>https://docs.google.com/forms/d/e/1FAIpQLSdhNamFeglgVtt555M7xM7e8ZAg9KCWMEcDlLzX1oeZsyGxrg/viewform?usp=pp_url&amp;entry.580385001=&amp;entry.1376952895=</v>
      </c>
    </row>
    <row r="850">
      <c r="D850" s="105" t="str">
        <f>IF(COUNTIF('Form responses 4'!B:B,C850)&gt;0, "", "https://docs.google.com/forms/d/e/1FAIpQLSdhNamFeglgVtt555M7xM7e8ZAg9KCWMEcDlLzX1oeZsyGxrg/viewform?usp=pp_url&amp;entry.580385001="&amp;C850&amp;"&amp;entry.1376952895="&amp;A850)</f>
        <v>https://docs.google.com/forms/d/e/1FAIpQLSdhNamFeglgVtt555M7xM7e8ZAg9KCWMEcDlLzX1oeZsyGxrg/viewform?usp=pp_url&amp;entry.580385001=&amp;entry.1376952895=</v>
      </c>
    </row>
    <row r="851">
      <c r="D851" s="105" t="str">
        <f>IF(COUNTIF('Form responses 4'!B:B,C851)&gt;0, "", "https://docs.google.com/forms/d/e/1FAIpQLSdhNamFeglgVtt555M7xM7e8ZAg9KCWMEcDlLzX1oeZsyGxrg/viewform?usp=pp_url&amp;entry.580385001="&amp;C851&amp;"&amp;entry.1376952895="&amp;A851)</f>
        <v>https://docs.google.com/forms/d/e/1FAIpQLSdhNamFeglgVtt555M7xM7e8ZAg9KCWMEcDlLzX1oeZsyGxrg/viewform?usp=pp_url&amp;entry.580385001=&amp;entry.1376952895=</v>
      </c>
    </row>
    <row r="852">
      <c r="D852" s="105" t="str">
        <f>IF(COUNTIF('Form responses 4'!B:B,C852)&gt;0, "", "https://docs.google.com/forms/d/e/1FAIpQLSdhNamFeglgVtt555M7xM7e8ZAg9KCWMEcDlLzX1oeZsyGxrg/viewform?usp=pp_url&amp;entry.580385001="&amp;C852&amp;"&amp;entry.1376952895="&amp;A852)</f>
        <v>https://docs.google.com/forms/d/e/1FAIpQLSdhNamFeglgVtt555M7xM7e8ZAg9KCWMEcDlLzX1oeZsyGxrg/viewform?usp=pp_url&amp;entry.580385001=&amp;entry.1376952895=</v>
      </c>
    </row>
    <row r="853">
      <c r="D853" s="105" t="str">
        <f>IF(COUNTIF('Form responses 4'!B:B,C853)&gt;0, "", "https://docs.google.com/forms/d/e/1FAIpQLSdhNamFeglgVtt555M7xM7e8ZAg9KCWMEcDlLzX1oeZsyGxrg/viewform?usp=pp_url&amp;entry.580385001="&amp;C853&amp;"&amp;entry.1376952895="&amp;A853)</f>
        <v>https://docs.google.com/forms/d/e/1FAIpQLSdhNamFeglgVtt555M7xM7e8ZAg9KCWMEcDlLzX1oeZsyGxrg/viewform?usp=pp_url&amp;entry.580385001=&amp;entry.1376952895=</v>
      </c>
    </row>
    <row r="854">
      <c r="D854" s="105" t="str">
        <f>IF(COUNTIF('Form responses 4'!B:B,C854)&gt;0, "", "https://docs.google.com/forms/d/e/1FAIpQLSdhNamFeglgVtt555M7xM7e8ZAg9KCWMEcDlLzX1oeZsyGxrg/viewform?usp=pp_url&amp;entry.580385001="&amp;C854&amp;"&amp;entry.1376952895="&amp;A854)</f>
        <v>https://docs.google.com/forms/d/e/1FAIpQLSdhNamFeglgVtt555M7xM7e8ZAg9KCWMEcDlLzX1oeZsyGxrg/viewform?usp=pp_url&amp;entry.580385001=&amp;entry.1376952895=</v>
      </c>
    </row>
    <row r="855">
      <c r="D855" s="105" t="str">
        <f>IF(COUNTIF('Form responses 4'!B:B,C855)&gt;0, "", "https://docs.google.com/forms/d/e/1FAIpQLSdhNamFeglgVtt555M7xM7e8ZAg9KCWMEcDlLzX1oeZsyGxrg/viewform?usp=pp_url&amp;entry.580385001="&amp;C855&amp;"&amp;entry.1376952895="&amp;A855)</f>
        <v>https://docs.google.com/forms/d/e/1FAIpQLSdhNamFeglgVtt555M7xM7e8ZAg9KCWMEcDlLzX1oeZsyGxrg/viewform?usp=pp_url&amp;entry.580385001=&amp;entry.1376952895=</v>
      </c>
    </row>
    <row r="856">
      <c r="D856" s="105" t="str">
        <f>IF(COUNTIF('Form responses 4'!B:B,C856)&gt;0, "", "https://docs.google.com/forms/d/e/1FAIpQLSdhNamFeglgVtt555M7xM7e8ZAg9KCWMEcDlLzX1oeZsyGxrg/viewform?usp=pp_url&amp;entry.580385001="&amp;C856&amp;"&amp;entry.1376952895="&amp;A856)</f>
        <v>https://docs.google.com/forms/d/e/1FAIpQLSdhNamFeglgVtt555M7xM7e8ZAg9KCWMEcDlLzX1oeZsyGxrg/viewform?usp=pp_url&amp;entry.580385001=&amp;entry.1376952895=</v>
      </c>
    </row>
    <row r="857">
      <c r="D857" s="105" t="str">
        <f>IF(COUNTIF('Form responses 4'!B:B,C857)&gt;0, "", "https://docs.google.com/forms/d/e/1FAIpQLSdhNamFeglgVtt555M7xM7e8ZAg9KCWMEcDlLzX1oeZsyGxrg/viewform?usp=pp_url&amp;entry.580385001="&amp;C857&amp;"&amp;entry.1376952895="&amp;A857)</f>
        <v>https://docs.google.com/forms/d/e/1FAIpQLSdhNamFeglgVtt555M7xM7e8ZAg9KCWMEcDlLzX1oeZsyGxrg/viewform?usp=pp_url&amp;entry.580385001=&amp;entry.1376952895=</v>
      </c>
    </row>
    <row r="858">
      <c r="D858" s="105" t="str">
        <f>IF(COUNTIF('Form responses 4'!B:B,C858)&gt;0, "", "https://docs.google.com/forms/d/e/1FAIpQLSdhNamFeglgVtt555M7xM7e8ZAg9KCWMEcDlLzX1oeZsyGxrg/viewform?usp=pp_url&amp;entry.580385001="&amp;C858&amp;"&amp;entry.1376952895="&amp;A858)</f>
        <v>https://docs.google.com/forms/d/e/1FAIpQLSdhNamFeglgVtt555M7xM7e8ZAg9KCWMEcDlLzX1oeZsyGxrg/viewform?usp=pp_url&amp;entry.580385001=&amp;entry.1376952895=</v>
      </c>
    </row>
    <row r="859">
      <c r="D859" s="105" t="str">
        <f>IF(COUNTIF('Form responses 4'!B:B,C859)&gt;0, "", "https://docs.google.com/forms/d/e/1FAIpQLSdhNamFeglgVtt555M7xM7e8ZAg9KCWMEcDlLzX1oeZsyGxrg/viewform?usp=pp_url&amp;entry.580385001="&amp;C859&amp;"&amp;entry.1376952895="&amp;A859)</f>
        <v>https://docs.google.com/forms/d/e/1FAIpQLSdhNamFeglgVtt555M7xM7e8ZAg9KCWMEcDlLzX1oeZsyGxrg/viewform?usp=pp_url&amp;entry.580385001=&amp;entry.1376952895=</v>
      </c>
    </row>
    <row r="860">
      <c r="D860" s="105" t="str">
        <f>IF(COUNTIF('Form responses 4'!B:B,C860)&gt;0, "", "https://docs.google.com/forms/d/e/1FAIpQLSdhNamFeglgVtt555M7xM7e8ZAg9KCWMEcDlLzX1oeZsyGxrg/viewform?usp=pp_url&amp;entry.580385001="&amp;C860&amp;"&amp;entry.1376952895="&amp;A860)</f>
        <v>https://docs.google.com/forms/d/e/1FAIpQLSdhNamFeglgVtt555M7xM7e8ZAg9KCWMEcDlLzX1oeZsyGxrg/viewform?usp=pp_url&amp;entry.580385001=&amp;entry.1376952895=</v>
      </c>
    </row>
    <row r="861">
      <c r="D861" s="105" t="str">
        <f>IF(COUNTIF('Form responses 4'!B:B,C861)&gt;0, "", "https://docs.google.com/forms/d/e/1FAIpQLSdhNamFeglgVtt555M7xM7e8ZAg9KCWMEcDlLzX1oeZsyGxrg/viewform?usp=pp_url&amp;entry.580385001="&amp;C861&amp;"&amp;entry.1376952895="&amp;A861)</f>
        <v>https://docs.google.com/forms/d/e/1FAIpQLSdhNamFeglgVtt555M7xM7e8ZAg9KCWMEcDlLzX1oeZsyGxrg/viewform?usp=pp_url&amp;entry.580385001=&amp;entry.1376952895=</v>
      </c>
    </row>
    <row r="862">
      <c r="D862" s="105" t="str">
        <f>IF(COUNTIF('Form responses 4'!B:B,C862)&gt;0, "", "https://docs.google.com/forms/d/e/1FAIpQLSdhNamFeglgVtt555M7xM7e8ZAg9KCWMEcDlLzX1oeZsyGxrg/viewform?usp=pp_url&amp;entry.580385001="&amp;C862&amp;"&amp;entry.1376952895="&amp;A862)</f>
        <v>https://docs.google.com/forms/d/e/1FAIpQLSdhNamFeglgVtt555M7xM7e8ZAg9KCWMEcDlLzX1oeZsyGxrg/viewform?usp=pp_url&amp;entry.580385001=&amp;entry.1376952895=</v>
      </c>
    </row>
    <row r="863">
      <c r="D863" s="105" t="str">
        <f>IF(COUNTIF('Form responses 4'!B:B,C863)&gt;0, "", "https://docs.google.com/forms/d/e/1FAIpQLSdhNamFeglgVtt555M7xM7e8ZAg9KCWMEcDlLzX1oeZsyGxrg/viewform?usp=pp_url&amp;entry.580385001="&amp;C863&amp;"&amp;entry.1376952895="&amp;A863)</f>
        <v>https://docs.google.com/forms/d/e/1FAIpQLSdhNamFeglgVtt555M7xM7e8ZAg9KCWMEcDlLzX1oeZsyGxrg/viewform?usp=pp_url&amp;entry.580385001=&amp;entry.1376952895=</v>
      </c>
    </row>
    <row r="864">
      <c r="D864" s="105" t="str">
        <f>IF(COUNTIF('Form responses 4'!B:B,C864)&gt;0, "", "https://docs.google.com/forms/d/e/1FAIpQLSdhNamFeglgVtt555M7xM7e8ZAg9KCWMEcDlLzX1oeZsyGxrg/viewform?usp=pp_url&amp;entry.580385001="&amp;C864&amp;"&amp;entry.1376952895="&amp;A864)</f>
        <v>https://docs.google.com/forms/d/e/1FAIpQLSdhNamFeglgVtt555M7xM7e8ZAg9KCWMEcDlLzX1oeZsyGxrg/viewform?usp=pp_url&amp;entry.580385001=&amp;entry.1376952895=</v>
      </c>
    </row>
    <row r="865">
      <c r="D865" s="105" t="str">
        <f>IF(COUNTIF('Form responses 4'!B:B,C865)&gt;0, "", "https://docs.google.com/forms/d/e/1FAIpQLSdhNamFeglgVtt555M7xM7e8ZAg9KCWMEcDlLzX1oeZsyGxrg/viewform?usp=pp_url&amp;entry.580385001="&amp;C865&amp;"&amp;entry.1376952895="&amp;A865)</f>
        <v>https://docs.google.com/forms/d/e/1FAIpQLSdhNamFeglgVtt555M7xM7e8ZAg9KCWMEcDlLzX1oeZsyGxrg/viewform?usp=pp_url&amp;entry.580385001=&amp;entry.1376952895=</v>
      </c>
    </row>
    <row r="866">
      <c r="D866" s="105" t="str">
        <f>IF(COUNTIF('Form responses 4'!B:B,C866)&gt;0, "", "https://docs.google.com/forms/d/e/1FAIpQLSdhNamFeglgVtt555M7xM7e8ZAg9KCWMEcDlLzX1oeZsyGxrg/viewform?usp=pp_url&amp;entry.580385001="&amp;C866&amp;"&amp;entry.1376952895="&amp;A866)</f>
        <v>https://docs.google.com/forms/d/e/1FAIpQLSdhNamFeglgVtt555M7xM7e8ZAg9KCWMEcDlLzX1oeZsyGxrg/viewform?usp=pp_url&amp;entry.580385001=&amp;entry.1376952895=</v>
      </c>
    </row>
    <row r="867">
      <c r="D867" s="105" t="str">
        <f>IF(COUNTIF('Form responses 4'!B:B,C867)&gt;0, "", "https://docs.google.com/forms/d/e/1FAIpQLSdhNamFeglgVtt555M7xM7e8ZAg9KCWMEcDlLzX1oeZsyGxrg/viewform?usp=pp_url&amp;entry.580385001="&amp;C867&amp;"&amp;entry.1376952895="&amp;A867)</f>
        <v>https://docs.google.com/forms/d/e/1FAIpQLSdhNamFeglgVtt555M7xM7e8ZAg9KCWMEcDlLzX1oeZsyGxrg/viewform?usp=pp_url&amp;entry.580385001=&amp;entry.1376952895=</v>
      </c>
    </row>
    <row r="868">
      <c r="D868" s="105" t="str">
        <f>IF(COUNTIF('Form responses 4'!B:B,C868)&gt;0, "", "https://docs.google.com/forms/d/e/1FAIpQLSdhNamFeglgVtt555M7xM7e8ZAg9KCWMEcDlLzX1oeZsyGxrg/viewform?usp=pp_url&amp;entry.580385001="&amp;C868&amp;"&amp;entry.1376952895="&amp;A868)</f>
        <v>https://docs.google.com/forms/d/e/1FAIpQLSdhNamFeglgVtt555M7xM7e8ZAg9KCWMEcDlLzX1oeZsyGxrg/viewform?usp=pp_url&amp;entry.580385001=&amp;entry.1376952895=</v>
      </c>
    </row>
    <row r="869">
      <c r="D869" s="105" t="str">
        <f>IF(COUNTIF('Form responses 4'!B:B,C869)&gt;0, "", "https://docs.google.com/forms/d/e/1FAIpQLSdhNamFeglgVtt555M7xM7e8ZAg9KCWMEcDlLzX1oeZsyGxrg/viewform?usp=pp_url&amp;entry.580385001="&amp;C869&amp;"&amp;entry.1376952895="&amp;A869)</f>
        <v>https://docs.google.com/forms/d/e/1FAIpQLSdhNamFeglgVtt555M7xM7e8ZAg9KCWMEcDlLzX1oeZsyGxrg/viewform?usp=pp_url&amp;entry.580385001=&amp;entry.1376952895=</v>
      </c>
    </row>
    <row r="870">
      <c r="D870" s="105" t="str">
        <f>IF(COUNTIF('Form responses 4'!B:B,C870)&gt;0, "", "https://docs.google.com/forms/d/e/1FAIpQLSdhNamFeglgVtt555M7xM7e8ZAg9KCWMEcDlLzX1oeZsyGxrg/viewform?usp=pp_url&amp;entry.580385001="&amp;C870&amp;"&amp;entry.1376952895="&amp;A870)</f>
        <v>https://docs.google.com/forms/d/e/1FAIpQLSdhNamFeglgVtt555M7xM7e8ZAg9KCWMEcDlLzX1oeZsyGxrg/viewform?usp=pp_url&amp;entry.580385001=&amp;entry.1376952895=</v>
      </c>
    </row>
    <row r="871">
      <c r="D871" s="105" t="str">
        <f>IF(COUNTIF('Form responses 4'!B:B,C871)&gt;0, "", "https://docs.google.com/forms/d/e/1FAIpQLSdhNamFeglgVtt555M7xM7e8ZAg9KCWMEcDlLzX1oeZsyGxrg/viewform?usp=pp_url&amp;entry.580385001="&amp;C871&amp;"&amp;entry.1376952895="&amp;A871)</f>
        <v>https://docs.google.com/forms/d/e/1FAIpQLSdhNamFeglgVtt555M7xM7e8ZAg9KCWMEcDlLzX1oeZsyGxrg/viewform?usp=pp_url&amp;entry.580385001=&amp;entry.1376952895=</v>
      </c>
    </row>
    <row r="872">
      <c r="D872" s="105" t="str">
        <f>IF(COUNTIF('Form responses 4'!B:B,C872)&gt;0, "", "https://docs.google.com/forms/d/e/1FAIpQLSdhNamFeglgVtt555M7xM7e8ZAg9KCWMEcDlLzX1oeZsyGxrg/viewform?usp=pp_url&amp;entry.580385001="&amp;C872&amp;"&amp;entry.1376952895="&amp;A872)</f>
        <v>https://docs.google.com/forms/d/e/1FAIpQLSdhNamFeglgVtt555M7xM7e8ZAg9KCWMEcDlLzX1oeZsyGxrg/viewform?usp=pp_url&amp;entry.580385001=&amp;entry.1376952895=</v>
      </c>
    </row>
    <row r="873">
      <c r="D873" s="105" t="str">
        <f>IF(COUNTIF('Form responses 4'!B:B,C873)&gt;0, "", "https://docs.google.com/forms/d/e/1FAIpQLSdhNamFeglgVtt555M7xM7e8ZAg9KCWMEcDlLzX1oeZsyGxrg/viewform?usp=pp_url&amp;entry.580385001="&amp;C873&amp;"&amp;entry.1376952895="&amp;A873)</f>
        <v>https://docs.google.com/forms/d/e/1FAIpQLSdhNamFeglgVtt555M7xM7e8ZAg9KCWMEcDlLzX1oeZsyGxrg/viewform?usp=pp_url&amp;entry.580385001=&amp;entry.1376952895=</v>
      </c>
    </row>
    <row r="874">
      <c r="D874" s="105" t="str">
        <f>IF(COUNTIF('Form responses 4'!B:B,C874)&gt;0, "", "https://docs.google.com/forms/d/e/1FAIpQLSdhNamFeglgVtt555M7xM7e8ZAg9KCWMEcDlLzX1oeZsyGxrg/viewform?usp=pp_url&amp;entry.580385001="&amp;C874&amp;"&amp;entry.1376952895="&amp;A874)</f>
        <v>https://docs.google.com/forms/d/e/1FAIpQLSdhNamFeglgVtt555M7xM7e8ZAg9KCWMEcDlLzX1oeZsyGxrg/viewform?usp=pp_url&amp;entry.580385001=&amp;entry.1376952895=</v>
      </c>
    </row>
    <row r="875">
      <c r="D875" s="105" t="str">
        <f>IF(COUNTIF('Form responses 4'!B:B,C875)&gt;0, "", "https://docs.google.com/forms/d/e/1FAIpQLSdhNamFeglgVtt555M7xM7e8ZAg9KCWMEcDlLzX1oeZsyGxrg/viewform?usp=pp_url&amp;entry.580385001="&amp;C875&amp;"&amp;entry.1376952895="&amp;A875)</f>
        <v>https://docs.google.com/forms/d/e/1FAIpQLSdhNamFeglgVtt555M7xM7e8ZAg9KCWMEcDlLzX1oeZsyGxrg/viewform?usp=pp_url&amp;entry.580385001=&amp;entry.1376952895=</v>
      </c>
    </row>
    <row r="876">
      <c r="D876" s="105" t="str">
        <f>IF(COUNTIF('Form responses 4'!B:B,C876)&gt;0, "", "https://docs.google.com/forms/d/e/1FAIpQLSdhNamFeglgVtt555M7xM7e8ZAg9KCWMEcDlLzX1oeZsyGxrg/viewform?usp=pp_url&amp;entry.580385001="&amp;C876&amp;"&amp;entry.1376952895="&amp;A876)</f>
        <v>https://docs.google.com/forms/d/e/1FAIpQLSdhNamFeglgVtt555M7xM7e8ZAg9KCWMEcDlLzX1oeZsyGxrg/viewform?usp=pp_url&amp;entry.580385001=&amp;entry.1376952895=</v>
      </c>
    </row>
    <row r="877">
      <c r="D877" s="105" t="str">
        <f>IF(COUNTIF('Form responses 4'!B:B,C877)&gt;0, "", "https://docs.google.com/forms/d/e/1FAIpQLSdhNamFeglgVtt555M7xM7e8ZAg9KCWMEcDlLzX1oeZsyGxrg/viewform?usp=pp_url&amp;entry.580385001="&amp;C877&amp;"&amp;entry.1376952895="&amp;A877)</f>
        <v>https://docs.google.com/forms/d/e/1FAIpQLSdhNamFeglgVtt555M7xM7e8ZAg9KCWMEcDlLzX1oeZsyGxrg/viewform?usp=pp_url&amp;entry.580385001=&amp;entry.1376952895=</v>
      </c>
    </row>
    <row r="878">
      <c r="D878" s="105" t="str">
        <f>IF(COUNTIF('Form responses 4'!B:B,C878)&gt;0, "", "https://docs.google.com/forms/d/e/1FAIpQLSdhNamFeglgVtt555M7xM7e8ZAg9KCWMEcDlLzX1oeZsyGxrg/viewform?usp=pp_url&amp;entry.580385001="&amp;C878&amp;"&amp;entry.1376952895="&amp;A878)</f>
        <v>https://docs.google.com/forms/d/e/1FAIpQLSdhNamFeglgVtt555M7xM7e8ZAg9KCWMEcDlLzX1oeZsyGxrg/viewform?usp=pp_url&amp;entry.580385001=&amp;entry.1376952895=</v>
      </c>
    </row>
    <row r="879">
      <c r="D879" s="105" t="str">
        <f>IF(COUNTIF('Form responses 4'!B:B,C879)&gt;0, "", "https://docs.google.com/forms/d/e/1FAIpQLSdhNamFeglgVtt555M7xM7e8ZAg9KCWMEcDlLzX1oeZsyGxrg/viewform?usp=pp_url&amp;entry.580385001="&amp;C879&amp;"&amp;entry.1376952895="&amp;A879)</f>
        <v>https://docs.google.com/forms/d/e/1FAIpQLSdhNamFeglgVtt555M7xM7e8ZAg9KCWMEcDlLzX1oeZsyGxrg/viewform?usp=pp_url&amp;entry.580385001=&amp;entry.1376952895=</v>
      </c>
    </row>
    <row r="880">
      <c r="D880" s="105" t="str">
        <f>IF(COUNTIF('Form responses 4'!B:B,C880)&gt;0, "", "https://docs.google.com/forms/d/e/1FAIpQLSdhNamFeglgVtt555M7xM7e8ZAg9KCWMEcDlLzX1oeZsyGxrg/viewform?usp=pp_url&amp;entry.580385001="&amp;C880&amp;"&amp;entry.1376952895="&amp;A880)</f>
        <v>https://docs.google.com/forms/d/e/1FAIpQLSdhNamFeglgVtt555M7xM7e8ZAg9KCWMEcDlLzX1oeZsyGxrg/viewform?usp=pp_url&amp;entry.580385001=&amp;entry.1376952895=</v>
      </c>
    </row>
    <row r="881">
      <c r="D881" s="105" t="str">
        <f>IF(COUNTIF('Form responses 4'!B:B,C881)&gt;0, "", "https://docs.google.com/forms/d/e/1FAIpQLSdhNamFeglgVtt555M7xM7e8ZAg9KCWMEcDlLzX1oeZsyGxrg/viewform?usp=pp_url&amp;entry.580385001="&amp;C881&amp;"&amp;entry.1376952895="&amp;A881)</f>
        <v>https://docs.google.com/forms/d/e/1FAIpQLSdhNamFeglgVtt555M7xM7e8ZAg9KCWMEcDlLzX1oeZsyGxrg/viewform?usp=pp_url&amp;entry.580385001=&amp;entry.1376952895=</v>
      </c>
    </row>
    <row r="882">
      <c r="D882" s="105" t="str">
        <f>IF(COUNTIF('Form responses 4'!B:B,C882)&gt;0, "", "https://docs.google.com/forms/d/e/1FAIpQLSdhNamFeglgVtt555M7xM7e8ZAg9KCWMEcDlLzX1oeZsyGxrg/viewform?usp=pp_url&amp;entry.580385001="&amp;C882&amp;"&amp;entry.1376952895="&amp;A882)</f>
        <v>https://docs.google.com/forms/d/e/1FAIpQLSdhNamFeglgVtt555M7xM7e8ZAg9KCWMEcDlLzX1oeZsyGxrg/viewform?usp=pp_url&amp;entry.580385001=&amp;entry.1376952895=</v>
      </c>
    </row>
    <row r="883">
      <c r="D883" s="105" t="str">
        <f>IF(COUNTIF('Form responses 4'!B:B,C883)&gt;0, "", "https://docs.google.com/forms/d/e/1FAIpQLSdhNamFeglgVtt555M7xM7e8ZAg9KCWMEcDlLzX1oeZsyGxrg/viewform?usp=pp_url&amp;entry.580385001="&amp;C883&amp;"&amp;entry.1376952895="&amp;A883)</f>
        <v>https://docs.google.com/forms/d/e/1FAIpQLSdhNamFeglgVtt555M7xM7e8ZAg9KCWMEcDlLzX1oeZsyGxrg/viewform?usp=pp_url&amp;entry.580385001=&amp;entry.1376952895=</v>
      </c>
    </row>
    <row r="884">
      <c r="D884" s="105" t="str">
        <f>IF(COUNTIF('Form responses 4'!B:B,C884)&gt;0, "", "https://docs.google.com/forms/d/e/1FAIpQLSdhNamFeglgVtt555M7xM7e8ZAg9KCWMEcDlLzX1oeZsyGxrg/viewform?usp=pp_url&amp;entry.580385001="&amp;C884&amp;"&amp;entry.1376952895="&amp;A884)</f>
        <v>https://docs.google.com/forms/d/e/1FAIpQLSdhNamFeglgVtt555M7xM7e8ZAg9KCWMEcDlLzX1oeZsyGxrg/viewform?usp=pp_url&amp;entry.580385001=&amp;entry.1376952895=</v>
      </c>
    </row>
    <row r="885">
      <c r="D885" s="105" t="str">
        <f>IF(COUNTIF('Form responses 4'!B:B,C885)&gt;0, "", "https://docs.google.com/forms/d/e/1FAIpQLSdhNamFeglgVtt555M7xM7e8ZAg9KCWMEcDlLzX1oeZsyGxrg/viewform?usp=pp_url&amp;entry.580385001="&amp;C885&amp;"&amp;entry.1376952895="&amp;A885)</f>
        <v>https://docs.google.com/forms/d/e/1FAIpQLSdhNamFeglgVtt555M7xM7e8ZAg9KCWMEcDlLzX1oeZsyGxrg/viewform?usp=pp_url&amp;entry.580385001=&amp;entry.1376952895=</v>
      </c>
    </row>
    <row r="886">
      <c r="D886" s="105" t="str">
        <f>IF(COUNTIF('Form responses 4'!B:B,C886)&gt;0, "", "https://docs.google.com/forms/d/e/1FAIpQLSdhNamFeglgVtt555M7xM7e8ZAg9KCWMEcDlLzX1oeZsyGxrg/viewform?usp=pp_url&amp;entry.580385001="&amp;C886&amp;"&amp;entry.1376952895="&amp;A886)</f>
        <v>https://docs.google.com/forms/d/e/1FAIpQLSdhNamFeglgVtt555M7xM7e8ZAg9KCWMEcDlLzX1oeZsyGxrg/viewform?usp=pp_url&amp;entry.580385001=&amp;entry.1376952895=</v>
      </c>
    </row>
    <row r="887">
      <c r="D887" s="105" t="str">
        <f>IF(COUNTIF('Form responses 4'!B:B,C887)&gt;0, "", "https://docs.google.com/forms/d/e/1FAIpQLSdhNamFeglgVtt555M7xM7e8ZAg9KCWMEcDlLzX1oeZsyGxrg/viewform?usp=pp_url&amp;entry.580385001="&amp;C887&amp;"&amp;entry.1376952895="&amp;A887)</f>
        <v>https://docs.google.com/forms/d/e/1FAIpQLSdhNamFeglgVtt555M7xM7e8ZAg9KCWMEcDlLzX1oeZsyGxrg/viewform?usp=pp_url&amp;entry.580385001=&amp;entry.1376952895=</v>
      </c>
    </row>
    <row r="888">
      <c r="D888" s="105" t="str">
        <f>IF(COUNTIF('Form responses 4'!B:B,C888)&gt;0, "", "https://docs.google.com/forms/d/e/1FAIpQLSdhNamFeglgVtt555M7xM7e8ZAg9KCWMEcDlLzX1oeZsyGxrg/viewform?usp=pp_url&amp;entry.580385001="&amp;C888&amp;"&amp;entry.1376952895="&amp;A888)</f>
        <v>https://docs.google.com/forms/d/e/1FAIpQLSdhNamFeglgVtt555M7xM7e8ZAg9KCWMEcDlLzX1oeZsyGxrg/viewform?usp=pp_url&amp;entry.580385001=&amp;entry.1376952895=</v>
      </c>
    </row>
    <row r="889">
      <c r="D889" s="105" t="str">
        <f>IF(COUNTIF('Form responses 4'!B:B,C889)&gt;0, "", "https://docs.google.com/forms/d/e/1FAIpQLSdhNamFeglgVtt555M7xM7e8ZAg9KCWMEcDlLzX1oeZsyGxrg/viewform?usp=pp_url&amp;entry.580385001="&amp;C889&amp;"&amp;entry.1376952895="&amp;A889)</f>
        <v>https://docs.google.com/forms/d/e/1FAIpQLSdhNamFeglgVtt555M7xM7e8ZAg9KCWMEcDlLzX1oeZsyGxrg/viewform?usp=pp_url&amp;entry.580385001=&amp;entry.1376952895=</v>
      </c>
    </row>
    <row r="890">
      <c r="D890" s="105" t="str">
        <f>IF(COUNTIF('Form responses 4'!B:B,C890)&gt;0, "", "https://docs.google.com/forms/d/e/1FAIpQLSdhNamFeglgVtt555M7xM7e8ZAg9KCWMEcDlLzX1oeZsyGxrg/viewform?usp=pp_url&amp;entry.580385001="&amp;C890&amp;"&amp;entry.1376952895="&amp;A890)</f>
        <v>https://docs.google.com/forms/d/e/1FAIpQLSdhNamFeglgVtt555M7xM7e8ZAg9KCWMEcDlLzX1oeZsyGxrg/viewform?usp=pp_url&amp;entry.580385001=&amp;entry.1376952895=</v>
      </c>
    </row>
    <row r="891">
      <c r="D891" s="105" t="str">
        <f>IF(COUNTIF('Form responses 4'!B:B,C891)&gt;0, "", "https://docs.google.com/forms/d/e/1FAIpQLSdhNamFeglgVtt555M7xM7e8ZAg9KCWMEcDlLzX1oeZsyGxrg/viewform?usp=pp_url&amp;entry.580385001="&amp;C891&amp;"&amp;entry.1376952895="&amp;A891)</f>
        <v>https://docs.google.com/forms/d/e/1FAIpQLSdhNamFeglgVtt555M7xM7e8ZAg9KCWMEcDlLzX1oeZsyGxrg/viewform?usp=pp_url&amp;entry.580385001=&amp;entry.1376952895=</v>
      </c>
    </row>
    <row r="892">
      <c r="D892" s="105" t="str">
        <f>IF(COUNTIF('Form responses 4'!B:B,C892)&gt;0, "", "https://docs.google.com/forms/d/e/1FAIpQLSdhNamFeglgVtt555M7xM7e8ZAg9KCWMEcDlLzX1oeZsyGxrg/viewform?usp=pp_url&amp;entry.580385001="&amp;C892&amp;"&amp;entry.1376952895="&amp;A892)</f>
        <v>https://docs.google.com/forms/d/e/1FAIpQLSdhNamFeglgVtt555M7xM7e8ZAg9KCWMEcDlLzX1oeZsyGxrg/viewform?usp=pp_url&amp;entry.580385001=&amp;entry.1376952895=</v>
      </c>
    </row>
    <row r="893">
      <c r="D893" s="105" t="str">
        <f>IF(COUNTIF('Form responses 4'!B:B,C893)&gt;0, "", "https://docs.google.com/forms/d/e/1FAIpQLSdhNamFeglgVtt555M7xM7e8ZAg9KCWMEcDlLzX1oeZsyGxrg/viewform?usp=pp_url&amp;entry.580385001="&amp;C893&amp;"&amp;entry.1376952895="&amp;A893)</f>
        <v>https://docs.google.com/forms/d/e/1FAIpQLSdhNamFeglgVtt555M7xM7e8ZAg9KCWMEcDlLzX1oeZsyGxrg/viewform?usp=pp_url&amp;entry.580385001=&amp;entry.1376952895=</v>
      </c>
    </row>
    <row r="894">
      <c r="D894" s="105" t="str">
        <f>IF(COUNTIF('Form responses 4'!B:B,C894)&gt;0, "", "https://docs.google.com/forms/d/e/1FAIpQLSdhNamFeglgVtt555M7xM7e8ZAg9KCWMEcDlLzX1oeZsyGxrg/viewform?usp=pp_url&amp;entry.580385001="&amp;C894&amp;"&amp;entry.1376952895="&amp;A894)</f>
        <v>https://docs.google.com/forms/d/e/1FAIpQLSdhNamFeglgVtt555M7xM7e8ZAg9KCWMEcDlLzX1oeZsyGxrg/viewform?usp=pp_url&amp;entry.580385001=&amp;entry.1376952895=</v>
      </c>
    </row>
    <row r="895">
      <c r="D895" s="105" t="str">
        <f>IF(COUNTIF('Form responses 4'!B:B,C895)&gt;0, "", "https://docs.google.com/forms/d/e/1FAIpQLSdhNamFeglgVtt555M7xM7e8ZAg9KCWMEcDlLzX1oeZsyGxrg/viewform?usp=pp_url&amp;entry.580385001="&amp;C895&amp;"&amp;entry.1376952895="&amp;A895)</f>
        <v>https://docs.google.com/forms/d/e/1FAIpQLSdhNamFeglgVtt555M7xM7e8ZAg9KCWMEcDlLzX1oeZsyGxrg/viewform?usp=pp_url&amp;entry.580385001=&amp;entry.1376952895=</v>
      </c>
    </row>
    <row r="896">
      <c r="D896" s="105" t="str">
        <f>IF(COUNTIF('Form responses 4'!B:B,C896)&gt;0, "", "https://docs.google.com/forms/d/e/1FAIpQLSdhNamFeglgVtt555M7xM7e8ZAg9KCWMEcDlLzX1oeZsyGxrg/viewform?usp=pp_url&amp;entry.580385001="&amp;C896&amp;"&amp;entry.1376952895="&amp;A896)</f>
        <v>https://docs.google.com/forms/d/e/1FAIpQLSdhNamFeglgVtt555M7xM7e8ZAg9KCWMEcDlLzX1oeZsyGxrg/viewform?usp=pp_url&amp;entry.580385001=&amp;entry.1376952895=</v>
      </c>
    </row>
    <row r="897">
      <c r="D897" s="105" t="str">
        <f>IF(COUNTIF('Form responses 4'!B:B,C897)&gt;0, "", "https://docs.google.com/forms/d/e/1FAIpQLSdhNamFeglgVtt555M7xM7e8ZAg9KCWMEcDlLzX1oeZsyGxrg/viewform?usp=pp_url&amp;entry.580385001="&amp;C897&amp;"&amp;entry.1376952895="&amp;A897)</f>
        <v>https://docs.google.com/forms/d/e/1FAIpQLSdhNamFeglgVtt555M7xM7e8ZAg9KCWMEcDlLzX1oeZsyGxrg/viewform?usp=pp_url&amp;entry.580385001=&amp;entry.1376952895=</v>
      </c>
    </row>
    <row r="898">
      <c r="D898" s="105" t="str">
        <f>IF(COUNTIF('Form responses 4'!B:B,C898)&gt;0, "", "https://docs.google.com/forms/d/e/1FAIpQLSdhNamFeglgVtt555M7xM7e8ZAg9KCWMEcDlLzX1oeZsyGxrg/viewform?usp=pp_url&amp;entry.580385001="&amp;C898&amp;"&amp;entry.1376952895="&amp;A898)</f>
        <v>https://docs.google.com/forms/d/e/1FAIpQLSdhNamFeglgVtt555M7xM7e8ZAg9KCWMEcDlLzX1oeZsyGxrg/viewform?usp=pp_url&amp;entry.580385001=&amp;entry.1376952895=</v>
      </c>
    </row>
    <row r="899">
      <c r="D899" s="105" t="str">
        <f>IF(COUNTIF('Form responses 4'!B:B,C899)&gt;0, "", "https://docs.google.com/forms/d/e/1FAIpQLSdhNamFeglgVtt555M7xM7e8ZAg9KCWMEcDlLzX1oeZsyGxrg/viewform?usp=pp_url&amp;entry.580385001="&amp;C899&amp;"&amp;entry.1376952895="&amp;A899)</f>
        <v>https://docs.google.com/forms/d/e/1FAIpQLSdhNamFeglgVtt555M7xM7e8ZAg9KCWMEcDlLzX1oeZsyGxrg/viewform?usp=pp_url&amp;entry.580385001=&amp;entry.1376952895=</v>
      </c>
    </row>
    <row r="900">
      <c r="D900" s="105" t="str">
        <f>IF(COUNTIF('Form responses 4'!B:B,C900)&gt;0, "", "https://docs.google.com/forms/d/e/1FAIpQLSdhNamFeglgVtt555M7xM7e8ZAg9KCWMEcDlLzX1oeZsyGxrg/viewform?usp=pp_url&amp;entry.580385001="&amp;C900&amp;"&amp;entry.1376952895="&amp;A900)</f>
        <v>https://docs.google.com/forms/d/e/1FAIpQLSdhNamFeglgVtt555M7xM7e8ZAg9KCWMEcDlLzX1oeZsyGxrg/viewform?usp=pp_url&amp;entry.580385001=&amp;entry.1376952895=</v>
      </c>
    </row>
    <row r="901">
      <c r="D901" s="105" t="str">
        <f>IF(COUNTIF('Form responses 4'!B:B,C901)&gt;0, "", "https://docs.google.com/forms/d/e/1FAIpQLSdhNamFeglgVtt555M7xM7e8ZAg9KCWMEcDlLzX1oeZsyGxrg/viewform?usp=pp_url&amp;entry.580385001="&amp;C901&amp;"&amp;entry.1376952895="&amp;A901)</f>
        <v>https://docs.google.com/forms/d/e/1FAIpQLSdhNamFeglgVtt555M7xM7e8ZAg9KCWMEcDlLzX1oeZsyGxrg/viewform?usp=pp_url&amp;entry.580385001=&amp;entry.1376952895=</v>
      </c>
    </row>
    <row r="902">
      <c r="D902" s="105" t="str">
        <f>IF(COUNTIF('Form responses 4'!B:B,C902)&gt;0, "", "https://docs.google.com/forms/d/e/1FAIpQLSdhNamFeglgVtt555M7xM7e8ZAg9KCWMEcDlLzX1oeZsyGxrg/viewform?usp=pp_url&amp;entry.580385001="&amp;C902&amp;"&amp;entry.1376952895="&amp;A902)</f>
        <v>https://docs.google.com/forms/d/e/1FAIpQLSdhNamFeglgVtt555M7xM7e8ZAg9KCWMEcDlLzX1oeZsyGxrg/viewform?usp=pp_url&amp;entry.580385001=&amp;entry.1376952895=</v>
      </c>
    </row>
    <row r="903">
      <c r="D903" s="105" t="str">
        <f>IF(COUNTIF('Form responses 4'!B:B,C903)&gt;0, "", "https://docs.google.com/forms/d/e/1FAIpQLSdhNamFeglgVtt555M7xM7e8ZAg9KCWMEcDlLzX1oeZsyGxrg/viewform?usp=pp_url&amp;entry.580385001="&amp;C903&amp;"&amp;entry.1376952895="&amp;A903)</f>
        <v>https://docs.google.com/forms/d/e/1FAIpQLSdhNamFeglgVtt555M7xM7e8ZAg9KCWMEcDlLzX1oeZsyGxrg/viewform?usp=pp_url&amp;entry.580385001=&amp;entry.1376952895=</v>
      </c>
    </row>
    <row r="904">
      <c r="D904" s="105" t="str">
        <f>IF(COUNTIF('Form responses 4'!B:B,C904)&gt;0, "", "https://docs.google.com/forms/d/e/1FAIpQLSdhNamFeglgVtt555M7xM7e8ZAg9KCWMEcDlLzX1oeZsyGxrg/viewform?usp=pp_url&amp;entry.580385001="&amp;C904&amp;"&amp;entry.1376952895="&amp;A904)</f>
        <v>https://docs.google.com/forms/d/e/1FAIpQLSdhNamFeglgVtt555M7xM7e8ZAg9KCWMEcDlLzX1oeZsyGxrg/viewform?usp=pp_url&amp;entry.580385001=&amp;entry.1376952895=</v>
      </c>
    </row>
    <row r="905">
      <c r="D905" s="105" t="str">
        <f>IF(COUNTIF('Form responses 4'!B:B,C905)&gt;0, "", "https://docs.google.com/forms/d/e/1FAIpQLSdhNamFeglgVtt555M7xM7e8ZAg9KCWMEcDlLzX1oeZsyGxrg/viewform?usp=pp_url&amp;entry.580385001="&amp;C905&amp;"&amp;entry.1376952895="&amp;A905)</f>
        <v>https://docs.google.com/forms/d/e/1FAIpQLSdhNamFeglgVtt555M7xM7e8ZAg9KCWMEcDlLzX1oeZsyGxrg/viewform?usp=pp_url&amp;entry.580385001=&amp;entry.1376952895=</v>
      </c>
    </row>
    <row r="906">
      <c r="D906" s="105" t="str">
        <f>IF(COUNTIF('Form responses 4'!B:B,C906)&gt;0, "", "https://docs.google.com/forms/d/e/1FAIpQLSdhNamFeglgVtt555M7xM7e8ZAg9KCWMEcDlLzX1oeZsyGxrg/viewform?usp=pp_url&amp;entry.580385001="&amp;C906&amp;"&amp;entry.1376952895="&amp;A906)</f>
        <v>https://docs.google.com/forms/d/e/1FAIpQLSdhNamFeglgVtt555M7xM7e8ZAg9KCWMEcDlLzX1oeZsyGxrg/viewform?usp=pp_url&amp;entry.580385001=&amp;entry.1376952895=</v>
      </c>
    </row>
    <row r="907">
      <c r="D907" s="105" t="str">
        <f>IF(COUNTIF('Form responses 4'!B:B,C907)&gt;0, "", "https://docs.google.com/forms/d/e/1FAIpQLSdhNamFeglgVtt555M7xM7e8ZAg9KCWMEcDlLzX1oeZsyGxrg/viewform?usp=pp_url&amp;entry.580385001="&amp;C907&amp;"&amp;entry.1376952895="&amp;A907)</f>
        <v>https://docs.google.com/forms/d/e/1FAIpQLSdhNamFeglgVtt555M7xM7e8ZAg9KCWMEcDlLzX1oeZsyGxrg/viewform?usp=pp_url&amp;entry.580385001=&amp;entry.1376952895=</v>
      </c>
    </row>
    <row r="908">
      <c r="D908" s="105" t="str">
        <f>IF(COUNTIF('Form responses 4'!B:B,C908)&gt;0, "", "https://docs.google.com/forms/d/e/1FAIpQLSdhNamFeglgVtt555M7xM7e8ZAg9KCWMEcDlLzX1oeZsyGxrg/viewform?usp=pp_url&amp;entry.580385001="&amp;C908&amp;"&amp;entry.1376952895="&amp;A908)</f>
        <v>https://docs.google.com/forms/d/e/1FAIpQLSdhNamFeglgVtt555M7xM7e8ZAg9KCWMEcDlLzX1oeZsyGxrg/viewform?usp=pp_url&amp;entry.580385001=&amp;entry.1376952895=</v>
      </c>
    </row>
    <row r="909">
      <c r="D909" s="105" t="str">
        <f>IF(COUNTIF('Form responses 4'!B:B,C909)&gt;0, "", "https://docs.google.com/forms/d/e/1FAIpQLSdhNamFeglgVtt555M7xM7e8ZAg9KCWMEcDlLzX1oeZsyGxrg/viewform?usp=pp_url&amp;entry.580385001="&amp;C909&amp;"&amp;entry.1376952895="&amp;A909)</f>
        <v>https://docs.google.com/forms/d/e/1FAIpQLSdhNamFeglgVtt555M7xM7e8ZAg9KCWMEcDlLzX1oeZsyGxrg/viewform?usp=pp_url&amp;entry.580385001=&amp;entry.1376952895=</v>
      </c>
    </row>
    <row r="910">
      <c r="D910" s="105" t="str">
        <f>IF(COUNTIF('Form responses 4'!B:B,C910)&gt;0, "", "https://docs.google.com/forms/d/e/1FAIpQLSdhNamFeglgVtt555M7xM7e8ZAg9KCWMEcDlLzX1oeZsyGxrg/viewform?usp=pp_url&amp;entry.580385001="&amp;C910&amp;"&amp;entry.1376952895="&amp;A910)</f>
        <v>https://docs.google.com/forms/d/e/1FAIpQLSdhNamFeglgVtt555M7xM7e8ZAg9KCWMEcDlLzX1oeZsyGxrg/viewform?usp=pp_url&amp;entry.580385001=&amp;entry.1376952895=</v>
      </c>
    </row>
    <row r="911">
      <c r="D911" s="105" t="str">
        <f>IF(COUNTIF('Form responses 4'!B:B,C911)&gt;0, "", "https://docs.google.com/forms/d/e/1FAIpQLSdhNamFeglgVtt555M7xM7e8ZAg9KCWMEcDlLzX1oeZsyGxrg/viewform?usp=pp_url&amp;entry.580385001="&amp;C911&amp;"&amp;entry.1376952895="&amp;A911)</f>
        <v>https://docs.google.com/forms/d/e/1FAIpQLSdhNamFeglgVtt555M7xM7e8ZAg9KCWMEcDlLzX1oeZsyGxrg/viewform?usp=pp_url&amp;entry.580385001=&amp;entry.1376952895=</v>
      </c>
    </row>
    <row r="912">
      <c r="D912" s="105" t="str">
        <f>IF(COUNTIF('Form responses 4'!B:B,C912)&gt;0, "", "https://docs.google.com/forms/d/e/1FAIpQLSdhNamFeglgVtt555M7xM7e8ZAg9KCWMEcDlLzX1oeZsyGxrg/viewform?usp=pp_url&amp;entry.580385001="&amp;C912&amp;"&amp;entry.1376952895="&amp;A912)</f>
        <v>https://docs.google.com/forms/d/e/1FAIpQLSdhNamFeglgVtt555M7xM7e8ZAg9KCWMEcDlLzX1oeZsyGxrg/viewform?usp=pp_url&amp;entry.580385001=&amp;entry.1376952895=</v>
      </c>
    </row>
    <row r="913">
      <c r="D913" s="105" t="str">
        <f>IF(COUNTIF('Form responses 4'!B:B,C913)&gt;0, "", "https://docs.google.com/forms/d/e/1FAIpQLSdhNamFeglgVtt555M7xM7e8ZAg9KCWMEcDlLzX1oeZsyGxrg/viewform?usp=pp_url&amp;entry.580385001="&amp;C913&amp;"&amp;entry.1376952895="&amp;A913)</f>
        <v>https://docs.google.com/forms/d/e/1FAIpQLSdhNamFeglgVtt555M7xM7e8ZAg9KCWMEcDlLzX1oeZsyGxrg/viewform?usp=pp_url&amp;entry.580385001=&amp;entry.1376952895=</v>
      </c>
    </row>
    <row r="914">
      <c r="D914" s="105" t="str">
        <f>IF(COUNTIF('Form responses 4'!B:B,C914)&gt;0, "", "https://docs.google.com/forms/d/e/1FAIpQLSdhNamFeglgVtt555M7xM7e8ZAg9KCWMEcDlLzX1oeZsyGxrg/viewform?usp=pp_url&amp;entry.580385001="&amp;C914&amp;"&amp;entry.1376952895="&amp;A914)</f>
        <v>https://docs.google.com/forms/d/e/1FAIpQLSdhNamFeglgVtt555M7xM7e8ZAg9KCWMEcDlLzX1oeZsyGxrg/viewform?usp=pp_url&amp;entry.580385001=&amp;entry.1376952895=</v>
      </c>
    </row>
    <row r="915">
      <c r="D915" s="105" t="str">
        <f>IF(COUNTIF('Form responses 4'!B:B,C915)&gt;0, "", "https://docs.google.com/forms/d/e/1FAIpQLSdhNamFeglgVtt555M7xM7e8ZAg9KCWMEcDlLzX1oeZsyGxrg/viewform?usp=pp_url&amp;entry.580385001="&amp;C915&amp;"&amp;entry.1376952895="&amp;A915)</f>
        <v>https://docs.google.com/forms/d/e/1FAIpQLSdhNamFeglgVtt555M7xM7e8ZAg9KCWMEcDlLzX1oeZsyGxrg/viewform?usp=pp_url&amp;entry.580385001=&amp;entry.1376952895=</v>
      </c>
    </row>
    <row r="916">
      <c r="D916" s="105" t="str">
        <f>IF(COUNTIF('Form responses 4'!B:B,C916)&gt;0, "", "https://docs.google.com/forms/d/e/1FAIpQLSdhNamFeglgVtt555M7xM7e8ZAg9KCWMEcDlLzX1oeZsyGxrg/viewform?usp=pp_url&amp;entry.580385001="&amp;C916&amp;"&amp;entry.1376952895="&amp;A916)</f>
        <v>https://docs.google.com/forms/d/e/1FAIpQLSdhNamFeglgVtt555M7xM7e8ZAg9KCWMEcDlLzX1oeZsyGxrg/viewform?usp=pp_url&amp;entry.580385001=&amp;entry.1376952895=</v>
      </c>
    </row>
    <row r="917">
      <c r="D917" s="105" t="str">
        <f>IF(COUNTIF('Form responses 4'!B:B,C917)&gt;0, "", "https://docs.google.com/forms/d/e/1FAIpQLSdhNamFeglgVtt555M7xM7e8ZAg9KCWMEcDlLzX1oeZsyGxrg/viewform?usp=pp_url&amp;entry.580385001="&amp;C917&amp;"&amp;entry.1376952895="&amp;A917)</f>
        <v>https://docs.google.com/forms/d/e/1FAIpQLSdhNamFeglgVtt555M7xM7e8ZAg9KCWMEcDlLzX1oeZsyGxrg/viewform?usp=pp_url&amp;entry.580385001=&amp;entry.1376952895=</v>
      </c>
    </row>
    <row r="918">
      <c r="D918" s="105" t="str">
        <f>IF(COUNTIF('Form responses 4'!B:B,C918)&gt;0, "", "https://docs.google.com/forms/d/e/1FAIpQLSdhNamFeglgVtt555M7xM7e8ZAg9KCWMEcDlLzX1oeZsyGxrg/viewform?usp=pp_url&amp;entry.580385001="&amp;C918&amp;"&amp;entry.1376952895="&amp;A918)</f>
        <v>https://docs.google.com/forms/d/e/1FAIpQLSdhNamFeglgVtt555M7xM7e8ZAg9KCWMEcDlLzX1oeZsyGxrg/viewform?usp=pp_url&amp;entry.580385001=&amp;entry.1376952895=</v>
      </c>
    </row>
    <row r="919">
      <c r="D919" s="105" t="str">
        <f>IF(COUNTIF('Form responses 4'!B:B,C919)&gt;0, "", "https://docs.google.com/forms/d/e/1FAIpQLSdhNamFeglgVtt555M7xM7e8ZAg9KCWMEcDlLzX1oeZsyGxrg/viewform?usp=pp_url&amp;entry.580385001="&amp;C919&amp;"&amp;entry.1376952895="&amp;A919)</f>
        <v>https://docs.google.com/forms/d/e/1FAIpQLSdhNamFeglgVtt555M7xM7e8ZAg9KCWMEcDlLzX1oeZsyGxrg/viewform?usp=pp_url&amp;entry.580385001=&amp;entry.1376952895=</v>
      </c>
    </row>
    <row r="920">
      <c r="D920" s="105" t="str">
        <f>IF(COUNTIF('Form responses 4'!B:B,C920)&gt;0, "", "https://docs.google.com/forms/d/e/1FAIpQLSdhNamFeglgVtt555M7xM7e8ZAg9KCWMEcDlLzX1oeZsyGxrg/viewform?usp=pp_url&amp;entry.580385001="&amp;C920&amp;"&amp;entry.1376952895="&amp;A920)</f>
        <v>https://docs.google.com/forms/d/e/1FAIpQLSdhNamFeglgVtt555M7xM7e8ZAg9KCWMEcDlLzX1oeZsyGxrg/viewform?usp=pp_url&amp;entry.580385001=&amp;entry.1376952895=</v>
      </c>
    </row>
    <row r="921">
      <c r="D921" s="105" t="str">
        <f>IF(COUNTIF('Form responses 4'!B:B,C921)&gt;0, "", "https://docs.google.com/forms/d/e/1FAIpQLSdhNamFeglgVtt555M7xM7e8ZAg9KCWMEcDlLzX1oeZsyGxrg/viewform?usp=pp_url&amp;entry.580385001="&amp;C921&amp;"&amp;entry.1376952895="&amp;A921)</f>
        <v>https://docs.google.com/forms/d/e/1FAIpQLSdhNamFeglgVtt555M7xM7e8ZAg9KCWMEcDlLzX1oeZsyGxrg/viewform?usp=pp_url&amp;entry.580385001=&amp;entry.1376952895=</v>
      </c>
    </row>
    <row r="922">
      <c r="D922" s="105" t="str">
        <f>IF(COUNTIF('Form responses 4'!B:B,C922)&gt;0, "", "https://docs.google.com/forms/d/e/1FAIpQLSdhNamFeglgVtt555M7xM7e8ZAg9KCWMEcDlLzX1oeZsyGxrg/viewform?usp=pp_url&amp;entry.580385001="&amp;C922&amp;"&amp;entry.1376952895="&amp;A922)</f>
        <v>https://docs.google.com/forms/d/e/1FAIpQLSdhNamFeglgVtt555M7xM7e8ZAg9KCWMEcDlLzX1oeZsyGxrg/viewform?usp=pp_url&amp;entry.580385001=&amp;entry.1376952895=</v>
      </c>
    </row>
    <row r="923">
      <c r="D923" s="105" t="str">
        <f>IF(COUNTIF('Form responses 4'!B:B,C923)&gt;0, "", "https://docs.google.com/forms/d/e/1FAIpQLSdhNamFeglgVtt555M7xM7e8ZAg9KCWMEcDlLzX1oeZsyGxrg/viewform?usp=pp_url&amp;entry.580385001="&amp;C923&amp;"&amp;entry.1376952895="&amp;A923)</f>
        <v>https://docs.google.com/forms/d/e/1FAIpQLSdhNamFeglgVtt555M7xM7e8ZAg9KCWMEcDlLzX1oeZsyGxrg/viewform?usp=pp_url&amp;entry.580385001=&amp;entry.1376952895=</v>
      </c>
    </row>
    <row r="924">
      <c r="D924" s="105" t="str">
        <f>IF(COUNTIF('Form responses 4'!B:B,C924)&gt;0, "", "https://docs.google.com/forms/d/e/1FAIpQLSdhNamFeglgVtt555M7xM7e8ZAg9KCWMEcDlLzX1oeZsyGxrg/viewform?usp=pp_url&amp;entry.580385001="&amp;C924&amp;"&amp;entry.1376952895="&amp;A924)</f>
        <v>https://docs.google.com/forms/d/e/1FAIpQLSdhNamFeglgVtt555M7xM7e8ZAg9KCWMEcDlLzX1oeZsyGxrg/viewform?usp=pp_url&amp;entry.580385001=&amp;entry.1376952895=</v>
      </c>
    </row>
    <row r="925">
      <c r="D925" s="105" t="str">
        <f>IF(COUNTIF('Form responses 4'!B:B,C925)&gt;0, "", "https://docs.google.com/forms/d/e/1FAIpQLSdhNamFeglgVtt555M7xM7e8ZAg9KCWMEcDlLzX1oeZsyGxrg/viewform?usp=pp_url&amp;entry.580385001="&amp;C925&amp;"&amp;entry.1376952895="&amp;A925)</f>
        <v>https://docs.google.com/forms/d/e/1FAIpQLSdhNamFeglgVtt555M7xM7e8ZAg9KCWMEcDlLzX1oeZsyGxrg/viewform?usp=pp_url&amp;entry.580385001=&amp;entry.1376952895=</v>
      </c>
    </row>
    <row r="926">
      <c r="D926" s="105" t="str">
        <f>IF(COUNTIF('Form responses 4'!B:B,C926)&gt;0, "", "https://docs.google.com/forms/d/e/1FAIpQLSdhNamFeglgVtt555M7xM7e8ZAg9KCWMEcDlLzX1oeZsyGxrg/viewform?usp=pp_url&amp;entry.580385001="&amp;C926&amp;"&amp;entry.1376952895="&amp;A926)</f>
        <v>https://docs.google.com/forms/d/e/1FAIpQLSdhNamFeglgVtt555M7xM7e8ZAg9KCWMEcDlLzX1oeZsyGxrg/viewform?usp=pp_url&amp;entry.580385001=&amp;entry.1376952895=</v>
      </c>
    </row>
    <row r="927">
      <c r="D927" s="105" t="str">
        <f>IF(COUNTIF('Form responses 4'!B:B,C927)&gt;0, "", "https://docs.google.com/forms/d/e/1FAIpQLSdhNamFeglgVtt555M7xM7e8ZAg9KCWMEcDlLzX1oeZsyGxrg/viewform?usp=pp_url&amp;entry.580385001="&amp;C927&amp;"&amp;entry.1376952895="&amp;A927)</f>
        <v>https://docs.google.com/forms/d/e/1FAIpQLSdhNamFeglgVtt555M7xM7e8ZAg9KCWMEcDlLzX1oeZsyGxrg/viewform?usp=pp_url&amp;entry.580385001=&amp;entry.1376952895=</v>
      </c>
    </row>
    <row r="928">
      <c r="D928" s="105" t="str">
        <f>IF(COUNTIF('Form responses 4'!B:B,C928)&gt;0, "", "https://docs.google.com/forms/d/e/1FAIpQLSdhNamFeglgVtt555M7xM7e8ZAg9KCWMEcDlLzX1oeZsyGxrg/viewform?usp=pp_url&amp;entry.580385001="&amp;C928&amp;"&amp;entry.1376952895="&amp;A928)</f>
        <v>https://docs.google.com/forms/d/e/1FAIpQLSdhNamFeglgVtt555M7xM7e8ZAg9KCWMEcDlLzX1oeZsyGxrg/viewform?usp=pp_url&amp;entry.580385001=&amp;entry.1376952895=</v>
      </c>
    </row>
    <row r="929">
      <c r="D929" s="105" t="str">
        <f>IF(COUNTIF('Form responses 4'!B:B,C929)&gt;0, "", "https://docs.google.com/forms/d/e/1FAIpQLSdhNamFeglgVtt555M7xM7e8ZAg9KCWMEcDlLzX1oeZsyGxrg/viewform?usp=pp_url&amp;entry.580385001="&amp;C929&amp;"&amp;entry.1376952895="&amp;A929)</f>
        <v>https://docs.google.com/forms/d/e/1FAIpQLSdhNamFeglgVtt555M7xM7e8ZAg9KCWMEcDlLzX1oeZsyGxrg/viewform?usp=pp_url&amp;entry.580385001=&amp;entry.1376952895=</v>
      </c>
    </row>
    <row r="930">
      <c r="D930" s="105" t="str">
        <f>IF(COUNTIF('Form responses 4'!B:B,C930)&gt;0, "", "https://docs.google.com/forms/d/e/1FAIpQLSdhNamFeglgVtt555M7xM7e8ZAg9KCWMEcDlLzX1oeZsyGxrg/viewform?usp=pp_url&amp;entry.580385001="&amp;C930&amp;"&amp;entry.1376952895="&amp;A930)</f>
        <v>https://docs.google.com/forms/d/e/1FAIpQLSdhNamFeglgVtt555M7xM7e8ZAg9KCWMEcDlLzX1oeZsyGxrg/viewform?usp=pp_url&amp;entry.580385001=&amp;entry.1376952895=</v>
      </c>
    </row>
    <row r="931">
      <c r="D931" s="105" t="str">
        <f>IF(COUNTIF('Form responses 4'!B:B,C931)&gt;0, "", "https://docs.google.com/forms/d/e/1FAIpQLSdhNamFeglgVtt555M7xM7e8ZAg9KCWMEcDlLzX1oeZsyGxrg/viewform?usp=pp_url&amp;entry.580385001="&amp;C931&amp;"&amp;entry.1376952895="&amp;A931)</f>
        <v>https://docs.google.com/forms/d/e/1FAIpQLSdhNamFeglgVtt555M7xM7e8ZAg9KCWMEcDlLzX1oeZsyGxrg/viewform?usp=pp_url&amp;entry.580385001=&amp;entry.1376952895=</v>
      </c>
    </row>
    <row r="932">
      <c r="D932" s="105" t="str">
        <f>IF(COUNTIF('Form responses 4'!B:B,C932)&gt;0, "", "https://docs.google.com/forms/d/e/1FAIpQLSdhNamFeglgVtt555M7xM7e8ZAg9KCWMEcDlLzX1oeZsyGxrg/viewform?usp=pp_url&amp;entry.580385001="&amp;C932&amp;"&amp;entry.1376952895="&amp;A932)</f>
        <v>https://docs.google.com/forms/d/e/1FAIpQLSdhNamFeglgVtt555M7xM7e8ZAg9KCWMEcDlLzX1oeZsyGxrg/viewform?usp=pp_url&amp;entry.580385001=&amp;entry.1376952895=</v>
      </c>
    </row>
    <row r="933">
      <c r="D933" s="105" t="str">
        <f>IF(COUNTIF('Form responses 4'!B:B,C933)&gt;0, "", "https://docs.google.com/forms/d/e/1FAIpQLSdhNamFeglgVtt555M7xM7e8ZAg9KCWMEcDlLzX1oeZsyGxrg/viewform?usp=pp_url&amp;entry.580385001="&amp;C933&amp;"&amp;entry.1376952895="&amp;A933)</f>
        <v>https://docs.google.com/forms/d/e/1FAIpQLSdhNamFeglgVtt555M7xM7e8ZAg9KCWMEcDlLzX1oeZsyGxrg/viewform?usp=pp_url&amp;entry.580385001=&amp;entry.1376952895=</v>
      </c>
    </row>
    <row r="934">
      <c r="D934" s="105" t="str">
        <f>IF(COUNTIF('Form responses 4'!B:B,C934)&gt;0, "", "https://docs.google.com/forms/d/e/1FAIpQLSdhNamFeglgVtt555M7xM7e8ZAg9KCWMEcDlLzX1oeZsyGxrg/viewform?usp=pp_url&amp;entry.580385001="&amp;C934&amp;"&amp;entry.1376952895="&amp;A934)</f>
        <v>https://docs.google.com/forms/d/e/1FAIpQLSdhNamFeglgVtt555M7xM7e8ZAg9KCWMEcDlLzX1oeZsyGxrg/viewform?usp=pp_url&amp;entry.580385001=&amp;entry.1376952895=</v>
      </c>
    </row>
    <row r="935">
      <c r="D935" s="105" t="str">
        <f>IF(COUNTIF('Form responses 4'!B:B,C935)&gt;0, "", "https://docs.google.com/forms/d/e/1FAIpQLSdhNamFeglgVtt555M7xM7e8ZAg9KCWMEcDlLzX1oeZsyGxrg/viewform?usp=pp_url&amp;entry.580385001="&amp;C935&amp;"&amp;entry.1376952895="&amp;A935)</f>
        <v>https://docs.google.com/forms/d/e/1FAIpQLSdhNamFeglgVtt555M7xM7e8ZAg9KCWMEcDlLzX1oeZsyGxrg/viewform?usp=pp_url&amp;entry.580385001=&amp;entry.1376952895=</v>
      </c>
    </row>
    <row r="936">
      <c r="D936" s="105" t="str">
        <f>IF(COUNTIF('Form responses 4'!B:B,C936)&gt;0, "", "https://docs.google.com/forms/d/e/1FAIpQLSdhNamFeglgVtt555M7xM7e8ZAg9KCWMEcDlLzX1oeZsyGxrg/viewform?usp=pp_url&amp;entry.580385001="&amp;C936&amp;"&amp;entry.1376952895="&amp;A936)</f>
        <v>https://docs.google.com/forms/d/e/1FAIpQLSdhNamFeglgVtt555M7xM7e8ZAg9KCWMEcDlLzX1oeZsyGxrg/viewform?usp=pp_url&amp;entry.580385001=&amp;entry.1376952895=</v>
      </c>
    </row>
    <row r="937">
      <c r="D937" s="105" t="str">
        <f>IF(COUNTIF('Form responses 4'!B:B,C937)&gt;0, "", "https://docs.google.com/forms/d/e/1FAIpQLSdhNamFeglgVtt555M7xM7e8ZAg9KCWMEcDlLzX1oeZsyGxrg/viewform?usp=pp_url&amp;entry.580385001="&amp;C937&amp;"&amp;entry.1376952895="&amp;A937)</f>
        <v>https://docs.google.com/forms/d/e/1FAIpQLSdhNamFeglgVtt555M7xM7e8ZAg9KCWMEcDlLzX1oeZsyGxrg/viewform?usp=pp_url&amp;entry.580385001=&amp;entry.1376952895=</v>
      </c>
    </row>
    <row r="938">
      <c r="D938" s="105" t="str">
        <f>IF(COUNTIF('Form responses 4'!B:B,C938)&gt;0, "", "https://docs.google.com/forms/d/e/1FAIpQLSdhNamFeglgVtt555M7xM7e8ZAg9KCWMEcDlLzX1oeZsyGxrg/viewform?usp=pp_url&amp;entry.580385001="&amp;C938&amp;"&amp;entry.1376952895="&amp;A938)</f>
        <v>https://docs.google.com/forms/d/e/1FAIpQLSdhNamFeglgVtt555M7xM7e8ZAg9KCWMEcDlLzX1oeZsyGxrg/viewform?usp=pp_url&amp;entry.580385001=&amp;entry.1376952895=</v>
      </c>
    </row>
    <row r="939">
      <c r="D939" s="105" t="str">
        <f>IF(COUNTIF('Form responses 4'!B:B,C939)&gt;0, "", "https://docs.google.com/forms/d/e/1FAIpQLSdhNamFeglgVtt555M7xM7e8ZAg9KCWMEcDlLzX1oeZsyGxrg/viewform?usp=pp_url&amp;entry.580385001="&amp;C939&amp;"&amp;entry.1376952895="&amp;A939)</f>
        <v>https://docs.google.com/forms/d/e/1FAIpQLSdhNamFeglgVtt555M7xM7e8ZAg9KCWMEcDlLzX1oeZsyGxrg/viewform?usp=pp_url&amp;entry.580385001=&amp;entry.1376952895=</v>
      </c>
    </row>
    <row r="940">
      <c r="D940" s="105" t="str">
        <f>IF(COUNTIF('Form responses 4'!B:B,C940)&gt;0, "", "https://docs.google.com/forms/d/e/1FAIpQLSdhNamFeglgVtt555M7xM7e8ZAg9KCWMEcDlLzX1oeZsyGxrg/viewform?usp=pp_url&amp;entry.580385001="&amp;C940&amp;"&amp;entry.1376952895="&amp;A940)</f>
        <v>https://docs.google.com/forms/d/e/1FAIpQLSdhNamFeglgVtt555M7xM7e8ZAg9KCWMEcDlLzX1oeZsyGxrg/viewform?usp=pp_url&amp;entry.580385001=&amp;entry.1376952895=</v>
      </c>
    </row>
    <row r="941">
      <c r="D941" s="105" t="str">
        <f>IF(COUNTIF('Form responses 4'!B:B,C941)&gt;0, "", "https://docs.google.com/forms/d/e/1FAIpQLSdhNamFeglgVtt555M7xM7e8ZAg9KCWMEcDlLzX1oeZsyGxrg/viewform?usp=pp_url&amp;entry.580385001="&amp;C941&amp;"&amp;entry.1376952895="&amp;A941)</f>
        <v>https://docs.google.com/forms/d/e/1FAIpQLSdhNamFeglgVtt555M7xM7e8ZAg9KCWMEcDlLzX1oeZsyGxrg/viewform?usp=pp_url&amp;entry.580385001=&amp;entry.1376952895=</v>
      </c>
    </row>
    <row r="942">
      <c r="D942" s="105" t="str">
        <f>IF(COUNTIF('Form responses 4'!B:B,C942)&gt;0, "", "https://docs.google.com/forms/d/e/1FAIpQLSdhNamFeglgVtt555M7xM7e8ZAg9KCWMEcDlLzX1oeZsyGxrg/viewform?usp=pp_url&amp;entry.580385001="&amp;C942&amp;"&amp;entry.1376952895="&amp;A942)</f>
        <v>https://docs.google.com/forms/d/e/1FAIpQLSdhNamFeglgVtt555M7xM7e8ZAg9KCWMEcDlLzX1oeZsyGxrg/viewform?usp=pp_url&amp;entry.580385001=&amp;entry.1376952895=</v>
      </c>
    </row>
    <row r="943">
      <c r="D943" s="105" t="str">
        <f>IF(COUNTIF('Form responses 4'!B:B,C943)&gt;0, "", "https://docs.google.com/forms/d/e/1FAIpQLSdhNamFeglgVtt555M7xM7e8ZAg9KCWMEcDlLzX1oeZsyGxrg/viewform?usp=pp_url&amp;entry.580385001="&amp;C943&amp;"&amp;entry.1376952895="&amp;A943)</f>
        <v>https://docs.google.com/forms/d/e/1FAIpQLSdhNamFeglgVtt555M7xM7e8ZAg9KCWMEcDlLzX1oeZsyGxrg/viewform?usp=pp_url&amp;entry.580385001=&amp;entry.1376952895=</v>
      </c>
    </row>
    <row r="944">
      <c r="D944" s="105" t="str">
        <f>IF(COUNTIF('Form responses 4'!B:B,C944)&gt;0, "", "https://docs.google.com/forms/d/e/1FAIpQLSdhNamFeglgVtt555M7xM7e8ZAg9KCWMEcDlLzX1oeZsyGxrg/viewform?usp=pp_url&amp;entry.580385001="&amp;C944&amp;"&amp;entry.1376952895="&amp;A944)</f>
        <v>https://docs.google.com/forms/d/e/1FAIpQLSdhNamFeglgVtt555M7xM7e8ZAg9KCWMEcDlLzX1oeZsyGxrg/viewform?usp=pp_url&amp;entry.580385001=&amp;entry.1376952895=</v>
      </c>
    </row>
    <row r="945">
      <c r="D945" s="105" t="str">
        <f>IF(COUNTIF('Form responses 4'!B:B,C945)&gt;0, "", "https://docs.google.com/forms/d/e/1FAIpQLSdhNamFeglgVtt555M7xM7e8ZAg9KCWMEcDlLzX1oeZsyGxrg/viewform?usp=pp_url&amp;entry.580385001="&amp;C945&amp;"&amp;entry.1376952895="&amp;A945)</f>
        <v>https://docs.google.com/forms/d/e/1FAIpQLSdhNamFeglgVtt555M7xM7e8ZAg9KCWMEcDlLzX1oeZsyGxrg/viewform?usp=pp_url&amp;entry.580385001=&amp;entry.1376952895=</v>
      </c>
    </row>
    <row r="946">
      <c r="D946" s="105" t="str">
        <f>IF(COUNTIF('Form responses 4'!B:B,C946)&gt;0, "", "https://docs.google.com/forms/d/e/1FAIpQLSdhNamFeglgVtt555M7xM7e8ZAg9KCWMEcDlLzX1oeZsyGxrg/viewform?usp=pp_url&amp;entry.580385001="&amp;C946&amp;"&amp;entry.1376952895="&amp;A946)</f>
        <v>https://docs.google.com/forms/d/e/1FAIpQLSdhNamFeglgVtt555M7xM7e8ZAg9KCWMEcDlLzX1oeZsyGxrg/viewform?usp=pp_url&amp;entry.580385001=&amp;entry.1376952895=</v>
      </c>
    </row>
    <row r="947">
      <c r="D947" s="105" t="str">
        <f>IF(COUNTIF('Form responses 4'!B:B,C947)&gt;0, "", "https://docs.google.com/forms/d/e/1FAIpQLSdhNamFeglgVtt555M7xM7e8ZAg9KCWMEcDlLzX1oeZsyGxrg/viewform?usp=pp_url&amp;entry.580385001="&amp;C947&amp;"&amp;entry.1376952895="&amp;A947)</f>
        <v>https://docs.google.com/forms/d/e/1FAIpQLSdhNamFeglgVtt555M7xM7e8ZAg9KCWMEcDlLzX1oeZsyGxrg/viewform?usp=pp_url&amp;entry.580385001=&amp;entry.1376952895=</v>
      </c>
    </row>
    <row r="948">
      <c r="D948" s="105" t="str">
        <f>IF(COUNTIF('Form responses 4'!B:B,C948)&gt;0, "", "https://docs.google.com/forms/d/e/1FAIpQLSdhNamFeglgVtt555M7xM7e8ZAg9KCWMEcDlLzX1oeZsyGxrg/viewform?usp=pp_url&amp;entry.580385001="&amp;C948&amp;"&amp;entry.1376952895="&amp;A948)</f>
        <v>https://docs.google.com/forms/d/e/1FAIpQLSdhNamFeglgVtt555M7xM7e8ZAg9KCWMEcDlLzX1oeZsyGxrg/viewform?usp=pp_url&amp;entry.580385001=&amp;entry.1376952895=</v>
      </c>
    </row>
    <row r="949">
      <c r="D949" s="105" t="str">
        <f>IF(COUNTIF('Form responses 4'!B:B,C949)&gt;0, "", "https://docs.google.com/forms/d/e/1FAIpQLSdhNamFeglgVtt555M7xM7e8ZAg9KCWMEcDlLzX1oeZsyGxrg/viewform?usp=pp_url&amp;entry.580385001="&amp;C949&amp;"&amp;entry.1376952895="&amp;A949)</f>
        <v>https://docs.google.com/forms/d/e/1FAIpQLSdhNamFeglgVtt555M7xM7e8ZAg9KCWMEcDlLzX1oeZsyGxrg/viewform?usp=pp_url&amp;entry.580385001=&amp;entry.1376952895=</v>
      </c>
    </row>
    <row r="950">
      <c r="D950" s="105" t="str">
        <f>IF(COUNTIF('Form responses 4'!B:B,C950)&gt;0, "", "https://docs.google.com/forms/d/e/1FAIpQLSdhNamFeglgVtt555M7xM7e8ZAg9KCWMEcDlLzX1oeZsyGxrg/viewform?usp=pp_url&amp;entry.580385001="&amp;C950&amp;"&amp;entry.1376952895="&amp;A950)</f>
        <v>https://docs.google.com/forms/d/e/1FAIpQLSdhNamFeglgVtt555M7xM7e8ZAg9KCWMEcDlLzX1oeZsyGxrg/viewform?usp=pp_url&amp;entry.580385001=&amp;entry.1376952895=</v>
      </c>
    </row>
    <row r="951">
      <c r="D951" s="105" t="str">
        <f>IF(COUNTIF('Form responses 4'!B:B,C951)&gt;0, "", "https://docs.google.com/forms/d/e/1FAIpQLSdhNamFeglgVtt555M7xM7e8ZAg9KCWMEcDlLzX1oeZsyGxrg/viewform?usp=pp_url&amp;entry.580385001="&amp;C951&amp;"&amp;entry.1376952895="&amp;A951)</f>
        <v>https://docs.google.com/forms/d/e/1FAIpQLSdhNamFeglgVtt555M7xM7e8ZAg9KCWMEcDlLzX1oeZsyGxrg/viewform?usp=pp_url&amp;entry.580385001=&amp;entry.1376952895=</v>
      </c>
    </row>
    <row r="952">
      <c r="D952" s="105" t="str">
        <f>IF(COUNTIF('Form responses 4'!B:B,C952)&gt;0, "", "https://docs.google.com/forms/d/e/1FAIpQLSdhNamFeglgVtt555M7xM7e8ZAg9KCWMEcDlLzX1oeZsyGxrg/viewform?usp=pp_url&amp;entry.580385001="&amp;C952&amp;"&amp;entry.1376952895="&amp;A952)</f>
        <v>https://docs.google.com/forms/d/e/1FAIpQLSdhNamFeglgVtt555M7xM7e8ZAg9KCWMEcDlLzX1oeZsyGxrg/viewform?usp=pp_url&amp;entry.580385001=&amp;entry.1376952895=</v>
      </c>
    </row>
    <row r="953">
      <c r="D953" s="105" t="str">
        <f>IF(COUNTIF('Form responses 4'!B:B,C953)&gt;0, "", "https://docs.google.com/forms/d/e/1FAIpQLSdhNamFeglgVtt555M7xM7e8ZAg9KCWMEcDlLzX1oeZsyGxrg/viewform?usp=pp_url&amp;entry.580385001="&amp;C953&amp;"&amp;entry.1376952895="&amp;A953)</f>
        <v>https://docs.google.com/forms/d/e/1FAIpQLSdhNamFeglgVtt555M7xM7e8ZAg9KCWMEcDlLzX1oeZsyGxrg/viewform?usp=pp_url&amp;entry.580385001=&amp;entry.1376952895=</v>
      </c>
    </row>
    <row r="954">
      <c r="D954" s="105" t="str">
        <f>IF(COUNTIF('Form responses 4'!B:B,C954)&gt;0, "", "https://docs.google.com/forms/d/e/1FAIpQLSdhNamFeglgVtt555M7xM7e8ZAg9KCWMEcDlLzX1oeZsyGxrg/viewform?usp=pp_url&amp;entry.580385001="&amp;C954&amp;"&amp;entry.1376952895="&amp;A954)</f>
        <v>https://docs.google.com/forms/d/e/1FAIpQLSdhNamFeglgVtt555M7xM7e8ZAg9KCWMEcDlLzX1oeZsyGxrg/viewform?usp=pp_url&amp;entry.580385001=&amp;entry.1376952895=</v>
      </c>
    </row>
    <row r="955">
      <c r="D955" s="105" t="str">
        <f>IF(COUNTIF('Form responses 4'!B:B,C955)&gt;0, "", "https://docs.google.com/forms/d/e/1FAIpQLSdhNamFeglgVtt555M7xM7e8ZAg9KCWMEcDlLzX1oeZsyGxrg/viewform?usp=pp_url&amp;entry.580385001="&amp;C955&amp;"&amp;entry.1376952895="&amp;A955)</f>
        <v>https://docs.google.com/forms/d/e/1FAIpQLSdhNamFeglgVtt555M7xM7e8ZAg9KCWMEcDlLzX1oeZsyGxrg/viewform?usp=pp_url&amp;entry.580385001=&amp;entry.1376952895=</v>
      </c>
    </row>
    <row r="956">
      <c r="D956" s="105" t="str">
        <f>IF(COUNTIF('Form responses 4'!B:B,C956)&gt;0, "", "https://docs.google.com/forms/d/e/1FAIpQLSdhNamFeglgVtt555M7xM7e8ZAg9KCWMEcDlLzX1oeZsyGxrg/viewform?usp=pp_url&amp;entry.580385001="&amp;C956&amp;"&amp;entry.1376952895="&amp;A956)</f>
        <v>https://docs.google.com/forms/d/e/1FAIpQLSdhNamFeglgVtt555M7xM7e8ZAg9KCWMEcDlLzX1oeZsyGxrg/viewform?usp=pp_url&amp;entry.580385001=&amp;entry.1376952895=</v>
      </c>
    </row>
    <row r="957">
      <c r="D957" s="105" t="str">
        <f>IF(COUNTIF('Form responses 4'!B:B,C957)&gt;0, "", "https://docs.google.com/forms/d/e/1FAIpQLSdhNamFeglgVtt555M7xM7e8ZAg9KCWMEcDlLzX1oeZsyGxrg/viewform?usp=pp_url&amp;entry.580385001="&amp;C957&amp;"&amp;entry.1376952895="&amp;A957)</f>
        <v>https://docs.google.com/forms/d/e/1FAIpQLSdhNamFeglgVtt555M7xM7e8ZAg9KCWMEcDlLzX1oeZsyGxrg/viewform?usp=pp_url&amp;entry.580385001=&amp;entry.1376952895=</v>
      </c>
    </row>
    <row r="958">
      <c r="D958" s="105" t="str">
        <f>IF(COUNTIF('Form responses 4'!B:B,C958)&gt;0, "", "https://docs.google.com/forms/d/e/1FAIpQLSdhNamFeglgVtt555M7xM7e8ZAg9KCWMEcDlLzX1oeZsyGxrg/viewform?usp=pp_url&amp;entry.580385001="&amp;C958&amp;"&amp;entry.1376952895="&amp;A958)</f>
        <v>https://docs.google.com/forms/d/e/1FAIpQLSdhNamFeglgVtt555M7xM7e8ZAg9KCWMEcDlLzX1oeZsyGxrg/viewform?usp=pp_url&amp;entry.580385001=&amp;entry.1376952895=</v>
      </c>
    </row>
    <row r="959">
      <c r="D959" s="105" t="str">
        <f>IF(COUNTIF('Form responses 4'!B:B,C959)&gt;0, "", "https://docs.google.com/forms/d/e/1FAIpQLSdhNamFeglgVtt555M7xM7e8ZAg9KCWMEcDlLzX1oeZsyGxrg/viewform?usp=pp_url&amp;entry.580385001="&amp;C959&amp;"&amp;entry.1376952895="&amp;A959)</f>
        <v>https://docs.google.com/forms/d/e/1FAIpQLSdhNamFeglgVtt555M7xM7e8ZAg9KCWMEcDlLzX1oeZsyGxrg/viewform?usp=pp_url&amp;entry.580385001=&amp;entry.1376952895=</v>
      </c>
    </row>
    <row r="960">
      <c r="D960" s="105" t="str">
        <f>IF(COUNTIF('Form responses 4'!B:B,C960)&gt;0, "", "https://docs.google.com/forms/d/e/1FAIpQLSdhNamFeglgVtt555M7xM7e8ZAg9KCWMEcDlLzX1oeZsyGxrg/viewform?usp=pp_url&amp;entry.580385001="&amp;C960&amp;"&amp;entry.1376952895="&amp;A960)</f>
        <v>https://docs.google.com/forms/d/e/1FAIpQLSdhNamFeglgVtt555M7xM7e8ZAg9KCWMEcDlLzX1oeZsyGxrg/viewform?usp=pp_url&amp;entry.580385001=&amp;entry.1376952895=</v>
      </c>
    </row>
    <row r="961">
      <c r="D961" s="105" t="str">
        <f>IF(COUNTIF('Form responses 4'!B:B,C961)&gt;0, "", "https://docs.google.com/forms/d/e/1FAIpQLSdhNamFeglgVtt555M7xM7e8ZAg9KCWMEcDlLzX1oeZsyGxrg/viewform?usp=pp_url&amp;entry.580385001="&amp;C961&amp;"&amp;entry.1376952895="&amp;A961)</f>
        <v>https://docs.google.com/forms/d/e/1FAIpQLSdhNamFeglgVtt555M7xM7e8ZAg9KCWMEcDlLzX1oeZsyGxrg/viewform?usp=pp_url&amp;entry.580385001=&amp;entry.1376952895=</v>
      </c>
    </row>
    <row r="962">
      <c r="D962" s="105" t="str">
        <f>IF(COUNTIF('Form responses 4'!B:B,C962)&gt;0, "", "https://docs.google.com/forms/d/e/1FAIpQLSdhNamFeglgVtt555M7xM7e8ZAg9KCWMEcDlLzX1oeZsyGxrg/viewform?usp=pp_url&amp;entry.580385001="&amp;C962&amp;"&amp;entry.1376952895="&amp;A962)</f>
        <v>https://docs.google.com/forms/d/e/1FAIpQLSdhNamFeglgVtt555M7xM7e8ZAg9KCWMEcDlLzX1oeZsyGxrg/viewform?usp=pp_url&amp;entry.580385001=&amp;entry.1376952895=</v>
      </c>
    </row>
    <row r="963">
      <c r="D963" s="105" t="str">
        <f>IF(COUNTIF('Form responses 4'!B:B,C963)&gt;0, "", "https://docs.google.com/forms/d/e/1FAIpQLSdhNamFeglgVtt555M7xM7e8ZAg9KCWMEcDlLzX1oeZsyGxrg/viewform?usp=pp_url&amp;entry.580385001="&amp;C963&amp;"&amp;entry.1376952895="&amp;A963)</f>
        <v>https://docs.google.com/forms/d/e/1FAIpQLSdhNamFeglgVtt555M7xM7e8ZAg9KCWMEcDlLzX1oeZsyGxrg/viewform?usp=pp_url&amp;entry.580385001=&amp;entry.1376952895=</v>
      </c>
    </row>
    <row r="964">
      <c r="D964" s="105" t="str">
        <f>IF(COUNTIF('Form responses 4'!B:B,C964)&gt;0, "", "https://docs.google.com/forms/d/e/1FAIpQLSdhNamFeglgVtt555M7xM7e8ZAg9KCWMEcDlLzX1oeZsyGxrg/viewform?usp=pp_url&amp;entry.580385001="&amp;C964&amp;"&amp;entry.1376952895="&amp;A964)</f>
        <v>https://docs.google.com/forms/d/e/1FAIpQLSdhNamFeglgVtt555M7xM7e8ZAg9KCWMEcDlLzX1oeZsyGxrg/viewform?usp=pp_url&amp;entry.580385001=&amp;entry.1376952895=</v>
      </c>
    </row>
    <row r="965">
      <c r="D965" s="105" t="str">
        <f>IF(COUNTIF('Form responses 4'!B:B,C965)&gt;0, "", "https://docs.google.com/forms/d/e/1FAIpQLSdhNamFeglgVtt555M7xM7e8ZAg9KCWMEcDlLzX1oeZsyGxrg/viewform?usp=pp_url&amp;entry.580385001="&amp;C965&amp;"&amp;entry.1376952895="&amp;A965)</f>
        <v>https://docs.google.com/forms/d/e/1FAIpQLSdhNamFeglgVtt555M7xM7e8ZAg9KCWMEcDlLzX1oeZsyGxrg/viewform?usp=pp_url&amp;entry.580385001=&amp;entry.1376952895=</v>
      </c>
    </row>
    <row r="966">
      <c r="D966" s="105" t="str">
        <f>IF(COUNTIF('Form responses 4'!B:B,C966)&gt;0, "", "https://docs.google.com/forms/d/e/1FAIpQLSdhNamFeglgVtt555M7xM7e8ZAg9KCWMEcDlLzX1oeZsyGxrg/viewform?usp=pp_url&amp;entry.580385001="&amp;C966&amp;"&amp;entry.1376952895="&amp;A966)</f>
        <v>https://docs.google.com/forms/d/e/1FAIpQLSdhNamFeglgVtt555M7xM7e8ZAg9KCWMEcDlLzX1oeZsyGxrg/viewform?usp=pp_url&amp;entry.580385001=&amp;entry.1376952895=</v>
      </c>
    </row>
    <row r="967">
      <c r="D967" s="105" t="str">
        <f>IF(COUNTIF('Form responses 4'!B:B,C967)&gt;0, "", "https://docs.google.com/forms/d/e/1FAIpQLSdhNamFeglgVtt555M7xM7e8ZAg9KCWMEcDlLzX1oeZsyGxrg/viewform?usp=pp_url&amp;entry.580385001="&amp;C967&amp;"&amp;entry.1376952895="&amp;A967)</f>
        <v>https://docs.google.com/forms/d/e/1FAIpQLSdhNamFeglgVtt555M7xM7e8ZAg9KCWMEcDlLzX1oeZsyGxrg/viewform?usp=pp_url&amp;entry.580385001=&amp;entry.1376952895=</v>
      </c>
    </row>
    <row r="968">
      <c r="D968" s="105" t="str">
        <f>IF(COUNTIF('Form responses 4'!B:B,C968)&gt;0, "", "https://docs.google.com/forms/d/e/1FAIpQLSdhNamFeglgVtt555M7xM7e8ZAg9KCWMEcDlLzX1oeZsyGxrg/viewform?usp=pp_url&amp;entry.580385001="&amp;C968&amp;"&amp;entry.1376952895="&amp;A968)</f>
        <v>https://docs.google.com/forms/d/e/1FAIpQLSdhNamFeglgVtt555M7xM7e8ZAg9KCWMEcDlLzX1oeZsyGxrg/viewform?usp=pp_url&amp;entry.580385001=&amp;entry.1376952895=</v>
      </c>
    </row>
    <row r="969">
      <c r="D969" s="105" t="str">
        <f>IF(COUNTIF('Form responses 4'!B:B,C969)&gt;0, "", "https://docs.google.com/forms/d/e/1FAIpQLSdhNamFeglgVtt555M7xM7e8ZAg9KCWMEcDlLzX1oeZsyGxrg/viewform?usp=pp_url&amp;entry.580385001="&amp;C969&amp;"&amp;entry.1376952895="&amp;A969)</f>
        <v>https://docs.google.com/forms/d/e/1FAIpQLSdhNamFeglgVtt555M7xM7e8ZAg9KCWMEcDlLzX1oeZsyGxrg/viewform?usp=pp_url&amp;entry.580385001=&amp;entry.1376952895=</v>
      </c>
    </row>
    <row r="970">
      <c r="D970" s="105" t="str">
        <f>IF(COUNTIF('Form responses 4'!B:B,C970)&gt;0, "", "https://docs.google.com/forms/d/e/1FAIpQLSdhNamFeglgVtt555M7xM7e8ZAg9KCWMEcDlLzX1oeZsyGxrg/viewform?usp=pp_url&amp;entry.580385001="&amp;C970&amp;"&amp;entry.1376952895="&amp;A970)</f>
        <v>https://docs.google.com/forms/d/e/1FAIpQLSdhNamFeglgVtt555M7xM7e8ZAg9KCWMEcDlLzX1oeZsyGxrg/viewform?usp=pp_url&amp;entry.580385001=&amp;entry.1376952895=</v>
      </c>
    </row>
    <row r="971">
      <c r="D971" s="105" t="str">
        <f>IF(COUNTIF('Form responses 4'!B:B,C971)&gt;0, "", "https://docs.google.com/forms/d/e/1FAIpQLSdhNamFeglgVtt555M7xM7e8ZAg9KCWMEcDlLzX1oeZsyGxrg/viewform?usp=pp_url&amp;entry.580385001="&amp;C971&amp;"&amp;entry.1376952895="&amp;A971)</f>
        <v>https://docs.google.com/forms/d/e/1FAIpQLSdhNamFeglgVtt555M7xM7e8ZAg9KCWMEcDlLzX1oeZsyGxrg/viewform?usp=pp_url&amp;entry.580385001=&amp;entry.1376952895=</v>
      </c>
    </row>
    <row r="972">
      <c r="D972" s="105" t="str">
        <f>IF(COUNTIF('Form responses 4'!B:B,C972)&gt;0, "", "https://docs.google.com/forms/d/e/1FAIpQLSdhNamFeglgVtt555M7xM7e8ZAg9KCWMEcDlLzX1oeZsyGxrg/viewform?usp=pp_url&amp;entry.580385001="&amp;C972&amp;"&amp;entry.1376952895="&amp;A972)</f>
        <v>https://docs.google.com/forms/d/e/1FAIpQLSdhNamFeglgVtt555M7xM7e8ZAg9KCWMEcDlLzX1oeZsyGxrg/viewform?usp=pp_url&amp;entry.580385001=&amp;entry.1376952895=</v>
      </c>
    </row>
    <row r="973">
      <c r="D973" s="105" t="str">
        <f>IF(COUNTIF('Form responses 4'!B:B,C973)&gt;0, "", "https://docs.google.com/forms/d/e/1FAIpQLSdhNamFeglgVtt555M7xM7e8ZAg9KCWMEcDlLzX1oeZsyGxrg/viewform?usp=pp_url&amp;entry.580385001="&amp;C973&amp;"&amp;entry.1376952895="&amp;A973)</f>
        <v>https://docs.google.com/forms/d/e/1FAIpQLSdhNamFeglgVtt555M7xM7e8ZAg9KCWMEcDlLzX1oeZsyGxrg/viewform?usp=pp_url&amp;entry.580385001=&amp;entry.1376952895=</v>
      </c>
    </row>
    <row r="974">
      <c r="D974" s="105" t="str">
        <f>IF(COUNTIF('Form responses 4'!B:B,C974)&gt;0, "", "https://docs.google.com/forms/d/e/1FAIpQLSdhNamFeglgVtt555M7xM7e8ZAg9KCWMEcDlLzX1oeZsyGxrg/viewform?usp=pp_url&amp;entry.580385001="&amp;C974&amp;"&amp;entry.1376952895="&amp;A974)</f>
        <v>https://docs.google.com/forms/d/e/1FAIpQLSdhNamFeglgVtt555M7xM7e8ZAg9KCWMEcDlLzX1oeZsyGxrg/viewform?usp=pp_url&amp;entry.580385001=&amp;entry.1376952895=</v>
      </c>
    </row>
    <row r="975">
      <c r="D975" s="105" t="str">
        <f>IF(COUNTIF('Form responses 4'!B:B,C975)&gt;0, "", "https://docs.google.com/forms/d/e/1FAIpQLSdhNamFeglgVtt555M7xM7e8ZAg9KCWMEcDlLzX1oeZsyGxrg/viewform?usp=pp_url&amp;entry.580385001="&amp;C975&amp;"&amp;entry.1376952895="&amp;A975)</f>
        <v>https://docs.google.com/forms/d/e/1FAIpQLSdhNamFeglgVtt555M7xM7e8ZAg9KCWMEcDlLzX1oeZsyGxrg/viewform?usp=pp_url&amp;entry.580385001=&amp;entry.1376952895=</v>
      </c>
    </row>
    <row r="976">
      <c r="D976" s="105" t="str">
        <f>IF(COUNTIF('Form responses 4'!B:B,C976)&gt;0, "", "https://docs.google.com/forms/d/e/1FAIpQLSdhNamFeglgVtt555M7xM7e8ZAg9KCWMEcDlLzX1oeZsyGxrg/viewform?usp=pp_url&amp;entry.580385001="&amp;C976&amp;"&amp;entry.1376952895="&amp;A976)</f>
        <v>https://docs.google.com/forms/d/e/1FAIpQLSdhNamFeglgVtt555M7xM7e8ZAg9KCWMEcDlLzX1oeZsyGxrg/viewform?usp=pp_url&amp;entry.580385001=&amp;entry.1376952895=</v>
      </c>
    </row>
    <row r="977">
      <c r="D977" s="105" t="str">
        <f>IF(COUNTIF('Form responses 4'!B:B,C977)&gt;0, "", "https://docs.google.com/forms/d/e/1FAIpQLSdhNamFeglgVtt555M7xM7e8ZAg9KCWMEcDlLzX1oeZsyGxrg/viewform?usp=pp_url&amp;entry.580385001="&amp;C977&amp;"&amp;entry.1376952895="&amp;A977)</f>
        <v>https://docs.google.com/forms/d/e/1FAIpQLSdhNamFeglgVtt555M7xM7e8ZAg9KCWMEcDlLzX1oeZsyGxrg/viewform?usp=pp_url&amp;entry.580385001=&amp;entry.1376952895=</v>
      </c>
    </row>
    <row r="978">
      <c r="D978" s="105" t="str">
        <f>IF(COUNTIF('Form responses 4'!B:B,C978)&gt;0, "", "https://docs.google.com/forms/d/e/1FAIpQLSdhNamFeglgVtt555M7xM7e8ZAg9KCWMEcDlLzX1oeZsyGxrg/viewform?usp=pp_url&amp;entry.580385001="&amp;C978&amp;"&amp;entry.1376952895="&amp;A978)</f>
        <v>https://docs.google.com/forms/d/e/1FAIpQLSdhNamFeglgVtt555M7xM7e8ZAg9KCWMEcDlLzX1oeZsyGxrg/viewform?usp=pp_url&amp;entry.580385001=&amp;entry.1376952895=</v>
      </c>
    </row>
    <row r="979">
      <c r="D979" s="105" t="str">
        <f>IF(COUNTIF('Form responses 4'!B:B,C979)&gt;0, "", "https://docs.google.com/forms/d/e/1FAIpQLSdhNamFeglgVtt555M7xM7e8ZAg9KCWMEcDlLzX1oeZsyGxrg/viewform?usp=pp_url&amp;entry.580385001="&amp;C979&amp;"&amp;entry.1376952895="&amp;A979)</f>
        <v>https://docs.google.com/forms/d/e/1FAIpQLSdhNamFeglgVtt555M7xM7e8ZAg9KCWMEcDlLzX1oeZsyGxrg/viewform?usp=pp_url&amp;entry.580385001=&amp;entry.1376952895=</v>
      </c>
    </row>
    <row r="980">
      <c r="D980" s="105" t="str">
        <f>IF(COUNTIF('Form responses 4'!B:B,C980)&gt;0, "", "https://docs.google.com/forms/d/e/1FAIpQLSdhNamFeglgVtt555M7xM7e8ZAg9KCWMEcDlLzX1oeZsyGxrg/viewform?usp=pp_url&amp;entry.580385001="&amp;C980&amp;"&amp;entry.1376952895="&amp;A980)</f>
        <v>https://docs.google.com/forms/d/e/1FAIpQLSdhNamFeglgVtt555M7xM7e8ZAg9KCWMEcDlLzX1oeZsyGxrg/viewform?usp=pp_url&amp;entry.580385001=&amp;entry.1376952895=</v>
      </c>
    </row>
    <row r="981">
      <c r="D981" s="105" t="str">
        <f>IF(COUNTIF('Form responses 4'!B:B,C981)&gt;0, "", "https://docs.google.com/forms/d/e/1FAIpQLSdhNamFeglgVtt555M7xM7e8ZAg9KCWMEcDlLzX1oeZsyGxrg/viewform?usp=pp_url&amp;entry.580385001="&amp;C981&amp;"&amp;entry.1376952895="&amp;A981)</f>
        <v>https://docs.google.com/forms/d/e/1FAIpQLSdhNamFeglgVtt555M7xM7e8ZAg9KCWMEcDlLzX1oeZsyGxrg/viewform?usp=pp_url&amp;entry.580385001=&amp;entry.1376952895=</v>
      </c>
    </row>
    <row r="982">
      <c r="D982" s="105" t="str">
        <f>IF(COUNTIF('Form responses 4'!B:B,C982)&gt;0, "", "https://docs.google.com/forms/d/e/1FAIpQLSdhNamFeglgVtt555M7xM7e8ZAg9KCWMEcDlLzX1oeZsyGxrg/viewform?usp=pp_url&amp;entry.580385001="&amp;C982&amp;"&amp;entry.1376952895="&amp;A982)</f>
        <v>https://docs.google.com/forms/d/e/1FAIpQLSdhNamFeglgVtt555M7xM7e8ZAg9KCWMEcDlLzX1oeZsyGxrg/viewform?usp=pp_url&amp;entry.580385001=&amp;entry.1376952895=</v>
      </c>
    </row>
    <row r="983">
      <c r="D983" s="105" t="str">
        <f>IF(COUNTIF('Form responses 4'!B:B,C983)&gt;0, "", "https://docs.google.com/forms/d/e/1FAIpQLSdhNamFeglgVtt555M7xM7e8ZAg9KCWMEcDlLzX1oeZsyGxrg/viewform?usp=pp_url&amp;entry.580385001="&amp;C983&amp;"&amp;entry.1376952895="&amp;A983)</f>
        <v>https://docs.google.com/forms/d/e/1FAIpQLSdhNamFeglgVtt555M7xM7e8ZAg9KCWMEcDlLzX1oeZsyGxrg/viewform?usp=pp_url&amp;entry.580385001=&amp;entry.1376952895=</v>
      </c>
    </row>
    <row r="984">
      <c r="D984" s="105" t="str">
        <f>IF(COUNTIF('Form responses 4'!B:B,C984)&gt;0, "", "https://docs.google.com/forms/d/e/1FAIpQLSdhNamFeglgVtt555M7xM7e8ZAg9KCWMEcDlLzX1oeZsyGxrg/viewform?usp=pp_url&amp;entry.580385001="&amp;C984&amp;"&amp;entry.1376952895="&amp;A984)</f>
        <v>https://docs.google.com/forms/d/e/1FAIpQLSdhNamFeglgVtt555M7xM7e8ZAg9KCWMEcDlLzX1oeZsyGxrg/viewform?usp=pp_url&amp;entry.580385001=&amp;entry.1376952895=</v>
      </c>
    </row>
    <row r="985">
      <c r="D985" s="105" t="str">
        <f>IF(COUNTIF('Form responses 4'!B:B,C985)&gt;0, "", "https://docs.google.com/forms/d/e/1FAIpQLSdhNamFeglgVtt555M7xM7e8ZAg9KCWMEcDlLzX1oeZsyGxrg/viewform?usp=pp_url&amp;entry.580385001="&amp;C985&amp;"&amp;entry.1376952895="&amp;A985)</f>
        <v>https://docs.google.com/forms/d/e/1FAIpQLSdhNamFeglgVtt555M7xM7e8ZAg9KCWMEcDlLzX1oeZsyGxrg/viewform?usp=pp_url&amp;entry.580385001=&amp;entry.1376952895=</v>
      </c>
    </row>
    <row r="986">
      <c r="D986" s="105" t="str">
        <f>IF(COUNTIF('Form responses 4'!B:B,C986)&gt;0, "", "https://docs.google.com/forms/d/e/1FAIpQLSdhNamFeglgVtt555M7xM7e8ZAg9KCWMEcDlLzX1oeZsyGxrg/viewform?usp=pp_url&amp;entry.580385001="&amp;C986&amp;"&amp;entry.1376952895="&amp;A986)</f>
        <v>https://docs.google.com/forms/d/e/1FAIpQLSdhNamFeglgVtt555M7xM7e8ZAg9KCWMEcDlLzX1oeZsyGxrg/viewform?usp=pp_url&amp;entry.580385001=&amp;entry.1376952895=</v>
      </c>
    </row>
    <row r="987">
      <c r="D987" s="105" t="str">
        <f>IF(COUNTIF('Form responses 4'!B:B,C987)&gt;0, "", "https://docs.google.com/forms/d/e/1FAIpQLSdhNamFeglgVtt555M7xM7e8ZAg9KCWMEcDlLzX1oeZsyGxrg/viewform?usp=pp_url&amp;entry.580385001="&amp;C987&amp;"&amp;entry.1376952895="&amp;A987)</f>
        <v>https://docs.google.com/forms/d/e/1FAIpQLSdhNamFeglgVtt555M7xM7e8ZAg9KCWMEcDlLzX1oeZsyGxrg/viewform?usp=pp_url&amp;entry.580385001=&amp;entry.1376952895=</v>
      </c>
    </row>
    <row r="988">
      <c r="D988" s="105" t="str">
        <f>IF(COUNTIF('Form responses 4'!B:B,C988)&gt;0, "", "https://docs.google.com/forms/d/e/1FAIpQLSdhNamFeglgVtt555M7xM7e8ZAg9KCWMEcDlLzX1oeZsyGxrg/viewform?usp=pp_url&amp;entry.580385001="&amp;C988&amp;"&amp;entry.1376952895="&amp;A988)</f>
        <v>https://docs.google.com/forms/d/e/1FAIpQLSdhNamFeglgVtt555M7xM7e8ZAg9KCWMEcDlLzX1oeZsyGxrg/viewform?usp=pp_url&amp;entry.580385001=&amp;entry.1376952895=</v>
      </c>
    </row>
    <row r="989">
      <c r="D989" s="105" t="str">
        <f>IF(COUNTIF('Form responses 4'!B:B,C989)&gt;0, "", "https://docs.google.com/forms/d/e/1FAIpQLSdhNamFeglgVtt555M7xM7e8ZAg9KCWMEcDlLzX1oeZsyGxrg/viewform?usp=pp_url&amp;entry.580385001="&amp;C989&amp;"&amp;entry.1376952895="&amp;A989)</f>
        <v>https://docs.google.com/forms/d/e/1FAIpQLSdhNamFeglgVtt555M7xM7e8ZAg9KCWMEcDlLzX1oeZsyGxrg/viewform?usp=pp_url&amp;entry.580385001=&amp;entry.1376952895=</v>
      </c>
    </row>
    <row r="990">
      <c r="D990" s="105" t="str">
        <f>IF(COUNTIF('Form responses 4'!B:B,C990)&gt;0, "", "https://docs.google.com/forms/d/e/1FAIpQLSdhNamFeglgVtt555M7xM7e8ZAg9KCWMEcDlLzX1oeZsyGxrg/viewform?usp=pp_url&amp;entry.580385001="&amp;C990&amp;"&amp;entry.1376952895="&amp;A990)</f>
        <v>https://docs.google.com/forms/d/e/1FAIpQLSdhNamFeglgVtt555M7xM7e8ZAg9KCWMEcDlLzX1oeZsyGxrg/viewform?usp=pp_url&amp;entry.580385001=&amp;entry.1376952895=</v>
      </c>
    </row>
    <row r="991">
      <c r="D991" s="105" t="str">
        <f>IF(COUNTIF('Form responses 4'!B:B,C991)&gt;0, "", "https://docs.google.com/forms/d/e/1FAIpQLSdhNamFeglgVtt555M7xM7e8ZAg9KCWMEcDlLzX1oeZsyGxrg/viewform?usp=pp_url&amp;entry.580385001="&amp;C991&amp;"&amp;entry.1376952895="&amp;A991)</f>
        <v>https://docs.google.com/forms/d/e/1FAIpQLSdhNamFeglgVtt555M7xM7e8ZAg9KCWMEcDlLzX1oeZsyGxrg/viewform?usp=pp_url&amp;entry.580385001=&amp;entry.1376952895=</v>
      </c>
    </row>
    <row r="992">
      <c r="D992" s="105" t="str">
        <f>IF(COUNTIF('Form responses 4'!B:B,C992)&gt;0, "", "https://docs.google.com/forms/d/e/1FAIpQLSdhNamFeglgVtt555M7xM7e8ZAg9KCWMEcDlLzX1oeZsyGxrg/viewform?usp=pp_url&amp;entry.580385001="&amp;C992&amp;"&amp;entry.1376952895="&amp;A992)</f>
        <v>https://docs.google.com/forms/d/e/1FAIpQLSdhNamFeglgVtt555M7xM7e8ZAg9KCWMEcDlLzX1oeZsyGxrg/viewform?usp=pp_url&amp;entry.580385001=&amp;entry.1376952895=</v>
      </c>
    </row>
    <row r="993">
      <c r="D993" s="105" t="str">
        <f>IF(COUNTIF('Form responses 4'!B:B,C993)&gt;0, "", "https://docs.google.com/forms/d/e/1FAIpQLSdhNamFeglgVtt555M7xM7e8ZAg9KCWMEcDlLzX1oeZsyGxrg/viewform?usp=pp_url&amp;entry.580385001="&amp;C993&amp;"&amp;entry.1376952895="&amp;A993)</f>
        <v>https://docs.google.com/forms/d/e/1FAIpQLSdhNamFeglgVtt555M7xM7e8ZAg9KCWMEcDlLzX1oeZsyGxrg/viewform?usp=pp_url&amp;entry.580385001=&amp;entry.1376952895=</v>
      </c>
    </row>
    <row r="994">
      <c r="D994" s="105" t="str">
        <f>IF(COUNTIF('Form responses 4'!B:B,C994)&gt;0, "", "https://docs.google.com/forms/d/e/1FAIpQLSdhNamFeglgVtt555M7xM7e8ZAg9KCWMEcDlLzX1oeZsyGxrg/viewform?usp=pp_url&amp;entry.580385001="&amp;C994&amp;"&amp;entry.1376952895="&amp;A994)</f>
        <v>https://docs.google.com/forms/d/e/1FAIpQLSdhNamFeglgVtt555M7xM7e8ZAg9KCWMEcDlLzX1oeZsyGxrg/viewform?usp=pp_url&amp;entry.580385001=&amp;entry.1376952895=</v>
      </c>
    </row>
    <row r="995">
      <c r="D995" s="105" t="str">
        <f>IF(COUNTIF('Form responses 4'!B:B,C995)&gt;0, "", "https://docs.google.com/forms/d/e/1FAIpQLSdhNamFeglgVtt555M7xM7e8ZAg9KCWMEcDlLzX1oeZsyGxrg/viewform?usp=pp_url&amp;entry.580385001="&amp;C995&amp;"&amp;entry.1376952895="&amp;A995)</f>
        <v>https://docs.google.com/forms/d/e/1FAIpQLSdhNamFeglgVtt555M7xM7e8ZAg9KCWMEcDlLzX1oeZsyGxrg/viewform?usp=pp_url&amp;entry.580385001=&amp;entry.1376952895=</v>
      </c>
    </row>
    <row r="996">
      <c r="D996" s="105" t="str">
        <f>IF(COUNTIF('Form responses 4'!B:B,C996)&gt;0, "", "https://docs.google.com/forms/d/e/1FAIpQLSdhNamFeglgVtt555M7xM7e8ZAg9KCWMEcDlLzX1oeZsyGxrg/viewform?usp=pp_url&amp;entry.580385001="&amp;C996&amp;"&amp;entry.1376952895="&amp;A996)</f>
        <v>https://docs.google.com/forms/d/e/1FAIpQLSdhNamFeglgVtt555M7xM7e8ZAg9KCWMEcDlLzX1oeZsyGxrg/viewform?usp=pp_url&amp;entry.580385001=&amp;entry.1376952895=</v>
      </c>
    </row>
    <row r="997">
      <c r="D997" s="105" t="str">
        <f>IF(COUNTIF('Form responses 4'!B:B,C997)&gt;0, "", "https://docs.google.com/forms/d/e/1FAIpQLSdhNamFeglgVtt555M7xM7e8ZAg9KCWMEcDlLzX1oeZsyGxrg/viewform?usp=pp_url&amp;entry.580385001="&amp;C997&amp;"&amp;entry.1376952895="&amp;A997)</f>
        <v>https://docs.google.com/forms/d/e/1FAIpQLSdhNamFeglgVtt555M7xM7e8ZAg9KCWMEcDlLzX1oeZsyGxrg/viewform?usp=pp_url&amp;entry.580385001=&amp;entry.1376952895=</v>
      </c>
    </row>
    <row r="998">
      <c r="D998" s="105" t="str">
        <f>IF(COUNTIF('Form responses 4'!B:B,C998)&gt;0, "", "https://docs.google.com/forms/d/e/1FAIpQLSdhNamFeglgVtt555M7xM7e8ZAg9KCWMEcDlLzX1oeZsyGxrg/viewform?usp=pp_url&amp;entry.580385001="&amp;C998&amp;"&amp;entry.1376952895="&amp;A998)</f>
        <v>https://docs.google.com/forms/d/e/1FAIpQLSdhNamFeglgVtt555M7xM7e8ZAg9KCWMEcDlLzX1oeZsyGxrg/viewform?usp=pp_url&amp;entry.580385001=&amp;entry.1376952895=</v>
      </c>
    </row>
    <row r="999">
      <c r="D999" s="105" t="str">
        <f>IF(COUNTIF('Form responses 4'!B:B,C999)&gt;0, "", "https://docs.google.com/forms/d/e/1FAIpQLSdhNamFeglgVtt555M7xM7e8ZAg9KCWMEcDlLzX1oeZsyGxrg/viewform?usp=pp_url&amp;entry.580385001="&amp;C999&amp;"&amp;entry.1376952895="&amp;A999)</f>
        <v>https://docs.google.com/forms/d/e/1FAIpQLSdhNamFeglgVtt555M7xM7e8ZAg9KCWMEcDlLzX1oeZsyGxrg/viewform?usp=pp_url&amp;entry.580385001=&amp;entry.1376952895=</v>
      </c>
    </row>
    <row r="1000">
      <c r="D1000" s="105" t="str">
        <f>IF(COUNTIF('Form responses 4'!B:B,C1000)&gt;0, "", "https://docs.google.com/forms/d/e/1FAIpQLSdhNamFeglgVtt555M7xM7e8ZAg9KCWMEcDlLzX1oeZsyGxrg/viewform?usp=pp_url&amp;entry.580385001="&amp;C1000&amp;"&amp;entry.1376952895="&amp;A1000)</f>
        <v>https://docs.google.com/forms/d/e/1FAIpQLSdhNamFeglgVtt555M7xM7e8ZAg9KCWMEcDlLzX1oeZsyGxrg/viewform?usp=pp_url&amp;entry.580385001=&amp;entry.1376952895=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0.88"/>
    <col customWidth="1" min="4" max="4" width="12.0"/>
    <col customWidth="1" min="5" max="5" width="14.88"/>
    <col customWidth="1" min="6" max="6" width="11.25"/>
    <col customWidth="1" min="7" max="7" width="9.25"/>
    <col customWidth="1" min="8" max="8" width="12.25"/>
    <col customWidth="1" min="9" max="9" width="7.63"/>
    <col customWidth="1" min="10" max="10" width="10.0"/>
    <col customWidth="1" min="11" max="17" width="18.88"/>
  </cols>
  <sheetData>
    <row r="1" ht="51.0" customHeight="1">
      <c r="A1" s="40" t="s">
        <v>3</v>
      </c>
      <c r="B1" s="41" t="s">
        <v>1578</v>
      </c>
      <c r="C1" s="41" t="s">
        <v>1580</v>
      </c>
      <c r="D1" s="42" t="s">
        <v>1581</v>
      </c>
      <c r="I1" s="43"/>
      <c r="J1" s="43"/>
      <c r="K1" s="44"/>
    </row>
    <row r="2">
      <c r="A2" s="45">
        <v>46055.43763888889</v>
      </c>
      <c r="B2" s="2">
        <v>506.0</v>
      </c>
      <c r="C2" s="25" t="s">
        <v>1583</v>
      </c>
      <c r="D2" s="2">
        <v>1000.0</v>
      </c>
    </row>
    <row r="3">
      <c r="A3" s="46">
        <v>46055.44097222222</v>
      </c>
      <c r="B3" s="2">
        <v>507.0</v>
      </c>
      <c r="C3" s="47" t="s">
        <v>1585</v>
      </c>
      <c r="D3" s="2">
        <v>6000.0</v>
      </c>
    </row>
    <row r="4">
      <c r="A4" s="46">
        <v>46055.44097222222</v>
      </c>
      <c r="B4" s="48">
        <v>508.0</v>
      </c>
      <c r="C4" s="47" t="s">
        <v>942</v>
      </c>
      <c r="D4" s="2">
        <v>500.0</v>
      </c>
    </row>
    <row r="5">
      <c r="A5" s="46">
        <v>46055.44097222222</v>
      </c>
      <c r="B5" s="2">
        <v>508.0</v>
      </c>
      <c r="C5" s="26" t="s">
        <v>33</v>
      </c>
      <c r="D5" s="2">
        <v>200.0</v>
      </c>
    </row>
    <row r="6">
      <c r="A6" s="46">
        <v>46055.48263888889</v>
      </c>
      <c r="B6" s="2">
        <v>509.0</v>
      </c>
      <c r="C6" s="47" t="s">
        <v>1585</v>
      </c>
      <c r="D6" s="2">
        <v>400.0</v>
      </c>
    </row>
    <row r="7">
      <c r="A7" s="46">
        <v>46055.48263888889</v>
      </c>
      <c r="B7" s="2">
        <v>512.0</v>
      </c>
      <c r="C7" s="26" t="s">
        <v>1588</v>
      </c>
      <c r="D7" s="2">
        <v>700.0</v>
      </c>
    </row>
    <row r="8">
      <c r="A8" s="46">
        <v>46055.524305555555</v>
      </c>
      <c r="B8" s="2">
        <v>510.0</v>
      </c>
      <c r="C8" s="26" t="s">
        <v>1569</v>
      </c>
      <c r="D8" s="2">
        <v>1400.0</v>
      </c>
    </row>
    <row r="9">
      <c r="A9" s="46">
        <v>46055.56597222222</v>
      </c>
      <c r="B9" s="2">
        <v>511.0</v>
      </c>
      <c r="C9" s="49" t="s">
        <v>1589</v>
      </c>
      <c r="D9" s="2">
        <v>1400.0</v>
      </c>
    </row>
    <row r="10">
      <c r="A10" s="46">
        <v>46055.56597222222</v>
      </c>
      <c r="B10" s="2">
        <v>513.0</v>
      </c>
      <c r="C10" s="50" t="s">
        <v>1590</v>
      </c>
      <c r="D10" s="2">
        <v>350.0</v>
      </c>
    </row>
    <row r="11">
      <c r="A11" s="51">
        <v>46056.75237001157</v>
      </c>
      <c r="B11" s="2">
        <v>514.0</v>
      </c>
      <c r="C11" s="23" t="s">
        <v>1569</v>
      </c>
      <c r="D11" s="2">
        <v>500.0</v>
      </c>
    </row>
    <row r="12">
      <c r="A12" s="51">
        <v>46056.75237001157</v>
      </c>
      <c r="B12" s="2">
        <v>515.0</v>
      </c>
      <c r="C12" s="26" t="s">
        <v>33</v>
      </c>
      <c r="D12" s="2">
        <v>600.0</v>
      </c>
    </row>
    <row r="13">
      <c r="A13" s="51">
        <v>46056.75237001157</v>
      </c>
      <c r="B13" s="2">
        <v>516.0</v>
      </c>
      <c r="C13" s="26" t="s">
        <v>175</v>
      </c>
      <c r="D13" s="2">
        <v>900.0</v>
      </c>
    </row>
    <row r="14">
      <c r="A14" s="51">
        <v>46056.75237001157</v>
      </c>
      <c r="B14" s="2">
        <v>517.0</v>
      </c>
      <c r="C14" s="26" t="s">
        <v>175</v>
      </c>
      <c r="D14" s="2">
        <v>1600.0</v>
      </c>
    </row>
    <row r="15">
      <c r="A15" s="51">
        <v>46057.735010578705</v>
      </c>
      <c r="B15" s="2">
        <v>518.0</v>
      </c>
      <c r="C15" s="2" t="s">
        <v>1593</v>
      </c>
      <c r="D15" s="52">
        <v>3000.0</v>
      </c>
    </row>
    <row r="16">
      <c r="A16" s="51">
        <v>46057.735010578705</v>
      </c>
      <c r="B16" s="2">
        <v>518.0</v>
      </c>
      <c r="C16" s="48" t="s">
        <v>1593</v>
      </c>
      <c r="D16" s="2">
        <v>3000.0</v>
      </c>
    </row>
    <row r="17">
      <c r="A17" s="51">
        <v>46058.62931260417</v>
      </c>
      <c r="B17" s="2">
        <v>519.0</v>
      </c>
      <c r="C17" s="49" t="s">
        <v>1596</v>
      </c>
      <c r="D17" s="2">
        <v>5300.0</v>
      </c>
    </row>
    <row r="18">
      <c r="A18" s="51">
        <v>46058.701012627316</v>
      </c>
      <c r="B18" s="2">
        <v>520.0</v>
      </c>
      <c r="C18" s="53" t="s">
        <v>1598</v>
      </c>
      <c r="D18" s="2">
        <v>1000.0</v>
      </c>
    </row>
    <row r="19">
      <c r="A19" s="51">
        <v>46059.69576120371</v>
      </c>
      <c r="B19" s="2">
        <v>521.0</v>
      </c>
      <c r="C19" s="23" t="s">
        <v>1599</v>
      </c>
      <c r="D19" s="52">
        <v>5565.0</v>
      </c>
    </row>
    <row r="20">
      <c r="A20" s="51">
        <v>46059.69576120371</v>
      </c>
      <c r="B20" s="2">
        <v>522.0</v>
      </c>
      <c r="C20" s="47" t="s">
        <v>573</v>
      </c>
      <c r="D20" s="2">
        <v>1000.0</v>
      </c>
    </row>
    <row r="21">
      <c r="A21" s="51">
        <v>46059.69576120371</v>
      </c>
      <c r="B21" s="2">
        <v>522.0</v>
      </c>
      <c r="C21" s="47" t="s">
        <v>1605</v>
      </c>
      <c r="D21" s="54">
        <v>1000.0</v>
      </c>
    </row>
    <row r="22">
      <c r="A22" s="51">
        <v>46059.719592187495</v>
      </c>
      <c r="B22" s="2">
        <v>523.0</v>
      </c>
      <c r="C22" s="47" t="s">
        <v>347</v>
      </c>
      <c r="D22" s="55">
        <v>1300.0</v>
      </c>
    </row>
    <row r="23">
      <c r="A23" s="51">
        <v>46059.719592187495</v>
      </c>
      <c r="B23" s="2">
        <v>523.0</v>
      </c>
      <c r="C23" s="26" t="s">
        <v>1592</v>
      </c>
      <c r="D23" s="56">
        <v>700.0</v>
      </c>
    </row>
    <row r="24">
      <c r="A24" s="51">
        <v>46060.6502768287</v>
      </c>
      <c r="B24" s="2">
        <v>528.0</v>
      </c>
      <c r="C24" s="57" t="s">
        <v>365</v>
      </c>
      <c r="D24" s="37">
        <v>576.0</v>
      </c>
    </row>
    <row r="25">
      <c r="A25" s="51">
        <v>46060.651324652776</v>
      </c>
      <c r="B25" s="2">
        <v>527.0</v>
      </c>
      <c r="C25" s="57" t="s">
        <v>778</v>
      </c>
      <c r="D25" s="37">
        <v>527.0</v>
      </c>
    </row>
    <row r="26">
      <c r="A26" s="51">
        <v>46060.654397418984</v>
      </c>
      <c r="B26" s="2">
        <v>524.0</v>
      </c>
      <c r="C26" s="57" t="s">
        <v>932</v>
      </c>
      <c r="D26" s="2">
        <v>3200.0</v>
      </c>
    </row>
    <row r="27">
      <c r="A27" s="51">
        <v>46060.654397418984</v>
      </c>
      <c r="B27" s="2">
        <v>525.0</v>
      </c>
      <c r="C27" s="25" t="s">
        <v>179</v>
      </c>
      <c r="D27" s="52">
        <v>2016.0</v>
      </c>
    </row>
    <row r="28">
      <c r="A28" s="51">
        <v>46060.654397418984</v>
      </c>
      <c r="B28" s="2">
        <v>526.0</v>
      </c>
      <c r="C28" s="26" t="s">
        <v>1609</v>
      </c>
      <c r="D28" s="37">
        <v>1080.0</v>
      </c>
    </row>
    <row r="29">
      <c r="A29" s="51">
        <v>46060.69283525463</v>
      </c>
      <c r="B29" s="2">
        <v>529.0</v>
      </c>
      <c r="C29" s="57" t="s">
        <v>341</v>
      </c>
      <c r="D29" s="37">
        <v>2700.0</v>
      </c>
    </row>
    <row r="30">
      <c r="A30" s="51">
        <v>46062.44878881944</v>
      </c>
      <c r="B30" s="2">
        <v>530.0</v>
      </c>
      <c r="C30" s="25" t="s">
        <v>1611</v>
      </c>
      <c r="D30" s="37">
        <v>800.0</v>
      </c>
    </row>
    <row r="31">
      <c r="A31" s="51">
        <v>46062.70807717592</v>
      </c>
      <c r="B31" s="2">
        <v>531.0</v>
      </c>
      <c r="C31" s="57" t="s">
        <v>41</v>
      </c>
      <c r="D31" s="37">
        <v>600.0</v>
      </c>
    </row>
    <row r="32">
      <c r="A32" s="51">
        <v>46062.71377239583</v>
      </c>
      <c r="B32" s="2">
        <v>533.0</v>
      </c>
      <c r="C32" s="57" t="s">
        <v>1516</v>
      </c>
      <c r="D32" s="37">
        <v>800.0</v>
      </c>
    </row>
    <row r="33">
      <c r="A33" s="58">
        <v>46064.42366105324</v>
      </c>
      <c r="B33" s="2">
        <v>536.0</v>
      </c>
      <c r="C33" s="2" t="s">
        <v>83</v>
      </c>
      <c r="D33" s="2">
        <v>600.0</v>
      </c>
    </row>
    <row r="34">
      <c r="A34" s="45">
        <v>46064.59722222222</v>
      </c>
      <c r="B34" s="2">
        <v>537.0</v>
      </c>
      <c r="C34" s="25" t="s">
        <v>1614</v>
      </c>
      <c r="D34" s="37">
        <v>300.0</v>
      </c>
    </row>
    <row r="35">
      <c r="A35" s="45">
        <v>46066.59722222222</v>
      </c>
      <c r="B35" s="2">
        <v>543.0</v>
      </c>
      <c r="C35" s="25" t="s">
        <v>139</v>
      </c>
      <c r="D35" s="37">
        <v>1100.0</v>
      </c>
      <c r="E35" s="59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3.0"/>
    <col customWidth="1" min="3" max="3" width="15.38"/>
    <col customWidth="1" min="7" max="7" width="18.13"/>
  </cols>
  <sheetData>
    <row r="1" ht="45.0" customHeight="1">
      <c r="A1" s="60" t="s">
        <v>1557</v>
      </c>
      <c r="B1" s="17" t="s">
        <v>1194</v>
      </c>
      <c r="C1" s="18" t="s">
        <v>1198</v>
      </c>
      <c r="D1" s="61" t="s">
        <v>1202</v>
      </c>
      <c r="E1" s="17" t="s">
        <v>1203</v>
      </c>
      <c r="F1" s="17" t="s">
        <v>1204</v>
      </c>
      <c r="G1" s="17" t="s">
        <v>1205</v>
      </c>
      <c r="H1" s="60" t="s">
        <v>6</v>
      </c>
      <c r="I1" s="60" t="s">
        <v>109</v>
      </c>
      <c r="J1" s="60" t="s">
        <v>12</v>
      </c>
      <c r="K1" s="62" t="s">
        <v>1657</v>
      </c>
      <c r="L1" s="63" t="s">
        <v>1659</v>
      </c>
      <c r="M1" s="62">
        <v>1.0</v>
      </c>
      <c r="N1" s="63" t="s">
        <v>1660</v>
      </c>
      <c r="O1" s="60" t="str">
        <f t="array" ref="O1:O998">{"Max Level";IF($K$2:$K998,$K$2:$K998 * $L$2:$L998 * $M$2:$M998, "")}</f>
        <v>Max Level</v>
      </c>
      <c r="P1" s="60" t="s">
        <v>1666</v>
      </c>
      <c r="Q1" s="62" t="s">
        <v>1668</v>
      </c>
      <c r="R1" s="63" t="s">
        <v>1669</v>
      </c>
      <c r="S1" s="62" t="s">
        <v>1670</v>
      </c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</row>
    <row r="2" ht="15.0" customHeight="1">
      <c r="A2" s="65" t="s">
        <v>1672</v>
      </c>
      <c r="B2" s="66" t="s">
        <v>1225</v>
      </c>
      <c r="C2" s="69" t="s">
        <v>1562</v>
      </c>
      <c r="D2" s="71" t="s">
        <v>1563</v>
      </c>
      <c r="E2" s="66" t="s">
        <v>1564</v>
      </c>
      <c r="F2" s="66" t="s">
        <v>1565</v>
      </c>
      <c r="G2" s="27" t="s">
        <v>1566</v>
      </c>
      <c r="H2" s="66" t="s">
        <v>22</v>
      </c>
      <c r="I2" s="27" t="str">
        <f>IFERROR(__xludf.DUMMYFUNCTION("IF(A2="""","""",
TEXTJOIN(""-"",TRUE,
IFERROR(
  INDEX(FILTER(CFG_CODES!C:C, CFG_CODES!A:A=""CATEGORY"", UPPER(CFG_CODES!B:B)=UPPER(B2))),
  LEFT(UPPER(B2),3)
),
IFERROR(
  INDEX(FILTER(CFG_CODES!C:C, CFG_CODES!A:A=""MATERIAL"", UPPER(CFG_CODES!B:B)=UPPER"&amp;"(C2))),
  LEFT(UPPER(C2),3)
),
TEXT(ROW()-1,""000"")
))"),"P-SBS-001")</f>
        <v>P-SBS-001</v>
      </c>
      <c r="J2" s="27" t="s">
        <v>1688</v>
      </c>
      <c r="K2" s="39">
        <v>23.711340206185568</v>
      </c>
      <c r="L2" s="39">
        <v>2.0</v>
      </c>
      <c r="M2" s="39">
        <v>1.0</v>
      </c>
      <c r="N2" s="79">
        <v>200.0</v>
      </c>
      <c r="O2" s="27">
        <v>47.422680412371136</v>
      </c>
      <c r="P2" s="27"/>
      <c r="Q2" s="80">
        <v>0.0</v>
      </c>
      <c r="R2" s="81" t="s">
        <v>1689</v>
      </c>
      <c r="S2" s="81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</row>
    <row r="3" ht="15.0" customHeight="1">
      <c r="A3" s="65" t="s">
        <v>1570</v>
      </c>
      <c r="B3" s="66" t="s">
        <v>1225</v>
      </c>
      <c r="C3" s="69" t="s">
        <v>1562</v>
      </c>
      <c r="D3" s="71" t="s">
        <v>1563</v>
      </c>
      <c r="E3" s="66" t="s">
        <v>1564</v>
      </c>
      <c r="F3" s="66" t="s">
        <v>1571</v>
      </c>
      <c r="G3" s="27" t="s">
        <v>1566</v>
      </c>
      <c r="H3" s="27" t="s">
        <v>22</v>
      </c>
      <c r="I3" s="27" t="str">
        <f>IFERROR(__xludf.DUMMYFUNCTION("IF(A3="""","""",
TEXTJOIN(""-"",TRUE,
IFERROR(
  INDEX(FILTER(CFG_CODES!C:C, CFG_CODES!A:A=""CATEGORY"", UPPER(CFG_CODES!B:B)=UPPER(B3))),
  LEFT(UPPER(B3),3)
),
IFERROR(
  INDEX(FILTER(CFG_CODES!C:C, CFG_CODES!A:A=""MATERIAL"", UPPER(CFG_CODES!B:B)=UPPER"&amp;"(C3))),
  LEFT(UPPER(C3),3)
),
TEXT(ROW()-1,""000"")
))"),"P-SBS-002")</f>
        <v>P-SBS-002</v>
      </c>
      <c r="J3" s="27" t="s">
        <v>1688</v>
      </c>
      <c r="K3" s="39">
        <v>32.98969072164948</v>
      </c>
      <c r="L3" s="39">
        <v>2.0</v>
      </c>
      <c r="M3" s="39">
        <v>2.0</v>
      </c>
      <c r="N3" s="79">
        <v>200.0</v>
      </c>
      <c r="O3" s="27">
        <v>131.95876288659792</v>
      </c>
      <c r="P3" s="27"/>
      <c r="Q3" s="80">
        <v>0.0</v>
      </c>
      <c r="R3" s="81" t="s">
        <v>1689</v>
      </c>
      <c r="S3" s="81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</row>
    <row r="4" ht="15.0" customHeight="1">
      <c r="A4" s="65" t="s">
        <v>20</v>
      </c>
      <c r="B4" s="66" t="s">
        <v>1225</v>
      </c>
      <c r="C4" s="69" t="s">
        <v>1562</v>
      </c>
      <c r="D4" s="71" t="s">
        <v>1563</v>
      </c>
      <c r="E4" s="66" t="s">
        <v>1572</v>
      </c>
      <c r="F4" s="66" t="s">
        <v>1565</v>
      </c>
      <c r="G4" s="27" t="s">
        <v>1566</v>
      </c>
      <c r="H4" s="27" t="s">
        <v>22</v>
      </c>
      <c r="I4" s="27" t="str">
        <f>IFERROR(__xludf.DUMMYFUNCTION("IF(A4="""","""",
TEXTJOIN(""-"",TRUE,
IFERROR(
  INDEX(FILTER(CFG_CODES!C:C, CFG_CODES!A:A=""CATEGORY"", UPPER(CFG_CODES!B:B)=UPPER(B4))),
  LEFT(UPPER(B4),3)
),
IFERROR(
  INDEX(FILTER(CFG_CODES!C:C, CFG_CODES!A:A=""MATERIAL"", UPPER(CFG_CODES!B:B)=UPPER"&amp;"(C4))),
  LEFT(UPPER(C4),3)
),
TEXT(ROW()-1,""000"")
))"),"P-SBS-003")</f>
        <v>P-SBS-003</v>
      </c>
      <c r="J4" s="27" t="s">
        <v>1688</v>
      </c>
      <c r="K4" s="39">
        <v>34.02061855670103</v>
      </c>
      <c r="L4" s="39">
        <v>2.0</v>
      </c>
      <c r="M4" s="39">
        <v>0.5</v>
      </c>
      <c r="N4" s="79">
        <v>200.0</v>
      </c>
      <c r="O4" s="27">
        <v>34.02061855670103</v>
      </c>
      <c r="P4" s="27"/>
      <c r="Q4" s="80">
        <v>0.0</v>
      </c>
      <c r="R4" s="81" t="s">
        <v>1689</v>
      </c>
      <c r="S4" s="81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</row>
    <row r="5" ht="15.0" customHeight="1">
      <c r="A5" s="82" t="s">
        <v>202</v>
      </c>
      <c r="B5" s="66" t="s">
        <v>1225</v>
      </c>
      <c r="C5" s="69" t="s">
        <v>1562</v>
      </c>
      <c r="D5" s="71" t="s">
        <v>1573</v>
      </c>
      <c r="E5" s="66" t="s">
        <v>1574</v>
      </c>
      <c r="F5" s="27" t="s">
        <v>1566</v>
      </c>
      <c r="G5" s="27" t="s">
        <v>1566</v>
      </c>
      <c r="H5" s="27" t="s">
        <v>22</v>
      </c>
      <c r="I5" s="27" t="str">
        <f>IFERROR(__xludf.DUMMYFUNCTION("IF(A5="""","""",
TEXTJOIN(""-"",TRUE,
IFERROR(
  INDEX(FILTER(CFG_CODES!C:C, CFG_CODES!A:A=""CATEGORY"", UPPER(CFG_CODES!B:B)=UPPER(B5))),
  LEFT(UPPER(B5),3)
),
IFERROR(
  INDEX(FILTER(CFG_CODES!C:C, CFG_CODES!A:A=""MATERIAL"", UPPER(CFG_CODES!B:B)=UPPER"&amp;"(C5))),
  LEFT(UPPER(C5),3)
),
TEXT(ROW()-1,""000"")
))"),"P-SBS-004")</f>
        <v>P-SBS-004</v>
      </c>
      <c r="J5" s="27" t="s">
        <v>1688</v>
      </c>
      <c r="K5" s="39">
        <v>18.556701030927837</v>
      </c>
      <c r="L5" s="39">
        <v>2.0</v>
      </c>
      <c r="M5" s="39">
        <v>20.0</v>
      </c>
      <c r="N5" s="79">
        <v>200.0</v>
      </c>
      <c r="O5" s="27">
        <v>742.2680412371135</v>
      </c>
      <c r="P5" s="27"/>
      <c r="Q5" s="80">
        <v>0.0</v>
      </c>
      <c r="R5" s="81" t="s">
        <v>1689</v>
      </c>
      <c r="S5" s="81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</row>
    <row r="6" ht="15.0" customHeight="1">
      <c r="A6" s="82" t="s">
        <v>35</v>
      </c>
      <c r="B6" s="66" t="s">
        <v>1225</v>
      </c>
      <c r="C6" s="69" t="s">
        <v>1562</v>
      </c>
      <c r="D6" s="71" t="s">
        <v>1573</v>
      </c>
      <c r="E6" s="66" t="s">
        <v>1575</v>
      </c>
      <c r="F6" s="27" t="s">
        <v>1566</v>
      </c>
      <c r="G6" s="27" t="s">
        <v>1566</v>
      </c>
      <c r="H6" s="27" t="s">
        <v>22</v>
      </c>
      <c r="I6" s="27" t="str">
        <f>IFERROR(__xludf.DUMMYFUNCTION("IF(A6="""","""",
TEXTJOIN(""-"",TRUE,
IFERROR(
  INDEX(FILTER(CFG_CODES!C:C, CFG_CODES!A:A=""CATEGORY"", UPPER(CFG_CODES!B:B)=UPPER(B6))),
  LEFT(UPPER(B6),3)
),
IFERROR(
  INDEX(FILTER(CFG_CODES!C:C, CFG_CODES!A:A=""MATERIAL"", UPPER(CFG_CODES!B:B)=UPPER"&amp;"(C6))),
  LEFT(UPPER(C6),3)
),
TEXT(ROW()-1,""000"")
))"),"P-SBS-005")</f>
        <v>P-SBS-005</v>
      </c>
      <c r="J6" s="27" t="s">
        <v>1688</v>
      </c>
      <c r="K6" s="39">
        <v>39.175257731958766</v>
      </c>
      <c r="L6" s="39">
        <v>2.0</v>
      </c>
      <c r="M6" s="39">
        <v>2.0</v>
      </c>
      <c r="N6" s="79">
        <v>200.0</v>
      </c>
      <c r="O6" s="27">
        <v>156.70103092783506</v>
      </c>
      <c r="P6" s="27"/>
      <c r="Q6" s="80">
        <v>10.0</v>
      </c>
      <c r="R6" s="81" t="s">
        <v>1689</v>
      </c>
      <c r="S6" s="81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</row>
    <row r="7" ht="15.0" customHeight="1">
      <c r="A7" s="83" t="s">
        <v>1523</v>
      </c>
      <c r="B7" s="66" t="s">
        <v>1225</v>
      </c>
      <c r="C7" s="84" t="s">
        <v>1562</v>
      </c>
      <c r="D7" s="71" t="s">
        <v>1563</v>
      </c>
      <c r="E7" s="27" t="s">
        <v>1572</v>
      </c>
      <c r="F7" s="27" t="s">
        <v>1571</v>
      </c>
      <c r="G7" s="27" t="s">
        <v>1566</v>
      </c>
      <c r="H7" s="27" t="s">
        <v>22</v>
      </c>
      <c r="I7" s="27" t="str">
        <f>IFERROR(__xludf.DUMMYFUNCTION("IF(A7="""","""",
TEXTJOIN(""-"",TRUE,
IFERROR(
  INDEX(FILTER(CFG_CODES!C:C, CFG_CODES!A:A=""CATEGORY"", UPPER(CFG_CODES!B:B)=UPPER(B7))),
  LEFT(UPPER(B7),3)
),
IFERROR(
  INDEX(FILTER(CFG_CODES!C:C, CFG_CODES!A:A=""MATERIAL"", UPPER(CFG_CODES!B:B)=UPPER"&amp;"(C7))),
  LEFT(UPPER(C7),3)
),
TEXT(ROW()-1,""000"")
))"),"P-SBS-006")</f>
        <v>P-SBS-006</v>
      </c>
      <c r="J7" s="27" t="s">
        <v>1688</v>
      </c>
      <c r="K7" s="39">
        <v>40.20618556701031</v>
      </c>
      <c r="L7" s="39">
        <v>2.0</v>
      </c>
      <c r="M7" s="39">
        <v>2.0</v>
      </c>
      <c r="N7" s="79">
        <v>200.0</v>
      </c>
      <c r="O7" s="27">
        <v>160.82474226804123</v>
      </c>
      <c r="P7" s="27"/>
      <c r="Q7" s="80">
        <v>0.0</v>
      </c>
      <c r="R7" s="81" t="s">
        <v>1689</v>
      </c>
      <c r="S7" s="81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</row>
    <row r="8" ht="15.0" customHeight="1">
      <c r="A8" s="83" t="s">
        <v>42</v>
      </c>
      <c r="B8" s="66" t="s">
        <v>1225</v>
      </c>
      <c r="C8" s="84" t="s">
        <v>1562</v>
      </c>
      <c r="D8" s="71" t="s">
        <v>1576</v>
      </c>
      <c r="E8" s="27" t="s">
        <v>1575</v>
      </c>
      <c r="F8" s="27" t="s">
        <v>1571</v>
      </c>
      <c r="G8" s="27" t="s">
        <v>1566</v>
      </c>
      <c r="H8" s="27" t="s">
        <v>22</v>
      </c>
      <c r="I8" s="27" t="str">
        <f>IFERROR(__xludf.DUMMYFUNCTION("IF(A8="""","""",
TEXTJOIN(""-"",TRUE,
IFERROR(
  INDEX(FILTER(CFG_CODES!C:C, CFG_CODES!A:A=""CATEGORY"", UPPER(CFG_CODES!B:B)=UPPER(B8))),
  LEFT(UPPER(B8),3)
),
IFERROR(
  INDEX(FILTER(CFG_CODES!C:C, CFG_CODES!A:A=""MATERIAL"", UPPER(CFG_CODES!B:B)=UPPER"&amp;"(C8))),
  LEFT(UPPER(C8),3)
),
TEXT(ROW()-1,""000"")
))"),"P-SBS-007")</f>
        <v>P-SBS-007</v>
      </c>
      <c r="J8" s="27" t="s">
        <v>1688</v>
      </c>
      <c r="K8" s="39">
        <v>55.670103092783506</v>
      </c>
      <c r="L8" s="39">
        <v>2.0</v>
      </c>
      <c r="M8" s="39">
        <v>5.0</v>
      </c>
      <c r="N8" s="79">
        <v>200.0</v>
      </c>
      <c r="O8" s="27">
        <v>556.7010309278351</v>
      </c>
      <c r="P8" s="27"/>
      <c r="Q8" s="80">
        <v>0.0</v>
      </c>
      <c r="R8" s="81" t="s">
        <v>1689</v>
      </c>
      <c r="S8" s="81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</row>
    <row r="9" ht="15.0" customHeight="1">
      <c r="A9" s="83" t="s">
        <v>1579</v>
      </c>
      <c r="B9" s="66" t="s">
        <v>1225</v>
      </c>
      <c r="C9" s="84" t="s">
        <v>1562</v>
      </c>
      <c r="D9" s="71" t="s">
        <v>1576</v>
      </c>
      <c r="E9" s="27" t="s">
        <v>1575</v>
      </c>
      <c r="F9" s="27" t="s">
        <v>1565</v>
      </c>
      <c r="G9" s="27" t="s">
        <v>1566</v>
      </c>
      <c r="H9" s="27" t="s">
        <v>22</v>
      </c>
      <c r="I9" s="27" t="str">
        <f>IFERROR(__xludf.DUMMYFUNCTION("IF(A9="""","""",
TEXTJOIN(""-"",TRUE,
IFERROR(
  INDEX(FILTER(CFG_CODES!C:C, CFG_CODES!A:A=""CATEGORY"", UPPER(CFG_CODES!B:B)=UPPER(B9))),
  LEFT(UPPER(B9),3)
),
IFERROR(
  INDEX(FILTER(CFG_CODES!C:C, CFG_CODES!A:A=""MATERIAL"", UPPER(CFG_CODES!B:B)=UPPER"&amp;"(C9))),
  LEFT(UPPER(C9),3)
),
TEXT(ROW()-1,""000"")
))"),"P-SBS-008")</f>
        <v>P-SBS-008</v>
      </c>
      <c r="J9" s="27" t="s">
        <v>1688</v>
      </c>
      <c r="K9" s="39">
        <v>1.5463917525773196</v>
      </c>
      <c r="L9" s="39">
        <v>2.0</v>
      </c>
      <c r="M9" s="39">
        <v>6.0</v>
      </c>
      <c r="N9" s="79">
        <v>200.0</v>
      </c>
      <c r="O9" s="27">
        <v>18.556701030927837</v>
      </c>
      <c r="P9" s="27"/>
      <c r="Q9" s="80">
        <v>0.0</v>
      </c>
      <c r="R9" s="81" t="s">
        <v>1689</v>
      </c>
      <c r="S9" s="81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</row>
    <row r="10" ht="15.0" customHeight="1">
      <c r="A10" s="83" t="s">
        <v>49</v>
      </c>
      <c r="B10" s="66" t="s">
        <v>1225</v>
      </c>
      <c r="C10" s="84" t="s">
        <v>1562</v>
      </c>
      <c r="D10" s="71" t="s">
        <v>1582</v>
      </c>
      <c r="E10" s="27" t="s">
        <v>1574</v>
      </c>
      <c r="F10" s="27" t="s">
        <v>1571</v>
      </c>
      <c r="G10" s="27" t="s">
        <v>1566</v>
      </c>
      <c r="H10" s="27" t="s">
        <v>22</v>
      </c>
      <c r="I10" s="27" t="str">
        <f>IFERROR(__xludf.DUMMYFUNCTION("IF(A10="""","""",
TEXTJOIN(""-"",TRUE,
IFERROR(
  INDEX(FILTER(CFG_CODES!C:C, CFG_CODES!A:A=""CATEGORY"", UPPER(CFG_CODES!B:B)=UPPER(B10))),
  LEFT(UPPER(B10),3)
),
IFERROR(
  INDEX(FILTER(CFG_CODES!C:C, CFG_CODES!A:A=""MATERIAL"", UPPER(CFG_CODES!B:B)=UP"&amp;"PER(C10))),
  LEFT(UPPER(C10),3)
),
TEXT(ROW()-1,""000"")
))"),"P-SBS-009")</f>
        <v>P-SBS-009</v>
      </c>
      <c r="J10" s="27" t="s">
        <v>1688</v>
      </c>
      <c r="K10" s="39">
        <v>6.907216494845361</v>
      </c>
      <c r="L10" s="39">
        <v>2.0</v>
      </c>
      <c r="M10" s="39">
        <v>6.0</v>
      </c>
      <c r="N10" s="79">
        <v>200.0</v>
      </c>
      <c r="O10" s="27">
        <v>82.88659793814433</v>
      </c>
      <c r="P10" s="27"/>
      <c r="Q10" s="88">
        <v>77.0</v>
      </c>
      <c r="R10" s="81" t="s">
        <v>1689</v>
      </c>
      <c r="S10" s="81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</row>
    <row r="11" ht="15.0" customHeight="1">
      <c r="A11" s="83" t="s">
        <v>58</v>
      </c>
      <c r="B11" s="66" t="s">
        <v>1225</v>
      </c>
      <c r="C11" s="84" t="s">
        <v>1562</v>
      </c>
      <c r="D11" s="71" t="s">
        <v>1584</v>
      </c>
      <c r="E11" s="27" t="s">
        <v>1586</v>
      </c>
      <c r="F11" s="27" t="s">
        <v>1571</v>
      </c>
      <c r="G11" s="27" t="s">
        <v>1566</v>
      </c>
      <c r="H11" s="27" t="s">
        <v>22</v>
      </c>
      <c r="I11" s="27" t="str">
        <f>IFERROR(__xludf.DUMMYFUNCTION("IF(A11="""","""",
TEXTJOIN(""-"",TRUE,
IFERROR(
  INDEX(FILTER(CFG_CODES!C:C, CFG_CODES!A:A=""CATEGORY"", UPPER(CFG_CODES!B:B)=UPPER(B11))),
  LEFT(UPPER(B11),3)
),
IFERROR(
  INDEX(FILTER(CFG_CODES!C:C, CFG_CODES!A:A=""MATERIAL"", UPPER(CFG_CODES!B:B)=UP"&amp;"PER(C11))),
  LEFT(UPPER(C11),3)
),
TEXT(ROW()-1,""000"")
))"),"P-SBS-010")</f>
        <v>P-SBS-010</v>
      </c>
      <c r="J11" s="27" t="s">
        <v>1688</v>
      </c>
      <c r="K11" s="39">
        <v>10.309278350515465</v>
      </c>
      <c r="L11" s="39">
        <v>2.0</v>
      </c>
      <c r="M11" s="39">
        <v>6.0</v>
      </c>
      <c r="N11" s="79">
        <v>200.0</v>
      </c>
      <c r="O11" s="27">
        <v>123.71134020618558</v>
      </c>
      <c r="P11" s="27"/>
      <c r="Q11" s="88">
        <v>39.0</v>
      </c>
      <c r="R11" s="81" t="s">
        <v>1689</v>
      </c>
      <c r="S11" s="81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</row>
    <row r="12" ht="15.0" customHeight="1">
      <c r="A12" s="83" t="s">
        <v>575</v>
      </c>
      <c r="B12" s="66" t="s">
        <v>1225</v>
      </c>
      <c r="C12" s="84" t="s">
        <v>1562</v>
      </c>
      <c r="D12" s="71" t="s">
        <v>1587</v>
      </c>
      <c r="E12" s="27" t="s">
        <v>1564</v>
      </c>
      <c r="F12" s="27" t="s">
        <v>1571</v>
      </c>
      <c r="G12" s="27" t="s">
        <v>1566</v>
      </c>
      <c r="H12" s="27" t="s">
        <v>22</v>
      </c>
      <c r="I12" s="27" t="str">
        <f>IFERROR(__xludf.DUMMYFUNCTION("IF(A12="""","""",
TEXTJOIN(""-"",TRUE,
IFERROR(
  INDEX(FILTER(CFG_CODES!C:C, CFG_CODES!A:A=""CATEGORY"", UPPER(CFG_CODES!B:B)=UPPER(B12))),
  LEFT(UPPER(B12),3)
),
IFERROR(
  INDEX(FILTER(CFG_CODES!C:C, CFG_CODES!A:A=""MATERIAL"", UPPER(CFG_CODES!B:B)=UP"&amp;"PER(C12))),
  LEFT(UPPER(C12),3)
),
TEXT(ROW()-1,""000"")
))"),"P-SBS-011")</f>
        <v>P-SBS-011</v>
      </c>
      <c r="J12" s="27" t="s">
        <v>1688</v>
      </c>
      <c r="K12" s="39">
        <v>35.05154639175258</v>
      </c>
      <c r="L12" s="39">
        <v>2.0</v>
      </c>
      <c r="M12" s="39">
        <v>6.0</v>
      </c>
      <c r="N12" s="79">
        <v>200.0</v>
      </c>
      <c r="O12" s="27">
        <v>420.61855670103097</v>
      </c>
      <c r="P12" s="27"/>
      <c r="Q12" s="80">
        <v>0.0</v>
      </c>
      <c r="R12" s="81" t="s">
        <v>1689</v>
      </c>
      <c r="S12" s="81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</row>
    <row r="13" ht="15.0" customHeight="1">
      <c r="A13" s="83" t="s">
        <v>67</v>
      </c>
      <c r="B13" s="66" t="s">
        <v>1225</v>
      </c>
      <c r="C13" s="84" t="s">
        <v>1562</v>
      </c>
      <c r="D13" s="71" t="s">
        <v>1587</v>
      </c>
      <c r="E13" s="27" t="s">
        <v>1572</v>
      </c>
      <c r="F13" s="27" t="s">
        <v>1571</v>
      </c>
      <c r="G13" s="27" t="s">
        <v>1566</v>
      </c>
      <c r="H13" s="27" t="s">
        <v>22</v>
      </c>
      <c r="I13" s="27" t="str">
        <f>IFERROR(__xludf.DUMMYFUNCTION("IF(A13="""","""",
TEXTJOIN(""-"",TRUE,
IFERROR(
  INDEX(FILTER(CFG_CODES!C:C, CFG_CODES!A:A=""CATEGORY"", UPPER(CFG_CODES!B:B)=UPPER(B13))),
  LEFT(UPPER(B13),3)
),
IFERROR(
  INDEX(FILTER(CFG_CODES!C:C, CFG_CODES!A:A=""MATERIAL"", UPPER(CFG_CODES!B:B)=UP"&amp;"PER(C13))),
  LEFT(UPPER(C13),3)
),
TEXT(ROW()-1,""000"")
))"),"P-SBS-012")</f>
        <v>P-SBS-012</v>
      </c>
      <c r="J13" s="27" t="s">
        <v>1688</v>
      </c>
      <c r="K13" s="39">
        <v>6.185567010309279</v>
      </c>
      <c r="L13" s="39">
        <v>2.0</v>
      </c>
      <c r="M13" s="39">
        <v>6.0</v>
      </c>
      <c r="N13" s="79">
        <v>200.0</v>
      </c>
      <c r="O13" s="27">
        <v>74.22680412371135</v>
      </c>
      <c r="P13" s="27"/>
      <c r="Q13" s="80">
        <v>162.0</v>
      </c>
      <c r="R13" s="81" t="s">
        <v>1689</v>
      </c>
      <c r="S13" s="81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</row>
    <row r="14" ht="15.0" customHeight="1">
      <c r="A14" s="82" t="s">
        <v>349</v>
      </c>
      <c r="B14" s="66" t="s">
        <v>1225</v>
      </c>
      <c r="C14" s="84" t="s">
        <v>1562</v>
      </c>
      <c r="D14" s="71" t="s">
        <v>1591</v>
      </c>
      <c r="E14" s="39" t="s">
        <v>1564</v>
      </c>
      <c r="F14" s="27" t="s">
        <v>1565</v>
      </c>
      <c r="G14" s="27" t="s">
        <v>1566</v>
      </c>
      <c r="H14" s="27" t="s">
        <v>22</v>
      </c>
      <c r="I14" s="27" t="str">
        <f>IFERROR(__xludf.DUMMYFUNCTION("IF(A14="""","""",
TEXTJOIN(""-"",TRUE,
IFERROR(
  INDEX(FILTER(CFG_CODES!C:C, CFG_CODES!A:A=""CATEGORY"", UPPER(CFG_CODES!B:B)=UPPER(B14))),
  LEFT(UPPER(B14),3)
),
IFERROR(
  INDEX(FILTER(CFG_CODES!C:C, CFG_CODES!A:A=""MATERIAL"", UPPER(CFG_CODES!B:B)=UP"&amp;"PER(C14))),
  LEFT(UPPER(C14),3)
),
TEXT(ROW()-1,""000"")
))"),"P-SBS-013")</f>
        <v>P-SBS-013</v>
      </c>
      <c r="J14" s="27" t="s">
        <v>1688</v>
      </c>
      <c r="K14" s="39">
        <v>55.670103092783506</v>
      </c>
      <c r="L14" s="39">
        <v>2.0</v>
      </c>
      <c r="M14" s="39">
        <v>6.0</v>
      </c>
      <c r="N14" s="79">
        <v>200.0</v>
      </c>
      <c r="O14" s="27">
        <v>668.0412371134021</v>
      </c>
      <c r="P14" s="27"/>
      <c r="Q14" s="80">
        <v>0.0</v>
      </c>
      <c r="R14" s="81" t="s">
        <v>1689</v>
      </c>
      <c r="S14" s="81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</row>
    <row r="15" ht="15.0" customHeight="1">
      <c r="A15" s="83" t="s">
        <v>1594</v>
      </c>
      <c r="B15" s="66" t="s">
        <v>1225</v>
      </c>
      <c r="C15" s="84" t="s">
        <v>1562</v>
      </c>
      <c r="D15" s="71" t="s">
        <v>1591</v>
      </c>
      <c r="E15" s="27" t="s">
        <v>1595</v>
      </c>
      <c r="F15" s="27" t="s">
        <v>1571</v>
      </c>
      <c r="G15" s="27" t="s">
        <v>1566</v>
      </c>
      <c r="H15" s="27" t="s">
        <v>22</v>
      </c>
      <c r="I15" s="27" t="str">
        <f>IFERROR(__xludf.DUMMYFUNCTION("IF(A15="""","""",
TEXTJOIN(""-"",TRUE,
IFERROR(
  INDEX(FILTER(CFG_CODES!C:C, CFG_CODES!A:A=""CATEGORY"", UPPER(CFG_CODES!B:B)=UPPER(B15))),
  LEFT(UPPER(B15),3)
),
IFERROR(
  INDEX(FILTER(CFG_CODES!C:C, CFG_CODES!A:A=""MATERIAL"", UPPER(CFG_CODES!B:B)=UP"&amp;"PER(C15))),
  LEFT(UPPER(C15),3)
),
TEXT(ROW()-1,""000"")
))"),"P-SBS-014")</f>
        <v>P-SBS-014</v>
      </c>
      <c r="J15" s="27" t="s">
        <v>1688</v>
      </c>
      <c r="K15" s="39">
        <v>8.24742268041237</v>
      </c>
      <c r="L15" s="39">
        <v>2.0</v>
      </c>
      <c r="M15" s="39">
        <v>6.0</v>
      </c>
      <c r="N15" s="79">
        <v>200.0</v>
      </c>
      <c r="O15" s="27">
        <v>98.96907216494844</v>
      </c>
      <c r="P15" s="27"/>
      <c r="Q15" s="80">
        <v>0.0</v>
      </c>
      <c r="R15" s="81" t="s">
        <v>1689</v>
      </c>
      <c r="S15" s="81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</row>
    <row r="16" ht="15.0" customHeight="1">
      <c r="A16" s="82" t="s">
        <v>75</v>
      </c>
      <c r="B16" s="66" t="s">
        <v>1225</v>
      </c>
      <c r="C16" s="84" t="s">
        <v>1562</v>
      </c>
      <c r="D16" s="71" t="s">
        <v>1591</v>
      </c>
      <c r="E16" s="27" t="s">
        <v>1597</v>
      </c>
      <c r="F16" s="27" t="s">
        <v>1566</v>
      </c>
      <c r="G16" s="27" t="s">
        <v>1566</v>
      </c>
      <c r="H16" s="27" t="s">
        <v>22</v>
      </c>
      <c r="I16" s="27" t="str">
        <f>IFERROR(__xludf.DUMMYFUNCTION("IF(A16="""","""",
TEXTJOIN(""-"",TRUE,
IFERROR(
  INDEX(FILTER(CFG_CODES!C:C, CFG_CODES!A:A=""CATEGORY"", UPPER(CFG_CODES!B:B)=UPPER(B16))),
  LEFT(UPPER(B16),3)
),
IFERROR(
  INDEX(FILTER(CFG_CODES!C:C, CFG_CODES!A:A=""MATERIAL"", UPPER(CFG_CODES!B:B)=UP"&amp;"PER(C16))),
  LEFT(UPPER(C16),3)
),
TEXT(ROW()-1,""000"")
))"),"P-SBS-015")</f>
        <v>P-SBS-015</v>
      </c>
      <c r="J16" s="27" t="s">
        <v>1688</v>
      </c>
      <c r="K16" s="39">
        <v>45.876288659793815</v>
      </c>
      <c r="L16" s="39">
        <v>2.0</v>
      </c>
      <c r="M16" s="39">
        <v>6.0</v>
      </c>
      <c r="N16" s="79">
        <v>200.0</v>
      </c>
      <c r="O16" s="27">
        <v>550.5154639175257</v>
      </c>
      <c r="P16" s="27"/>
      <c r="Q16" s="80">
        <v>10.0</v>
      </c>
      <c r="R16" s="81" t="s">
        <v>1689</v>
      </c>
      <c r="S16" s="81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</row>
    <row r="17" ht="15.0" customHeight="1">
      <c r="A17" s="82" t="s">
        <v>84</v>
      </c>
      <c r="B17" s="66" t="s">
        <v>1225</v>
      </c>
      <c r="C17" s="84" t="s">
        <v>1562</v>
      </c>
      <c r="D17" s="71" t="s">
        <v>1600</v>
      </c>
      <c r="E17" s="39" t="s">
        <v>1597</v>
      </c>
      <c r="F17" s="27" t="s">
        <v>1571</v>
      </c>
      <c r="G17" s="27" t="s">
        <v>1566</v>
      </c>
      <c r="H17" s="27" t="s">
        <v>22</v>
      </c>
      <c r="I17" s="27" t="str">
        <f>IFERROR(__xludf.DUMMYFUNCTION("IF(A17="""","""",
TEXTJOIN(""-"",TRUE,
IFERROR(
  INDEX(FILTER(CFG_CODES!C:C, CFG_CODES!A:A=""CATEGORY"", UPPER(CFG_CODES!B:B)=UPPER(B17))),
  LEFT(UPPER(B17),3)
),
IFERROR(
  INDEX(FILTER(CFG_CODES!C:C, CFG_CODES!A:A=""MATERIAL"", UPPER(CFG_CODES!B:B)=UP"&amp;"PER(C17))),
  LEFT(UPPER(C17),3)
),
TEXT(ROW()-1,""000"")
))"),"P-SBS-016")</f>
        <v>P-SBS-016</v>
      </c>
      <c r="J17" s="27" t="s">
        <v>1688</v>
      </c>
      <c r="K17" s="39">
        <v>16.49484536082474</v>
      </c>
      <c r="L17" s="39">
        <v>2.0</v>
      </c>
      <c r="M17" s="39">
        <v>6.0</v>
      </c>
      <c r="N17" s="79">
        <v>200.0</v>
      </c>
      <c r="O17" s="27">
        <v>197.9381443298969</v>
      </c>
      <c r="P17" s="27"/>
      <c r="Q17" s="80">
        <v>49.0</v>
      </c>
      <c r="R17" s="81" t="s">
        <v>1689</v>
      </c>
      <c r="S17" s="81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</row>
    <row r="18" ht="15.0" customHeight="1">
      <c r="A18" s="83" t="s">
        <v>1602</v>
      </c>
      <c r="B18" s="66" t="s">
        <v>1225</v>
      </c>
      <c r="C18" s="84" t="s">
        <v>1562</v>
      </c>
      <c r="D18" s="71" t="s">
        <v>1603</v>
      </c>
      <c r="E18" s="27" t="s">
        <v>1604</v>
      </c>
      <c r="F18" s="27" t="s">
        <v>1571</v>
      </c>
      <c r="G18" s="27" t="s">
        <v>1566</v>
      </c>
      <c r="H18" s="27" t="s">
        <v>22</v>
      </c>
      <c r="I18" s="27" t="str">
        <f>IFERROR(__xludf.DUMMYFUNCTION("IF(A18="""","""",
TEXTJOIN(""-"",TRUE,
IFERROR(
  INDEX(FILTER(CFG_CODES!C:C, CFG_CODES!A:A=""CATEGORY"", UPPER(CFG_CODES!B:B)=UPPER(B18))),
  LEFT(UPPER(B18),3)
),
IFERROR(
  INDEX(FILTER(CFG_CODES!C:C, CFG_CODES!A:A=""MATERIAL"", UPPER(CFG_CODES!B:B)=UP"&amp;"PER(C18))),
  LEFT(UPPER(C18),3)
),
TEXT(ROW()-1,""000"")
))"),"P-SBS-017")</f>
        <v>P-SBS-017</v>
      </c>
      <c r="J18" s="27" t="s">
        <v>1688</v>
      </c>
      <c r="K18" s="39">
        <v>25.77319587628866</v>
      </c>
      <c r="L18" s="39">
        <v>2.0</v>
      </c>
      <c r="M18" s="39">
        <v>6.0</v>
      </c>
      <c r="N18" s="79">
        <v>200.0</v>
      </c>
      <c r="O18" s="27">
        <v>309.2783505154639</v>
      </c>
      <c r="P18" s="27"/>
      <c r="Q18" s="80">
        <v>0.0</v>
      </c>
      <c r="R18" s="81" t="s">
        <v>1689</v>
      </c>
      <c r="S18" s="81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</row>
    <row r="19" ht="15.0" customHeight="1">
      <c r="A19" s="82" t="s">
        <v>92</v>
      </c>
      <c r="B19" s="66" t="s">
        <v>1225</v>
      </c>
      <c r="C19" s="84" t="s">
        <v>1562</v>
      </c>
      <c r="D19" s="93" t="s">
        <v>1576</v>
      </c>
      <c r="E19" s="27" t="s">
        <v>1572</v>
      </c>
      <c r="F19" s="27" t="s">
        <v>1566</v>
      </c>
      <c r="G19" s="27" t="s">
        <v>1566</v>
      </c>
      <c r="H19" s="27" t="s">
        <v>22</v>
      </c>
      <c r="I19" s="27" t="str">
        <f>IFERROR(__xludf.DUMMYFUNCTION("IF(A19="""","""",
TEXTJOIN(""-"",TRUE,
IFERROR(
  INDEX(FILTER(CFG_CODES!C:C, CFG_CODES!A:A=""CATEGORY"", UPPER(CFG_CODES!B:B)=UPPER(B19))),
  LEFT(UPPER(B19),3)
),
IFERROR(
  INDEX(FILTER(CFG_CODES!C:C, CFG_CODES!A:A=""MATERIAL"", UPPER(CFG_CODES!B:B)=UP"&amp;"PER(C19))),
  LEFT(UPPER(C19),3)
),
TEXT(ROW()-1,""000"")
))"),"P-SBS-018")</f>
        <v>P-SBS-018</v>
      </c>
      <c r="J19" s="27" t="s">
        <v>1688</v>
      </c>
      <c r="K19" s="39">
        <v>24.742268041237114</v>
      </c>
      <c r="L19" s="39">
        <v>2.0</v>
      </c>
      <c r="M19" s="39">
        <v>6.0</v>
      </c>
      <c r="N19" s="79">
        <v>200.0</v>
      </c>
      <c r="O19" s="27">
        <v>296.9072164948454</v>
      </c>
      <c r="P19" s="27"/>
      <c r="Q19" s="80">
        <v>16.0</v>
      </c>
      <c r="R19" s="81" t="s">
        <v>1689</v>
      </c>
      <c r="S19" s="81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</row>
    <row r="20" ht="15.0" customHeight="1">
      <c r="A20" s="83" t="s">
        <v>99</v>
      </c>
      <c r="B20" s="66" t="s">
        <v>1225</v>
      </c>
      <c r="C20" s="84" t="s">
        <v>1562</v>
      </c>
      <c r="D20" s="93" t="s">
        <v>1606</v>
      </c>
      <c r="E20" s="27" t="s">
        <v>1572</v>
      </c>
      <c r="F20" s="27" t="s">
        <v>1565</v>
      </c>
      <c r="G20" s="27" t="s">
        <v>1566</v>
      </c>
      <c r="H20" s="27" t="s">
        <v>22</v>
      </c>
      <c r="I20" s="27" t="str">
        <f>IFERROR(__xludf.DUMMYFUNCTION("IF(A20="""","""",
TEXTJOIN(""-"",TRUE,
IFERROR(
  INDEX(FILTER(CFG_CODES!C:C, CFG_CODES!A:A=""CATEGORY"", UPPER(CFG_CODES!B:B)=UPPER(B20))),
  LEFT(UPPER(B20),3)
),
IFERROR(
  INDEX(FILTER(CFG_CODES!C:C, CFG_CODES!A:A=""MATERIAL"", UPPER(CFG_CODES!B:B)=UP"&amp;"PER(C20))),
  LEFT(UPPER(C20),3)
),
TEXT(ROW()-1,""000"")
))"),"P-SBS-019")</f>
        <v>P-SBS-019</v>
      </c>
      <c r="J20" s="27" t="s">
        <v>1688</v>
      </c>
      <c r="K20" s="39">
        <v>0.0</v>
      </c>
      <c r="L20" s="39">
        <v>2.0</v>
      </c>
      <c r="M20" s="39">
        <v>6.0</v>
      </c>
      <c r="N20" s="79">
        <v>200.0</v>
      </c>
      <c r="O20" s="27" t="s">
        <v>1333</v>
      </c>
      <c r="P20" s="27"/>
      <c r="Q20" s="81"/>
      <c r="R20" s="81" t="s">
        <v>1689</v>
      </c>
      <c r="S20" s="81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</row>
    <row r="21" ht="15.0" customHeight="1">
      <c r="A21" s="82" t="s">
        <v>106</v>
      </c>
      <c r="B21" s="66" t="s">
        <v>1225</v>
      </c>
      <c r="C21" s="84" t="s">
        <v>1562</v>
      </c>
      <c r="D21" s="93" t="s">
        <v>1582</v>
      </c>
      <c r="E21" s="39" t="s">
        <v>1607</v>
      </c>
      <c r="F21" s="27" t="s">
        <v>1571</v>
      </c>
      <c r="G21" s="27" t="s">
        <v>1566</v>
      </c>
      <c r="H21" s="27" t="s">
        <v>22</v>
      </c>
      <c r="I21" s="27" t="str">
        <f>IFERROR(__xludf.DUMMYFUNCTION("IF(A21="""","""",
TEXTJOIN(""-"",TRUE,
IFERROR(
  INDEX(FILTER(CFG_CODES!C:C, CFG_CODES!A:A=""CATEGORY"", UPPER(CFG_CODES!B:B)=UPPER(B21))),
  LEFT(UPPER(B21),3)
),
IFERROR(
  INDEX(FILTER(CFG_CODES!C:C, CFG_CODES!A:A=""MATERIAL"", UPPER(CFG_CODES!B:B)=UP"&amp;"PER(C21))),
  LEFT(UPPER(C21),3)
),
TEXT(ROW()-1,""000"")
))"),"P-SBS-020")</f>
        <v>P-SBS-020</v>
      </c>
      <c r="J21" s="27" t="s">
        <v>1688</v>
      </c>
      <c r="K21" s="39">
        <v>49.48453608247423</v>
      </c>
      <c r="L21" s="39">
        <v>2.0</v>
      </c>
      <c r="M21" s="39">
        <v>6.0</v>
      </c>
      <c r="N21" s="79">
        <v>200.0</v>
      </c>
      <c r="O21" s="27">
        <v>593.8144329896908</v>
      </c>
      <c r="P21" s="27"/>
      <c r="Q21" s="80">
        <v>0.0</v>
      </c>
      <c r="R21" s="81" t="s">
        <v>1689</v>
      </c>
      <c r="S21" s="81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</row>
    <row r="22" ht="15.0" customHeight="1">
      <c r="A22" s="83" t="s">
        <v>115</v>
      </c>
      <c r="B22" s="66" t="s">
        <v>1225</v>
      </c>
      <c r="C22" s="84" t="s">
        <v>1562</v>
      </c>
      <c r="D22" s="93" t="s">
        <v>1608</v>
      </c>
      <c r="E22" s="27" t="s">
        <v>1564</v>
      </c>
      <c r="F22" s="27" t="s">
        <v>1565</v>
      </c>
      <c r="G22" s="27" t="s">
        <v>1566</v>
      </c>
      <c r="H22" s="27" t="s">
        <v>22</v>
      </c>
      <c r="I22" s="27" t="str">
        <f>IFERROR(__xludf.DUMMYFUNCTION("IF(A22="""","""",
TEXTJOIN(""-"",TRUE,
IFERROR(
  INDEX(FILTER(CFG_CODES!C:C, CFG_CODES!A:A=""CATEGORY"", UPPER(CFG_CODES!B:B)=UPPER(B22))),
  LEFT(UPPER(B22),3)
),
IFERROR(
  INDEX(FILTER(CFG_CODES!C:C, CFG_CODES!A:A=""MATERIAL"", UPPER(CFG_CODES!B:B)=UP"&amp;"PER(C22))),
  LEFT(UPPER(C22),3)
),
TEXT(ROW()-1,""000"")
))"),"P-SBS-021")</f>
        <v>P-SBS-021</v>
      </c>
      <c r="J22" s="27" t="s">
        <v>1688</v>
      </c>
      <c r="K22" s="39">
        <v>0.0</v>
      </c>
      <c r="L22" s="39">
        <v>2.0</v>
      </c>
      <c r="M22" s="39">
        <v>6.0</v>
      </c>
      <c r="N22" s="79">
        <v>200.0</v>
      </c>
      <c r="O22" s="27" t="s">
        <v>1333</v>
      </c>
      <c r="P22" s="27"/>
      <c r="Q22" s="81"/>
      <c r="R22" s="81" t="s">
        <v>1689</v>
      </c>
      <c r="S22" s="81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</row>
    <row r="23" ht="15.0" customHeight="1">
      <c r="A23" s="83" t="s">
        <v>1612</v>
      </c>
      <c r="B23" s="66" t="s">
        <v>1225</v>
      </c>
      <c r="C23" s="84" t="s">
        <v>1562</v>
      </c>
      <c r="D23" s="93" t="s">
        <v>1613</v>
      </c>
      <c r="E23" s="27" t="s">
        <v>1564</v>
      </c>
      <c r="F23" s="27" t="s">
        <v>1565</v>
      </c>
      <c r="G23" s="27" t="s">
        <v>1566</v>
      </c>
      <c r="H23" s="27" t="s">
        <v>22</v>
      </c>
      <c r="I23" s="27" t="str">
        <f>IFERROR(__xludf.DUMMYFUNCTION("IF(A23="""","""",
TEXTJOIN(""-"",TRUE,
IFERROR(
  INDEX(FILTER(CFG_CODES!C:C, CFG_CODES!A:A=""CATEGORY"", UPPER(CFG_CODES!B:B)=UPPER(B23))),
  LEFT(UPPER(B23),3)
),
IFERROR(
  INDEX(FILTER(CFG_CODES!C:C, CFG_CODES!A:A=""MATERIAL"", UPPER(CFG_CODES!B:B)=UP"&amp;"PER(C23))),
  LEFT(UPPER(C23),3)
),
TEXT(ROW()-1,""000"")
))"),"P-SBS-022")</f>
        <v>P-SBS-022</v>
      </c>
      <c r="J23" s="27" t="s">
        <v>1688</v>
      </c>
      <c r="K23" s="39">
        <v>4.123711340206185</v>
      </c>
      <c r="L23" s="39">
        <v>2.0</v>
      </c>
      <c r="M23" s="39">
        <v>6.0</v>
      </c>
      <c r="N23" s="79">
        <v>200.0</v>
      </c>
      <c r="O23" s="27">
        <v>49.48453608247422</v>
      </c>
      <c r="P23" s="27"/>
      <c r="Q23" s="80">
        <v>0.0</v>
      </c>
      <c r="R23" s="81" t="s">
        <v>1689</v>
      </c>
      <c r="S23" s="81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</row>
    <row r="24" ht="15.0" customHeight="1">
      <c r="A24" s="82" t="s">
        <v>121</v>
      </c>
      <c r="B24" s="66" t="s">
        <v>1225</v>
      </c>
      <c r="C24" s="84" t="s">
        <v>1562</v>
      </c>
      <c r="D24" s="94" t="s">
        <v>1613</v>
      </c>
      <c r="E24" s="27" t="s">
        <v>1604</v>
      </c>
      <c r="F24" s="27" t="s">
        <v>1571</v>
      </c>
      <c r="G24" s="27" t="s">
        <v>1566</v>
      </c>
      <c r="H24" s="27" t="s">
        <v>22</v>
      </c>
      <c r="I24" s="27" t="str">
        <f>IFERROR(__xludf.DUMMYFUNCTION("IF(A24="""","""",
TEXTJOIN(""-"",TRUE,
IFERROR(
  INDEX(FILTER(CFG_CODES!C:C, CFG_CODES!A:A=""CATEGORY"", UPPER(CFG_CODES!B:B)=UPPER(B24))),
  LEFT(UPPER(B24),3)
),
IFERROR(
  INDEX(FILTER(CFG_CODES!C:C, CFG_CODES!A:A=""MATERIAL"", UPPER(CFG_CODES!B:B)=UP"&amp;"PER(C24))),
  LEFT(UPPER(C24),3)
),
TEXT(ROW()-1,""000"")
))"),"P-SBS-023")</f>
        <v>P-SBS-023</v>
      </c>
      <c r="J24" s="27" t="s">
        <v>1688</v>
      </c>
      <c r="K24" s="39">
        <v>10.309278350515465</v>
      </c>
      <c r="L24" s="39">
        <v>2.0</v>
      </c>
      <c r="M24" s="39">
        <v>6.0</v>
      </c>
      <c r="N24" s="79">
        <v>200.0</v>
      </c>
      <c r="O24" s="27">
        <v>123.71134020618558</v>
      </c>
      <c r="P24" s="27"/>
      <c r="Q24" s="80">
        <v>19.0</v>
      </c>
      <c r="R24" s="81" t="s">
        <v>1689</v>
      </c>
      <c r="S24" s="81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</row>
    <row r="25" ht="15.0" customHeight="1">
      <c r="A25" s="83" t="s">
        <v>130</v>
      </c>
      <c r="B25" s="66" t="s">
        <v>1225</v>
      </c>
      <c r="C25" s="84" t="s">
        <v>1562</v>
      </c>
      <c r="D25" s="93" t="s">
        <v>1615</v>
      </c>
      <c r="E25" s="27" t="s">
        <v>1575</v>
      </c>
      <c r="F25" s="27" t="s">
        <v>1571</v>
      </c>
      <c r="G25" s="27" t="s">
        <v>1566</v>
      </c>
      <c r="H25" s="27" t="s">
        <v>22</v>
      </c>
      <c r="I25" s="27" t="str">
        <f>IFERROR(__xludf.DUMMYFUNCTION("IF(A25="""","""",
TEXTJOIN(""-"",TRUE,
IFERROR(
  INDEX(FILTER(CFG_CODES!C:C, CFG_CODES!A:A=""CATEGORY"", UPPER(CFG_CODES!B:B)=UPPER(B25))),
  LEFT(UPPER(B25),3)
),
IFERROR(
  INDEX(FILTER(CFG_CODES!C:C, CFG_CODES!A:A=""MATERIAL"", UPPER(CFG_CODES!B:B)=UP"&amp;"PER(C25))),
  LEFT(UPPER(C25),3)
),
TEXT(ROW()-1,""000"")
))"),"P-SBS-024")</f>
        <v>P-SBS-024</v>
      </c>
      <c r="J25" s="27" t="s">
        <v>1688</v>
      </c>
      <c r="K25" s="39">
        <v>15.463917525773196</v>
      </c>
      <c r="L25" s="39">
        <v>2.0</v>
      </c>
      <c r="M25" s="39">
        <v>6.0</v>
      </c>
      <c r="N25" s="79">
        <v>200.0</v>
      </c>
      <c r="O25" s="27">
        <v>185.56701030927834</v>
      </c>
      <c r="P25" s="27"/>
      <c r="Q25" s="80">
        <v>32.0</v>
      </c>
      <c r="R25" s="81" t="s">
        <v>1689</v>
      </c>
      <c r="S25" s="81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</row>
    <row r="26" ht="15.0" customHeight="1">
      <c r="A26" s="82" t="s">
        <v>136</v>
      </c>
      <c r="B26" s="66" t="s">
        <v>1225</v>
      </c>
      <c r="C26" s="84" t="s">
        <v>1562</v>
      </c>
      <c r="D26" s="94" t="s">
        <v>1616</v>
      </c>
      <c r="E26" s="39" t="s">
        <v>1597</v>
      </c>
      <c r="F26" s="27" t="s">
        <v>1571</v>
      </c>
      <c r="G26" s="27" t="s">
        <v>1566</v>
      </c>
      <c r="H26" s="27" t="s">
        <v>22</v>
      </c>
      <c r="I26" s="27" t="str">
        <f>IFERROR(__xludf.DUMMYFUNCTION("IF(A26="""","""",
TEXTJOIN(""-"",TRUE,
IFERROR(
  INDEX(FILTER(CFG_CODES!C:C, CFG_CODES!A:A=""CATEGORY"", UPPER(CFG_CODES!B:B)=UPPER(B26))),
  LEFT(UPPER(B26),3)
),
IFERROR(
  INDEX(FILTER(CFG_CODES!C:C, CFG_CODES!A:A=""MATERIAL"", UPPER(CFG_CODES!B:B)=UP"&amp;"PER(C26))),
  LEFT(UPPER(C26),3)
),
TEXT(ROW()-1,""000"")
))"),"P-SBS-025")</f>
        <v>P-SBS-025</v>
      </c>
      <c r="J26" s="27" t="s">
        <v>1688</v>
      </c>
      <c r="K26" s="39">
        <v>14.43298969072165</v>
      </c>
      <c r="L26" s="39">
        <v>2.0</v>
      </c>
      <c r="M26" s="39">
        <v>6.0</v>
      </c>
      <c r="N26" s="79">
        <v>200.0</v>
      </c>
      <c r="O26" s="27">
        <v>173.1958762886598</v>
      </c>
      <c r="P26" s="27"/>
      <c r="Q26" s="80">
        <v>42.0</v>
      </c>
      <c r="R26" s="81" t="s">
        <v>1689</v>
      </c>
      <c r="S26" s="81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</row>
    <row r="27" ht="15.0" customHeight="1">
      <c r="A27" s="83" t="s">
        <v>144</v>
      </c>
      <c r="B27" s="66" t="s">
        <v>1225</v>
      </c>
      <c r="C27" s="84" t="s">
        <v>1562</v>
      </c>
      <c r="D27" s="93" t="s">
        <v>1617</v>
      </c>
      <c r="E27" s="27" t="s">
        <v>1618</v>
      </c>
      <c r="F27" s="27" t="s">
        <v>1565</v>
      </c>
      <c r="G27" s="27" t="s">
        <v>1566</v>
      </c>
      <c r="H27" s="27" t="s">
        <v>22</v>
      </c>
      <c r="I27" s="27" t="str">
        <f>IFERROR(__xludf.DUMMYFUNCTION("IF(A27="""","""",
TEXTJOIN(""-"",TRUE,
IFERROR(
  INDEX(FILTER(CFG_CODES!C:C, CFG_CODES!A:A=""CATEGORY"", UPPER(CFG_CODES!B:B)=UPPER(B27))),
  LEFT(UPPER(B27),3)
),
IFERROR(
  INDEX(FILTER(CFG_CODES!C:C, CFG_CODES!A:A=""MATERIAL"", UPPER(CFG_CODES!B:B)=UP"&amp;"PER(C27))),
  LEFT(UPPER(C27),3)
),
TEXT(ROW()-1,""000"")
))"),"P-SBS-026")</f>
        <v>P-SBS-026</v>
      </c>
      <c r="J27" s="27" t="s">
        <v>1688</v>
      </c>
      <c r="K27" s="39">
        <v>0.0</v>
      </c>
      <c r="L27" s="39">
        <v>2.0</v>
      </c>
      <c r="M27" s="39">
        <v>6.0</v>
      </c>
      <c r="N27" s="79">
        <v>200.0</v>
      </c>
      <c r="O27" s="27" t="s">
        <v>1333</v>
      </c>
      <c r="P27" s="27"/>
      <c r="Q27" s="81"/>
      <c r="R27" s="81" t="s">
        <v>1689</v>
      </c>
      <c r="S27" s="81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</row>
    <row r="28" ht="15.0" customHeight="1">
      <c r="A28" s="82" t="s">
        <v>547</v>
      </c>
      <c r="B28" s="66" t="s">
        <v>1225</v>
      </c>
      <c r="C28" s="84" t="s">
        <v>1562</v>
      </c>
      <c r="D28" s="94" t="s">
        <v>1619</v>
      </c>
      <c r="E28" s="27" t="s">
        <v>1564</v>
      </c>
      <c r="F28" s="27" t="s">
        <v>1571</v>
      </c>
      <c r="G28" s="27" t="s">
        <v>1566</v>
      </c>
      <c r="H28" s="27" t="s">
        <v>22</v>
      </c>
      <c r="I28" s="27" t="str">
        <f>IFERROR(__xludf.DUMMYFUNCTION("IF(A28="""","""",
TEXTJOIN(""-"",TRUE,
IFERROR(
  INDEX(FILTER(CFG_CODES!C:C, CFG_CODES!A:A=""CATEGORY"", UPPER(CFG_CODES!B:B)=UPPER(B28))),
  LEFT(UPPER(B28),3)
),
IFERROR(
  INDEX(FILTER(CFG_CODES!C:C, CFG_CODES!A:A=""MATERIAL"", UPPER(CFG_CODES!B:B)=UP"&amp;"PER(C28))),
  LEFT(UPPER(C28),3)
),
TEXT(ROW()-1,""000"")
))"),"P-SBS-027")</f>
        <v>P-SBS-027</v>
      </c>
      <c r="J28" s="27" t="s">
        <v>1688</v>
      </c>
      <c r="K28" s="39">
        <v>9.278350515463918</v>
      </c>
      <c r="L28" s="39">
        <v>2.0</v>
      </c>
      <c r="M28" s="39">
        <v>6.0</v>
      </c>
      <c r="N28" s="79">
        <v>200.0</v>
      </c>
      <c r="O28" s="27">
        <v>111.34020618556701</v>
      </c>
      <c r="P28" s="27"/>
      <c r="Q28" s="80">
        <v>0.0</v>
      </c>
      <c r="R28" s="81" t="s">
        <v>1689</v>
      </c>
      <c r="S28" s="81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</row>
    <row r="29" ht="15.0" customHeight="1">
      <c r="A29" s="83" t="s">
        <v>1620</v>
      </c>
      <c r="B29" s="66" t="s">
        <v>1225</v>
      </c>
      <c r="C29" s="84" t="s">
        <v>1562</v>
      </c>
      <c r="D29" s="93" t="s">
        <v>1621</v>
      </c>
      <c r="E29" s="27" t="s">
        <v>1622</v>
      </c>
      <c r="F29" s="27" t="s">
        <v>1571</v>
      </c>
      <c r="G29" s="27" t="s">
        <v>1566</v>
      </c>
      <c r="H29" s="27" t="s">
        <v>22</v>
      </c>
      <c r="I29" s="27" t="str">
        <f>IFERROR(__xludf.DUMMYFUNCTION("IF(A29="""","""",
TEXTJOIN(""-"",TRUE,
IFERROR(
  INDEX(FILTER(CFG_CODES!C:C, CFG_CODES!A:A=""CATEGORY"", UPPER(CFG_CODES!B:B)=UPPER(B29))),
  LEFT(UPPER(B29),3)
),
IFERROR(
  INDEX(FILTER(CFG_CODES!C:C, CFG_CODES!A:A=""MATERIAL"", UPPER(CFG_CODES!B:B)=UP"&amp;"PER(C29))),
  LEFT(UPPER(C29),3)
),
TEXT(ROW()-1,""000"")
))"),"P-SBS-028")</f>
        <v>P-SBS-028</v>
      </c>
      <c r="J29" s="27" t="s">
        <v>1688</v>
      </c>
      <c r="K29" s="39">
        <v>8.24742268041237</v>
      </c>
      <c r="L29" s="39">
        <v>2.0</v>
      </c>
      <c r="M29" s="39">
        <v>6.0</v>
      </c>
      <c r="N29" s="79">
        <v>200.0</v>
      </c>
      <c r="O29" s="27">
        <v>98.96907216494844</v>
      </c>
      <c r="P29" s="27"/>
      <c r="Q29" s="80">
        <v>0.0</v>
      </c>
      <c r="R29" s="81" t="s">
        <v>1689</v>
      </c>
      <c r="S29" s="81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</row>
    <row r="30" ht="15.0" customHeight="1">
      <c r="A30" s="83" t="s">
        <v>1624</v>
      </c>
      <c r="B30" s="66" t="s">
        <v>1225</v>
      </c>
      <c r="C30" s="84" t="s">
        <v>1562</v>
      </c>
      <c r="D30" s="93" t="s">
        <v>1625</v>
      </c>
      <c r="E30" s="27" t="s">
        <v>1626</v>
      </c>
      <c r="F30" s="27" t="s">
        <v>1571</v>
      </c>
      <c r="G30" s="27" t="s">
        <v>1566</v>
      </c>
      <c r="H30" s="27" t="s">
        <v>22</v>
      </c>
      <c r="I30" s="27" t="str">
        <f>IFERROR(__xludf.DUMMYFUNCTION("IF(A30="""","""",
TEXTJOIN(""-"",TRUE,
IFERROR(
  INDEX(FILTER(CFG_CODES!C:C, CFG_CODES!A:A=""CATEGORY"", UPPER(CFG_CODES!B:B)=UPPER(B30))),
  LEFT(UPPER(B30),3)
),
IFERROR(
  INDEX(FILTER(CFG_CODES!C:C, CFG_CODES!A:A=""MATERIAL"", UPPER(CFG_CODES!B:B)=UP"&amp;"PER(C30))),
  LEFT(UPPER(C30),3)
),
TEXT(ROW()-1,""000"")
))"),"P-SBS-029")</f>
        <v>P-SBS-029</v>
      </c>
      <c r="J30" s="27" t="s">
        <v>1688</v>
      </c>
      <c r="K30" s="39">
        <v>8.24742268041237</v>
      </c>
      <c r="L30" s="39">
        <v>2.0</v>
      </c>
      <c r="M30" s="39">
        <v>6.0</v>
      </c>
      <c r="N30" s="79">
        <v>200.0</v>
      </c>
      <c r="O30" s="27">
        <v>98.96907216494844</v>
      </c>
      <c r="P30" s="27"/>
      <c r="Q30" s="80">
        <v>0.0</v>
      </c>
      <c r="R30" s="81" t="s">
        <v>1689</v>
      </c>
      <c r="S30" s="81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</row>
    <row r="31" ht="15.0" customHeight="1">
      <c r="A31" s="83" t="s">
        <v>154</v>
      </c>
      <c r="B31" s="66" t="s">
        <v>1225</v>
      </c>
      <c r="C31" s="84" t="s">
        <v>1562</v>
      </c>
      <c r="D31" s="93" t="s">
        <v>1627</v>
      </c>
      <c r="E31" s="27" t="s">
        <v>1628</v>
      </c>
      <c r="F31" s="27" t="s">
        <v>1571</v>
      </c>
      <c r="G31" s="27" t="s">
        <v>1566</v>
      </c>
      <c r="H31" s="27" t="s">
        <v>22</v>
      </c>
      <c r="I31" s="27" t="str">
        <f>IFERROR(__xludf.DUMMYFUNCTION("IF(A31="""","""",
TEXTJOIN(""-"",TRUE,
IFERROR(
  INDEX(FILTER(CFG_CODES!C:C, CFG_CODES!A:A=""CATEGORY"", UPPER(CFG_CODES!B:B)=UPPER(B31))),
  LEFT(UPPER(B31),3)
),
IFERROR(
  INDEX(FILTER(CFG_CODES!C:C, CFG_CODES!A:A=""MATERIAL"", UPPER(CFG_CODES!B:B)=UP"&amp;"PER(C31))),
  LEFT(UPPER(C31),3)
),
TEXT(ROW()-1,""000"")
))"),"P-SBS-030")</f>
        <v>P-SBS-030</v>
      </c>
      <c r="J31" s="27" t="s">
        <v>1688</v>
      </c>
      <c r="K31" s="39">
        <v>0.0</v>
      </c>
      <c r="L31" s="39">
        <v>2.0</v>
      </c>
      <c r="M31" s="39">
        <v>6.0</v>
      </c>
      <c r="N31" s="79">
        <v>200.0</v>
      </c>
      <c r="O31" s="27" t="s">
        <v>1333</v>
      </c>
      <c r="P31" s="27"/>
      <c r="Q31" s="81"/>
      <c r="R31" s="81" t="s">
        <v>1689</v>
      </c>
      <c r="S31" s="81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</row>
    <row r="32" ht="15.0" customHeight="1">
      <c r="A32" s="83" t="s">
        <v>161</v>
      </c>
      <c r="B32" s="66" t="s">
        <v>1225</v>
      </c>
      <c r="C32" s="84" t="s">
        <v>1562</v>
      </c>
      <c r="D32" s="93" t="s">
        <v>1629</v>
      </c>
      <c r="E32" s="27" t="s">
        <v>1574</v>
      </c>
      <c r="F32" s="27" t="s">
        <v>1571</v>
      </c>
      <c r="G32" s="27" t="s">
        <v>1566</v>
      </c>
      <c r="H32" s="27" t="s">
        <v>22</v>
      </c>
      <c r="I32" s="27" t="str">
        <f>IFERROR(__xludf.DUMMYFUNCTION("IF(A32="""","""",
TEXTJOIN(""-"",TRUE,
IFERROR(
  INDEX(FILTER(CFG_CODES!C:C, CFG_CODES!A:A=""CATEGORY"", UPPER(CFG_CODES!B:B)=UPPER(B32))),
  LEFT(UPPER(B32),3)
),
IFERROR(
  INDEX(FILTER(CFG_CODES!C:C, CFG_CODES!A:A=""MATERIAL"", UPPER(CFG_CODES!B:B)=UP"&amp;"PER(C32))),
  LEFT(UPPER(C32),3)
),
TEXT(ROW()-1,""000"")
))"),"P-SBS-031")</f>
        <v>P-SBS-031</v>
      </c>
      <c r="J32" s="27" t="s">
        <v>1688</v>
      </c>
      <c r="K32" s="39">
        <v>6.185567010309279</v>
      </c>
      <c r="L32" s="39">
        <v>2.0</v>
      </c>
      <c r="M32" s="39">
        <v>6.0</v>
      </c>
      <c r="N32" s="79">
        <v>200.0</v>
      </c>
      <c r="O32" s="27">
        <v>74.22680412371135</v>
      </c>
      <c r="P32" s="27"/>
      <c r="Q32" s="80">
        <v>113.0</v>
      </c>
      <c r="R32" s="81" t="s">
        <v>1689</v>
      </c>
      <c r="S32" s="81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</row>
    <row r="33" ht="15.0" customHeight="1">
      <c r="A33" s="83" t="s">
        <v>1630</v>
      </c>
      <c r="B33" s="66" t="s">
        <v>1225</v>
      </c>
      <c r="C33" s="84" t="s">
        <v>1562</v>
      </c>
      <c r="D33" s="93" t="s">
        <v>1631</v>
      </c>
      <c r="E33" s="27" t="s">
        <v>1564</v>
      </c>
      <c r="F33" s="27" t="s">
        <v>1571</v>
      </c>
      <c r="G33" s="27" t="s">
        <v>1566</v>
      </c>
      <c r="H33" s="27" t="s">
        <v>22</v>
      </c>
      <c r="I33" s="27" t="str">
        <f>IFERROR(__xludf.DUMMYFUNCTION("IF(A33="""","""",
TEXTJOIN(""-"",TRUE,
IFERROR(
  INDEX(FILTER(CFG_CODES!C:C, CFG_CODES!A:A=""CATEGORY"", UPPER(CFG_CODES!B:B)=UPPER(B33))),
  LEFT(UPPER(B33),3)
),
IFERROR(
  INDEX(FILTER(CFG_CODES!C:C, CFG_CODES!A:A=""MATERIAL"", UPPER(CFG_CODES!B:B)=UP"&amp;"PER(C33))),
  LEFT(UPPER(C33),3)
),
TEXT(ROW()-1,""000"")
))"),"P-SBS-032")</f>
        <v>P-SBS-032</v>
      </c>
      <c r="J33" s="27" t="s">
        <v>1688</v>
      </c>
      <c r="K33" s="39">
        <v>10.309278350515465</v>
      </c>
      <c r="L33" s="39">
        <v>2.0</v>
      </c>
      <c r="M33" s="39">
        <v>6.0</v>
      </c>
      <c r="N33" s="79">
        <v>200.0</v>
      </c>
      <c r="O33" s="27">
        <v>123.71134020618558</v>
      </c>
      <c r="P33" s="27"/>
      <c r="Q33" s="80">
        <v>0.0</v>
      </c>
      <c r="R33" s="81" t="s">
        <v>1689</v>
      </c>
      <c r="S33" s="81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</row>
    <row r="34" ht="15.0" customHeight="1">
      <c r="A34" s="83" t="s">
        <v>168</v>
      </c>
      <c r="B34" s="66" t="s">
        <v>1225</v>
      </c>
      <c r="C34" s="84" t="s">
        <v>1562</v>
      </c>
      <c r="D34" s="93" t="s">
        <v>1632</v>
      </c>
      <c r="E34" s="27" t="s">
        <v>1564</v>
      </c>
      <c r="F34" s="27" t="s">
        <v>1571</v>
      </c>
      <c r="G34" s="27" t="s">
        <v>1566</v>
      </c>
      <c r="H34" s="27" t="s">
        <v>22</v>
      </c>
      <c r="I34" s="27" t="str">
        <f>IFERROR(__xludf.DUMMYFUNCTION("IF(A34="""","""",
TEXTJOIN(""-"",TRUE,
IFERROR(
  INDEX(FILTER(CFG_CODES!C:C, CFG_CODES!A:A=""CATEGORY"", UPPER(CFG_CODES!B:B)=UPPER(B34))),
  LEFT(UPPER(B34),3)
),
IFERROR(
  INDEX(FILTER(CFG_CODES!C:C, CFG_CODES!A:A=""MATERIAL"", UPPER(CFG_CODES!B:B)=UP"&amp;"PER(C34))),
  LEFT(UPPER(C34),3)
),
TEXT(ROW()-1,""000"")
))"),"P-SBS-033")</f>
        <v>P-SBS-033</v>
      </c>
      <c r="J34" s="27" t="s">
        <v>1688</v>
      </c>
      <c r="K34" s="39">
        <v>0.0</v>
      </c>
      <c r="L34" s="39">
        <v>2.0</v>
      </c>
      <c r="M34" s="39">
        <v>6.0</v>
      </c>
      <c r="N34" s="79">
        <v>200.0</v>
      </c>
      <c r="O34" s="27" t="s">
        <v>1333</v>
      </c>
      <c r="P34" s="27"/>
      <c r="Q34" s="81"/>
      <c r="R34" s="81" t="s">
        <v>1689</v>
      </c>
      <c r="S34" s="81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</row>
    <row r="35" ht="15.0" customHeight="1">
      <c r="A35" s="83" t="s">
        <v>176</v>
      </c>
      <c r="B35" s="66" t="s">
        <v>1225</v>
      </c>
      <c r="C35" s="84" t="s">
        <v>1562</v>
      </c>
      <c r="D35" s="93" t="s">
        <v>1633</v>
      </c>
      <c r="E35" s="27" t="s">
        <v>1634</v>
      </c>
      <c r="F35" s="27" t="s">
        <v>1571</v>
      </c>
      <c r="G35" s="27" t="s">
        <v>1566</v>
      </c>
      <c r="H35" s="27" t="s">
        <v>22</v>
      </c>
      <c r="I35" s="27" t="str">
        <f>IFERROR(__xludf.DUMMYFUNCTION("IF(A35="""","""",
TEXTJOIN(""-"",TRUE,
IFERROR(
  INDEX(FILTER(CFG_CODES!C:C, CFG_CODES!A:A=""CATEGORY"", UPPER(CFG_CODES!B:B)=UPPER(B35))),
  LEFT(UPPER(B35),3)
),
IFERROR(
  INDEX(FILTER(CFG_CODES!C:C, CFG_CODES!A:A=""MATERIAL"", UPPER(CFG_CODES!B:B)=UP"&amp;"PER(C35))),
  LEFT(UPPER(C35),3)
),
TEXT(ROW()-1,""000"")
))"),"P-SBS-034")</f>
        <v>P-SBS-034</v>
      </c>
      <c r="J35" s="27" t="s">
        <v>1688</v>
      </c>
      <c r="K35" s="39">
        <v>94.84536082474227</v>
      </c>
      <c r="L35" s="39">
        <v>2.0</v>
      </c>
      <c r="M35" s="39">
        <v>6.0</v>
      </c>
      <c r="N35" s="79">
        <v>200.0</v>
      </c>
      <c r="O35" s="27">
        <v>1138.1443298969073</v>
      </c>
      <c r="P35" s="27"/>
      <c r="Q35" s="80">
        <v>22.0</v>
      </c>
      <c r="R35" s="81" t="s">
        <v>1689</v>
      </c>
      <c r="S35" s="81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</row>
    <row r="36" ht="15.0" customHeight="1">
      <c r="A36" s="82" t="s">
        <v>1636</v>
      </c>
      <c r="B36" s="66" t="s">
        <v>1225</v>
      </c>
      <c r="C36" s="84" t="s">
        <v>1562</v>
      </c>
      <c r="D36" s="93" t="s">
        <v>1633</v>
      </c>
      <c r="E36" s="39" t="s">
        <v>1604</v>
      </c>
      <c r="F36" s="27" t="s">
        <v>1571</v>
      </c>
      <c r="G36" s="27" t="s">
        <v>1566</v>
      </c>
      <c r="H36" s="27" t="s">
        <v>22</v>
      </c>
      <c r="I36" s="27" t="str">
        <f>IFERROR(__xludf.DUMMYFUNCTION("IF(A36="""","""",
TEXTJOIN(""-"",TRUE,
IFERROR(
  INDEX(FILTER(CFG_CODES!C:C, CFG_CODES!A:A=""CATEGORY"", UPPER(CFG_CODES!B:B)=UPPER(B36))),
  LEFT(UPPER(B36),3)
),
IFERROR(
  INDEX(FILTER(CFG_CODES!C:C, CFG_CODES!A:A=""MATERIAL"", UPPER(CFG_CODES!B:B)=UP"&amp;"PER(C36))),
  LEFT(UPPER(C36),3)
),
TEXT(ROW()-1,""000"")
))"),"P-SBS-035")</f>
        <v>P-SBS-035</v>
      </c>
      <c r="J36" s="39" t="s">
        <v>1688</v>
      </c>
      <c r="K36" s="39">
        <v>9.278350515463918</v>
      </c>
      <c r="L36" s="39">
        <v>2.0</v>
      </c>
      <c r="M36" s="39">
        <v>6.0</v>
      </c>
      <c r="N36" s="79">
        <v>200.0</v>
      </c>
      <c r="O36" s="27">
        <v>111.34020618556701</v>
      </c>
      <c r="P36" s="27"/>
      <c r="Q36" s="80">
        <v>0.0</v>
      </c>
      <c r="R36" s="81" t="s">
        <v>1689</v>
      </c>
      <c r="S36" s="81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</row>
    <row r="37" ht="15.0" customHeight="1">
      <c r="A37" s="83" t="s">
        <v>184</v>
      </c>
      <c r="B37" s="66" t="s">
        <v>1225</v>
      </c>
      <c r="C37" s="84" t="s">
        <v>1562</v>
      </c>
      <c r="D37" s="93" t="s">
        <v>1637</v>
      </c>
      <c r="E37" s="27" t="s">
        <v>1604</v>
      </c>
      <c r="F37" s="27" t="s">
        <v>1571</v>
      </c>
      <c r="G37" s="27" t="s">
        <v>1566</v>
      </c>
      <c r="H37" s="27" t="s">
        <v>22</v>
      </c>
      <c r="I37" s="27" t="str">
        <f>IFERROR(__xludf.DUMMYFUNCTION("IF(A37="""","""",
TEXTJOIN(""-"",TRUE,
IFERROR(
  INDEX(FILTER(CFG_CODES!C:C, CFG_CODES!A:A=""CATEGORY"", UPPER(CFG_CODES!B:B)=UPPER(B37))),
  LEFT(UPPER(B37),3)
),
IFERROR(
  INDEX(FILTER(CFG_CODES!C:C, CFG_CODES!A:A=""MATERIAL"", UPPER(CFG_CODES!B:B)=UP"&amp;"PER(C37))),
  LEFT(UPPER(C37),3)
),
TEXT(ROW()-1,""000"")
))"),"P-SBS-036")</f>
        <v>P-SBS-036</v>
      </c>
      <c r="J37" s="27" t="s">
        <v>1688</v>
      </c>
      <c r="K37" s="39">
        <v>6.185567010309279</v>
      </c>
      <c r="L37" s="39">
        <v>2.0</v>
      </c>
      <c r="M37" s="39">
        <v>6.0</v>
      </c>
      <c r="N37" s="79">
        <v>200.0</v>
      </c>
      <c r="O37" s="27">
        <v>74.22680412371135</v>
      </c>
      <c r="P37" s="27"/>
      <c r="Q37" s="80">
        <v>32.0</v>
      </c>
      <c r="R37" s="81" t="s">
        <v>1689</v>
      </c>
      <c r="S37" s="81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</row>
    <row r="38" ht="15.0" customHeight="1">
      <c r="A38" s="83" t="s">
        <v>107</v>
      </c>
      <c r="B38" s="66" t="s">
        <v>1225</v>
      </c>
      <c r="C38" s="84" t="s">
        <v>1562</v>
      </c>
      <c r="D38" s="93" t="s">
        <v>1603</v>
      </c>
      <c r="E38" s="27" t="s">
        <v>1575</v>
      </c>
      <c r="F38" s="27" t="s">
        <v>1571</v>
      </c>
      <c r="G38" s="27" t="s">
        <v>1566</v>
      </c>
      <c r="H38" s="27" t="s">
        <v>22</v>
      </c>
      <c r="I38" s="27" t="str">
        <f>IFERROR(__xludf.DUMMYFUNCTION("IF(A38="""","""",
TEXTJOIN(""-"",TRUE,
IFERROR(
  INDEX(FILTER(CFG_CODES!C:C, CFG_CODES!A:A=""CATEGORY"", UPPER(CFG_CODES!B:B)=UPPER(B38))),
  LEFT(UPPER(B38),3)
),
IFERROR(
  INDEX(FILTER(CFG_CODES!C:C, CFG_CODES!A:A=""MATERIAL"", UPPER(CFG_CODES!B:B)=UP"&amp;"PER(C38))),
  LEFT(UPPER(C38),3)
),
TEXT(ROW()-1,""000"")
))"),"P-SBS-037")</f>
        <v>P-SBS-037</v>
      </c>
      <c r="J38" s="27" t="s">
        <v>1688</v>
      </c>
      <c r="K38" s="39">
        <v>37.11340206185567</v>
      </c>
      <c r="L38" s="39">
        <v>2.0</v>
      </c>
      <c r="M38" s="39">
        <v>6.0</v>
      </c>
      <c r="N38" s="79">
        <v>200.0</v>
      </c>
      <c r="O38" s="27">
        <v>445.36082474226805</v>
      </c>
      <c r="P38" s="27"/>
      <c r="Q38" s="80">
        <v>0.0</v>
      </c>
      <c r="R38" s="81" t="s">
        <v>1689</v>
      </c>
      <c r="S38" s="81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</row>
    <row r="39" ht="15.0" customHeight="1">
      <c r="A39" s="82" t="s">
        <v>1639</v>
      </c>
      <c r="B39" s="66" t="s">
        <v>1225</v>
      </c>
      <c r="C39" s="84" t="s">
        <v>1640</v>
      </c>
      <c r="D39" s="93" t="s">
        <v>1563</v>
      </c>
      <c r="E39" s="39" t="s">
        <v>1574</v>
      </c>
      <c r="F39" s="27" t="s">
        <v>1566</v>
      </c>
      <c r="G39" s="27" t="s">
        <v>1566</v>
      </c>
      <c r="H39" s="27" t="s">
        <v>22</v>
      </c>
      <c r="I39" s="27" t="str">
        <f>IFERROR(__xludf.DUMMYFUNCTION("IF(A39="""","""",
TEXTJOIN(""-"",TRUE,
IFERROR(
  INDEX(FILTER(CFG_CODES!C:C, CFG_CODES!A:A=""CATEGORY"", UPPER(CFG_CODES!B:B)=UPPER(B39))),
  LEFT(UPPER(B39),3)
),
IFERROR(
  INDEX(FILTER(CFG_CODES!C:C, CFG_CODES!A:A=""MATERIAL"", UPPER(CFG_CODES!B:B)=UP"&amp;"PER(C39))),
  LEFT(UPPER(C39),3)
),
TEXT(ROW()-1,""000"")
))"),"P-ART-038")</f>
        <v>P-ART-038</v>
      </c>
      <c r="J39" s="27" t="s">
        <v>1688</v>
      </c>
      <c r="K39" s="39">
        <v>7.216494845360825</v>
      </c>
      <c r="L39" s="39">
        <v>2.0</v>
      </c>
      <c r="M39" s="39">
        <v>6.0</v>
      </c>
      <c r="N39" s="79">
        <v>200.0</v>
      </c>
      <c r="O39" s="27">
        <v>86.5979381443299</v>
      </c>
      <c r="P39" s="27"/>
      <c r="Q39" s="80">
        <v>0.0</v>
      </c>
      <c r="R39" s="81" t="s">
        <v>1689</v>
      </c>
      <c r="S39" s="81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</row>
    <row r="40" ht="15.0" customHeight="1">
      <c r="A40" s="83" t="s">
        <v>192</v>
      </c>
      <c r="B40" s="66" t="s">
        <v>1225</v>
      </c>
      <c r="C40" s="84" t="s">
        <v>1640</v>
      </c>
      <c r="D40" s="93" t="s">
        <v>1584</v>
      </c>
      <c r="E40" s="27" t="s">
        <v>1572</v>
      </c>
      <c r="F40" s="27" t="s">
        <v>1566</v>
      </c>
      <c r="G40" s="27" t="s">
        <v>1566</v>
      </c>
      <c r="H40" s="27" t="s">
        <v>22</v>
      </c>
      <c r="I40" s="27" t="str">
        <f>IFERROR(__xludf.DUMMYFUNCTION("IF(A40="""","""",
TEXTJOIN(""-"",TRUE,
IFERROR(
  INDEX(FILTER(CFG_CODES!C:C, CFG_CODES!A:A=""CATEGORY"", UPPER(CFG_CODES!B:B)=UPPER(B40))),
  LEFT(UPPER(B40),3)
),
IFERROR(
  INDEX(FILTER(CFG_CODES!C:C, CFG_CODES!A:A=""MATERIAL"", UPPER(CFG_CODES!B:B)=UP"&amp;"PER(C40))),
  LEFT(UPPER(C40),3)
),
TEXT(ROW()-1,""000"")
))"),"P-ART-039")</f>
        <v>P-ART-039</v>
      </c>
      <c r="J40" s="27" t="s">
        <v>1688</v>
      </c>
      <c r="K40" s="39">
        <v>0.0</v>
      </c>
      <c r="L40" s="39">
        <v>2.0</v>
      </c>
      <c r="M40" s="39">
        <v>6.0</v>
      </c>
      <c r="N40" s="79">
        <v>200.0</v>
      </c>
      <c r="O40" s="27" t="s">
        <v>1333</v>
      </c>
      <c r="P40" s="27"/>
      <c r="Q40" s="81"/>
      <c r="R40" s="81" t="s">
        <v>1689</v>
      </c>
      <c r="S40" s="81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</row>
    <row r="41" ht="15.0" customHeight="1">
      <c r="A41" s="83" t="s">
        <v>198</v>
      </c>
      <c r="B41" s="66" t="s">
        <v>1225</v>
      </c>
      <c r="C41" s="84" t="s">
        <v>1562</v>
      </c>
      <c r="D41" s="93" t="s">
        <v>1641</v>
      </c>
      <c r="E41" s="27" t="s">
        <v>1574</v>
      </c>
      <c r="F41" s="27" t="s">
        <v>1571</v>
      </c>
      <c r="G41" s="27" t="s">
        <v>1566</v>
      </c>
      <c r="H41" s="27" t="s">
        <v>22</v>
      </c>
      <c r="I41" s="27" t="str">
        <f>IFERROR(__xludf.DUMMYFUNCTION("IF(A41="""","""",
TEXTJOIN(""-"",TRUE,
IFERROR(
  INDEX(FILTER(CFG_CODES!C:C, CFG_CODES!A:A=""CATEGORY"", UPPER(CFG_CODES!B:B)=UPPER(B41))),
  LEFT(UPPER(B41),3)
),
IFERROR(
  INDEX(FILTER(CFG_CODES!C:C, CFG_CODES!A:A=""MATERIAL"", UPPER(CFG_CODES!B:B)=UP"&amp;"PER(C41))),
  LEFT(UPPER(C41),3)
),
TEXT(ROW()-1,""000"")
))"),"P-SBS-040")</f>
        <v>P-SBS-040</v>
      </c>
      <c r="J41" s="27" t="s">
        <v>1688</v>
      </c>
      <c r="K41" s="39">
        <v>0.0</v>
      </c>
      <c r="L41" s="39">
        <v>2.0</v>
      </c>
      <c r="M41" s="39">
        <v>6.0</v>
      </c>
      <c r="N41" s="79">
        <v>200.0</v>
      </c>
      <c r="O41" s="27" t="s">
        <v>1333</v>
      </c>
      <c r="P41" s="27"/>
      <c r="Q41" s="81"/>
      <c r="R41" s="81" t="s">
        <v>1689</v>
      </c>
      <c r="S41" s="81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</row>
    <row r="42" ht="15.0" customHeight="1">
      <c r="A42" s="83" t="s">
        <v>206</v>
      </c>
      <c r="B42" s="66" t="s">
        <v>1225</v>
      </c>
      <c r="C42" s="20" t="s">
        <v>1642</v>
      </c>
      <c r="D42" s="93" t="s">
        <v>1576</v>
      </c>
      <c r="E42" s="27" t="s">
        <v>1572</v>
      </c>
      <c r="F42" s="27" t="s">
        <v>1566</v>
      </c>
      <c r="G42" s="27" t="s">
        <v>1566</v>
      </c>
      <c r="H42" s="27" t="s">
        <v>22</v>
      </c>
      <c r="I42" s="27" t="str">
        <f>IFERROR(__xludf.DUMMYFUNCTION("IF(A42="""","""",
TEXTJOIN(""-"",TRUE,
IFERROR(
  INDEX(FILTER(CFG_CODES!C:C, CFG_CODES!A:A=""CATEGORY"", UPPER(CFG_CODES!B:B)=UPPER(B42))),
  LEFT(UPPER(B42),3)
),
IFERROR(
  INDEX(FILTER(CFG_CODES!C:C, CFG_CODES!A:A=""MATERIAL"", UPPER(CFG_CODES!B:B)=UP"&amp;"PER(C42))),
  LEFT(UPPER(C42),3)
),
TEXT(ROW()-1,""000"")
))"),"P-OTH-041")</f>
        <v>P-OTH-041</v>
      </c>
      <c r="J42" s="27" t="s">
        <v>1688</v>
      </c>
      <c r="K42" s="39">
        <v>0.0</v>
      </c>
      <c r="L42" s="39">
        <v>2.0</v>
      </c>
      <c r="M42" s="39">
        <v>6.0</v>
      </c>
      <c r="N42" s="79">
        <v>200.0</v>
      </c>
      <c r="O42" s="27" t="s">
        <v>1333</v>
      </c>
      <c r="P42" s="27"/>
      <c r="Q42" s="81"/>
      <c r="R42" s="81" t="s">
        <v>1689</v>
      </c>
      <c r="S42" s="81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</row>
    <row r="43" ht="15.0" customHeight="1">
      <c r="A43" s="83" t="s">
        <v>1644</v>
      </c>
      <c r="B43" s="66" t="s">
        <v>1225</v>
      </c>
      <c r="C43" s="84" t="s">
        <v>1640</v>
      </c>
      <c r="D43" s="93" t="s">
        <v>1576</v>
      </c>
      <c r="E43" s="27" t="s">
        <v>1645</v>
      </c>
      <c r="F43" s="27" t="s">
        <v>1566</v>
      </c>
      <c r="G43" s="27" t="s">
        <v>1566</v>
      </c>
      <c r="H43" s="27" t="s">
        <v>22</v>
      </c>
      <c r="I43" s="27" t="str">
        <f>IFERROR(__xludf.DUMMYFUNCTION("IF(A43="""","""",
TEXTJOIN(""-"",TRUE,
IFERROR(
  INDEX(FILTER(CFG_CODES!C:C, CFG_CODES!A:A=""CATEGORY"", UPPER(CFG_CODES!B:B)=UPPER(B43))),
  LEFT(UPPER(B43),3)
),
IFERROR(
  INDEX(FILTER(CFG_CODES!C:C, CFG_CODES!A:A=""MATERIAL"", UPPER(CFG_CODES!B:B)=UP"&amp;"PER(C43))),
  LEFT(UPPER(C43),3)
),
TEXT(ROW()-1,""000"")
))"),"P-ART-042")</f>
        <v>P-ART-042</v>
      </c>
      <c r="J43" s="39" t="s">
        <v>1689</v>
      </c>
      <c r="K43" s="39"/>
      <c r="L43" s="39">
        <v>2.0</v>
      </c>
      <c r="M43" s="39">
        <v>6.0</v>
      </c>
      <c r="N43" s="79">
        <v>200.0</v>
      </c>
      <c r="O43" s="27" t="s">
        <v>1333</v>
      </c>
      <c r="P43" s="27"/>
      <c r="Q43" s="102"/>
      <c r="R43" s="81" t="s">
        <v>1689</v>
      </c>
      <c r="S43" s="81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</row>
    <row r="44" ht="15.0" customHeight="1">
      <c r="A44" s="82" t="s">
        <v>794</v>
      </c>
      <c r="B44" s="66" t="s">
        <v>1225</v>
      </c>
      <c r="C44" s="84" t="s">
        <v>1646</v>
      </c>
      <c r="D44" s="93" t="s">
        <v>1576</v>
      </c>
      <c r="E44" s="27" t="s">
        <v>1645</v>
      </c>
      <c r="F44" s="27" t="s">
        <v>1566</v>
      </c>
      <c r="G44" s="27" t="s">
        <v>1566</v>
      </c>
      <c r="H44" s="27" t="s">
        <v>22</v>
      </c>
      <c r="I44" s="27" t="str">
        <f>IFERROR(__xludf.DUMMYFUNCTION("IF(A44="""","""",
TEXTJOIN(""-"",TRUE,
IFERROR(
  INDEX(FILTER(CFG_CODES!C:C, CFG_CODES!A:A=""CATEGORY"", UPPER(CFG_CODES!B:B)=UPPER(B44))),
  LEFT(UPPER(B44),3)
),
IFERROR(
  INDEX(FILTER(CFG_CODES!C:C, CFG_CODES!A:A=""MATERIAL"", UPPER(CFG_CODES!B:B)=UP"&amp;"PER(C44))),
  LEFT(UPPER(C44),3)
),
TEXT(ROW()-1,""000"")
))"),"P-ART-043")</f>
        <v>P-ART-043</v>
      </c>
      <c r="J44" s="39" t="s">
        <v>1689</v>
      </c>
      <c r="K44" s="39"/>
      <c r="L44" s="39">
        <v>2.0</v>
      </c>
      <c r="M44" s="39">
        <v>6.0</v>
      </c>
      <c r="N44" s="79">
        <v>200.0</v>
      </c>
      <c r="O44" s="27" t="s">
        <v>1333</v>
      </c>
      <c r="P44" s="27"/>
      <c r="Q44" s="102"/>
      <c r="R44" s="81" t="s">
        <v>1689</v>
      </c>
      <c r="S44" s="81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</row>
    <row r="45" ht="15.0" customHeight="1">
      <c r="A45" s="83" t="s">
        <v>212</v>
      </c>
      <c r="B45" s="66" t="s">
        <v>1225</v>
      </c>
      <c r="C45" s="84" t="s">
        <v>1646</v>
      </c>
      <c r="D45" s="93" t="s">
        <v>1647</v>
      </c>
      <c r="E45" s="27" t="s">
        <v>1645</v>
      </c>
      <c r="F45" s="27" t="s">
        <v>1566</v>
      </c>
      <c r="G45" s="27" t="s">
        <v>1566</v>
      </c>
      <c r="H45" s="27" t="s">
        <v>22</v>
      </c>
      <c r="I45" s="27" t="str">
        <f>IFERROR(__xludf.DUMMYFUNCTION("IF(A45="""","""",
TEXTJOIN(""-"",TRUE,
IFERROR(
  INDEX(FILTER(CFG_CODES!C:C, CFG_CODES!A:A=""CATEGORY"", UPPER(CFG_CODES!B:B)=UPPER(B45))),
  LEFT(UPPER(B45),3)
),
IFERROR(
  INDEX(FILTER(CFG_CODES!C:C, CFG_CODES!A:A=""MATERIAL"", UPPER(CFG_CODES!B:B)=UP"&amp;"PER(C45))),
  LEFT(UPPER(C45),3)
),
TEXT(ROW()-1,""000"")
))"),"P-ART-044")</f>
        <v>P-ART-044</v>
      </c>
      <c r="J45" s="27" t="s">
        <v>1688</v>
      </c>
      <c r="K45" s="39">
        <v>0.0</v>
      </c>
      <c r="L45" s="39">
        <v>2.0</v>
      </c>
      <c r="M45" s="39">
        <v>6.0</v>
      </c>
      <c r="N45" s="79">
        <v>200.0</v>
      </c>
      <c r="O45" s="27" t="s">
        <v>1333</v>
      </c>
      <c r="P45" s="27"/>
      <c r="Q45" s="81"/>
      <c r="R45" s="81" t="s">
        <v>1689</v>
      </c>
      <c r="S45" s="81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</row>
    <row r="46" ht="15.0" customHeight="1">
      <c r="A46" s="83" t="s">
        <v>219</v>
      </c>
      <c r="B46" s="66" t="s">
        <v>1225</v>
      </c>
      <c r="C46" s="84" t="s">
        <v>1646</v>
      </c>
      <c r="D46" s="93" t="s">
        <v>1625</v>
      </c>
      <c r="E46" s="27" t="s">
        <v>1648</v>
      </c>
      <c r="F46" s="27" t="s">
        <v>1566</v>
      </c>
      <c r="G46" s="27" t="s">
        <v>1566</v>
      </c>
      <c r="H46" s="27" t="s">
        <v>22</v>
      </c>
      <c r="I46" s="27" t="str">
        <f>IFERROR(__xludf.DUMMYFUNCTION("IF(A46="""","""",
TEXTJOIN(""-"",TRUE,
IFERROR(
  INDEX(FILTER(CFG_CODES!C:C, CFG_CODES!A:A=""CATEGORY"", UPPER(CFG_CODES!B:B)=UPPER(B46))),
  LEFT(UPPER(B46),3)
),
IFERROR(
  INDEX(FILTER(CFG_CODES!C:C, CFG_CODES!A:A=""MATERIAL"", UPPER(CFG_CODES!B:B)=UP"&amp;"PER(C46))),
  LEFT(UPPER(C46),3)
),
TEXT(ROW()-1,""000"")
))"),"P-ART-045")</f>
        <v>P-ART-045</v>
      </c>
      <c r="J46" s="27" t="s">
        <v>1688</v>
      </c>
      <c r="K46" s="39">
        <v>4.639175257731959</v>
      </c>
      <c r="L46" s="39">
        <v>2.0</v>
      </c>
      <c r="M46" s="39">
        <v>6.0</v>
      </c>
      <c r="N46" s="79">
        <v>200.0</v>
      </c>
      <c r="O46" s="27">
        <v>55.670103092783506</v>
      </c>
      <c r="P46" s="27"/>
      <c r="Q46" s="88">
        <v>280.0</v>
      </c>
      <c r="R46" s="81" t="s">
        <v>1689</v>
      </c>
      <c r="S46" s="81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</row>
    <row r="47" ht="15.0" customHeight="1">
      <c r="A47" s="83" t="s">
        <v>1650</v>
      </c>
      <c r="B47" s="66" t="s">
        <v>1225</v>
      </c>
      <c r="C47" s="84" t="s">
        <v>1640</v>
      </c>
      <c r="D47" s="93" t="s">
        <v>1563</v>
      </c>
      <c r="E47" s="27" t="s">
        <v>1572</v>
      </c>
      <c r="F47" s="27" t="s">
        <v>1566</v>
      </c>
      <c r="G47" s="27" t="s">
        <v>1566</v>
      </c>
      <c r="H47" s="27" t="s">
        <v>22</v>
      </c>
      <c r="I47" s="27" t="str">
        <f>IFERROR(__xludf.DUMMYFUNCTION("IF(A47="""","""",
TEXTJOIN(""-"",TRUE,
IFERROR(
  INDEX(FILTER(CFG_CODES!C:C, CFG_CODES!A:A=""CATEGORY"", UPPER(CFG_CODES!B:B)=UPPER(B47))),
  LEFT(UPPER(B47),3)
),
IFERROR(
  INDEX(FILTER(CFG_CODES!C:C, CFG_CODES!A:A=""MATERIAL"", UPPER(CFG_CODES!B:B)=UP"&amp;"PER(C47))),
  LEFT(UPPER(C47),3)
),
TEXT(ROW()-1,""000"")
))"),"P-ART-046")</f>
        <v>P-ART-046</v>
      </c>
      <c r="J47" s="27" t="s">
        <v>1688</v>
      </c>
      <c r="K47" s="39">
        <v>4.123711340206185</v>
      </c>
      <c r="L47" s="39">
        <v>2.0</v>
      </c>
      <c r="M47" s="39">
        <v>6.0</v>
      </c>
      <c r="N47" s="79">
        <v>200.0</v>
      </c>
      <c r="O47" s="27">
        <v>49.48453608247422</v>
      </c>
      <c r="P47" s="27"/>
      <c r="Q47" s="80">
        <v>0.0</v>
      </c>
      <c r="R47" s="81" t="s">
        <v>1689</v>
      </c>
      <c r="S47" s="81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</row>
    <row r="48" ht="15.0" customHeight="1">
      <c r="A48" s="83" t="s">
        <v>228</v>
      </c>
      <c r="B48" s="66" t="s">
        <v>1225</v>
      </c>
      <c r="C48" s="84" t="s">
        <v>1651</v>
      </c>
      <c r="D48" s="93" t="s">
        <v>1633</v>
      </c>
      <c r="E48" s="27" t="s">
        <v>1652</v>
      </c>
      <c r="F48" s="27" t="s">
        <v>1566</v>
      </c>
      <c r="G48" s="27" t="s">
        <v>1566</v>
      </c>
      <c r="H48" s="27" t="s">
        <v>22</v>
      </c>
      <c r="I48" s="27" t="str">
        <f>IFERROR(__xludf.DUMMYFUNCTION("IF(A48="""","""",
TEXTJOIN(""-"",TRUE,
IFERROR(
  INDEX(FILTER(CFG_CODES!C:C, CFG_CODES!A:A=""CATEGORY"", UPPER(CFG_CODES!B:B)=UPPER(B48))),
  LEFT(UPPER(B48),3)
),
IFERROR(
  INDEX(FILTER(CFG_CODES!C:C, CFG_CODES!A:A=""MATERIAL"", UPPER(CFG_CODES!B:B)=UP"&amp;"PER(C48))),
  LEFT(UPPER(C48),3)
),
TEXT(ROW()-1,""000"")
))"),"P-MAP-047")</f>
        <v>P-MAP-047</v>
      </c>
      <c r="J48" s="27" t="s">
        <v>1688</v>
      </c>
      <c r="K48" s="39">
        <v>4.690721649484536</v>
      </c>
      <c r="L48" s="39">
        <v>2.0</v>
      </c>
      <c r="M48" s="39">
        <v>6.0</v>
      </c>
      <c r="N48" s="79">
        <v>200.0</v>
      </c>
      <c r="O48" s="27">
        <v>56.28865979381443</v>
      </c>
      <c r="P48" s="27"/>
      <c r="Q48" s="80">
        <v>10.0</v>
      </c>
      <c r="R48" s="81" t="s">
        <v>1689</v>
      </c>
      <c r="S48" s="81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</row>
    <row r="49" ht="15.0" customHeight="1">
      <c r="A49" s="83" t="s">
        <v>235</v>
      </c>
      <c r="B49" s="66" t="s">
        <v>1225</v>
      </c>
      <c r="C49" s="84" t="s">
        <v>1653</v>
      </c>
      <c r="D49" s="93" t="s">
        <v>1641</v>
      </c>
      <c r="E49" s="27" t="s">
        <v>1572</v>
      </c>
      <c r="F49" s="27" t="s">
        <v>1654</v>
      </c>
      <c r="G49" s="27" t="s">
        <v>1566</v>
      </c>
      <c r="H49" s="27" t="s">
        <v>22</v>
      </c>
      <c r="I49" s="27" t="str">
        <f>IFERROR(__xludf.DUMMYFUNCTION("IF(A49="""","""",
TEXTJOIN(""-"",TRUE,
IFERROR(
  INDEX(FILTER(CFG_CODES!C:C, CFG_CODES!A:A=""CATEGORY"", UPPER(CFG_CODES!B:B)=UPPER(B49))),
  LEFT(UPPER(B49),3)
),
IFERROR(
  INDEX(FILTER(CFG_CODES!C:C, CFG_CODES!A:A=""MATERIAL"", UPPER(CFG_CODES!B:B)=UP"&amp;"PER(C49))),
  LEFT(UPPER(C49),3)
),
TEXT(ROW()-1,""000"")
))"),"P-DUP-048")</f>
        <v>P-DUP-048</v>
      </c>
      <c r="J49" s="27" t="s">
        <v>1688</v>
      </c>
      <c r="K49" s="39">
        <v>17.814432989690722</v>
      </c>
      <c r="L49" s="39">
        <v>2.0</v>
      </c>
      <c r="M49" s="39">
        <v>6.0</v>
      </c>
      <c r="N49" s="79">
        <v>200.0</v>
      </c>
      <c r="O49" s="27">
        <v>213.77319587628867</v>
      </c>
      <c r="P49" s="27"/>
      <c r="Q49" s="80">
        <v>57.0</v>
      </c>
      <c r="R49" s="81" t="s">
        <v>1689</v>
      </c>
      <c r="S49" s="81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</row>
    <row r="50" ht="15.0" customHeight="1">
      <c r="A50" s="83" t="s">
        <v>241</v>
      </c>
      <c r="B50" s="66" t="s">
        <v>1225</v>
      </c>
      <c r="C50" s="84" t="s">
        <v>1653</v>
      </c>
      <c r="D50" s="93" t="s">
        <v>1641</v>
      </c>
      <c r="E50" s="27" t="s">
        <v>1574</v>
      </c>
      <c r="F50" s="27" t="s">
        <v>1654</v>
      </c>
      <c r="G50" s="27" t="s">
        <v>1566</v>
      </c>
      <c r="H50" s="27" t="s">
        <v>22</v>
      </c>
      <c r="I50" s="27" t="str">
        <f>IFERROR(__xludf.DUMMYFUNCTION("IF(A50="""","""",
TEXTJOIN(""-"",TRUE,
IFERROR(
  INDEX(FILTER(CFG_CODES!C:C, CFG_CODES!A:A=""CATEGORY"", UPPER(CFG_CODES!B:B)=UPPER(B50))),
  LEFT(UPPER(B50),3)
),
IFERROR(
  INDEX(FILTER(CFG_CODES!C:C, CFG_CODES!A:A=""MATERIAL"", UPPER(CFG_CODES!B:B)=UP"&amp;"PER(C50))),
  LEFT(UPPER(C50),3)
),
TEXT(ROW()-1,""000"")
))"),"P-DUP-049")</f>
        <v>P-DUP-049</v>
      </c>
      <c r="J50" s="27" t="s">
        <v>1688</v>
      </c>
      <c r="K50" s="39">
        <v>0.0</v>
      </c>
      <c r="L50" s="39">
        <v>2.0</v>
      </c>
      <c r="M50" s="39">
        <v>6.0</v>
      </c>
      <c r="N50" s="79">
        <v>200.0</v>
      </c>
      <c r="O50" s="27" t="s">
        <v>1333</v>
      </c>
      <c r="P50" s="27"/>
      <c r="Q50" s="81"/>
      <c r="R50" s="81" t="s">
        <v>1689</v>
      </c>
      <c r="S50" s="81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</row>
    <row r="51" ht="15.0" customHeight="1">
      <c r="A51" s="83" t="s">
        <v>1655</v>
      </c>
      <c r="B51" s="66" t="s">
        <v>1225</v>
      </c>
      <c r="C51" s="84" t="s">
        <v>1653</v>
      </c>
      <c r="D51" s="93" t="s">
        <v>1656</v>
      </c>
      <c r="E51" s="27" t="s">
        <v>1572</v>
      </c>
      <c r="F51" s="27" t="s">
        <v>1654</v>
      </c>
      <c r="G51" s="27" t="s">
        <v>1566</v>
      </c>
      <c r="H51" s="27" t="s">
        <v>22</v>
      </c>
      <c r="I51" s="27" t="str">
        <f>IFERROR(__xludf.DUMMYFUNCTION("IF(A51="""","""",
TEXTJOIN(""-"",TRUE,
IFERROR(
  INDEX(FILTER(CFG_CODES!C:C, CFG_CODES!A:A=""CATEGORY"", UPPER(CFG_CODES!B:B)=UPPER(B51))),
  LEFT(UPPER(B51),3)
),
IFERROR(
  INDEX(FILTER(CFG_CODES!C:C, CFG_CODES!A:A=""MATERIAL"", UPPER(CFG_CODES!B:B)=UP"&amp;"PER(C51))),
  LEFT(UPPER(C51),3)
),
TEXT(ROW()-1,""000"")
))"),"P-DUP-050")</f>
        <v>P-DUP-050</v>
      </c>
      <c r="J51" s="27" t="s">
        <v>1688</v>
      </c>
      <c r="K51" s="39">
        <v>17.814432989690722</v>
      </c>
      <c r="L51" s="39">
        <v>2.0</v>
      </c>
      <c r="M51" s="39">
        <v>6.0</v>
      </c>
      <c r="N51" s="79">
        <v>200.0</v>
      </c>
      <c r="O51" s="27">
        <v>213.77319587628867</v>
      </c>
      <c r="P51" s="27"/>
      <c r="Q51" s="80">
        <v>0.0</v>
      </c>
      <c r="R51" s="81" t="s">
        <v>1689</v>
      </c>
      <c r="S51" s="81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</row>
    <row r="52" ht="15.0" customHeight="1">
      <c r="A52" s="83" t="s">
        <v>246</v>
      </c>
      <c r="B52" s="66" t="s">
        <v>1225</v>
      </c>
      <c r="C52" s="84" t="s">
        <v>1653</v>
      </c>
      <c r="D52" s="93" t="s">
        <v>1658</v>
      </c>
      <c r="E52" s="27" t="s">
        <v>1572</v>
      </c>
      <c r="F52" s="27" t="s">
        <v>1654</v>
      </c>
      <c r="G52" s="27" t="s">
        <v>1566</v>
      </c>
      <c r="H52" s="27" t="s">
        <v>22</v>
      </c>
      <c r="I52" s="27" t="str">
        <f>IFERROR(__xludf.DUMMYFUNCTION("IF(A52="""","""",
TEXTJOIN(""-"",TRUE,
IFERROR(
  INDEX(FILTER(CFG_CODES!C:C, CFG_CODES!A:A=""CATEGORY"", UPPER(CFG_CODES!B:B)=UPPER(B52))),
  LEFT(UPPER(B52),3)
),
IFERROR(
  INDEX(FILTER(CFG_CODES!C:C, CFG_CODES!A:A=""MATERIAL"", UPPER(CFG_CODES!B:B)=UP"&amp;"PER(C52))),
  LEFT(UPPER(C52),3)
),
TEXT(ROW()-1,""000"")
))"),"P-DUP-051")</f>
        <v>P-DUP-051</v>
      </c>
      <c r="J52" s="27" t="s">
        <v>1688</v>
      </c>
      <c r="K52" s="39">
        <v>0.0</v>
      </c>
      <c r="L52" s="39">
        <v>2.0</v>
      </c>
      <c r="M52" s="39">
        <v>6.0</v>
      </c>
      <c r="N52" s="79">
        <v>200.0</v>
      </c>
      <c r="O52" s="27" t="s">
        <v>1333</v>
      </c>
      <c r="P52" s="27"/>
      <c r="Q52" s="81"/>
      <c r="R52" s="81" t="s">
        <v>1689</v>
      </c>
      <c r="S52" s="81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</row>
    <row r="53" ht="15.0" customHeight="1">
      <c r="A53" s="83" t="s">
        <v>252</v>
      </c>
      <c r="B53" s="66" t="s">
        <v>1225</v>
      </c>
      <c r="C53" s="84" t="s">
        <v>1653</v>
      </c>
      <c r="D53" s="93" t="s">
        <v>1656</v>
      </c>
      <c r="E53" s="27" t="s">
        <v>1574</v>
      </c>
      <c r="F53" s="27" t="s">
        <v>1661</v>
      </c>
      <c r="G53" s="27" t="s">
        <v>1566</v>
      </c>
      <c r="H53" s="27" t="s">
        <v>22</v>
      </c>
      <c r="I53" s="27" t="str">
        <f>IFERROR(__xludf.DUMMYFUNCTION("IF(A53="""","""",
TEXTJOIN(""-"",TRUE,
IFERROR(
  INDEX(FILTER(CFG_CODES!C:C, CFG_CODES!A:A=""CATEGORY"", UPPER(CFG_CODES!B:B)=UPPER(B53))),
  LEFT(UPPER(B53),3)
),
IFERROR(
  INDEX(FILTER(CFG_CODES!C:C, CFG_CODES!A:A=""MATERIAL"", UPPER(CFG_CODES!B:B)=UP"&amp;"PER(C53))),
  LEFT(UPPER(C53),3)
),
TEXT(ROW()-1,""000"")
))"),"P-DUP-052")</f>
        <v>P-DUP-052</v>
      </c>
      <c r="J53" s="27" t="s">
        <v>1688</v>
      </c>
      <c r="K53" s="39">
        <v>0.0</v>
      </c>
      <c r="L53" s="39">
        <v>2.0</v>
      </c>
      <c r="M53" s="39">
        <v>6.0</v>
      </c>
      <c r="N53" s="79">
        <v>200.0</v>
      </c>
      <c r="O53" s="27" t="s">
        <v>1333</v>
      </c>
      <c r="P53" s="27"/>
      <c r="Q53" s="81"/>
      <c r="R53" s="81" t="s">
        <v>1689</v>
      </c>
      <c r="S53" s="81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</row>
    <row r="54" ht="15.0" customHeight="1">
      <c r="A54" s="83" t="s">
        <v>257</v>
      </c>
      <c r="B54" s="66" t="s">
        <v>1225</v>
      </c>
      <c r="C54" s="84" t="s">
        <v>1653</v>
      </c>
      <c r="D54" s="93" t="s">
        <v>1633</v>
      </c>
      <c r="E54" s="27" t="s">
        <v>1572</v>
      </c>
      <c r="F54" s="27" t="s">
        <v>1661</v>
      </c>
      <c r="G54" s="27" t="s">
        <v>1566</v>
      </c>
      <c r="H54" s="27" t="s">
        <v>22</v>
      </c>
      <c r="I54" s="27" t="str">
        <f>IFERROR(__xludf.DUMMYFUNCTION("IF(A54="""","""",
TEXTJOIN(""-"",TRUE,
IFERROR(
  INDEX(FILTER(CFG_CODES!C:C, CFG_CODES!A:A=""CATEGORY"", UPPER(CFG_CODES!B:B)=UPPER(B54))),
  LEFT(UPPER(B54),3)
),
IFERROR(
  INDEX(FILTER(CFG_CODES!C:C, CFG_CODES!A:A=""MATERIAL"", UPPER(CFG_CODES!B:B)=UP"&amp;"PER(C54))),
  LEFT(UPPER(C54),3)
),
TEXT(ROW()-1,""000"")
))"),"P-DUP-053")</f>
        <v>P-DUP-053</v>
      </c>
      <c r="J54" s="27" t="s">
        <v>1688</v>
      </c>
      <c r="K54" s="39">
        <v>0.0</v>
      </c>
      <c r="L54" s="39">
        <v>2.0</v>
      </c>
      <c r="M54" s="39">
        <v>6.0</v>
      </c>
      <c r="N54" s="79">
        <v>200.0</v>
      </c>
      <c r="O54" s="27" t="s">
        <v>1333</v>
      </c>
      <c r="P54" s="27"/>
      <c r="Q54" s="81"/>
      <c r="R54" s="81" t="s">
        <v>1689</v>
      </c>
      <c r="S54" s="81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</row>
    <row r="55" ht="15.0" customHeight="1">
      <c r="A55" s="83" t="s">
        <v>367</v>
      </c>
      <c r="B55" s="66" t="s">
        <v>1225</v>
      </c>
      <c r="C55" s="84" t="s">
        <v>1653</v>
      </c>
      <c r="D55" s="93" t="s">
        <v>1584</v>
      </c>
      <c r="E55" s="27" t="s">
        <v>1572</v>
      </c>
      <c r="F55" s="27" t="s">
        <v>1654</v>
      </c>
      <c r="G55" s="27" t="s">
        <v>1566</v>
      </c>
      <c r="H55" s="27" t="s">
        <v>22</v>
      </c>
      <c r="I55" s="27" t="str">
        <f>IFERROR(__xludf.DUMMYFUNCTION("IF(A55="""","""",
TEXTJOIN(""-"",TRUE,
IFERROR(
  INDEX(FILTER(CFG_CODES!C:C, CFG_CODES!A:A=""CATEGORY"", UPPER(CFG_CODES!B:B)=UPPER(B55))),
  LEFT(UPPER(B55),3)
),
IFERROR(
  INDEX(FILTER(CFG_CODES!C:C, CFG_CODES!A:A=""MATERIAL"", UPPER(CFG_CODES!B:B)=UP"&amp;"PER(C55))),
  LEFT(UPPER(C55),3)
),
TEXT(ROW()-1,""000"")
))"),"P-DUP-054")</f>
        <v>P-DUP-054</v>
      </c>
      <c r="J55" s="27" t="s">
        <v>1688</v>
      </c>
      <c r="K55" s="39">
        <v>96.49484536082474</v>
      </c>
      <c r="L55" s="39">
        <v>2.0</v>
      </c>
      <c r="M55" s="39">
        <v>6.0</v>
      </c>
      <c r="N55" s="79">
        <v>200.0</v>
      </c>
      <c r="O55" s="27">
        <v>1157.9381443298969</v>
      </c>
      <c r="P55" s="27"/>
      <c r="Q55" s="80">
        <v>0.0</v>
      </c>
      <c r="R55" s="81" t="s">
        <v>1689</v>
      </c>
      <c r="S55" s="81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</row>
    <row r="56" ht="15.0" customHeight="1">
      <c r="A56" s="83" t="s">
        <v>180</v>
      </c>
      <c r="B56" s="66" t="s">
        <v>1225</v>
      </c>
      <c r="C56" s="84" t="s">
        <v>1653</v>
      </c>
      <c r="D56" s="93" t="s">
        <v>1563</v>
      </c>
      <c r="E56" s="27" t="s">
        <v>1572</v>
      </c>
      <c r="F56" s="27" t="s">
        <v>1654</v>
      </c>
      <c r="G56" s="27" t="s">
        <v>1566</v>
      </c>
      <c r="H56" s="27" t="s">
        <v>22</v>
      </c>
      <c r="I56" s="27" t="str">
        <f>IFERROR(__xludf.DUMMYFUNCTION("IF(A56="""","""",
TEXTJOIN(""-"",TRUE,
IFERROR(
  INDEX(FILTER(CFG_CODES!C:C, CFG_CODES!A:A=""CATEGORY"", UPPER(CFG_CODES!B:B)=UPPER(B56))),
  LEFT(UPPER(B56),3)
),
IFERROR(
  INDEX(FILTER(CFG_CODES!C:C, CFG_CODES!A:A=""MATERIAL"", UPPER(CFG_CODES!B:B)=UP"&amp;"PER(C56))),
  LEFT(UPPER(C56),3)
),
TEXT(ROW()-1,""000"")
))"),"P-DUP-055")</f>
        <v>P-DUP-055</v>
      </c>
      <c r="J56" s="27" t="s">
        <v>1688</v>
      </c>
      <c r="K56" s="39">
        <v>72.74226804123711</v>
      </c>
      <c r="L56" s="39">
        <v>2.0</v>
      </c>
      <c r="M56" s="39">
        <v>6.0</v>
      </c>
      <c r="N56" s="79">
        <v>200.0</v>
      </c>
      <c r="O56" s="27">
        <v>872.9072164948453</v>
      </c>
      <c r="P56" s="27"/>
      <c r="Q56" s="80">
        <v>20.0</v>
      </c>
      <c r="R56" s="81" t="s">
        <v>1689</v>
      </c>
      <c r="S56" s="81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</row>
    <row r="57" ht="15.0" customHeight="1">
      <c r="A57" s="83" t="s">
        <v>262</v>
      </c>
      <c r="B57" s="66" t="s">
        <v>1225</v>
      </c>
      <c r="C57" s="84" t="s">
        <v>1653</v>
      </c>
      <c r="D57" s="93" t="s">
        <v>1587</v>
      </c>
      <c r="E57" s="27" t="s">
        <v>1572</v>
      </c>
      <c r="F57" s="27" t="s">
        <v>1661</v>
      </c>
      <c r="G57" s="27" t="s">
        <v>1566</v>
      </c>
      <c r="H57" s="27" t="s">
        <v>22</v>
      </c>
      <c r="I57" s="27" t="str">
        <f>IFERROR(__xludf.DUMMYFUNCTION("IF(A57="""","""",
TEXTJOIN(""-"",TRUE,
IFERROR(
  INDEX(FILTER(CFG_CODES!C:C, CFG_CODES!A:A=""CATEGORY"", UPPER(CFG_CODES!B:B)=UPPER(B57))),
  LEFT(UPPER(B57),3)
),
IFERROR(
  INDEX(FILTER(CFG_CODES!C:C, CFG_CODES!A:A=""MATERIAL"", UPPER(CFG_CODES!B:B)=UP"&amp;"PER(C57))),
  LEFT(UPPER(C57),3)
),
TEXT(ROW()-1,""000"")
))"),"P-DUP-056")</f>
        <v>P-DUP-056</v>
      </c>
      <c r="J57" s="27" t="s">
        <v>1688</v>
      </c>
      <c r="K57" s="39">
        <v>0.0</v>
      </c>
      <c r="L57" s="39">
        <v>2.0</v>
      </c>
      <c r="M57" s="39">
        <v>6.0</v>
      </c>
      <c r="N57" s="79">
        <v>200.0</v>
      </c>
      <c r="O57" s="27" t="s">
        <v>1333</v>
      </c>
      <c r="P57" s="27"/>
      <c r="Q57" s="81"/>
      <c r="R57" s="81" t="s">
        <v>1689</v>
      </c>
      <c r="S57" s="81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</row>
    <row r="58" ht="15.0" customHeight="1">
      <c r="A58" s="83" t="s">
        <v>268</v>
      </c>
      <c r="B58" s="66" t="s">
        <v>1225</v>
      </c>
      <c r="C58" s="84" t="s">
        <v>1653</v>
      </c>
      <c r="D58" s="93" t="s">
        <v>1563</v>
      </c>
      <c r="E58" s="27" t="s">
        <v>1662</v>
      </c>
      <c r="F58" s="27" t="s">
        <v>1654</v>
      </c>
      <c r="G58" s="27" t="s">
        <v>1566</v>
      </c>
      <c r="H58" s="27" t="s">
        <v>22</v>
      </c>
      <c r="I58" s="27" t="str">
        <f>IFERROR(__xludf.DUMMYFUNCTION("IF(A58="""","""",
TEXTJOIN(""-"",TRUE,
IFERROR(
  INDEX(FILTER(CFG_CODES!C:C, CFG_CODES!A:A=""CATEGORY"", UPPER(CFG_CODES!B:B)=UPPER(B58))),
  LEFT(UPPER(B58),3)
),
IFERROR(
  INDEX(FILTER(CFG_CODES!C:C, CFG_CODES!A:A=""MATERIAL"", UPPER(CFG_CODES!B:B)=UP"&amp;"PER(C58))),
  LEFT(UPPER(C58),3)
),
TEXT(ROW()-1,""000"")
))"),"P-DUP-057")</f>
        <v>P-DUP-057</v>
      </c>
      <c r="J58" s="27" t="s">
        <v>1688</v>
      </c>
      <c r="K58" s="39">
        <v>0.0</v>
      </c>
      <c r="L58" s="39">
        <v>2.0</v>
      </c>
      <c r="M58" s="39">
        <v>6.0</v>
      </c>
      <c r="N58" s="79">
        <v>200.0</v>
      </c>
      <c r="O58" s="27" t="s">
        <v>1333</v>
      </c>
      <c r="P58" s="27"/>
      <c r="Q58" s="81"/>
      <c r="R58" s="81" t="s">
        <v>1689</v>
      </c>
      <c r="S58" s="81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</row>
    <row r="59" ht="15.0" customHeight="1">
      <c r="A59" s="83" t="s">
        <v>276</v>
      </c>
      <c r="B59" s="66" t="s">
        <v>1225</v>
      </c>
      <c r="C59" s="84" t="s">
        <v>1562</v>
      </c>
      <c r="D59" s="93" t="s">
        <v>1663</v>
      </c>
      <c r="E59" s="27" t="s">
        <v>1564</v>
      </c>
      <c r="F59" s="27" t="s">
        <v>1571</v>
      </c>
      <c r="G59" s="27" t="s">
        <v>1566</v>
      </c>
      <c r="H59" s="27" t="s">
        <v>22</v>
      </c>
      <c r="I59" s="27" t="str">
        <f>IFERROR(__xludf.DUMMYFUNCTION("IF(A59="""","""",
TEXTJOIN(""-"",TRUE,
IFERROR(
  INDEX(FILTER(CFG_CODES!C:C, CFG_CODES!A:A=""CATEGORY"", UPPER(CFG_CODES!B:B)=UPPER(B59))),
  LEFT(UPPER(B59),3)
),
IFERROR(
  INDEX(FILTER(CFG_CODES!C:C, CFG_CODES!A:A=""MATERIAL"", UPPER(CFG_CODES!B:B)=UP"&amp;"PER(C59))),
  LEFT(UPPER(C59),3)
),
TEXT(ROW()-1,""000"")
))"),"P-SBS-058")</f>
        <v>P-SBS-058</v>
      </c>
      <c r="J59" s="27" t="s">
        <v>1688</v>
      </c>
      <c r="K59" s="39">
        <v>0.0</v>
      </c>
      <c r="L59" s="39">
        <v>2.0</v>
      </c>
      <c r="M59" s="39">
        <v>6.0</v>
      </c>
      <c r="N59" s="79">
        <v>200.0</v>
      </c>
      <c r="O59" s="27" t="s">
        <v>1333</v>
      </c>
      <c r="P59" s="27"/>
      <c r="Q59" s="81"/>
      <c r="R59" s="81" t="s">
        <v>1689</v>
      </c>
      <c r="S59" s="81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</row>
    <row r="60" ht="15.0" customHeight="1">
      <c r="A60" s="83" t="s">
        <v>1665</v>
      </c>
      <c r="B60" s="66" t="s">
        <v>1225</v>
      </c>
      <c r="C60" s="84" t="s">
        <v>1653</v>
      </c>
      <c r="D60" s="93" t="s">
        <v>1667</v>
      </c>
      <c r="E60" s="27" t="s">
        <v>1572</v>
      </c>
      <c r="F60" s="27" t="s">
        <v>1654</v>
      </c>
      <c r="G60" s="27" t="s">
        <v>1566</v>
      </c>
      <c r="H60" s="27" t="s">
        <v>22</v>
      </c>
      <c r="I60" s="27" t="str">
        <f>IFERROR(__xludf.DUMMYFUNCTION("IF(A60="""","""",
TEXTJOIN(""-"",TRUE,
IFERROR(
  INDEX(FILTER(CFG_CODES!C:C, CFG_CODES!A:A=""CATEGORY"", UPPER(CFG_CODES!B:B)=UPPER(B60))),
  LEFT(UPPER(B60),3)
),
IFERROR(
  INDEX(FILTER(CFG_CODES!C:C, CFG_CODES!A:A=""MATERIAL"", UPPER(CFG_CODES!B:B)=UP"&amp;"PER(C60))),
  LEFT(UPPER(C60),3)
),
TEXT(ROW()-1,""000"")
))"),"P-DUP-059")</f>
        <v>P-DUP-059</v>
      </c>
      <c r="J60" s="27" t="s">
        <v>1688</v>
      </c>
      <c r="K60" s="39">
        <v>10.391752577319588</v>
      </c>
      <c r="L60" s="39">
        <v>2.0</v>
      </c>
      <c r="M60" s="39">
        <v>6.0</v>
      </c>
      <c r="N60" s="79">
        <v>200.0</v>
      </c>
      <c r="O60" s="27">
        <v>124.70103092783506</v>
      </c>
      <c r="P60" s="27"/>
      <c r="Q60" s="88">
        <v>111.0</v>
      </c>
      <c r="R60" s="81" t="s">
        <v>1689</v>
      </c>
      <c r="S60" s="81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</row>
    <row r="61" ht="15.0" customHeight="1">
      <c r="A61" s="83" t="s">
        <v>284</v>
      </c>
      <c r="B61" s="66" t="s">
        <v>1225</v>
      </c>
      <c r="C61" s="84" t="s">
        <v>1562</v>
      </c>
      <c r="D61" s="93" t="s">
        <v>1633</v>
      </c>
      <c r="E61" s="27" t="s">
        <v>1671</v>
      </c>
      <c r="F61" s="27" t="s">
        <v>1571</v>
      </c>
      <c r="G61" s="27" t="s">
        <v>1566</v>
      </c>
      <c r="H61" s="27" t="s">
        <v>22</v>
      </c>
      <c r="I61" s="27" t="str">
        <f>IFERROR(__xludf.DUMMYFUNCTION("IF(A61="""","""",
TEXTJOIN(""-"",TRUE,
IFERROR(
  INDEX(FILTER(CFG_CODES!C:C, CFG_CODES!A:A=""CATEGORY"", UPPER(CFG_CODES!B:B)=UPPER(B61))),
  LEFT(UPPER(B61),3)
),
IFERROR(
  INDEX(FILTER(CFG_CODES!C:C, CFG_CODES!A:A=""MATERIAL"", UPPER(CFG_CODES!B:B)=UP"&amp;"PER(C61))),
  LEFT(UPPER(C61),3)
),
TEXT(ROW()-1,""000"")
))"),"P-SBS-060")</f>
        <v>P-SBS-060</v>
      </c>
      <c r="J61" s="27" t="s">
        <v>1688</v>
      </c>
      <c r="K61" s="39">
        <v>0.0</v>
      </c>
      <c r="L61" s="39">
        <v>2.0</v>
      </c>
      <c r="M61" s="39">
        <v>6.0</v>
      </c>
      <c r="N61" s="79">
        <v>200.0</v>
      </c>
      <c r="O61" s="27" t="s">
        <v>1333</v>
      </c>
      <c r="P61" s="27"/>
      <c r="Q61" s="81"/>
      <c r="R61" s="81" t="s">
        <v>1689</v>
      </c>
      <c r="S61" s="81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</row>
    <row r="62" ht="15.0" customHeight="1">
      <c r="A62" s="83" t="s">
        <v>288</v>
      </c>
      <c r="B62" s="66" t="s">
        <v>1674</v>
      </c>
      <c r="C62" s="84" t="s">
        <v>1675</v>
      </c>
      <c r="D62" s="27" t="s">
        <v>1566</v>
      </c>
      <c r="E62" s="27" t="s">
        <v>1566</v>
      </c>
      <c r="F62" s="27" t="s">
        <v>1676</v>
      </c>
      <c r="G62" s="27" t="s">
        <v>1677</v>
      </c>
      <c r="H62" s="27" t="s">
        <v>290</v>
      </c>
      <c r="I62" s="27" t="str">
        <f>IFERROR(__xludf.DUMMYFUNCTION("IF(A62="""","""",
TEXTJOIN(""-"",TRUE,
IFERROR(
  INDEX(FILTER(CFG_CODES!C:C, CFG_CODES!A:A=""CATEGORY"", UPPER(CFG_CODES!B:B)=UPPER(B62))),
  LEFT(UPPER(B62),3)
),
IFERROR(
  INDEX(FILTER(CFG_CODES!C:C, CFG_CODES!A:A=""MATERIAL"", UPPER(CFG_CODES!B:B)=UP"&amp;"PER(C62))),
  LEFT(UPPER(C62),3)
),
TEXT(ROW()-1,""000"")
))"),"I-CMY-061")</f>
        <v>I-CMY-061</v>
      </c>
      <c r="J62" s="27" t="s">
        <v>1688</v>
      </c>
      <c r="K62" s="39">
        <v>0.20618556701030927</v>
      </c>
      <c r="L62" s="39">
        <v>2.0</v>
      </c>
      <c r="M62" s="39">
        <v>5.0</v>
      </c>
      <c r="N62" s="79">
        <v>4.0</v>
      </c>
      <c r="O62" s="27">
        <v>2.0618556701030926</v>
      </c>
      <c r="P62" s="27"/>
      <c r="Q62" s="80">
        <v>29.0</v>
      </c>
      <c r="R62" s="81" t="s">
        <v>1688</v>
      </c>
      <c r="S62" s="81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</row>
    <row r="63" ht="15.0" customHeight="1">
      <c r="A63" s="83" t="s">
        <v>294</v>
      </c>
      <c r="B63" s="66" t="s">
        <v>1674</v>
      </c>
      <c r="C63" s="84" t="s">
        <v>1675</v>
      </c>
      <c r="D63" s="27" t="s">
        <v>1566</v>
      </c>
      <c r="E63" s="27" t="s">
        <v>1566</v>
      </c>
      <c r="F63" s="27" t="s">
        <v>1678</v>
      </c>
      <c r="G63" s="27" t="s">
        <v>1677</v>
      </c>
      <c r="H63" s="27" t="s">
        <v>290</v>
      </c>
      <c r="I63" s="27" t="str">
        <f>IFERROR(__xludf.DUMMYFUNCTION("IF(A63="""","""",
TEXTJOIN(""-"",TRUE,
IFERROR(
  INDEX(FILTER(CFG_CODES!C:C, CFG_CODES!A:A=""CATEGORY"", UPPER(CFG_CODES!B:B)=UPPER(B63))),
  LEFT(UPPER(B63),3)
),
IFERROR(
  INDEX(FILTER(CFG_CODES!C:C, CFG_CODES!A:A=""MATERIAL"", UPPER(CFG_CODES!B:B)=UP"&amp;"PER(C63))),
  LEFT(UPPER(C63),3)
),
TEXT(ROW()-1,""000"")
))"),"I-CMY-062")</f>
        <v>I-CMY-062</v>
      </c>
      <c r="J63" s="27" t="s">
        <v>1688</v>
      </c>
      <c r="K63" s="39">
        <v>0.18556701030927836</v>
      </c>
      <c r="L63" s="39">
        <v>2.0</v>
      </c>
      <c r="M63" s="39">
        <v>2.0</v>
      </c>
      <c r="N63" s="79">
        <v>4.0</v>
      </c>
      <c r="O63" s="27">
        <v>0.7422680412371134</v>
      </c>
      <c r="P63" s="27"/>
      <c r="Q63" s="80">
        <v>65.0</v>
      </c>
      <c r="R63" s="81" t="s">
        <v>1688</v>
      </c>
      <c r="S63" s="81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</row>
    <row r="64" ht="15.0" customHeight="1">
      <c r="A64" s="83" t="s">
        <v>298</v>
      </c>
      <c r="B64" s="66" t="s">
        <v>1674</v>
      </c>
      <c r="C64" s="84" t="s">
        <v>1675</v>
      </c>
      <c r="D64" s="27" t="s">
        <v>1566</v>
      </c>
      <c r="E64" s="27" t="s">
        <v>1566</v>
      </c>
      <c r="F64" s="27" t="s">
        <v>1680</v>
      </c>
      <c r="G64" s="27" t="s">
        <v>1677</v>
      </c>
      <c r="H64" s="27" t="s">
        <v>290</v>
      </c>
      <c r="I64" s="27" t="str">
        <f>IFERROR(__xludf.DUMMYFUNCTION("IF(A64="""","""",
TEXTJOIN(""-"",TRUE,
IFERROR(
  INDEX(FILTER(CFG_CODES!C:C, CFG_CODES!A:A=""CATEGORY"", UPPER(CFG_CODES!B:B)=UPPER(B64))),
  LEFT(UPPER(B64),3)
),
IFERROR(
  INDEX(FILTER(CFG_CODES!C:C, CFG_CODES!A:A=""MATERIAL"", UPPER(CFG_CODES!B:B)=UP"&amp;"PER(C64))),
  LEFT(UPPER(C64),3)
),
TEXT(ROW()-1,""000"")
))"),"I-CMY-063")</f>
        <v>I-CMY-063</v>
      </c>
      <c r="J64" s="27" t="s">
        <v>1688</v>
      </c>
      <c r="K64" s="39">
        <v>0.28865979381443296</v>
      </c>
      <c r="L64" s="39">
        <v>2.0</v>
      </c>
      <c r="M64" s="39">
        <v>2.0</v>
      </c>
      <c r="N64" s="79">
        <v>4.0</v>
      </c>
      <c r="O64" s="27">
        <v>1.1546391752577319</v>
      </c>
      <c r="P64" s="27"/>
      <c r="Q64" s="80">
        <v>28.0</v>
      </c>
      <c r="R64" s="81" t="s">
        <v>1688</v>
      </c>
      <c r="S64" s="81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</row>
    <row r="65" ht="15.0" customHeight="1">
      <c r="A65" s="83" t="s">
        <v>306</v>
      </c>
      <c r="B65" s="66" t="s">
        <v>1674</v>
      </c>
      <c r="C65" s="84" t="s">
        <v>1675</v>
      </c>
      <c r="D65" s="27" t="s">
        <v>1566</v>
      </c>
      <c r="E65" s="27" t="s">
        <v>1566</v>
      </c>
      <c r="F65" s="27" t="s">
        <v>1682</v>
      </c>
      <c r="G65" s="27" t="s">
        <v>1677</v>
      </c>
      <c r="H65" s="27" t="s">
        <v>290</v>
      </c>
      <c r="I65" s="27" t="str">
        <f>IFERROR(__xludf.DUMMYFUNCTION("IF(A65="""","""",
TEXTJOIN(""-"",TRUE,
IFERROR(
  INDEX(FILTER(CFG_CODES!C:C, CFG_CODES!A:A=""CATEGORY"", UPPER(CFG_CODES!B:B)=UPPER(B65))),
  LEFT(UPPER(B65),3)
),
IFERROR(
  INDEX(FILTER(CFG_CODES!C:C, CFG_CODES!A:A=""MATERIAL"", UPPER(CFG_CODES!B:B)=UP"&amp;"PER(C65))),
  LEFT(UPPER(C65),3)
),
TEXT(ROW()-1,""000"")
))"),"I-CMY-064")</f>
        <v>I-CMY-064</v>
      </c>
      <c r="J65" s="27" t="s">
        <v>1688</v>
      </c>
      <c r="K65" s="39">
        <v>0.3711340206185567</v>
      </c>
      <c r="L65" s="39">
        <v>2.0</v>
      </c>
      <c r="M65" s="39">
        <v>2.0</v>
      </c>
      <c r="N65" s="79">
        <v>4.0</v>
      </c>
      <c r="O65" s="27">
        <v>1.4845360824742269</v>
      </c>
      <c r="P65" s="27"/>
      <c r="Q65" s="80">
        <v>32.0</v>
      </c>
      <c r="R65" s="81" t="s">
        <v>1688</v>
      </c>
      <c r="S65" s="81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</row>
    <row r="66" ht="15.0" customHeight="1">
      <c r="A66" s="83" t="s">
        <v>1684</v>
      </c>
      <c r="B66" s="66" t="s">
        <v>1674</v>
      </c>
      <c r="C66" s="84" t="s">
        <v>1675</v>
      </c>
      <c r="D66" s="27" t="s">
        <v>1566</v>
      </c>
      <c r="E66" s="27" t="s">
        <v>1566</v>
      </c>
      <c r="F66" s="27" t="s">
        <v>1676</v>
      </c>
      <c r="G66" s="27" t="s">
        <v>1685</v>
      </c>
      <c r="H66" s="27" t="s">
        <v>290</v>
      </c>
      <c r="I66" s="27" t="str">
        <f>IFERROR(__xludf.DUMMYFUNCTION("IF(A66="""","""",
TEXTJOIN(""-"",TRUE,
IFERROR(
  INDEX(FILTER(CFG_CODES!C:C, CFG_CODES!A:A=""CATEGORY"", UPPER(CFG_CODES!B:B)=UPPER(B66))),
  LEFT(UPPER(B66),3)
),
IFERROR(
  INDEX(FILTER(CFG_CODES!C:C, CFG_CODES!A:A=""MATERIAL"", UPPER(CFG_CODES!B:B)=UP"&amp;"PER(C66))),
  LEFT(UPPER(C66),3)
),
TEXT(ROW()-1,""000"")
))"),"I-CMY-065")</f>
        <v>I-CMY-065</v>
      </c>
      <c r="J66" s="39" t="s">
        <v>1689</v>
      </c>
      <c r="K66" s="39"/>
      <c r="L66" s="39">
        <v>0.0</v>
      </c>
      <c r="M66" s="39">
        <v>0.0</v>
      </c>
      <c r="N66" s="79">
        <v>4.0</v>
      </c>
      <c r="O66" s="27" t="s">
        <v>1333</v>
      </c>
      <c r="P66" s="27"/>
      <c r="Q66" s="102"/>
      <c r="R66" s="81" t="s">
        <v>1689</v>
      </c>
      <c r="S66" s="81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</row>
    <row r="67" ht="15.0" customHeight="1">
      <c r="A67" s="83" t="s">
        <v>1687</v>
      </c>
      <c r="B67" s="66" t="s">
        <v>1674</v>
      </c>
      <c r="C67" s="84" t="s">
        <v>1675</v>
      </c>
      <c r="D67" s="27" t="s">
        <v>1566</v>
      </c>
      <c r="E67" s="27" t="s">
        <v>1566</v>
      </c>
      <c r="F67" s="27" t="s">
        <v>1565</v>
      </c>
      <c r="G67" s="27" t="s">
        <v>1685</v>
      </c>
      <c r="H67" s="27" t="s">
        <v>290</v>
      </c>
      <c r="I67" s="27" t="str">
        <f>IFERROR(__xludf.DUMMYFUNCTION("IF(A67="""","""",
TEXTJOIN(""-"",TRUE,
IFERROR(
  INDEX(FILTER(CFG_CODES!C:C, CFG_CODES!A:A=""CATEGORY"", UPPER(CFG_CODES!B:B)=UPPER(B67))),
  LEFT(UPPER(B67),3)
),
IFERROR(
  INDEX(FILTER(CFG_CODES!C:C, CFG_CODES!A:A=""MATERIAL"", UPPER(CFG_CODES!B:B)=UP"&amp;"PER(C67))),
  LEFT(UPPER(C67),3)
),
TEXT(ROW()-1,""000"")
))"),"I-CMY-066")</f>
        <v>I-CMY-066</v>
      </c>
      <c r="J67" s="39" t="s">
        <v>1689</v>
      </c>
      <c r="K67" s="39"/>
      <c r="L67" s="39">
        <v>0.0</v>
      </c>
      <c r="M67" s="39">
        <v>0.0</v>
      </c>
      <c r="N67" s="79">
        <v>4.0</v>
      </c>
      <c r="O67" s="27" t="s">
        <v>1333</v>
      </c>
      <c r="P67" s="27"/>
      <c r="Q67" s="102"/>
      <c r="R67" s="81" t="s">
        <v>1689</v>
      </c>
      <c r="S67" s="81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</row>
    <row r="68" ht="15.0" customHeight="1">
      <c r="A68" s="83" t="s">
        <v>315</v>
      </c>
      <c r="B68" s="66" t="s">
        <v>1674</v>
      </c>
      <c r="C68" s="84" t="s">
        <v>1675</v>
      </c>
      <c r="D68" s="27" t="s">
        <v>1566</v>
      </c>
      <c r="E68" s="27" t="s">
        <v>1566</v>
      </c>
      <c r="F68" s="27" t="s">
        <v>1680</v>
      </c>
      <c r="G68" s="27" t="s">
        <v>1685</v>
      </c>
      <c r="H68" s="27" t="s">
        <v>290</v>
      </c>
      <c r="I68" s="27" t="str">
        <f>IFERROR(__xludf.DUMMYFUNCTION("IF(A68="""","""",
TEXTJOIN(""-"",TRUE,
IFERROR(
  INDEX(FILTER(CFG_CODES!C:C, CFG_CODES!A:A=""CATEGORY"", UPPER(CFG_CODES!B:B)=UPPER(B68))),
  LEFT(UPPER(B68),3)
),
IFERROR(
  INDEX(FILTER(CFG_CODES!C:C, CFG_CODES!A:A=""MATERIAL"", UPPER(CFG_CODES!B:B)=UP"&amp;"PER(C68))),
  LEFT(UPPER(C68),3)
),
TEXT(ROW()-1,""000"")
))"),"I-CMY-067")</f>
        <v>I-CMY-067</v>
      </c>
      <c r="J68" s="39" t="s">
        <v>1689</v>
      </c>
      <c r="K68" s="39"/>
      <c r="L68" s="39">
        <v>2.0</v>
      </c>
      <c r="M68" s="39">
        <v>0.5</v>
      </c>
      <c r="N68" s="79">
        <v>4.0</v>
      </c>
      <c r="O68" s="27" t="s">
        <v>1333</v>
      </c>
      <c r="P68" s="27"/>
      <c r="Q68" s="81"/>
      <c r="R68" s="81" t="s">
        <v>1689</v>
      </c>
      <c r="S68" s="81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</row>
    <row r="69" ht="15.0" customHeight="1">
      <c r="A69" s="83" t="s">
        <v>325</v>
      </c>
      <c r="B69" s="66" t="s">
        <v>1674</v>
      </c>
      <c r="C69" s="84" t="s">
        <v>1675</v>
      </c>
      <c r="D69" s="27" t="s">
        <v>1566</v>
      </c>
      <c r="E69" s="27" t="s">
        <v>1566</v>
      </c>
      <c r="F69" s="27" t="s">
        <v>1682</v>
      </c>
      <c r="G69" s="27" t="s">
        <v>1685</v>
      </c>
      <c r="H69" s="27" t="s">
        <v>290</v>
      </c>
      <c r="I69" s="27" t="str">
        <f>IFERROR(__xludf.DUMMYFUNCTION("IF(A69="""","""",
TEXTJOIN(""-"",TRUE,
IFERROR(
  INDEX(FILTER(CFG_CODES!C:C, CFG_CODES!A:A=""CATEGORY"", UPPER(CFG_CODES!B:B)=UPPER(B69))),
  LEFT(UPPER(B69),3)
),
IFERROR(
  INDEX(FILTER(CFG_CODES!C:C, CFG_CODES!A:A=""MATERIAL"", UPPER(CFG_CODES!B:B)=UP"&amp;"PER(C69))),
  LEFT(UPPER(C69),3)
),
TEXT(ROW()-1,""000"")
))"),"I-CMY-068")</f>
        <v>I-CMY-068</v>
      </c>
      <c r="J69" s="39" t="s">
        <v>1689</v>
      </c>
      <c r="K69" s="39"/>
      <c r="L69" s="39">
        <v>2.0</v>
      </c>
      <c r="M69" s="39">
        <v>0.5</v>
      </c>
      <c r="N69" s="79">
        <v>4.0</v>
      </c>
      <c r="O69" s="27" t="s">
        <v>1333</v>
      </c>
      <c r="P69" s="27"/>
      <c r="Q69" s="81"/>
      <c r="R69" s="81" t="s">
        <v>1689</v>
      </c>
      <c r="S69" s="81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</row>
    <row r="70" ht="15.0" customHeight="1">
      <c r="A70" s="83" t="s">
        <v>333</v>
      </c>
      <c r="B70" s="66" t="s">
        <v>1674</v>
      </c>
      <c r="C70" s="84" t="s">
        <v>1675</v>
      </c>
      <c r="D70" s="27" t="s">
        <v>1566</v>
      </c>
      <c r="E70" s="27" t="s">
        <v>1566</v>
      </c>
      <c r="F70" s="27" t="s">
        <v>1678</v>
      </c>
      <c r="G70" s="27" t="s">
        <v>1685</v>
      </c>
      <c r="H70" s="27" t="s">
        <v>290</v>
      </c>
      <c r="I70" s="27" t="str">
        <f>IFERROR(__xludf.DUMMYFUNCTION("IF(A70="""","""",
TEXTJOIN(""-"",TRUE,
IFERROR(
  INDEX(FILTER(CFG_CODES!C:C, CFG_CODES!A:A=""CATEGORY"", UPPER(CFG_CODES!B:B)=UPPER(B70))),
  LEFT(UPPER(B70),3)
),
IFERROR(
  INDEX(FILTER(CFG_CODES!C:C, CFG_CODES!A:A=""MATERIAL"", UPPER(CFG_CODES!B:B)=UP"&amp;"PER(C70))),
  LEFT(UPPER(C70),3)
),
TEXT(ROW()-1,""000"")
))"),"I-CMY-069")</f>
        <v>I-CMY-069</v>
      </c>
      <c r="J70" s="39" t="s">
        <v>1689</v>
      </c>
      <c r="K70" s="39"/>
      <c r="L70" s="39">
        <v>2.0</v>
      </c>
      <c r="M70" s="39">
        <v>0.5</v>
      </c>
      <c r="N70" s="79">
        <v>4.0</v>
      </c>
      <c r="O70" s="27" t="s">
        <v>1333</v>
      </c>
      <c r="P70" s="27"/>
      <c r="Q70" s="81"/>
      <c r="R70" s="81" t="s">
        <v>1689</v>
      </c>
      <c r="S70" s="81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</row>
    <row r="71" ht="15.0" customHeight="1">
      <c r="A71" s="83" t="s">
        <v>340</v>
      </c>
      <c r="B71" s="66" t="s">
        <v>1674</v>
      </c>
      <c r="C71" s="84" t="s">
        <v>1675</v>
      </c>
      <c r="D71" s="27" t="s">
        <v>1566</v>
      </c>
      <c r="E71" s="27" t="s">
        <v>1566</v>
      </c>
      <c r="F71" s="27" t="s">
        <v>1678</v>
      </c>
      <c r="G71" s="27" t="s">
        <v>1690</v>
      </c>
      <c r="H71" s="27" t="s">
        <v>290</v>
      </c>
      <c r="I71" s="27" t="str">
        <f>IFERROR(__xludf.DUMMYFUNCTION("IF(A71="""","""",
TEXTJOIN(""-"",TRUE,
IFERROR(
  INDEX(FILTER(CFG_CODES!C:C, CFG_CODES!A:A=""CATEGORY"", UPPER(CFG_CODES!B:B)=UPPER(B71))),
  LEFT(UPPER(B71),3)
),
IFERROR(
  INDEX(FILTER(CFG_CODES!C:C, CFG_CODES!A:A=""MATERIAL"", UPPER(CFG_CODES!B:B)=UP"&amp;"PER(C71))),
  LEFT(UPPER(C71),3)
),
TEXT(ROW()-1,""000"")
))"),"I-CMY-070")</f>
        <v>I-CMY-070</v>
      </c>
      <c r="J71" s="39" t="s">
        <v>1689</v>
      </c>
      <c r="K71" s="39"/>
      <c r="L71" s="39">
        <v>2.0</v>
      </c>
      <c r="M71" s="39">
        <v>0.5</v>
      </c>
      <c r="N71" s="79">
        <v>4.0</v>
      </c>
      <c r="O71" s="27" t="s">
        <v>1333</v>
      </c>
      <c r="P71" s="27"/>
      <c r="Q71" s="81"/>
      <c r="R71" s="81" t="s">
        <v>1689</v>
      </c>
      <c r="S71" s="81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</row>
    <row r="72" ht="15.0" customHeight="1">
      <c r="A72" s="83" t="s">
        <v>350</v>
      </c>
      <c r="B72" s="66" t="s">
        <v>1674</v>
      </c>
      <c r="C72" s="84" t="s">
        <v>1675</v>
      </c>
      <c r="D72" s="27" t="s">
        <v>1566</v>
      </c>
      <c r="E72" s="27" t="s">
        <v>1566</v>
      </c>
      <c r="F72" s="27" t="s">
        <v>1680</v>
      </c>
      <c r="G72" s="27" t="s">
        <v>1690</v>
      </c>
      <c r="H72" s="27" t="s">
        <v>290</v>
      </c>
      <c r="I72" s="27" t="str">
        <f>IFERROR(__xludf.DUMMYFUNCTION("IF(A72="""","""",
TEXTJOIN(""-"",TRUE,
IFERROR(
  INDEX(FILTER(CFG_CODES!C:C, CFG_CODES!A:A=""CATEGORY"", UPPER(CFG_CODES!B:B)=UPPER(B72))),
  LEFT(UPPER(B72),3)
),
IFERROR(
  INDEX(FILTER(CFG_CODES!C:C, CFG_CODES!A:A=""MATERIAL"", UPPER(CFG_CODES!B:B)=UP"&amp;"PER(C72))),
  LEFT(UPPER(C72),3)
),
TEXT(ROW()-1,""000"")
))"),"I-CMY-071")</f>
        <v>I-CMY-071</v>
      </c>
      <c r="J72" s="39" t="s">
        <v>1689</v>
      </c>
      <c r="K72" s="39"/>
      <c r="L72" s="39">
        <v>2.0</v>
      </c>
      <c r="M72" s="39">
        <v>0.5</v>
      </c>
      <c r="N72" s="79">
        <v>4.0</v>
      </c>
      <c r="O72" s="27" t="s">
        <v>1333</v>
      </c>
      <c r="P72" s="27"/>
      <c r="Q72" s="81"/>
      <c r="R72" s="81" t="s">
        <v>1689</v>
      </c>
      <c r="S72" s="81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</row>
    <row r="73" ht="15.0" customHeight="1">
      <c r="A73" s="83" t="s">
        <v>357</v>
      </c>
      <c r="B73" s="66" t="s">
        <v>1674</v>
      </c>
      <c r="C73" s="84" t="s">
        <v>1675</v>
      </c>
      <c r="D73" s="27" t="s">
        <v>1566</v>
      </c>
      <c r="E73" s="27" t="s">
        <v>1566</v>
      </c>
      <c r="F73" s="27" t="s">
        <v>1682</v>
      </c>
      <c r="G73" s="27" t="s">
        <v>1690</v>
      </c>
      <c r="H73" s="27" t="s">
        <v>290</v>
      </c>
      <c r="I73" s="27" t="str">
        <f>IFERROR(__xludf.DUMMYFUNCTION("IF(A73="""","""",
TEXTJOIN(""-"",TRUE,
IFERROR(
  INDEX(FILTER(CFG_CODES!C:C, CFG_CODES!A:A=""CATEGORY"", UPPER(CFG_CODES!B:B)=UPPER(B73))),
  LEFT(UPPER(B73),3)
),
IFERROR(
  INDEX(FILTER(CFG_CODES!C:C, CFG_CODES!A:A=""MATERIAL"", UPPER(CFG_CODES!B:B)=UP"&amp;"PER(C73))),
  LEFT(UPPER(C73),3)
),
TEXT(ROW()-1,""000"")
))"),"I-CMY-072")</f>
        <v>I-CMY-072</v>
      </c>
      <c r="J73" s="39" t="s">
        <v>1689</v>
      </c>
      <c r="K73" s="39"/>
      <c r="L73" s="39">
        <v>2.0</v>
      </c>
      <c r="M73" s="39">
        <v>0.5</v>
      </c>
      <c r="N73" s="79">
        <v>4.0</v>
      </c>
      <c r="O73" s="27" t="s">
        <v>1333</v>
      </c>
      <c r="P73" s="27"/>
      <c r="Q73" s="81"/>
      <c r="R73" s="81" t="s">
        <v>1689</v>
      </c>
      <c r="S73" s="81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</row>
    <row r="74" ht="15.0" customHeight="1">
      <c r="A74" s="83" t="s">
        <v>366</v>
      </c>
      <c r="B74" s="66" t="s">
        <v>1674</v>
      </c>
      <c r="C74" s="84" t="s">
        <v>1675</v>
      </c>
      <c r="D74" s="27" t="s">
        <v>1566</v>
      </c>
      <c r="E74" s="27" t="s">
        <v>1566</v>
      </c>
      <c r="F74" s="27" t="s">
        <v>1676</v>
      </c>
      <c r="G74" s="27" t="s">
        <v>1690</v>
      </c>
      <c r="H74" s="27" t="s">
        <v>290</v>
      </c>
      <c r="I74" s="27" t="str">
        <f>IFERROR(__xludf.DUMMYFUNCTION("IF(A74="""","""",
TEXTJOIN(""-"",TRUE,
IFERROR(
  INDEX(FILTER(CFG_CODES!C:C, CFG_CODES!A:A=""CATEGORY"", UPPER(CFG_CODES!B:B)=UPPER(B74))),
  LEFT(UPPER(B74),3)
),
IFERROR(
  INDEX(FILTER(CFG_CODES!C:C, CFG_CODES!A:A=""MATERIAL"", UPPER(CFG_CODES!B:B)=UP"&amp;"PER(C74))),
  LEFT(UPPER(C74),3)
),
TEXT(ROW()-1,""000"")
))"),"I-CMY-073")</f>
        <v>I-CMY-073</v>
      </c>
      <c r="J74" s="39" t="s">
        <v>1689</v>
      </c>
      <c r="K74" s="39"/>
      <c r="L74" s="39">
        <v>2.0</v>
      </c>
      <c r="M74" s="39">
        <v>0.5</v>
      </c>
      <c r="N74" s="79">
        <v>4.0</v>
      </c>
      <c r="O74" s="27" t="s">
        <v>1333</v>
      </c>
      <c r="P74" s="27"/>
      <c r="Q74" s="81"/>
      <c r="R74" s="81" t="s">
        <v>1689</v>
      </c>
      <c r="S74" s="81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</row>
    <row r="75" ht="15.0" customHeight="1">
      <c r="A75" s="83" t="s">
        <v>375</v>
      </c>
      <c r="B75" s="66" t="s">
        <v>1674</v>
      </c>
      <c r="C75" s="84" t="s">
        <v>1691</v>
      </c>
      <c r="D75" s="27" t="s">
        <v>1566</v>
      </c>
      <c r="E75" s="27" t="s">
        <v>1566</v>
      </c>
      <c r="F75" s="27" t="s">
        <v>1692</v>
      </c>
      <c r="G75" s="27" t="s">
        <v>1677</v>
      </c>
      <c r="H75" s="27" t="s">
        <v>290</v>
      </c>
      <c r="I75" s="27" t="str">
        <f>IFERROR(__xludf.DUMMYFUNCTION("IF(A75="""","""",
TEXTJOIN(""-"",TRUE,
IFERROR(
  INDEX(FILTER(CFG_CODES!C:C, CFG_CODES!A:A=""CATEGORY"", UPPER(CFG_CODES!B:B)=UPPER(B75))),
  LEFT(UPPER(B75),3)
),
IFERROR(
  INDEX(FILTER(CFG_CODES!C:C, CFG_CODES!A:A=""MATERIAL"", UPPER(CFG_CODES!B:B)=UP"&amp;"PER(C75))),
  LEFT(UPPER(C75),3)
),
TEXT(ROW()-1,""000"")
))"),"I-PAN-074")</f>
        <v>I-PAN-074</v>
      </c>
      <c r="J75" s="27" t="s">
        <v>1688</v>
      </c>
      <c r="K75" s="39">
        <v>0.0</v>
      </c>
      <c r="L75" s="39">
        <v>2.0</v>
      </c>
      <c r="M75" s="39">
        <v>0.1</v>
      </c>
      <c r="N75" s="79">
        <v>2.0</v>
      </c>
      <c r="O75" s="27" t="s">
        <v>1333</v>
      </c>
      <c r="P75" s="27"/>
      <c r="Q75" s="81"/>
      <c r="R75" s="81" t="s">
        <v>1689</v>
      </c>
      <c r="S75" s="81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</row>
    <row r="76" ht="15.0" customHeight="1">
      <c r="A76" s="83" t="s">
        <v>382</v>
      </c>
      <c r="B76" s="66" t="s">
        <v>1674</v>
      </c>
      <c r="C76" s="84" t="s">
        <v>1691</v>
      </c>
      <c r="D76" s="27" t="s">
        <v>1566</v>
      </c>
      <c r="E76" s="27" t="s">
        <v>1566</v>
      </c>
      <c r="F76" s="27" t="s">
        <v>1693</v>
      </c>
      <c r="G76" s="27" t="s">
        <v>1677</v>
      </c>
      <c r="H76" s="27" t="s">
        <v>290</v>
      </c>
      <c r="I76" s="27" t="str">
        <f>IFERROR(__xludf.DUMMYFUNCTION("IF(A76="""","""",
TEXTJOIN(""-"",TRUE,
IFERROR(
  INDEX(FILTER(CFG_CODES!C:C, CFG_CODES!A:A=""CATEGORY"", UPPER(CFG_CODES!B:B)=UPPER(B76))),
  LEFT(UPPER(B76),3)
),
IFERROR(
  INDEX(FILTER(CFG_CODES!C:C, CFG_CODES!A:A=""MATERIAL"", UPPER(CFG_CODES!B:B)=UP"&amp;"PER(C76))),
  LEFT(UPPER(C76),3)
),
TEXT(ROW()-1,""000"")
))"),"I-PAN-075")</f>
        <v>I-PAN-075</v>
      </c>
      <c r="J76" s="27" t="s">
        <v>1688</v>
      </c>
      <c r="K76" s="39">
        <v>0.0</v>
      </c>
      <c r="L76" s="39">
        <v>2.0</v>
      </c>
      <c r="M76" s="39">
        <v>0.1</v>
      </c>
      <c r="N76" s="79">
        <v>2.0</v>
      </c>
      <c r="O76" s="27" t="s">
        <v>1333</v>
      </c>
      <c r="P76" s="27"/>
      <c r="Q76" s="81"/>
      <c r="R76" s="81" t="s">
        <v>1689</v>
      </c>
      <c r="S76" s="81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</row>
    <row r="77" ht="15.0" customHeight="1">
      <c r="A77" s="83" t="s">
        <v>388</v>
      </c>
      <c r="B77" s="66" t="s">
        <v>1674</v>
      </c>
      <c r="C77" s="84" t="s">
        <v>1691</v>
      </c>
      <c r="D77" s="27" t="s">
        <v>1566</v>
      </c>
      <c r="E77" s="27" t="s">
        <v>1566</v>
      </c>
      <c r="F77" s="27" t="s">
        <v>1696</v>
      </c>
      <c r="G77" s="27" t="s">
        <v>1677</v>
      </c>
      <c r="H77" s="27" t="s">
        <v>290</v>
      </c>
      <c r="I77" s="27" t="str">
        <f>IFERROR(__xludf.DUMMYFUNCTION("IF(A77="""","""",
TEXTJOIN(""-"",TRUE,
IFERROR(
  INDEX(FILTER(CFG_CODES!C:C, CFG_CODES!A:A=""CATEGORY"", UPPER(CFG_CODES!B:B)=UPPER(B77))),
  LEFT(UPPER(B77),3)
),
IFERROR(
  INDEX(FILTER(CFG_CODES!C:C, CFG_CODES!A:A=""MATERIAL"", UPPER(CFG_CODES!B:B)=UP"&amp;"PER(C77))),
  LEFT(UPPER(C77),3)
),
TEXT(ROW()-1,""000"")
))"),"I-PAN-076")</f>
        <v>I-PAN-076</v>
      </c>
      <c r="J77" s="27" t="s">
        <v>1688</v>
      </c>
      <c r="K77" s="39">
        <v>0.0</v>
      </c>
      <c r="L77" s="39">
        <v>2.0</v>
      </c>
      <c r="M77" s="39">
        <v>0.1</v>
      </c>
      <c r="N77" s="79">
        <v>2.0</v>
      </c>
      <c r="O77" s="27" t="s">
        <v>1333</v>
      </c>
      <c r="P77" s="27"/>
      <c r="Q77" s="81"/>
      <c r="R77" s="81" t="s">
        <v>1689</v>
      </c>
      <c r="S77" s="81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</row>
    <row r="78" ht="15.0" customHeight="1">
      <c r="A78" s="65" t="s">
        <v>391</v>
      </c>
      <c r="B78" s="66" t="s">
        <v>1674</v>
      </c>
      <c r="C78" s="84" t="s">
        <v>1691</v>
      </c>
      <c r="D78" s="27" t="s">
        <v>1566</v>
      </c>
      <c r="E78" s="27" t="s">
        <v>1566</v>
      </c>
      <c r="F78" s="27" t="s">
        <v>1697</v>
      </c>
      <c r="G78" s="27" t="s">
        <v>1677</v>
      </c>
      <c r="H78" s="27" t="s">
        <v>290</v>
      </c>
      <c r="I78" s="27" t="str">
        <f>IFERROR(__xludf.DUMMYFUNCTION("IF(A78="""","""",
TEXTJOIN(""-"",TRUE,
IFERROR(
  INDEX(FILTER(CFG_CODES!C:C, CFG_CODES!A:A=""CATEGORY"", UPPER(CFG_CODES!B:B)=UPPER(B78))),
  LEFT(UPPER(B78),3)
),
IFERROR(
  INDEX(FILTER(CFG_CODES!C:C, CFG_CODES!A:A=""MATERIAL"", UPPER(CFG_CODES!B:B)=UP"&amp;"PER(C78))),
  LEFT(UPPER(C78),3)
),
TEXT(ROW()-1,""000"")
))"),"I-PAN-077")</f>
        <v>I-PAN-077</v>
      </c>
      <c r="J78" s="27" t="s">
        <v>1688</v>
      </c>
      <c r="K78" s="39">
        <v>0.0</v>
      </c>
      <c r="L78" s="39">
        <v>2.0</v>
      </c>
      <c r="M78" s="39">
        <v>0.1</v>
      </c>
      <c r="N78" s="79">
        <v>2.0</v>
      </c>
      <c r="O78" s="27" t="s">
        <v>1333</v>
      </c>
      <c r="P78" s="27"/>
      <c r="Q78" s="81"/>
      <c r="R78" s="81" t="s">
        <v>1689</v>
      </c>
      <c r="S78" s="81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</row>
    <row r="79" ht="15.0" customHeight="1">
      <c r="A79" s="65" t="s">
        <v>398</v>
      </c>
      <c r="B79" s="66" t="s">
        <v>1674</v>
      </c>
      <c r="C79" s="84" t="s">
        <v>1691</v>
      </c>
      <c r="D79" s="27" t="s">
        <v>1566</v>
      </c>
      <c r="E79" s="27" t="s">
        <v>1566</v>
      </c>
      <c r="F79" s="27" t="s">
        <v>1698</v>
      </c>
      <c r="G79" s="27" t="s">
        <v>1677</v>
      </c>
      <c r="H79" s="27" t="s">
        <v>290</v>
      </c>
      <c r="I79" s="27" t="str">
        <f>IFERROR(__xludf.DUMMYFUNCTION("IF(A79="""","""",
TEXTJOIN(""-"",TRUE,
IFERROR(
  INDEX(FILTER(CFG_CODES!C:C, CFG_CODES!A:A=""CATEGORY"", UPPER(CFG_CODES!B:B)=UPPER(B79))),
  LEFT(UPPER(B79),3)
),
IFERROR(
  INDEX(FILTER(CFG_CODES!C:C, CFG_CODES!A:A=""MATERIAL"", UPPER(CFG_CODES!B:B)=UP"&amp;"PER(C79))),
  LEFT(UPPER(C79),3)
),
TEXT(ROW()-1,""000"")
))"),"I-PAN-078")</f>
        <v>I-PAN-078</v>
      </c>
      <c r="J79" s="27" t="s">
        <v>1688</v>
      </c>
      <c r="K79" s="39">
        <v>0.0</v>
      </c>
      <c r="L79" s="39">
        <v>2.0</v>
      </c>
      <c r="M79" s="39">
        <v>0.1</v>
      </c>
      <c r="N79" s="79">
        <v>2.0</v>
      </c>
      <c r="O79" s="27" t="s">
        <v>1333</v>
      </c>
      <c r="P79" s="27"/>
      <c r="Q79" s="81"/>
      <c r="R79" s="81" t="s">
        <v>1689</v>
      </c>
      <c r="S79" s="81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</row>
    <row r="80" ht="15.0" customHeight="1">
      <c r="A80" s="65" t="s">
        <v>404</v>
      </c>
      <c r="B80" s="66" t="s">
        <v>1674</v>
      </c>
      <c r="C80" s="84" t="s">
        <v>1691</v>
      </c>
      <c r="D80" s="27" t="s">
        <v>1566</v>
      </c>
      <c r="E80" s="27" t="s">
        <v>1566</v>
      </c>
      <c r="F80" s="27" t="s">
        <v>1705</v>
      </c>
      <c r="G80" s="27" t="s">
        <v>1677</v>
      </c>
      <c r="H80" s="27" t="s">
        <v>290</v>
      </c>
      <c r="I80" s="27" t="str">
        <f>IFERROR(__xludf.DUMMYFUNCTION("IF(A80="""","""",
TEXTJOIN(""-"",TRUE,
IFERROR(
  INDEX(FILTER(CFG_CODES!C:C, CFG_CODES!A:A=""CATEGORY"", UPPER(CFG_CODES!B:B)=UPPER(B80))),
  LEFT(UPPER(B80),3)
),
IFERROR(
  INDEX(FILTER(CFG_CODES!C:C, CFG_CODES!A:A=""MATERIAL"", UPPER(CFG_CODES!B:B)=UP"&amp;"PER(C80))),
  LEFT(UPPER(C80),3)
),
TEXT(ROW()-1,""000"")
))"),"I-PAN-079")</f>
        <v>I-PAN-079</v>
      </c>
      <c r="J80" s="27" t="s">
        <v>1688</v>
      </c>
      <c r="K80" s="39">
        <v>0.0</v>
      </c>
      <c r="L80" s="39">
        <v>2.0</v>
      </c>
      <c r="M80" s="39">
        <v>0.1</v>
      </c>
      <c r="N80" s="79">
        <v>2.0</v>
      </c>
      <c r="O80" s="27" t="s">
        <v>1333</v>
      </c>
      <c r="P80" s="27"/>
      <c r="Q80" s="81"/>
      <c r="R80" s="81" t="s">
        <v>1689</v>
      </c>
      <c r="S80" s="81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</row>
    <row r="81" ht="15.0" customHeight="1">
      <c r="A81" s="65" t="s">
        <v>421</v>
      </c>
      <c r="B81" s="66" t="s">
        <v>1674</v>
      </c>
      <c r="C81" s="84" t="s">
        <v>1691</v>
      </c>
      <c r="D81" s="27" t="s">
        <v>1566</v>
      </c>
      <c r="E81" s="27" t="s">
        <v>1566</v>
      </c>
      <c r="F81" s="27" t="s">
        <v>1712</v>
      </c>
      <c r="G81" s="27" t="s">
        <v>1677</v>
      </c>
      <c r="H81" s="27" t="s">
        <v>290</v>
      </c>
      <c r="I81" s="27" t="str">
        <f>IFERROR(__xludf.DUMMYFUNCTION("IF(A81="""","""",
TEXTJOIN(""-"",TRUE,
IFERROR(
  INDEX(FILTER(CFG_CODES!C:C, CFG_CODES!A:A=""CATEGORY"", UPPER(CFG_CODES!B:B)=UPPER(B81))),
  LEFT(UPPER(B81),3)
),
IFERROR(
  INDEX(FILTER(CFG_CODES!C:C, CFG_CODES!A:A=""MATERIAL"", UPPER(CFG_CODES!B:B)=UP"&amp;"PER(C81))),
  LEFT(UPPER(C81),3)
),
TEXT(ROW()-1,""000"")
))"),"I-PAN-080")</f>
        <v>I-PAN-080</v>
      </c>
      <c r="J81" s="27" t="s">
        <v>1688</v>
      </c>
      <c r="K81" s="39">
        <v>0.0</v>
      </c>
      <c r="L81" s="39">
        <v>2.0</v>
      </c>
      <c r="M81" s="39">
        <v>0.1</v>
      </c>
      <c r="N81" s="79">
        <v>2.0</v>
      </c>
      <c r="O81" s="27" t="s">
        <v>1333</v>
      </c>
      <c r="P81" s="27"/>
      <c r="Q81" s="81"/>
      <c r="R81" s="81" t="s">
        <v>1689</v>
      </c>
      <c r="S81" s="81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</row>
    <row r="82" ht="15.0" customHeight="1">
      <c r="A82" s="83" t="s">
        <v>430</v>
      </c>
      <c r="B82" s="66" t="s">
        <v>1674</v>
      </c>
      <c r="C82" s="84" t="s">
        <v>1691</v>
      </c>
      <c r="D82" s="27" t="s">
        <v>1566</v>
      </c>
      <c r="E82" s="27" t="s">
        <v>1566</v>
      </c>
      <c r="F82" s="27" t="s">
        <v>1698</v>
      </c>
      <c r="G82" s="27" t="s">
        <v>1677</v>
      </c>
      <c r="H82" s="27" t="s">
        <v>290</v>
      </c>
      <c r="I82" s="27" t="str">
        <f>IFERROR(__xludf.DUMMYFUNCTION("IF(A82="""","""",
TEXTJOIN(""-"",TRUE,
IFERROR(
  INDEX(FILTER(CFG_CODES!C:C, CFG_CODES!A:A=""CATEGORY"", UPPER(CFG_CODES!B:B)=UPPER(B82))),
  LEFT(UPPER(B82),3)
),
IFERROR(
  INDEX(FILTER(CFG_CODES!C:C, CFG_CODES!A:A=""MATERIAL"", UPPER(CFG_CODES!B:B)=UP"&amp;"PER(C82))),
  LEFT(UPPER(C82),3)
),
TEXT(ROW()-1,""000"")
))"),"I-PAN-081")</f>
        <v>I-PAN-081</v>
      </c>
      <c r="J82" s="27" t="s">
        <v>1688</v>
      </c>
      <c r="K82" s="39">
        <v>0.0</v>
      </c>
      <c r="L82" s="39">
        <v>2.0</v>
      </c>
      <c r="M82" s="39">
        <v>0.1</v>
      </c>
      <c r="N82" s="79">
        <v>2.0</v>
      </c>
      <c r="O82" s="27" t="s">
        <v>1333</v>
      </c>
      <c r="P82" s="27"/>
      <c r="Q82" s="81"/>
      <c r="R82" s="81" t="s">
        <v>1689</v>
      </c>
      <c r="S82" s="81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</row>
    <row r="83" ht="15.0" customHeight="1">
      <c r="A83" s="83" t="s">
        <v>434</v>
      </c>
      <c r="B83" s="66" t="s">
        <v>1674</v>
      </c>
      <c r="C83" s="84" t="s">
        <v>1691</v>
      </c>
      <c r="D83" s="27" t="s">
        <v>1566</v>
      </c>
      <c r="E83" s="27" t="s">
        <v>1566</v>
      </c>
      <c r="F83" s="27" t="s">
        <v>1698</v>
      </c>
      <c r="G83" s="27" t="s">
        <v>1677</v>
      </c>
      <c r="H83" s="27" t="s">
        <v>290</v>
      </c>
      <c r="I83" s="27" t="str">
        <f>IFERROR(__xludf.DUMMYFUNCTION("IF(A83="""","""",
TEXTJOIN(""-"",TRUE,
IFERROR(
  INDEX(FILTER(CFG_CODES!C:C, CFG_CODES!A:A=""CATEGORY"", UPPER(CFG_CODES!B:B)=UPPER(B83))),
  LEFT(UPPER(B83),3)
),
IFERROR(
  INDEX(FILTER(CFG_CODES!C:C, CFG_CODES!A:A=""MATERIAL"", UPPER(CFG_CODES!B:B)=UP"&amp;"PER(C83))),
  LEFT(UPPER(C83),3)
),
TEXT(ROW()-1,""000"")
))"),"I-PAN-082")</f>
        <v>I-PAN-082</v>
      </c>
      <c r="J83" s="27" t="s">
        <v>1688</v>
      </c>
      <c r="K83" s="39">
        <v>0.0</v>
      </c>
      <c r="L83" s="39">
        <v>2.0</v>
      </c>
      <c r="M83" s="39">
        <v>0.1</v>
      </c>
      <c r="N83" s="79">
        <v>2.0</v>
      </c>
      <c r="O83" s="27" t="s">
        <v>1333</v>
      </c>
      <c r="P83" s="27"/>
      <c r="Q83" s="81"/>
      <c r="R83" s="81" t="s">
        <v>1689</v>
      </c>
      <c r="S83" s="81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</row>
    <row r="84" ht="15.0" customHeight="1">
      <c r="A84" s="83" t="s">
        <v>438</v>
      </c>
      <c r="B84" s="66" t="s">
        <v>1674</v>
      </c>
      <c r="C84" s="84" t="s">
        <v>1691</v>
      </c>
      <c r="D84" s="27" t="s">
        <v>1566</v>
      </c>
      <c r="E84" s="27" t="s">
        <v>1566</v>
      </c>
      <c r="F84" s="27" t="s">
        <v>1721</v>
      </c>
      <c r="G84" s="27" t="s">
        <v>1677</v>
      </c>
      <c r="H84" s="27" t="s">
        <v>290</v>
      </c>
      <c r="I84" s="27" t="str">
        <f>IFERROR(__xludf.DUMMYFUNCTION("IF(A84="""","""",
TEXTJOIN(""-"",TRUE,
IFERROR(
  INDEX(FILTER(CFG_CODES!C:C, CFG_CODES!A:A=""CATEGORY"", UPPER(CFG_CODES!B:B)=UPPER(B84))),
  LEFT(UPPER(B84),3)
),
IFERROR(
  INDEX(FILTER(CFG_CODES!C:C, CFG_CODES!A:A=""MATERIAL"", UPPER(CFG_CODES!B:B)=UP"&amp;"PER(C84))),
  LEFT(UPPER(C84),3)
),
TEXT(ROW()-1,""000"")
))"),"I-PAN-083")</f>
        <v>I-PAN-083</v>
      </c>
      <c r="J84" s="27" t="s">
        <v>1688</v>
      </c>
      <c r="K84" s="39">
        <v>0.10309278350515463</v>
      </c>
      <c r="L84" s="39">
        <v>2.0</v>
      </c>
      <c r="M84" s="39">
        <v>0.1</v>
      </c>
      <c r="N84" s="79">
        <v>2.0</v>
      </c>
      <c r="O84" s="27">
        <v>0.020618556701030927</v>
      </c>
      <c r="P84" s="27"/>
      <c r="Q84" s="80">
        <v>58.0</v>
      </c>
      <c r="R84" s="81" t="s">
        <v>1689</v>
      </c>
      <c r="S84" s="81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</row>
    <row r="85" ht="15.0" customHeight="1">
      <c r="A85" s="82" t="s">
        <v>688</v>
      </c>
      <c r="B85" s="66" t="s">
        <v>1674</v>
      </c>
      <c r="C85" s="84" t="s">
        <v>1691</v>
      </c>
      <c r="D85" s="27" t="s">
        <v>1566</v>
      </c>
      <c r="E85" s="27" t="s">
        <v>1566</v>
      </c>
      <c r="F85" s="27" t="s">
        <v>1721</v>
      </c>
      <c r="G85" s="27" t="s">
        <v>1677</v>
      </c>
      <c r="H85" s="27" t="s">
        <v>290</v>
      </c>
      <c r="I85" s="27" t="str">
        <f>IFERROR(__xludf.DUMMYFUNCTION("IF(A85="""","""",
TEXTJOIN(""-"",TRUE,
IFERROR(
  INDEX(FILTER(CFG_CODES!C:C, CFG_CODES!A:A=""CATEGORY"", UPPER(CFG_CODES!B:B)=UPPER(B85))),
  LEFT(UPPER(B85),3)
),
IFERROR(
  INDEX(FILTER(CFG_CODES!C:C, CFG_CODES!A:A=""MATERIAL"", UPPER(CFG_CODES!B:B)=UP"&amp;"PER(C85))),
  LEFT(UPPER(C85),3)
),
TEXT(ROW()-1,""000"")
))"),"I-PAN-084")</f>
        <v>I-PAN-084</v>
      </c>
      <c r="J85" s="27" t="s">
        <v>1688</v>
      </c>
      <c r="K85" s="39">
        <v>0.061855670103092786</v>
      </c>
      <c r="L85" s="39">
        <v>2.0</v>
      </c>
      <c r="M85" s="39">
        <v>0.1</v>
      </c>
      <c r="N85" s="79">
        <v>2.0</v>
      </c>
      <c r="O85" s="27">
        <v>0.012371134020618558</v>
      </c>
      <c r="P85" s="27"/>
      <c r="Q85" s="80">
        <v>162.0</v>
      </c>
      <c r="R85" s="81" t="s">
        <v>1689</v>
      </c>
      <c r="S85" s="81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</row>
    <row r="86" ht="15.0" customHeight="1">
      <c r="A86" s="83" t="s">
        <v>450</v>
      </c>
      <c r="B86" s="66" t="s">
        <v>1674</v>
      </c>
      <c r="C86" s="84" t="s">
        <v>1691</v>
      </c>
      <c r="D86" s="27" t="s">
        <v>1566</v>
      </c>
      <c r="E86" s="27" t="s">
        <v>1566</v>
      </c>
      <c r="F86" s="27" t="s">
        <v>1693</v>
      </c>
      <c r="G86" s="27" t="s">
        <v>1677</v>
      </c>
      <c r="H86" s="27" t="s">
        <v>290</v>
      </c>
      <c r="I86" s="27" t="str">
        <f>IFERROR(__xludf.DUMMYFUNCTION("IF(A86="""","""",
TEXTJOIN(""-"",TRUE,
IFERROR(
  INDEX(FILTER(CFG_CODES!C:C, CFG_CODES!A:A=""CATEGORY"", UPPER(CFG_CODES!B:B)=UPPER(B86))),
  LEFT(UPPER(B86),3)
),
IFERROR(
  INDEX(FILTER(CFG_CODES!C:C, CFG_CODES!A:A=""MATERIAL"", UPPER(CFG_CODES!B:B)=UP"&amp;"PER(C86))),
  LEFT(UPPER(C86),3)
),
TEXT(ROW()-1,""000"")
))"),"I-PAN-085")</f>
        <v>I-PAN-085</v>
      </c>
      <c r="J86" s="27" t="s">
        <v>1688</v>
      </c>
      <c r="K86" s="39">
        <v>0.0</v>
      </c>
      <c r="L86" s="39">
        <v>2.0</v>
      </c>
      <c r="M86" s="39">
        <v>0.1</v>
      </c>
      <c r="N86" s="79">
        <v>2.0</v>
      </c>
      <c r="O86" s="27" t="s">
        <v>1333</v>
      </c>
      <c r="P86" s="27"/>
      <c r="Q86" s="81"/>
      <c r="R86" s="81" t="s">
        <v>1689</v>
      </c>
      <c r="S86" s="81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</row>
    <row r="87" ht="15.0" customHeight="1">
      <c r="A87" s="83" t="s">
        <v>457</v>
      </c>
      <c r="B87" s="66" t="s">
        <v>1674</v>
      </c>
      <c r="C87" s="84" t="s">
        <v>1691</v>
      </c>
      <c r="D87" s="27" t="s">
        <v>1566</v>
      </c>
      <c r="E87" s="27" t="s">
        <v>1566</v>
      </c>
      <c r="F87" s="27" t="s">
        <v>1698</v>
      </c>
      <c r="G87" s="27" t="s">
        <v>1730</v>
      </c>
      <c r="H87" s="27" t="s">
        <v>290</v>
      </c>
      <c r="I87" s="27" t="str">
        <f>IFERROR(__xludf.DUMMYFUNCTION("IF(A87="""","""",
TEXTJOIN(""-"",TRUE,
IFERROR(
  INDEX(FILTER(CFG_CODES!C:C, CFG_CODES!A:A=""CATEGORY"", UPPER(CFG_CODES!B:B)=UPPER(B87))),
  LEFT(UPPER(B87),3)
),
IFERROR(
  INDEX(FILTER(CFG_CODES!C:C, CFG_CODES!A:A=""MATERIAL"", UPPER(CFG_CODES!B:B)=UP"&amp;"PER(C87))),
  LEFT(UPPER(C87),3)
),
TEXT(ROW()-1,""000"")
))"),"I-PAN-086")</f>
        <v>I-PAN-086</v>
      </c>
      <c r="J87" s="27" t="s">
        <v>1688</v>
      </c>
      <c r="K87" s="39">
        <v>0.0</v>
      </c>
      <c r="L87" s="39">
        <v>2.0</v>
      </c>
      <c r="M87" s="39">
        <v>0.1</v>
      </c>
      <c r="N87" s="79">
        <v>2.0</v>
      </c>
      <c r="O87" s="27" t="s">
        <v>1333</v>
      </c>
      <c r="P87" s="27"/>
      <c r="Q87" s="81"/>
      <c r="R87" s="81" t="s">
        <v>1689</v>
      </c>
      <c r="S87" s="81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</row>
    <row r="88" ht="15.0" customHeight="1">
      <c r="A88" s="83" t="s">
        <v>462</v>
      </c>
      <c r="B88" s="66" t="s">
        <v>1674</v>
      </c>
      <c r="C88" s="84" t="s">
        <v>1691</v>
      </c>
      <c r="D88" s="27" t="s">
        <v>1566</v>
      </c>
      <c r="E88" s="27" t="s">
        <v>1566</v>
      </c>
      <c r="F88" s="27" t="s">
        <v>1705</v>
      </c>
      <c r="G88" s="27" t="s">
        <v>1731</v>
      </c>
      <c r="H88" s="27" t="s">
        <v>290</v>
      </c>
      <c r="I88" s="27" t="str">
        <f>IFERROR(__xludf.DUMMYFUNCTION("IF(A88="""","""",
TEXTJOIN(""-"",TRUE,
IFERROR(
  INDEX(FILTER(CFG_CODES!C:C, CFG_CODES!A:A=""CATEGORY"", UPPER(CFG_CODES!B:B)=UPPER(B88))),
  LEFT(UPPER(B88),3)
),
IFERROR(
  INDEX(FILTER(CFG_CODES!C:C, CFG_CODES!A:A=""MATERIAL"", UPPER(CFG_CODES!B:B)=UP"&amp;"PER(C88))),
  LEFT(UPPER(C88),3)
),
TEXT(ROW()-1,""000"")
))"),"I-PAN-087")</f>
        <v>I-PAN-087</v>
      </c>
      <c r="J88" s="27" t="s">
        <v>1688</v>
      </c>
      <c r="K88" s="39">
        <v>0.0</v>
      </c>
      <c r="L88" s="39">
        <v>2.0</v>
      </c>
      <c r="M88" s="39">
        <v>0.1</v>
      </c>
      <c r="N88" s="79">
        <v>2.0</v>
      </c>
      <c r="O88" s="27" t="s">
        <v>1333</v>
      </c>
      <c r="P88" s="27"/>
      <c r="Q88" s="81"/>
      <c r="R88" s="81" t="s">
        <v>1689</v>
      </c>
      <c r="S88" s="81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</row>
    <row r="89" ht="15.0" customHeight="1">
      <c r="A89" s="65" t="s">
        <v>421</v>
      </c>
      <c r="B89" s="66" t="s">
        <v>1674</v>
      </c>
      <c r="C89" s="84" t="s">
        <v>1691</v>
      </c>
      <c r="D89" s="27" t="s">
        <v>1566</v>
      </c>
      <c r="E89" s="27" t="s">
        <v>1566</v>
      </c>
      <c r="F89" s="27" t="s">
        <v>1693</v>
      </c>
      <c r="G89" s="27" t="s">
        <v>1734</v>
      </c>
      <c r="H89" s="27" t="s">
        <v>290</v>
      </c>
      <c r="I89" s="27" t="str">
        <f>IFERROR(__xludf.DUMMYFUNCTION("IF(A89="""","""",
TEXTJOIN(""-"",TRUE,
IFERROR(
  INDEX(FILTER(CFG_CODES!C:C, CFG_CODES!A:A=""CATEGORY"", UPPER(CFG_CODES!B:B)=UPPER(B89))),
  LEFT(UPPER(B89),3)
),
IFERROR(
  INDEX(FILTER(CFG_CODES!C:C, CFG_CODES!A:A=""MATERIAL"", UPPER(CFG_CODES!B:B)=UP"&amp;"PER(C89))),
  LEFT(UPPER(C89),3)
),
TEXT(ROW()-1,""000"")
))"),"I-PAN-088")</f>
        <v>I-PAN-088</v>
      </c>
      <c r="J89" s="27" t="s">
        <v>1688</v>
      </c>
      <c r="K89" s="39">
        <v>0.0</v>
      </c>
      <c r="L89" s="39">
        <v>2.0</v>
      </c>
      <c r="M89" s="39">
        <v>0.1</v>
      </c>
      <c r="N89" s="79">
        <v>2.0</v>
      </c>
      <c r="O89" s="27" t="s">
        <v>1333</v>
      </c>
      <c r="P89" s="27"/>
      <c r="Q89" s="81"/>
      <c r="R89" s="81" t="s">
        <v>1689</v>
      </c>
      <c r="S89" s="81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</row>
    <row r="90" ht="15.0" customHeight="1">
      <c r="A90" s="65" t="s">
        <v>474</v>
      </c>
      <c r="B90" s="66" t="s">
        <v>1674</v>
      </c>
      <c r="C90" s="84" t="s">
        <v>1691</v>
      </c>
      <c r="D90" s="27" t="s">
        <v>1566</v>
      </c>
      <c r="E90" s="27" t="s">
        <v>1566</v>
      </c>
      <c r="F90" s="27" t="s">
        <v>1735</v>
      </c>
      <c r="G90" s="27" t="s">
        <v>1736</v>
      </c>
      <c r="H90" s="27" t="s">
        <v>290</v>
      </c>
      <c r="I90" s="27" t="str">
        <f>IFERROR(__xludf.DUMMYFUNCTION("IF(A90="""","""",
TEXTJOIN(""-"",TRUE,
IFERROR(
  INDEX(FILTER(CFG_CODES!C:C, CFG_CODES!A:A=""CATEGORY"", UPPER(CFG_CODES!B:B)=UPPER(B90))),
  LEFT(UPPER(B90),3)
),
IFERROR(
  INDEX(FILTER(CFG_CODES!C:C, CFG_CODES!A:A=""MATERIAL"", UPPER(CFG_CODES!B:B)=UP"&amp;"PER(C90))),
  LEFT(UPPER(C90),3)
),
TEXT(ROW()-1,""000"")
))"),"I-PAN-089")</f>
        <v>I-PAN-089</v>
      </c>
      <c r="J90" s="27" t="s">
        <v>1688</v>
      </c>
      <c r="K90" s="39">
        <v>0.0</v>
      </c>
      <c r="L90" s="39">
        <v>2.0</v>
      </c>
      <c r="M90" s="39">
        <v>0.1</v>
      </c>
      <c r="N90" s="79">
        <v>2.0</v>
      </c>
      <c r="O90" s="27" t="s">
        <v>1333</v>
      </c>
      <c r="P90" s="27"/>
      <c r="Q90" s="81"/>
      <c r="R90" s="81" t="s">
        <v>1689</v>
      </c>
      <c r="S90" s="81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</row>
    <row r="91" ht="15.0" customHeight="1">
      <c r="A91" s="83" t="s">
        <v>482</v>
      </c>
      <c r="B91" s="66" t="s">
        <v>1674</v>
      </c>
      <c r="C91" s="84" t="s">
        <v>1691</v>
      </c>
      <c r="D91" s="27" t="s">
        <v>1566</v>
      </c>
      <c r="E91" s="27" t="s">
        <v>1566</v>
      </c>
      <c r="F91" s="27" t="s">
        <v>482</v>
      </c>
      <c r="G91" s="27" t="s">
        <v>1738</v>
      </c>
      <c r="H91" s="27" t="s">
        <v>290</v>
      </c>
      <c r="I91" s="27" t="str">
        <f>IFERROR(__xludf.DUMMYFUNCTION("IF(A91="""","""",
TEXTJOIN(""-"",TRUE,
IFERROR(
  INDEX(FILTER(CFG_CODES!C:C, CFG_CODES!A:A=""CATEGORY"", UPPER(CFG_CODES!B:B)=UPPER(B91))),
  LEFT(UPPER(B91),3)
),
IFERROR(
  INDEX(FILTER(CFG_CODES!C:C, CFG_CODES!A:A=""MATERIAL"", UPPER(CFG_CODES!B:B)=UP"&amp;"PER(C91))),
  LEFT(UPPER(C91),3)
),
TEXT(ROW()-1,""000"")
))"),"I-PAN-090")</f>
        <v>I-PAN-090</v>
      </c>
      <c r="J91" s="27" t="s">
        <v>1688</v>
      </c>
      <c r="K91" s="39">
        <v>0.0</v>
      </c>
      <c r="L91" s="39">
        <v>2.0</v>
      </c>
      <c r="M91" s="39">
        <v>0.1</v>
      </c>
      <c r="N91" s="79">
        <v>2.0</v>
      </c>
      <c r="O91" s="27" t="s">
        <v>1333</v>
      </c>
      <c r="P91" s="27"/>
      <c r="Q91" s="81"/>
      <c r="R91" s="81" t="s">
        <v>1689</v>
      </c>
      <c r="S91" s="81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</row>
    <row r="92" ht="15.0" customHeight="1">
      <c r="A92" s="83" t="s">
        <v>490</v>
      </c>
      <c r="B92" s="66" t="s">
        <v>1674</v>
      </c>
      <c r="C92" s="84" t="s">
        <v>1691</v>
      </c>
      <c r="D92" s="27" t="s">
        <v>1566</v>
      </c>
      <c r="E92" s="27" t="s">
        <v>1566</v>
      </c>
      <c r="F92" s="27" t="s">
        <v>1705</v>
      </c>
      <c r="G92" s="27" t="s">
        <v>1745</v>
      </c>
      <c r="H92" s="27" t="s">
        <v>290</v>
      </c>
      <c r="I92" s="27" t="str">
        <f>IFERROR(__xludf.DUMMYFUNCTION("IF(A92="""","""",
TEXTJOIN(""-"",TRUE,
IFERROR(
  INDEX(FILTER(CFG_CODES!C:C, CFG_CODES!A:A=""CATEGORY"", UPPER(CFG_CODES!B:B)=UPPER(B92))),
  LEFT(UPPER(B92),3)
),
IFERROR(
  INDEX(FILTER(CFG_CODES!C:C, CFG_CODES!A:A=""MATERIAL"", UPPER(CFG_CODES!B:B)=UP"&amp;"PER(C92))),
  LEFT(UPPER(C92),3)
),
TEXT(ROW()-1,""000"")
))"),"I-PAN-091")</f>
        <v>I-PAN-091</v>
      </c>
      <c r="J92" s="27" t="s">
        <v>1688</v>
      </c>
      <c r="K92" s="39">
        <v>0.0</v>
      </c>
      <c r="L92" s="39">
        <v>2.0</v>
      </c>
      <c r="M92" s="39">
        <v>0.1</v>
      </c>
      <c r="N92" s="79">
        <v>2.0</v>
      </c>
      <c r="O92" s="27" t="s">
        <v>1333</v>
      </c>
      <c r="P92" s="27"/>
      <c r="Q92" s="81"/>
      <c r="R92" s="81" t="s">
        <v>1689</v>
      </c>
      <c r="S92" s="81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</row>
    <row r="93" ht="15.0" customHeight="1">
      <c r="A93" s="83" t="s">
        <v>499</v>
      </c>
      <c r="B93" s="66" t="s">
        <v>1674</v>
      </c>
      <c r="C93" s="84" t="s">
        <v>1691</v>
      </c>
      <c r="D93" s="27" t="s">
        <v>1566</v>
      </c>
      <c r="E93" s="27" t="s">
        <v>1566</v>
      </c>
      <c r="F93" s="27" t="s">
        <v>1748</v>
      </c>
      <c r="G93" s="131" t="s">
        <v>1750</v>
      </c>
      <c r="H93" s="27" t="s">
        <v>290</v>
      </c>
      <c r="I93" s="27" t="str">
        <f>IFERROR(__xludf.DUMMYFUNCTION("IF(A93="""","""",
TEXTJOIN(""-"",TRUE,
IFERROR(
  INDEX(FILTER(CFG_CODES!C:C, CFG_CODES!A:A=""CATEGORY"", UPPER(CFG_CODES!B:B)=UPPER(B93))),
  LEFT(UPPER(B93),3)
),
IFERROR(
  INDEX(FILTER(CFG_CODES!C:C, CFG_CODES!A:A=""MATERIAL"", UPPER(CFG_CODES!B:B)=UP"&amp;"PER(C93))),
  LEFT(UPPER(C93),3)
),
TEXT(ROW()-1,""000"")
))"),"I-PAN-092")</f>
        <v>I-PAN-092</v>
      </c>
      <c r="J93" s="27" t="s">
        <v>1688</v>
      </c>
      <c r="K93" s="39">
        <v>0.0</v>
      </c>
      <c r="L93" s="39">
        <v>2.0</v>
      </c>
      <c r="M93" s="39">
        <v>0.1</v>
      </c>
      <c r="N93" s="79">
        <v>2.0</v>
      </c>
      <c r="O93" s="27" t="s">
        <v>1333</v>
      </c>
      <c r="P93" s="27"/>
      <c r="Q93" s="81"/>
      <c r="R93" s="81" t="s">
        <v>1689</v>
      </c>
      <c r="S93" s="81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</row>
    <row r="94" ht="15.0" customHeight="1">
      <c r="A94" s="65" t="s">
        <v>506</v>
      </c>
      <c r="B94" s="66" t="s">
        <v>1674</v>
      </c>
      <c r="C94" s="84" t="s">
        <v>1691</v>
      </c>
      <c r="D94" s="27" t="s">
        <v>1566</v>
      </c>
      <c r="E94" s="27" t="s">
        <v>1566</v>
      </c>
      <c r="F94" s="27" t="s">
        <v>1756</v>
      </c>
      <c r="G94" s="131" t="s">
        <v>1757</v>
      </c>
      <c r="H94" s="27" t="s">
        <v>290</v>
      </c>
      <c r="I94" s="27" t="str">
        <f>IFERROR(__xludf.DUMMYFUNCTION("IF(A94="""","""",
TEXTJOIN(""-"",TRUE,
IFERROR(
  INDEX(FILTER(CFG_CODES!C:C, CFG_CODES!A:A=""CATEGORY"", UPPER(CFG_CODES!B:B)=UPPER(B94))),
  LEFT(UPPER(B94),3)
),
IFERROR(
  INDEX(FILTER(CFG_CODES!C:C, CFG_CODES!A:A=""MATERIAL"", UPPER(CFG_CODES!B:B)=UP"&amp;"PER(C94))),
  LEFT(UPPER(C94),3)
),
TEXT(ROW()-1,""000"")
))"),"I-PAN-093")</f>
        <v>I-PAN-093</v>
      </c>
      <c r="J94" s="27" t="s">
        <v>1688</v>
      </c>
      <c r="K94" s="39">
        <v>0.0</v>
      </c>
      <c r="L94" s="39">
        <v>2.0</v>
      </c>
      <c r="M94" s="39">
        <v>0.1</v>
      </c>
      <c r="N94" s="79">
        <v>2.0</v>
      </c>
      <c r="O94" s="27" t="s">
        <v>1333</v>
      </c>
      <c r="P94" s="27"/>
      <c r="Q94" s="81"/>
      <c r="R94" s="81" t="s">
        <v>1689</v>
      </c>
      <c r="S94" s="81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</row>
    <row r="95" ht="15.0" customHeight="1">
      <c r="A95" s="65" t="s">
        <v>1759</v>
      </c>
      <c r="B95" s="66" t="s">
        <v>1674</v>
      </c>
      <c r="C95" s="69" t="s">
        <v>1691</v>
      </c>
      <c r="D95" s="27" t="s">
        <v>1566</v>
      </c>
      <c r="E95" s="27" t="s">
        <v>1566</v>
      </c>
      <c r="F95" s="27" t="s">
        <v>1760</v>
      </c>
      <c r="G95" s="27" t="s">
        <v>1761</v>
      </c>
      <c r="H95" s="27" t="s">
        <v>290</v>
      </c>
      <c r="I95" s="27" t="str">
        <f>IFERROR(__xludf.DUMMYFUNCTION("IF(A95="""","""",
TEXTJOIN(""-"",TRUE,
IFERROR(
  INDEX(FILTER(CFG_CODES!C:C, CFG_CODES!A:A=""CATEGORY"", UPPER(CFG_CODES!B:B)=UPPER(B95))),
  LEFT(UPPER(B95),3)
),
IFERROR(
  INDEX(FILTER(CFG_CODES!C:C, CFG_CODES!A:A=""MATERIAL"", UPPER(CFG_CODES!B:B)=UP"&amp;"PER(C95))),
  LEFT(UPPER(C95),3)
),
TEXT(ROW()-1,""000"")
))"),"I-PAN-094")</f>
        <v>I-PAN-094</v>
      </c>
      <c r="J95" s="27" t="s">
        <v>1688</v>
      </c>
      <c r="K95" s="39">
        <v>0.020618556701030927</v>
      </c>
      <c r="L95" s="39">
        <v>2.0</v>
      </c>
      <c r="M95" s="39">
        <v>0.1</v>
      </c>
      <c r="N95" s="79">
        <v>2.0</v>
      </c>
      <c r="O95" s="27">
        <v>0.004123711340206186</v>
      </c>
      <c r="P95" s="27"/>
      <c r="Q95" s="80">
        <v>0.0</v>
      </c>
      <c r="R95" s="81" t="s">
        <v>1689</v>
      </c>
      <c r="S95" s="81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</row>
    <row r="96" ht="15.0" customHeight="1">
      <c r="A96" s="82" t="s">
        <v>510</v>
      </c>
      <c r="B96" s="66" t="s">
        <v>1674</v>
      </c>
      <c r="C96" s="133" t="s">
        <v>1691</v>
      </c>
      <c r="D96" s="53" t="s">
        <v>1566</v>
      </c>
      <c r="E96" s="27" t="s">
        <v>1566</v>
      </c>
      <c r="F96" s="27" t="s">
        <v>1768</v>
      </c>
      <c r="G96" s="27" t="s">
        <v>1769</v>
      </c>
      <c r="H96" s="27" t="s">
        <v>290</v>
      </c>
      <c r="I96" s="27" t="str">
        <f>IFERROR(__xludf.DUMMYFUNCTION("IF(A96="""","""",
TEXTJOIN(""-"",TRUE,
IFERROR(
  INDEX(FILTER(CFG_CODES!C:C, CFG_CODES!A:A=""CATEGORY"", UPPER(CFG_CODES!B:B)=UPPER(B96))),
  LEFT(UPPER(B96),3)
),
IFERROR(
  INDEX(FILTER(CFG_CODES!C:C, CFG_CODES!A:A=""MATERIAL"", UPPER(CFG_CODES!B:B)=UP"&amp;"PER(C96))),
  LEFT(UPPER(C96),3)
),
TEXT(ROW()-1,""000"")
))"),"I-PAN-095")</f>
        <v>I-PAN-095</v>
      </c>
      <c r="J96" s="27" t="s">
        <v>1688</v>
      </c>
      <c r="K96" s="39">
        <v>0.010309278350515464</v>
      </c>
      <c r="L96" s="39">
        <v>2.0</v>
      </c>
      <c r="M96" s="39">
        <v>0.1</v>
      </c>
      <c r="N96" s="79">
        <v>2.0</v>
      </c>
      <c r="O96" s="27">
        <v>0.002061855670103093</v>
      </c>
      <c r="P96" s="27"/>
      <c r="Q96" s="80">
        <v>388.0</v>
      </c>
      <c r="R96" s="81" t="s">
        <v>1689</v>
      </c>
      <c r="S96" s="81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</row>
    <row r="97" ht="15.0" customHeight="1">
      <c r="A97" s="65" t="s">
        <v>1777</v>
      </c>
      <c r="B97" s="66" t="s">
        <v>1674</v>
      </c>
      <c r="C97" s="134" t="s">
        <v>1691</v>
      </c>
      <c r="D97" s="135" t="s">
        <v>1566</v>
      </c>
      <c r="E97" s="27" t="s">
        <v>1566</v>
      </c>
      <c r="F97" s="27" t="s">
        <v>1682</v>
      </c>
      <c r="G97" s="27" t="s">
        <v>1778</v>
      </c>
      <c r="H97" s="27" t="s">
        <v>290</v>
      </c>
      <c r="I97" s="27" t="str">
        <f>IFERROR(__xludf.DUMMYFUNCTION("IF(A97="""","""",
TEXTJOIN(""-"",TRUE,
IFERROR(
  INDEX(FILTER(CFG_CODES!C:C, CFG_CODES!A:A=""CATEGORY"", UPPER(CFG_CODES!B:B)=UPPER(B97))),
  LEFT(UPPER(B97),3)
),
IFERROR(
  INDEX(FILTER(CFG_CODES!C:C, CFG_CODES!A:A=""MATERIAL"", UPPER(CFG_CODES!B:B)=UP"&amp;"PER(C97))),
  LEFT(UPPER(C97),3)
),
TEXT(ROW()-1,""000"")
))"),"I-PAN-096")</f>
        <v>I-PAN-096</v>
      </c>
      <c r="J97" s="27" t="s">
        <v>1688</v>
      </c>
      <c r="K97" s="39">
        <v>0.020618556701030927</v>
      </c>
      <c r="L97" s="39">
        <v>2.0</v>
      </c>
      <c r="M97" s="39">
        <v>0.1</v>
      </c>
      <c r="N97" s="79">
        <v>2.0</v>
      </c>
      <c r="O97" s="27">
        <v>0.004123711340206186</v>
      </c>
      <c r="P97" s="27"/>
      <c r="Q97" s="80">
        <v>0.0</v>
      </c>
      <c r="R97" s="81" t="s">
        <v>1689</v>
      </c>
      <c r="S97" s="81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</row>
    <row r="98" ht="15.0" customHeight="1">
      <c r="A98" s="65" t="s">
        <v>515</v>
      </c>
      <c r="B98" s="66" t="s">
        <v>1674</v>
      </c>
      <c r="C98" s="133" t="s">
        <v>1691</v>
      </c>
      <c r="D98" s="53" t="s">
        <v>1566</v>
      </c>
      <c r="E98" s="27" t="s">
        <v>1566</v>
      </c>
      <c r="F98" s="27" t="s">
        <v>1780</v>
      </c>
      <c r="G98" s="27" t="s">
        <v>1781</v>
      </c>
      <c r="H98" s="27" t="s">
        <v>290</v>
      </c>
      <c r="I98" s="27" t="str">
        <f>IFERROR(__xludf.DUMMYFUNCTION("IF(A98="""","""",
TEXTJOIN(""-"",TRUE,
IFERROR(
  INDEX(FILTER(CFG_CODES!C:C, CFG_CODES!A:A=""CATEGORY"", UPPER(CFG_CODES!B:B)=UPPER(B98))),
  LEFT(UPPER(B98),3)
),
IFERROR(
  INDEX(FILTER(CFG_CODES!C:C, CFG_CODES!A:A=""MATERIAL"", UPPER(CFG_CODES!B:B)=UP"&amp;"PER(C98))),
  LEFT(UPPER(C98),3)
),
TEXT(ROW()-1,""000"")
))"),"I-PAN-097")</f>
        <v>I-PAN-097</v>
      </c>
      <c r="J98" s="27" t="s">
        <v>1688</v>
      </c>
      <c r="K98" s="39">
        <v>0.020618556701030927</v>
      </c>
      <c r="L98" s="39">
        <v>2.0</v>
      </c>
      <c r="M98" s="39">
        <v>0.1</v>
      </c>
      <c r="N98" s="79">
        <v>2.0</v>
      </c>
      <c r="O98" s="27">
        <v>0.004123711340206186</v>
      </c>
      <c r="P98" s="27"/>
      <c r="Q98" s="80">
        <v>97.0</v>
      </c>
      <c r="R98" s="81" t="s">
        <v>1689</v>
      </c>
      <c r="S98" s="81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</row>
    <row r="99" ht="15.0" customHeight="1">
      <c r="A99" s="65" t="s">
        <v>521</v>
      </c>
      <c r="B99" s="66" t="s">
        <v>1674</v>
      </c>
      <c r="C99" s="134" t="s">
        <v>1691</v>
      </c>
      <c r="D99" s="135" t="s">
        <v>1566</v>
      </c>
      <c r="E99" s="27" t="s">
        <v>1566</v>
      </c>
      <c r="F99" s="27" t="s">
        <v>1721</v>
      </c>
      <c r="G99" s="27" t="s">
        <v>1785</v>
      </c>
      <c r="H99" s="27" t="s">
        <v>290</v>
      </c>
      <c r="I99" s="27" t="str">
        <f>IFERROR(__xludf.DUMMYFUNCTION("IF(A99="""","""",
TEXTJOIN(""-"",TRUE,
IFERROR(
  INDEX(FILTER(CFG_CODES!C:C, CFG_CODES!A:A=""CATEGORY"", UPPER(CFG_CODES!B:B)=UPPER(B99))),
  LEFT(UPPER(B99),3)
),
IFERROR(
  INDEX(FILTER(CFG_CODES!C:C, CFG_CODES!A:A=""MATERIAL"", UPPER(CFG_CODES!B:B)=UP"&amp;"PER(C99))),
  LEFT(UPPER(C99),3)
),
TEXT(ROW()-1,""000"")
))"),"I-PAN-098")</f>
        <v>I-PAN-098</v>
      </c>
      <c r="J99" s="27" t="s">
        <v>1688</v>
      </c>
      <c r="K99" s="39">
        <v>0.0</v>
      </c>
      <c r="L99" s="39">
        <v>2.0</v>
      </c>
      <c r="M99" s="39">
        <v>0.1</v>
      </c>
      <c r="N99" s="79">
        <v>2.0</v>
      </c>
      <c r="O99" s="27" t="s">
        <v>1333</v>
      </c>
      <c r="P99" s="27"/>
      <c r="Q99" s="81"/>
      <c r="R99" s="81" t="s">
        <v>1689</v>
      </c>
      <c r="S99" s="81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</row>
    <row r="100" ht="15.0" customHeight="1">
      <c r="A100" s="65" t="s">
        <v>1790</v>
      </c>
      <c r="B100" s="66" t="s">
        <v>1674</v>
      </c>
      <c r="C100" s="133" t="s">
        <v>1691</v>
      </c>
      <c r="D100" s="53" t="s">
        <v>1566</v>
      </c>
      <c r="E100" s="27" t="s">
        <v>1566</v>
      </c>
      <c r="F100" s="27" t="s">
        <v>1697</v>
      </c>
      <c r="G100" s="27" t="s">
        <v>1791</v>
      </c>
      <c r="H100" s="27" t="s">
        <v>290</v>
      </c>
      <c r="I100" s="27" t="str">
        <f>IFERROR(__xludf.DUMMYFUNCTION("IF(A100="""","""",
TEXTJOIN(""-"",TRUE,
IFERROR(
  INDEX(FILTER(CFG_CODES!C:C, CFG_CODES!A:A=""CATEGORY"", UPPER(CFG_CODES!B:B)=UPPER(B100))),
  LEFT(UPPER(B100),3)
),
IFERROR(
  INDEX(FILTER(CFG_CODES!C:C, CFG_CODES!A:A=""MATERIAL"", UPPER(CFG_CODES!B:B)"&amp;"=UPPER(C100))),
  LEFT(UPPER(C100),3)
),
TEXT(ROW()-1,""000"")
))"),"I-PAN-099")</f>
        <v>I-PAN-099</v>
      </c>
      <c r="J100" s="27" t="s">
        <v>1688</v>
      </c>
      <c r="K100" s="39">
        <v>0.0</v>
      </c>
      <c r="L100" s="39">
        <v>2.0</v>
      </c>
      <c r="M100" s="39">
        <v>0.1</v>
      </c>
      <c r="N100" s="79">
        <v>2.0</v>
      </c>
      <c r="O100" s="27" t="s">
        <v>1333</v>
      </c>
      <c r="P100" s="27"/>
      <c r="Q100" s="81"/>
      <c r="R100" s="81" t="s">
        <v>1689</v>
      </c>
      <c r="S100" s="81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</row>
    <row r="101" ht="15.0" customHeight="1">
      <c r="A101" s="136" t="s">
        <v>527</v>
      </c>
      <c r="B101" s="66" t="s">
        <v>1674</v>
      </c>
      <c r="C101" s="134" t="s">
        <v>1691</v>
      </c>
      <c r="D101" s="135" t="s">
        <v>1566</v>
      </c>
      <c r="E101" s="27" t="s">
        <v>1566</v>
      </c>
      <c r="F101" s="27" t="s">
        <v>1693</v>
      </c>
      <c r="G101" s="27" t="s">
        <v>1797</v>
      </c>
      <c r="H101" s="27" t="s">
        <v>290</v>
      </c>
      <c r="I101" s="27" t="str">
        <f>IFERROR(__xludf.DUMMYFUNCTION("IF(A101="""","""",
TEXTJOIN(""-"",TRUE,
IFERROR(
  INDEX(FILTER(CFG_CODES!C:C, CFG_CODES!A:A=""CATEGORY"", UPPER(CFG_CODES!B:B)=UPPER(B101))),
  LEFT(UPPER(B101),3)
),
IFERROR(
  INDEX(FILTER(CFG_CODES!C:C, CFG_CODES!A:A=""MATERIAL"", UPPER(CFG_CODES!B:B)"&amp;"=UPPER(C101))),
  LEFT(UPPER(C101),3)
),
TEXT(ROW()-1,""000"")
))"),"I-PAN-100")</f>
        <v>I-PAN-100</v>
      </c>
      <c r="J101" s="27" t="s">
        <v>1688</v>
      </c>
      <c r="K101" s="39">
        <v>0.0</v>
      </c>
      <c r="L101" s="39">
        <v>2.0</v>
      </c>
      <c r="M101" s="39">
        <v>0.1</v>
      </c>
      <c r="N101" s="79">
        <v>2.0</v>
      </c>
      <c r="O101" s="27" t="s">
        <v>1333</v>
      </c>
      <c r="P101" s="27"/>
      <c r="Q101" s="81"/>
      <c r="R101" s="81" t="s">
        <v>1689</v>
      </c>
      <c r="S101" s="81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</row>
    <row r="102" ht="15.0" customHeight="1">
      <c r="A102" s="137" t="s">
        <v>535</v>
      </c>
      <c r="B102" s="66" t="s">
        <v>1674</v>
      </c>
      <c r="C102" s="133" t="s">
        <v>1691</v>
      </c>
      <c r="D102" s="53" t="s">
        <v>1566</v>
      </c>
      <c r="E102" s="27" t="s">
        <v>1566</v>
      </c>
      <c r="F102" s="27" t="s">
        <v>1798</v>
      </c>
      <c r="G102" s="27" t="s">
        <v>1799</v>
      </c>
      <c r="H102" s="27" t="s">
        <v>290</v>
      </c>
      <c r="I102" s="27" t="str">
        <f>IFERROR(__xludf.DUMMYFUNCTION("IF(A102="""","""",
TEXTJOIN(""-"",TRUE,
IFERROR(
  INDEX(FILTER(CFG_CODES!C:C, CFG_CODES!A:A=""CATEGORY"", UPPER(CFG_CODES!B:B)=UPPER(B102))),
  LEFT(UPPER(B102),3)
),
IFERROR(
  INDEX(FILTER(CFG_CODES!C:C, CFG_CODES!A:A=""MATERIAL"", UPPER(CFG_CODES!B:B)"&amp;"=UPPER(C102))),
  LEFT(UPPER(C102),3)
),
TEXT(ROW()-1,""000"")
))"),"I-PAN-101")</f>
        <v>I-PAN-101</v>
      </c>
      <c r="J102" s="27" t="s">
        <v>1688</v>
      </c>
      <c r="K102" s="39">
        <v>0.0</v>
      </c>
      <c r="L102" s="39">
        <v>2.0</v>
      </c>
      <c r="M102" s="39">
        <v>0.1</v>
      </c>
      <c r="N102" s="79">
        <v>2.0</v>
      </c>
      <c r="O102" s="27" t="s">
        <v>1333</v>
      </c>
      <c r="P102" s="27"/>
      <c r="Q102" s="81"/>
      <c r="R102" s="81" t="s">
        <v>1689</v>
      </c>
      <c r="S102" s="81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</row>
    <row r="103" ht="15.0" customHeight="1">
      <c r="A103" s="138" t="s">
        <v>543</v>
      </c>
      <c r="B103" s="66" t="s">
        <v>1674</v>
      </c>
      <c r="C103" s="134" t="s">
        <v>1691</v>
      </c>
      <c r="D103" s="135" t="s">
        <v>1566</v>
      </c>
      <c r="E103" s="27" t="s">
        <v>1566</v>
      </c>
      <c r="F103" s="27" t="s">
        <v>1697</v>
      </c>
      <c r="G103" s="27" t="s">
        <v>1800</v>
      </c>
      <c r="H103" s="27" t="s">
        <v>290</v>
      </c>
      <c r="I103" s="27" t="str">
        <f>IFERROR(__xludf.DUMMYFUNCTION("IF(A103="""","""",
TEXTJOIN(""-"",TRUE,
IFERROR(
  INDEX(FILTER(CFG_CODES!C:C, CFG_CODES!A:A=""CATEGORY"", UPPER(CFG_CODES!B:B)=UPPER(B103))),
  LEFT(UPPER(B103),3)
),
IFERROR(
  INDEX(FILTER(CFG_CODES!C:C, CFG_CODES!A:A=""MATERIAL"", UPPER(CFG_CODES!B:B)"&amp;"=UPPER(C103))),
  LEFT(UPPER(C103),3)
),
TEXT(ROW()-1,""000"")
))"),"I-PAN-102")</f>
        <v>I-PAN-102</v>
      </c>
      <c r="J103" s="27" t="s">
        <v>1688</v>
      </c>
      <c r="K103" s="39">
        <v>0.0</v>
      </c>
      <c r="L103" s="39">
        <v>2.0</v>
      </c>
      <c r="M103" s="39">
        <v>0.1</v>
      </c>
      <c r="N103" s="79">
        <v>2.0</v>
      </c>
      <c r="O103" s="27" t="s">
        <v>1333</v>
      </c>
      <c r="P103" s="27"/>
      <c r="Q103" s="81"/>
      <c r="R103" s="81" t="s">
        <v>1689</v>
      </c>
      <c r="S103" s="81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</row>
    <row r="104" ht="15.0" customHeight="1">
      <c r="A104" s="137" t="s">
        <v>551</v>
      </c>
      <c r="B104" s="66" t="s">
        <v>1674</v>
      </c>
      <c r="C104" s="133" t="s">
        <v>1691</v>
      </c>
      <c r="D104" s="53" t="s">
        <v>1566</v>
      </c>
      <c r="E104" s="27" t="s">
        <v>1566</v>
      </c>
      <c r="F104" s="27" t="s">
        <v>1801</v>
      </c>
      <c r="G104" s="27" t="s">
        <v>1802</v>
      </c>
      <c r="H104" s="27" t="s">
        <v>290</v>
      </c>
      <c r="I104" s="27" t="str">
        <f>IFERROR(__xludf.DUMMYFUNCTION("IF(A104="""","""",
TEXTJOIN(""-"",TRUE,
IFERROR(
  INDEX(FILTER(CFG_CODES!C:C, CFG_CODES!A:A=""CATEGORY"", UPPER(CFG_CODES!B:B)=UPPER(B104))),
  LEFT(UPPER(B104),3)
),
IFERROR(
  INDEX(FILTER(CFG_CODES!C:C, CFG_CODES!A:A=""MATERIAL"", UPPER(CFG_CODES!B:B)"&amp;"=UPPER(C104))),
  LEFT(UPPER(C104),3)
),
TEXT(ROW()-1,""000"")
))"),"I-PAN-103")</f>
        <v>I-PAN-103</v>
      </c>
      <c r="J104" s="27" t="s">
        <v>1688</v>
      </c>
      <c r="K104" s="39">
        <v>0.0</v>
      </c>
      <c r="L104" s="39">
        <v>2.0</v>
      </c>
      <c r="M104" s="39">
        <v>0.1</v>
      </c>
      <c r="N104" s="79">
        <v>2.0</v>
      </c>
      <c r="O104" s="27" t="s">
        <v>1333</v>
      </c>
      <c r="P104" s="27"/>
      <c r="Q104" s="81"/>
      <c r="R104" s="81" t="s">
        <v>1689</v>
      </c>
      <c r="S104" s="81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</row>
    <row r="105" ht="15.0" customHeight="1">
      <c r="A105" s="137" t="s">
        <v>556</v>
      </c>
      <c r="B105" s="66" t="s">
        <v>1674</v>
      </c>
      <c r="C105" s="134" t="s">
        <v>1691</v>
      </c>
      <c r="D105" s="135" t="s">
        <v>1566</v>
      </c>
      <c r="E105" s="27" t="s">
        <v>1566</v>
      </c>
      <c r="F105" s="27" t="s">
        <v>1803</v>
      </c>
      <c r="G105" s="27" t="s">
        <v>1804</v>
      </c>
      <c r="H105" s="27" t="s">
        <v>290</v>
      </c>
      <c r="I105" s="27" t="str">
        <f>IFERROR(__xludf.DUMMYFUNCTION("IF(A105="""","""",
TEXTJOIN(""-"",TRUE,
IFERROR(
  INDEX(FILTER(CFG_CODES!C:C, CFG_CODES!A:A=""CATEGORY"", UPPER(CFG_CODES!B:B)=UPPER(B105))),
  LEFT(UPPER(B105),3)
),
IFERROR(
  INDEX(FILTER(CFG_CODES!C:C, CFG_CODES!A:A=""MATERIAL"", UPPER(CFG_CODES!B:B)"&amp;"=UPPER(C105))),
  LEFT(UPPER(C105),3)
),
TEXT(ROW()-1,""000"")
))"),"I-PAN-104")</f>
        <v>I-PAN-104</v>
      </c>
      <c r="J105" s="27" t="s">
        <v>1688</v>
      </c>
      <c r="K105" s="39">
        <v>0.0</v>
      </c>
      <c r="L105" s="39">
        <v>2.0</v>
      </c>
      <c r="M105" s="39">
        <v>0.1</v>
      </c>
      <c r="N105" s="79">
        <v>2.0</v>
      </c>
      <c r="O105" s="27" t="s">
        <v>1333</v>
      </c>
      <c r="P105" s="27"/>
      <c r="Q105" s="81"/>
      <c r="R105" s="81" t="s">
        <v>1689</v>
      </c>
      <c r="S105" s="81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</row>
    <row r="106" ht="15.0" customHeight="1">
      <c r="A106" s="137" t="s">
        <v>561</v>
      </c>
      <c r="B106" s="66" t="s">
        <v>1674</v>
      </c>
      <c r="C106" s="139" t="s">
        <v>1691</v>
      </c>
      <c r="D106" s="53" t="s">
        <v>1566</v>
      </c>
      <c r="E106" s="27" t="s">
        <v>1566</v>
      </c>
      <c r="F106" s="27" t="s">
        <v>1805</v>
      </c>
      <c r="G106" s="27" t="s">
        <v>1806</v>
      </c>
      <c r="H106" s="27" t="s">
        <v>290</v>
      </c>
      <c r="I106" s="27" t="str">
        <f>IFERROR(__xludf.DUMMYFUNCTION("IF(A106="""","""",
TEXTJOIN(""-"",TRUE,
IFERROR(
  INDEX(FILTER(CFG_CODES!C:C, CFG_CODES!A:A=""CATEGORY"", UPPER(CFG_CODES!B:B)=UPPER(B106))),
  LEFT(UPPER(B106),3)
),
IFERROR(
  INDEX(FILTER(CFG_CODES!C:C, CFG_CODES!A:A=""MATERIAL"", UPPER(CFG_CODES!B:B)"&amp;"=UPPER(C106))),
  LEFT(UPPER(C106),3)
),
TEXT(ROW()-1,""000"")
))"),"I-PAN-105")</f>
        <v>I-PAN-105</v>
      </c>
      <c r="J106" s="27" t="s">
        <v>1688</v>
      </c>
      <c r="K106" s="39">
        <v>0.0</v>
      </c>
      <c r="L106" s="39">
        <v>2.0</v>
      </c>
      <c r="M106" s="39">
        <v>0.1</v>
      </c>
      <c r="N106" s="79">
        <v>2.0</v>
      </c>
      <c r="O106" s="27" t="s">
        <v>1333</v>
      </c>
      <c r="P106" s="27"/>
      <c r="Q106" s="81"/>
      <c r="R106" s="81" t="s">
        <v>1689</v>
      </c>
      <c r="S106" s="81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</row>
    <row r="107" ht="15.0" customHeight="1">
      <c r="A107" s="137" t="s">
        <v>569</v>
      </c>
      <c r="B107" s="66" t="s">
        <v>1807</v>
      </c>
      <c r="C107" s="140" t="s">
        <v>1807</v>
      </c>
      <c r="D107" s="135" t="s">
        <v>1566</v>
      </c>
      <c r="E107" s="27" t="s">
        <v>1566</v>
      </c>
      <c r="F107" s="27" t="s">
        <v>1566</v>
      </c>
      <c r="G107" s="27" t="s">
        <v>1808</v>
      </c>
      <c r="H107" s="27" t="s">
        <v>290</v>
      </c>
      <c r="I107" s="27" t="str">
        <f>IFERROR(__xludf.DUMMYFUNCTION("IF(A107="""","""",
TEXTJOIN(""-"",TRUE,
IFERROR(
  INDEX(FILTER(CFG_CODES!C:C, CFG_CODES!A:A=""CATEGORY"", UPPER(CFG_CODES!B:B)=UPPER(B107))),
  LEFT(UPPER(B107),3)
),
IFERROR(
  INDEX(FILTER(CFG_CODES!C:C, CFG_CODES!A:A=""MATERIAL"", UPPER(CFG_CODES!B:B)"&amp;"=UPPER(C107))),
  LEFT(UPPER(C107),3)
),
TEXT(ROW()-1,""000"")
))"),"C-COA-106")</f>
        <v>C-COA-106</v>
      </c>
      <c r="J107" s="27" t="s">
        <v>1688</v>
      </c>
      <c r="K107" s="39">
        <v>0.0</v>
      </c>
      <c r="L107" s="39">
        <v>2.0</v>
      </c>
      <c r="M107" s="39">
        <v>2.0</v>
      </c>
      <c r="N107" s="39">
        <v>1.0</v>
      </c>
      <c r="O107" s="27" t="s">
        <v>1333</v>
      </c>
      <c r="P107" s="27"/>
      <c r="Q107" s="81"/>
      <c r="R107" s="81" t="s">
        <v>1688</v>
      </c>
      <c r="S107" s="81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</row>
    <row r="108" ht="15.0" customHeight="1">
      <c r="A108" s="138" t="s">
        <v>577</v>
      </c>
      <c r="B108" s="66" t="s">
        <v>1807</v>
      </c>
      <c r="C108" s="141" t="s">
        <v>1807</v>
      </c>
      <c r="D108" s="53" t="s">
        <v>1566</v>
      </c>
      <c r="E108" s="27" t="s">
        <v>1566</v>
      </c>
      <c r="F108" s="27" t="s">
        <v>1566</v>
      </c>
      <c r="G108" s="27" t="s">
        <v>1809</v>
      </c>
      <c r="H108" s="27" t="s">
        <v>290</v>
      </c>
      <c r="I108" s="27" t="str">
        <f>IFERROR(__xludf.DUMMYFUNCTION("IF(A108="""","""",
TEXTJOIN(""-"",TRUE,
IFERROR(
  INDEX(FILTER(CFG_CODES!C:C, CFG_CODES!A:A=""CATEGORY"", UPPER(CFG_CODES!B:B)=UPPER(B108))),
  LEFT(UPPER(B108),3)
),
IFERROR(
  INDEX(FILTER(CFG_CODES!C:C, CFG_CODES!A:A=""MATERIAL"", UPPER(CFG_CODES!B:B)"&amp;"=UPPER(C108))),
  LEFT(UPPER(C108),3)
),
TEXT(ROW()-1,""000"")
))"),"C-COA-107")</f>
        <v>C-COA-107</v>
      </c>
      <c r="J108" s="27" t="s">
        <v>1688</v>
      </c>
      <c r="K108" s="39">
        <v>0.0</v>
      </c>
      <c r="L108" s="39">
        <v>2.0</v>
      </c>
      <c r="M108" s="39">
        <v>2.0</v>
      </c>
      <c r="N108" s="39">
        <v>1.0</v>
      </c>
      <c r="O108" s="27" t="s">
        <v>1333</v>
      </c>
      <c r="P108" s="27"/>
      <c r="Q108" s="81"/>
      <c r="R108" s="81" t="s">
        <v>1688</v>
      </c>
      <c r="S108" s="81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</row>
    <row r="109" ht="15.0" customHeight="1">
      <c r="A109" s="137" t="s">
        <v>582</v>
      </c>
      <c r="B109" s="66" t="s">
        <v>1807</v>
      </c>
      <c r="C109" s="140" t="s">
        <v>1807</v>
      </c>
      <c r="D109" s="135" t="s">
        <v>1566</v>
      </c>
      <c r="E109" s="27" t="s">
        <v>1566</v>
      </c>
      <c r="F109" s="27" t="s">
        <v>1566</v>
      </c>
      <c r="G109" s="27" t="s">
        <v>1810</v>
      </c>
      <c r="H109" s="27" t="s">
        <v>290</v>
      </c>
      <c r="I109" s="27" t="str">
        <f>IFERROR(__xludf.DUMMYFUNCTION("IF(A109="""","""",
TEXTJOIN(""-"",TRUE,
IFERROR(
  INDEX(FILTER(CFG_CODES!C:C, CFG_CODES!A:A=""CATEGORY"", UPPER(CFG_CODES!B:B)=UPPER(B109))),
  LEFT(UPPER(B109),3)
),
IFERROR(
  INDEX(FILTER(CFG_CODES!C:C, CFG_CODES!A:A=""MATERIAL"", UPPER(CFG_CODES!B:B)"&amp;"=UPPER(C109))),
  LEFT(UPPER(C109),3)
),
TEXT(ROW()-1,""000"")
))"),"C-COA-108")</f>
        <v>C-COA-108</v>
      </c>
      <c r="J109" s="27" t="s">
        <v>1688</v>
      </c>
      <c r="K109" s="39">
        <v>0.0</v>
      </c>
      <c r="L109" s="39">
        <v>2.0</v>
      </c>
      <c r="M109" s="39">
        <v>2.0</v>
      </c>
      <c r="N109" s="39">
        <v>1.0</v>
      </c>
      <c r="O109" s="27" t="s">
        <v>1333</v>
      </c>
      <c r="P109" s="27"/>
      <c r="Q109" s="81"/>
      <c r="R109" s="81" t="s">
        <v>1688</v>
      </c>
      <c r="S109" s="81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</row>
    <row r="110" ht="15.0" customHeight="1">
      <c r="A110" s="138" t="s">
        <v>589</v>
      </c>
      <c r="B110" s="66" t="s">
        <v>1807</v>
      </c>
      <c r="C110" s="141" t="s">
        <v>1807</v>
      </c>
      <c r="D110" s="53" t="s">
        <v>1566</v>
      </c>
      <c r="E110" s="27" t="s">
        <v>1566</v>
      </c>
      <c r="F110" s="27" t="s">
        <v>1682</v>
      </c>
      <c r="G110" s="27" t="s">
        <v>1811</v>
      </c>
      <c r="H110" s="27" t="s">
        <v>290</v>
      </c>
      <c r="I110" s="27" t="str">
        <f>IFERROR(__xludf.DUMMYFUNCTION("IF(A110="""","""",
TEXTJOIN(""-"",TRUE,
IFERROR(
  INDEX(FILTER(CFG_CODES!C:C, CFG_CODES!A:A=""CATEGORY"", UPPER(CFG_CODES!B:B)=UPPER(B110))),
  LEFT(UPPER(B110),3)
),
IFERROR(
  INDEX(FILTER(CFG_CODES!C:C, CFG_CODES!A:A=""MATERIAL"", UPPER(CFG_CODES!B:B)"&amp;"=UPPER(C110))),
  LEFT(UPPER(C110),3)
),
TEXT(ROW()-1,""000"")
))"),"C-COA-109")</f>
        <v>C-COA-109</v>
      </c>
      <c r="J110" s="27" t="s">
        <v>1688</v>
      </c>
      <c r="K110" s="39">
        <v>0.0</v>
      </c>
      <c r="L110" s="39">
        <v>2.0</v>
      </c>
      <c r="M110" s="39">
        <v>2.0</v>
      </c>
      <c r="N110" s="39">
        <v>1.0</v>
      </c>
      <c r="O110" s="27" t="s">
        <v>1333</v>
      </c>
      <c r="P110" s="27"/>
      <c r="Q110" s="81"/>
      <c r="R110" s="81" t="s">
        <v>1688</v>
      </c>
      <c r="S110" s="81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</row>
    <row r="111" ht="15.0" customHeight="1">
      <c r="A111" s="138" t="s">
        <v>34</v>
      </c>
      <c r="B111" s="66" t="s">
        <v>1807</v>
      </c>
      <c r="C111" s="140" t="s">
        <v>1807</v>
      </c>
      <c r="D111" s="135" t="s">
        <v>1566</v>
      </c>
      <c r="E111" s="27" t="s">
        <v>1566</v>
      </c>
      <c r="F111" s="27" t="s">
        <v>1566</v>
      </c>
      <c r="G111" s="27" t="s">
        <v>1808</v>
      </c>
      <c r="H111" s="27" t="s">
        <v>290</v>
      </c>
      <c r="I111" s="27" t="str">
        <f>IFERROR(__xludf.DUMMYFUNCTION("IF(A111="""","""",
TEXTJOIN(""-"",TRUE,
IFERROR(
  INDEX(FILTER(CFG_CODES!C:C, CFG_CODES!A:A=""CATEGORY"", UPPER(CFG_CODES!B:B)=UPPER(B111))),
  LEFT(UPPER(B111),3)
),
IFERROR(
  INDEX(FILTER(CFG_CODES!C:C, CFG_CODES!A:A=""MATERIAL"", UPPER(CFG_CODES!B:B)"&amp;"=UPPER(C111))),
  LEFT(UPPER(C111),3)
),
TEXT(ROW()-1,""000"")
))"),"C-COA-110")</f>
        <v>C-COA-110</v>
      </c>
      <c r="J111" s="27" t="s">
        <v>1688</v>
      </c>
      <c r="K111" s="39">
        <v>0.23711340206185566</v>
      </c>
      <c r="L111" s="39">
        <v>2.0</v>
      </c>
      <c r="M111" s="39">
        <v>2.0</v>
      </c>
      <c r="N111" s="39">
        <v>1.0</v>
      </c>
      <c r="O111" s="27">
        <v>0.9484536082474226</v>
      </c>
      <c r="P111" s="27"/>
      <c r="Q111" s="80">
        <v>8.0</v>
      </c>
      <c r="R111" s="81" t="s">
        <v>1688</v>
      </c>
      <c r="S111" s="81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</row>
    <row r="112" ht="15.0" customHeight="1">
      <c r="A112" s="138" t="s">
        <v>602</v>
      </c>
      <c r="B112" s="66" t="s">
        <v>1674</v>
      </c>
      <c r="C112" s="141" t="s">
        <v>1691</v>
      </c>
      <c r="D112" s="53" t="s">
        <v>1566</v>
      </c>
      <c r="E112" s="27" t="s">
        <v>1566</v>
      </c>
      <c r="F112" s="27" t="s">
        <v>1748</v>
      </c>
      <c r="G112" s="27" t="s">
        <v>1677</v>
      </c>
      <c r="H112" s="27" t="s">
        <v>290</v>
      </c>
      <c r="I112" s="27" t="str">
        <f>IFERROR(__xludf.DUMMYFUNCTION("IF(A112="""","""",
TEXTJOIN(""-"",TRUE,
IFERROR(
  INDEX(FILTER(CFG_CODES!C:C, CFG_CODES!A:A=""CATEGORY"", UPPER(CFG_CODES!B:B)=UPPER(B112))),
  LEFT(UPPER(B112),3)
),
IFERROR(
  INDEX(FILTER(CFG_CODES!C:C, CFG_CODES!A:A=""MATERIAL"", UPPER(CFG_CODES!B:B)"&amp;"=UPPER(C112))),
  LEFT(UPPER(C112),3)
),
TEXT(ROW()-1,""000"")
))"),"I-PAN-111")</f>
        <v>I-PAN-111</v>
      </c>
      <c r="J112" s="27" t="s">
        <v>1688</v>
      </c>
      <c r="K112" s="39">
        <v>0.0</v>
      </c>
      <c r="L112" s="39">
        <v>2.0</v>
      </c>
      <c r="M112" s="39">
        <v>2.0</v>
      </c>
      <c r="N112" s="39">
        <v>1.0</v>
      </c>
      <c r="O112" s="27" t="s">
        <v>1333</v>
      </c>
      <c r="P112" s="27"/>
      <c r="Q112" s="81"/>
      <c r="R112" s="81" t="s">
        <v>1688</v>
      </c>
      <c r="S112" s="81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</row>
    <row r="113" ht="15.0" customHeight="1">
      <c r="A113" s="142" t="s">
        <v>608</v>
      </c>
      <c r="B113" s="39" t="s">
        <v>1812</v>
      </c>
      <c r="C113" s="140" t="s">
        <v>1813</v>
      </c>
      <c r="D113" s="135" t="s">
        <v>1566</v>
      </c>
      <c r="E113" s="27" t="s">
        <v>1566</v>
      </c>
      <c r="F113" s="27" t="s">
        <v>1566</v>
      </c>
      <c r="G113" s="27" t="s">
        <v>1814</v>
      </c>
      <c r="H113" s="27" t="s">
        <v>290</v>
      </c>
      <c r="I113" s="27" t="str">
        <f>IFERROR(__xludf.DUMMYFUNCTION("IF(A113="""","""",
TEXTJOIN(""-"",TRUE,
IFERROR(
  INDEX(FILTER(CFG_CODES!C:C, CFG_CODES!A:A=""CATEGORY"", UPPER(CFG_CODES!B:B)=UPPER(B113))),
  LEFT(UPPER(B113),3)
),
IFERROR(
  INDEX(FILTER(CFG_CODES!C:C, CFG_CODES!A:A=""MATERIAL"", UPPER(CFG_CODES!B:B)"&amp;"=UPPER(C113))),
  LEFT(UPPER(C113),3)
),
TEXT(ROW()-1,""000"")
))"),"CH-VAR-112")</f>
        <v>CH-VAR-112</v>
      </c>
      <c r="J113" s="27" t="s">
        <v>1688</v>
      </c>
      <c r="K113" s="39">
        <v>0.0</v>
      </c>
      <c r="L113" s="39">
        <v>2.0</v>
      </c>
      <c r="M113" s="39">
        <v>2.0</v>
      </c>
      <c r="N113" s="39">
        <v>1.0</v>
      </c>
      <c r="O113" s="27" t="s">
        <v>1333</v>
      </c>
      <c r="P113" s="27"/>
      <c r="Q113" s="81"/>
      <c r="R113" s="81" t="s">
        <v>1688</v>
      </c>
      <c r="S113" s="81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</row>
    <row r="114" ht="15.0" customHeight="1">
      <c r="A114" s="142" t="s">
        <v>615</v>
      </c>
      <c r="B114" s="66" t="s">
        <v>1812</v>
      </c>
      <c r="C114" s="141" t="s">
        <v>1815</v>
      </c>
      <c r="D114" s="53" t="s">
        <v>1566</v>
      </c>
      <c r="E114" s="27" t="s">
        <v>1566</v>
      </c>
      <c r="F114" s="27" t="s">
        <v>1566</v>
      </c>
      <c r="G114" s="27" t="s">
        <v>1816</v>
      </c>
      <c r="H114" s="27" t="s">
        <v>616</v>
      </c>
      <c r="I114" s="27" t="str">
        <f>IFERROR(__xludf.DUMMYFUNCTION("IF(A114="""","""",
TEXTJOIN(""-"",TRUE,
IFERROR(
  INDEX(FILTER(CFG_CODES!C:C, CFG_CODES!A:A=""CATEGORY"", UPPER(CFG_CODES!B:B)=UPPER(B114))),
  LEFT(UPPER(B114),3)
),
IFERROR(
  INDEX(FILTER(CFG_CODES!C:C, CFG_CODES!A:A=""MATERIAL"", UPPER(CFG_CODES!B:B)"&amp;"=UPPER(C114))),
  LEFT(UPPER(C114),3)
),
TEXT(ROW()-1,""000"")
))"),"CH-SOL-113")</f>
        <v>CH-SOL-113</v>
      </c>
      <c r="J114" s="27" t="s">
        <v>1688</v>
      </c>
      <c r="K114" s="39">
        <v>0.0</v>
      </c>
      <c r="L114" s="39">
        <v>2.0</v>
      </c>
      <c r="M114" s="39">
        <v>2.0</v>
      </c>
      <c r="N114" s="39">
        <v>2.0</v>
      </c>
      <c r="O114" s="27" t="s">
        <v>1333</v>
      </c>
      <c r="P114" s="27"/>
      <c r="Q114" s="81"/>
      <c r="R114" s="81" t="s">
        <v>2029</v>
      </c>
      <c r="S114" s="143" t="s">
        <v>1863</v>
      </c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</row>
    <row r="115" ht="15.0" customHeight="1">
      <c r="A115" s="144" t="s">
        <v>623</v>
      </c>
      <c r="B115" s="66" t="s">
        <v>1812</v>
      </c>
      <c r="C115" s="140" t="s">
        <v>1815</v>
      </c>
      <c r="D115" s="135" t="s">
        <v>1566</v>
      </c>
      <c r="E115" s="27" t="s">
        <v>1566</v>
      </c>
      <c r="F115" s="27" t="s">
        <v>1566</v>
      </c>
      <c r="G115" s="39" t="s">
        <v>1817</v>
      </c>
      <c r="H115" s="27" t="s">
        <v>616</v>
      </c>
      <c r="I115" s="27" t="str">
        <f>IFERROR(__xludf.DUMMYFUNCTION("IF(A115="""","""",
TEXTJOIN(""-"",TRUE,
IFERROR(
  INDEX(FILTER(CFG_CODES!C:C, CFG_CODES!A:A=""CATEGORY"", UPPER(CFG_CODES!B:B)=UPPER(B115))),
  LEFT(UPPER(B115),3)
),
IFERROR(
  INDEX(FILTER(CFG_CODES!C:C, CFG_CODES!A:A=""MATERIAL"", UPPER(CFG_CODES!B:B)"&amp;"=UPPER(C115))),
  LEFT(UPPER(C115),3)
),
TEXT(ROW()-1,""000"")
))"),"CH-SOL-114")</f>
        <v>CH-SOL-114</v>
      </c>
      <c r="J115" s="27" t="s">
        <v>1688</v>
      </c>
      <c r="K115" s="39">
        <v>1.5463917525773196</v>
      </c>
      <c r="L115" s="39">
        <v>2.0</v>
      </c>
      <c r="M115" s="39">
        <v>2.0</v>
      </c>
      <c r="N115" s="39">
        <v>25.0</v>
      </c>
      <c r="O115" s="27">
        <v>6.185567010309279</v>
      </c>
      <c r="P115" s="27"/>
      <c r="Q115" s="80">
        <v>0.0</v>
      </c>
      <c r="R115" s="81" t="s">
        <v>2029</v>
      </c>
      <c r="S115" s="80">
        <v>21.0</v>
      </c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</row>
    <row r="116" ht="15.0" customHeight="1">
      <c r="A116" s="142" t="s">
        <v>627</v>
      </c>
      <c r="B116" s="66" t="s">
        <v>1812</v>
      </c>
      <c r="C116" s="141" t="s">
        <v>1815</v>
      </c>
      <c r="D116" s="53" t="s">
        <v>1566</v>
      </c>
      <c r="E116" s="27" t="s">
        <v>1566</v>
      </c>
      <c r="F116" s="27" t="s">
        <v>1566</v>
      </c>
      <c r="G116" s="27" t="s">
        <v>1815</v>
      </c>
      <c r="H116" s="27" t="s">
        <v>616</v>
      </c>
      <c r="I116" s="27" t="str">
        <f>IFERROR(__xludf.DUMMYFUNCTION("IF(A116="""","""",
TEXTJOIN(""-"",TRUE,
IFERROR(
  INDEX(FILTER(CFG_CODES!C:C, CFG_CODES!A:A=""CATEGORY"", UPPER(CFG_CODES!B:B)=UPPER(B116))),
  LEFT(UPPER(B116),3)
),
IFERROR(
  INDEX(FILTER(CFG_CODES!C:C, CFG_CODES!A:A=""MATERIAL"", UPPER(CFG_CODES!B:B)"&amp;"=UPPER(C116))),
  LEFT(UPPER(C116),3)
),
TEXT(ROW()-1,""000"")
))"),"CH-SOL-115")</f>
        <v>CH-SOL-115</v>
      </c>
      <c r="J116" s="39" t="s">
        <v>1689</v>
      </c>
      <c r="K116" s="39"/>
      <c r="L116" s="39">
        <v>2.0</v>
      </c>
      <c r="M116" s="39">
        <v>2.0</v>
      </c>
      <c r="N116" s="39">
        <v>5.0</v>
      </c>
      <c r="O116" s="27" t="s">
        <v>1333</v>
      </c>
      <c r="P116" s="27"/>
      <c r="Q116" s="81"/>
      <c r="R116" s="81" t="s">
        <v>1689</v>
      </c>
      <c r="S116" s="81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</row>
    <row r="117" ht="15.0" customHeight="1">
      <c r="A117" s="138" t="s">
        <v>23</v>
      </c>
      <c r="B117" s="66" t="s">
        <v>1812</v>
      </c>
      <c r="C117" s="140" t="s">
        <v>1815</v>
      </c>
      <c r="D117" s="135" t="s">
        <v>1566</v>
      </c>
      <c r="E117" s="27" t="s">
        <v>1566</v>
      </c>
      <c r="F117" s="27" t="s">
        <v>1566</v>
      </c>
      <c r="G117" s="39" t="s">
        <v>1818</v>
      </c>
      <c r="H117" s="27" t="s">
        <v>616</v>
      </c>
      <c r="I117" s="27" t="str">
        <f>IFERROR(__xludf.DUMMYFUNCTION("IF(A117="""","""",
TEXTJOIN(""-"",TRUE,
IFERROR(
  INDEX(FILTER(CFG_CODES!C:C, CFG_CODES!A:A=""CATEGORY"", UPPER(CFG_CODES!B:B)=UPPER(B117))),
  LEFT(UPPER(B117),3)
),
IFERROR(
  INDEX(FILTER(CFG_CODES!C:C, CFG_CODES!A:A=""MATERIAL"", UPPER(CFG_CODES!B:B)"&amp;"=UPPER(C117))),
  LEFT(UPPER(C117),3)
),
TEXT(ROW()-1,""000"")
))"),"CH-SOL-116")</f>
        <v>CH-SOL-116</v>
      </c>
      <c r="J117" s="27" t="s">
        <v>1688</v>
      </c>
      <c r="K117" s="39">
        <v>3.402061855670103</v>
      </c>
      <c r="L117" s="39">
        <v>2.0</v>
      </c>
      <c r="M117" s="39">
        <v>2.0</v>
      </c>
      <c r="N117" s="39">
        <v>20.0</v>
      </c>
      <c r="O117" s="27">
        <v>13.608247422680412</v>
      </c>
      <c r="P117" s="27"/>
      <c r="Q117" s="80">
        <v>6.0</v>
      </c>
      <c r="R117" s="81" t="s">
        <v>2029</v>
      </c>
      <c r="S117" s="80">
        <v>6.6</v>
      </c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</row>
    <row r="118" ht="15.0" customHeight="1">
      <c r="A118" s="138" t="s">
        <v>1820</v>
      </c>
      <c r="B118" s="66" t="s">
        <v>1812</v>
      </c>
      <c r="C118" s="141" t="s">
        <v>1815</v>
      </c>
      <c r="D118" s="53" t="s">
        <v>1566</v>
      </c>
      <c r="E118" s="27" t="s">
        <v>1566</v>
      </c>
      <c r="F118" s="27" t="s">
        <v>1566</v>
      </c>
      <c r="G118" s="27" t="s">
        <v>1566</v>
      </c>
      <c r="H118" s="27" t="s">
        <v>290</v>
      </c>
      <c r="I118" s="27" t="str">
        <f>IFERROR(__xludf.DUMMYFUNCTION("IF(A118="""","""",
TEXTJOIN(""-"",TRUE,
IFERROR(
  INDEX(FILTER(CFG_CODES!C:C, CFG_CODES!A:A=""CATEGORY"", UPPER(CFG_CODES!B:B)=UPPER(B118))),
  LEFT(UPPER(B118),3)
),
IFERROR(
  INDEX(FILTER(CFG_CODES!C:C, CFG_CODES!A:A=""MATERIAL"", UPPER(CFG_CODES!B:B)"&amp;"=UPPER(C118))),
  LEFT(UPPER(C118),3)
),
TEXT(ROW()-1,""000"")
))"),"CH-SOL-117")</f>
        <v>CH-SOL-117</v>
      </c>
      <c r="J118" s="39" t="s">
        <v>1689</v>
      </c>
      <c r="K118" s="39"/>
      <c r="L118" s="39">
        <v>2.0</v>
      </c>
      <c r="M118" s="39">
        <v>2.0</v>
      </c>
      <c r="N118" s="39">
        <v>20.0</v>
      </c>
      <c r="O118" s="27" t="s">
        <v>1333</v>
      </c>
      <c r="P118" s="27"/>
      <c r="Q118" s="102"/>
      <c r="R118" s="81" t="s">
        <v>1689</v>
      </c>
      <c r="S118" s="81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</row>
    <row r="119" ht="15.0" customHeight="1">
      <c r="A119" s="136" t="s">
        <v>641</v>
      </c>
      <c r="B119" s="66" t="s">
        <v>1812</v>
      </c>
      <c r="C119" s="140" t="s">
        <v>1815</v>
      </c>
      <c r="D119" s="135" t="s">
        <v>1566</v>
      </c>
      <c r="E119" s="27" t="s">
        <v>1566</v>
      </c>
      <c r="F119" s="27" t="s">
        <v>1566</v>
      </c>
      <c r="G119" s="27" t="s">
        <v>1566</v>
      </c>
      <c r="H119" s="27" t="s">
        <v>643</v>
      </c>
      <c r="I119" s="27" t="str">
        <f>IFERROR(__xludf.DUMMYFUNCTION("IF(A119="""","""",
TEXTJOIN(""-"",TRUE,
IFERROR(
  INDEX(FILTER(CFG_CODES!C:C, CFG_CODES!A:A=""CATEGORY"", UPPER(CFG_CODES!B:B)=UPPER(B119))),
  LEFT(UPPER(B119),3)
),
IFERROR(
  INDEX(FILTER(CFG_CODES!C:C, CFG_CODES!A:A=""MATERIAL"", UPPER(CFG_CODES!B:B)"&amp;"=UPPER(C119))),
  LEFT(UPPER(C119),3)
),
TEXT(ROW()-1,""000"")
))"),"CH-SOL-118")</f>
        <v>CH-SOL-118</v>
      </c>
      <c r="J119" s="27" t="s">
        <v>1688</v>
      </c>
      <c r="K119" s="39">
        <v>0.061855670103092786</v>
      </c>
      <c r="L119" s="39">
        <v>2.0</v>
      </c>
      <c r="M119" s="39">
        <v>2.0</v>
      </c>
      <c r="N119" s="39">
        <v>5.0</v>
      </c>
      <c r="O119" s="27">
        <v>0.24742268041237114</v>
      </c>
      <c r="P119" s="27"/>
      <c r="Q119" s="80">
        <v>65.0</v>
      </c>
      <c r="R119" s="81" t="s">
        <v>1688</v>
      </c>
      <c r="S119" s="81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</row>
    <row r="120" ht="15.0" customHeight="1">
      <c r="A120" s="136" t="s">
        <v>648</v>
      </c>
      <c r="B120" s="66" t="s">
        <v>1821</v>
      </c>
      <c r="C120" s="141" t="s">
        <v>1821</v>
      </c>
      <c r="D120" s="53" t="s">
        <v>1566</v>
      </c>
      <c r="E120" s="27" t="s">
        <v>1566</v>
      </c>
      <c r="F120" s="27" t="s">
        <v>1566</v>
      </c>
      <c r="G120" s="27" t="s">
        <v>1566</v>
      </c>
      <c r="H120" s="27" t="s">
        <v>290</v>
      </c>
      <c r="I120" s="27" t="str">
        <f>IFERROR(__xludf.DUMMYFUNCTION("IF(A120="""","""",
TEXTJOIN(""-"",TRUE,
IFERROR(
  INDEX(FILTER(CFG_CODES!C:C, CFG_CODES!A:A=""CATEGORY"", UPPER(CFG_CODES!B:B)=UPPER(B120))),
  LEFT(UPPER(B120),3)
),
IFERROR(
  INDEX(FILTER(CFG_CODES!C:C, CFG_CODES!A:A=""MATERIAL"", UPPER(CFG_CODES!B:B)"&amp;"=UPPER(C120))),
  LEFT(UPPER(C120),3)
),
TEXT(ROW()-1,""000"")
))"),"A-ADH-119")</f>
        <v>A-ADH-119</v>
      </c>
      <c r="J120" s="27" t="s">
        <v>1688</v>
      </c>
      <c r="K120" s="39">
        <v>0.041237113402061855</v>
      </c>
      <c r="L120" s="39">
        <v>2.0</v>
      </c>
      <c r="M120" s="39">
        <v>2.0</v>
      </c>
      <c r="N120" s="39">
        <v>2.0</v>
      </c>
      <c r="O120" s="27">
        <v>0.16494845360824742</v>
      </c>
      <c r="P120" s="27"/>
      <c r="Q120" s="80">
        <v>49.0</v>
      </c>
      <c r="R120" s="81" t="s">
        <v>1688</v>
      </c>
      <c r="S120" s="81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</row>
    <row r="121" ht="15.0" customHeight="1">
      <c r="A121" s="138" t="s">
        <v>659</v>
      </c>
      <c r="B121" s="66" t="s">
        <v>1821</v>
      </c>
      <c r="C121" s="140" t="s">
        <v>1822</v>
      </c>
      <c r="D121" s="146" t="s">
        <v>1823</v>
      </c>
      <c r="E121" s="27" t="s">
        <v>1566</v>
      </c>
      <c r="F121" s="27" t="s">
        <v>1566</v>
      </c>
      <c r="G121" s="27" t="s">
        <v>1566</v>
      </c>
      <c r="H121" s="27" t="s">
        <v>661</v>
      </c>
      <c r="I121" s="27" t="str">
        <f>IFERROR(__xludf.DUMMYFUNCTION("IF(A121="""","""",
TEXTJOIN(""-"",TRUE,
IFERROR(
  INDEX(FILTER(CFG_CODES!C:C, CFG_CODES!A:A=""CATEGORY"", UPPER(CFG_CODES!B:B)=UPPER(B121))),
  LEFT(UPPER(B121),3)
),
IFERROR(
  INDEX(FILTER(CFG_CODES!C:C, CFG_CODES!A:A=""MATERIAL"", UPPER(CFG_CODES!B:B)"&amp;"=UPPER(C121))),
  LEFT(UPPER(C121),3)
),
TEXT(ROW()-1,""000"")
))"),"A-TAP-120")</f>
        <v>A-TAP-120</v>
      </c>
      <c r="J121" s="27" t="s">
        <v>1688</v>
      </c>
      <c r="K121" s="39">
        <v>0.05154639175257732</v>
      </c>
      <c r="L121" s="39">
        <v>2.0</v>
      </c>
      <c r="M121" s="39">
        <v>2.0</v>
      </c>
      <c r="N121" s="39">
        <v>12.0</v>
      </c>
      <c r="O121" s="27">
        <v>0.20618556701030927</v>
      </c>
      <c r="P121" s="27"/>
      <c r="Q121" s="80">
        <v>116.0</v>
      </c>
      <c r="R121" s="81" t="s">
        <v>1689</v>
      </c>
      <c r="S121" s="81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</row>
    <row r="122" ht="15.0" customHeight="1">
      <c r="A122" s="138" t="s">
        <v>668</v>
      </c>
      <c r="B122" s="66" t="s">
        <v>1821</v>
      </c>
      <c r="C122" s="141" t="s">
        <v>1822</v>
      </c>
      <c r="D122" s="147" t="s">
        <v>1824</v>
      </c>
      <c r="E122" s="27" t="s">
        <v>1566</v>
      </c>
      <c r="F122" s="27" t="s">
        <v>1566</v>
      </c>
      <c r="G122" s="27" t="s">
        <v>1566</v>
      </c>
      <c r="H122" s="27" t="s">
        <v>661</v>
      </c>
      <c r="I122" s="27" t="str">
        <f>IFERROR(__xludf.DUMMYFUNCTION("IF(A122="""","""",
TEXTJOIN(""-"",TRUE,
IFERROR(
  INDEX(FILTER(CFG_CODES!C:C, CFG_CODES!A:A=""CATEGORY"", UPPER(CFG_CODES!B:B)=UPPER(B122))),
  LEFT(UPPER(B122),3)
),
IFERROR(
  INDEX(FILTER(CFG_CODES!C:C, CFG_CODES!A:A=""MATERIAL"", UPPER(CFG_CODES!B:B)"&amp;"=UPPER(C122))),
  LEFT(UPPER(C122),3)
),
TEXT(ROW()-1,""000"")
))"),"A-TAP-121")</f>
        <v>A-TAP-121</v>
      </c>
      <c r="J122" s="27" t="s">
        <v>1688</v>
      </c>
      <c r="K122" s="39">
        <v>0.24742268041237114</v>
      </c>
      <c r="L122" s="39">
        <v>2.0</v>
      </c>
      <c r="M122" s="39">
        <v>2.0</v>
      </c>
      <c r="N122" s="39">
        <v>12.0</v>
      </c>
      <c r="O122" s="27">
        <v>0.9896907216494846</v>
      </c>
      <c r="P122" s="27"/>
      <c r="Q122" s="80">
        <v>40.0</v>
      </c>
      <c r="R122" s="81" t="s">
        <v>1689</v>
      </c>
      <c r="S122" s="81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</row>
    <row r="123" ht="15.0" customHeight="1">
      <c r="A123" s="148" t="s">
        <v>676</v>
      </c>
      <c r="B123" s="66" t="s">
        <v>1821</v>
      </c>
      <c r="C123" s="140" t="s">
        <v>1822</v>
      </c>
      <c r="D123" s="146" t="s">
        <v>1825</v>
      </c>
      <c r="E123" s="27" t="s">
        <v>1566</v>
      </c>
      <c r="F123" s="27" t="s">
        <v>1566</v>
      </c>
      <c r="G123" s="27" t="s">
        <v>1566</v>
      </c>
      <c r="H123" s="27" t="s">
        <v>661</v>
      </c>
      <c r="I123" s="27" t="str">
        <f>IFERROR(__xludf.DUMMYFUNCTION("IF(A123="""","""",
TEXTJOIN(""-"",TRUE,
IFERROR(
  INDEX(FILTER(CFG_CODES!C:C, CFG_CODES!A:A=""CATEGORY"", UPPER(CFG_CODES!B:B)=UPPER(B123))),
  LEFT(UPPER(B123),3)
),
IFERROR(
  INDEX(FILTER(CFG_CODES!C:C, CFG_CODES!A:A=""MATERIAL"", UPPER(CFG_CODES!B:B)"&amp;"=UPPER(C123))),
  LEFT(UPPER(C123),3)
),
TEXT(ROW()-1,""000"")
))"),"A-TAP-122")</f>
        <v>A-TAP-122</v>
      </c>
      <c r="J123" s="27" t="s">
        <v>1688</v>
      </c>
      <c r="K123" s="39">
        <v>0.0</v>
      </c>
      <c r="L123" s="39">
        <v>2.0</v>
      </c>
      <c r="M123" s="39">
        <v>2.0</v>
      </c>
      <c r="N123" s="39">
        <v>12.0</v>
      </c>
      <c r="O123" s="27" t="s">
        <v>1333</v>
      </c>
      <c r="P123" s="27"/>
      <c r="Q123" s="81"/>
      <c r="R123" s="81" t="s">
        <v>1689</v>
      </c>
      <c r="S123" s="81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</row>
    <row r="124" ht="15.0" customHeight="1">
      <c r="A124" s="149" t="s">
        <v>683</v>
      </c>
      <c r="B124" s="66" t="s">
        <v>1821</v>
      </c>
      <c r="C124" s="141" t="s">
        <v>1822</v>
      </c>
      <c r="D124" s="147" t="s">
        <v>1826</v>
      </c>
      <c r="E124" s="27" t="s">
        <v>1566</v>
      </c>
      <c r="F124" s="27" t="s">
        <v>1566</v>
      </c>
      <c r="G124" s="27" t="s">
        <v>1566</v>
      </c>
      <c r="H124" s="27" t="s">
        <v>661</v>
      </c>
      <c r="I124" s="27" t="str">
        <f>IFERROR(__xludf.DUMMYFUNCTION("IF(A124="""","""",
TEXTJOIN(""-"",TRUE,
IFERROR(
  INDEX(FILTER(CFG_CODES!C:C, CFG_CODES!A:A=""CATEGORY"", UPPER(CFG_CODES!B:B)=UPPER(B124))),
  LEFT(UPPER(B124),3)
),
IFERROR(
  INDEX(FILTER(CFG_CODES!C:C, CFG_CODES!A:A=""MATERIAL"", UPPER(CFG_CODES!B:B)"&amp;"=UPPER(C124))),
  LEFT(UPPER(C124),3)
),
TEXT(ROW()-1,""000"")
))"),"A-TAP-123")</f>
        <v>A-TAP-123</v>
      </c>
      <c r="J124" s="27" t="s">
        <v>1688</v>
      </c>
      <c r="K124" s="39">
        <v>0.0</v>
      </c>
      <c r="L124" s="39">
        <v>2.0</v>
      </c>
      <c r="M124" s="39">
        <v>2.0</v>
      </c>
      <c r="N124" s="39">
        <v>12.0</v>
      </c>
      <c r="O124" s="27" t="s">
        <v>1333</v>
      </c>
      <c r="P124" s="27"/>
      <c r="Q124" s="81"/>
      <c r="R124" s="81" t="s">
        <v>1689</v>
      </c>
      <c r="S124" s="81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</row>
    <row r="125" ht="15.0" customHeight="1">
      <c r="A125" s="149" t="s">
        <v>693</v>
      </c>
      <c r="B125" s="66" t="s">
        <v>1821</v>
      </c>
      <c r="C125" s="140" t="s">
        <v>1822</v>
      </c>
      <c r="D125" s="146" t="s">
        <v>1827</v>
      </c>
      <c r="E125" s="27" t="s">
        <v>1566</v>
      </c>
      <c r="F125" s="27" t="s">
        <v>1566</v>
      </c>
      <c r="G125" s="27" t="s">
        <v>1566</v>
      </c>
      <c r="H125" s="27" t="s">
        <v>661</v>
      </c>
      <c r="I125" s="27" t="str">
        <f>IFERROR(__xludf.DUMMYFUNCTION("IF(A125="""","""",
TEXTJOIN(""-"",TRUE,
IFERROR(
  INDEX(FILTER(CFG_CODES!C:C, CFG_CODES!A:A=""CATEGORY"", UPPER(CFG_CODES!B:B)=UPPER(B125))),
  LEFT(UPPER(B125),3)
),
IFERROR(
  INDEX(FILTER(CFG_CODES!C:C, CFG_CODES!A:A=""MATERIAL"", UPPER(CFG_CODES!B:B)"&amp;"=UPPER(C125))),
  LEFT(UPPER(C125),3)
),
TEXT(ROW()-1,""000"")
))"),"A-TAP-124")</f>
        <v>A-TAP-124</v>
      </c>
      <c r="J125" s="27" t="s">
        <v>1688</v>
      </c>
      <c r="K125" s="39">
        <v>0.010309278350515464</v>
      </c>
      <c r="L125" s="39">
        <v>2.0</v>
      </c>
      <c r="M125" s="39">
        <v>2.0</v>
      </c>
      <c r="N125" s="39">
        <v>2.0</v>
      </c>
      <c r="O125" s="27">
        <v>0.041237113402061855</v>
      </c>
      <c r="P125" s="27"/>
      <c r="Q125" s="80">
        <v>97.0</v>
      </c>
      <c r="R125" s="81" t="s">
        <v>1689</v>
      </c>
      <c r="S125" s="81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</row>
    <row r="126" ht="15.0" customHeight="1">
      <c r="A126" s="138" t="s">
        <v>655</v>
      </c>
      <c r="B126" s="66" t="s">
        <v>1821</v>
      </c>
      <c r="C126" s="141" t="s">
        <v>1822</v>
      </c>
      <c r="D126" s="53" t="s">
        <v>1566</v>
      </c>
      <c r="E126" s="27" t="s">
        <v>1566</v>
      </c>
      <c r="F126" s="27" t="s">
        <v>1566</v>
      </c>
      <c r="G126" s="27" t="s">
        <v>1566</v>
      </c>
      <c r="H126" s="27" t="s">
        <v>290</v>
      </c>
      <c r="I126" s="27" t="str">
        <f>IFERROR(__xludf.DUMMYFUNCTION("IF(A126="""","""",
TEXTJOIN(""-"",TRUE,
IFERROR(
  INDEX(FILTER(CFG_CODES!C:C, CFG_CODES!A:A=""CATEGORY"", UPPER(CFG_CODES!B:B)=UPPER(B126))),
  LEFT(UPPER(B126),3)
),
IFERROR(
  INDEX(FILTER(CFG_CODES!C:C, CFG_CODES!A:A=""MATERIAL"", UPPER(CFG_CODES!B:B)"&amp;"=UPPER(C126))),
  LEFT(UPPER(C126),3)
),
TEXT(ROW()-1,""000"")
))"),"A-TAP-125")</f>
        <v>A-TAP-125</v>
      </c>
      <c r="J126" s="27" t="s">
        <v>1688</v>
      </c>
      <c r="K126" s="39">
        <v>0.10309278350515463</v>
      </c>
      <c r="L126" s="39">
        <v>2.0</v>
      </c>
      <c r="M126" s="39">
        <v>2.0</v>
      </c>
      <c r="N126" s="39">
        <v>2.0</v>
      </c>
      <c r="O126" s="27">
        <v>0.41237113402061853</v>
      </c>
      <c r="P126" s="27"/>
      <c r="Q126" s="88">
        <v>49.0</v>
      </c>
      <c r="R126" s="143" t="s">
        <v>2029</v>
      </c>
      <c r="S126" s="88">
        <v>40.0</v>
      </c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</row>
    <row r="127" ht="15.0" customHeight="1">
      <c r="A127" s="148" t="s">
        <v>277</v>
      </c>
      <c r="B127" s="66" t="s">
        <v>1821</v>
      </c>
      <c r="C127" s="140" t="s">
        <v>1822</v>
      </c>
      <c r="D127" s="148" t="s">
        <v>1824</v>
      </c>
      <c r="E127" s="27" t="s">
        <v>1566</v>
      </c>
      <c r="F127" s="27" t="s">
        <v>1566</v>
      </c>
      <c r="G127" s="27" t="s">
        <v>1566</v>
      </c>
      <c r="H127" s="27" t="s">
        <v>661</v>
      </c>
      <c r="I127" s="27" t="str">
        <f>IFERROR(__xludf.DUMMYFUNCTION("IF(A127="""","""",
TEXTJOIN(""-"",TRUE,
IFERROR(
  INDEX(FILTER(CFG_CODES!C:C, CFG_CODES!A:A=""CATEGORY"", UPPER(CFG_CODES!B:B)=UPPER(B127))),
  LEFT(UPPER(B127),3)
),
IFERROR(
  INDEX(FILTER(CFG_CODES!C:C, CFG_CODES!A:A=""MATERIAL"", UPPER(CFG_CODES!B:B)"&amp;"=UPPER(C127))),
  LEFT(UPPER(C127),3)
),
TEXT(ROW()-1,""000"")
))"),"A-TAP-126")</f>
        <v>A-TAP-126</v>
      </c>
      <c r="J127" s="27" t="s">
        <v>1688</v>
      </c>
      <c r="K127" s="39">
        <v>0.24742268041237114</v>
      </c>
      <c r="L127" s="39">
        <v>2.0</v>
      </c>
      <c r="M127" s="39">
        <v>2.0</v>
      </c>
      <c r="N127" s="39">
        <v>40.0</v>
      </c>
      <c r="O127" s="27">
        <v>0.9896907216494846</v>
      </c>
      <c r="P127" s="27"/>
      <c r="Q127" s="80">
        <v>69.0</v>
      </c>
      <c r="R127" s="81" t="s">
        <v>1688</v>
      </c>
      <c r="S127" s="81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</row>
    <row r="128" ht="15.0" customHeight="1">
      <c r="A128" s="136" t="s">
        <v>711</v>
      </c>
      <c r="B128" s="66" t="s">
        <v>1821</v>
      </c>
      <c r="C128" s="141" t="s">
        <v>1821</v>
      </c>
      <c r="D128" s="53" t="s">
        <v>1566</v>
      </c>
      <c r="E128" s="27" t="s">
        <v>1566</v>
      </c>
      <c r="F128" s="27" t="s">
        <v>1566</v>
      </c>
      <c r="G128" s="27" t="s">
        <v>1566</v>
      </c>
      <c r="H128" s="27" t="s">
        <v>290</v>
      </c>
      <c r="I128" s="27" t="str">
        <f>IFERROR(__xludf.DUMMYFUNCTION("IF(A128="""","""",
TEXTJOIN(""-"",TRUE,
IFERROR(
  INDEX(FILTER(CFG_CODES!C:C, CFG_CODES!A:A=""CATEGORY"", UPPER(CFG_CODES!B:B)=UPPER(B128))),
  LEFT(UPPER(B128),3)
),
IFERROR(
  INDEX(FILTER(CFG_CODES!C:C, CFG_CODES!A:A=""MATERIAL"", UPPER(CFG_CODES!B:B)"&amp;"=UPPER(C128))),
  LEFT(UPPER(C128),3)
),
TEXT(ROW()-1,""000"")
))"),"A-ADH-127")</f>
        <v>A-ADH-127</v>
      </c>
      <c r="J128" s="27" t="s">
        <v>1688</v>
      </c>
      <c r="K128" s="39">
        <v>3.0927835051546393</v>
      </c>
      <c r="L128" s="39">
        <v>2.0</v>
      </c>
      <c r="M128" s="39">
        <v>2.0</v>
      </c>
      <c r="N128" s="39">
        <v>50.0</v>
      </c>
      <c r="O128" s="27">
        <v>12.371134020618557</v>
      </c>
      <c r="P128" s="27"/>
      <c r="Q128" s="80">
        <v>0.0</v>
      </c>
      <c r="R128" s="143" t="s">
        <v>2029</v>
      </c>
      <c r="S128" s="88">
        <v>21.3</v>
      </c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</row>
    <row r="129" ht="15.0" customHeight="1">
      <c r="A129" s="149" t="s">
        <v>718</v>
      </c>
      <c r="B129" s="66" t="s">
        <v>1821</v>
      </c>
      <c r="C129" s="140" t="s">
        <v>1821</v>
      </c>
      <c r="D129" s="135" t="s">
        <v>1566</v>
      </c>
      <c r="E129" s="27" t="s">
        <v>1566</v>
      </c>
      <c r="F129" s="27" t="s">
        <v>1566</v>
      </c>
      <c r="G129" s="27" t="s">
        <v>1566</v>
      </c>
      <c r="H129" s="27" t="s">
        <v>290</v>
      </c>
      <c r="I129" s="27" t="str">
        <f>IFERROR(__xludf.DUMMYFUNCTION("IF(A129="""","""",
TEXTJOIN(""-"",TRUE,
IFERROR(
  INDEX(FILTER(CFG_CODES!C:C, CFG_CODES!A:A=""CATEGORY"", UPPER(CFG_CODES!B:B)=UPPER(B129))),
  LEFT(UPPER(B129),3)
),
IFERROR(
  INDEX(FILTER(CFG_CODES!C:C, CFG_CODES!A:A=""MATERIAL"", UPPER(CFG_CODES!B:B)"&amp;"=UPPER(C129))),
  LEFT(UPPER(C129),3)
),
TEXT(ROW()-1,""000"")
))"),"A-ADH-128")</f>
        <v>A-ADH-128</v>
      </c>
      <c r="J129" s="27" t="s">
        <v>1688</v>
      </c>
      <c r="K129" s="39">
        <v>0.5154639175257731</v>
      </c>
      <c r="L129" s="39">
        <v>2.0</v>
      </c>
      <c r="M129" s="39">
        <v>2.0</v>
      </c>
      <c r="N129" s="39">
        <v>50.0</v>
      </c>
      <c r="O129" s="27">
        <v>2.0618556701030926</v>
      </c>
      <c r="P129" s="27"/>
      <c r="Q129" s="88">
        <v>97.0</v>
      </c>
      <c r="R129" s="143" t="s">
        <v>2029</v>
      </c>
      <c r="S129" s="143" t="s">
        <v>1863</v>
      </c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</row>
    <row r="130" ht="15.0" customHeight="1">
      <c r="A130" s="150" t="s">
        <v>230</v>
      </c>
      <c r="B130" s="66" t="s">
        <v>1821</v>
      </c>
      <c r="C130" s="141" t="s">
        <v>1822</v>
      </c>
      <c r="D130" s="147" t="s">
        <v>1828</v>
      </c>
      <c r="E130" s="27" t="s">
        <v>1590</v>
      </c>
      <c r="F130" s="27" t="s">
        <v>1566</v>
      </c>
      <c r="G130" s="27" t="s">
        <v>1566</v>
      </c>
      <c r="H130" s="27" t="s">
        <v>661</v>
      </c>
      <c r="I130" s="27" t="str">
        <f>IFERROR(__xludf.DUMMYFUNCTION("IF(A130="""","""",
TEXTJOIN(""-"",TRUE,
IFERROR(
  INDEX(FILTER(CFG_CODES!C:C, CFG_CODES!A:A=""CATEGORY"", UPPER(CFG_CODES!B:B)=UPPER(B130))),
  LEFT(UPPER(B130),3)
),
IFERROR(
  INDEX(FILTER(CFG_CODES!C:C, CFG_CODES!A:A=""MATERIAL"", UPPER(CFG_CODES!B:B)"&amp;"=UPPER(C130))),
  LEFT(UPPER(C130),3)
),
TEXT(ROW()-1,""000"")
))"),"A-TAP-129")</f>
        <v>A-TAP-129</v>
      </c>
      <c r="J130" s="27" t="s">
        <v>1688</v>
      </c>
      <c r="K130" s="39">
        <v>1.422680412371134</v>
      </c>
      <c r="L130" s="39">
        <v>2.0</v>
      </c>
      <c r="M130" s="39">
        <v>2.0</v>
      </c>
      <c r="N130" s="39">
        <v>40.0</v>
      </c>
      <c r="O130" s="27">
        <v>5.690721649484536</v>
      </c>
      <c r="P130" s="27"/>
      <c r="Q130" s="80">
        <v>53.0</v>
      </c>
      <c r="R130" s="81" t="s">
        <v>1688</v>
      </c>
      <c r="S130" s="81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</row>
    <row r="131" ht="15.0" customHeight="1">
      <c r="A131" s="138" t="s">
        <v>319</v>
      </c>
      <c r="B131" s="66" t="s">
        <v>1821</v>
      </c>
      <c r="C131" s="140" t="s">
        <v>1822</v>
      </c>
      <c r="D131" s="135" t="s">
        <v>1566</v>
      </c>
      <c r="E131" s="27" t="s">
        <v>1566</v>
      </c>
      <c r="F131" s="27" t="s">
        <v>1566</v>
      </c>
      <c r="G131" s="27" t="s">
        <v>1829</v>
      </c>
      <c r="H131" s="27" t="s">
        <v>661</v>
      </c>
      <c r="I131" s="27" t="str">
        <f>IFERROR(__xludf.DUMMYFUNCTION("IF(A131="""","""",
TEXTJOIN(""-"",TRUE,
IFERROR(
  INDEX(FILTER(CFG_CODES!C:C, CFG_CODES!A:A=""CATEGORY"", UPPER(CFG_CODES!B:B)=UPPER(B131))),
  LEFT(UPPER(B131),3)
),
IFERROR(
  INDEX(FILTER(CFG_CODES!C:C, CFG_CODES!A:A=""MATERIAL"", UPPER(CFG_CODES!B:B)"&amp;"=UPPER(C131))),
  LEFT(UPPER(C131),3)
),
TEXT(ROW()-1,""000"")
))"),"A-TAP-130")</f>
        <v>A-TAP-130</v>
      </c>
      <c r="J131" s="27" t="s">
        <v>1688</v>
      </c>
      <c r="K131" s="39">
        <v>0.25773195876288657</v>
      </c>
      <c r="L131" s="39">
        <v>2.0</v>
      </c>
      <c r="M131" s="39">
        <v>2.0</v>
      </c>
      <c r="N131" s="39">
        <v>10.0</v>
      </c>
      <c r="O131" s="27">
        <v>1.0309278350515463</v>
      </c>
      <c r="P131" s="27"/>
      <c r="Q131" s="80">
        <v>43.0</v>
      </c>
      <c r="R131" s="81" t="s">
        <v>1688</v>
      </c>
      <c r="S131" s="81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</row>
    <row r="132" ht="15.0" customHeight="1">
      <c r="A132" s="138" t="s">
        <v>370</v>
      </c>
      <c r="B132" s="66" t="s">
        <v>370</v>
      </c>
      <c r="C132" s="141" t="s">
        <v>370</v>
      </c>
      <c r="D132" s="53" t="s">
        <v>1566</v>
      </c>
      <c r="E132" s="27" t="s">
        <v>1566</v>
      </c>
      <c r="F132" s="27" t="s">
        <v>1566</v>
      </c>
      <c r="G132" s="27" t="s">
        <v>1566</v>
      </c>
      <c r="H132" s="27" t="s">
        <v>661</v>
      </c>
      <c r="I132" s="27" t="str">
        <f>IFERROR(__xludf.DUMMYFUNCTION("IF(A132="""","""",
TEXTJOIN(""-"",TRUE,
IFERROR(
  INDEX(FILTER(CFG_CODES!C:C, CFG_CODES!A:A=""CATEGORY"", UPPER(CFG_CODES!B:B)=UPPER(B132))),
  LEFT(UPPER(B132),3)
),
IFERROR(
  INDEX(FILTER(CFG_CODES!C:C, CFG_CODES!A:A=""MATERIAL"", UPPER(CFG_CODES!B:B)"&amp;"=UPPER(C132))),
  LEFT(UPPER(C132),3)
),
TEXT(ROW()-1,""000"")
))"),"CET-CET-131")</f>
        <v>CET-CET-131</v>
      </c>
      <c r="J132" s="27" t="s">
        <v>1688</v>
      </c>
      <c r="K132" s="39">
        <v>1.7835051546391754</v>
      </c>
      <c r="L132" s="39">
        <v>2.0</v>
      </c>
      <c r="M132" s="39">
        <v>2.0</v>
      </c>
      <c r="N132" s="39">
        <v>200.0</v>
      </c>
      <c r="O132" s="27">
        <v>7.134020618556701</v>
      </c>
      <c r="P132" s="27"/>
      <c r="Q132" s="80">
        <v>88.0</v>
      </c>
      <c r="R132" s="81" t="s">
        <v>1688</v>
      </c>
      <c r="S132" s="81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</row>
    <row r="133" ht="15.0" customHeight="1">
      <c r="A133" s="138" t="s">
        <v>749</v>
      </c>
      <c r="B133" s="66" t="s">
        <v>1821</v>
      </c>
      <c r="C133" s="140" t="s">
        <v>1822</v>
      </c>
      <c r="D133" s="135" t="s">
        <v>1566</v>
      </c>
      <c r="E133" s="27" t="s">
        <v>1566</v>
      </c>
      <c r="F133" s="27" t="s">
        <v>1566</v>
      </c>
      <c r="G133" s="27" t="s">
        <v>1566</v>
      </c>
      <c r="H133" s="27" t="s">
        <v>661</v>
      </c>
      <c r="I133" s="27" t="str">
        <f>IFERROR(__xludf.DUMMYFUNCTION("IF(A133="""","""",
TEXTJOIN(""-"",TRUE,
IFERROR(
  INDEX(FILTER(CFG_CODES!C:C, CFG_CODES!A:A=""CATEGORY"", UPPER(CFG_CODES!B:B)=UPPER(B133))),
  LEFT(UPPER(B133),3)
),
IFERROR(
  INDEX(FILTER(CFG_CODES!C:C, CFG_CODES!A:A=""MATERIAL"", UPPER(CFG_CODES!B:B)"&amp;"=UPPER(C133))),
  LEFT(UPPER(C133),3)
),
TEXT(ROW()-1,""000"")
))"),"A-TAP-132")</f>
        <v>A-TAP-132</v>
      </c>
      <c r="J133" s="27" t="s">
        <v>1688</v>
      </c>
      <c r="K133" s="39">
        <v>0.020618556701030927</v>
      </c>
      <c r="L133" s="39">
        <v>2.0</v>
      </c>
      <c r="M133" s="39">
        <v>2.0</v>
      </c>
      <c r="N133" s="39">
        <v>5.0</v>
      </c>
      <c r="O133" s="27">
        <v>0.08247422680412371</v>
      </c>
      <c r="P133" s="27"/>
      <c r="Q133" s="80">
        <v>49.0</v>
      </c>
      <c r="R133" s="81" t="s">
        <v>1688</v>
      </c>
      <c r="S133" s="81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</row>
    <row r="134" ht="15.0" customHeight="1">
      <c r="A134" s="138" t="s">
        <v>757</v>
      </c>
      <c r="B134" s="66" t="s">
        <v>1830</v>
      </c>
      <c r="C134" s="141" t="s">
        <v>1830</v>
      </c>
      <c r="D134" s="53" t="s">
        <v>1566</v>
      </c>
      <c r="E134" s="27" t="s">
        <v>1566</v>
      </c>
      <c r="F134" s="27" t="s">
        <v>1566</v>
      </c>
      <c r="G134" s="27" t="s">
        <v>1566</v>
      </c>
      <c r="H134" s="27" t="s">
        <v>643</v>
      </c>
      <c r="I134" s="27" t="str">
        <f>IFERROR(__xludf.DUMMYFUNCTION("IF(A134="""","""",
TEXTJOIN(""-"",TRUE,
IFERROR(
  INDEX(FILTER(CFG_CODES!C:C, CFG_CODES!A:A=""CATEGORY"", UPPER(CFG_CODES!B:B)=UPPER(B134))),
  LEFT(UPPER(B134),3)
),
IFERROR(
  INDEX(FILTER(CFG_CODES!C:C, CFG_CODES!A:A=""MATERIAL"", UPPER(CFG_CODES!B:B)"&amp;"=UPPER(C134))),
  LEFT(UPPER(C134),3)
),
TEXT(ROW()-1,""000"")
))"),"M-MIS-133")</f>
        <v>M-MIS-133</v>
      </c>
      <c r="J134" s="27" t="s">
        <v>1688</v>
      </c>
      <c r="K134" s="39">
        <v>0.0</v>
      </c>
      <c r="L134" s="39">
        <v>2.0</v>
      </c>
      <c r="M134" s="39">
        <v>2.0</v>
      </c>
      <c r="N134" s="39">
        <v>5.0</v>
      </c>
      <c r="O134" s="27" t="s">
        <v>1333</v>
      </c>
      <c r="P134" s="27"/>
      <c r="Q134" s="81"/>
      <c r="R134" s="81" t="s">
        <v>1688</v>
      </c>
      <c r="S134" s="81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</row>
    <row r="135" ht="15.0" customHeight="1">
      <c r="A135" s="150" t="s">
        <v>893</v>
      </c>
      <c r="B135" s="66" t="s">
        <v>1812</v>
      </c>
      <c r="C135" s="140" t="s">
        <v>1813</v>
      </c>
      <c r="D135" s="135" t="s">
        <v>1566</v>
      </c>
      <c r="E135" s="27" t="s">
        <v>1566</v>
      </c>
      <c r="F135" s="27" t="s">
        <v>1566</v>
      </c>
      <c r="G135" s="27" t="s">
        <v>1809</v>
      </c>
      <c r="H135" s="27" t="s">
        <v>290</v>
      </c>
      <c r="I135" s="27" t="str">
        <f>IFERROR(__xludf.DUMMYFUNCTION("IF(A135="""","""",
TEXTJOIN(""-"",TRUE,
IFERROR(
  INDEX(FILTER(CFG_CODES!C:C, CFG_CODES!A:A=""CATEGORY"", UPPER(CFG_CODES!B:B)=UPPER(B135))),
  LEFT(UPPER(B135),3)
),
IFERROR(
  INDEX(FILTER(CFG_CODES!C:C, CFG_CODES!A:A=""MATERIAL"", UPPER(CFG_CODES!B:B)"&amp;"=UPPER(C135))),
  LEFT(UPPER(C135),3)
),
TEXT(ROW()-1,""000"")
))"),"CH-VAR-134")</f>
        <v>CH-VAR-134</v>
      </c>
      <c r="J135" s="27" t="s">
        <v>1688</v>
      </c>
      <c r="K135" s="39">
        <v>1.2371134020618557</v>
      </c>
      <c r="L135" s="39">
        <v>2.0</v>
      </c>
      <c r="M135" s="39">
        <v>2.0</v>
      </c>
      <c r="N135" s="39">
        <v>20.0</v>
      </c>
      <c r="O135" s="27">
        <v>4.948453608247423</v>
      </c>
      <c r="P135" s="27"/>
      <c r="Q135" s="80">
        <v>16.0</v>
      </c>
      <c r="R135" s="81" t="s">
        <v>2029</v>
      </c>
      <c r="S135" s="80">
        <v>19.8</v>
      </c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</row>
    <row r="136" ht="15.0" customHeight="1">
      <c r="A136" s="138" t="s">
        <v>409</v>
      </c>
      <c r="B136" s="66" t="s">
        <v>1812</v>
      </c>
      <c r="C136" s="141" t="s">
        <v>1831</v>
      </c>
      <c r="D136" s="53" t="s">
        <v>1566</v>
      </c>
      <c r="E136" s="27" t="s">
        <v>1566</v>
      </c>
      <c r="F136" s="27" t="s">
        <v>1566</v>
      </c>
      <c r="G136" s="27" t="s">
        <v>1566</v>
      </c>
      <c r="H136" s="27" t="s">
        <v>616</v>
      </c>
      <c r="I136" s="27" t="str">
        <f>IFERROR(__xludf.DUMMYFUNCTION("IF(A136="""","""",
TEXTJOIN(""-"",TRUE,
IFERROR(
  INDEX(FILTER(CFG_CODES!C:C, CFG_CODES!A:A=""CATEGORY"", UPPER(CFG_CODES!B:B)=UPPER(B136))),
  LEFT(UPPER(B136),3)
),
IFERROR(
  INDEX(FILTER(CFG_CODES!C:C, CFG_CODES!A:A=""MATERIAL"", UPPER(CFG_CODES!B:B)"&amp;"=UPPER(C136))),
  LEFT(UPPER(C136),3)
),
TEXT(ROW()-1,""000"")
))"),"CH-GUM-135")</f>
        <v>CH-GUM-135</v>
      </c>
      <c r="J136" s="27" t="s">
        <v>1688</v>
      </c>
      <c r="K136" s="39">
        <v>0.0</v>
      </c>
      <c r="L136" s="39">
        <v>2.0</v>
      </c>
      <c r="M136" s="39">
        <v>2.0</v>
      </c>
      <c r="N136" s="39">
        <v>5.0</v>
      </c>
      <c r="O136" s="27" t="s">
        <v>1333</v>
      </c>
      <c r="P136" s="27"/>
      <c r="Q136" s="81"/>
      <c r="R136" s="81" t="s">
        <v>1688</v>
      </c>
      <c r="S136" s="81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</row>
    <row r="137" ht="15.0" customHeight="1">
      <c r="A137" s="138" t="s">
        <v>765</v>
      </c>
      <c r="B137" s="66" t="s">
        <v>1812</v>
      </c>
      <c r="C137" s="140" t="s">
        <v>1815</v>
      </c>
      <c r="D137" s="135" t="s">
        <v>1566</v>
      </c>
      <c r="E137" s="27" t="s">
        <v>1566</v>
      </c>
      <c r="F137" s="27" t="s">
        <v>1566</v>
      </c>
      <c r="G137" s="27" t="s">
        <v>1566</v>
      </c>
      <c r="H137" s="27" t="s">
        <v>616</v>
      </c>
      <c r="I137" s="27" t="str">
        <f>IFERROR(__xludf.DUMMYFUNCTION("IF(A137="""","""",
TEXTJOIN(""-"",TRUE,
IFERROR(
  INDEX(FILTER(CFG_CODES!C:C, CFG_CODES!A:A=""CATEGORY"", UPPER(CFG_CODES!B:B)=UPPER(B137))),
  LEFT(UPPER(B137),3)
),
IFERROR(
  INDEX(FILTER(CFG_CODES!C:C, CFG_CODES!A:A=""MATERIAL"", UPPER(CFG_CODES!B:B)"&amp;"=UPPER(C137))),
  LEFT(UPPER(C137),3)
),
TEXT(ROW()-1,""000"")
))"),"CH-SOL-136")</f>
        <v>CH-SOL-136</v>
      </c>
      <c r="J137" s="27" t="s">
        <v>1688</v>
      </c>
      <c r="K137" s="39">
        <v>0.0</v>
      </c>
      <c r="L137" s="39">
        <v>2.0</v>
      </c>
      <c r="M137" s="39">
        <v>2.0</v>
      </c>
      <c r="N137" s="39">
        <v>5.0</v>
      </c>
      <c r="O137" s="27" t="s">
        <v>1333</v>
      </c>
      <c r="P137" s="27"/>
      <c r="Q137" s="81"/>
      <c r="R137" s="81" t="s">
        <v>2029</v>
      </c>
      <c r="S137" s="143" t="s">
        <v>1863</v>
      </c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</row>
    <row r="138" ht="15.0" customHeight="1">
      <c r="A138" s="138" t="s">
        <v>771</v>
      </c>
      <c r="B138" s="66" t="s">
        <v>1812</v>
      </c>
      <c r="C138" s="141" t="s">
        <v>1815</v>
      </c>
      <c r="D138" s="53" t="s">
        <v>1566</v>
      </c>
      <c r="E138" s="27" t="s">
        <v>1566</v>
      </c>
      <c r="F138" s="27" t="s">
        <v>1566</v>
      </c>
      <c r="G138" s="27" t="s">
        <v>1832</v>
      </c>
      <c r="H138" s="27" t="s">
        <v>616</v>
      </c>
      <c r="I138" s="27" t="str">
        <f>IFERROR(__xludf.DUMMYFUNCTION("IF(A138="""","""",
TEXTJOIN(""-"",TRUE,
IFERROR(
  INDEX(FILTER(CFG_CODES!C:C, CFG_CODES!A:A=""CATEGORY"", UPPER(CFG_CODES!B:B)=UPPER(B138))),
  LEFT(UPPER(B138),3)
),
IFERROR(
  INDEX(FILTER(CFG_CODES!C:C, CFG_CODES!A:A=""MATERIAL"", UPPER(CFG_CODES!B:B)"&amp;"=UPPER(C138))),
  LEFT(UPPER(C138),3)
),
TEXT(ROW()-1,""000"")
))"),"CH-SOL-137")</f>
        <v>CH-SOL-137</v>
      </c>
      <c r="J138" s="27" t="s">
        <v>1688</v>
      </c>
      <c r="K138" s="39">
        <v>0.0</v>
      </c>
      <c r="L138" s="39">
        <v>2.0</v>
      </c>
      <c r="M138" s="39">
        <v>2.0</v>
      </c>
      <c r="N138" s="39">
        <v>5.0</v>
      </c>
      <c r="O138" s="27" t="s">
        <v>1333</v>
      </c>
      <c r="P138" s="27"/>
      <c r="Q138" s="81"/>
      <c r="R138" s="81" t="s">
        <v>2029</v>
      </c>
      <c r="S138" s="143" t="s">
        <v>1863</v>
      </c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</row>
    <row r="139" ht="15.0" customHeight="1">
      <c r="A139" s="138" t="s">
        <v>777</v>
      </c>
      <c r="B139" s="66" t="s">
        <v>1812</v>
      </c>
      <c r="C139" s="140" t="s">
        <v>1833</v>
      </c>
      <c r="D139" s="135" t="s">
        <v>1566</v>
      </c>
      <c r="E139" s="27" t="s">
        <v>1566</v>
      </c>
      <c r="F139" s="27" t="s">
        <v>1566</v>
      </c>
      <c r="G139" s="27" t="s">
        <v>1834</v>
      </c>
      <c r="H139" s="27" t="s">
        <v>290</v>
      </c>
      <c r="I139" s="27" t="str">
        <f>IFERROR(__xludf.DUMMYFUNCTION("IF(A139="""","""",
TEXTJOIN(""-"",TRUE,
IFERROR(
  INDEX(FILTER(CFG_CODES!C:C, CFG_CODES!A:A=""CATEGORY"", UPPER(CFG_CODES!B:B)=UPPER(B139))),
  LEFT(UPPER(B139),3)
),
IFERROR(
  INDEX(FILTER(CFG_CODES!C:C, CFG_CODES!A:A=""MATERIAL"", UPPER(CFG_CODES!B:B)"&amp;"=UPPER(C139))),
  LEFT(UPPER(C139),3)
),
TEXT(ROW()-1,""000"")
))"),"CH-POW-138")</f>
        <v>CH-POW-138</v>
      </c>
      <c r="J139" s="27" t="s">
        <v>1688</v>
      </c>
      <c r="K139" s="39">
        <v>0.0</v>
      </c>
      <c r="L139" s="39">
        <v>2.0</v>
      </c>
      <c r="M139" s="39">
        <v>2.0</v>
      </c>
      <c r="N139" s="39">
        <v>5.0</v>
      </c>
      <c r="O139" s="27" t="s">
        <v>1333</v>
      </c>
      <c r="P139" s="27"/>
      <c r="Q139" s="81"/>
      <c r="R139" s="81" t="s">
        <v>1688</v>
      </c>
      <c r="S139" s="81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</row>
    <row r="140" ht="15.0" customHeight="1">
      <c r="A140" s="150" t="s">
        <v>446</v>
      </c>
      <c r="B140" s="66" t="s">
        <v>1812</v>
      </c>
      <c r="C140" s="141" t="s">
        <v>1821</v>
      </c>
      <c r="D140" s="53" t="s">
        <v>1566</v>
      </c>
      <c r="E140" s="27" t="s">
        <v>1566</v>
      </c>
      <c r="F140" s="27" t="s">
        <v>1566</v>
      </c>
      <c r="G140" s="39" t="s">
        <v>1835</v>
      </c>
      <c r="H140" s="27" t="s">
        <v>661</v>
      </c>
      <c r="I140" s="27" t="str">
        <f>IFERROR(__xludf.DUMMYFUNCTION("IF(A140="""","""",
TEXTJOIN(""-"",TRUE,
IFERROR(
  INDEX(FILTER(CFG_CODES!C:C, CFG_CODES!A:A=""CATEGORY"", UPPER(CFG_CODES!B:B)=UPPER(B140))),
  LEFT(UPPER(B140),3)
),
IFERROR(
  INDEX(FILTER(CFG_CODES!C:C, CFG_CODES!A:A=""MATERIAL"", UPPER(CFG_CODES!B:B)"&amp;"=UPPER(C140))),
  LEFT(UPPER(C140),3)
),
TEXT(ROW()-1,""000"")
))"),"CH-ADH-139")</f>
        <v>CH-ADH-139</v>
      </c>
      <c r="J140" s="27" t="s">
        <v>1688</v>
      </c>
      <c r="K140" s="39">
        <v>0.020618556701030927</v>
      </c>
      <c r="L140" s="39">
        <v>2.0</v>
      </c>
      <c r="M140" s="39">
        <v>2.0</v>
      </c>
      <c r="N140" s="39">
        <v>5.0</v>
      </c>
      <c r="O140" s="27">
        <v>0.08247422680412371</v>
      </c>
      <c r="P140" s="27"/>
      <c r="Q140" s="80">
        <v>194.0</v>
      </c>
      <c r="R140" s="81" t="s">
        <v>2029</v>
      </c>
      <c r="S140" s="143">
        <v>43.0</v>
      </c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</row>
    <row r="141" ht="15.0" customHeight="1">
      <c r="A141" s="138" t="s">
        <v>788</v>
      </c>
      <c r="B141" s="66" t="s">
        <v>1812</v>
      </c>
      <c r="C141" s="140" t="s">
        <v>1815</v>
      </c>
      <c r="D141" s="135" t="s">
        <v>1566</v>
      </c>
      <c r="E141" s="27" t="s">
        <v>1566</v>
      </c>
      <c r="F141" s="27" t="s">
        <v>1566</v>
      </c>
      <c r="G141" s="27" t="s">
        <v>1566</v>
      </c>
      <c r="H141" s="27" t="s">
        <v>290</v>
      </c>
      <c r="I141" s="27" t="str">
        <f>IFERROR(__xludf.DUMMYFUNCTION("IF(A141="""","""",
TEXTJOIN(""-"",TRUE,
IFERROR(
  INDEX(FILTER(CFG_CODES!C:C, CFG_CODES!A:A=""CATEGORY"", UPPER(CFG_CODES!B:B)=UPPER(B141))),
  LEFT(UPPER(B141),3)
),
IFERROR(
  INDEX(FILTER(CFG_CODES!C:C, CFG_CODES!A:A=""MATERIAL"", UPPER(CFG_CODES!B:B)"&amp;"=UPPER(C141))),
  LEFT(UPPER(C141),3)
),
TEXT(ROW()-1,""000"")
))"),"CH-SOL-140")</f>
        <v>CH-SOL-140</v>
      </c>
      <c r="J141" s="27" t="s">
        <v>1688</v>
      </c>
      <c r="K141" s="39">
        <v>0.002577319587628866</v>
      </c>
      <c r="L141" s="39">
        <v>2.0</v>
      </c>
      <c r="M141" s="39">
        <v>2.0</v>
      </c>
      <c r="N141" s="39">
        <v>2.0</v>
      </c>
      <c r="O141" s="27">
        <v>0.010309278350515464</v>
      </c>
      <c r="P141" s="27"/>
      <c r="Q141" s="88">
        <v>97.0</v>
      </c>
      <c r="R141" s="81" t="s">
        <v>2029</v>
      </c>
      <c r="S141" s="143" t="s">
        <v>1863</v>
      </c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</row>
    <row r="142" ht="15.0" customHeight="1">
      <c r="A142" s="150" t="s">
        <v>636</v>
      </c>
      <c r="B142" s="66" t="s">
        <v>1812</v>
      </c>
      <c r="C142" s="141" t="s">
        <v>1813</v>
      </c>
      <c r="D142" s="53" t="s">
        <v>1566</v>
      </c>
      <c r="E142" s="27" t="s">
        <v>1566</v>
      </c>
      <c r="F142" s="27" t="s">
        <v>1566</v>
      </c>
      <c r="G142" s="39" t="s">
        <v>1836</v>
      </c>
      <c r="H142" s="27" t="s">
        <v>290</v>
      </c>
      <c r="I142" s="27" t="str">
        <f>IFERROR(__xludf.DUMMYFUNCTION("IF(A142="""","""",
TEXTJOIN(""-"",TRUE,
IFERROR(
  INDEX(FILTER(CFG_CODES!C:C, CFG_CODES!A:A=""CATEGORY"", UPPER(CFG_CODES!B:B)=UPPER(B142))),
  LEFT(UPPER(B142),3)
),
IFERROR(
  INDEX(FILTER(CFG_CODES!C:C, CFG_CODES!A:A=""MATERIAL"", UPPER(CFG_CODES!B:B)"&amp;"=UPPER(C142))),
  LEFT(UPPER(C142),3)
),
TEXT(ROW()-1,""000"")
))"),"CH-VAR-141")</f>
        <v>CH-VAR-141</v>
      </c>
      <c r="J142" s="27" t="s">
        <v>1688</v>
      </c>
      <c r="K142" s="39">
        <v>0.20618556701030927</v>
      </c>
      <c r="L142" s="39">
        <v>2.0</v>
      </c>
      <c r="M142" s="39">
        <v>2.0</v>
      </c>
      <c r="N142" s="39">
        <v>2.0</v>
      </c>
      <c r="O142" s="27">
        <v>0.8247422680412371</v>
      </c>
      <c r="P142" s="27"/>
      <c r="Q142" s="88">
        <v>0.0</v>
      </c>
      <c r="R142" s="143" t="s">
        <v>2029</v>
      </c>
      <c r="S142" s="143" t="s">
        <v>1863</v>
      </c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</row>
    <row r="143" ht="15.0" customHeight="1">
      <c r="A143" s="138" t="s">
        <v>528</v>
      </c>
      <c r="B143" s="66" t="s">
        <v>1812</v>
      </c>
      <c r="C143" s="140" t="s">
        <v>1815</v>
      </c>
      <c r="D143" s="135" t="s">
        <v>1566</v>
      </c>
      <c r="E143" s="27" t="s">
        <v>1566</v>
      </c>
      <c r="F143" s="27" t="s">
        <v>1566</v>
      </c>
      <c r="G143" s="39" t="s">
        <v>1837</v>
      </c>
      <c r="H143" s="27" t="s">
        <v>616</v>
      </c>
      <c r="I143" s="27" t="str">
        <f>IFERROR(__xludf.DUMMYFUNCTION("IF(A143="""","""",
TEXTJOIN(""-"",TRUE,
IFERROR(
  INDEX(FILTER(CFG_CODES!C:C, CFG_CODES!A:A=""CATEGORY"", UPPER(CFG_CODES!B:B)=UPPER(B143))),
  LEFT(UPPER(B143),3)
),
IFERROR(
  INDEX(FILTER(CFG_CODES!C:C, CFG_CODES!A:A=""MATERIAL"", UPPER(CFG_CODES!B:B)"&amp;"=UPPER(C143))),
  LEFT(UPPER(C143),3)
),
TEXT(ROW()-1,""000"")
))"),"CH-SOL-142")</f>
        <v>CH-SOL-142</v>
      </c>
      <c r="J143" s="27" t="s">
        <v>1688</v>
      </c>
      <c r="K143" s="39">
        <v>0.36082474226804123</v>
      </c>
      <c r="L143" s="39">
        <v>2.0</v>
      </c>
      <c r="M143" s="39">
        <v>2.0</v>
      </c>
      <c r="N143" s="39">
        <v>10.0</v>
      </c>
      <c r="O143" s="27">
        <v>1.443298969072165</v>
      </c>
      <c r="P143" s="27"/>
      <c r="Q143" s="80">
        <v>42.0</v>
      </c>
      <c r="R143" s="81" t="s">
        <v>2029</v>
      </c>
      <c r="S143" s="80">
        <v>18.2</v>
      </c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</row>
    <row r="144" ht="15.0" customHeight="1">
      <c r="A144" s="138" t="s">
        <v>567</v>
      </c>
      <c r="B144" s="66" t="s">
        <v>1812</v>
      </c>
      <c r="C144" s="141" t="s">
        <v>1815</v>
      </c>
      <c r="D144" s="53" t="s">
        <v>1566</v>
      </c>
      <c r="E144" s="27" t="s">
        <v>1566</v>
      </c>
      <c r="F144" s="27" t="s">
        <v>1566</v>
      </c>
      <c r="G144" s="39" t="s">
        <v>1838</v>
      </c>
      <c r="H144" s="27" t="s">
        <v>616</v>
      </c>
      <c r="I144" s="27" t="str">
        <f>IFERROR(__xludf.DUMMYFUNCTION("IF(A144="""","""",
TEXTJOIN(""-"",TRUE,
IFERROR(
  INDEX(FILTER(CFG_CODES!C:C, CFG_CODES!A:A=""CATEGORY"", UPPER(CFG_CODES!B:B)=UPPER(B144))),
  LEFT(UPPER(B144),3)
),
IFERROR(
  INDEX(FILTER(CFG_CODES!C:C, CFG_CODES!A:A=""MATERIAL"", UPPER(CFG_CODES!B:B)"&amp;"=UPPER(C144))),
  LEFT(UPPER(C144),3)
),
TEXT(ROW()-1,""000"")
))"),"CH-SOL-143")</f>
        <v>CH-SOL-143</v>
      </c>
      <c r="J144" s="27" t="s">
        <v>1688</v>
      </c>
      <c r="K144" s="39">
        <v>0.12371134020618557</v>
      </c>
      <c r="L144" s="39">
        <v>2.0</v>
      </c>
      <c r="M144" s="39">
        <v>2.0</v>
      </c>
      <c r="N144" s="39">
        <v>6.0</v>
      </c>
      <c r="O144" s="27">
        <v>0.4948453608247423</v>
      </c>
      <c r="P144" s="27"/>
      <c r="Q144" s="80">
        <v>40.0</v>
      </c>
      <c r="R144" s="81" t="s">
        <v>2029</v>
      </c>
      <c r="S144" s="80">
        <v>10.3</v>
      </c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</row>
    <row r="145" ht="15.0" customHeight="1">
      <c r="A145" s="138" t="s">
        <v>604</v>
      </c>
      <c r="B145" s="66" t="s">
        <v>1812</v>
      </c>
      <c r="C145" s="140" t="s">
        <v>1815</v>
      </c>
      <c r="D145" s="135" t="s">
        <v>1566</v>
      </c>
      <c r="E145" s="27" t="s">
        <v>1566</v>
      </c>
      <c r="F145" s="27" t="s">
        <v>1566</v>
      </c>
      <c r="G145" s="27" t="s">
        <v>1812</v>
      </c>
      <c r="H145" s="27" t="s">
        <v>616</v>
      </c>
      <c r="I145" s="27" t="str">
        <f>IFERROR(__xludf.DUMMYFUNCTION("IF(A145="""","""",
TEXTJOIN(""-"",TRUE,
IFERROR(
  INDEX(FILTER(CFG_CODES!C:C, CFG_CODES!A:A=""CATEGORY"", UPPER(CFG_CODES!B:B)=UPPER(B145))),
  LEFT(UPPER(B145),3)
),
IFERROR(
  INDEX(FILTER(CFG_CODES!C:C, CFG_CODES!A:A=""MATERIAL"", UPPER(CFG_CODES!B:B)"&amp;"=UPPER(C145))),
  LEFT(UPPER(C145),3)
),
TEXT(ROW()-1,""000"")
))"),"CH-SOL-144")</f>
        <v>CH-SOL-144</v>
      </c>
      <c r="J145" s="27" t="s">
        <v>1688</v>
      </c>
      <c r="K145" s="39">
        <v>0.5670103092783505</v>
      </c>
      <c r="L145" s="39">
        <v>2.0</v>
      </c>
      <c r="M145" s="39">
        <v>2.0</v>
      </c>
      <c r="N145" s="39">
        <v>20.0</v>
      </c>
      <c r="O145" s="27">
        <v>2.268041237113402</v>
      </c>
      <c r="P145" s="27"/>
      <c r="Q145" s="80">
        <v>18.0</v>
      </c>
      <c r="R145" s="81" t="s">
        <v>2029</v>
      </c>
      <c r="S145" s="80">
        <v>10.6</v>
      </c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</row>
    <row r="146" ht="15.0" customHeight="1">
      <c r="A146" s="138" t="s">
        <v>690</v>
      </c>
      <c r="B146" s="66" t="s">
        <v>1830</v>
      </c>
      <c r="C146" s="141" t="s">
        <v>1830</v>
      </c>
      <c r="D146" s="53" t="s">
        <v>1566</v>
      </c>
      <c r="E146" s="27" t="s">
        <v>1566</v>
      </c>
      <c r="F146" s="27" t="s">
        <v>1566</v>
      </c>
      <c r="G146" s="27" t="s">
        <v>1566</v>
      </c>
      <c r="H146" s="27" t="s">
        <v>661</v>
      </c>
      <c r="I146" s="27" t="str">
        <f>IFERROR(__xludf.DUMMYFUNCTION("IF(A146="""","""",
TEXTJOIN(""-"",TRUE,
IFERROR(
  INDEX(FILTER(CFG_CODES!C:C, CFG_CODES!A:A=""CATEGORY"", UPPER(CFG_CODES!B:B)=UPPER(B146))),
  LEFT(UPPER(B146),3)
),
IFERROR(
  INDEX(FILTER(CFG_CODES!C:C, CFG_CODES!A:A=""MATERIAL"", UPPER(CFG_CODES!B:B)"&amp;"=UPPER(C146))),
  LEFT(UPPER(C146),3)
),
TEXT(ROW()-1,""000"")
))"),"M-MIS-145")</f>
        <v>M-MIS-145</v>
      </c>
      <c r="J146" s="27" t="s">
        <v>1688</v>
      </c>
      <c r="K146" s="39">
        <v>0.1134020618556701</v>
      </c>
      <c r="L146" s="39">
        <v>2.0</v>
      </c>
      <c r="M146" s="39">
        <v>2.0</v>
      </c>
      <c r="N146" s="39">
        <v>10.0</v>
      </c>
      <c r="O146" s="27">
        <v>0.4536082474226804</v>
      </c>
      <c r="P146" s="27"/>
      <c r="Q146" s="80">
        <v>35.0</v>
      </c>
      <c r="R146" s="81" t="s">
        <v>1688</v>
      </c>
      <c r="S146" s="81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</row>
    <row r="147" ht="15.0" customHeight="1">
      <c r="A147" s="138" t="s">
        <v>813</v>
      </c>
      <c r="B147" s="66" t="s">
        <v>1830</v>
      </c>
      <c r="C147" s="163" t="s">
        <v>1839</v>
      </c>
      <c r="D147" s="135" t="s">
        <v>1566</v>
      </c>
      <c r="E147" s="27" t="s">
        <v>1566</v>
      </c>
      <c r="F147" s="27" t="s">
        <v>1566</v>
      </c>
      <c r="G147" s="27" t="s">
        <v>1566</v>
      </c>
      <c r="H147" s="27" t="s">
        <v>661</v>
      </c>
      <c r="I147" s="27" t="str">
        <f>IFERROR(__xludf.DUMMYFUNCTION("IF(A147="""","""",
TEXTJOIN(""-"",TRUE,
IFERROR(
  INDEX(FILTER(CFG_CODES!C:C, CFG_CODES!A:A=""CATEGORY"", UPPER(CFG_CODES!B:B)=UPPER(B147))),
  LEFT(UPPER(B147),3)
),
IFERROR(
  INDEX(FILTER(CFG_CODES!C:C, CFG_CODES!A:A=""MATERIAL"", UPPER(CFG_CODES!B:B)"&amp;"=UPPER(C147))),
  LEFT(UPPER(C147),3)
),
TEXT(ROW()-1,""000"")
))"),"M-POL-146")</f>
        <v>M-POL-146</v>
      </c>
      <c r="J147" s="27" t="s">
        <v>1688</v>
      </c>
      <c r="K147" s="39">
        <v>1.6494845360824741</v>
      </c>
      <c r="L147" s="39">
        <v>2.0</v>
      </c>
      <c r="M147" s="39">
        <v>2.0</v>
      </c>
      <c r="N147" s="39">
        <v>200.0</v>
      </c>
      <c r="O147" s="27">
        <v>6.597938144329897</v>
      </c>
      <c r="P147" s="27"/>
      <c r="Q147" s="80">
        <v>61.0</v>
      </c>
      <c r="R147" s="81" t="s">
        <v>1688</v>
      </c>
      <c r="S147" s="81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</row>
    <row r="148" ht="15.0" customHeight="1">
      <c r="A148" s="138" t="s">
        <v>820</v>
      </c>
      <c r="B148" s="66" t="s">
        <v>1674</v>
      </c>
      <c r="C148" s="164" t="s">
        <v>1691</v>
      </c>
      <c r="D148" s="53" t="s">
        <v>1566</v>
      </c>
      <c r="E148" s="27" t="s">
        <v>1566</v>
      </c>
      <c r="F148" s="27" t="s">
        <v>1566</v>
      </c>
      <c r="G148" s="27" t="s">
        <v>1677</v>
      </c>
      <c r="H148" s="27" t="s">
        <v>290</v>
      </c>
      <c r="I148" s="27" t="str">
        <f>IFERROR(__xludf.DUMMYFUNCTION("IF(A148="""","""",
TEXTJOIN(""-"",TRUE,
IFERROR(
  INDEX(FILTER(CFG_CODES!C:C, CFG_CODES!A:A=""CATEGORY"", UPPER(CFG_CODES!B:B)=UPPER(B148))),
  LEFT(UPPER(B148),3)
),
IFERROR(
  INDEX(FILTER(CFG_CODES!C:C, CFG_CODES!A:A=""MATERIAL"", UPPER(CFG_CODES!B:B)"&amp;"=UPPER(C148))),
  LEFT(UPPER(C148),3)
),
TEXT(ROW()-1,""000"")
))"),"I-PAN-147")</f>
        <v>I-PAN-147</v>
      </c>
      <c r="J148" s="27" t="s">
        <v>1688</v>
      </c>
      <c r="K148" s="39">
        <v>0.0</v>
      </c>
      <c r="L148" s="39">
        <v>2.0</v>
      </c>
      <c r="M148" s="39">
        <v>2.0</v>
      </c>
      <c r="N148" s="39">
        <v>3.0</v>
      </c>
      <c r="O148" s="27" t="s">
        <v>1333</v>
      </c>
      <c r="P148" s="27"/>
      <c r="Q148" s="81"/>
      <c r="R148" s="81" t="s">
        <v>1689</v>
      </c>
      <c r="S148" s="81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</row>
    <row r="149" ht="15.0" customHeight="1">
      <c r="A149" s="138" t="s">
        <v>828</v>
      </c>
      <c r="B149" s="66" t="s">
        <v>1674</v>
      </c>
      <c r="C149" s="163" t="s">
        <v>1691</v>
      </c>
      <c r="D149" s="135" t="s">
        <v>1566</v>
      </c>
      <c r="E149" s="27" t="s">
        <v>1566</v>
      </c>
      <c r="F149" s="27" t="s">
        <v>1566</v>
      </c>
      <c r="G149" s="27" t="s">
        <v>1677</v>
      </c>
      <c r="H149" s="27" t="s">
        <v>290</v>
      </c>
      <c r="I149" s="27" t="str">
        <f>IFERROR(__xludf.DUMMYFUNCTION("IF(A149="""","""",
TEXTJOIN(""-"",TRUE,
IFERROR(
  INDEX(FILTER(CFG_CODES!C:C, CFG_CODES!A:A=""CATEGORY"", UPPER(CFG_CODES!B:B)=UPPER(B149))),
  LEFT(UPPER(B149),3)
),
IFERROR(
  INDEX(FILTER(CFG_CODES!C:C, CFG_CODES!A:A=""MATERIAL"", UPPER(CFG_CODES!B:B)"&amp;"=UPPER(C149))),
  LEFT(UPPER(C149),3)
),
TEXT(ROW()-1,""000"")
))"),"I-PAN-148")</f>
        <v>I-PAN-148</v>
      </c>
      <c r="J149" s="27" t="s">
        <v>1688</v>
      </c>
      <c r="K149" s="39">
        <v>0.0</v>
      </c>
      <c r="L149" s="39">
        <v>2.0</v>
      </c>
      <c r="M149" s="39">
        <v>2.0</v>
      </c>
      <c r="N149" s="39">
        <v>1.0</v>
      </c>
      <c r="O149" s="27" t="s">
        <v>1333</v>
      </c>
      <c r="P149" s="27"/>
      <c r="Q149" s="81"/>
      <c r="R149" s="81" t="s">
        <v>1689</v>
      </c>
      <c r="S149" s="81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</row>
    <row r="150" ht="15.0" customHeight="1">
      <c r="A150" s="138" t="s">
        <v>828</v>
      </c>
      <c r="B150" s="66" t="s">
        <v>1674</v>
      </c>
      <c r="C150" s="164" t="s">
        <v>1691</v>
      </c>
      <c r="D150" s="53" t="s">
        <v>1566</v>
      </c>
      <c r="E150" s="27" t="s">
        <v>1566</v>
      </c>
      <c r="F150" s="27" t="s">
        <v>1566</v>
      </c>
      <c r="G150" s="27" t="s">
        <v>1677</v>
      </c>
      <c r="H150" s="27" t="s">
        <v>290</v>
      </c>
      <c r="I150" s="27" t="str">
        <f>IFERROR(__xludf.DUMMYFUNCTION("IF(A150="""","""",
TEXTJOIN(""-"",TRUE,
IFERROR(
  INDEX(FILTER(CFG_CODES!C:C, CFG_CODES!A:A=""CATEGORY"", UPPER(CFG_CODES!B:B)=UPPER(B150))),
  LEFT(UPPER(B150),3)
),
IFERROR(
  INDEX(FILTER(CFG_CODES!C:C, CFG_CODES!A:A=""MATERIAL"", UPPER(CFG_CODES!B:B)"&amp;"=UPPER(C150))),
  LEFT(UPPER(C150),3)
),
TEXT(ROW()-1,""000"")
))"),"I-PAN-149")</f>
        <v>I-PAN-149</v>
      </c>
      <c r="J150" s="39" t="s">
        <v>1689</v>
      </c>
      <c r="K150" s="39">
        <v>0.0</v>
      </c>
      <c r="L150" s="39">
        <v>2.0</v>
      </c>
      <c r="M150" s="39">
        <v>2.0</v>
      </c>
      <c r="N150" s="39">
        <v>1.0</v>
      </c>
      <c r="O150" s="27" t="s">
        <v>1333</v>
      </c>
      <c r="P150" s="27"/>
      <c r="Q150" s="81"/>
      <c r="R150" s="81" t="s">
        <v>1689</v>
      </c>
      <c r="S150" s="81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</row>
    <row r="151" ht="15.0" customHeight="1">
      <c r="A151" s="150" t="s">
        <v>1841</v>
      </c>
      <c r="B151" s="66" t="s">
        <v>1812</v>
      </c>
      <c r="C151" s="163" t="s">
        <v>1815</v>
      </c>
      <c r="D151" s="135" t="s">
        <v>1566</v>
      </c>
      <c r="E151" s="27" t="s">
        <v>1566</v>
      </c>
      <c r="F151" s="27" t="s">
        <v>1566</v>
      </c>
      <c r="G151" s="27" t="s">
        <v>1842</v>
      </c>
      <c r="H151" s="27" t="s">
        <v>616</v>
      </c>
      <c r="I151" s="27" t="str">
        <f>IFERROR(__xludf.DUMMYFUNCTION("IF(A151="""","""",
TEXTJOIN(""-"",TRUE,
IFERROR(
  INDEX(FILTER(CFG_CODES!C:C, CFG_CODES!A:A=""CATEGORY"", UPPER(CFG_CODES!B:B)=UPPER(B151))),
  LEFT(UPPER(B151),3)
),
IFERROR(
  INDEX(FILTER(CFG_CODES!C:C, CFG_CODES!A:A=""MATERIAL"", UPPER(CFG_CODES!B:B)"&amp;"=UPPER(C151))),
  LEFT(UPPER(C151),3)
),
TEXT(ROW()-1,""000"")
))"),"CH-SOL-150")</f>
        <v>CH-SOL-150</v>
      </c>
      <c r="J151" s="27" t="s">
        <v>1688</v>
      </c>
      <c r="K151" s="39">
        <v>0.25773195876288657</v>
      </c>
      <c r="L151" s="39">
        <v>2.0</v>
      </c>
      <c r="M151" s="39">
        <v>2.0</v>
      </c>
      <c r="N151" s="39">
        <v>20.0</v>
      </c>
      <c r="O151" s="27">
        <v>1.0309278350515463</v>
      </c>
      <c r="P151" s="27"/>
      <c r="Q151" s="80">
        <v>0.0</v>
      </c>
      <c r="R151" s="81" t="s">
        <v>2029</v>
      </c>
      <c r="S151" s="143" t="s">
        <v>1863</v>
      </c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</row>
    <row r="152" ht="15.0" customHeight="1">
      <c r="A152" s="150" t="s">
        <v>1845</v>
      </c>
      <c r="B152" s="66" t="s">
        <v>1844</v>
      </c>
      <c r="C152" s="129" t="s">
        <v>1846</v>
      </c>
      <c r="D152" s="129" t="s">
        <v>1847</v>
      </c>
      <c r="E152" s="27" t="s">
        <v>1566</v>
      </c>
      <c r="F152" s="27" t="s">
        <v>1566</v>
      </c>
      <c r="G152" s="39" t="s">
        <v>1848</v>
      </c>
      <c r="H152" s="27" t="s">
        <v>661</v>
      </c>
      <c r="I152" s="27" t="str">
        <f>IFERROR(__xludf.DUMMYFUNCTION("IF(A152="""","""",
TEXTJOIN(""-"",TRUE,
IFERROR(
  INDEX(FILTER(CFG_CODES!C:C, CFG_CODES!A:A=""CATEGORY"", UPPER(CFG_CODES!B:B)=UPPER(B152))),
  LEFT(UPPER(B152),3)
),
IFERROR(
  INDEX(FILTER(CFG_CODES!C:C, CFG_CODES!A:A=""MATERIAL"", UPPER(CFG_CODES!B:B)"&amp;"=UPPER(C152))),
  LEFT(UPPER(C152),3)
),
TEXT(ROW()-1,""000"")
))"),"L-BOP-151")</f>
        <v>L-BOP-151</v>
      </c>
      <c r="J152" s="27" t="s">
        <v>1688</v>
      </c>
      <c r="K152" s="39">
        <v>0.030927835051546393</v>
      </c>
      <c r="L152" s="39">
        <v>2.0</v>
      </c>
      <c r="M152" s="39">
        <v>2.0</v>
      </c>
      <c r="N152" s="39">
        <v>1.0</v>
      </c>
      <c r="O152" s="27">
        <v>0.12371134020618557</v>
      </c>
      <c r="P152" s="27"/>
      <c r="Q152" s="80">
        <v>0.0</v>
      </c>
      <c r="R152" s="81" t="s">
        <v>1689</v>
      </c>
      <c r="S152" s="81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</row>
    <row r="153" ht="15.0" customHeight="1">
      <c r="A153" s="150" t="s">
        <v>837</v>
      </c>
      <c r="B153" s="66" t="s">
        <v>1844</v>
      </c>
      <c r="C153" s="148" t="s">
        <v>1846</v>
      </c>
      <c r="D153" s="148" t="s">
        <v>1849</v>
      </c>
      <c r="E153" s="27" t="s">
        <v>1566</v>
      </c>
      <c r="F153" s="27" t="s">
        <v>1566</v>
      </c>
      <c r="G153" s="39" t="s">
        <v>1848</v>
      </c>
      <c r="H153" s="27" t="s">
        <v>661</v>
      </c>
      <c r="I153" s="27" t="str">
        <f>IFERROR(__xludf.DUMMYFUNCTION("IF(A153="""","""",
TEXTJOIN(""-"",TRUE,
IFERROR(
  INDEX(FILTER(CFG_CODES!C:C, CFG_CODES!A:A=""CATEGORY"", UPPER(CFG_CODES!B:B)=UPPER(B153))),
  LEFT(UPPER(B153),3)
),
IFERROR(
  INDEX(FILTER(CFG_CODES!C:C, CFG_CODES!A:A=""MATERIAL"", UPPER(CFG_CODES!B:B)"&amp;"=UPPER(C153))),
  LEFT(UPPER(C153),3)
),
TEXT(ROW()-1,""000"")
))"),"L-BOP-152")</f>
        <v>L-BOP-152</v>
      </c>
      <c r="J153" s="27" t="s">
        <v>1688</v>
      </c>
      <c r="K153" s="39">
        <v>0.041237113402061855</v>
      </c>
      <c r="L153" s="39">
        <v>2.0</v>
      </c>
      <c r="M153" s="39">
        <v>2.0</v>
      </c>
      <c r="N153" s="39">
        <v>1.0</v>
      </c>
      <c r="O153" s="27">
        <v>0.16494845360824742</v>
      </c>
      <c r="P153" s="27"/>
      <c r="Q153" s="80">
        <v>24.0</v>
      </c>
      <c r="R153" s="81" t="s">
        <v>1689</v>
      </c>
      <c r="S153" s="81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</row>
    <row r="154" ht="15.0" customHeight="1">
      <c r="A154" s="150" t="s">
        <v>843</v>
      </c>
      <c r="B154" s="66" t="s">
        <v>1844</v>
      </c>
      <c r="C154" s="129" t="s">
        <v>1846</v>
      </c>
      <c r="D154" s="129" t="s">
        <v>1850</v>
      </c>
      <c r="E154" s="27" t="s">
        <v>1566</v>
      </c>
      <c r="F154" s="27" t="s">
        <v>1566</v>
      </c>
      <c r="G154" s="39" t="s">
        <v>1848</v>
      </c>
      <c r="H154" s="27" t="s">
        <v>661</v>
      </c>
      <c r="I154" s="27" t="str">
        <f>IFERROR(__xludf.DUMMYFUNCTION("IF(A154="""","""",
TEXTJOIN(""-"",TRUE,
IFERROR(
  INDEX(FILTER(CFG_CODES!C:C, CFG_CODES!A:A=""CATEGORY"", UPPER(CFG_CODES!B:B)=UPPER(B154))),
  LEFT(UPPER(B154),3)
),
IFERROR(
  INDEX(FILTER(CFG_CODES!C:C, CFG_CODES!A:A=""MATERIAL"", UPPER(CFG_CODES!B:B)"&amp;"=UPPER(C154))),
  LEFT(UPPER(C154),3)
),
TEXT(ROW()-1,""000"")
))"),"L-BOP-153")</f>
        <v>L-BOP-153</v>
      </c>
      <c r="J154" s="27" t="s">
        <v>1688</v>
      </c>
      <c r="K154" s="39">
        <v>0.07216494845360824</v>
      </c>
      <c r="L154" s="39">
        <v>2.0</v>
      </c>
      <c r="M154" s="39">
        <v>2.0</v>
      </c>
      <c r="N154" s="39">
        <v>1.0</v>
      </c>
      <c r="O154" s="27">
        <v>0.28865979381443296</v>
      </c>
      <c r="P154" s="27"/>
      <c r="Q154" s="80">
        <v>14.0</v>
      </c>
      <c r="R154" s="81" t="s">
        <v>1689</v>
      </c>
      <c r="S154" s="81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</row>
    <row r="155" ht="15.0" customHeight="1">
      <c r="A155" s="150" t="s">
        <v>1858</v>
      </c>
      <c r="B155" s="66" t="s">
        <v>1844</v>
      </c>
      <c r="C155" s="148" t="s">
        <v>1846</v>
      </c>
      <c r="D155" s="148" t="s">
        <v>1860</v>
      </c>
      <c r="E155" s="27" t="s">
        <v>1566</v>
      </c>
      <c r="F155" s="27" t="s">
        <v>1566</v>
      </c>
      <c r="G155" s="39" t="s">
        <v>1808</v>
      </c>
      <c r="H155" s="27" t="s">
        <v>661</v>
      </c>
      <c r="I155" s="27" t="str">
        <f>IFERROR(__xludf.DUMMYFUNCTION("IF(A155="""","""",
TEXTJOIN(""-"",TRUE,
IFERROR(
  INDEX(FILTER(CFG_CODES!C:C, CFG_CODES!A:A=""CATEGORY"", UPPER(CFG_CODES!B:B)=UPPER(B155))),
  LEFT(UPPER(B155),3)
),
IFERROR(
  INDEX(FILTER(CFG_CODES!C:C, CFG_CODES!A:A=""MATERIAL"", UPPER(CFG_CODES!B:B)"&amp;"=UPPER(C155))),
  LEFT(UPPER(C155),3)
),
TEXT(ROW()-1,""000"")
))"),"L-BOP-154")</f>
        <v>L-BOP-154</v>
      </c>
      <c r="J155" s="27" t="s">
        <v>1688</v>
      </c>
      <c r="K155" s="39">
        <v>0.041237113402061855</v>
      </c>
      <c r="L155" s="39">
        <v>2.0</v>
      </c>
      <c r="M155" s="39">
        <v>2.0</v>
      </c>
      <c r="N155" s="39">
        <v>1.0</v>
      </c>
      <c r="O155" s="27">
        <v>0.16494845360824742</v>
      </c>
      <c r="P155" s="27"/>
      <c r="Q155" s="80">
        <v>0.0</v>
      </c>
      <c r="R155" s="81" t="s">
        <v>1689</v>
      </c>
      <c r="S155" s="81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</row>
    <row r="156" ht="15.0" customHeight="1">
      <c r="A156" s="150" t="s">
        <v>1864</v>
      </c>
      <c r="B156" s="66" t="s">
        <v>1844</v>
      </c>
      <c r="C156" s="129" t="s">
        <v>1846</v>
      </c>
      <c r="D156" s="129" t="s">
        <v>1865</v>
      </c>
      <c r="E156" s="27" t="s">
        <v>1566</v>
      </c>
      <c r="F156" s="27" t="s">
        <v>1566</v>
      </c>
      <c r="G156" s="39" t="s">
        <v>1848</v>
      </c>
      <c r="H156" s="27" t="s">
        <v>661</v>
      </c>
      <c r="I156" s="27" t="str">
        <f>IFERROR(__xludf.DUMMYFUNCTION("IF(A156="""","""",
TEXTJOIN(""-"",TRUE,
IFERROR(
  INDEX(FILTER(CFG_CODES!C:C, CFG_CODES!A:A=""CATEGORY"", UPPER(CFG_CODES!B:B)=UPPER(B156))),
  LEFT(UPPER(B156),3)
),
IFERROR(
  INDEX(FILTER(CFG_CODES!C:C, CFG_CODES!A:A=""MATERIAL"", UPPER(CFG_CODES!B:B)"&amp;"=UPPER(C156))),
  LEFT(UPPER(C156),3)
),
TEXT(ROW()-1,""000"")
))"),"L-BOP-155")</f>
        <v>L-BOP-155</v>
      </c>
      <c r="J156" s="27" t="s">
        <v>1688</v>
      </c>
      <c r="K156" s="39">
        <v>0.020618556701030927</v>
      </c>
      <c r="L156" s="39">
        <v>2.0</v>
      </c>
      <c r="M156" s="39">
        <v>2.0</v>
      </c>
      <c r="N156" s="39">
        <v>1.0</v>
      </c>
      <c r="O156" s="27">
        <v>0.08247422680412371</v>
      </c>
      <c r="P156" s="27"/>
      <c r="Q156" s="80">
        <v>0.0</v>
      </c>
      <c r="R156" s="81" t="s">
        <v>1689</v>
      </c>
      <c r="S156" s="81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</row>
    <row r="157" ht="15.0" customHeight="1">
      <c r="A157" s="150" t="s">
        <v>1868</v>
      </c>
      <c r="B157" s="66" t="s">
        <v>1844</v>
      </c>
      <c r="C157" s="148" t="s">
        <v>1846</v>
      </c>
      <c r="D157" s="148" t="s">
        <v>1869</v>
      </c>
      <c r="E157" s="27" t="s">
        <v>1566</v>
      </c>
      <c r="F157" s="27" t="s">
        <v>1566</v>
      </c>
      <c r="G157" s="27" t="s">
        <v>1808</v>
      </c>
      <c r="H157" s="27" t="s">
        <v>661</v>
      </c>
      <c r="I157" s="27" t="str">
        <f>IFERROR(__xludf.DUMMYFUNCTION("IF(A157="""","""",
TEXTJOIN(""-"",TRUE,
IFERROR(
  INDEX(FILTER(CFG_CODES!C:C, CFG_CODES!A:A=""CATEGORY"", UPPER(CFG_CODES!B:B)=UPPER(B157))),
  LEFT(UPPER(B157),3)
),
IFERROR(
  INDEX(FILTER(CFG_CODES!C:C, CFG_CODES!A:A=""MATERIAL"", UPPER(CFG_CODES!B:B)"&amp;"=UPPER(C157))),
  LEFT(UPPER(C157),3)
),
TEXT(ROW()-1,""000"")
))"),"L-BOP-156")</f>
        <v>L-BOP-156</v>
      </c>
      <c r="J157" s="27" t="s">
        <v>1688</v>
      </c>
      <c r="K157" s="39">
        <v>0.030927835051546393</v>
      </c>
      <c r="L157" s="39">
        <v>2.0</v>
      </c>
      <c r="M157" s="39">
        <v>2.0</v>
      </c>
      <c r="N157" s="39">
        <v>1.0</v>
      </c>
      <c r="O157" s="27">
        <v>0.12371134020618557</v>
      </c>
      <c r="P157" s="27"/>
      <c r="Q157" s="80">
        <v>0.0</v>
      </c>
      <c r="R157" s="81" t="s">
        <v>1689</v>
      </c>
      <c r="S157" s="81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</row>
    <row r="158" ht="15.0" customHeight="1">
      <c r="A158" s="150" t="s">
        <v>849</v>
      </c>
      <c r="B158" s="66" t="s">
        <v>1844</v>
      </c>
      <c r="C158" s="129" t="s">
        <v>1846</v>
      </c>
      <c r="D158" s="129" t="s">
        <v>1870</v>
      </c>
      <c r="E158" s="27" t="s">
        <v>1566</v>
      </c>
      <c r="F158" s="27" t="s">
        <v>1566</v>
      </c>
      <c r="G158" s="39" t="s">
        <v>1808</v>
      </c>
      <c r="H158" s="27" t="s">
        <v>661</v>
      </c>
      <c r="I158" s="27" t="str">
        <f>IFERROR(__xludf.DUMMYFUNCTION("IF(A158="""","""",
TEXTJOIN(""-"",TRUE,
IFERROR(
  INDEX(FILTER(CFG_CODES!C:C, CFG_CODES!A:A=""CATEGORY"", UPPER(CFG_CODES!B:B)=UPPER(B158))),
  LEFT(UPPER(B158),3)
),
IFERROR(
  INDEX(FILTER(CFG_CODES!C:C, CFG_CODES!A:A=""MATERIAL"", UPPER(CFG_CODES!B:B)"&amp;"=UPPER(C158))),
  LEFT(UPPER(C158),3)
),
TEXT(ROW()-1,""000"")
))"),"L-BOP-157")</f>
        <v>L-BOP-157</v>
      </c>
      <c r="J158" s="27" t="s">
        <v>1688</v>
      </c>
      <c r="K158" s="39">
        <v>0.041237113402061855</v>
      </c>
      <c r="L158" s="39">
        <v>2.0</v>
      </c>
      <c r="M158" s="39">
        <v>2.0</v>
      </c>
      <c r="N158" s="39">
        <v>1.0</v>
      </c>
      <c r="O158" s="27">
        <v>0.16494845360824742</v>
      </c>
      <c r="P158" s="27"/>
      <c r="Q158" s="80">
        <v>24.0</v>
      </c>
      <c r="R158" s="81" t="s">
        <v>1689</v>
      </c>
      <c r="S158" s="81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</row>
    <row r="159" ht="15.0" customHeight="1">
      <c r="A159" s="150" t="s">
        <v>859</v>
      </c>
      <c r="B159" s="66" t="s">
        <v>1844</v>
      </c>
      <c r="C159" s="148" t="s">
        <v>1846</v>
      </c>
      <c r="D159" s="148" t="s">
        <v>1871</v>
      </c>
      <c r="E159" s="27" t="s">
        <v>1566</v>
      </c>
      <c r="F159" s="27" t="s">
        <v>1566</v>
      </c>
      <c r="G159" s="27" t="s">
        <v>1808</v>
      </c>
      <c r="H159" s="27" t="s">
        <v>661</v>
      </c>
      <c r="I159" s="27" t="str">
        <f>IFERROR(__xludf.DUMMYFUNCTION("IF(A159="""","""",
TEXTJOIN(""-"",TRUE,
IFERROR(
  INDEX(FILTER(CFG_CODES!C:C, CFG_CODES!A:A=""CATEGORY"", UPPER(CFG_CODES!B:B)=UPPER(B159))),
  LEFT(UPPER(B159),3)
),
IFERROR(
  INDEX(FILTER(CFG_CODES!C:C, CFG_CODES!A:A=""MATERIAL"", UPPER(CFG_CODES!B:B)"&amp;"=UPPER(C159))),
  LEFT(UPPER(C159),3)
),
TEXT(ROW()-1,""000"")
))"),"L-BOP-158")</f>
        <v>L-BOP-158</v>
      </c>
      <c r="J159" s="27" t="s">
        <v>1688</v>
      </c>
      <c r="K159" s="39">
        <v>0.020618556701030927</v>
      </c>
      <c r="L159" s="39">
        <v>2.0</v>
      </c>
      <c r="M159" s="39">
        <v>2.0</v>
      </c>
      <c r="N159" s="39">
        <v>1.0</v>
      </c>
      <c r="O159" s="27">
        <v>0.08247422680412371</v>
      </c>
      <c r="P159" s="27"/>
      <c r="Q159" s="80">
        <v>49.0</v>
      </c>
      <c r="R159" s="81" t="s">
        <v>1689</v>
      </c>
      <c r="S159" s="81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</row>
    <row r="160" ht="15.0" customHeight="1">
      <c r="A160" s="144" t="s">
        <v>866</v>
      </c>
      <c r="B160" s="66" t="s">
        <v>1844</v>
      </c>
      <c r="C160" s="129" t="s">
        <v>1872</v>
      </c>
      <c r="D160" s="53" t="s">
        <v>1566</v>
      </c>
      <c r="E160" s="27" t="s">
        <v>1566</v>
      </c>
      <c r="F160" s="27" t="s">
        <v>1566</v>
      </c>
      <c r="G160" s="27" t="s">
        <v>1566</v>
      </c>
      <c r="H160" s="27" t="s">
        <v>661</v>
      </c>
      <c r="I160" s="27" t="str">
        <f>IFERROR(__xludf.DUMMYFUNCTION("IF(A160="""","""",
TEXTJOIN(""-"",TRUE,
IFERROR(
  INDEX(FILTER(CFG_CODES!C:C, CFG_CODES!A:A=""CATEGORY"", UPPER(CFG_CODES!B:B)=UPPER(B160))),
  LEFT(UPPER(B160),3)
),
IFERROR(
  INDEX(FILTER(CFG_CODES!C:C, CFG_CODES!A:A=""MATERIAL"", UPPER(CFG_CODES!B:B)"&amp;"=UPPER(C160))),
  LEFT(UPPER(C160),3)
),
TEXT(ROW()-1,""000"")
))"),"L-POL-159")</f>
        <v>L-POL-159</v>
      </c>
      <c r="J160" s="27" t="s">
        <v>1688</v>
      </c>
      <c r="K160" s="39">
        <v>0.0</v>
      </c>
      <c r="L160" s="39">
        <v>2.0</v>
      </c>
      <c r="M160" s="39">
        <v>0.2</v>
      </c>
      <c r="N160" s="39">
        <v>1.0</v>
      </c>
      <c r="O160" s="27" t="s">
        <v>1333</v>
      </c>
      <c r="P160" s="27"/>
      <c r="Q160" s="81"/>
      <c r="R160" s="81" t="s">
        <v>1689</v>
      </c>
      <c r="S160" s="81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</row>
    <row r="161" ht="15.0" customHeight="1">
      <c r="A161" s="137" t="s">
        <v>644</v>
      </c>
      <c r="B161" s="66" t="s">
        <v>1821</v>
      </c>
      <c r="C161" s="163" t="s">
        <v>1873</v>
      </c>
      <c r="D161" s="135" t="s">
        <v>1566</v>
      </c>
      <c r="E161" s="27" t="s">
        <v>1566</v>
      </c>
      <c r="F161" s="27" t="s">
        <v>1566</v>
      </c>
      <c r="G161" s="27" t="s">
        <v>1566</v>
      </c>
      <c r="H161" s="27" t="s">
        <v>290</v>
      </c>
      <c r="I161" s="27" t="str">
        <f>IFERROR(__xludf.DUMMYFUNCTION("IF(A161="""","""",
TEXTJOIN(""-"",TRUE,
IFERROR(
  INDEX(FILTER(CFG_CODES!C:C, CFG_CODES!A:A=""CATEGORY"", UPPER(CFG_CODES!B:B)=UPPER(B161))),
  LEFT(UPPER(B161),3)
),
IFERROR(
  INDEX(FILTER(CFG_CODES!C:C, CFG_CODES!A:A=""MATERIAL"", UPPER(CFG_CODES!B:B)"&amp;"=UPPER(C161))),
  LEFT(UPPER(C161),3)
),
TEXT(ROW()-1,""000"")
))"),"A-GLU-160")</f>
        <v>A-GLU-160</v>
      </c>
      <c r="J161" s="27" t="s">
        <v>1688</v>
      </c>
      <c r="K161" s="39">
        <v>0.13402061855670103</v>
      </c>
      <c r="L161" s="39">
        <v>2.0</v>
      </c>
      <c r="M161" s="39">
        <v>0.2</v>
      </c>
      <c r="N161" s="39">
        <v>10.0</v>
      </c>
      <c r="O161" s="27">
        <v>0.053608247422680416</v>
      </c>
      <c r="P161" s="27"/>
      <c r="Q161" s="80">
        <v>67.0</v>
      </c>
      <c r="R161" s="81" t="s">
        <v>1688</v>
      </c>
      <c r="S161" s="81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</row>
    <row r="162" ht="15.0" customHeight="1">
      <c r="A162" s="137" t="s">
        <v>1875</v>
      </c>
      <c r="B162" s="66" t="s">
        <v>1844</v>
      </c>
      <c r="C162" s="129" t="s">
        <v>1872</v>
      </c>
      <c r="D162" s="53" t="s">
        <v>1566</v>
      </c>
      <c r="E162" s="27" t="s">
        <v>1566</v>
      </c>
      <c r="F162" s="27" t="s">
        <v>1876</v>
      </c>
      <c r="G162" s="27" t="s">
        <v>1566</v>
      </c>
      <c r="H162" s="27" t="s">
        <v>661</v>
      </c>
      <c r="I162" s="27" t="str">
        <f>IFERROR(__xludf.DUMMYFUNCTION("IF(A162="""","""",
TEXTJOIN(""-"",TRUE,
IFERROR(
  INDEX(FILTER(CFG_CODES!C:C, CFG_CODES!A:A=""CATEGORY"", UPPER(CFG_CODES!B:B)=UPPER(B162))),
  LEFT(UPPER(B162),3)
),
IFERROR(
  INDEX(FILTER(CFG_CODES!C:C, CFG_CODES!A:A=""MATERIAL"", UPPER(CFG_CODES!B:B)"&amp;"=UPPER(C162))),
  LEFT(UPPER(C162),3)
),
TEXT(ROW()-1,""000"")
))"),"L-POL-161")</f>
        <v>L-POL-161</v>
      </c>
      <c r="J162" s="27" t="s">
        <v>1688</v>
      </c>
      <c r="K162" s="39">
        <v>0.010309278350515464</v>
      </c>
      <c r="L162" s="39">
        <v>2.0</v>
      </c>
      <c r="M162" s="39">
        <v>0.2</v>
      </c>
      <c r="N162" s="39">
        <v>1.0</v>
      </c>
      <c r="O162" s="27">
        <v>0.004123711340206186</v>
      </c>
      <c r="P162" s="27"/>
      <c r="Q162" s="80">
        <v>0.0</v>
      </c>
      <c r="R162" s="81" t="s">
        <v>1689</v>
      </c>
      <c r="S162" s="81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</row>
    <row r="163" ht="15.0" customHeight="1">
      <c r="A163" s="137" t="s">
        <v>1878</v>
      </c>
      <c r="B163" s="66" t="s">
        <v>1833</v>
      </c>
      <c r="C163" s="148" t="s">
        <v>1833</v>
      </c>
      <c r="D163" s="135" t="s">
        <v>1566</v>
      </c>
      <c r="E163" s="27" t="s">
        <v>1566</v>
      </c>
      <c r="F163" s="27" t="s">
        <v>1566</v>
      </c>
      <c r="G163" s="27" t="s">
        <v>1566</v>
      </c>
      <c r="H163" s="27" t="s">
        <v>290</v>
      </c>
      <c r="I163" s="27" t="str">
        <f>IFERROR(__xludf.DUMMYFUNCTION("IF(A163="""","""",
TEXTJOIN(""-"",TRUE,
IFERROR(
  INDEX(FILTER(CFG_CODES!C:C, CFG_CODES!A:A=""CATEGORY"", UPPER(CFG_CODES!B:B)=UPPER(B163))),
  LEFT(UPPER(B163),3)
),
IFERROR(
  INDEX(FILTER(CFG_CODES!C:C, CFG_CODES!A:A=""MATERIAL"", UPPER(CFG_CODES!B:B)"&amp;"=UPPER(C163))),
  LEFT(UPPER(C163),3)
),
TEXT(ROW()-1,""000"")
))"),"POW-POW-162")</f>
        <v>POW-POW-162</v>
      </c>
      <c r="J163" s="27" t="s">
        <v>1688</v>
      </c>
      <c r="K163" s="39">
        <v>0.0</v>
      </c>
      <c r="L163" s="39">
        <v>2.0</v>
      </c>
      <c r="M163" s="39">
        <v>0.2</v>
      </c>
      <c r="N163" s="39">
        <v>1.0</v>
      </c>
      <c r="O163" s="27" t="s">
        <v>1333</v>
      </c>
      <c r="P163" s="27"/>
      <c r="Q163" s="81"/>
      <c r="R163" s="81" t="s">
        <v>1688</v>
      </c>
      <c r="S163" s="81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</row>
    <row r="164" ht="15.0" customHeight="1">
      <c r="A164" s="137" t="s">
        <v>878</v>
      </c>
      <c r="B164" s="66" t="s">
        <v>1830</v>
      </c>
      <c r="C164" s="164" t="s">
        <v>1879</v>
      </c>
      <c r="D164" s="53" t="s">
        <v>1566</v>
      </c>
      <c r="E164" s="27" t="s">
        <v>1566</v>
      </c>
      <c r="F164" s="27" t="s">
        <v>1566</v>
      </c>
      <c r="G164" s="27" t="s">
        <v>1566</v>
      </c>
      <c r="H164" s="27" t="s">
        <v>643</v>
      </c>
      <c r="I164" s="27" t="str">
        <f>IFERROR(__xludf.DUMMYFUNCTION("IF(A164="""","""",
TEXTJOIN(""-"",TRUE,
IFERROR(
  INDEX(FILTER(CFG_CODES!C:C, CFG_CODES!A:A=""CATEGORY"", UPPER(CFG_CODES!B:B)=UPPER(B164))),
  LEFT(UPPER(B164),3)
),
IFERROR(
  INDEX(FILTER(CFG_CODES!C:C, CFG_CODES!A:A=""MATERIAL"", UPPER(CFG_CODES!B:B)"&amp;"=UPPER(C164))),
  LEFT(UPPER(C164),3)
),
TEXT(ROW()-1,""000"")
))"),"M-RUB-163")</f>
        <v>M-RUB-163</v>
      </c>
      <c r="J164" s="27" t="s">
        <v>1688</v>
      </c>
      <c r="K164" s="39">
        <v>1.4639175257731958</v>
      </c>
      <c r="L164" s="39">
        <v>2.0</v>
      </c>
      <c r="M164" s="39">
        <v>0.2</v>
      </c>
      <c r="N164" s="39">
        <v>100.0</v>
      </c>
      <c r="O164" s="27">
        <v>0.5855670103092784</v>
      </c>
      <c r="P164" s="27"/>
      <c r="Q164" s="80">
        <v>26.0</v>
      </c>
      <c r="R164" s="81" t="s">
        <v>1688</v>
      </c>
      <c r="S164" s="81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</row>
    <row r="165" ht="15.0" customHeight="1">
      <c r="A165" s="137" t="s">
        <v>888</v>
      </c>
      <c r="B165" s="66" t="s">
        <v>1830</v>
      </c>
      <c r="C165" s="146" t="s">
        <v>1830</v>
      </c>
      <c r="D165" s="135" t="s">
        <v>1566</v>
      </c>
      <c r="E165" s="27" t="s">
        <v>1566</v>
      </c>
      <c r="F165" s="27" t="s">
        <v>1566</v>
      </c>
      <c r="G165" s="27" t="s">
        <v>1566</v>
      </c>
      <c r="H165" s="27" t="s">
        <v>290</v>
      </c>
      <c r="I165" s="27" t="str">
        <f>IFERROR(__xludf.DUMMYFUNCTION("IF(A165="""","""",
TEXTJOIN(""-"",TRUE,
IFERROR(
  INDEX(FILTER(CFG_CODES!C:C, CFG_CODES!A:A=""CATEGORY"", UPPER(CFG_CODES!B:B)=UPPER(B165))),
  LEFT(UPPER(B165),3)
),
IFERROR(
  INDEX(FILTER(CFG_CODES!C:C, CFG_CODES!A:A=""MATERIAL"", UPPER(CFG_CODES!B:B)"&amp;"=UPPER(C165))),
  LEFT(UPPER(C165),3)
),
TEXT(ROW()-1,""000"")
))"),"M-MIS-164")</f>
        <v>M-MIS-164</v>
      </c>
      <c r="J165" s="27" t="s">
        <v>1688</v>
      </c>
      <c r="K165" s="39">
        <v>0.0</v>
      </c>
      <c r="L165" s="39">
        <v>2.0</v>
      </c>
      <c r="M165" s="39">
        <v>0.2</v>
      </c>
      <c r="N165" s="39">
        <v>2.0</v>
      </c>
      <c r="O165" s="27" t="s">
        <v>1333</v>
      </c>
      <c r="P165" s="27"/>
      <c r="Q165" s="81"/>
      <c r="R165" s="81" t="s">
        <v>1688</v>
      </c>
      <c r="S165" s="81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</row>
    <row r="166" ht="15.0" customHeight="1">
      <c r="A166" s="137" t="s">
        <v>302</v>
      </c>
      <c r="B166" s="66" t="s">
        <v>1830</v>
      </c>
      <c r="C166" s="164" t="s">
        <v>302</v>
      </c>
      <c r="D166" s="53" t="s">
        <v>1566</v>
      </c>
      <c r="E166" s="27" t="s">
        <v>1566</v>
      </c>
      <c r="F166" s="27" t="s">
        <v>1566</v>
      </c>
      <c r="G166" s="27" t="s">
        <v>1566</v>
      </c>
      <c r="H166" s="27" t="s">
        <v>661</v>
      </c>
      <c r="I166" s="27" t="str">
        <f>IFERROR(__xludf.DUMMYFUNCTION("IF(A166="""","""",
TEXTJOIN(""-"",TRUE,
IFERROR(
  INDEX(FILTER(CFG_CODES!C:C, CFG_CODES!A:A=""CATEGORY"", UPPER(CFG_CODES!B:B)=UPPER(B166))),
  LEFT(UPPER(B166),3)
),
IFERROR(
  INDEX(FILTER(CFG_CODES!C:C, CFG_CODES!A:A=""MATERIAL"", UPPER(CFG_CODES!B:B)"&amp;"=UPPER(C166))),
  LEFT(UPPER(C166),3)
),
TEXT(ROW()-1,""000"")
))"),"M-DHO-165")</f>
        <v>M-DHO-165</v>
      </c>
      <c r="J166" s="27" t="s">
        <v>1688</v>
      </c>
      <c r="K166" s="39">
        <v>21.587628865979383</v>
      </c>
      <c r="L166" s="39">
        <v>1.0</v>
      </c>
      <c r="M166" s="39">
        <v>0.2</v>
      </c>
      <c r="N166" s="39">
        <v>200.0</v>
      </c>
      <c r="O166" s="27">
        <v>4.317525773195877</v>
      </c>
      <c r="P166" s="27"/>
      <c r="Q166" s="80">
        <v>24.0</v>
      </c>
      <c r="R166" s="81" t="s">
        <v>1688</v>
      </c>
      <c r="S166" s="81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</row>
    <row r="167" ht="15.0" customHeight="1">
      <c r="A167" s="137" t="s">
        <v>1881</v>
      </c>
      <c r="B167" s="66" t="s">
        <v>1830</v>
      </c>
      <c r="C167" s="163" t="s">
        <v>1882</v>
      </c>
      <c r="D167" s="135" t="s">
        <v>1566</v>
      </c>
      <c r="E167" s="27" t="s">
        <v>1566</v>
      </c>
      <c r="F167" s="27" t="s">
        <v>1693</v>
      </c>
      <c r="G167" s="27" t="s">
        <v>1566</v>
      </c>
      <c r="H167" s="27" t="s">
        <v>661</v>
      </c>
      <c r="I167" s="27" t="str">
        <f>IFERROR(__xludf.DUMMYFUNCTION("IF(A167="""","""",
TEXTJOIN(""-"",TRUE,
IFERROR(
  INDEX(FILTER(CFG_CODES!C:C, CFG_CODES!A:A=""CATEGORY"", UPPER(CFG_CODES!B:B)=UPPER(B167))),
  LEFT(UPPER(B167),3)
),
IFERROR(
  INDEX(FILTER(CFG_CODES!C:C, CFG_CODES!A:A=""MATERIAL"", UPPER(CFG_CODES!B:B)"&amp;"=UPPER(C167))),
  LEFT(UPPER(C167),3)
),
TEXT(ROW()-1,""000"")
))"),"M-DOR-166")</f>
        <v>M-DOR-166</v>
      </c>
      <c r="J167" s="27" t="s">
        <v>1688</v>
      </c>
      <c r="K167" s="39">
        <v>0.0</v>
      </c>
      <c r="L167" s="39">
        <v>2.0</v>
      </c>
      <c r="M167" s="39">
        <v>1.0</v>
      </c>
      <c r="N167" s="39">
        <v>50.0</v>
      </c>
      <c r="O167" s="27" t="s">
        <v>1333</v>
      </c>
      <c r="P167" s="27"/>
      <c r="Q167" s="81"/>
      <c r="R167" s="81" t="s">
        <v>1689</v>
      </c>
      <c r="S167" s="81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</row>
    <row r="168" ht="15.0" customHeight="1">
      <c r="A168" s="137" t="s">
        <v>1884</v>
      </c>
      <c r="B168" s="66" t="s">
        <v>1830</v>
      </c>
      <c r="C168" s="164" t="s">
        <v>1882</v>
      </c>
      <c r="D168" s="53" t="s">
        <v>1566</v>
      </c>
      <c r="E168" s="27" t="s">
        <v>1566</v>
      </c>
      <c r="F168" s="27" t="s">
        <v>1885</v>
      </c>
      <c r="G168" s="27" t="s">
        <v>1566</v>
      </c>
      <c r="H168" s="27" t="s">
        <v>661</v>
      </c>
      <c r="I168" s="27" t="str">
        <f>IFERROR(__xludf.DUMMYFUNCTION("IF(A168="""","""",
TEXTJOIN(""-"",TRUE,
IFERROR(
  INDEX(FILTER(CFG_CODES!C:C, CFG_CODES!A:A=""CATEGORY"", UPPER(CFG_CODES!B:B)=UPPER(B168))),
  LEFT(UPPER(B168),3)
),
IFERROR(
  INDEX(FILTER(CFG_CODES!C:C, CFG_CODES!A:A=""MATERIAL"", UPPER(CFG_CODES!B:B)"&amp;"=UPPER(C168))),
  LEFT(UPPER(C168),3)
),
TEXT(ROW()-1,""000"")
))"),"M-DOR-167")</f>
        <v>M-DOR-167</v>
      </c>
      <c r="J168" s="27" t="s">
        <v>1688</v>
      </c>
      <c r="K168" s="39">
        <v>0.0</v>
      </c>
      <c r="L168" s="39">
        <v>2.0</v>
      </c>
      <c r="M168" s="39">
        <v>0.2</v>
      </c>
      <c r="N168" s="39">
        <v>50.0</v>
      </c>
      <c r="O168" s="27" t="s">
        <v>1333</v>
      </c>
      <c r="P168" s="27"/>
      <c r="Q168" s="81"/>
      <c r="R168" s="81" t="s">
        <v>1689</v>
      </c>
      <c r="S168" s="81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</row>
    <row r="169" ht="15.0" customHeight="1">
      <c r="A169" s="137" t="s">
        <v>1887</v>
      </c>
      <c r="B169" s="66" t="s">
        <v>1830</v>
      </c>
      <c r="C169" s="163" t="s">
        <v>1882</v>
      </c>
      <c r="D169" s="135" t="s">
        <v>1566</v>
      </c>
      <c r="E169" s="27" t="s">
        <v>1566</v>
      </c>
      <c r="F169" s="27" t="s">
        <v>1566</v>
      </c>
      <c r="G169" s="27" t="s">
        <v>1566</v>
      </c>
      <c r="H169" s="27" t="s">
        <v>661</v>
      </c>
      <c r="I169" s="27" t="str">
        <f>IFERROR(__xludf.DUMMYFUNCTION("IF(A169="""","""",
TEXTJOIN(""-"",TRUE,
IFERROR(
  INDEX(FILTER(CFG_CODES!C:C, CFG_CODES!A:A=""CATEGORY"", UPPER(CFG_CODES!B:B)=UPPER(B169))),
  LEFT(UPPER(B169),3)
),
IFERROR(
  INDEX(FILTER(CFG_CODES!C:C, CFG_CODES!A:A=""MATERIAL"", UPPER(CFG_CODES!B:B)"&amp;"=UPPER(C169))),
  LEFT(UPPER(C169),3)
),
TEXT(ROW()-1,""000"")
))"),"M-DOR-168")</f>
        <v>M-DOR-168</v>
      </c>
      <c r="J169" s="27" t="s">
        <v>1688</v>
      </c>
      <c r="K169" s="39">
        <v>0.0</v>
      </c>
      <c r="L169" s="39">
        <v>2.0</v>
      </c>
      <c r="M169" s="39">
        <v>0.2</v>
      </c>
      <c r="N169" s="39">
        <v>50.0</v>
      </c>
      <c r="O169" s="27" t="s">
        <v>1333</v>
      </c>
      <c r="P169" s="27"/>
      <c r="Q169" s="81"/>
      <c r="R169" s="81" t="s">
        <v>1689</v>
      </c>
      <c r="S169" s="81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</row>
    <row r="170" ht="15.0" customHeight="1">
      <c r="A170" s="137" t="s">
        <v>902</v>
      </c>
      <c r="B170" s="66" t="s">
        <v>1830</v>
      </c>
      <c r="C170" s="164" t="s">
        <v>1888</v>
      </c>
      <c r="D170" s="53" t="s">
        <v>1566</v>
      </c>
      <c r="E170" s="27" t="s">
        <v>1566</v>
      </c>
      <c r="F170" s="27" t="s">
        <v>1566</v>
      </c>
      <c r="G170" s="27" t="s">
        <v>1566</v>
      </c>
      <c r="H170" s="27" t="s">
        <v>661</v>
      </c>
      <c r="I170" s="27" t="str">
        <f>IFERROR(__xludf.DUMMYFUNCTION("IF(A170="""","""",
TEXTJOIN(""-"",TRUE,
IFERROR(
  INDEX(FILTER(CFG_CODES!C:C, CFG_CODES!A:A=""CATEGORY"", UPPER(CFG_CODES!B:B)=UPPER(B170))),
  LEFT(UPPER(B170),3)
),
IFERROR(
  INDEX(FILTER(CFG_CODES!C:C, CFG_CODES!A:A=""MATERIAL"", UPPER(CFG_CODES!B:B)"&amp;"=UPPER(C170))),
  LEFT(UPPER(C170),3)
),
TEXT(ROW()-1,""000"")
))"),"M-CUT-169")</f>
        <v>M-CUT-169</v>
      </c>
      <c r="J170" s="27" t="s">
        <v>1688</v>
      </c>
      <c r="K170" s="39">
        <v>0.010309278350515464</v>
      </c>
      <c r="L170" s="39">
        <v>2.0</v>
      </c>
      <c r="M170" s="39">
        <v>0.2</v>
      </c>
      <c r="N170" s="39">
        <v>20.0</v>
      </c>
      <c r="O170" s="27">
        <v>0.004123711340206186</v>
      </c>
      <c r="P170" s="27"/>
      <c r="Q170" s="80">
        <v>873.0</v>
      </c>
      <c r="R170" s="81" t="s">
        <v>1688</v>
      </c>
      <c r="S170" s="81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</row>
    <row r="171" ht="15.0" customHeight="1">
      <c r="A171" s="137" t="s">
        <v>910</v>
      </c>
      <c r="B171" s="66" t="s">
        <v>1830</v>
      </c>
      <c r="C171" s="163" t="s">
        <v>1830</v>
      </c>
      <c r="D171" s="135" t="s">
        <v>1566</v>
      </c>
      <c r="E171" s="27" t="s">
        <v>1566</v>
      </c>
      <c r="F171" s="27" t="s">
        <v>1566</v>
      </c>
      <c r="G171" s="27" t="s">
        <v>1566</v>
      </c>
      <c r="H171" s="27" t="s">
        <v>643</v>
      </c>
      <c r="I171" s="27" t="str">
        <f>IFERROR(__xludf.DUMMYFUNCTION("IF(A171="""","""",
TEXTJOIN(""-"",TRUE,
IFERROR(
  INDEX(FILTER(CFG_CODES!C:C, CFG_CODES!A:A=""CATEGORY"", UPPER(CFG_CODES!B:B)=UPPER(B171))),
  LEFT(UPPER(B171),3)
),
IFERROR(
  INDEX(FILTER(CFG_CODES!C:C, CFG_CODES!A:A=""MATERIAL"", UPPER(CFG_CODES!B:B)"&amp;"=UPPER(C171))),
  LEFT(UPPER(C171),3)
),
TEXT(ROW()-1,""000"")
))"),"M-MIS-170")</f>
        <v>M-MIS-170</v>
      </c>
      <c r="J171" s="27" t="s">
        <v>1688</v>
      </c>
      <c r="K171" s="39">
        <v>0.0</v>
      </c>
      <c r="L171" s="39">
        <v>2.0</v>
      </c>
      <c r="M171" s="39">
        <v>0.2</v>
      </c>
      <c r="N171" s="39">
        <v>1.0</v>
      </c>
      <c r="O171" s="27" t="s">
        <v>1333</v>
      </c>
      <c r="P171" s="27"/>
      <c r="Q171" s="81"/>
      <c r="R171" s="81" t="s">
        <v>1689</v>
      </c>
      <c r="S171" s="81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</row>
    <row r="172" ht="15.0" customHeight="1">
      <c r="A172" s="137" t="s">
        <v>918</v>
      </c>
      <c r="B172" s="66" t="s">
        <v>1807</v>
      </c>
      <c r="C172" s="164" t="s">
        <v>1889</v>
      </c>
      <c r="D172" s="53" t="s">
        <v>1566</v>
      </c>
      <c r="E172" s="27" t="s">
        <v>1566</v>
      </c>
      <c r="F172" s="27" t="s">
        <v>1566</v>
      </c>
      <c r="G172" s="27" t="s">
        <v>1890</v>
      </c>
      <c r="H172" s="27" t="s">
        <v>290</v>
      </c>
      <c r="I172" s="27" t="str">
        <f>IFERROR(__xludf.DUMMYFUNCTION("IF(A172="""","""",
TEXTJOIN(""-"",TRUE,
IFERROR(
  INDEX(FILTER(CFG_CODES!C:C, CFG_CODES!A:A=""CATEGORY"", UPPER(CFG_CODES!B:B)=UPPER(B172))),
  LEFT(UPPER(B172),3)
),
IFERROR(
  INDEX(FILTER(CFG_CODES!C:C, CFG_CODES!A:A=""MATERIAL"", UPPER(CFG_CODES!B:B)"&amp;"=UPPER(C172))),
  LEFT(UPPER(C172),3)
),
TEXT(ROW()-1,""000"")
))"),"C-FOI-171")</f>
        <v>C-FOI-171</v>
      </c>
      <c r="J172" s="27" t="s">
        <v>1688</v>
      </c>
      <c r="K172" s="39">
        <v>0.0</v>
      </c>
      <c r="L172" s="39">
        <v>2.0</v>
      </c>
      <c r="M172" s="39">
        <v>0.2</v>
      </c>
      <c r="N172" s="39">
        <v>2.0</v>
      </c>
      <c r="O172" s="27" t="s">
        <v>1333</v>
      </c>
      <c r="P172" s="27"/>
      <c r="Q172" s="81"/>
      <c r="R172" s="81" t="s">
        <v>1689</v>
      </c>
      <c r="S172" s="81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</row>
    <row r="173" ht="15.0" customHeight="1">
      <c r="A173" s="137" t="s">
        <v>925</v>
      </c>
      <c r="B173" s="66" t="s">
        <v>1807</v>
      </c>
      <c r="C173" s="163" t="s">
        <v>1889</v>
      </c>
      <c r="D173" s="135" t="s">
        <v>1566</v>
      </c>
      <c r="E173" s="27" t="s">
        <v>1566</v>
      </c>
      <c r="F173" s="27" t="s">
        <v>1566</v>
      </c>
      <c r="G173" s="27" t="s">
        <v>1891</v>
      </c>
      <c r="H173" s="27" t="s">
        <v>290</v>
      </c>
      <c r="I173" s="27" t="str">
        <f>IFERROR(__xludf.DUMMYFUNCTION("IF(A173="""","""",
TEXTJOIN(""-"",TRUE,
IFERROR(
  INDEX(FILTER(CFG_CODES!C:C, CFG_CODES!A:A=""CATEGORY"", UPPER(CFG_CODES!B:B)=UPPER(B173))),
  LEFT(UPPER(B173),3)
),
IFERROR(
  INDEX(FILTER(CFG_CODES!C:C, CFG_CODES!A:A=""MATERIAL"", UPPER(CFG_CODES!B:B)"&amp;"=UPPER(C173))),
  LEFT(UPPER(C173),3)
),
TEXT(ROW()-1,""000"")
))"),"C-FOI-172")</f>
        <v>C-FOI-172</v>
      </c>
      <c r="J173" s="27" t="s">
        <v>1688</v>
      </c>
      <c r="K173" s="39">
        <v>0.0</v>
      </c>
      <c r="L173" s="39">
        <v>2.0</v>
      </c>
      <c r="M173" s="39">
        <v>0.2</v>
      </c>
      <c r="N173" s="39">
        <v>1.0</v>
      </c>
      <c r="O173" s="27" t="s">
        <v>1333</v>
      </c>
      <c r="P173" s="27"/>
      <c r="Q173" s="81"/>
      <c r="R173" s="81" t="s">
        <v>1688</v>
      </c>
      <c r="S173" s="81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</row>
    <row r="174" ht="15.0" customHeight="1">
      <c r="A174" s="148" t="s">
        <v>933</v>
      </c>
      <c r="B174" s="39" t="s">
        <v>1225</v>
      </c>
      <c r="C174" s="147" t="s">
        <v>1562</v>
      </c>
      <c r="D174" s="147" t="s">
        <v>1600</v>
      </c>
      <c r="E174" s="39" t="s">
        <v>1572</v>
      </c>
      <c r="F174" s="39" t="s">
        <v>1571</v>
      </c>
      <c r="G174" s="27" t="s">
        <v>1566</v>
      </c>
      <c r="H174" s="39" t="s">
        <v>22</v>
      </c>
      <c r="I174" s="27" t="str">
        <f>IFERROR(__xludf.DUMMYFUNCTION("IF(A174="""","""",
TEXTJOIN(""-"",TRUE,
IFERROR(
  INDEX(FILTER(CFG_CODES!C:C, CFG_CODES!A:A=""CATEGORY"", UPPER(CFG_CODES!B:B)=UPPER(B174))),
  LEFT(UPPER(B174),3)
),
IFERROR(
  INDEX(FILTER(CFG_CODES!C:C, CFG_CODES!A:A=""MATERIAL"", UPPER(CFG_CODES!B:B)"&amp;"=UPPER(C174))),
  LEFT(UPPER(C174),3)
),
TEXT(ROW()-1,""000"")
))"),"P-SBS-173")</f>
        <v>P-SBS-173</v>
      </c>
      <c r="J174" s="39" t="s">
        <v>1688</v>
      </c>
      <c r="K174" s="39">
        <v>48.45360824742268</v>
      </c>
      <c r="L174" s="39">
        <v>2.0</v>
      </c>
      <c r="M174" s="39">
        <v>0.2</v>
      </c>
      <c r="N174" s="39">
        <v>100.0</v>
      </c>
      <c r="O174" s="27">
        <v>19.381443298969074</v>
      </c>
      <c r="P174" s="27"/>
      <c r="Q174" s="80">
        <v>0.0</v>
      </c>
      <c r="R174" s="81" t="s">
        <v>1689</v>
      </c>
      <c r="S174" s="81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</row>
    <row r="175" ht="15.0" customHeight="1">
      <c r="A175" s="148" t="s">
        <v>939</v>
      </c>
      <c r="B175" s="39" t="s">
        <v>1225</v>
      </c>
      <c r="C175" s="148" t="s">
        <v>1896</v>
      </c>
      <c r="D175" s="148" t="s">
        <v>1897</v>
      </c>
      <c r="E175" s="39" t="s">
        <v>1597</v>
      </c>
      <c r="F175" s="39" t="s">
        <v>1565</v>
      </c>
      <c r="G175" s="27" t="s">
        <v>1566</v>
      </c>
      <c r="H175" s="39" t="s">
        <v>22</v>
      </c>
      <c r="I175" s="27" t="str">
        <f>IFERROR(__xludf.DUMMYFUNCTION("IF(A175="""","""",
TEXTJOIN(""-"",TRUE,
IFERROR(
  INDEX(FILTER(CFG_CODES!C:C, CFG_CODES!A:A=""CATEGORY"", UPPER(CFG_CODES!B:B)=UPPER(B175))),
  LEFT(UPPER(B175),3)
),
IFERROR(
  INDEX(FILTER(CFG_CODES!C:C, CFG_CODES!A:A=""MATERIAL"", UPPER(CFG_CODES!B:B)"&amp;"=UPPER(C175))),
  LEFT(UPPER(C175),3)
),
TEXT(ROW()-1,""000"")
))"),"P-KRA-174")</f>
        <v>P-KRA-174</v>
      </c>
      <c r="J175" s="39" t="s">
        <v>1688</v>
      </c>
      <c r="K175" s="39">
        <v>57.371134020618555</v>
      </c>
      <c r="L175" s="39">
        <v>2.0</v>
      </c>
      <c r="M175" s="39">
        <v>0.2</v>
      </c>
      <c r="N175" s="39">
        <v>100.0</v>
      </c>
      <c r="O175" s="27">
        <v>22.948453608247423</v>
      </c>
      <c r="P175" s="27"/>
      <c r="Q175" s="80">
        <v>1.0</v>
      </c>
      <c r="R175" s="81" t="s">
        <v>1689</v>
      </c>
      <c r="S175" s="81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</row>
    <row r="176" ht="15.0" customHeight="1">
      <c r="A176" s="148" t="s">
        <v>915</v>
      </c>
      <c r="B176" s="39" t="s">
        <v>1225</v>
      </c>
      <c r="C176" s="129" t="s">
        <v>1562</v>
      </c>
      <c r="D176" s="129" t="s">
        <v>1633</v>
      </c>
      <c r="E176" s="39" t="s">
        <v>1564</v>
      </c>
      <c r="F176" s="39" t="s">
        <v>1571</v>
      </c>
      <c r="G176" s="27" t="s">
        <v>1566</v>
      </c>
      <c r="H176" s="39" t="s">
        <v>22</v>
      </c>
      <c r="I176" s="27" t="str">
        <f>IFERROR(__xludf.DUMMYFUNCTION("IF(A176="""","""",
TEXTJOIN(""-"",TRUE,
IFERROR(
  INDEX(FILTER(CFG_CODES!C:C, CFG_CODES!A:A=""CATEGORY"", UPPER(CFG_CODES!B:B)=UPPER(B176))),
  LEFT(UPPER(B176),3)
),
IFERROR(
  INDEX(FILTER(CFG_CODES!C:C, CFG_CODES!A:A=""MATERIAL"", UPPER(CFG_CODES!B:B)"&amp;"=UPPER(C176))),
  LEFT(UPPER(C176),3)
),
TEXT(ROW()-1,""000"")
))"),"P-SBS-175")</f>
        <v>P-SBS-175</v>
      </c>
      <c r="J176" s="39" t="s">
        <v>1688</v>
      </c>
      <c r="K176" s="39">
        <v>11.855670103092784</v>
      </c>
      <c r="L176" s="39">
        <v>2.0</v>
      </c>
      <c r="M176" s="39">
        <v>0.2</v>
      </c>
      <c r="N176" s="39">
        <v>100.0</v>
      </c>
      <c r="O176" s="27">
        <v>4.742268041237113</v>
      </c>
      <c r="P176" s="27"/>
      <c r="Q176" s="80">
        <v>30.0</v>
      </c>
      <c r="R176" s="81" t="s">
        <v>1689</v>
      </c>
      <c r="S176" s="81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</row>
    <row r="177" ht="15.0" customHeight="1">
      <c r="A177" s="148" t="s">
        <v>1783</v>
      </c>
      <c r="B177" s="39" t="s">
        <v>1225</v>
      </c>
      <c r="C177" s="148" t="s">
        <v>1640</v>
      </c>
      <c r="D177" s="148" t="s">
        <v>1576</v>
      </c>
      <c r="E177" s="39" t="s">
        <v>1572</v>
      </c>
      <c r="F177" s="27" t="s">
        <v>1566</v>
      </c>
      <c r="G177" s="27" t="s">
        <v>1566</v>
      </c>
      <c r="H177" s="39" t="s">
        <v>22</v>
      </c>
      <c r="I177" s="27" t="str">
        <f>IFERROR(__xludf.DUMMYFUNCTION("IF(A177="""","""",
TEXTJOIN(""-"",TRUE,
IFERROR(
  INDEX(FILTER(CFG_CODES!C:C, CFG_CODES!A:A=""CATEGORY"", UPPER(CFG_CODES!B:B)=UPPER(B177))),
  LEFT(UPPER(B177),3)
),
IFERROR(
  INDEX(FILTER(CFG_CODES!C:C, CFG_CODES!A:A=""MATERIAL"", UPPER(CFG_CODES!B:B)"&amp;"=UPPER(C177))),
  LEFT(UPPER(C177),3)
),
TEXT(ROW()-1,""000"")
))"),"P-ART-176")</f>
        <v>P-ART-176</v>
      </c>
      <c r="J177" s="39" t="s">
        <v>1688</v>
      </c>
      <c r="K177" s="39">
        <v>14.43298969072165</v>
      </c>
      <c r="L177" s="39">
        <v>2.0</v>
      </c>
      <c r="M177" s="39">
        <v>0.2</v>
      </c>
      <c r="N177" s="39">
        <v>100.0</v>
      </c>
      <c r="O177" s="27">
        <v>5.773195876288661</v>
      </c>
      <c r="P177" s="27"/>
      <c r="Q177" s="80">
        <v>0.0</v>
      </c>
      <c r="R177" s="81" t="s">
        <v>1689</v>
      </c>
      <c r="S177" s="81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</row>
    <row r="178" ht="15.0" customHeight="1">
      <c r="A178" s="148" t="s">
        <v>1784</v>
      </c>
      <c r="B178" s="39" t="s">
        <v>1225</v>
      </c>
      <c r="C178" s="129" t="s">
        <v>1640</v>
      </c>
      <c r="D178" s="129" t="s">
        <v>1647</v>
      </c>
      <c r="E178" s="39" t="s">
        <v>1662</v>
      </c>
      <c r="F178" s="27" t="s">
        <v>1566</v>
      </c>
      <c r="G178" s="27" t="s">
        <v>1566</v>
      </c>
      <c r="H178" s="39" t="s">
        <v>22</v>
      </c>
      <c r="I178" s="27" t="str">
        <f>IFERROR(__xludf.DUMMYFUNCTION("IF(A178="""","""",
TEXTJOIN(""-"",TRUE,
IFERROR(
  INDEX(FILTER(CFG_CODES!C:C, CFG_CODES!A:A=""CATEGORY"", UPPER(CFG_CODES!B:B)=UPPER(B178))),
  LEFT(UPPER(B178),3)
),
IFERROR(
  INDEX(FILTER(CFG_CODES!C:C, CFG_CODES!A:A=""MATERIAL"", UPPER(CFG_CODES!B:B)"&amp;"=UPPER(C178))),
  LEFT(UPPER(C178),3)
),
TEXT(ROW()-1,""000"")
))"),"P-ART-177")</f>
        <v>P-ART-177</v>
      </c>
      <c r="J178" s="39" t="s">
        <v>1688</v>
      </c>
      <c r="K178" s="39">
        <v>7.216494845360825</v>
      </c>
      <c r="L178" s="39">
        <v>2.0</v>
      </c>
      <c r="M178" s="39">
        <v>0.2</v>
      </c>
      <c r="N178" s="39">
        <v>100.0</v>
      </c>
      <c r="O178" s="27">
        <v>2.8865979381443303</v>
      </c>
      <c r="P178" s="27"/>
      <c r="Q178" s="80">
        <v>0.0</v>
      </c>
      <c r="R178" s="81" t="s">
        <v>1689</v>
      </c>
      <c r="S178" s="81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</row>
    <row r="179" ht="15.0" customHeight="1">
      <c r="A179" s="148" t="s">
        <v>1901</v>
      </c>
      <c r="B179" s="39" t="s">
        <v>1225</v>
      </c>
      <c r="C179" s="148" t="s">
        <v>1651</v>
      </c>
      <c r="D179" s="148" t="s">
        <v>1563</v>
      </c>
      <c r="E179" s="39" t="s">
        <v>1902</v>
      </c>
      <c r="F179" s="27" t="s">
        <v>1566</v>
      </c>
      <c r="G179" s="27" t="s">
        <v>1566</v>
      </c>
      <c r="H179" s="39" t="s">
        <v>22</v>
      </c>
      <c r="I179" s="27" t="str">
        <f>IFERROR(__xludf.DUMMYFUNCTION("IF(A179="""","""",
TEXTJOIN(""-"",TRUE,
IFERROR(
  INDEX(FILTER(CFG_CODES!C:C, CFG_CODES!A:A=""CATEGORY"", UPPER(CFG_CODES!B:B)=UPPER(B179))),
  LEFT(UPPER(B179),3)
),
IFERROR(
  INDEX(FILTER(CFG_CODES!C:C, CFG_CODES!A:A=""MATERIAL"", UPPER(CFG_CODES!B:B)"&amp;"=UPPER(C179))),
  LEFT(UPPER(C179),3)
),
TEXT(ROW()-1,""000"")
))"),"P-MAP-178")</f>
        <v>P-MAP-178</v>
      </c>
      <c r="J179" s="39" t="s">
        <v>1688</v>
      </c>
      <c r="K179" s="39">
        <v>46.391752577319586</v>
      </c>
      <c r="L179" s="39">
        <v>2.0</v>
      </c>
      <c r="M179" s="39">
        <v>0.2</v>
      </c>
      <c r="N179" s="39">
        <v>100.0</v>
      </c>
      <c r="O179" s="27">
        <v>18.556701030927837</v>
      </c>
      <c r="P179" s="27"/>
      <c r="Q179" s="80">
        <v>0.0</v>
      </c>
      <c r="R179" s="81" t="s">
        <v>1689</v>
      </c>
      <c r="S179" s="81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</row>
    <row r="180" ht="15.0" customHeight="1">
      <c r="A180" s="148" t="s">
        <v>946</v>
      </c>
      <c r="B180" s="39" t="s">
        <v>1812</v>
      </c>
      <c r="C180" s="129" t="s">
        <v>1815</v>
      </c>
      <c r="D180" s="53" t="s">
        <v>1566</v>
      </c>
      <c r="E180" s="27" t="s">
        <v>1566</v>
      </c>
      <c r="F180" s="27" t="s">
        <v>1566</v>
      </c>
      <c r="G180" s="39" t="s">
        <v>1903</v>
      </c>
      <c r="H180" s="39" t="s">
        <v>616</v>
      </c>
      <c r="I180" s="27" t="str">
        <f>IFERROR(__xludf.DUMMYFUNCTION("IF(A180="""","""",
TEXTJOIN(""-"",TRUE,
IFERROR(
  INDEX(FILTER(CFG_CODES!C:C, CFG_CODES!A:A=""CATEGORY"", UPPER(CFG_CODES!B:B)=UPPER(B180))),
  LEFT(UPPER(B180),3)
),
IFERROR(
  INDEX(FILTER(CFG_CODES!C:C, CFG_CODES!A:A=""MATERIAL"", UPPER(CFG_CODES!B:B)"&amp;"=UPPER(C180))),
  LEFT(UPPER(C180),3)
),
TEXT(ROW()-1,""000"")
))"),"CH-SOL-179")</f>
        <v>CH-SOL-179</v>
      </c>
      <c r="J180" s="39" t="s">
        <v>1688</v>
      </c>
      <c r="K180" s="39">
        <v>1.288659793814433</v>
      </c>
      <c r="L180" s="39">
        <v>2.0</v>
      </c>
      <c r="M180" s="39">
        <v>1.0</v>
      </c>
      <c r="N180" s="39">
        <v>25.0</v>
      </c>
      <c r="O180" s="27">
        <v>2.577319587628866</v>
      </c>
      <c r="P180" s="27"/>
      <c r="Q180" s="80">
        <v>19.0</v>
      </c>
      <c r="R180" s="81" t="s">
        <v>2029</v>
      </c>
      <c r="S180" s="80">
        <v>19.3</v>
      </c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</row>
    <row r="181" ht="15.0" customHeight="1">
      <c r="A181" s="148" t="s">
        <v>1694</v>
      </c>
      <c r="B181" s="39" t="s">
        <v>1225</v>
      </c>
      <c r="C181" s="148" t="s">
        <v>1562</v>
      </c>
      <c r="D181" s="148" t="s">
        <v>1656</v>
      </c>
      <c r="E181" s="39" t="s">
        <v>1607</v>
      </c>
      <c r="F181" s="27" t="s">
        <v>1566</v>
      </c>
      <c r="G181" s="27" t="s">
        <v>1566</v>
      </c>
      <c r="H181" s="39" t="s">
        <v>22</v>
      </c>
      <c r="I181" s="27" t="str">
        <f>IFERROR(__xludf.DUMMYFUNCTION("IF(A181="""","""",
TEXTJOIN(""-"",TRUE,
IFERROR(
  INDEX(FILTER(CFG_CODES!C:C, CFG_CODES!A:A=""CATEGORY"", UPPER(CFG_CODES!B:B)=UPPER(B181))),
  LEFT(UPPER(B181),3)
),
IFERROR(
  INDEX(FILTER(CFG_CODES!C:C, CFG_CODES!A:A=""MATERIAL"", UPPER(CFG_CODES!B:B)"&amp;"=UPPER(C181))),
  LEFT(UPPER(C181),3)
),
TEXT(ROW()-1,""000"")
))"),"P-SBS-180")</f>
        <v>P-SBS-180</v>
      </c>
      <c r="J181" s="39" t="s">
        <v>1688</v>
      </c>
      <c r="K181" s="39">
        <v>18.556701030927837</v>
      </c>
      <c r="L181" s="39">
        <v>2.0</v>
      </c>
      <c r="M181" s="39">
        <v>0.0</v>
      </c>
      <c r="N181" s="39">
        <v>0.0</v>
      </c>
      <c r="O181" s="27">
        <v>0.0</v>
      </c>
      <c r="P181" s="27"/>
      <c r="Q181" s="80">
        <v>0.0</v>
      </c>
      <c r="R181" s="81" t="s">
        <v>1689</v>
      </c>
      <c r="S181" s="81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</row>
    <row r="182" ht="15.0" customHeight="1">
      <c r="A182" s="148" t="s">
        <v>1695</v>
      </c>
      <c r="B182" s="39" t="s">
        <v>1225</v>
      </c>
      <c r="C182" s="129" t="s">
        <v>1562</v>
      </c>
      <c r="D182" s="129" t="s">
        <v>1573</v>
      </c>
      <c r="E182" s="39" t="s">
        <v>1604</v>
      </c>
      <c r="F182" s="27" t="s">
        <v>1566</v>
      </c>
      <c r="G182" s="27" t="s">
        <v>1566</v>
      </c>
      <c r="H182" s="39" t="s">
        <v>22</v>
      </c>
      <c r="I182" s="27" t="str">
        <f>IFERROR(__xludf.DUMMYFUNCTION("IF(A182="""","""",
TEXTJOIN(""-"",TRUE,
IFERROR(
  INDEX(FILTER(CFG_CODES!C:C, CFG_CODES!A:A=""CATEGORY"", UPPER(CFG_CODES!B:B)=UPPER(B182))),
  LEFT(UPPER(B182),3)
),
IFERROR(
  INDEX(FILTER(CFG_CODES!C:C, CFG_CODES!A:A=""MATERIAL"", UPPER(CFG_CODES!B:B)"&amp;"=UPPER(C182))),
  LEFT(UPPER(C182),3)
),
TEXT(ROW()-1,""000"")
))"),"P-SBS-181")</f>
        <v>P-SBS-181</v>
      </c>
      <c r="J182" s="39" t="s">
        <v>1688</v>
      </c>
      <c r="K182" s="39">
        <v>20.61855670103093</v>
      </c>
      <c r="L182" s="39">
        <v>2.0</v>
      </c>
      <c r="M182" s="39">
        <v>0.0</v>
      </c>
      <c r="N182" s="39">
        <v>0.0</v>
      </c>
      <c r="O182" s="27">
        <v>0.0</v>
      </c>
      <c r="P182" s="27"/>
      <c r="Q182" s="80">
        <v>0.0</v>
      </c>
      <c r="R182" s="81" t="s">
        <v>1689</v>
      </c>
      <c r="S182" s="81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</row>
    <row r="183" ht="15.0" customHeight="1">
      <c r="A183" s="148" t="s">
        <v>943</v>
      </c>
      <c r="B183" s="39" t="s">
        <v>1225</v>
      </c>
      <c r="C183" s="148" t="s">
        <v>1562</v>
      </c>
      <c r="D183" s="148" t="s">
        <v>1591</v>
      </c>
      <c r="E183" s="39" t="s">
        <v>1575</v>
      </c>
      <c r="F183" s="27" t="s">
        <v>1566</v>
      </c>
      <c r="G183" s="27" t="s">
        <v>1566</v>
      </c>
      <c r="H183" s="39" t="s">
        <v>22</v>
      </c>
      <c r="I183" s="27" t="str">
        <f>IFERROR(__xludf.DUMMYFUNCTION("IF(A183="""","""",
TEXTJOIN(""-"",TRUE,
IFERROR(
  INDEX(FILTER(CFG_CODES!C:C, CFG_CODES!A:A=""CATEGORY"", UPPER(CFG_CODES!B:B)=UPPER(B183))),
  LEFT(UPPER(B183),3)
),
IFERROR(
  INDEX(FILTER(CFG_CODES!C:C, CFG_CODES!A:A=""MATERIAL"", UPPER(CFG_CODES!B:B)"&amp;"=UPPER(C183))),
  LEFT(UPPER(C183),3)
),
TEXT(ROW()-1,""000"")
))"),"P-SBS-182")</f>
        <v>P-SBS-182</v>
      </c>
      <c r="J183" s="39" t="s">
        <v>1688</v>
      </c>
      <c r="K183" s="39">
        <v>19.587628865979383</v>
      </c>
      <c r="L183" s="39">
        <v>2.0</v>
      </c>
      <c r="M183" s="39">
        <v>0.0</v>
      </c>
      <c r="N183" s="39">
        <v>0.0</v>
      </c>
      <c r="O183" s="27">
        <v>0.0</v>
      </c>
      <c r="P183" s="27"/>
      <c r="Q183" s="80">
        <v>5.0</v>
      </c>
      <c r="R183" s="81" t="s">
        <v>1689</v>
      </c>
      <c r="S183" s="81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</row>
    <row r="184" ht="15.0" customHeight="1">
      <c r="A184" s="148" t="s">
        <v>779</v>
      </c>
      <c r="B184" s="39" t="s">
        <v>1225</v>
      </c>
      <c r="C184" s="129" t="s">
        <v>1653</v>
      </c>
      <c r="D184" s="129" t="s">
        <v>1576</v>
      </c>
      <c r="E184" s="39" t="s">
        <v>1572</v>
      </c>
      <c r="F184" s="27" t="s">
        <v>1566</v>
      </c>
      <c r="G184" s="39" t="s">
        <v>1654</v>
      </c>
      <c r="H184" s="39" t="s">
        <v>22</v>
      </c>
      <c r="I184" s="27" t="str">
        <f>IFERROR(__xludf.DUMMYFUNCTION("IF(A184="""","""",
TEXTJOIN(""-"",TRUE,
IFERROR(
  INDEX(FILTER(CFG_CODES!C:C, CFG_CODES!A:A=""CATEGORY"", UPPER(CFG_CODES!B:B)=UPPER(B184))),
  LEFT(UPPER(B184),3)
),
IFERROR(
  INDEX(FILTER(CFG_CODES!C:C, CFG_CODES!A:A=""MATERIAL"", UPPER(CFG_CODES!B:B)"&amp;"=UPPER(C184))),
  LEFT(UPPER(C184),3)
),
TEXT(ROW()-1,""000"")
))"),"P-DUP-183")</f>
        <v>P-DUP-183</v>
      </c>
      <c r="J184" s="39" t="s">
        <v>1688</v>
      </c>
      <c r="K184" s="39">
        <v>43.05154639175258</v>
      </c>
      <c r="L184" s="39">
        <v>2.0</v>
      </c>
      <c r="M184" s="39">
        <v>0.0</v>
      </c>
      <c r="N184" s="39">
        <v>0.0</v>
      </c>
      <c r="O184" s="27">
        <v>0.0</v>
      </c>
      <c r="P184" s="27"/>
      <c r="Q184" s="80">
        <v>0.0</v>
      </c>
      <c r="R184" s="81" t="s">
        <v>1689</v>
      </c>
      <c r="S184" s="81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</row>
    <row r="185" ht="15.0" customHeight="1">
      <c r="A185" s="148" t="s">
        <v>953</v>
      </c>
      <c r="B185" s="39" t="s">
        <v>1225</v>
      </c>
      <c r="C185" s="148" t="s">
        <v>1562</v>
      </c>
      <c r="D185" s="148" t="s">
        <v>1910</v>
      </c>
      <c r="E185" s="39" t="s">
        <v>1597</v>
      </c>
      <c r="F185" s="27" t="s">
        <v>1566</v>
      </c>
      <c r="G185" s="27" t="s">
        <v>1566</v>
      </c>
      <c r="H185" s="39" t="s">
        <v>22</v>
      </c>
      <c r="I185" s="27" t="str">
        <f>IFERROR(__xludf.DUMMYFUNCTION("IF(A185="""","""",
TEXTJOIN(""-"",TRUE,
IFERROR(
  INDEX(FILTER(CFG_CODES!C:C, CFG_CODES!A:A=""CATEGORY"", UPPER(CFG_CODES!B:B)=UPPER(B185))),
  LEFT(UPPER(B185),3)
),
IFERROR(
  INDEX(FILTER(CFG_CODES!C:C, CFG_CODES!A:A=""MATERIAL"", UPPER(CFG_CODES!B:B)"&amp;"=UPPER(C185))),
  LEFT(UPPER(C185),3)
),
TEXT(ROW()-1,""000"")
))"),"P-SBS-184")</f>
        <v>P-SBS-184</v>
      </c>
      <c r="J185" s="39" t="s">
        <v>1688</v>
      </c>
      <c r="K185" s="39">
        <v>84.5360824742268</v>
      </c>
      <c r="L185" s="39">
        <v>2.0</v>
      </c>
      <c r="M185" s="39">
        <v>0.0</v>
      </c>
      <c r="N185" s="39">
        <v>0.0</v>
      </c>
      <c r="O185" s="27">
        <v>0.0</v>
      </c>
      <c r="P185" s="27"/>
      <c r="Q185" s="80">
        <v>12.0</v>
      </c>
      <c r="R185" s="81" t="s">
        <v>1689</v>
      </c>
      <c r="S185" s="81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</row>
    <row r="186" ht="15.0" customHeight="1">
      <c r="A186" s="148" t="s">
        <v>1517</v>
      </c>
      <c r="B186" s="39" t="s">
        <v>1225</v>
      </c>
      <c r="C186" s="129" t="s">
        <v>1562</v>
      </c>
      <c r="D186" s="129" t="s">
        <v>1563</v>
      </c>
      <c r="E186" s="39" t="s">
        <v>1597</v>
      </c>
      <c r="F186" s="27" t="s">
        <v>1566</v>
      </c>
      <c r="G186" s="27" t="s">
        <v>1566</v>
      </c>
      <c r="H186" s="39" t="s">
        <v>22</v>
      </c>
      <c r="I186" s="27" t="str">
        <f>IFERROR(__xludf.DUMMYFUNCTION("IF(A186="""","""",
TEXTJOIN(""-"",TRUE,
IFERROR(
  INDEX(FILTER(CFG_CODES!C:C, CFG_CODES!A:A=""CATEGORY"", UPPER(CFG_CODES!B:B)=UPPER(B186))),
  LEFT(UPPER(B186),3)
),
IFERROR(
  INDEX(FILTER(CFG_CODES!C:C, CFG_CODES!A:A=""MATERIAL"", UPPER(CFG_CODES!B:B)"&amp;"=UPPER(C186))),
  LEFT(UPPER(C186),3)
),
TEXT(ROW()-1,""000"")
))"),"P-SBS-185")</f>
        <v>P-SBS-185</v>
      </c>
      <c r="J186" s="39" t="s">
        <v>1688</v>
      </c>
      <c r="K186" s="39">
        <v>29.484536082474225</v>
      </c>
      <c r="L186" s="39">
        <v>2.0</v>
      </c>
      <c r="M186" s="39">
        <v>0.0</v>
      </c>
      <c r="N186" s="39">
        <v>0.0</v>
      </c>
      <c r="O186" s="27">
        <v>0.0</v>
      </c>
      <c r="P186" s="27"/>
      <c r="Q186" s="80">
        <v>0.0</v>
      </c>
      <c r="R186" s="81" t="s">
        <v>1689</v>
      </c>
      <c r="S186" s="81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</row>
    <row r="187" ht="15.0" customHeight="1">
      <c r="A187" s="148" t="s">
        <v>958</v>
      </c>
      <c r="B187" s="39" t="s">
        <v>1225</v>
      </c>
      <c r="C187" s="148" t="s">
        <v>1896</v>
      </c>
      <c r="D187" s="148" t="s">
        <v>1916</v>
      </c>
      <c r="E187" s="39" t="s">
        <v>1564</v>
      </c>
      <c r="F187" s="27" t="s">
        <v>1566</v>
      </c>
      <c r="G187" s="39" t="s">
        <v>1654</v>
      </c>
      <c r="H187" s="39" t="s">
        <v>22</v>
      </c>
      <c r="I187" s="27" t="str">
        <f>IFERROR(__xludf.DUMMYFUNCTION("IF(A187="""","""",
TEXTJOIN(""-"",TRUE,
IFERROR(
  INDEX(FILTER(CFG_CODES!C:C, CFG_CODES!A:A=""CATEGORY"", UPPER(CFG_CODES!B:B)=UPPER(B187))),
  LEFT(UPPER(B187),3)
),
IFERROR(
  INDEX(FILTER(CFG_CODES!C:C, CFG_CODES!A:A=""MATERIAL"", UPPER(CFG_CODES!B:B)"&amp;"=UPPER(C187))),
  LEFT(UPPER(C187),3)
),
TEXT(ROW()-1,""000"")
))"),"P-KRA-186")</f>
        <v>P-KRA-186</v>
      </c>
      <c r="J187" s="39" t="s">
        <v>1688</v>
      </c>
      <c r="K187" s="39">
        <v>30.927835051546392</v>
      </c>
      <c r="L187" s="39">
        <v>2.0</v>
      </c>
      <c r="M187" s="39">
        <v>0.0</v>
      </c>
      <c r="N187" s="39">
        <v>0.0</v>
      </c>
      <c r="O187" s="27">
        <v>0.0</v>
      </c>
      <c r="P187" s="27"/>
      <c r="Q187" s="80">
        <v>2.0</v>
      </c>
      <c r="R187" s="81" t="s">
        <v>1689</v>
      </c>
      <c r="S187" s="81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</row>
    <row r="188" ht="15.0" customHeight="1">
      <c r="A188" s="148" t="s">
        <v>1913</v>
      </c>
      <c r="B188" s="39" t="s">
        <v>1225</v>
      </c>
      <c r="C188" s="129" t="s">
        <v>1896</v>
      </c>
      <c r="D188" s="129" t="s">
        <v>1927</v>
      </c>
      <c r="E188" s="39" t="s">
        <v>1564</v>
      </c>
      <c r="F188" s="27" t="s">
        <v>1566</v>
      </c>
      <c r="G188" s="39" t="s">
        <v>1654</v>
      </c>
      <c r="H188" s="39" t="s">
        <v>22</v>
      </c>
      <c r="I188" s="27" t="str">
        <f>IFERROR(__xludf.DUMMYFUNCTION("IF(A188="""","""",
TEXTJOIN(""-"",TRUE,
IFERROR(
  INDEX(FILTER(CFG_CODES!C:C, CFG_CODES!A:A=""CATEGORY"", UPPER(CFG_CODES!B:B)=UPPER(B188))),
  LEFT(UPPER(B188),3)
),
IFERROR(
  INDEX(FILTER(CFG_CODES!C:C, CFG_CODES!A:A=""MATERIAL"", UPPER(CFG_CODES!B:B)"&amp;"=UPPER(C188))),
  LEFT(UPPER(C188),3)
),
TEXT(ROW()-1,""000"")
))"),"P-KRA-187")</f>
        <v>P-KRA-187</v>
      </c>
      <c r="J188" s="39" t="s">
        <v>1688</v>
      </c>
      <c r="K188" s="39">
        <v>54.63917525773196</v>
      </c>
      <c r="L188" s="39">
        <v>2.0</v>
      </c>
      <c r="M188" s="39">
        <v>0.0</v>
      </c>
      <c r="N188" s="39">
        <v>0.0</v>
      </c>
      <c r="O188" s="27">
        <v>0.0</v>
      </c>
      <c r="P188" s="27"/>
      <c r="Q188" s="80">
        <v>0.0</v>
      </c>
      <c r="R188" s="81" t="s">
        <v>1689</v>
      </c>
      <c r="S188" s="81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</row>
    <row r="189" ht="15.0" customHeight="1">
      <c r="A189" s="148" t="s">
        <v>1915</v>
      </c>
      <c r="B189" s="39" t="s">
        <v>1225</v>
      </c>
      <c r="C189" s="148" t="s">
        <v>1896</v>
      </c>
      <c r="D189" s="148" t="s">
        <v>1930</v>
      </c>
      <c r="E189" s="39" t="s">
        <v>1597</v>
      </c>
      <c r="F189" s="27" t="s">
        <v>1566</v>
      </c>
      <c r="G189" s="39" t="s">
        <v>1654</v>
      </c>
      <c r="H189" s="39" t="s">
        <v>22</v>
      </c>
      <c r="I189" s="27" t="str">
        <f>IFERROR(__xludf.DUMMYFUNCTION("IF(A189="""","""",
TEXTJOIN(""-"",TRUE,
IFERROR(
  INDEX(FILTER(CFG_CODES!C:C, CFG_CODES!A:A=""CATEGORY"", UPPER(CFG_CODES!B:B)=UPPER(B189))),
  LEFT(UPPER(B189),3)
),
IFERROR(
  INDEX(FILTER(CFG_CODES!C:C, CFG_CODES!A:A=""MATERIAL"", UPPER(CFG_CODES!B:B)"&amp;"=UPPER(C189))),
  LEFT(UPPER(C189),3)
),
TEXT(ROW()-1,""000"")
))"),"P-KRA-188")</f>
        <v>P-KRA-188</v>
      </c>
      <c r="J189" s="39" t="s">
        <v>1688</v>
      </c>
      <c r="K189" s="39">
        <v>37.83505154639175</v>
      </c>
      <c r="L189" s="39">
        <v>2.0</v>
      </c>
      <c r="M189" s="39">
        <v>0.0</v>
      </c>
      <c r="N189" s="39">
        <v>0.0</v>
      </c>
      <c r="O189" s="27">
        <v>0.0</v>
      </c>
      <c r="P189" s="27"/>
      <c r="Q189" s="80">
        <v>0.0</v>
      </c>
      <c r="R189" s="81" t="s">
        <v>1689</v>
      </c>
      <c r="S189" s="81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</row>
    <row r="190" ht="15.0" customHeight="1">
      <c r="A190" s="148" t="s">
        <v>342</v>
      </c>
      <c r="B190" s="39" t="s">
        <v>1225</v>
      </c>
      <c r="C190" s="129" t="s">
        <v>1562</v>
      </c>
      <c r="D190" s="129" t="s">
        <v>1591</v>
      </c>
      <c r="E190" s="39" t="s">
        <v>1586</v>
      </c>
      <c r="F190" s="27" t="s">
        <v>1566</v>
      </c>
      <c r="G190" s="27" t="s">
        <v>1566</v>
      </c>
      <c r="H190" s="39" t="s">
        <v>22</v>
      </c>
      <c r="I190" s="27" t="str">
        <f>IFERROR(__xludf.DUMMYFUNCTION("IF(A190="""","""",
TEXTJOIN(""-"",TRUE,
IFERROR(
  INDEX(FILTER(CFG_CODES!C:C, CFG_CODES!A:A=""CATEGORY"", UPPER(CFG_CODES!B:B)=UPPER(B190))),
  LEFT(UPPER(B190),3)
),
IFERROR(
  INDEX(FILTER(CFG_CODES!C:C, CFG_CODES!A:A=""MATERIAL"", UPPER(CFG_CODES!B:B)"&amp;"=UPPER(C190))),
  LEFT(UPPER(C190),3)
),
TEXT(ROW()-1,""000"")
))"),"P-SBS-189")</f>
        <v>P-SBS-189</v>
      </c>
      <c r="J190" s="39" t="s">
        <v>1688</v>
      </c>
      <c r="K190" s="39">
        <v>27.835051546391753</v>
      </c>
      <c r="L190" s="39">
        <v>2.0</v>
      </c>
      <c r="M190" s="39">
        <v>0.0</v>
      </c>
      <c r="N190" s="39">
        <v>0.0</v>
      </c>
      <c r="O190" s="27">
        <v>0.0</v>
      </c>
      <c r="P190" s="27"/>
      <c r="Q190" s="80">
        <v>0.0</v>
      </c>
      <c r="R190" s="81" t="s">
        <v>1689</v>
      </c>
      <c r="S190" s="81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</row>
    <row r="191" ht="15.0" customHeight="1">
      <c r="A191" s="148" t="s">
        <v>1934</v>
      </c>
      <c r="B191" s="39" t="s">
        <v>1812</v>
      </c>
      <c r="C191" s="148" t="s">
        <v>1815</v>
      </c>
      <c r="D191" s="135" t="s">
        <v>1566</v>
      </c>
      <c r="E191" s="27" t="s">
        <v>1566</v>
      </c>
      <c r="F191" s="27" t="s">
        <v>1566</v>
      </c>
      <c r="G191" s="39" t="s">
        <v>1937</v>
      </c>
      <c r="H191" s="39" t="s">
        <v>616</v>
      </c>
      <c r="I191" s="27" t="str">
        <f>IFERROR(__xludf.DUMMYFUNCTION("IF(A191="""","""",
TEXTJOIN(""-"",TRUE,
IFERROR(
  INDEX(FILTER(CFG_CODES!C:C, CFG_CODES!A:A=""CATEGORY"", UPPER(CFG_CODES!B:B)=UPPER(B191))),
  LEFT(UPPER(B191),3)
),
IFERROR(
  INDEX(FILTER(CFG_CODES!C:C, CFG_CODES!A:A=""MATERIAL"", UPPER(CFG_CODES!B:B)"&amp;"=UPPER(C191))),
  LEFT(UPPER(C191),3)
),
TEXT(ROW()-1,""000"")
))"),"CH-SOL-190")</f>
        <v>CH-SOL-190</v>
      </c>
      <c r="J191" s="39" t="s">
        <v>1689</v>
      </c>
      <c r="K191" s="39"/>
      <c r="L191" s="39">
        <v>2.0</v>
      </c>
      <c r="M191" s="39">
        <v>2.0</v>
      </c>
      <c r="N191" s="39">
        <v>20.0</v>
      </c>
      <c r="O191" s="27" t="s">
        <v>1333</v>
      </c>
      <c r="P191" s="27"/>
      <c r="Q191" s="80"/>
      <c r="R191" s="81" t="s">
        <v>2029</v>
      </c>
      <c r="S191" s="80">
        <v>7.0</v>
      </c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</row>
    <row r="192" ht="15.0" customHeight="1">
      <c r="A192" s="148" t="s">
        <v>140</v>
      </c>
      <c r="B192" s="39" t="s">
        <v>1225</v>
      </c>
      <c r="C192" s="129" t="s">
        <v>1562</v>
      </c>
      <c r="D192" s="129" t="s">
        <v>1563</v>
      </c>
      <c r="E192" s="39" t="s">
        <v>1586</v>
      </c>
      <c r="F192" s="27" t="s">
        <v>1566</v>
      </c>
      <c r="G192" s="27" t="s">
        <v>1566</v>
      </c>
      <c r="H192" s="39" t="s">
        <v>22</v>
      </c>
      <c r="I192" s="27" t="str">
        <f>IFERROR(__xludf.DUMMYFUNCTION("IF(A192="""","""",
TEXTJOIN(""-"",TRUE,
IFERROR(
  INDEX(FILTER(CFG_CODES!C:C, CFG_CODES!A:A=""CATEGORY"", UPPER(CFG_CODES!B:B)=UPPER(B192))),
  LEFT(UPPER(B192),3)
),
IFERROR(
  INDEX(FILTER(CFG_CODES!C:C, CFG_CODES!A:A=""MATERIAL"", UPPER(CFG_CODES!B:B)"&amp;"=UPPER(C192))),
  LEFT(UPPER(C192),3)
),
TEXT(ROW()-1,""000"")
))"),"P-SBS-191")</f>
        <v>P-SBS-191</v>
      </c>
      <c r="J192" s="39" t="s">
        <v>1688</v>
      </c>
      <c r="K192" s="39">
        <v>26.804123711340207</v>
      </c>
      <c r="L192" s="39">
        <v>2.0</v>
      </c>
      <c r="M192" s="39">
        <v>0.0</v>
      </c>
      <c r="N192" s="39">
        <v>0.0</v>
      </c>
      <c r="O192" s="27">
        <v>0.0</v>
      </c>
      <c r="P192" s="27"/>
      <c r="Q192" s="80">
        <v>0.0</v>
      </c>
      <c r="R192" s="81" t="s">
        <v>1689</v>
      </c>
      <c r="S192" s="81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</row>
    <row r="193" ht="15.0" customHeight="1">
      <c r="A193" s="148" t="s">
        <v>172</v>
      </c>
      <c r="B193" s="39" t="s">
        <v>1225</v>
      </c>
      <c r="C193" s="148" t="s">
        <v>1653</v>
      </c>
      <c r="D193" s="148" t="s">
        <v>1582</v>
      </c>
      <c r="E193" s="39" t="s">
        <v>1572</v>
      </c>
      <c r="F193" s="27" t="s">
        <v>1566</v>
      </c>
      <c r="G193" s="39" t="s">
        <v>1978</v>
      </c>
      <c r="H193" s="39" t="s">
        <v>22</v>
      </c>
      <c r="I193" s="27" t="str">
        <f>IFERROR(__xludf.DUMMYFUNCTION("IF(A193="""","""",
TEXTJOIN(""-"",TRUE,
IFERROR(
  INDEX(FILTER(CFG_CODES!C:C, CFG_CODES!A:A=""CATEGORY"", UPPER(CFG_CODES!B:B)=UPPER(B193))),
  LEFT(UPPER(B193),3)
),
IFERROR(
  INDEX(FILTER(CFG_CODES!C:C, CFG_CODES!A:A=""MATERIAL"", UPPER(CFG_CODES!B:B)"&amp;"=UPPER(C193))),
  LEFT(UPPER(C193),3)
),
TEXT(ROW()-1,""000"")
))"),"P-DUP-192")</f>
        <v>P-DUP-192</v>
      </c>
      <c r="J193" s="39" t="s">
        <v>1688</v>
      </c>
      <c r="K193" s="39">
        <v>4.453608247422681</v>
      </c>
      <c r="L193" s="39">
        <v>2.0</v>
      </c>
      <c r="M193" s="39">
        <v>0.0</v>
      </c>
      <c r="N193" s="39">
        <v>0.0</v>
      </c>
      <c r="O193" s="27">
        <v>0.0</v>
      </c>
      <c r="P193" s="27"/>
      <c r="Q193" s="80">
        <v>162.0</v>
      </c>
      <c r="R193" s="81" t="s">
        <v>1689</v>
      </c>
      <c r="S193" s="81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</row>
    <row r="194" ht="15.0" customHeight="1">
      <c r="A194" s="148" t="s">
        <v>965</v>
      </c>
      <c r="B194" s="39" t="s">
        <v>1833</v>
      </c>
      <c r="C194" s="129" t="s">
        <v>1833</v>
      </c>
      <c r="D194" s="53" t="s">
        <v>1566</v>
      </c>
      <c r="E194" s="27" t="s">
        <v>1566</v>
      </c>
      <c r="F194" s="27" t="s">
        <v>1566</v>
      </c>
      <c r="G194" s="27" t="s">
        <v>1566</v>
      </c>
      <c r="H194" s="39" t="s">
        <v>643</v>
      </c>
      <c r="I194" s="27" t="str">
        <f>IFERROR(__xludf.DUMMYFUNCTION("IF(A194="""","""",
TEXTJOIN(""-"",TRUE,
IFERROR(
  INDEX(FILTER(CFG_CODES!C:C, CFG_CODES!A:A=""CATEGORY"", UPPER(CFG_CODES!B:B)=UPPER(B194))),
  LEFT(UPPER(B194),3)
),
IFERROR(
  INDEX(FILTER(CFG_CODES!C:C, CFG_CODES!A:A=""MATERIAL"", UPPER(CFG_CODES!B:B)"&amp;"=UPPER(C194))),
  LEFT(UPPER(C194),3)
),
TEXT(ROW()-1,""000"")
))"),"POW-POW-193")</f>
        <v>POW-POW-193</v>
      </c>
      <c r="J194" s="39" t="s">
        <v>1688</v>
      </c>
      <c r="K194" s="39">
        <v>0.41237113402061853</v>
      </c>
      <c r="L194" s="39">
        <v>2.0</v>
      </c>
      <c r="M194" s="39">
        <v>2.0</v>
      </c>
      <c r="N194" s="39">
        <v>10.0</v>
      </c>
      <c r="O194" s="27">
        <v>1.6494845360824741</v>
      </c>
      <c r="P194" s="27"/>
      <c r="Q194" s="80">
        <v>61.0</v>
      </c>
      <c r="R194" s="81" t="s">
        <v>1688</v>
      </c>
      <c r="S194" s="81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</row>
    <row r="195" ht="15.0" customHeight="1">
      <c r="A195" s="148" t="s">
        <v>969</v>
      </c>
      <c r="B195" s="39" t="s">
        <v>1807</v>
      </c>
      <c r="C195" s="148" t="s">
        <v>1807</v>
      </c>
      <c r="D195" s="135" t="s">
        <v>1566</v>
      </c>
      <c r="E195" s="27" t="s">
        <v>1566</v>
      </c>
      <c r="F195" s="27" t="s">
        <v>1566</v>
      </c>
      <c r="G195" s="27" t="s">
        <v>1566</v>
      </c>
      <c r="H195" s="39" t="s">
        <v>290</v>
      </c>
      <c r="I195" s="27" t="str">
        <f>IFERROR(__xludf.DUMMYFUNCTION("IF(A195="""","""",
TEXTJOIN(""-"",TRUE,
IFERROR(
  INDEX(FILTER(CFG_CODES!C:C, CFG_CODES!A:A=""CATEGORY"", UPPER(CFG_CODES!B:B)=UPPER(B195))),
  LEFT(UPPER(B195),3)
),
IFERROR(
  INDEX(FILTER(CFG_CODES!C:C, CFG_CODES!A:A=""MATERIAL"", UPPER(CFG_CODES!B:B)"&amp;"=UPPER(C195))),
  LEFT(UPPER(C195),3)
),
TEXT(ROW()-1,""000"")
))"),"C-COA-194")</f>
        <v>C-COA-194</v>
      </c>
      <c r="J195" s="39" t="s">
        <v>1688</v>
      </c>
      <c r="K195" s="39">
        <v>0.05154639175257732</v>
      </c>
      <c r="L195" s="39">
        <v>2.0</v>
      </c>
      <c r="M195" s="39">
        <v>2.0</v>
      </c>
      <c r="N195" s="39">
        <v>3.0</v>
      </c>
      <c r="O195" s="27">
        <v>0.20618556701030927</v>
      </c>
      <c r="P195" s="27"/>
      <c r="Q195" s="80">
        <v>19.0</v>
      </c>
      <c r="R195" s="81" t="s">
        <v>1688</v>
      </c>
      <c r="S195" s="81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</row>
    <row r="196" ht="15.0" customHeight="1">
      <c r="A196" s="148" t="s">
        <v>972</v>
      </c>
      <c r="B196" s="39" t="s">
        <v>1821</v>
      </c>
      <c r="C196" s="129" t="s">
        <v>1822</v>
      </c>
      <c r="D196" s="129" t="s">
        <v>1995</v>
      </c>
      <c r="E196" s="27" t="s">
        <v>1566</v>
      </c>
      <c r="F196" s="27" t="s">
        <v>1566</v>
      </c>
      <c r="G196" s="39" t="s">
        <v>1997</v>
      </c>
      <c r="H196" s="39" t="s">
        <v>661</v>
      </c>
      <c r="I196" s="27" t="str">
        <f>IFERROR(__xludf.DUMMYFUNCTION("IF(A196="""","""",
TEXTJOIN(""-"",TRUE,
IFERROR(
  INDEX(FILTER(CFG_CODES!C:C, CFG_CODES!A:A=""CATEGORY"", UPPER(CFG_CODES!B:B)=UPPER(B196))),
  LEFT(UPPER(B196),3)
),
IFERROR(
  INDEX(FILTER(CFG_CODES!C:C, CFG_CODES!A:A=""MATERIAL"", UPPER(CFG_CODES!B:B)"&amp;"=UPPER(C196))),
  LEFT(UPPER(C196),3)
),
TEXT(ROW()-1,""000"")
))"),"A-TAP-195")</f>
        <v>A-TAP-195</v>
      </c>
      <c r="J196" s="39" t="s">
        <v>1688</v>
      </c>
      <c r="K196" s="39">
        <v>0.07216494845360824</v>
      </c>
      <c r="L196" s="39">
        <v>2.0</v>
      </c>
      <c r="M196" s="39">
        <v>2.0</v>
      </c>
      <c r="N196" s="39">
        <v>20.0</v>
      </c>
      <c r="O196" s="27">
        <v>0.28865979381443296</v>
      </c>
      <c r="P196" s="27"/>
      <c r="Q196" s="80">
        <v>83.0</v>
      </c>
      <c r="R196" s="81" t="s">
        <v>1688</v>
      </c>
      <c r="S196" s="81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</row>
    <row r="197" ht="15.0" customHeight="1">
      <c r="A197" s="148" t="s">
        <v>979</v>
      </c>
      <c r="B197" s="39" t="s">
        <v>1821</v>
      </c>
      <c r="C197" s="148" t="s">
        <v>1822</v>
      </c>
      <c r="D197" s="148" t="s">
        <v>2003</v>
      </c>
      <c r="E197" s="27" t="s">
        <v>1566</v>
      </c>
      <c r="F197" s="27" t="s">
        <v>1566</v>
      </c>
      <c r="G197" s="27" t="s">
        <v>1566</v>
      </c>
      <c r="H197" s="39" t="s">
        <v>661</v>
      </c>
      <c r="I197" s="27" t="str">
        <f>IFERROR(__xludf.DUMMYFUNCTION("IF(A197="""","""",
TEXTJOIN(""-"",TRUE,
IFERROR(
  INDEX(FILTER(CFG_CODES!C:C, CFG_CODES!A:A=""CATEGORY"", UPPER(CFG_CODES!B:B)=UPPER(B197))),
  LEFT(UPPER(B197),3)
),
IFERROR(
  INDEX(FILTER(CFG_CODES!C:C, CFG_CODES!A:A=""MATERIAL"", UPPER(CFG_CODES!B:B)"&amp;"=UPPER(C197))),
  LEFT(UPPER(C197),3)
),
TEXT(ROW()-1,""000"")
))"),"A-TAP-196")</f>
        <v>A-TAP-196</v>
      </c>
      <c r="J197" s="39" t="s">
        <v>1688</v>
      </c>
      <c r="K197" s="39">
        <v>0.25773195876288657</v>
      </c>
      <c r="L197" s="39">
        <v>2.0</v>
      </c>
      <c r="M197" s="39">
        <v>2.0</v>
      </c>
      <c r="N197" s="39">
        <v>10.0</v>
      </c>
      <c r="O197" s="27">
        <v>1.0309278350515463</v>
      </c>
      <c r="P197" s="27"/>
      <c r="Q197" s="80">
        <v>58.0</v>
      </c>
      <c r="R197" s="81" t="s">
        <v>1688</v>
      </c>
      <c r="S197" s="81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</row>
    <row r="198" ht="15.0" customHeight="1">
      <c r="A198" s="148" t="s">
        <v>984</v>
      </c>
      <c r="B198" s="39" t="s">
        <v>1830</v>
      </c>
      <c r="C198" s="129" t="s">
        <v>1830</v>
      </c>
      <c r="D198" s="53" t="s">
        <v>1566</v>
      </c>
      <c r="E198" s="27" t="s">
        <v>1566</v>
      </c>
      <c r="F198" s="27" t="s">
        <v>1566</v>
      </c>
      <c r="G198" s="27" t="s">
        <v>1566</v>
      </c>
      <c r="H198" s="39" t="s">
        <v>661</v>
      </c>
      <c r="I198" s="27" t="str">
        <f>IFERROR(__xludf.DUMMYFUNCTION("IF(A198="""","""",
TEXTJOIN(""-"",TRUE,
IFERROR(
  INDEX(FILTER(CFG_CODES!C:C, CFG_CODES!A:A=""CATEGORY"", UPPER(CFG_CODES!B:B)=UPPER(B198))),
  LEFT(UPPER(B198),3)
),
IFERROR(
  INDEX(FILTER(CFG_CODES!C:C, CFG_CODES!A:A=""MATERIAL"", UPPER(CFG_CODES!B:B)"&amp;"=UPPER(C198))),
  LEFT(UPPER(C198),3)
),
TEXT(ROW()-1,""000"")
))"),"M-MIS-197")</f>
        <v>M-MIS-197</v>
      </c>
      <c r="J198" s="39" t="s">
        <v>1688</v>
      </c>
      <c r="K198" s="39">
        <v>0.0</v>
      </c>
      <c r="L198" s="39">
        <v>2.0</v>
      </c>
      <c r="M198" s="39">
        <v>0.0</v>
      </c>
      <c r="N198" s="39">
        <v>3.0</v>
      </c>
      <c r="O198" s="27" t="s">
        <v>1333</v>
      </c>
      <c r="P198" s="27"/>
      <c r="Q198" s="81"/>
      <c r="R198" s="81" t="s">
        <v>1688</v>
      </c>
      <c r="S198" s="81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</row>
    <row r="199" ht="15.0" customHeight="1">
      <c r="A199" s="148" t="s">
        <v>990</v>
      </c>
      <c r="B199" s="39" t="s">
        <v>1830</v>
      </c>
      <c r="C199" s="148" t="s">
        <v>1830</v>
      </c>
      <c r="D199" s="135" t="s">
        <v>1566</v>
      </c>
      <c r="E199" s="27" t="s">
        <v>1566</v>
      </c>
      <c r="F199" s="27" t="s">
        <v>1566</v>
      </c>
      <c r="G199" s="27" t="s">
        <v>1566</v>
      </c>
      <c r="H199" s="39" t="s">
        <v>661</v>
      </c>
      <c r="I199" s="27" t="str">
        <f>IFERROR(__xludf.DUMMYFUNCTION("IF(A199="""","""",
TEXTJOIN(""-"",TRUE,
IFERROR(
  INDEX(FILTER(CFG_CODES!C:C, CFG_CODES!A:A=""CATEGORY"", UPPER(CFG_CODES!B:B)=UPPER(B199))),
  LEFT(UPPER(B199),3)
),
IFERROR(
  INDEX(FILTER(CFG_CODES!C:C, CFG_CODES!A:A=""MATERIAL"", UPPER(CFG_CODES!B:B)"&amp;"=UPPER(C199))),
  LEFT(UPPER(C199),3)
),
TEXT(ROW()-1,""000"")
))"),"M-MIS-198")</f>
        <v>M-MIS-198</v>
      </c>
      <c r="J199" s="39" t="s">
        <v>1688</v>
      </c>
      <c r="K199" s="39">
        <v>0.010309278350515464</v>
      </c>
      <c r="L199" s="39">
        <v>2.0</v>
      </c>
      <c r="M199" s="39">
        <v>0.0</v>
      </c>
      <c r="N199" s="39">
        <v>0.0</v>
      </c>
      <c r="O199" s="27">
        <v>0.0</v>
      </c>
      <c r="P199" s="27"/>
      <c r="Q199" s="80">
        <v>0.0</v>
      </c>
      <c r="R199" s="81" t="s">
        <v>1688</v>
      </c>
      <c r="S199" s="81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</row>
    <row r="200" ht="15.0" customHeight="1">
      <c r="A200" s="148" t="s">
        <v>755</v>
      </c>
      <c r="B200" s="39" t="s">
        <v>1812</v>
      </c>
      <c r="C200" s="129" t="s">
        <v>1815</v>
      </c>
      <c r="D200" s="53" t="s">
        <v>1566</v>
      </c>
      <c r="E200" s="27" t="s">
        <v>1566</v>
      </c>
      <c r="F200" s="27" t="s">
        <v>1566</v>
      </c>
      <c r="G200" s="39" t="s">
        <v>2014</v>
      </c>
      <c r="H200" s="39" t="s">
        <v>290</v>
      </c>
      <c r="I200" s="27" t="str">
        <f>IFERROR(__xludf.DUMMYFUNCTION("IF(A200="""","""",
TEXTJOIN(""-"",TRUE,
IFERROR(
  INDEX(FILTER(CFG_CODES!C:C, CFG_CODES!A:A=""CATEGORY"", UPPER(CFG_CODES!B:B)=UPPER(B200))),
  LEFT(UPPER(B200),3)
),
IFERROR(
  INDEX(FILTER(CFG_CODES!C:C, CFG_CODES!A:A=""MATERIAL"", UPPER(CFG_CODES!B:B)"&amp;"=UPPER(C200))),
  LEFT(UPPER(C200),3)
),
TEXT(ROW()-1,""000"")
))"),"CH-SOL-199")</f>
        <v>CH-SOL-199</v>
      </c>
      <c r="J200" s="39" t="s">
        <v>1688</v>
      </c>
      <c r="K200" s="39">
        <v>0.6701030927835051</v>
      </c>
      <c r="L200" s="39">
        <v>2.0</v>
      </c>
      <c r="M200" s="39">
        <v>0.0</v>
      </c>
      <c r="N200" s="39">
        <v>20.0</v>
      </c>
      <c r="O200" s="27">
        <v>0.0</v>
      </c>
      <c r="P200" s="27"/>
      <c r="Q200" s="80">
        <v>0.0</v>
      </c>
      <c r="R200" s="81" t="s">
        <v>2029</v>
      </c>
      <c r="S200" s="80">
        <v>45.5</v>
      </c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</row>
    <row r="201" ht="15.0" customHeight="1">
      <c r="A201" s="148" t="s">
        <v>995</v>
      </c>
      <c r="B201" s="39" t="s">
        <v>1807</v>
      </c>
      <c r="C201" s="148" t="s">
        <v>1889</v>
      </c>
      <c r="D201" s="135" t="s">
        <v>1566</v>
      </c>
      <c r="E201" s="27" t="s">
        <v>1566</v>
      </c>
      <c r="F201" s="27" t="s">
        <v>1566</v>
      </c>
      <c r="G201" s="27" t="s">
        <v>1566</v>
      </c>
      <c r="H201" s="39" t="s">
        <v>661</v>
      </c>
      <c r="I201" s="27" t="str">
        <f>IFERROR(__xludf.DUMMYFUNCTION("IF(A201="""","""",
TEXTJOIN(""-"",TRUE,
IFERROR(
  INDEX(FILTER(CFG_CODES!C:C, CFG_CODES!A:A=""CATEGORY"", UPPER(CFG_CODES!B:B)=UPPER(B201))),
  LEFT(UPPER(B201),3)
),
IFERROR(
  INDEX(FILTER(CFG_CODES!C:C, CFG_CODES!A:A=""MATERIAL"", UPPER(CFG_CODES!B:B)"&amp;"=UPPER(C201))),
  LEFT(UPPER(C201),3)
),
TEXT(ROW()-1,""000"")
))"),"C-FOI-200")</f>
        <v>C-FOI-200</v>
      </c>
      <c r="J201" s="39" t="s">
        <v>1688</v>
      </c>
      <c r="K201" s="39">
        <v>0.12371134020618557</v>
      </c>
      <c r="L201" s="39">
        <v>2.0</v>
      </c>
      <c r="M201" s="39">
        <v>2.0</v>
      </c>
      <c r="N201" s="39">
        <v>10.0</v>
      </c>
      <c r="O201" s="27">
        <v>0.4948453608247423</v>
      </c>
      <c r="P201" s="27"/>
      <c r="Q201" s="80">
        <v>186.0</v>
      </c>
      <c r="R201" s="81" t="s">
        <v>1688</v>
      </c>
      <c r="S201" s="81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</row>
    <row r="202" ht="15.0" customHeight="1">
      <c r="A202" s="148" t="s">
        <v>1792</v>
      </c>
      <c r="B202" s="39" t="s">
        <v>1225</v>
      </c>
      <c r="C202" s="129" t="s">
        <v>1642</v>
      </c>
      <c r="D202" s="129" t="s">
        <v>1647</v>
      </c>
      <c r="E202" s="39" t="s">
        <v>2032</v>
      </c>
      <c r="F202" s="27" t="s">
        <v>1566</v>
      </c>
      <c r="G202" s="27" t="s">
        <v>1566</v>
      </c>
      <c r="H202" s="39" t="s">
        <v>22</v>
      </c>
      <c r="I202" s="27" t="str">
        <f>IFERROR(__xludf.DUMMYFUNCTION("IF(A202="""","""",
TEXTJOIN(""-"",TRUE,
IFERROR(
  INDEX(FILTER(CFG_CODES!C:C, CFG_CODES!A:A=""CATEGORY"", UPPER(CFG_CODES!B:B)=UPPER(B202))),
  LEFT(UPPER(B202),3)
),
IFERROR(
  INDEX(FILTER(CFG_CODES!C:C, CFG_CODES!A:A=""MATERIAL"", UPPER(CFG_CODES!B:B)"&amp;"=UPPER(C202))),
  LEFT(UPPER(C202),3)
),
TEXT(ROW()-1,""000"")
))"),"P-OTH-201")</f>
        <v>P-OTH-201</v>
      </c>
      <c r="J202" s="39" t="s">
        <v>1688</v>
      </c>
      <c r="K202" s="39">
        <v>3.0927835051546393</v>
      </c>
      <c r="L202" s="39">
        <v>2.0</v>
      </c>
      <c r="M202" s="39">
        <v>0.0</v>
      </c>
      <c r="N202" s="39">
        <v>5.0</v>
      </c>
      <c r="O202" s="27">
        <v>0.0</v>
      </c>
      <c r="P202" s="27"/>
      <c r="Q202" s="80">
        <v>0.0</v>
      </c>
      <c r="R202" s="81" t="s">
        <v>1689</v>
      </c>
      <c r="S202" s="81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</row>
    <row r="203" ht="15.0" customHeight="1">
      <c r="A203" s="148" t="s">
        <v>1918</v>
      </c>
      <c r="B203" s="39" t="s">
        <v>1844</v>
      </c>
      <c r="C203" s="148" t="s">
        <v>1846</v>
      </c>
      <c r="D203" s="148" t="s">
        <v>2039</v>
      </c>
      <c r="E203" s="27" t="s">
        <v>1566</v>
      </c>
      <c r="F203" s="27" t="s">
        <v>1566</v>
      </c>
      <c r="G203" s="27" t="s">
        <v>1566</v>
      </c>
      <c r="H203" s="39" t="s">
        <v>661</v>
      </c>
      <c r="I203" s="27" t="str">
        <f>IFERROR(__xludf.DUMMYFUNCTION("IF(A203="""","""",
TEXTJOIN(""-"",TRUE,
IFERROR(
  INDEX(FILTER(CFG_CODES!C:C, CFG_CODES!A:A=""CATEGORY"", UPPER(CFG_CODES!B:B)=UPPER(B203))),
  LEFT(UPPER(B203),3)
),
IFERROR(
  INDEX(FILTER(CFG_CODES!C:C, CFG_CODES!A:A=""MATERIAL"", UPPER(CFG_CODES!B:B)"&amp;"=UPPER(C203))),
  LEFT(UPPER(C203),3)
),
TEXT(ROW()-1,""000"")
))"),"L-BOP-202")</f>
        <v>L-BOP-202</v>
      </c>
      <c r="J203" s="39" t="s">
        <v>1688</v>
      </c>
      <c r="K203" s="39">
        <v>0.010309278350515464</v>
      </c>
      <c r="L203" s="39">
        <v>2.0</v>
      </c>
      <c r="M203" s="39">
        <v>0.0</v>
      </c>
      <c r="N203" s="39">
        <v>1.0</v>
      </c>
      <c r="O203" s="27">
        <v>0.0</v>
      </c>
      <c r="P203" s="27"/>
      <c r="Q203" s="80">
        <v>0.0</v>
      </c>
      <c r="R203" s="81" t="s">
        <v>1689</v>
      </c>
      <c r="S203" s="81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</row>
    <row r="204" ht="15.0" customHeight="1">
      <c r="A204" s="148" t="s">
        <v>999</v>
      </c>
      <c r="B204" s="39" t="s">
        <v>1844</v>
      </c>
      <c r="C204" s="129" t="s">
        <v>1846</v>
      </c>
      <c r="D204" s="129" t="s">
        <v>2038</v>
      </c>
      <c r="E204" s="27" t="s">
        <v>1566</v>
      </c>
      <c r="F204" s="27" t="s">
        <v>1566</v>
      </c>
      <c r="G204" s="27" t="s">
        <v>1566</v>
      </c>
      <c r="H204" s="39" t="s">
        <v>661</v>
      </c>
      <c r="I204" s="27" t="str">
        <f>IFERROR(__xludf.DUMMYFUNCTION("IF(A204="""","""",
TEXTJOIN(""-"",TRUE,
IFERROR(
  INDEX(FILTER(CFG_CODES!C:C, CFG_CODES!A:A=""CATEGORY"", UPPER(CFG_CODES!B:B)=UPPER(B204))),
  LEFT(UPPER(B204),3)
),
IFERROR(
  INDEX(FILTER(CFG_CODES!C:C, CFG_CODES!A:A=""MATERIAL"", UPPER(CFG_CODES!B:B)"&amp;"=UPPER(C204))),
  LEFT(UPPER(C204),3)
),
TEXT(ROW()-1,""000"")
))"),"L-BOP-203")</f>
        <v>L-BOP-203</v>
      </c>
      <c r="J204" s="39" t="s">
        <v>1688</v>
      </c>
      <c r="K204" s="39">
        <v>0.020618556701030927</v>
      </c>
      <c r="L204" s="39">
        <v>2.0</v>
      </c>
      <c r="M204" s="39">
        <v>0.0</v>
      </c>
      <c r="N204" s="39">
        <v>1.0</v>
      </c>
      <c r="O204" s="27">
        <v>0.0</v>
      </c>
      <c r="P204" s="27"/>
      <c r="Q204" s="80">
        <v>49.0</v>
      </c>
      <c r="R204" s="81" t="s">
        <v>1689</v>
      </c>
      <c r="S204" s="81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</row>
    <row r="205" ht="15.0" customHeight="1">
      <c r="A205" s="148" t="s">
        <v>1002</v>
      </c>
      <c r="B205" s="39" t="s">
        <v>1674</v>
      </c>
      <c r="C205" s="148" t="s">
        <v>1691</v>
      </c>
      <c r="D205" s="135" t="s">
        <v>1566</v>
      </c>
      <c r="E205" s="27" t="s">
        <v>1566</v>
      </c>
      <c r="F205" s="27" t="s">
        <v>1566</v>
      </c>
      <c r="G205" s="39" t="s">
        <v>2040</v>
      </c>
      <c r="H205" s="39" t="s">
        <v>290</v>
      </c>
      <c r="I205" s="27" t="str">
        <f>IFERROR(__xludf.DUMMYFUNCTION("IF(A205="""","""",
TEXTJOIN(""-"",TRUE,
IFERROR(
  INDEX(FILTER(CFG_CODES!C:C, CFG_CODES!A:A=""CATEGORY"", UPPER(CFG_CODES!B:B)=UPPER(B205))),
  LEFT(UPPER(B205),3)
),
IFERROR(
  INDEX(FILTER(CFG_CODES!C:C, CFG_CODES!A:A=""MATERIAL"", UPPER(CFG_CODES!B:B)"&amp;"=UPPER(C205))),
  LEFT(UPPER(C205),3)
),
TEXT(ROW()-1,""000"")
))"),"I-PAN-204")</f>
        <v>I-PAN-204</v>
      </c>
      <c r="J205" s="39" t="s">
        <v>1688</v>
      </c>
      <c r="K205" s="39">
        <v>0.030927835051546393</v>
      </c>
      <c r="L205" s="39">
        <v>2.0</v>
      </c>
      <c r="M205" s="39">
        <v>0.0</v>
      </c>
      <c r="N205" s="39">
        <v>0.0</v>
      </c>
      <c r="O205" s="27">
        <v>0.0</v>
      </c>
      <c r="P205" s="27"/>
      <c r="Q205" s="80">
        <v>65.0</v>
      </c>
      <c r="R205" s="81" t="s">
        <v>1689</v>
      </c>
      <c r="S205" s="81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</row>
    <row r="206" ht="15.0" customHeight="1">
      <c r="A206" s="148" t="s">
        <v>1921</v>
      </c>
      <c r="B206" s="39" t="s">
        <v>1225</v>
      </c>
      <c r="C206" s="129" t="s">
        <v>1646</v>
      </c>
      <c r="D206" s="129" t="s">
        <v>1576</v>
      </c>
      <c r="E206" s="39" t="s">
        <v>2047</v>
      </c>
      <c r="F206" s="27" t="s">
        <v>1566</v>
      </c>
      <c r="G206" s="27" t="s">
        <v>1566</v>
      </c>
      <c r="H206" s="39" t="s">
        <v>22</v>
      </c>
      <c r="I206" s="27" t="str">
        <f>IFERROR(__xludf.DUMMYFUNCTION("IF(A206="""","""",
TEXTJOIN(""-"",TRUE,
IFERROR(
  INDEX(FILTER(CFG_CODES!C:C, CFG_CODES!A:A=""CATEGORY"", UPPER(CFG_CODES!B:B)=UPPER(B206))),
  LEFT(UPPER(B206),3)
),
IFERROR(
  INDEX(FILTER(CFG_CODES!C:C, CFG_CODES!A:A=""MATERIAL"", UPPER(CFG_CODES!B:B)"&amp;"=UPPER(C206))),
  LEFT(UPPER(C206),3)
),
TEXT(ROW()-1,""000"")
))"),"P-ART-205")</f>
        <v>P-ART-205</v>
      </c>
      <c r="J206" s="39" t="s">
        <v>1688</v>
      </c>
      <c r="K206" s="39">
        <v>64.43298969072166</v>
      </c>
      <c r="L206" s="39">
        <v>2.0</v>
      </c>
      <c r="M206" s="39">
        <v>0.0</v>
      </c>
      <c r="N206" s="39">
        <v>0.0</v>
      </c>
      <c r="O206" s="27">
        <v>0.0</v>
      </c>
      <c r="P206" s="27"/>
      <c r="Q206" s="80">
        <v>0.0</v>
      </c>
      <c r="R206" s="81" t="s">
        <v>1689</v>
      </c>
      <c r="S206" s="81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</row>
    <row r="207" ht="15.0" customHeight="1">
      <c r="A207" s="148" t="s">
        <v>1005</v>
      </c>
      <c r="B207" s="39" t="s">
        <v>1844</v>
      </c>
      <c r="C207" s="148" t="s">
        <v>1839</v>
      </c>
      <c r="D207" s="148" t="s">
        <v>2048</v>
      </c>
      <c r="E207" s="27" t="s">
        <v>1566</v>
      </c>
      <c r="F207" s="27" t="s">
        <v>1566</v>
      </c>
      <c r="G207" s="27" t="s">
        <v>1566</v>
      </c>
      <c r="H207" s="39" t="s">
        <v>643</v>
      </c>
      <c r="I207" s="27" t="str">
        <f>IFERROR(__xludf.DUMMYFUNCTION("IF(A207="""","""",
TEXTJOIN(""-"",TRUE,
IFERROR(
  INDEX(FILTER(CFG_CODES!C:C, CFG_CODES!A:A=""CATEGORY"", UPPER(CFG_CODES!B:B)=UPPER(B207))),
  LEFT(UPPER(B207),3)
),
IFERROR(
  INDEX(FILTER(CFG_CODES!C:C, CFG_CODES!A:A=""MATERIAL"", UPPER(CFG_CODES!B:B)"&amp;"=UPPER(C207))),
  LEFT(UPPER(C207),3)
),
TEXT(ROW()-1,""000"")
))"),"L-POL-206")</f>
        <v>L-POL-206</v>
      </c>
      <c r="J207" s="39" t="s">
        <v>1688</v>
      </c>
      <c r="K207" s="39">
        <v>0.0</v>
      </c>
      <c r="L207" s="39">
        <v>2.0</v>
      </c>
      <c r="M207" s="39">
        <v>0.0</v>
      </c>
      <c r="N207" s="39">
        <v>0.0</v>
      </c>
      <c r="O207" s="27" t="s">
        <v>1333</v>
      </c>
      <c r="P207" s="27"/>
      <c r="Q207" s="81"/>
      <c r="R207" s="81" t="s">
        <v>1689</v>
      </c>
      <c r="S207" s="81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</row>
    <row r="208" ht="15.0" customHeight="1">
      <c r="A208" s="148" t="s">
        <v>1009</v>
      </c>
      <c r="B208" s="39" t="s">
        <v>1225</v>
      </c>
      <c r="C208" s="129" t="s">
        <v>1562</v>
      </c>
      <c r="D208" s="129" t="s">
        <v>1603</v>
      </c>
      <c r="E208" s="39" t="s">
        <v>2049</v>
      </c>
      <c r="F208" s="27" t="s">
        <v>1566</v>
      </c>
      <c r="G208" s="27" t="s">
        <v>1566</v>
      </c>
      <c r="H208" s="39" t="s">
        <v>22</v>
      </c>
      <c r="I208" s="27" t="str">
        <f>IFERROR(__xludf.DUMMYFUNCTION("IF(A208="""","""",
TEXTJOIN(""-"",TRUE,
IFERROR(
  INDEX(FILTER(CFG_CODES!C:C, CFG_CODES!A:A=""CATEGORY"", UPPER(CFG_CODES!B:B)=UPPER(B208))),
  LEFT(UPPER(B208),3)
),
IFERROR(
  INDEX(FILTER(CFG_CODES!C:C, CFG_CODES!A:A=""MATERIAL"", UPPER(CFG_CODES!B:B)"&amp;"=UPPER(C208))),
  LEFT(UPPER(C208),3)
),
TEXT(ROW()-1,""000"")
))"),"P-SBS-207")</f>
        <v>P-SBS-207</v>
      </c>
      <c r="J208" s="39" t="s">
        <v>1688</v>
      </c>
      <c r="K208" s="39">
        <v>12.371134020618557</v>
      </c>
      <c r="L208" s="39">
        <v>2.0</v>
      </c>
      <c r="M208" s="39">
        <v>0.0</v>
      </c>
      <c r="N208" s="39">
        <v>0.0</v>
      </c>
      <c r="O208" s="27">
        <v>0.0</v>
      </c>
      <c r="P208" s="27"/>
      <c r="Q208" s="80">
        <v>24.0</v>
      </c>
      <c r="R208" s="81" t="s">
        <v>1689</v>
      </c>
      <c r="S208" s="81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</row>
    <row r="209" ht="15.0" customHeight="1">
      <c r="A209" s="55" t="s">
        <v>1012</v>
      </c>
      <c r="B209" s="39" t="s">
        <v>1225</v>
      </c>
      <c r="C209" s="148" t="s">
        <v>1562</v>
      </c>
      <c r="D209" s="148" t="s">
        <v>1582</v>
      </c>
      <c r="E209" s="39" t="s">
        <v>1575</v>
      </c>
      <c r="F209" s="27" t="s">
        <v>1566</v>
      </c>
      <c r="G209" s="27" t="s">
        <v>1566</v>
      </c>
      <c r="H209" s="39" t="s">
        <v>22</v>
      </c>
      <c r="I209" s="27" t="str">
        <f>IFERROR(__xludf.DUMMYFUNCTION("IF(A209="""","""",
TEXTJOIN(""-"",TRUE,
IFERROR(
  INDEX(FILTER(CFG_CODES!C:C, CFG_CODES!A:A=""CATEGORY"", UPPER(CFG_CODES!B:B)=UPPER(B209))),
  LEFT(UPPER(B209),3)
),
IFERROR(
  INDEX(FILTER(CFG_CODES!C:C, CFG_CODES!A:A=""MATERIAL"", UPPER(CFG_CODES!B:B)"&amp;"=UPPER(C209))),
  LEFT(UPPER(C209),3)
),
TEXT(ROW()-1,""000"")
))"),"P-SBS-208")</f>
        <v>P-SBS-208</v>
      </c>
      <c r="J209" s="39" t="s">
        <v>1688</v>
      </c>
      <c r="K209" s="39">
        <v>10.309278350515465</v>
      </c>
      <c r="L209" s="39">
        <v>2.0</v>
      </c>
      <c r="M209" s="39">
        <v>0.0</v>
      </c>
      <c r="N209" s="39">
        <v>0.0</v>
      </c>
      <c r="O209" s="27">
        <v>0.0</v>
      </c>
      <c r="P209" s="27"/>
      <c r="Q209" s="80">
        <v>0.0</v>
      </c>
      <c r="R209" s="81" t="s">
        <v>1689</v>
      </c>
      <c r="S209" s="81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</row>
    <row r="210" ht="15.0" customHeight="1">
      <c r="A210" s="55" t="s">
        <v>1700</v>
      </c>
      <c r="B210" s="39" t="s">
        <v>1225</v>
      </c>
      <c r="C210" s="129" t="s">
        <v>1562</v>
      </c>
      <c r="D210" s="129" t="s">
        <v>1600</v>
      </c>
      <c r="E210" s="39" t="s">
        <v>2049</v>
      </c>
      <c r="F210" s="27" t="s">
        <v>1566</v>
      </c>
      <c r="G210" s="27" t="s">
        <v>1566</v>
      </c>
      <c r="H210" s="39" t="s">
        <v>22</v>
      </c>
      <c r="I210" s="27" t="str">
        <f>IFERROR(__xludf.DUMMYFUNCTION("IF(A210="""","""",
TEXTJOIN(""-"",TRUE,
IFERROR(
  INDEX(FILTER(CFG_CODES!C:C, CFG_CODES!A:A=""CATEGORY"", UPPER(CFG_CODES!B:B)=UPPER(B210))),
  LEFT(UPPER(B210),3)
),
IFERROR(
  INDEX(FILTER(CFG_CODES!C:C, CFG_CODES!A:A=""MATERIAL"", UPPER(CFG_CODES!B:B)"&amp;"=UPPER(C210))),
  LEFT(UPPER(C210),3)
),
TEXT(ROW()-1,""000"")
))"),"P-SBS-209")</f>
        <v>P-SBS-209</v>
      </c>
      <c r="J210" s="39" t="s">
        <v>1688</v>
      </c>
      <c r="K210" s="39">
        <v>12.371134020618557</v>
      </c>
      <c r="L210" s="39">
        <v>2.0</v>
      </c>
      <c r="M210" s="39">
        <v>0.0</v>
      </c>
      <c r="N210" s="39">
        <v>0.0</v>
      </c>
      <c r="O210" s="27">
        <v>0.0</v>
      </c>
      <c r="P210" s="27"/>
      <c r="Q210" s="80">
        <v>0.0</v>
      </c>
      <c r="R210" s="81" t="s">
        <v>1689</v>
      </c>
      <c r="S210" s="81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</row>
    <row r="211" ht="15.0" customHeight="1">
      <c r="A211" s="148" t="s">
        <v>1702</v>
      </c>
      <c r="B211" s="39" t="s">
        <v>1225</v>
      </c>
      <c r="C211" s="148" t="s">
        <v>1562</v>
      </c>
      <c r="D211" s="148" t="s">
        <v>2055</v>
      </c>
      <c r="E211" s="39" t="s">
        <v>1574</v>
      </c>
      <c r="F211" s="27" t="s">
        <v>1566</v>
      </c>
      <c r="G211" s="27" t="s">
        <v>1566</v>
      </c>
      <c r="H211" s="39" t="s">
        <v>22</v>
      </c>
      <c r="I211" s="27" t="str">
        <f>IFERROR(__xludf.DUMMYFUNCTION("IF(A211="""","""",
TEXTJOIN(""-"",TRUE,
IFERROR(
  INDEX(FILTER(CFG_CODES!C:C, CFG_CODES!A:A=""CATEGORY"", UPPER(CFG_CODES!B:B)=UPPER(B211))),
  LEFT(UPPER(B211),3)
),
IFERROR(
  INDEX(FILTER(CFG_CODES!C:C, CFG_CODES!A:A=""MATERIAL"", UPPER(CFG_CODES!B:B)"&amp;"=UPPER(C211))),
  LEFT(UPPER(C211),3)
),
TEXT(ROW()-1,""000"")
))"),"P-SBS-210")</f>
        <v>P-SBS-210</v>
      </c>
      <c r="J211" s="39" t="s">
        <v>1688</v>
      </c>
      <c r="K211" s="39">
        <v>6.185567010309279</v>
      </c>
      <c r="L211" s="39">
        <v>2.0</v>
      </c>
      <c r="M211" s="39">
        <v>0.0</v>
      </c>
      <c r="N211" s="39">
        <v>0.0</v>
      </c>
      <c r="O211" s="27">
        <v>0.0</v>
      </c>
      <c r="P211" s="27"/>
      <c r="Q211" s="80">
        <v>0.0</v>
      </c>
      <c r="R211" s="81" t="s">
        <v>1689</v>
      </c>
      <c r="S211" s="81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</row>
    <row r="212" ht="15.0" customHeight="1">
      <c r="A212" s="55" t="s">
        <v>1015</v>
      </c>
      <c r="B212" s="39" t="s">
        <v>1225</v>
      </c>
      <c r="C212" s="129" t="s">
        <v>1562</v>
      </c>
      <c r="D212" s="129" t="s">
        <v>1573</v>
      </c>
      <c r="E212" s="39" t="s">
        <v>2057</v>
      </c>
      <c r="F212" s="27" t="s">
        <v>1566</v>
      </c>
      <c r="G212" s="27" t="s">
        <v>1566</v>
      </c>
      <c r="H212" s="39" t="s">
        <v>22</v>
      </c>
      <c r="I212" s="27" t="str">
        <f>IFERROR(__xludf.DUMMYFUNCTION("IF(A212="""","""",
TEXTJOIN(""-"",TRUE,
IFERROR(
  INDEX(FILTER(CFG_CODES!C:C, CFG_CODES!A:A=""CATEGORY"", UPPER(CFG_CODES!B:B)=UPPER(B212))),
  LEFT(UPPER(B212),3)
),
IFERROR(
  INDEX(FILTER(CFG_CODES!C:C, CFG_CODES!A:A=""MATERIAL"", UPPER(CFG_CODES!B:B)"&amp;"=UPPER(C212))),
  LEFT(UPPER(C212),3)
),
TEXT(ROW()-1,""000"")
))"),"P-SBS-211")</f>
        <v>P-SBS-211</v>
      </c>
      <c r="J212" s="39" t="s">
        <v>1688</v>
      </c>
      <c r="K212" s="39">
        <v>43.29896907216495</v>
      </c>
      <c r="L212" s="39">
        <v>2.0</v>
      </c>
      <c r="M212" s="39">
        <v>0.0</v>
      </c>
      <c r="N212" s="39">
        <v>0.0</v>
      </c>
      <c r="O212" s="27">
        <v>0.0</v>
      </c>
      <c r="P212" s="27"/>
      <c r="Q212" s="80">
        <v>21.0</v>
      </c>
      <c r="R212" s="81" t="s">
        <v>1689</v>
      </c>
      <c r="S212" s="81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</row>
    <row r="213" ht="15.0" customHeight="1">
      <c r="A213" s="148" t="s">
        <v>952</v>
      </c>
      <c r="B213" s="39" t="s">
        <v>1812</v>
      </c>
      <c r="C213" s="148" t="s">
        <v>1815</v>
      </c>
      <c r="D213" s="135" t="s">
        <v>1566</v>
      </c>
      <c r="E213" s="27" t="s">
        <v>1566</v>
      </c>
      <c r="F213" s="27" t="s">
        <v>1566</v>
      </c>
      <c r="G213" s="39" t="s">
        <v>2060</v>
      </c>
      <c r="H213" s="39" t="s">
        <v>616</v>
      </c>
      <c r="I213" s="27" t="str">
        <f>IFERROR(__xludf.DUMMYFUNCTION("IF(A213="""","""",
TEXTJOIN(""-"",TRUE,
IFERROR(
  INDEX(FILTER(CFG_CODES!C:C, CFG_CODES!A:A=""CATEGORY"", UPPER(CFG_CODES!B:B)=UPPER(B213))),
  LEFT(UPPER(B213),3)
),
IFERROR(
  INDEX(FILTER(CFG_CODES!C:C, CFG_CODES!A:A=""MATERIAL"", UPPER(CFG_CODES!B:B)"&amp;"=UPPER(C213))),
  LEFT(UPPER(C213),3)
),
TEXT(ROW()-1,""000"")
))"),"CH-SOL-212")</f>
        <v>CH-SOL-212</v>
      </c>
      <c r="J213" s="39" t="s">
        <v>1688</v>
      </c>
      <c r="K213" s="39">
        <v>0.25773195876288657</v>
      </c>
      <c r="L213" s="39">
        <v>2.0</v>
      </c>
      <c r="M213" s="39">
        <v>0.0</v>
      </c>
      <c r="N213" s="39">
        <v>5.0</v>
      </c>
      <c r="O213" s="27">
        <v>0.0</v>
      </c>
      <c r="P213" s="27"/>
      <c r="Q213" s="80">
        <v>19.0</v>
      </c>
      <c r="R213" s="81" t="s">
        <v>2029</v>
      </c>
      <c r="S213" s="80">
        <v>20.0</v>
      </c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</row>
    <row r="214" ht="15.0" customHeight="1">
      <c r="A214" s="148" t="s">
        <v>1019</v>
      </c>
      <c r="B214" s="39" t="s">
        <v>1830</v>
      </c>
      <c r="C214" s="129" t="s">
        <v>1830</v>
      </c>
      <c r="D214" s="53" t="s">
        <v>1566</v>
      </c>
      <c r="E214" s="27" t="s">
        <v>1566</v>
      </c>
      <c r="F214" s="27" t="s">
        <v>1566</v>
      </c>
      <c r="G214" s="27" t="s">
        <v>1566</v>
      </c>
      <c r="H214" s="39" t="s">
        <v>661</v>
      </c>
      <c r="I214" s="27" t="str">
        <f>IFERROR(__xludf.DUMMYFUNCTION("IF(A214="""","""",
TEXTJOIN(""-"",TRUE,
IFERROR(
  INDEX(FILTER(CFG_CODES!C:C, CFG_CODES!A:A=""CATEGORY"", UPPER(CFG_CODES!B:B)=UPPER(B214))),
  LEFT(UPPER(B214),3)
),
IFERROR(
  INDEX(FILTER(CFG_CODES!C:C, CFG_CODES!A:A=""MATERIAL"", UPPER(CFG_CODES!B:B)"&amp;"=UPPER(C214))),
  LEFT(UPPER(C214),3)
),
TEXT(ROW()-1,""000"")
))"),"M-MIS-213")</f>
        <v>M-MIS-213</v>
      </c>
      <c r="J214" s="39" t="s">
        <v>1688</v>
      </c>
      <c r="K214" s="39">
        <v>0.010309278350515464</v>
      </c>
      <c r="L214" s="39">
        <v>2.0</v>
      </c>
      <c r="M214" s="39">
        <v>0.0</v>
      </c>
      <c r="N214" s="39">
        <v>0.0</v>
      </c>
      <c r="O214" s="27">
        <v>0.0</v>
      </c>
      <c r="P214" s="27"/>
      <c r="Q214" s="80">
        <v>582.0</v>
      </c>
      <c r="R214" s="81" t="s">
        <v>1689</v>
      </c>
      <c r="S214" s="81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</row>
    <row r="215" ht="15.0" customHeight="1">
      <c r="A215" s="148" t="s">
        <v>794</v>
      </c>
      <c r="B215" s="39" t="s">
        <v>1225</v>
      </c>
      <c r="C215" s="148" t="s">
        <v>1646</v>
      </c>
      <c r="D215" s="175" t="s">
        <v>1576</v>
      </c>
      <c r="E215" s="39" t="s">
        <v>1645</v>
      </c>
      <c r="F215" s="27" t="s">
        <v>1566</v>
      </c>
      <c r="G215" s="27" t="s">
        <v>1566</v>
      </c>
      <c r="H215" s="39" t="s">
        <v>22</v>
      </c>
      <c r="I215" s="27" t="str">
        <f>IFERROR(__xludf.DUMMYFUNCTION("IF(A215="""","""",
TEXTJOIN(""-"",TRUE,
IFERROR(
  INDEX(FILTER(CFG_CODES!C:C, CFG_CODES!A:A=""CATEGORY"", UPPER(CFG_CODES!B:B)=UPPER(B215))),
  LEFT(UPPER(B215),3)
),
IFERROR(
  INDEX(FILTER(CFG_CODES!C:C, CFG_CODES!A:A=""MATERIAL"", UPPER(CFG_CODES!B:B)"&amp;"=UPPER(C215))),
  LEFT(UPPER(C215),3)
),
TEXT(ROW()-1,""000"")
))"),"P-ART-214")</f>
        <v>P-ART-214</v>
      </c>
      <c r="J215" s="39" t="s">
        <v>1688</v>
      </c>
      <c r="K215" s="39">
        <v>43.81443298969072</v>
      </c>
      <c r="L215" s="39">
        <v>2.0</v>
      </c>
      <c r="M215" s="39">
        <v>0.0</v>
      </c>
      <c r="N215" s="39">
        <v>0.0</v>
      </c>
      <c r="O215" s="27">
        <v>0.0</v>
      </c>
      <c r="P215" s="27"/>
      <c r="Q215" s="80">
        <v>0.0</v>
      </c>
      <c r="R215" s="81" t="s">
        <v>1689</v>
      </c>
      <c r="S215" s="81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</row>
    <row r="216" ht="15.0" customHeight="1">
      <c r="A216" s="148" t="s">
        <v>1022</v>
      </c>
      <c r="B216" s="39" t="s">
        <v>1807</v>
      </c>
      <c r="C216" s="129" t="s">
        <v>1889</v>
      </c>
      <c r="D216" s="53" t="s">
        <v>1566</v>
      </c>
      <c r="E216" s="27" t="s">
        <v>1566</v>
      </c>
      <c r="F216" s="39" t="s">
        <v>1876</v>
      </c>
      <c r="G216" s="27" t="s">
        <v>1566</v>
      </c>
      <c r="H216" s="39" t="s">
        <v>661</v>
      </c>
      <c r="I216" s="27" t="str">
        <f>IFERROR(__xludf.DUMMYFUNCTION("IF(A216="""","""",
TEXTJOIN(""-"",TRUE,
IFERROR(
  INDEX(FILTER(CFG_CODES!C:C, CFG_CODES!A:A=""CATEGORY"", UPPER(CFG_CODES!B:B)=UPPER(B216))),
  LEFT(UPPER(B216),3)
),
IFERROR(
  INDEX(FILTER(CFG_CODES!C:C, CFG_CODES!A:A=""MATERIAL"", UPPER(CFG_CODES!B:B)"&amp;"=UPPER(C216))),
  LEFT(UPPER(C216),3)
),
TEXT(ROW()-1,""000"")
))"),"C-FOI-215")</f>
        <v>C-FOI-215</v>
      </c>
      <c r="J216" s="39" t="s">
        <v>1688</v>
      </c>
      <c r="K216" s="39">
        <v>0.030927835051546393</v>
      </c>
      <c r="L216" s="39">
        <v>2.0</v>
      </c>
      <c r="M216" s="39">
        <v>0.0</v>
      </c>
      <c r="N216" s="39">
        <v>5.0</v>
      </c>
      <c r="O216" s="27">
        <v>0.0</v>
      </c>
      <c r="P216" s="27"/>
      <c r="Q216" s="80">
        <v>291.0</v>
      </c>
      <c r="R216" s="81" t="s">
        <v>1688</v>
      </c>
      <c r="S216" s="81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</row>
    <row r="217" ht="15.0" customHeight="1">
      <c r="A217" s="148" t="s">
        <v>1025</v>
      </c>
      <c r="B217" s="39" t="s">
        <v>1225</v>
      </c>
      <c r="C217" s="148" t="s">
        <v>1653</v>
      </c>
      <c r="D217" s="148" t="s">
        <v>1603</v>
      </c>
      <c r="E217" s="39" t="s">
        <v>1662</v>
      </c>
      <c r="F217" s="27" t="s">
        <v>1566</v>
      </c>
      <c r="G217" s="39" t="s">
        <v>1654</v>
      </c>
      <c r="H217" s="39" t="s">
        <v>22</v>
      </c>
      <c r="I217" s="27" t="str">
        <f>IFERROR(__xludf.DUMMYFUNCTION("IF(A217="""","""",
TEXTJOIN(""-"",TRUE,
IFERROR(
  INDEX(FILTER(CFG_CODES!C:C, CFG_CODES!A:A=""CATEGORY"", UPPER(CFG_CODES!B:B)=UPPER(B217))),
  LEFT(UPPER(B217),3)
),
IFERROR(
  INDEX(FILTER(CFG_CODES!C:C, CFG_CODES!A:A=""MATERIAL"", UPPER(CFG_CODES!B:B)"&amp;"=UPPER(C217))),
  LEFT(UPPER(C217),3)
),
TEXT(ROW()-1,""000"")
))"),"P-DUP-216")</f>
        <v>P-DUP-216</v>
      </c>
      <c r="J217" s="39" t="s">
        <v>1688</v>
      </c>
      <c r="K217" s="39">
        <v>0.0</v>
      </c>
      <c r="L217" s="39">
        <v>2.0</v>
      </c>
      <c r="M217" s="39">
        <v>0.0</v>
      </c>
      <c r="N217" s="176">
        <v>0.0</v>
      </c>
      <c r="O217" s="27" t="s">
        <v>1333</v>
      </c>
      <c r="P217" s="27"/>
      <c r="Q217" s="81"/>
      <c r="R217" s="81" t="s">
        <v>1689</v>
      </c>
      <c r="S217" s="81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</row>
    <row r="218" ht="15.0" customHeight="1">
      <c r="A218" s="148" t="s">
        <v>1028</v>
      </c>
      <c r="B218" s="39" t="s">
        <v>1225</v>
      </c>
      <c r="C218" s="129" t="s">
        <v>1653</v>
      </c>
      <c r="D218" s="129" t="s">
        <v>1573</v>
      </c>
      <c r="E218" s="39" t="s">
        <v>1572</v>
      </c>
      <c r="F218" s="27" t="s">
        <v>1566</v>
      </c>
      <c r="G218" s="39" t="s">
        <v>1654</v>
      </c>
      <c r="H218" s="39" t="s">
        <v>22</v>
      </c>
      <c r="I218" s="27" t="str">
        <f>IFERROR(__xludf.DUMMYFUNCTION("IF(A218="""","""",
TEXTJOIN(""-"",TRUE,
IFERROR(
  INDEX(FILTER(CFG_CODES!C:C, CFG_CODES!A:A=""CATEGORY"", UPPER(CFG_CODES!B:B)=UPPER(B218))),
  LEFT(UPPER(B218),3)
),
IFERROR(
  INDEX(FILTER(CFG_CODES!C:C, CFG_CODES!A:A=""MATERIAL"", UPPER(CFG_CODES!B:B)"&amp;"=UPPER(C218))),
  LEFT(UPPER(C218),3)
),
TEXT(ROW()-1,""000"")
))"),"P-DUP-217")</f>
        <v>P-DUP-217</v>
      </c>
      <c r="J218" s="39" t="s">
        <v>1688</v>
      </c>
      <c r="K218" s="39">
        <v>63.83505154639175</v>
      </c>
      <c r="L218" s="39">
        <v>2.0</v>
      </c>
      <c r="M218" s="39">
        <v>0.0</v>
      </c>
      <c r="N218" s="95">
        <v>0.0</v>
      </c>
      <c r="O218" s="27">
        <v>0.0</v>
      </c>
      <c r="P218" s="27"/>
      <c r="Q218" s="80">
        <v>29.0</v>
      </c>
      <c r="R218" s="81" t="s">
        <v>1689</v>
      </c>
      <c r="S218" s="81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</row>
    <row r="219" ht="15.0" customHeight="1">
      <c r="A219" s="2" t="s">
        <v>702</v>
      </c>
      <c r="B219" s="39" t="s">
        <v>1225</v>
      </c>
      <c r="C219" s="148" t="s">
        <v>1653</v>
      </c>
      <c r="D219" s="148" t="s">
        <v>1563</v>
      </c>
      <c r="E219" s="39" t="s">
        <v>1572</v>
      </c>
      <c r="F219" s="27" t="s">
        <v>1566</v>
      </c>
      <c r="G219" s="39" t="s">
        <v>1978</v>
      </c>
      <c r="H219" s="39" t="s">
        <v>22</v>
      </c>
      <c r="I219" s="27" t="str">
        <f>IFERROR(__xludf.DUMMYFUNCTION("IF(A219="""","""",
TEXTJOIN(""-"",TRUE,
IFERROR(
  INDEX(FILTER(CFG_CODES!C:C, CFG_CODES!A:A=""CATEGORY"", UPPER(CFG_CODES!B:B)=UPPER(B219))),
  LEFT(UPPER(B219),3)
),
IFERROR(
  INDEX(FILTER(CFG_CODES!C:C, CFG_CODES!A:A=""MATERIAL"", UPPER(CFG_CODES!B:B)"&amp;"=UPPER(C219))),
  LEFT(UPPER(C219),3)
),
TEXT(ROW()-1,""000"")
))"),"P-DUP-218")</f>
        <v>P-DUP-218</v>
      </c>
      <c r="J219" s="39" t="s">
        <v>1688</v>
      </c>
      <c r="K219" s="39">
        <v>31.175257731958762</v>
      </c>
      <c r="L219" s="39">
        <v>2.0</v>
      </c>
      <c r="M219" s="39">
        <v>0.0</v>
      </c>
      <c r="N219" s="176">
        <v>0.0</v>
      </c>
      <c r="O219" s="27">
        <v>0.0</v>
      </c>
      <c r="P219" s="27"/>
      <c r="Q219" s="80">
        <v>0.0</v>
      </c>
      <c r="R219" s="81" t="s">
        <v>1689</v>
      </c>
      <c r="S219" s="81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</row>
    <row r="220" ht="15.0" customHeight="1">
      <c r="A220" s="148" t="s">
        <v>1704</v>
      </c>
      <c r="B220" s="39" t="s">
        <v>1225</v>
      </c>
      <c r="C220" s="129" t="s">
        <v>1562</v>
      </c>
      <c r="D220" s="129" t="s">
        <v>2073</v>
      </c>
      <c r="E220" s="39" t="s">
        <v>1564</v>
      </c>
      <c r="F220" s="27" t="s">
        <v>1566</v>
      </c>
      <c r="G220" s="39" t="s">
        <v>1565</v>
      </c>
      <c r="H220" s="39" t="s">
        <v>22</v>
      </c>
      <c r="I220" s="27" t="str">
        <f>IFERROR(__xludf.DUMMYFUNCTION("IF(A220="""","""",
TEXTJOIN(""-"",TRUE,
IFERROR(
  INDEX(FILTER(CFG_CODES!C:C, CFG_CODES!A:A=""CATEGORY"", UPPER(CFG_CODES!B:B)=UPPER(B220))),
  LEFT(UPPER(B220),3)
),
IFERROR(
  INDEX(FILTER(CFG_CODES!C:C, CFG_CODES!A:A=""MATERIAL"", UPPER(CFG_CODES!B:B)"&amp;"=UPPER(C220))),
  LEFT(UPPER(C220),3)
),
TEXT(ROW()-1,""000"")
))"),"P-SBS-219")</f>
        <v>P-SBS-219</v>
      </c>
      <c r="J220" s="39" t="s">
        <v>1688</v>
      </c>
      <c r="K220" s="39">
        <v>9.278350515463918</v>
      </c>
      <c r="L220" s="39">
        <v>2.0</v>
      </c>
      <c r="M220" s="39">
        <v>0.0</v>
      </c>
      <c r="N220" s="95">
        <v>0.0</v>
      </c>
      <c r="O220" s="27">
        <v>0.0</v>
      </c>
      <c r="P220" s="27"/>
      <c r="Q220" s="80">
        <v>0.0</v>
      </c>
      <c r="R220" s="81" t="s">
        <v>1689</v>
      </c>
      <c r="S220" s="81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</row>
    <row r="221" ht="15.0" customHeight="1">
      <c r="A221" s="148" t="s">
        <v>1032</v>
      </c>
      <c r="B221" s="39" t="s">
        <v>1225</v>
      </c>
      <c r="C221" s="148" t="s">
        <v>1640</v>
      </c>
      <c r="D221" s="148" t="s">
        <v>1627</v>
      </c>
      <c r="E221" s="39" t="s">
        <v>1564</v>
      </c>
      <c r="F221" s="27" t="s">
        <v>1566</v>
      </c>
      <c r="G221" s="27" t="s">
        <v>1566</v>
      </c>
      <c r="H221" s="39" t="s">
        <v>22</v>
      </c>
      <c r="I221" s="27" t="str">
        <f>IFERROR(__xludf.DUMMYFUNCTION("IF(A221="""","""",
TEXTJOIN(""-"",TRUE,
IFERROR(
  INDEX(FILTER(CFG_CODES!C:C, CFG_CODES!A:A=""CATEGORY"", UPPER(CFG_CODES!B:B)=UPPER(B221))),
  LEFT(UPPER(B221),3)
),
IFERROR(
  INDEX(FILTER(CFG_CODES!C:C, CFG_CODES!A:A=""MATERIAL"", UPPER(CFG_CODES!B:B)"&amp;"=UPPER(C221))),
  LEFT(UPPER(C221),3)
),
TEXT(ROW()-1,""000"")
))"),"P-ART-220")</f>
        <v>P-ART-220</v>
      </c>
      <c r="J221" s="39" t="s">
        <v>1688</v>
      </c>
      <c r="K221" s="39">
        <v>4.123711340206185</v>
      </c>
      <c r="L221" s="39">
        <v>2.0</v>
      </c>
      <c r="M221" s="39">
        <v>0.0</v>
      </c>
      <c r="N221" s="176">
        <v>0.0</v>
      </c>
      <c r="O221" s="27">
        <v>0.0</v>
      </c>
      <c r="P221" s="27"/>
      <c r="Q221" s="80">
        <v>509.0</v>
      </c>
      <c r="R221" s="81" t="s">
        <v>1689</v>
      </c>
      <c r="S221" s="81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</row>
    <row r="222" ht="15.0" customHeight="1">
      <c r="A222" s="148" t="s">
        <v>1926</v>
      </c>
      <c r="B222" s="39" t="s">
        <v>1812</v>
      </c>
      <c r="C222" s="129" t="s">
        <v>1815</v>
      </c>
      <c r="D222" s="53" t="s">
        <v>1566</v>
      </c>
      <c r="E222" s="27" t="s">
        <v>1566</v>
      </c>
      <c r="F222" s="27" t="s">
        <v>1566</v>
      </c>
      <c r="G222" s="39" t="s">
        <v>2074</v>
      </c>
      <c r="H222" s="39" t="s">
        <v>290</v>
      </c>
      <c r="I222" s="27" t="str">
        <f>IFERROR(__xludf.DUMMYFUNCTION("IF(A222="""","""",
TEXTJOIN(""-"",TRUE,
IFERROR(
  INDEX(FILTER(CFG_CODES!C:C, CFG_CODES!A:A=""CATEGORY"", UPPER(CFG_CODES!B:B)=UPPER(B222))),
  LEFT(UPPER(B222),3)
),
IFERROR(
  INDEX(FILTER(CFG_CODES!C:C, CFG_CODES!A:A=""MATERIAL"", UPPER(CFG_CODES!B:B)"&amp;"=UPPER(C222))),
  LEFT(UPPER(C222),3)
),
TEXT(ROW()-1,""000"")
))"),"CH-SOL-221")</f>
        <v>CH-SOL-221</v>
      </c>
      <c r="J222" s="39" t="s">
        <v>1688</v>
      </c>
      <c r="K222" s="39">
        <v>0.05154639175257732</v>
      </c>
      <c r="L222" s="39">
        <v>2.0</v>
      </c>
      <c r="M222" s="39">
        <v>0.0</v>
      </c>
      <c r="N222" s="95">
        <v>5.0</v>
      </c>
      <c r="O222" s="27">
        <v>0.0</v>
      </c>
      <c r="P222" s="27"/>
      <c r="Q222" s="80">
        <v>0.0</v>
      </c>
      <c r="R222" s="81" t="s">
        <v>2029</v>
      </c>
      <c r="S222" s="143" t="s">
        <v>1863</v>
      </c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</row>
    <row r="223" ht="15.0" customHeight="1">
      <c r="A223" s="148" t="s">
        <v>1035</v>
      </c>
      <c r="B223" s="39" t="s">
        <v>1225</v>
      </c>
      <c r="C223" s="148" t="s">
        <v>1646</v>
      </c>
      <c r="D223" s="148" t="s">
        <v>1625</v>
      </c>
      <c r="E223" s="39" t="s">
        <v>2047</v>
      </c>
      <c r="F223" s="27" t="s">
        <v>1566</v>
      </c>
      <c r="G223" s="27" t="s">
        <v>1566</v>
      </c>
      <c r="H223" s="39" t="s">
        <v>22</v>
      </c>
      <c r="I223" s="27" t="str">
        <f>IFERROR(__xludf.DUMMYFUNCTION("IF(A223="""","""",
TEXTJOIN(""-"",TRUE,
IFERROR(
  INDEX(FILTER(CFG_CODES!C:C, CFG_CODES!A:A=""CATEGORY"", UPPER(CFG_CODES!B:B)=UPPER(B223))),
  LEFT(UPPER(B223),3)
),
IFERROR(
  INDEX(FILTER(CFG_CODES!C:C, CFG_CODES!A:A=""MATERIAL"", UPPER(CFG_CODES!B:B)"&amp;"=UPPER(C223))),
  LEFT(UPPER(C223),3)
),
TEXT(ROW()-1,""000"")
))"),"P-ART-222")</f>
        <v>P-ART-222</v>
      </c>
      <c r="J223" s="39" t="s">
        <v>1688</v>
      </c>
      <c r="K223" s="39">
        <v>3.711340206185567</v>
      </c>
      <c r="L223" s="39">
        <v>2.0</v>
      </c>
      <c r="M223" s="39">
        <v>0.0</v>
      </c>
      <c r="N223" s="176">
        <v>0.0</v>
      </c>
      <c r="O223" s="27">
        <v>0.0</v>
      </c>
      <c r="P223" s="27"/>
      <c r="Q223" s="80">
        <v>24.0</v>
      </c>
      <c r="R223" s="81" t="s">
        <v>1689</v>
      </c>
      <c r="S223" s="81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</row>
    <row r="224" ht="15.0" customHeight="1">
      <c r="A224" s="148" t="s">
        <v>1929</v>
      </c>
      <c r="B224" s="39" t="s">
        <v>1812</v>
      </c>
      <c r="C224" s="129" t="s">
        <v>1815</v>
      </c>
      <c r="D224" s="53" t="s">
        <v>1566</v>
      </c>
      <c r="E224" s="27" t="s">
        <v>1566</v>
      </c>
      <c r="F224" s="27" t="s">
        <v>1566</v>
      </c>
      <c r="G224" s="39" t="s">
        <v>2079</v>
      </c>
      <c r="H224" s="39" t="s">
        <v>616</v>
      </c>
      <c r="I224" s="27" t="str">
        <f>IFERROR(__xludf.DUMMYFUNCTION("IF(A224="""","""",
TEXTJOIN(""-"",TRUE,
IFERROR(
  INDEX(FILTER(CFG_CODES!C:C, CFG_CODES!A:A=""CATEGORY"", UPPER(CFG_CODES!B:B)=UPPER(B224))),
  LEFT(UPPER(B224),3)
),
IFERROR(
  INDEX(FILTER(CFG_CODES!C:C, CFG_CODES!A:A=""MATERIAL"", UPPER(CFG_CODES!B:B)"&amp;"=UPPER(C224))),
  LEFT(UPPER(C224),3)
),
TEXT(ROW()-1,""000"")
))"),"CH-SOL-223")</f>
        <v>CH-SOL-223</v>
      </c>
      <c r="J224" s="39" t="s">
        <v>1688</v>
      </c>
      <c r="K224" s="39">
        <v>0.20618556701030927</v>
      </c>
      <c r="L224" s="39">
        <v>2.0</v>
      </c>
      <c r="M224" s="39">
        <v>0.0</v>
      </c>
      <c r="N224" s="95">
        <v>20.0</v>
      </c>
      <c r="O224" s="27">
        <v>0.0</v>
      </c>
      <c r="P224" s="27"/>
      <c r="Q224" s="80">
        <v>97.0</v>
      </c>
      <c r="R224" s="81" t="s">
        <v>1689</v>
      </c>
      <c r="S224" s="81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</row>
    <row r="225" ht="15.0" customHeight="1">
      <c r="A225" s="148" t="s">
        <v>1794</v>
      </c>
      <c r="B225" s="39" t="s">
        <v>1225</v>
      </c>
      <c r="C225" s="148" t="s">
        <v>1642</v>
      </c>
      <c r="D225" s="148" t="s">
        <v>1625</v>
      </c>
      <c r="E225" s="27" t="s">
        <v>1566</v>
      </c>
      <c r="F225" s="27" t="s">
        <v>1566</v>
      </c>
      <c r="G225" s="39" t="s">
        <v>2081</v>
      </c>
      <c r="H225" s="39" t="s">
        <v>22</v>
      </c>
      <c r="I225" s="27" t="str">
        <f>IFERROR(__xludf.DUMMYFUNCTION("IF(A225="""","""",
TEXTJOIN(""-"",TRUE,
IFERROR(
  INDEX(FILTER(CFG_CODES!C:C, CFG_CODES!A:A=""CATEGORY"", UPPER(CFG_CODES!B:B)=UPPER(B225))),
  LEFT(UPPER(B225),3)
),
IFERROR(
  INDEX(FILTER(CFG_CODES!C:C, CFG_CODES!A:A=""MATERIAL"", UPPER(CFG_CODES!B:B)"&amp;"=UPPER(C225))),
  LEFT(UPPER(C225),3)
),
TEXT(ROW()-1,""000"")
))"),"P-OTH-224")</f>
        <v>P-OTH-224</v>
      </c>
      <c r="J225" s="39" t="s">
        <v>1688</v>
      </c>
      <c r="K225" s="39">
        <v>0.27835051546391754</v>
      </c>
      <c r="L225" s="39">
        <v>2.0</v>
      </c>
      <c r="M225" s="39">
        <v>0.0</v>
      </c>
      <c r="N225" s="176">
        <v>0.0</v>
      </c>
      <c r="O225" s="27">
        <v>0.0</v>
      </c>
      <c r="P225" s="27"/>
      <c r="Q225" s="80">
        <v>0.0</v>
      </c>
      <c r="R225" s="81" t="s">
        <v>1689</v>
      </c>
      <c r="S225" s="81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</row>
    <row r="226" ht="15.0" customHeight="1">
      <c r="A226" s="148" t="s">
        <v>279</v>
      </c>
      <c r="B226" s="39" t="s">
        <v>1674</v>
      </c>
      <c r="C226" s="129" t="s">
        <v>1675</v>
      </c>
      <c r="D226" s="53" t="s">
        <v>1566</v>
      </c>
      <c r="E226" s="27" t="s">
        <v>1566</v>
      </c>
      <c r="F226" s="39" t="s">
        <v>1682</v>
      </c>
      <c r="G226" s="27" t="s">
        <v>1566</v>
      </c>
      <c r="H226" s="39" t="s">
        <v>290</v>
      </c>
      <c r="I226" s="27" t="str">
        <f>IFERROR(__xludf.DUMMYFUNCTION("IF(A226="""","""",
TEXTJOIN(""-"",TRUE,
IFERROR(
  INDEX(FILTER(CFG_CODES!C:C, CFG_CODES!A:A=""CATEGORY"", UPPER(CFG_CODES!B:B)=UPPER(B226))),
  LEFT(UPPER(B226),3)
),
IFERROR(
  INDEX(FILTER(CFG_CODES!C:C, CFG_CODES!A:A=""MATERIAL"", UPPER(CFG_CODES!B:B)"&amp;"=UPPER(C226))),
  LEFT(UPPER(C226),3)
),
TEXT(ROW()-1,""000"")
))"),"I-CMY-225")</f>
        <v>I-CMY-225</v>
      </c>
      <c r="J226" s="39" t="s">
        <v>1688</v>
      </c>
      <c r="K226" s="39">
        <v>0.020618556701030927</v>
      </c>
      <c r="L226" s="39">
        <v>2.0</v>
      </c>
      <c r="M226" s="39">
        <v>1.0</v>
      </c>
      <c r="N226" s="95">
        <v>4.0</v>
      </c>
      <c r="O226" s="27">
        <v>0.041237113402061855</v>
      </c>
      <c r="P226" s="27"/>
      <c r="Q226" s="88">
        <v>97.0</v>
      </c>
      <c r="R226" s="143" t="s">
        <v>1688</v>
      </c>
      <c r="S226" s="143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</row>
    <row r="227" ht="15.0" customHeight="1">
      <c r="A227" s="148" t="s">
        <v>665</v>
      </c>
      <c r="B227" s="39" t="s">
        <v>1674</v>
      </c>
      <c r="C227" s="148" t="s">
        <v>1675</v>
      </c>
      <c r="D227" s="135" t="s">
        <v>1566</v>
      </c>
      <c r="E227" s="27" t="s">
        <v>1566</v>
      </c>
      <c r="F227" s="39" t="s">
        <v>1565</v>
      </c>
      <c r="G227" s="27" t="s">
        <v>1566</v>
      </c>
      <c r="H227" s="39" t="s">
        <v>290</v>
      </c>
      <c r="I227" s="27" t="str">
        <f>IFERROR(__xludf.DUMMYFUNCTION("IF(A227="""","""",
TEXTJOIN(""-"",TRUE,
IFERROR(
  INDEX(FILTER(CFG_CODES!C:C, CFG_CODES!A:A=""CATEGORY"", UPPER(CFG_CODES!B:B)=UPPER(B227))),
  LEFT(UPPER(B227),3)
),
IFERROR(
  INDEX(FILTER(CFG_CODES!C:C, CFG_CODES!A:A=""MATERIAL"", UPPER(CFG_CODES!B:B)"&amp;"=UPPER(C227))),
  LEFT(UPPER(C227),3)
),
TEXT(ROW()-1,""000"")
))"),"I-CMY-226")</f>
        <v>I-CMY-226</v>
      </c>
      <c r="J227" s="39" t="s">
        <v>1688</v>
      </c>
      <c r="K227" s="39">
        <v>0.030927835051546393</v>
      </c>
      <c r="L227" s="39">
        <v>2.0</v>
      </c>
      <c r="M227" s="143">
        <v>1.0</v>
      </c>
      <c r="N227" s="176">
        <v>4.0</v>
      </c>
      <c r="O227" s="27">
        <v>0.061855670103092786</v>
      </c>
      <c r="P227" s="27"/>
      <c r="Q227" s="4">
        <v>32.0</v>
      </c>
      <c r="R227" s="143" t="s">
        <v>1688</v>
      </c>
      <c r="S227" s="143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</row>
    <row r="228" ht="15.0" customHeight="1">
      <c r="A228" s="148" t="s">
        <v>689</v>
      </c>
      <c r="B228" s="39" t="s">
        <v>1674</v>
      </c>
      <c r="C228" s="129" t="s">
        <v>1675</v>
      </c>
      <c r="D228" s="53" t="s">
        <v>1566</v>
      </c>
      <c r="E228" s="27" t="s">
        <v>1566</v>
      </c>
      <c r="F228" s="39" t="s">
        <v>1680</v>
      </c>
      <c r="G228" s="27" t="s">
        <v>1566</v>
      </c>
      <c r="H228" s="39" t="s">
        <v>290</v>
      </c>
      <c r="I228" s="27" t="str">
        <f>IFERROR(__xludf.DUMMYFUNCTION("IF(A228="""","""",
TEXTJOIN(""-"",TRUE,
IFERROR(
  INDEX(FILTER(CFG_CODES!C:C, CFG_CODES!A:A=""CATEGORY"", UPPER(CFG_CODES!B:B)=UPPER(B228))),
  LEFT(UPPER(B228),3)
),
IFERROR(
  INDEX(FILTER(CFG_CODES!C:C, CFG_CODES!A:A=""MATERIAL"", UPPER(CFG_CODES!B:B)"&amp;"=UPPER(C228))),
  LEFT(UPPER(C228),3)
),
TEXT(ROW()-1,""000"")
))"),"I-CMY-227")</f>
        <v>I-CMY-227</v>
      </c>
      <c r="J228" s="39" t="s">
        <v>1688</v>
      </c>
      <c r="K228" s="39">
        <v>0.020618556701030927</v>
      </c>
      <c r="L228" s="39">
        <v>2.0</v>
      </c>
      <c r="M228" s="39">
        <v>1.0</v>
      </c>
      <c r="N228" s="95">
        <v>4.0</v>
      </c>
      <c r="O228" s="27">
        <v>0.041237113402061855</v>
      </c>
      <c r="P228" s="27"/>
      <c r="Q228" s="88">
        <v>97.0</v>
      </c>
      <c r="R228" s="143" t="s">
        <v>1688</v>
      </c>
      <c r="S228" s="143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</row>
    <row r="229" ht="15.0" customHeight="1">
      <c r="A229" s="148" t="s">
        <v>270</v>
      </c>
      <c r="B229" s="39" t="s">
        <v>1674</v>
      </c>
      <c r="C229" s="148" t="s">
        <v>1675</v>
      </c>
      <c r="D229" s="135" t="s">
        <v>1566</v>
      </c>
      <c r="E229" s="27" t="s">
        <v>1566</v>
      </c>
      <c r="F229" s="39" t="s">
        <v>1678</v>
      </c>
      <c r="G229" s="27" t="s">
        <v>1566</v>
      </c>
      <c r="H229" s="39" t="s">
        <v>290</v>
      </c>
      <c r="I229" s="27" t="str">
        <f>IFERROR(__xludf.DUMMYFUNCTION("IF(A229="""","""",
TEXTJOIN(""-"",TRUE,
IFERROR(
  INDEX(FILTER(CFG_CODES!C:C, CFG_CODES!A:A=""CATEGORY"", UPPER(CFG_CODES!B:B)=UPPER(B229))),
  LEFT(UPPER(B229),3)
),
IFERROR(
  INDEX(FILTER(CFG_CODES!C:C, CFG_CODES!A:A=""MATERIAL"", UPPER(CFG_CODES!B:B)"&amp;"=UPPER(C229))),
  LEFT(UPPER(C229),3)
),
TEXT(ROW()-1,""000"")
))"),"I-CMY-228")</f>
        <v>I-CMY-228</v>
      </c>
      <c r="J229" s="39" t="s">
        <v>1688</v>
      </c>
      <c r="K229" s="39">
        <v>0.030927835051546393</v>
      </c>
      <c r="L229" s="39">
        <v>2.0</v>
      </c>
      <c r="M229" s="39">
        <v>1.0</v>
      </c>
      <c r="N229" s="176">
        <v>4.0</v>
      </c>
      <c r="O229" s="27">
        <v>0.061855670103092786</v>
      </c>
      <c r="P229" s="27"/>
      <c r="Q229" s="88">
        <v>32.0</v>
      </c>
      <c r="R229" s="143" t="s">
        <v>1688</v>
      </c>
      <c r="S229" s="143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</row>
    <row r="230" ht="15.0" customHeight="1">
      <c r="A230" s="148" t="s">
        <v>673</v>
      </c>
      <c r="B230" s="39" t="s">
        <v>1674</v>
      </c>
      <c r="C230" s="129" t="s">
        <v>1675</v>
      </c>
      <c r="D230" s="53" t="s">
        <v>1566</v>
      </c>
      <c r="E230" s="27" t="s">
        <v>1566</v>
      </c>
      <c r="F230" s="39" t="s">
        <v>1676</v>
      </c>
      <c r="G230" s="27" t="s">
        <v>1566</v>
      </c>
      <c r="H230" s="39" t="s">
        <v>290</v>
      </c>
      <c r="I230" s="27" t="str">
        <f>IFERROR(__xludf.DUMMYFUNCTION("IF(A230="""","""",
TEXTJOIN(""-"",TRUE,
IFERROR(
  INDEX(FILTER(CFG_CODES!C:C, CFG_CODES!A:A=""CATEGORY"", UPPER(CFG_CODES!B:B)=UPPER(B230))),
  LEFT(UPPER(B230),3)
),
IFERROR(
  INDEX(FILTER(CFG_CODES!C:C, CFG_CODES!A:A=""MATERIAL"", UPPER(CFG_CODES!B:B)"&amp;"=UPPER(C230))),
  LEFT(UPPER(C230),3)
),
TEXT(ROW()-1,""000"")
))"),"I-CMY-229")</f>
        <v>I-CMY-229</v>
      </c>
      <c r="J230" s="39" t="s">
        <v>1688</v>
      </c>
      <c r="K230" s="39">
        <v>0.041237113402061855</v>
      </c>
      <c r="L230" s="39">
        <v>2.0</v>
      </c>
      <c r="M230" s="39">
        <v>1.0</v>
      </c>
      <c r="N230" s="95">
        <v>4.0</v>
      </c>
      <c r="O230" s="27">
        <v>0.08247422680412371</v>
      </c>
      <c r="P230" s="27"/>
      <c r="Q230" s="88">
        <v>0.0</v>
      </c>
      <c r="R230" s="143" t="s">
        <v>1688</v>
      </c>
      <c r="S230" s="143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</row>
    <row r="231" ht="15.0" customHeight="1">
      <c r="A231" s="148" t="s">
        <v>148</v>
      </c>
      <c r="B231" s="39" t="s">
        <v>1225</v>
      </c>
      <c r="C231" s="148" t="s">
        <v>1562</v>
      </c>
      <c r="D231" s="148" t="s">
        <v>1633</v>
      </c>
      <c r="E231" s="39" t="s">
        <v>1574</v>
      </c>
      <c r="F231" s="27" t="s">
        <v>1566</v>
      </c>
      <c r="G231" s="27" t="s">
        <v>1566</v>
      </c>
      <c r="H231" s="39" t="s">
        <v>22</v>
      </c>
      <c r="I231" s="27" t="str">
        <f>IFERROR(__xludf.DUMMYFUNCTION("IF(A231="""","""",
TEXTJOIN(""-"",TRUE,
IFERROR(
  INDEX(FILTER(CFG_CODES!C:C, CFG_CODES!A:A=""CATEGORY"", UPPER(CFG_CODES!B:B)=UPPER(B231))),
  LEFT(UPPER(B231),3)
),
IFERROR(
  INDEX(FILTER(CFG_CODES!C:C, CFG_CODES!A:A=""MATERIAL"", UPPER(CFG_CODES!B:B)"&amp;"=UPPER(C231))),
  LEFT(UPPER(C231),3)
),
TEXT(ROW()-1,""000"")
))"),"P-SBS-230")</f>
        <v>P-SBS-230</v>
      </c>
      <c r="J231" s="39" t="s">
        <v>1688</v>
      </c>
      <c r="K231" s="39">
        <v>64.63917525773196</v>
      </c>
      <c r="L231" s="39">
        <v>2.0</v>
      </c>
      <c r="M231" s="39">
        <v>1.0</v>
      </c>
      <c r="N231" s="95">
        <v>4.0</v>
      </c>
      <c r="O231" s="27">
        <v>129.27835051546393</v>
      </c>
      <c r="P231" s="27"/>
      <c r="Q231" s="80">
        <v>0.0</v>
      </c>
      <c r="R231" s="81" t="s">
        <v>1689</v>
      </c>
      <c r="S231" s="81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</row>
    <row r="232" ht="15.0" customHeight="1">
      <c r="A232" s="148" t="s">
        <v>1040</v>
      </c>
      <c r="B232" s="39" t="s">
        <v>1830</v>
      </c>
      <c r="C232" s="129" t="s">
        <v>1833</v>
      </c>
      <c r="D232" s="53" t="s">
        <v>1566</v>
      </c>
      <c r="E232" s="27" t="s">
        <v>1566</v>
      </c>
      <c r="F232" s="27" t="s">
        <v>1566</v>
      </c>
      <c r="G232" s="27" t="s">
        <v>1566</v>
      </c>
      <c r="H232" s="39" t="s">
        <v>643</v>
      </c>
      <c r="I232" s="27" t="str">
        <f>IFERROR(__xludf.DUMMYFUNCTION("IF(A232="""","""",
TEXTJOIN(""-"",TRUE,
IFERROR(
  INDEX(FILTER(CFG_CODES!C:C, CFG_CODES!A:A=""CATEGORY"", UPPER(CFG_CODES!B:B)=UPPER(B232))),
  LEFT(UPPER(B232),3)
),
IFERROR(
  INDEX(FILTER(CFG_CODES!C:C, CFG_CODES!A:A=""MATERIAL"", UPPER(CFG_CODES!B:B)"&amp;"=UPPER(C232))),
  LEFT(UPPER(C232),3)
),
TEXT(ROW()-1,""000"")
))"),"M-POW-231")</f>
        <v>M-POW-231</v>
      </c>
      <c r="J232" s="39" t="s">
        <v>1688</v>
      </c>
      <c r="K232" s="39">
        <v>0.15463917525773196</v>
      </c>
      <c r="L232" s="39">
        <v>2.0</v>
      </c>
      <c r="M232" s="39">
        <v>1.0</v>
      </c>
      <c r="N232" s="177"/>
      <c r="O232" s="27">
        <v>0.30927835051546393</v>
      </c>
      <c r="P232" s="27"/>
      <c r="Q232" s="80">
        <v>6.0</v>
      </c>
      <c r="R232" s="81" t="s">
        <v>1688</v>
      </c>
      <c r="S232" s="81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</row>
    <row r="233" ht="15.0" customHeight="1">
      <c r="A233" s="148" t="s">
        <v>1043</v>
      </c>
      <c r="B233" s="39" t="s">
        <v>1225</v>
      </c>
      <c r="C233" s="148" t="s">
        <v>1651</v>
      </c>
      <c r="D233" s="148" t="s">
        <v>1576</v>
      </c>
      <c r="E233" s="39" t="s">
        <v>2086</v>
      </c>
      <c r="F233" s="27" t="s">
        <v>1566</v>
      </c>
      <c r="G233" s="27" t="s">
        <v>1566</v>
      </c>
      <c r="H233" s="39" t="s">
        <v>22</v>
      </c>
      <c r="I233" s="27" t="str">
        <f>IFERROR(__xludf.DUMMYFUNCTION("IF(A233="""","""",
TEXTJOIN(""-"",TRUE,
IFERROR(
  INDEX(FILTER(CFG_CODES!C:C, CFG_CODES!A:A=""CATEGORY"", UPPER(CFG_CODES!B:B)=UPPER(B233))),
  LEFT(UPPER(B233),3)
),
IFERROR(
  INDEX(FILTER(CFG_CODES!C:C, CFG_CODES!A:A=""MATERIAL"", UPPER(CFG_CODES!B:B)"&amp;"=UPPER(C233))),
  LEFT(UPPER(C233),3)
),
TEXT(ROW()-1,""000"")
))"),"P-MAP-232")</f>
        <v>P-MAP-232</v>
      </c>
      <c r="J233" s="39" t="s">
        <v>1688</v>
      </c>
      <c r="K233" s="39">
        <v>7.731958762886598</v>
      </c>
      <c r="L233" s="39">
        <v>2.0</v>
      </c>
      <c r="M233" s="39">
        <v>2.0</v>
      </c>
      <c r="N233" s="178"/>
      <c r="O233" s="27">
        <v>30.927835051546392</v>
      </c>
      <c r="P233" s="27"/>
      <c r="Q233" s="80">
        <v>32.0</v>
      </c>
      <c r="R233" s="81" t="s">
        <v>1689</v>
      </c>
      <c r="S233" s="81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</row>
    <row r="234" ht="15.0" customHeight="1">
      <c r="A234" s="148" t="s">
        <v>904</v>
      </c>
      <c r="B234" s="39" t="s">
        <v>1807</v>
      </c>
      <c r="C234" s="129" t="s">
        <v>1807</v>
      </c>
      <c r="D234" s="53" t="s">
        <v>1566</v>
      </c>
      <c r="E234" s="27" t="s">
        <v>1566</v>
      </c>
      <c r="F234" s="27" t="s">
        <v>1566</v>
      </c>
      <c r="G234" s="39" t="s">
        <v>1808</v>
      </c>
      <c r="H234" s="39" t="s">
        <v>290</v>
      </c>
      <c r="I234" s="27" t="str">
        <f>IFERROR(__xludf.DUMMYFUNCTION("IF(A234="""","""",
TEXTJOIN(""-"",TRUE,
IFERROR(
  INDEX(FILTER(CFG_CODES!C:C, CFG_CODES!A:A=""CATEGORY"", UPPER(CFG_CODES!B:B)=UPPER(B234))),
  LEFT(UPPER(B234),3)
),
IFERROR(
  INDEX(FILTER(CFG_CODES!C:C, CFG_CODES!A:A=""MATERIAL"", UPPER(CFG_CODES!B:B)"&amp;"=UPPER(C234))),
  LEFT(UPPER(C234),3)
),
TEXT(ROW()-1,""000"")
))"),"C-COA-233")</f>
        <v>C-COA-233</v>
      </c>
      <c r="J234" s="39" t="s">
        <v>1688</v>
      </c>
      <c r="K234" s="39">
        <v>0.6185567010309279</v>
      </c>
      <c r="L234" s="39">
        <v>2.0</v>
      </c>
      <c r="M234" s="27"/>
      <c r="N234" s="177"/>
      <c r="O234" s="27">
        <v>0.0</v>
      </c>
      <c r="P234" s="27"/>
      <c r="Q234" s="80">
        <v>32.0</v>
      </c>
      <c r="R234" s="81" t="s">
        <v>1688</v>
      </c>
      <c r="S234" s="81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</row>
    <row r="235" ht="15.0" customHeight="1">
      <c r="A235" s="148" t="s">
        <v>1707</v>
      </c>
      <c r="B235" s="39" t="s">
        <v>1225</v>
      </c>
      <c r="C235" s="148" t="s">
        <v>1562</v>
      </c>
      <c r="D235" s="148" t="s">
        <v>2091</v>
      </c>
      <c r="E235" s="27" t="s">
        <v>1566</v>
      </c>
      <c r="F235" s="27" t="s">
        <v>1566</v>
      </c>
      <c r="G235" s="27" t="s">
        <v>1566</v>
      </c>
      <c r="H235" s="39" t="s">
        <v>22</v>
      </c>
      <c r="I235" s="27" t="str">
        <f>IFERROR(__xludf.DUMMYFUNCTION("IF(A235="""","""",
TEXTJOIN(""-"",TRUE,
IFERROR(
  INDEX(FILTER(CFG_CODES!C:C, CFG_CODES!A:A=""CATEGORY"", UPPER(CFG_CODES!B:B)=UPPER(B235))),
  LEFT(UPPER(B235),3)
),
IFERROR(
  INDEX(FILTER(CFG_CODES!C:C, CFG_CODES!A:A=""MATERIAL"", UPPER(CFG_CODES!B:B)"&amp;"=UPPER(C235))),
  LEFT(UPPER(C235),3)
),
TEXT(ROW()-1,""000"")
))"),"P-SBS-234")</f>
        <v>P-SBS-234</v>
      </c>
      <c r="J235" s="39" t="s">
        <v>1688</v>
      </c>
      <c r="K235" s="179">
        <v>20.61855670103093</v>
      </c>
      <c r="L235" s="39">
        <v>2.0</v>
      </c>
      <c r="M235" s="27"/>
      <c r="N235" s="178"/>
      <c r="O235" s="27">
        <v>0.0</v>
      </c>
      <c r="P235" s="27"/>
      <c r="Q235" s="80">
        <v>0.0</v>
      </c>
      <c r="R235" s="81" t="s">
        <v>1689</v>
      </c>
      <c r="S235" s="81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</row>
    <row r="236" ht="15.0" customHeight="1">
      <c r="A236" s="148" t="s">
        <v>1046</v>
      </c>
      <c r="B236" s="39" t="s">
        <v>1225</v>
      </c>
      <c r="C236" s="129" t="s">
        <v>1562</v>
      </c>
      <c r="D236" s="129" t="s">
        <v>1633</v>
      </c>
      <c r="E236" s="39" t="s">
        <v>2093</v>
      </c>
      <c r="F236" s="27" t="s">
        <v>1566</v>
      </c>
      <c r="G236" s="27" t="s">
        <v>1566</v>
      </c>
      <c r="H236" s="39" t="s">
        <v>22</v>
      </c>
      <c r="I236" s="27" t="str">
        <f>IFERROR(__xludf.DUMMYFUNCTION("IF(A236="""","""",
TEXTJOIN(""-"",TRUE,
IFERROR(
  INDEX(FILTER(CFG_CODES!C:C, CFG_CODES!A:A=""CATEGORY"", UPPER(CFG_CODES!B:B)=UPPER(B236))),
  LEFT(UPPER(B236),3)
),
IFERROR(
  INDEX(FILTER(CFG_CODES!C:C, CFG_CODES!A:A=""MATERIAL"", UPPER(CFG_CODES!B:B)"&amp;"=UPPER(C236))),
  LEFT(UPPER(C236),3)
),
TEXT(ROW()-1,""000"")
))"),"P-SBS-235")</f>
        <v>P-SBS-235</v>
      </c>
      <c r="J236" s="39" t="s">
        <v>1688</v>
      </c>
      <c r="K236" s="179">
        <v>93.29896907216495</v>
      </c>
      <c r="L236" s="39">
        <v>2.0</v>
      </c>
      <c r="M236" s="27"/>
      <c r="N236" s="177"/>
      <c r="O236" s="27">
        <v>0.0</v>
      </c>
      <c r="P236" s="27"/>
      <c r="Q236" s="80">
        <v>10.0</v>
      </c>
      <c r="R236" s="81" t="s">
        <v>1689</v>
      </c>
      <c r="S236" s="81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</row>
    <row r="237" ht="15.0" customHeight="1">
      <c r="A237" s="148" t="s">
        <v>1933</v>
      </c>
      <c r="B237" s="39" t="s">
        <v>1225</v>
      </c>
      <c r="C237" s="148" t="s">
        <v>1653</v>
      </c>
      <c r="D237" s="148" t="s">
        <v>1563</v>
      </c>
      <c r="E237" s="39" t="s">
        <v>1595</v>
      </c>
      <c r="F237" s="27" t="s">
        <v>1566</v>
      </c>
      <c r="G237" s="27" t="s">
        <v>1566</v>
      </c>
      <c r="H237" s="39" t="s">
        <v>22</v>
      </c>
      <c r="I237" s="27" t="str">
        <f>IFERROR(__xludf.DUMMYFUNCTION("IF(A237="""","""",
TEXTJOIN(""-"",TRUE,
IFERROR(
  INDEX(FILTER(CFG_CODES!C:C, CFG_CODES!A:A=""CATEGORY"", UPPER(CFG_CODES!B:B)=UPPER(B237))),
  LEFT(UPPER(B237),3)
),
IFERROR(
  INDEX(FILTER(CFG_CODES!C:C, CFG_CODES!A:A=""MATERIAL"", UPPER(CFG_CODES!B:B)"&amp;"=UPPER(C237))),
  LEFT(UPPER(C237),3)
),
TEXT(ROW()-1,""000"")
))"),"P-DUP-236")</f>
        <v>P-DUP-236</v>
      </c>
      <c r="J237" s="39" t="s">
        <v>1688</v>
      </c>
      <c r="K237" s="179">
        <v>22.2680412371134</v>
      </c>
      <c r="L237" s="39">
        <v>2.0</v>
      </c>
      <c r="M237" s="27"/>
      <c r="N237" s="178"/>
      <c r="O237" s="27">
        <v>0.0</v>
      </c>
      <c r="P237" s="27"/>
      <c r="Q237" s="80">
        <v>0.0</v>
      </c>
      <c r="R237" s="81" t="s">
        <v>1689</v>
      </c>
      <c r="S237" s="81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</row>
    <row r="238" ht="15.0" customHeight="1">
      <c r="A238" s="148" t="s">
        <v>1796</v>
      </c>
      <c r="B238" s="39" t="s">
        <v>1225</v>
      </c>
      <c r="C238" s="129" t="s">
        <v>1642</v>
      </c>
      <c r="D238" s="129" t="s">
        <v>1600</v>
      </c>
      <c r="E238" s="39" t="s">
        <v>1574</v>
      </c>
      <c r="F238" s="27" t="s">
        <v>1566</v>
      </c>
      <c r="G238" s="27" t="s">
        <v>1566</v>
      </c>
      <c r="H238" s="39" t="s">
        <v>22</v>
      </c>
      <c r="I238" s="27" t="str">
        <f>IFERROR(__xludf.DUMMYFUNCTION("IF(A238="""","""",
TEXTJOIN(""-"",TRUE,
IFERROR(
  INDEX(FILTER(CFG_CODES!C:C, CFG_CODES!A:A=""CATEGORY"", UPPER(CFG_CODES!B:B)=UPPER(B238))),
  LEFT(UPPER(B238),3)
),
IFERROR(
  INDEX(FILTER(CFG_CODES!C:C, CFG_CODES!A:A=""MATERIAL"", UPPER(CFG_CODES!B:B)"&amp;"=UPPER(C238))),
  LEFT(UPPER(C238),3)
),
TEXT(ROW()-1,""000"")
))"),"P-OTH-237")</f>
        <v>P-OTH-237</v>
      </c>
      <c r="J238" s="39" t="s">
        <v>1688</v>
      </c>
      <c r="K238" s="179">
        <v>7.216494845360825</v>
      </c>
      <c r="L238" s="39">
        <v>3.0</v>
      </c>
      <c r="M238" s="27"/>
      <c r="N238" s="177"/>
      <c r="O238" s="27">
        <v>0.0</v>
      </c>
      <c r="P238" s="27"/>
      <c r="Q238" s="80">
        <v>0.0</v>
      </c>
      <c r="R238" s="81" t="s">
        <v>1689</v>
      </c>
      <c r="S238" s="81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</row>
    <row r="239" ht="15.0" customHeight="1">
      <c r="A239" s="148" t="s">
        <v>1936</v>
      </c>
      <c r="B239" s="39" t="s">
        <v>1225</v>
      </c>
      <c r="C239" s="148" t="s">
        <v>1642</v>
      </c>
      <c r="D239" s="148" t="s">
        <v>2095</v>
      </c>
      <c r="E239" s="39" t="s">
        <v>1622</v>
      </c>
      <c r="F239" s="27" t="s">
        <v>1566</v>
      </c>
      <c r="G239" s="27" t="s">
        <v>1566</v>
      </c>
      <c r="H239" s="39" t="s">
        <v>22</v>
      </c>
      <c r="I239" s="27" t="str">
        <f>IFERROR(__xludf.DUMMYFUNCTION("IF(A239="""","""",
TEXTJOIN(""-"",TRUE,
IFERROR(
  INDEX(FILTER(CFG_CODES!C:C, CFG_CODES!A:A=""CATEGORY"", UPPER(CFG_CODES!B:B)=UPPER(B239))),
  LEFT(UPPER(B239),3)
),
IFERROR(
  INDEX(FILTER(CFG_CODES!C:C, CFG_CODES!A:A=""MATERIAL"", UPPER(CFG_CODES!B:B)"&amp;"=UPPER(C239))),
  LEFT(UPPER(C239),3)
),
TEXT(ROW()-1,""000"")
))"),"P-OTH-238")</f>
        <v>P-OTH-238</v>
      </c>
      <c r="J239" s="39" t="s">
        <v>1688</v>
      </c>
      <c r="K239" s="179">
        <v>4.123711340206185</v>
      </c>
      <c r="L239" s="39">
        <v>3.0</v>
      </c>
      <c r="M239" s="27"/>
      <c r="N239" s="178"/>
      <c r="O239" s="27">
        <v>0.0</v>
      </c>
      <c r="P239" s="27"/>
      <c r="Q239" s="80">
        <v>0.0</v>
      </c>
      <c r="R239" s="81" t="s">
        <v>1689</v>
      </c>
      <c r="S239" s="81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</row>
    <row r="240" ht="15.0" customHeight="1">
      <c r="A240" s="148" t="s">
        <v>1939</v>
      </c>
      <c r="B240" s="39" t="s">
        <v>1225</v>
      </c>
      <c r="C240" s="129" t="s">
        <v>1642</v>
      </c>
      <c r="D240" s="129" t="s">
        <v>1563</v>
      </c>
      <c r="E240" s="143" t="s">
        <v>1622</v>
      </c>
      <c r="F240" s="27" t="s">
        <v>1566</v>
      </c>
      <c r="G240" s="27" t="s">
        <v>1566</v>
      </c>
      <c r="H240" s="39" t="s">
        <v>22</v>
      </c>
      <c r="I240" s="27" t="str">
        <f>IFERROR(__xludf.DUMMYFUNCTION("IF(A240="""","""",
TEXTJOIN(""-"",TRUE,
IFERROR(
  INDEX(FILTER(CFG_CODES!C:C, CFG_CODES!A:A=""CATEGORY"", UPPER(CFG_CODES!B:B)=UPPER(B240))),
  LEFT(UPPER(B240),3)
),
IFERROR(
  INDEX(FILTER(CFG_CODES!C:C, CFG_CODES!A:A=""MATERIAL"", UPPER(CFG_CODES!B:B)"&amp;"=UPPER(C240))),
  LEFT(UPPER(C240),3)
),
TEXT(ROW()-1,""000"")
))"),"P-OTH-239")</f>
        <v>P-OTH-239</v>
      </c>
      <c r="J240" s="39" t="s">
        <v>1688</v>
      </c>
      <c r="K240" s="88">
        <v>7.216494845360825</v>
      </c>
      <c r="L240" s="143">
        <v>3.0</v>
      </c>
      <c r="M240" s="81"/>
      <c r="N240" s="177"/>
      <c r="O240" s="81">
        <v>0.0</v>
      </c>
      <c r="P240" s="81"/>
      <c r="Q240" s="80">
        <v>0.0</v>
      </c>
      <c r="R240" s="81" t="s">
        <v>1689</v>
      </c>
      <c r="S240" s="81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</row>
    <row r="241" ht="15.0" customHeight="1">
      <c r="A241" s="148" t="s">
        <v>518</v>
      </c>
      <c r="B241" s="39" t="s">
        <v>1812</v>
      </c>
      <c r="C241" s="148" t="s">
        <v>1815</v>
      </c>
      <c r="D241" s="135" t="s">
        <v>1566</v>
      </c>
      <c r="E241" s="27" t="s">
        <v>1566</v>
      </c>
      <c r="F241" s="27" t="s">
        <v>1566</v>
      </c>
      <c r="G241" s="39" t="s">
        <v>2098</v>
      </c>
      <c r="H241" s="143" t="s">
        <v>290</v>
      </c>
      <c r="I241" s="27" t="str">
        <f>IFERROR(__xludf.DUMMYFUNCTION("IF(A241="""","""",
TEXTJOIN(""-"",TRUE,
IFERROR(
  INDEX(FILTER(CFG_CODES!C:C, CFG_CODES!A:A=""CATEGORY"", UPPER(CFG_CODES!B:B)=UPPER(B241))),
  LEFT(UPPER(B241),3)
),
IFERROR(
  INDEX(FILTER(CFG_CODES!C:C, CFG_CODES!A:A=""MATERIAL"", UPPER(CFG_CODES!B:B)"&amp;"=UPPER(C241))),
  LEFT(UPPER(C241),3)
),
TEXT(ROW()-1,""000"")
))"),"CH-SOL-240")</f>
        <v>CH-SOL-240</v>
      </c>
      <c r="J241" s="39" t="s">
        <v>1688</v>
      </c>
      <c r="K241" s="88">
        <v>0.41237113402061853</v>
      </c>
      <c r="L241" s="143">
        <v>2.0</v>
      </c>
      <c r="M241" s="81"/>
      <c r="N241" s="176">
        <v>20.0</v>
      </c>
      <c r="O241" s="81">
        <v>0.0</v>
      </c>
      <c r="P241" s="81"/>
      <c r="Q241" s="80">
        <v>0.0</v>
      </c>
      <c r="R241" s="81" t="s">
        <v>2029</v>
      </c>
      <c r="S241" s="143">
        <v>66.0</v>
      </c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</row>
    <row r="242" ht="15.0" customHeight="1">
      <c r="A242" s="148" t="s">
        <v>1941</v>
      </c>
      <c r="B242" s="39" t="s">
        <v>1225</v>
      </c>
      <c r="C242" s="129" t="s">
        <v>1653</v>
      </c>
      <c r="D242" s="129" t="s">
        <v>2099</v>
      </c>
      <c r="E242" s="143" t="s">
        <v>1662</v>
      </c>
      <c r="F242" s="27" t="s">
        <v>1566</v>
      </c>
      <c r="G242" s="143" t="s">
        <v>2100</v>
      </c>
      <c r="H242" s="143" t="s">
        <v>22</v>
      </c>
      <c r="I242" s="27" t="str">
        <f>IFERROR(__xludf.DUMMYFUNCTION("IF(A242="""","""",
TEXTJOIN(""-"",TRUE,
IFERROR(
  INDEX(FILTER(CFG_CODES!C:C, CFG_CODES!A:A=""CATEGORY"", UPPER(CFG_CODES!B:B)=UPPER(B242))),
  LEFT(UPPER(B242),3)
),
IFERROR(
  INDEX(FILTER(CFG_CODES!C:C, CFG_CODES!A:A=""MATERIAL"", UPPER(CFG_CODES!B:B)"&amp;"=UPPER(C242))),
  LEFT(UPPER(C242),3)
),
TEXT(ROW()-1,""000"")
))"),"P-DUP-241")</f>
        <v>P-DUP-241</v>
      </c>
      <c r="J242" s="39" t="s">
        <v>1688</v>
      </c>
      <c r="K242" s="88">
        <v>330.63917525773195</v>
      </c>
      <c r="L242" s="143">
        <v>3.0</v>
      </c>
      <c r="M242" s="81"/>
      <c r="N242" s="177"/>
      <c r="O242" s="81">
        <v>0.0</v>
      </c>
      <c r="P242" s="81"/>
      <c r="Q242" s="80">
        <v>0.0</v>
      </c>
      <c r="R242" s="81" t="s">
        <v>1689</v>
      </c>
      <c r="S242" s="81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</row>
    <row r="243" ht="15.0" customHeight="1">
      <c r="A243" s="148" t="s">
        <v>1049</v>
      </c>
      <c r="B243" s="39" t="s">
        <v>1821</v>
      </c>
      <c r="C243" s="148" t="s">
        <v>1821</v>
      </c>
      <c r="D243" s="135" t="s">
        <v>1566</v>
      </c>
      <c r="E243" s="27" t="s">
        <v>1566</v>
      </c>
      <c r="F243" s="27" t="s">
        <v>1566</v>
      </c>
      <c r="G243" s="143" t="s">
        <v>2101</v>
      </c>
      <c r="H243" s="143" t="s">
        <v>290</v>
      </c>
      <c r="I243" s="27" t="str">
        <f>IFERROR(__xludf.DUMMYFUNCTION("IF(A243="""","""",
TEXTJOIN(""-"",TRUE,
IFERROR(
  INDEX(FILTER(CFG_CODES!C:C, CFG_CODES!A:A=""CATEGORY"", UPPER(CFG_CODES!B:B)=UPPER(B243))),
  LEFT(UPPER(B243),3)
),
IFERROR(
  INDEX(FILTER(CFG_CODES!C:C, CFG_CODES!A:A=""MATERIAL"", UPPER(CFG_CODES!B:B)"&amp;"=UPPER(C243))),
  LEFT(UPPER(C243),3)
),
TEXT(ROW()-1,""000"")
))"),"A-ADH-242")</f>
        <v>A-ADH-242</v>
      </c>
      <c r="J243" s="39" t="s">
        <v>1688</v>
      </c>
      <c r="K243" s="88">
        <v>2.8350515463917527</v>
      </c>
      <c r="L243" s="143">
        <v>3.0</v>
      </c>
      <c r="M243" s="81"/>
      <c r="N243" s="178"/>
      <c r="O243" s="81">
        <v>0.0</v>
      </c>
      <c r="P243" s="81"/>
      <c r="Q243" s="88">
        <v>97.0</v>
      </c>
      <c r="R243" s="81" t="s">
        <v>1689</v>
      </c>
      <c r="S243" s="81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</row>
    <row r="244" ht="15.0" customHeight="1">
      <c r="A244" s="148" t="s">
        <v>1787</v>
      </c>
      <c r="B244" s="39" t="s">
        <v>1225</v>
      </c>
      <c r="C244" s="129" t="s">
        <v>1640</v>
      </c>
      <c r="D244" s="129" t="s">
        <v>1576</v>
      </c>
      <c r="E244" s="39" t="s">
        <v>1662</v>
      </c>
      <c r="F244" s="27" t="s">
        <v>1566</v>
      </c>
      <c r="G244" s="27" t="s">
        <v>1566</v>
      </c>
      <c r="H244" s="143" t="s">
        <v>22</v>
      </c>
      <c r="I244" s="27" t="str">
        <f>IFERROR(__xludf.DUMMYFUNCTION("IF(A244="""","""",
TEXTJOIN(""-"",TRUE,
IFERROR(
  INDEX(FILTER(CFG_CODES!C:C, CFG_CODES!A:A=""CATEGORY"", UPPER(CFG_CODES!B:B)=UPPER(B244))),
  LEFT(UPPER(B244),3)
),
IFERROR(
  INDEX(FILTER(CFG_CODES!C:C, CFG_CODES!A:A=""MATERIAL"", UPPER(CFG_CODES!B:B)"&amp;"=UPPER(C244))),
  LEFT(UPPER(C244),3)
),
TEXT(ROW()-1,""000"")
))"),"P-ART-243")</f>
        <v>P-ART-243</v>
      </c>
      <c r="J244" s="39" t="s">
        <v>1688</v>
      </c>
      <c r="K244" s="88">
        <v>6.443298969072165</v>
      </c>
      <c r="L244" s="143">
        <v>3.0</v>
      </c>
      <c r="M244" s="81"/>
      <c r="N244" s="177"/>
      <c r="O244" s="81">
        <v>0.0</v>
      </c>
      <c r="P244" s="81"/>
      <c r="Q244" s="80">
        <v>0.0</v>
      </c>
      <c r="R244" s="81" t="s">
        <v>1689</v>
      </c>
      <c r="S244" s="81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</row>
    <row r="245" ht="15.0" customHeight="1">
      <c r="A245" s="2" t="s">
        <v>1709</v>
      </c>
      <c r="B245" s="39" t="s">
        <v>1225</v>
      </c>
      <c r="C245" s="148" t="s">
        <v>1562</v>
      </c>
      <c r="D245" s="148" t="s">
        <v>1582</v>
      </c>
      <c r="E245" s="39" t="s">
        <v>1572</v>
      </c>
      <c r="F245" s="27" t="s">
        <v>1566</v>
      </c>
      <c r="G245" s="27" t="s">
        <v>1566</v>
      </c>
      <c r="H245" s="143" t="s">
        <v>22</v>
      </c>
      <c r="I245" s="27" t="str">
        <f>IFERROR(__xludf.DUMMYFUNCTION("IF(A245="""","""",
TEXTJOIN(""-"",TRUE,
IFERROR(
  INDEX(FILTER(CFG_CODES!C:C, CFG_CODES!A:A=""CATEGORY"", UPPER(CFG_CODES!B:B)=UPPER(B245))),
  LEFT(UPPER(B245),3)
),
IFERROR(
  INDEX(FILTER(CFG_CODES!C:C, CFG_CODES!A:A=""MATERIAL"", UPPER(CFG_CODES!B:B)"&amp;"=UPPER(C245))),
  LEFT(UPPER(C245),3)
),
TEXT(ROW()-1,""000"")
))"),"P-SBS-244")</f>
        <v>P-SBS-244</v>
      </c>
      <c r="J245" s="39" t="s">
        <v>1688</v>
      </c>
      <c r="K245" s="88">
        <v>11.381443298969073</v>
      </c>
      <c r="L245" s="143">
        <v>3.0</v>
      </c>
      <c r="M245" s="81"/>
      <c r="N245" s="178"/>
      <c r="O245" s="81">
        <v>0.0</v>
      </c>
      <c r="P245" s="81"/>
      <c r="Q245" s="80">
        <v>0.0</v>
      </c>
      <c r="R245" s="81" t="s">
        <v>1689</v>
      </c>
      <c r="S245" s="81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</row>
    <row r="246" ht="15.0" customHeight="1">
      <c r="A246" s="148" t="s">
        <v>1052</v>
      </c>
      <c r="B246" s="39" t="s">
        <v>1830</v>
      </c>
      <c r="C246" s="129" t="s">
        <v>1642</v>
      </c>
      <c r="D246" s="53" t="s">
        <v>1566</v>
      </c>
      <c r="E246" s="27" t="s">
        <v>1566</v>
      </c>
      <c r="F246" s="27" t="s">
        <v>1566</v>
      </c>
      <c r="G246" s="27" t="s">
        <v>1566</v>
      </c>
      <c r="H246" s="143" t="s">
        <v>290</v>
      </c>
      <c r="I246" s="27" t="str">
        <f>IFERROR(__xludf.DUMMYFUNCTION("IF(A246="""","""",
TEXTJOIN(""-"",TRUE,
IFERROR(
  INDEX(FILTER(CFG_CODES!C:C, CFG_CODES!A:A=""CATEGORY"", UPPER(CFG_CODES!B:B)=UPPER(B246))),
  LEFT(UPPER(B246),3)
),
IFERROR(
  INDEX(FILTER(CFG_CODES!C:C, CFG_CODES!A:A=""MATERIAL"", UPPER(CFG_CODES!B:B)"&amp;"=UPPER(C246))),
  LEFT(UPPER(C246),3)
),
TEXT(ROW()-1,""000"")
))"),"M-OTH-245")</f>
        <v>M-OTH-245</v>
      </c>
      <c r="J246" s="39" t="s">
        <v>1688</v>
      </c>
      <c r="K246" s="88">
        <v>0.05154639175257732</v>
      </c>
      <c r="L246" s="143">
        <v>3.0</v>
      </c>
      <c r="M246" s="81"/>
      <c r="N246" s="177"/>
      <c r="O246" s="81">
        <v>0.0</v>
      </c>
      <c r="P246" s="81"/>
      <c r="Q246" s="88">
        <v>330.0</v>
      </c>
      <c r="R246" s="81" t="s">
        <v>1688</v>
      </c>
      <c r="S246" s="81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</row>
    <row r="247" ht="15.0" customHeight="1">
      <c r="A247" s="2" t="s">
        <v>1945</v>
      </c>
      <c r="B247" s="39" t="s">
        <v>1674</v>
      </c>
      <c r="C247" s="148" t="s">
        <v>1691</v>
      </c>
      <c r="D247" s="135" t="s">
        <v>1566</v>
      </c>
      <c r="E247" s="27" t="s">
        <v>1566</v>
      </c>
      <c r="F247" s="143" t="s">
        <v>2103</v>
      </c>
      <c r="G247" s="27" t="s">
        <v>1566</v>
      </c>
      <c r="H247" s="143" t="s">
        <v>290</v>
      </c>
      <c r="I247" s="27" t="str">
        <f>IFERROR(__xludf.DUMMYFUNCTION("IF(A247="""","""",
TEXTJOIN(""-"",TRUE,
IFERROR(
  INDEX(FILTER(CFG_CODES!C:C, CFG_CODES!A:A=""CATEGORY"", UPPER(CFG_CODES!B:B)=UPPER(B247))),
  LEFT(UPPER(B247),3)
),
IFERROR(
  INDEX(FILTER(CFG_CODES!C:C, CFG_CODES!A:A=""MATERIAL"", UPPER(CFG_CODES!B:B)"&amp;"=UPPER(C247))),
  LEFT(UPPER(C247),3)
),
TEXT(ROW()-1,""000"")
))"),"I-PAN-246")</f>
        <v>I-PAN-246</v>
      </c>
      <c r="J247" s="143" t="s">
        <v>1688</v>
      </c>
      <c r="K247" s="88">
        <v>0.010309278350515464</v>
      </c>
      <c r="L247" s="143">
        <v>3.0</v>
      </c>
      <c r="M247" s="81"/>
      <c r="N247" s="178"/>
      <c r="O247" s="81">
        <v>0.0</v>
      </c>
      <c r="P247" s="81"/>
      <c r="Q247" s="80">
        <v>0.0</v>
      </c>
      <c r="R247" s="81" t="s">
        <v>1689</v>
      </c>
      <c r="S247" s="81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</row>
    <row r="248" ht="15.0" customHeight="1">
      <c r="A248" s="148" t="s">
        <v>976</v>
      </c>
      <c r="B248" s="39" t="s">
        <v>1830</v>
      </c>
      <c r="C248" s="129" t="s">
        <v>1642</v>
      </c>
      <c r="D248" s="53" t="s">
        <v>1566</v>
      </c>
      <c r="E248" s="27" t="s">
        <v>1566</v>
      </c>
      <c r="F248" s="27" t="s">
        <v>1566</v>
      </c>
      <c r="G248" s="27" t="s">
        <v>1566</v>
      </c>
      <c r="H248" s="143" t="s">
        <v>661</v>
      </c>
      <c r="I248" s="27" t="str">
        <f>IFERROR(__xludf.DUMMYFUNCTION("IF(A248="""","""",
TEXTJOIN(""-"",TRUE,
IFERROR(
  INDEX(FILTER(CFG_CODES!C:C, CFG_CODES!A:A=""CATEGORY"", UPPER(CFG_CODES!B:B)=UPPER(B248))),
  LEFT(UPPER(B248),3)
),
IFERROR(
  INDEX(FILTER(CFG_CODES!C:C, CFG_CODES!A:A=""MATERIAL"", UPPER(CFG_CODES!B:B)"&amp;"=UPPER(C248))),
  LEFT(UPPER(C248),3)
),
TEXT(ROW()-1,""000"")
))"),"M-OTH-247")</f>
        <v>M-OTH-247</v>
      </c>
      <c r="J248" s="143" t="s">
        <v>1688</v>
      </c>
      <c r="K248" s="88">
        <v>0.061855670103092786</v>
      </c>
      <c r="L248" s="143">
        <v>2.0</v>
      </c>
      <c r="M248" s="81"/>
      <c r="N248" s="95">
        <v>50.0</v>
      </c>
      <c r="O248" s="81">
        <v>0.0</v>
      </c>
      <c r="P248" s="81"/>
      <c r="Q248" s="88">
        <v>711.0</v>
      </c>
      <c r="R248" s="81" t="s">
        <v>1688</v>
      </c>
      <c r="S248" s="81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</row>
    <row r="249" ht="15.0" customHeight="1">
      <c r="A249" s="2" t="s">
        <v>1711</v>
      </c>
      <c r="B249" s="39" t="s">
        <v>1225</v>
      </c>
      <c r="C249" s="148" t="s">
        <v>1562</v>
      </c>
      <c r="D249" s="148" t="s">
        <v>1633</v>
      </c>
      <c r="E249" s="143" t="s">
        <v>1564</v>
      </c>
      <c r="F249" s="27" t="s">
        <v>1566</v>
      </c>
      <c r="G249" s="27" t="s">
        <v>1566</v>
      </c>
      <c r="H249" s="143" t="s">
        <v>22</v>
      </c>
      <c r="I249" s="27" t="str">
        <f>IFERROR(__xludf.DUMMYFUNCTION("IF(A249="""","""",
TEXTJOIN(""-"",TRUE,
IFERROR(
  INDEX(FILTER(CFG_CODES!C:C, CFG_CODES!A:A=""CATEGORY"", UPPER(CFG_CODES!B:B)=UPPER(B249))),
  LEFT(UPPER(B249),3)
),
IFERROR(
  INDEX(FILTER(CFG_CODES!C:C, CFG_CODES!A:A=""MATERIAL"", UPPER(CFG_CODES!B:B)"&amp;"=UPPER(C249))),
  LEFT(UPPER(C249),3)
),
TEXT(ROW()-1,""000"")
))"),"P-SBS-248")</f>
        <v>P-SBS-248</v>
      </c>
      <c r="J249" s="143" t="s">
        <v>1688</v>
      </c>
      <c r="K249" s="88">
        <v>48.45360824742268</v>
      </c>
      <c r="L249" s="143">
        <v>3.0</v>
      </c>
      <c r="M249" s="81"/>
      <c r="N249" s="81"/>
      <c r="O249" s="81">
        <v>0.0</v>
      </c>
      <c r="P249" s="81"/>
      <c r="Q249" s="80">
        <v>14.0</v>
      </c>
      <c r="R249" s="81" t="s">
        <v>1689</v>
      </c>
      <c r="S249" s="81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</row>
    <row r="250" ht="15.0" customHeight="1">
      <c r="A250" s="55" t="s">
        <v>1056</v>
      </c>
      <c r="B250" s="39" t="s">
        <v>1225</v>
      </c>
      <c r="C250" s="129" t="s">
        <v>1562</v>
      </c>
      <c r="D250" s="129" t="s">
        <v>1584</v>
      </c>
      <c r="E250" s="143" t="s">
        <v>1564</v>
      </c>
      <c r="F250" s="27" t="s">
        <v>1566</v>
      </c>
      <c r="G250" s="27" t="s">
        <v>1566</v>
      </c>
      <c r="H250" s="143" t="s">
        <v>22</v>
      </c>
      <c r="I250" s="27" t="str">
        <f>IFERROR(__xludf.DUMMYFUNCTION("IF(A250="""","""",
TEXTJOIN(""-"",TRUE,
IFERROR(
  INDEX(FILTER(CFG_CODES!C:C, CFG_CODES!A:A=""CATEGORY"", UPPER(CFG_CODES!B:B)=UPPER(B250))),
  LEFT(UPPER(B250),3)
),
IFERROR(
  INDEX(FILTER(CFG_CODES!C:C, CFG_CODES!A:A=""MATERIAL"", UPPER(CFG_CODES!B:B)"&amp;"=UPPER(C250))),
  LEFT(UPPER(C250),3)
),
TEXT(ROW()-1,""000"")
))"),"P-SBS-249")</f>
        <v>P-SBS-249</v>
      </c>
      <c r="J250" s="143" t="s">
        <v>1688</v>
      </c>
      <c r="K250" s="88">
        <v>9.278350515463918</v>
      </c>
      <c r="L250" s="143">
        <v>3.0</v>
      </c>
      <c r="M250" s="81"/>
      <c r="N250" s="81"/>
      <c r="O250" s="81">
        <v>0.0</v>
      </c>
      <c r="P250" s="81"/>
      <c r="Q250" s="80">
        <v>32.0</v>
      </c>
      <c r="R250" s="81" t="s">
        <v>1689</v>
      </c>
      <c r="S250" s="81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</row>
    <row r="251" ht="15.0" customHeight="1">
      <c r="A251" s="2" t="s">
        <v>1947</v>
      </c>
      <c r="B251" s="39" t="s">
        <v>1225</v>
      </c>
      <c r="C251" s="148" t="s">
        <v>1653</v>
      </c>
      <c r="D251" s="148" t="s">
        <v>1603</v>
      </c>
      <c r="E251" s="143" t="s">
        <v>1595</v>
      </c>
      <c r="F251" s="27" t="s">
        <v>1566</v>
      </c>
      <c r="G251" s="39" t="s">
        <v>1661</v>
      </c>
      <c r="H251" s="143" t="s">
        <v>22</v>
      </c>
      <c r="I251" s="27" t="str">
        <f>IFERROR(__xludf.DUMMYFUNCTION("IF(A251="""","""",
TEXTJOIN(""-"",TRUE,
IFERROR(
  INDEX(FILTER(CFG_CODES!C:C, CFG_CODES!A:A=""CATEGORY"", UPPER(CFG_CODES!B:B)=UPPER(B251))),
  LEFT(UPPER(B251),3)
),
IFERROR(
  INDEX(FILTER(CFG_CODES!C:C, CFG_CODES!A:A=""MATERIAL"", UPPER(CFG_CODES!B:B)"&amp;"=UPPER(C251))),
  LEFT(UPPER(C251),3)
),
TEXT(ROW()-1,""000"")
))"),"P-DUP-250")</f>
        <v>P-DUP-250</v>
      </c>
      <c r="J251" s="143" t="s">
        <v>1688</v>
      </c>
      <c r="K251" s="88">
        <v>29.690721649484537</v>
      </c>
      <c r="L251" s="143">
        <v>3.0</v>
      </c>
      <c r="M251" s="81"/>
      <c r="N251" s="81"/>
      <c r="O251" s="81">
        <v>0.0</v>
      </c>
      <c r="P251" s="81"/>
      <c r="Q251" s="80">
        <v>0.0</v>
      </c>
      <c r="R251" s="81" t="s">
        <v>1689</v>
      </c>
      <c r="S251" s="81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</row>
    <row r="252" ht="15.0" customHeight="1">
      <c r="A252" s="148" t="s">
        <v>1714</v>
      </c>
      <c r="B252" s="39" t="s">
        <v>1225</v>
      </c>
      <c r="C252" s="129" t="s">
        <v>1562</v>
      </c>
      <c r="D252" s="129" t="s">
        <v>2105</v>
      </c>
      <c r="E252" s="143" t="s">
        <v>1564</v>
      </c>
      <c r="F252" s="27" t="s">
        <v>1566</v>
      </c>
      <c r="G252" s="27" t="s">
        <v>1566</v>
      </c>
      <c r="H252" s="143" t="s">
        <v>22</v>
      </c>
      <c r="I252" s="27" t="str">
        <f>IFERROR(__xludf.DUMMYFUNCTION("IF(A252="""","""",
TEXTJOIN(""-"",TRUE,
IFERROR(
  INDEX(FILTER(CFG_CODES!C:C, CFG_CODES!A:A=""CATEGORY"", UPPER(CFG_CODES!B:B)=UPPER(B252))),
  LEFT(UPPER(B252),3)
),
IFERROR(
  INDEX(FILTER(CFG_CODES!C:C, CFG_CODES!A:A=""MATERIAL"", UPPER(CFG_CODES!B:B)"&amp;"=UPPER(C252))),
  LEFT(UPPER(C252),3)
),
TEXT(ROW()-1,""000"")
))"),"P-SBS-251")</f>
        <v>P-SBS-251</v>
      </c>
      <c r="J252" s="143" t="s">
        <v>1688</v>
      </c>
      <c r="K252" s="88">
        <v>56.44329896907217</v>
      </c>
      <c r="L252" s="143">
        <v>3.0</v>
      </c>
      <c r="M252" s="81"/>
      <c r="N252" s="81"/>
      <c r="O252" s="81">
        <v>0.0</v>
      </c>
      <c r="P252" s="81"/>
      <c r="Q252" s="80">
        <v>0.0</v>
      </c>
      <c r="R252" s="81" t="s">
        <v>1689</v>
      </c>
      <c r="S252" s="81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</row>
    <row r="253" ht="15.0" customHeight="1">
      <c r="A253" s="148" t="s">
        <v>1949</v>
      </c>
      <c r="B253" s="39" t="s">
        <v>1674</v>
      </c>
      <c r="C253" s="148" t="s">
        <v>1691</v>
      </c>
      <c r="D253" s="135" t="s">
        <v>1566</v>
      </c>
      <c r="E253" s="27" t="s">
        <v>1566</v>
      </c>
      <c r="F253" s="27" t="s">
        <v>1566</v>
      </c>
      <c r="G253" s="27" t="s">
        <v>1566</v>
      </c>
      <c r="H253" s="143" t="s">
        <v>290</v>
      </c>
      <c r="I253" s="27" t="str">
        <f>IFERROR(__xludf.DUMMYFUNCTION("IF(A253="""","""",
TEXTJOIN(""-"",TRUE,
IFERROR(
  INDEX(FILTER(CFG_CODES!C:C, CFG_CODES!A:A=""CATEGORY"", UPPER(CFG_CODES!B:B)=UPPER(B253))),
  LEFT(UPPER(B253),3)
),
IFERROR(
  INDEX(FILTER(CFG_CODES!C:C, CFG_CODES!A:A=""MATERIAL"", UPPER(CFG_CODES!B:B)"&amp;"=UPPER(C253))),
  LEFT(UPPER(C253),3)
),
TEXT(ROW()-1,""000"")
))"),"I-PAN-252")</f>
        <v>I-PAN-252</v>
      </c>
      <c r="J253" s="143" t="s">
        <v>1688</v>
      </c>
      <c r="K253" s="88">
        <v>0.020618556701030927</v>
      </c>
      <c r="L253" s="143">
        <v>3.0</v>
      </c>
      <c r="M253" s="81"/>
      <c r="N253" s="81"/>
      <c r="O253" s="81">
        <v>0.0</v>
      </c>
      <c r="P253" s="81"/>
      <c r="Q253" s="80">
        <v>0.0</v>
      </c>
      <c r="R253" s="81" t="s">
        <v>1689</v>
      </c>
      <c r="S253" s="81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</row>
    <row r="254" ht="15.0" customHeight="1">
      <c r="A254" s="148" t="s">
        <v>1951</v>
      </c>
      <c r="B254" s="39" t="s">
        <v>1674</v>
      </c>
      <c r="C254" s="129" t="s">
        <v>1691</v>
      </c>
      <c r="D254" s="53" t="s">
        <v>1566</v>
      </c>
      <c r="E254" s="27" t="s">
        <v>1566</v>
      </c>
      <c r="F254" s="39" t="s">
        <v>2106</v>
      </c>
      <c r="G254" s="27" t="s">
        <v>1566</v>
      </c>
      <c r="H254" s="143" t="s">
        <v>290</v>
      </c>
      <c r="I254" s="27" t="str">
        <f>IFERROR(__xludf.DUMMYFUNCTION("IF(A254="""","""",
TEXTJOIN(""-"",TRUE,
IFERROR(
  INDEX(FILTER(CFG_CODES!C:C, CFG_CODES!A:A=""CATEGORY"", UPPER(CFG_CODES!B:B)=UPPER(B254))),
  LEFT(UPPER(B254),3)
),
IFERROR(
  INDEX(FILTER(CFG_CODES!C:C, CFG_CODES!A:A=""MATERIAL"", UPPER(CFG_CODES!B:B)"&amp;"=UPPER(C254))),
  LEFT(UPPER(C254),3)
),
TEXT(ROW()-1,""000"")
))"),"I-PAN-253")</f>
        <v>I-PAN-253</v>
      </c>
      <c r="J254" s="143" t="s">
        <v>1688</v>
      </c>
      <c r="K254" s="88">
        <v>0.020618556701030927</v>
      </c>
      <c r="L254" s="143">
        <v>3.0</v>
      </c>
      <c r="M254" s="81"/>
      <c r="N254" s="81"/>
      <c r="O254" s="81">
        <v>0.0</v>
      </c>
      <c r="P254" s="81"/>
      <c r="Q254" s="80">
        <v>0.0</v>
      </c>
      <c r="R254" s="81" t="s">
        <v>1689</v>
      </c>
      <c r="S254" s="81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</row>
    <row r="255" ht="15.0" customHeight="1">
      <c r="A255" s="55" t="s">
        <v>1059</v>
      </c>
      <c r="B255" s="39" t="s">
        <v>1844</v>
      </c>
      <c r="C255" s="148" t="s">
        <v>1807</v>
      </c>
      <c r="D255" s="148" t="s">
        <v>2107</v>
      </c>
      <c r="E255" s="27" t="s">
        <v>1566</v>
      </c>
      <c r="F255" s="27" t="s">
        <v>1566</v>
      </c>
      <c r="G255" s="39" t="s">
        <v>1808</v>
      </c>
      <c r="H255" s="143" t="s">
        <v>661</v>
      </c>
      <c r="I255" s="27" t="str">
        <f>IFERROR(__xludf.DUMMYFUNCTION("IF(A255="""","""",
TEXTJOIN(""-"",TRUE,
IFERROR(
  INDEX(FILTER(CFG_CODES!C:C, CFG_CODES!A:A=""CATEGORY"", UPPER(CFG_CODES!B:B)=UPPER(B255))),
  LEFT(UPPER(B255),3)
),
IFERROR(
  INDEX(FILTER(CFG_CODES!C:C, CFG_CODES!A:A=""MATERIAL"", UPPER(CFG_CODES!B:B)"&amp;"=UPPER(C255))),
  LEFT(UPPER(C255),3)
),
TEXT(ROW()-1,""000"")
))"),"L-COA-254")</f>
        <v>L-COA-254</v>
      </c>
      <c r="J255" s="143" t="s">
        <v>1688</v>
      </c>
      <c r="K255" s="88">
        <v>0.0</v>
      </c>
      <c r="L255" s="143">
        <v>3.0</v>
      </c>
      <c r="M255" s="81"/>
      <c r="N255" s="81"/>
      <c r="O255" s="81" t="s">
        <v>1333</v>
      </c>
      <c r="P255" s="81"/>
      <c r="Q255" s="81"/>
      <c r="R255" s="81" t="s">
        <v>1689</v>
      </c>
      <c r="S255" s="81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</row>
    <row r="256" ht="15.0" customHeight="1">
      <c r="A256" s="148" t="s">
        <v>1062</v>
      </c>
      <c r="B256" s="39" t="s">
        <v>1844</v>
      </c>
      <c r="C256" s="129" t="s">
        <v>1807</v>
      </c>
      <c r="D256" s="129" t="s">
        <v>2109</v>
      </c>
      <c r="E256" s="27" t="s">
        <v>1566</v>
      </c>
      <c r="F256" s="27" t="s">
        <v>1566</v>
      </c>
      <c r="G256" s="27" t="s">
        <v>1566</v>
      </c>
      <c r="H256" s="143" t="s">
        <v>661</v>
      </c>
      <c r="I256" s="27" t="str">
        <f>IFERROR(__xludf.DUMMYFUNCTION("IF(A256="""","""",
TEXTJOIN(""-"",TRUE,
IFERROR(
  INDEX(FILTER(CFG_CODES!C:C, CFG_CODES!A:A=""CATEGORY"", UPPER(CFG_CODES!B:B)=UPPER(B256))),
  LEFT(UPPER(B256),3)
),
IFERROR(
  INDEX(FILTER(CFG_CODES!C:C, CFG_CODES!A:A=""MATERIAL"", UPPER(CFG_CODES!B:B)"&amp;"=UPPER(C256))),
  LEFT(UPPER(C256),3)
),
TEXT(ROW()-1,""000"")
))"),"L-COA-255")</f>
        <v>L-COA-255</v>
      </c>
      <c r="J256" s="143" t="s">
        <v>1688</v>
      </c>
      <c r="K256" s="88">
        <v>0.010309278350515464</v>
      </c>
      <c r="L256" s="143">
        <v>3.0</v>
      </c>
      <c r="M256" s="81"/>
      <c r="N256" s="81"/>
      <c r="O256" s="81">
        <v>0.0</v>
      </c>
      <c r="P256" s="81"/>
      <c r="Q256" s="80">
        <v>97.0</v>
      </c>
      <c r="R256" s="81" t="s">
        <v>1689</v>
      </c>
      <c r="S256" s="81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</row>
    <row r="257" ht="15.0" customHeight="1">
      <c r="A257" s="148" t="s">
        <v>1065</v>
      </c>
      <c r="B257" s="39" t="s">
        <v>1225</v>
      </c>
      <c r="C257" s="148" t="s">
        <v>1562</v>
      </c>
      <c r="D257" s="148" t="s">
        <v>1576</v>
      </c>
      <c r="E257" s="143" t="s">
        <v>1564</v>
      </c>
      <c r="F257" s="27" t="s">
        <v>1566</v>
      </c>
      <c r="G257" s="27" t="s">
        <v>1566</v>
      </c>
      <c r="H257" s="143" t="s">
        <v>22</v>
      </c>
      <c r="I257" s="27" t="str">
        <f>IFERROR(__xludf.DUMMYFUNCTION("IF(A257="""","""",
TEXTJOIN(""-"",TRUE,
IFERROR(
  INDEX(FILTER(CFG_CODES!C:C, CFG_CODES!A:A=""CATEGORY"", UPPER(CFG_CODES!B:B)=UPPER(B257))),
  LEFT(UPPER(B257),3)
),
IFERROR(
  INDEX(FILTER(CFG_CODES!C:C, CFG_CODES!A:A=""MATERIAL"", UPPER(CFG_CODES!B:B)"&amp;"=UPPER(C257))),
  LEFT(UPPER(C257),3)
),
TEXT(ROW()-1,""000"")
))"),"P-SBS-256")</f>
        <v>P-SBS-256</v>
      </c>
      <c r="J257" s="143" t="s">
        <v>1688</v>
      </c>
      <c r="K257" s="88">
        <v>51.54639175257732</v>
      </c>
      <c r="L257" s="143">
        <v>3.0</v>
      </c>
      <c r="M257" s="81"/>
      <c r="N257" s="81"/>
      <c r="O257" s="81">
        <v>0.0</v>
      </c>
      <c r="P257" s="81"/>
      <c r="Q257" s="80">
        <v>0.0</v>
      </c>
      <c r="R257" s="81" t="s">
        <v>1689</v>
      </c>
      <c r="S257" s="81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</row>
    <row r="258" ht="15.0" customHeight="1">
      <c r="A258" s="148" t="s">
        <v>991</v>
      </c>
      <c r="B258" s="39" t="s">
        <v>1674</v>
      </c>
      <c r="C258" s="129" t="s">
        <v>1691</v>
      </c>
      <c r="D258" s="53" t="s">
        <v>1566</v>
      </c>
      <c r="E258" s="27" t="s">
        <v>1566</v>
      </c>
      <c r="F258" s="39" t="s">
        <v>2110</v>
      </c>
      <c r="G258" s="27" t="s">
        <v>1566</v>
      </c>
      <c r="H258" s="143" t="s">
        <v>290</v>
      </c>
      <c r="I258" s="27" t="str">
        <f>IFERROR(__xludf.DUMMYFUNCTION("IF(A258="""","""",
TEXTJOIN(""-"",TRUE,
IFERROR(
  INDEX(FILTER(CFG_CODES!C:C, CFG_CODES!A:A=""CATEGORY"", UPPER(CFG_CODES!B:B)=UPPER(B258))),
  LEFT(UPPER(B258),3)
),
IFERROR(
  INDEX(FILTER(CFG_CODES!C:C, CFG_CODES!A:A=""MATERIAL"", UPPER(CFG_CODES!B:B)"&amp;"=UPPER(C258))),
  LEFT(UPPER(C258),3)
),
TEXT(ROW()-1,""000"")
))"),"I-PAN-257")</f>
        <v>I-PAN-257</v>
      </c>
      <c r="J258" s="143" t="s">
        <v>1688</v>
      </c>
      <c r="K258" s="88">
        <v>0.020618556701030927</v>
      </c>
      <c r="L258" s="143">
        <v>3.0</v>
      </c>
      <c r="M258" s="81"/>
      <c r="N258" s="81"/>
      <c r="O258" s="81">
        <v>0.0</v>
      </c>
      <c r="P258" s="81"/>
      <c r="Q258" s="80">
        <v>0.0</v>
      </c>
      <c r="R258" s="81" t="s">
        <v>1689</v>
      </c>
      <c r="S258" s="81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</row>
    <row r="259" ht="15.0" customHeight="1">
      <c r="A259" s="2" t="s">
        <v>1068</v>
      </c>
      <c r="B259" s="39" t="s">
        <v>1830</v>
      </c>
      <c r="C259" s="148" t="s">
        <v>1830</v>
      </c>
      <c r="D259" s="135" t="s">
        <v>1566</v>
      </c>
      <c r="E259" s="27" t="s">
        <v>1566</v>
      </c>
      <c r="F259" s="27" t="s">
        <v>1566</v>
      </c>
      <c r="G259" s="27" t="s">
        <v>1566</v>
      </c>
      <c r="H259" s="143" t="s">
        <v>661</v>
      </c>
      <c r="I259" s="27" t="str">
        <f>IFERROR(__xludf.DUMMYFUNCTION("IF(A259="""","""",
TEXTJOIN(""-"",TRUE,
IFERROR(
  INDEX(FILTER(CFG_CODES!C:C, CFG_CODES!A:A=""CATEGORY"", UPPER(CFG_CODES!B:B)=UPPER(B259))),
  LEFT(UPPER(B259),3)
),
IFERROR(
  INDEX(FILTER(CFG_CODES!C:C, CFG_CODES!A:A=""MATERIAL"", UPPER(CFG_CODES!B:B)"&amp;"=UPPER(C259))),
  LEFT(UPPER(C259),3)
),
TEXT(ROW()-1,""000"")
))"),"M-MIS-258")</f>
        <v>M-MIS-258</v>
      </c>
      <c r="J259" s="143" t="s">
        <v>1688</v>
      </c>
      <c r="K259" s="88">
        <v>0.0</v>
      </c>
      <c r="L259" s="143">
        <v>3.0</v>
      </c>
      <c r="M259" s="81"/>
      <c r="N259" s="143">
        <v>10.0</v>
      </c>
      <c r="O259" s="81" t="s">
        <v>1333</v>
      </c>
      <c r="P259" s="81"/>
      <c r="Q259" s="81"/>
      <c r="R259" s="81" t="s">
        <v>1688</v>
      </c>
      <c r="S259" s="81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</row>
    <row r="260" ht="15.0" customHeight="1">
      <c r="A260" s="148" t="s">
        <v>1072</v>
      </c>
      <c r="B260" s="39" t="s">
        <v>1225</v>
      </c>
      <c r="C260" s="129" t="s">
        <v>1642</v>
      </c>
      <c r="D260" s="129" t="s">
        <v>1576</v>
      </c>
      <c r="E260" s="143" t="s">
        <v>1652</v>
      </c>
      <c r="F260" s="27" t="s">
        <v>1566</v>
      </c>
      <c r="G260" s="27" t="s">
        <v>1566</v>
      </c>
      <c r="H260" s="143" t="s">
        <v>22</v>
      </c>
      <c r="I260" s="27" t="str">
        <f>IFERROR(__xludf.DUMMYFUNCTION("IF(A260="""","""",
TEXTJOIN(""-"",TRUE,
IFERROR(
  INDEX(FILTER(CFG_CODES!C:C, CFG_CODES!A:A=""CATEGORY"", UPPER(CFG_CODES!B:B)=UPPER(B260))),
  LEFT(UPPER(B260),3)
),
IFERROR(
  INDEX(FILTER(CFG_CODES!C:C, CFG_CODES!A:A=""MATERIAL"", UPPER(CFG_CODES!B:B)"&amp;"=UPPER(C260))),
  LEFT(UPPER(C260),3)
),
TEXT(ROW()-1,""000"")
))"),"P-OTH-259")</f>
        <v>P-OTH-259</v>
      </c>
      <c r="J260" s="143" t="s">
        <v>1688</v>
      </c>
      <c r="K260" s="88">
        <v>3.0927835051546393</v>
      </c>
      <c r="L260" s="143">
        <v>3.0</v>
      </c>
      <c r="M260" s="81"/>
      <c r="N260" s="81"/>
      <c r="O260" s="81">
        <v>0.0</v>
      </c>
      <c r="P260" s="81"/>
      <c r="Q260" s="80">
        <v>65.0</v>
      </c>
      <c r="R260" s="81" t="s">
        <v>1689</v>
      </c>
      <c r="S260" s="81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</row>
    <row r="261" ht="15.0" customHeight="1">
      <c r="A261" s="148" t="s">
        <v>1953</v>
      </c>
      <c r="B261" s="39" t="s">
        <v>1830</v>
      </c>
      <c r="C261" s="148" t="s">
        <v>1642</v>
      </c>
      <c r="D261" s="135" t="s">
        <v>1566</v>
      </c>
      <c r="E261" s="27" t="s">
        <v>1566</v>
      </c>
      <c r="F261" s="27" t="s">
        <v>1566</v>
      </c>
      <c r="G261" s="27" t="s">
        <v>1566</v>
      </c>
      <c r="H261" s="143" t="s">
        <v>643</v>
      </c>
      <c r="I261" s="27" t="str">
        <f>IFERROR(__xludf.DUMMYFUNCTION("IF(A261="""","""",
TEXTJOIN(""-"",TRUE,
IFERROR(
  INDEX(FILTER(CFG_CODES!C:C, CFG_CODES!A:A=""CATEGORY"", UPPER(CFG_CODES!B:B)=UPPER(B261))),
  LEFT(UPPER(B261),3)
),
IFERROR(
  INDEX(FILTER(CFG_CODES!C:C, CFG_CODES!A:A=""MATERIAL"", UPPER(CFG_CODES!B:B)"&amp;"=UPPER(C261))),
  LEFT(UPPER(C261),3)
),
TEXT(ROW()-1,""000"")
))"),"M-OTH-260")</f>
        <v>M-OTH-260</v>
      </c>
      <c r="J261" s="143" t="s">
        <v>1688</v>
      </c>
      <c r="K261" s="88">
        <v>2.9690721649484537</v>
      </c>
      <c r="L261" s="143">
        <v>3.0</v>
      </c>
      <c r="M261" s="81"/>
      <c r="N261" s="81"/>
      <c r="O261" s="81">
        <v>0.0</v>
      </c>
      <c r="P261" s="81"/>
      <c r="Q261" s="80">
        <v>0.0</v>
      </c>
      <c r="R261" s="81" t="s">
        <v>1689</v>
      </c>
      <c r="S261" s="81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</row>
    <row r="262" ht="15.0" customHeight="1">
      <c r="A262" s="2" t="s">
        <v>1955</v>
      </c>
      <c r="B262" s="39" t="s">
        <v>1225</v>
      </c>
      <c r="C262" s="129" t="s">
        <v>1653</v>
      </c>
      <c r="D262" s="129" t="s">
        <v>1633</v>
      </c>
      <c r="E262" s="143" t="s">
        <v>1662</v>
      </c>
      <c r="F262" s="27" t="s">
        <v>1566</v>
      </c>
      <c r="G262" s="143" t="s">
        <v>1654</v>
      </c>
      <c r="H262" s="143" t="s">
        <v>22</v>
      </c>
      <c r="I262" s="27" t="str">
        <f>IFERROR(__xludf.DUMMYFUNCTION("IF(A262="""","""",
TEXTJOIN(""-"",TRUE,
IFERROR(
  INDEX(FILTER(CFG_CODES!C:C, CFG_CODES!A:A=""CATEGORY"", UPPER(CFG_CODES!B:B)=UPPER(B262))),
  LEFT(UPPER(B262),3)
),
IFERROR(
  INDEX(FILTER(CFG_CODES!C:C, CFG_CODES!A:A=""MATERIAL"", UPPER(CFG_CODES!B:B)"&amp;"=UPPER(C262))),
  LEFT(UPPER(C262),3)
),
TEXT(ROW()-1,""000"")
))"),"P-DUP-261")</f>
        <v>P-DUP-261</v>
      </c>
      <c r="J262" s="143" t="s">
        <v>1688</v>
      </c>
      <c r="K262" s="88">
        <v>14.845360824742269</v>
      </c>
      <c r="L262" s="143">
        <v>3.0</v>
      </c>
      <c r="M262" s="81"/>
      <c r="N262" s="81"/>
      <c r="O262" s="81">
        <v>0.0</v>
      </c>
      <c r="P262" s="81"/>
      <c r="Q262" s="80">
        <v>0.0</v>
      </c>
      <c r="R262" s="81" t="s">
        <v>1689</v>
      </c>
      <c r="S262" s="81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</row>
    <row r="263" ht="15.0" customHeight="1">
      <c r="A263" s="55" t="s">
        <v>1716</v>
      </c>
      <c r="B263" s="39" t="s">
        <v>1225</v>
      </c>
      <c r="C263" s="148" t="s">
        <v>1562</v>
      </c>
      <c r="D263" s="148" t="s">
        <v>1603</v>
      </c>
      <c r="E263" s="143" t="s">
        <v>1586</v>
      </c>
      <c r="F263" s="27" t="s">
        <v>1566</v>
      </c>
      <c r="G263" s="27" t="s">
        <v>1566</v>
      </c>
      <c r="H263" s="143" t="s">
        <v>22</v>
      </c>
      <c r="I263" s="27" t="str">
        <f>IFERROR(__xludf.DUMMYFUNCTION("IF(A263="""","""",
TEXTJOIN(""-"",TRUE,
IFERROR(
  INDEX(FILTER(CFG_CODES!C:C, CFG_CODES!A:A=""CATEGORY"", UPPER(CFG_CODES!B:B)=UPPER(B263))),
  LEFT(UPPER(B263),3)
),
IFERROR(
  INDEX(FILTER(CFG_CODES!C:C, CFG_CODES!A:A=""MATERIAL"", UPPER(CFG_CODES!B:B)"&amp;"=UPPER(C263))),
  LEFT(UPPER(C263),3)
),
TEXT(ROW()-1,""000"")
))"),"P-SBS-262")</f>
        <v>P-SBS-262</v>
      </c>
      <c r="J263" s="143" t="s">
        <v>1688</v>
      </c>
      <c r="K263" s="88">
        <v>27.835051546391753</v>
      </c>
      <c r="L263" s="143">
        <v>3.0</v>
      </c>
      <c r="M263" s="81"/>
      <c r="N263" s="81"/>
      <c r="O263" s="81">
        <v>0.0</v>
      </c>
      <c r="P263" s="81"/>
      <c r="Q263" s="80">
        <v>0.0</v>
      </c>
      <c r="R263" s="81" t="s">
        <v>1689</v>
      </c>
      <c r="S263" s="81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</row>
    <row r="264" ht="15.0" customHeight="1">
      <c r="A264" s="55" t="s">
        <v>1075</v>
      </c>
      <c r="B264" s="39" t="s">
        <v>1225</v>
      </c>
      <c r="C264" s="129" t="s">
        <v>1562</v>
      </c>
      <c r="D264" s="129" t="s">
        <v>1573</v>
      </c>
      <c r="E264" s="143" t="s">
        <v>1597</v>
      </c>
      <c r="F264" s="27" t="s">
        <v>1566</v>
      </c>
      <c r="G264" s="27" t="s">
        <v>1566</v>
      </c>
      <c r="H264" s="143" t="s">
        <v>22</v>
      </c>
      <c r="I264" s="27" t="str">
        <f>IFERROR(__xludf.DUMMYFUNCTION("IF(A264="""","""",
TEXTJOIN(""-"",TRUE,
IFERROR(
  INDEX(FILTER(CFG_CODES!C:C, CFG_CODES!A:A=""CATEGORY"", UPPER(CFG_CODES!B:B)=UPPER(B264))),
  LEFT(UPPER(B264),3)
),
IFERROR(
  INDEX(FILTER(CFG_CODES!C:C, CFG_CODES!A:A=""MATERIAL"", UPPER(CFG_CODES!B:B)"&amp;"=UPPER(C264))),
  LEFT(UPPER(C264),3)
),
TEXT(ROW()-1,""000"")
))"),"P-SBS-263")</f>
        <v>P-SBS-263</v>
      </c>
      <c r="J264" s="143" t="s">
        <v>1688</v>
      </c>
      <c r="K264" s="88">
        <v>10.309278350515465</v>
      </c>
      <c r="L264" s="143">
        <v>3.0</v>
      </c>
      <c r="M264" s="81"/>
      <c r="N264" s="81"/>
      <c r="O264" s="81">
        <v>0.0</v>
      </c>
      <c r="P264" s="81"/>
      <c r="Q264" s="80">
        <v>29.0</v>
      </c>
      <c r="R264" s="81" t="s">
        <v>1689</v>
      </c>
      <c r="S264" s="81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</row>
    <row r="265" ht="15.0" customHeight="1">
      <c r="A265" s="2" t="s">
        <v>1718</v>
      </c>
      <c r="B265" s="39" t="s">
        <v>1225</v>
      </c>
      <c r="C265" s="148" t="s">
        <v>1562</v>
      </c>
      <c r="D265" s="148" t="s">
        <v>1587</v>
      </c>
      <c r="E265" s="143" t="s">
        <v>1564</v>
      </c>
      <c r="F265" s="27" t="s">
        <v>1566</v>
      </c>
      <c r="G265" s="27" t="s">
        <v>1566</v>
      </c>
      <c r="H265" s="143" t="s">
        <v>22</v>
      </c>
      <c r="I265" s="27" t="str">
        <f>IFERROR(__xludf.DUMMYFUNCTION("IF(A265="""","""",
TEXTJOIN(""-"",TRUE,
IFERROR(
  INDEX(FILTER(CFG_CODES!C:C, CFG_CODES!A:A=""CATEGORY"", UPPER(CFG_CODES!B:B)=UPPER(B265))),
  LEFT(UPPER(B265),3)
),
IFERROR(
  INDEX(FILTER(CFG_CODES!C:C, CFG_CODES!A:A=""MATERIAL"", UPPER(CFG_CODES!B:B)"&amp;"=UPPER(C265))),
  LEFT(UPPER(C265),3)
),
TEXT(ROW()-1,""000"")
))"),"P-SBS-264")</f>
        <v>P-SBS-264</v>
      </c>
      <c r="J265" s="143" t="s">
        <v>1688</v>
      </c>
      <c r="K265" s="88">
        <v>47.422680412371136</v>
      </c>
      <c r="L265" s="143">
        <v>3.0</v>
      </c>
      <c r="M265" s="81"/>
      <c r="N265" s="81"/>
      <c r="O265" s="81">
        <v>0.0</v>
      </c>
      <c r="P265" s="81"/>
      <c r="Q265" s="80">
        <v>0.0</v>
      </c>
      <c r="R265" s="81" t="s">
        <v>1689</v>
      </c>
      <c r="S265" s="81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</row>
    <row r="266" ht="15.0" customHeight="1">
      <c r="A266" s="2" t="s">
        <v>1078</v>
      </c>
      <c r="B266" s="39" t="s">
        <v>1225</v>
      </c>
      <c r="C266" s="129" t="s">
        <v>1653</v>
      </c>
      <c r="D266" s="129" t="s">
        <v>1667</v>
      </c>
      <c r="E266" s="143" t="s">
        <v>1595</v>
      </c>
      <c r="F266" s="27" t="s">
        <v>1566</v>
      </c>
      <c r="G266" s="143" t="s">
        <v>1654</v>
      </c>
      <c r="H266" s="143" t="s">
        <v>22</v>
      </c>
      <c r="I266" s="27" t="str">
        <f>IFERROR(__xludf.DUMMYFUNCTION("IF(A266="""","""",
TEXTJOIN(""-"",TRUE,
IFERROR(
  INDEX(FILTER(CFG_CODES!C:C, CFG_CODES!A:A=""CATEGORY"", UPPER(CFG_CODES!B:B)=UPPER(B266))),
  LEFT(UPPER(B266),3)
),
IFERROR(
  INDEX(FILTER(CFG_CODES!C:C, CFG_CODES!A:A=""MATERIAL"", UPPER(CFG_CODES!B:B)"&amp;"=UPPER(C266))),
  LEFT(UPPER(C266),3)
),
TEXT(ROW()-1,""000"")
))"),"P-DUP-265")</f>
        <v>P-DUP-265</v>
      </c>
      <c r="J266" s="143" t="s">
        <v>1688</v>
      </c>
      <c r="K266" s="88">
        <v>18.556701030927837</v>
      </c>
      <c r="L266" s="143">
        <v>3.0</v>
      </c>
      <c r="M266" s="81"/>
      <c r="N266" s="81"/>
      <c r="O266" s="81">
        <v>0.0</v>
      </c>
      <c r="P266" s="81"/>
      <c r="Q266" s="80">
        <v>58.0</v>
      </c>
      <c r="R266" s="81" t="s">
        <v>1689</v>
      </c>
      <c r="S266" s="81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</row>
    <row r="267" ht="15.0" customHeight="1">
      <c r="A267" s="2" t="s">
        <v>1957</v>
      </c>
      <c r="B267" s="39" t="s">
        <v>1225</v>
      </c>
      <c r="C267" s="148" t="s">
        <v>1653</v>
      </c>
      <c r="D267" s="148" t="s">
        <v>1587</v>
      </c>
      <c r="E267" s="39" t="s">
        <v>1564</v>
      </c>
      <c r="F267" s="27" t="s">
        <v>1566</v>
      </c>
      <c r="G267" s="143" t="s">
        <v>1654</v>
      </c>
      <c r="H267" s="143" t="s">
        <v>22</v>
      </c>
      <c r="I267" s="27" t="str">
        <f>IFERROR(__xludf.DUMMYFUNCTION("IF(A267="""","""",
TEXTJOIN(""-"",TRUE,
IFERROR(
  INDEX(FILTER(CFG_CODES!C:C, CFG_CODES!A:A=""CATEGORY"", UPPER(CFG_CODES!B:B)=UPPER(B267))),
  LEFT(UPPER(B267),3)
),
IFERROR(
  INDEX(FILTER(CFG_CODES!C:C, CFG_CODES!A:A=""MATERIAL"", UPPER(CFG_CODES!B:B)"&amp;"=UPPER(C267))),
  LEFT(UPPER(C267),3)
),
TEXT(ROW()-1,""000"")
))"),"P-DUP-266")</f>
        <v>P-DUP-266</v>
      </c>
      <c r="J267" s="143" t="s">
        <v>1688</v>
      </c>
      <c r="K267" s="179">
        <v>13.360824742268042</v>
      </c>
      <c r="L267" s="39">
        <v>3.0</v>
      </c>
      <c r="M267" s="27"/>
      <c r="N267" s="27"/>
      <c r="O267" s="27">
        <v>0.0</v>
      </c>
      <c r="P267" s="27"/>
      <c r="Q267" s="80">
        <v>0.0</v>
      </c>
      <c r="R267" s="81" t="s">
        <v>1689</v>
      </c>
      <c r="S267" s="81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</row>
    <row r="268" ht="15.0" customHeight="1">
      <c r="A268" s="39" t="s">
        <v>1081</v>
      </c>
      <c r="B268" s="39" t="s">
        <v>1821</v>
      </c>
      <c r="C268" s="129" t="s">
        <v>1821</v>
      </c>
      <c r="D268" s="53" t="s">
        <v>1566</v>
      </c>
      <c r="E268" s="27" t="s">
        <v>1566</v>
      </c>
      <c r="F268" s="27" t="s">
        <v>1566</v>
      </c>
      <c r="G268" s="27" t="s">
        <v>1566</v>
      </c>
      <c r="H268" s="39" t="s">
        <v>290</v>
      </c>
      <c r="I268" s="27" t="str">
        <f>IFERROR(__xludf.DUMMYFUNCTION("IF(A268="""","""",
TEXTJOIN(""-"",TRUE,
IFERROR(
  INDEX(FILTER(CFG_CODES!C:C, CFG_CODES!A:A=""CATEGORY"", UPPER(CFG_CODES!B:B)=UPPER(B268))),
  LEFT(UPPER(B268),3)
),
IFERROR(
  INDEX(FILTER(CFG_CODES!C:C, CFG_CODES!A:A=""MATERIAL"", UPPER(CFG_CODES!B:B)"&amp;"=UPPER(C268))),
  LEFT(UPPER(C268),3)
),
TEXT(ROW()-1,""000"")
))"),"A-ADH-267")</f>
        <v>A-ADH-267</v>
      </c>
      <c r="J268" s="39" t="s">
        <v>1688</v>
      </c>
      <c r="K268" s="179">
        <v>0.0</v>
      </c>
      <c r="L268" s="39">
        <v>3.0</v>
      </c>
      <c r="M268" s="27"/>
      <c r="N268" s="27"/>
      <c r="O268" s="27" t="s">
        <v>1333</v>
      </c>
      <c r="P268" s="27"/>
      <c r="Q268" s="81"/>
      <c r="R268" s="81" t="s">
        <v>1688</v>
      </c>
      <c r="S268" s="81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</row>
    <row r="269" ht="15.0" customHeight="1">
      <c r="A269" s="39" t="s">
        <v>729</v>
      </c>
      <c r="B269" s="39" t="s">
        <v>1812</v>
      </c>
      <c r="C269" s="148" t="s">
        <v>1815</v>
      </c>
      <c r="D269" s="135" t="s">
        <v>1566</v>
      </c>
      <c r="E269" s="27" t="s">
        <v>1566</v>
      </c>
      <c r="F269" s="27" t="s">
        <v>1566</v>
      </c>
      <c r="G269" s="27" t="s">
        <v>1566</v>
      </c>
      <c r="H269" s="39" t="s">
        <v>661</v>
      </c>
      <c r="I269" s="27" t="str">
        <f>IFERROR(__xludf.DUMMYFUNCTION("IF(A269="""","""",
TEXTJOIN(""-"",TRUE,
IFERROR(
  INDEX(FILTER(CFG_CODES!C:C, CFG_CODES!A:A=""CATEGORY"", UPPER(CFG_CODES!B:B)=UPPER(B269))),
  LEFT(UPPER(B269),3)
),
IFERROR(
  INDEX(FILTER(CFG_CODES!C:C, CFG_CODES!A:A=""MATERIAL"", UPPER(CFG_CODES!B:B)"&amp;"=UPPER(C269))),
  LEFT(UPPER(C269),3)
),
TEXT(ROW()-1,""000"")
))"),"CH-SOL-268")</f>
        <v>CH-SOL-268</v>
      </c>
      <c r="J269" s="39" t="s">
        <v>1688</v>
      </c>
      <c r="K269" s="179">
        <v>0.15463917525773196</v>
      </c>
      <c r="L269" s="39">
        <v>3.0</v>
      </c>
      <c r="M269" s="27"/>
      <c r="N269" s="39">
        <v>5.0</v>
      </c>
      <c r="O269" s="27">
        <v>0.0</v>
      </c>
      <c r="P269" s="27"/>
      <c r="Q269" s="88">
        <v>32.0</v>
      </c>
      <c r="R269" s="81" t="s">
        <v>2029</v>
      </c>
      <c r="S269" s="143">
        <v>13.5</v>
      </c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</row>
    <row r="270" ht="15.0" customHeight="1">
      <c r="A270" s="186" t="s">
        <v>739</v>
      </c>
      <c r="B270" s="186" t="s">
        <v>1833</v>
      </c>
      <c r="C270" s="187" t="s">
        <v>1833</v>
      </c>
      <c r="D270" s="53" t="s">
        <v>1566</v>
      </c>
      <c r="E270" s="27" t="s">
        <v>1566</v>
      </c>
      <c r="F270" s="27" t="s">
        <v>1566</v>
      </c>
      <c r="G270" s="27" t="s">
        <v>1566</v>
      </c>
      <c r="H270" s="186" t="s">
        <v>661</v>
      </c>
      <c r="I270" s="27" t="str">
        <f>IFERROR(__xludf.DUMMYFUNCTION("IF(A270="""","""",
TEXTJOIN(""-"",TRUE,
IFERROR(
  INDEX(FILTER(CFG_CODES!C:C, CFG_CODES!A:A=""CATEGORY"", UPPER(CFG_CODES!B:B)=UPPER(B270))),
  LEFT(UPPER(B270),3)
),
IFERROR(
  INDEX(FILTER(CFG_CODES!C:C, CFG_CODES!A:A=""MATERIAL"", UPPER(CFG_CODES!B:B)"&amp;"=UPPER(C270))),
  LEFT(UPPER(C270),3)
),
TEXT(ROW()-1,""000"")
))"),"POW-POW-269")</f>
        <v>POW-POW-269</v>
      </c>
      <c r="J270" s="39" t="s">
        <v>1688</v>
      </c>
      <c r="K270" s="188">
        <v>0.020618556701030927</v>
      </c>
      <c r="L270" s="186">
        <v>3.0</v>
      </c>
      <c r="M270" s="64"/>
      <c r="N270" s="186">
        <v>3.0</v>
      </c>
      <c r="O270" s="64">
        <v>0.0</v>
      </c>
      <c r="P270" s="64"/>
      <c r="Q270" s="80">
        <v>97.0</v>
      </c>
      <c r="R270" s="81" t="s">
        <v>2029</v>
      </c>
      <c r="S270" s="143">
        <v>36.0</v>
      </c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</row>
    <row r="271" ht="15.0" customHeight="1">
      <c r="A271" s="2" t="s">
        <v>1959</v>
      </c>
      <c r="B271" s="186" t="s">
        <v>1844</v>
      </c>
      <c r="C271" s="189" t="s">
        <v>1807</v>
      </c>
      <c r="D271" s="189" t="s">
        <v>2113</v>
      </c>
      <c r="E271" s="27" t="s">
        <v>1566</v>
      </c>
      <c r="F271" s="27" t="s">
        <v>1566</v>
      </c>
      <c r="G271" s="27" t="s">
        <v>1566</v>
      </c>
      <c r="H271" s="186" t="s">
        <v>661</v>
      </c>
      <c r="I271" s="27" t="str">
        <f>IFERROR(__xludf.DUMMYFUNCTION("IF(A271="""","""",
TEXTJOIN(""-"",TRUE,
IFERROR(
  INDEX(FILTER(CFG_CODES!C:C, CFG_CODES!A:A=""CATEGORY"", UPPER(CFG_CODES!B:B)=UPPER(B271))),
  LEFT(UPPER(B271),3)
),
IFERROR(
  INDEX(FILTER(CFG_CODES!C:C, CFG_CODES!A:A=""MATERIAL"", UPPER(CFG_CODES!B:B)"&amp;"=UPPER(C271))),
  LEFT(UPPER(C271),3)
),
TEXT(ROW()-1,""000"")
))"),"L-COA-270")</f>
        <v>L-COA-270</v>
      </c>
      <c r="J271" s="39" t="s">
        <v>1688</v>
      </c>
      <c r="K271" s="188">
        <v>0.010309278350515464</v>
      </c>
      <c r="L271" s="186">
        <v>3.0</v>
      </c>
      <c r="M271" s="64"/>
      <c r="N271" s="64"/>
      <c r="O271" s="64">
        <v>0.0</v>
      </c>
      <c r="P271" s="64"/>
      <c r="Q271" s="88">
        <v>0.0</v>
      </c>
      <c r="R271" s="81" t="s">
        <v>1689</v>
      </c>
      <c r="S271" s="81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</row>
    <row r="272" ht="15.0" customHeight="1">
      <c r="A272" s="2" t="s">
        <v>1961</v>
      </c>
      <c r="B272" s="186" t="s">
        <v>1844</v>
      </c>
      <c r="C272" s="187" t="s">
        <v>1807</v>
      </c>
      <c r="D272" s="187" t="s">
        <v>2114</v>
      </c>
      <c r="E272" s="27" t="s">
        <v>1566</v>
      </c>
      <c r="F272" s="27" t="s">
        <v>1566</v>
      </c>
      <c r="G272" s="27" t="s">
        <v>1566</v>
      </c>
      <c r="H272" s="186" t="s">
        <v>661</v>
      </c>
      <c r="I272" s="27" t="str">
        <f>IFERROR(__xludf.DUMMYFUNCTION("IF(A272="""","""",
TEXTJOIN(""-"",TRUE,
IFERROR(
  INDEX(FILTER(CFG_CODES!C:C, CFG_CODES!A:A=""CATEGORY"", UPPER(CFG_CODES!B:B)=UPPER(B272))),
  LEFT(UPPER(B272),3)
),
IFERROR(
  INDEX(FILTER(CFG_CODES!C:C, CFG_CODES!A:A=""MATERIAL"", UPPER(CFG_CODES!B:B)"&amp;"=UPPER(C272))),
  LEFT(UPPER(C272),3)
),
TEXT(ROW()-1,""000"")
))"),"L-COA-271")</f>
        <v>L-COA-271</v>
      </c>
      <c r="J272" s="39" t="s">
        <v>1688</v>
      </c>
      <c r="K272" s="188">
        <v>0.020618556701030927</v>
      </c>
      <c r="L272" s="186">
        <v>3.0</v>
      </c>
      <c r="M272" s="64"/>
      <c r="N272" s="64"/>
      <c r="O272" s="64">
        <v>0.0</v>
      </c>
      <c r="P272" s="64"/>
      <c r="Q272" s="80">
        <v>0.0</v>
      </c>
      <c r="R272" s="81" t="s">
        <v>1689</v>
      </c>
      <c r="S272" s="81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</row>
    <row r="273" ht="15.0" customHeight="1">
      <c r="A273" s="2" t="s">
        <v>1963</v>
      </c>
      <c r="B273" s="186" t="s">
        <v>1844</v>
      </c>
      <c r="C273" s="189" t="s">
        <v>1807</v>
      </c>
      <c r="D273" s="189" t="s">
        <v>2113</v>
      </c>
      <c r="E273" s="27" t="s">
        <v>1566</v>
      </c>
      <c r="F273" s="27" t="s">
        <v>1566</v>
      </c>
      <c r="G273" s="27" t="s">
        <v>1566</v>
      </c>
      <c r="H273" s="186" t="s">
        <v>661</v>
      </c>
      <c r="I273" s="27" t="str">
        <f>IFERROR(__xludf.DUMMYFUNCTION("IF(A273="""","""",
TEXTJOIN(""-"",TRUE,
IFERROR(
  INDEX(FILTER(CFG_CODES!C:C, CFG_CODES!A:A=""CATEGORY"", UPPER(CFG_CODES!B:B)=UPPER(B273))),
  LEFT(UPPER(B273),3)
),
IFERROR(
  INDEX(FILTER(CFG_CODES!C:C, CFG_CODES!A:A=""MATERIAL"", UPPER(CFG_CODES!B:B)"&amp;"=UPPER(C273))),
  LEFT(UPPER(C273),3)
),
TEXT(ROW()-1,""000"")
))"),"L-COA-272")</f>
        <v>L-COA-272</v>
      </c>
      <c r="J273" s="39" t="s">
        <v>1688</v>
      </c>
      <c r="K273" s="188">
        <v>0.010309278350515464</v>
      </c>
      <c r="L273" s="186">
        <v>3.0</v>
      </c>
      <c r="M273" s="64"/>
      <c r="N273" s="64"/>
      <c r="O273" s="64">
        <v>0.0</v>
      </c>
      <c r="P273" s="64"/>
      <c r="Q273" s="80">
        <v>0.0</v>
      </c>
      <c r="R273" s="81" t="s">
        <v>1689</v>
      </c>
      <c r="S273" s="81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</row>
    <row r="274" ht="15.0" customHeight="1">
      <c r="A274" s="186" t="s">
        <v>47</v>
      </c>
      <c r="B274" s="186" t="s">
        <v>1674</v>
      </c>
      <c r="C274" s="187" t="s">
        <v>1691</v>
      </c>
      <c r="D274" s="53" t="s">
        <v>1566</v>
      </c>
      <c r="E274" s="27" t="s">
        <v>1566</v>
      </c>
      <c r="F274" s="27" t="s">
        <v>1566</v>
      </c>
      <c r="G274" s="27" t="s">
        <v>1566</v>
      </c>
      <c r="H274" s="186" t="s">
        <v>661</v>
      </c>
      <c r="I274" s="27" t="str">
        <f>IFERROR(__xludf.DUMMYFUNCTION("IF(A274="""","""",
TEXTJOIN(""-"",TRUE,
IFERROR(
  INDEX(FILTER(CFG_CODES!C:C, CFG_CODES!A:A=""CATEGORY"", UPPER(CFG_CODES!B:B)=UPPER(B274))),
  LEFT(UPPER(B274),3)
),
IFERROR(
  INDEX(FILTER(CFG_CODES!C:C, CFG_CODES!A:A=""MATERIAL"", UPPER(CFG_CODES!B:B)"&amp;"=UPPER(C274))),
  LEFT(UPPER(C274),3)
),
TEXT(ROW()-1,""000"")
))"),"I-PAN-273")</f>
        <v>I-PAN-273</v>
      </c>
      <c r="J274" s="39" t="s">
        <v>1688</v>
      </c>
      <c r="K274" s="188">
        <v>0.041237113402061855</v>
      </c>
      <c r="L274" s="186">
        <v>3.0</v>
      </c>
      <c r="M274" s="64"/>
      <c r="N274" s="64"/>
      <c r="O274" s="64">
        <v>0.0</v>
      </c>
      <c r="P274" s="64"/>
      <c r="Q274" s="80">
        <v>49.0</v>
      </c>
      <c r="R274" s="81" t="s">
        <v>1689</v>
      </c>
      <c r="S274" s="81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</row>
    <row r="275" ht="15.0" customHeight="1">
      <c r="A275" s="2" t="s">
        <v>1086</v>
      </c>
      <c r="B275" s="186" t="s">
        <v>1225</v>
      </c>
      <c r="C275" s="189" t="s">
        <v>1562</v>
      </c>
      <c r="D275" s="189" t="s">
        <v>2116</v>
      </c>
      <c r="E275" s="186" t="s">
        <v>1597</v>
      </c>
      <c r="F275" s="27" t="s">
        <v>1566</v>
      </c>
      <c r="G275" s="27" t="s">
        <v>1566</v>
      </c>
      <c r="H275" s="186" t="s">
        <v>661</v>
      </c>
      <c r="I275" s="27" t="str">
        <f>IFERROR(__xludf.DUMMYFUNCTION("IF(A275="""","""",
TEXTJOIN(""-"",TRUE,
IFERROR(
  INDEX(FILTER(CFG_CODES!C:C, CFG_CODES!A:A=""CATEGORY"", UPPER(CFG_CODES!B:B)=UPPER(B275))),
  LEFT(UPPER(B275),3)
),
IFERROR(
  INDEX(FILTER(CFG_CODES!C:C, CFG_CODES!A:A=""MATERIAL"", UPPER(CFG_CODES!B:B)"&amp;"=UPPER(C275))),
  LEFT(UPPER(C275),3)
),
TEXT(ROW()-1,""000"")
))"),"P-SBS-274")</f>
        <v>P-SBS-274</v>
      </c>
      <c r="J275" s="39" t="s">
        <v>1688</v>
      </c>
      <c r="K275" s="188">
        <v>103.29896907216495</v>
      </c>
      <c r="L275" s="186">
        <v>3.0</v>
      </c>
      <c r="M275" s="64"/>
      <c r="N275" s="64"/>
      <c r="O275" s="64">
        <v>0.0</v>
      </c>
      <c r="P275" s="64"/>
      <c r="Q275" s="88">
        <v>0.0</v>
      </c>
      <c r="R275" s="81" t="s">
        <v>1689</v>
      </c>
      <c r="S275" s="81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</row>
    <row r="276" ht="15.0" customHeight="1">
      <c r="A276" s="2" t="s">
        <v>1720</v>
      </c>
      <c r="B276" s="186" t="s">
        <v>1225</v>
      </c>
      <c r="C276" s="187" t="s">
        <v>1562</v>
      </c>
      <c r="D276" s="187" t="s">
        <v>2117</v>
      </c>
      <c r="E276" s="186" t="s">
        <v>1622</v>
      </c>
      <c r="F276" s="27" t="s">
        <v>1566</v>
      </c>
      <c r="G276" s="27" t="s">
        <v>1566</v>
      </c>
      <c r="H276" s="186" t="s">
        <v>22</v>
      </c>
      <c r="I276" s="27" t="str">
        <f>IFERROR(__xludf.DUMMYFUNCTION("IF(A276="""","""",
TEXTJOIN(""-"",TRUE,
IFERROR(
  INDEX(FILTER(CFG_CODES!C:C, CFG_CODES!A:A=""CATEGORY"", UPPER(CFG_CODES!B:B)=UPPER(B276))),
  LEFT(UPPER(B276),3)
),
IFERROR(
  INDEX(FILTER(CFG_CODES!C:C, CFG_CODES!A:A=""MATERIAL"", UPPER(CFG_CODES!B:B)"&amp;"=UPPER(C276))),
  LEFT(UPPER(C276),3)
),
TEXT(ROW()-1,""000"")
))"),"P-SBS-275")</f>
        <v>P-SBS-275</v>
      </c>
      <c r="J276" s="39" t="s">
        <v>1688</v>
      </c>
      <c r="K276" s="188">
        <v>0.0</v>
      </c>
      <c r="L276" s="186">
        <v>3.0</v>
      </c>
      <c r="M276" s="64"/>
      <c r="N276" s="64"/>
      <c r="O276" s="64" t="s">
        <v>1333</v>
      </c>
      <c r="P276" s="64"/>
      <c r="Q276" s="81"/>
      <c r="R276" s="81" t="s">
        <v>1689</v>
      </c>
      <c r="S276" s="81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</row>
    <row r="277" ht="15.0" customHeight="1">
      <c r="A277" s="2" t="s">
        <v>1089</v>
      </c>
      <c r="B277" s="186" t="s">
        <v>1225</v>
      </c>
      <c r="C277" s="189" t="s">
        <v>1562</v>
      </c>
      <c r="D277" s="189" t="s">
        <v>2118</v>
      </c>
      <c r="E277" s="186" t="s">
        <v>1622</v>
      </c>
      <c r="F277" s="27" t="s">
        <v>1566</v>
      </c>
      <c r="G277" s="27" t="s">
        <v>1566</v>
      </c>
      <c r="H277" s="186" t="s">
        <v>22</v>
      </c>
      <c r="I277" s="27" t="str">
        <f>IFERROR(__xludf.DUMMYFUNCTION("IF(A277="""","""",
TEXTJOIN(""-"",TRUE,
IFERROR(
  INDEX(FILTER(CFG_CODES!C:C, CFG_CODES!A:A=""CATEGORY"", UPPER(CFG_CODES!B:B)=UPPER(B277))),
  LEFT(UPPER(B277),3)
),
IFERROR(
  INDEX(FILTER(CFG_CODES!C:C, CFG_CODES!A:A=""MATERIAL"", UPPER(CFG_CODES!B:B)"&amp;"=UPPER(C277))),
  LEFT(UPPER(C277),3)
),
TEXT(ROW()-1,""000"")
))"),"P-SBS-276")</f>
        <v>P-SBS-276</v>
      </c>
      <c r="J277" s="39" t="s">
        <v>1688</v>
      </c>
      <c r="K277" s="188">
        <v>35.05154639175258</v>
      </c>
      <c r="L277" s="186">
        <v>3.0</v>
      </c>
      <c r="M277" s="64"/>
      <c r="N277" s="64"/>
      <c r="O277" s="64">
        <v>0.0</v>
      </c>
      <c r="P277" s="64"/>
      <c r="Q277" s="80">
        <v>6.0</v>
      </c>
      <c r="R277" s="81" t="s">
        <v>1689</v>
      </c>
      <c r="S277" s="81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</row>
    <row r="278" ht="15.0" customHeight="1">
      <c r="A278" s="2" t="s">
        <v>97</v>
      </c>
      <c r="B278" s="186" t="s">
        <v>1225</v>
      </c>
      <c r="C278" s="187" t="s">
        <v>1562</v>
      </c>
      <c r="D278" s="187" t="s">
        <v>1582</v>
      </c>
      <c r="E278" s="186" t="s">
        <v>1564</v>
      </c>
      <c r="F278" s="27" t="s">
        <v>1566</v>
      </c>
      <c r="G278" s="27" t="s">
        <v>1566</v>
      </c>
      <c r="H278" s="186" t="s">
        <v>22</v>
      </c>
      <c r="I278" s="27" t="str">
        <f>IFERROR(__xludf.DUMMYFUNCTION("IF(A278="""","""",
TEXTJOIN(""-"",TRUE,
IFERROR(
  INDEX(FILTER(CFG_CODES!C:C, CFG_CODES!A:A=""CATEGORY"", UPPER(CFG_CODES!B:B)=UPPER(B278))),
  LEFT(UPPER(B278),3)
),
IFERROR(
  INDEX(FILTER(CFG_CODES!C:C, CFG_CODES!A:A=""MATERIAL"", UPPER(CFG_CODES!B:B)"&amp;"=UPPER(C278))),
  LEFT(UPPER(C278),3)
),
TEXT(ROW()-1,""000"")
))"),"P-SBS-277")</f>
        <v>P-SBS-277</v>
      </c>
      <c r="J278" s="39" t="s">
        <v>1688</v>
      </c>
      <c r="K278" s="188">
        <v>14.43298969072165</v>
      </c>
      <c r="L278" s="186">
        <v>3.0</v>
      </c>
      <c r="M278" s="64"/>
      <c r="N278" s="64"/>
      <c r="O278" s="64">
        <v>0.0</v>
      </c>
      <c r="P278" s="64"/>
      <c r="Q278" s="80">
        <v>0.0</v>
      </c>
      <c r="R278" s="81" t="s">
        <v>1689</v>
      </c>
      <c r="S278" s="81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</row>
    <row r="279" ht="15.0" customHeight="1">
      <c r="A279" s="186" t="s">
        <v>1966</v>
      </c>
      <c r="B279" s="186" t="s">
        <v>1844</v>
      </c>
      <c r="C279" s="189" t="s">
        <v>1807</v>
      </c>
      <c r="D279" s="189" t="s">
        <v>2120</v>
      </c>
      <c r="E279" s="27" t="s">
        <v>1566</v>
      </c>
      <c r="F279" s="27" t="s">
        <v>1566</v>
      </c>
      <c r="G279" s="27" t="s">
        <v>1566</v>
      </c>
      <c r="H279" s="186" t="s">
        <v>661</v>
      </c>
      <c r="I279" s="27" t="str">
        <f>IFERROR(__xludf.DUMMYFUNCTION("IF(A279="""","""",
TEXTJOIN(""-"",TRUE,
IFERROR(
  INDEX(FILTER(CFG_CODES!C:C, CFG_CODES!A:A=""CATEGORY"", UPPER(CFG_CODES!B:B)=UPPER(B279))),
  LEFT(UPPER(B279),3)
),
IFERROR(
  INDEX(FILTER(CFG_CODES!C:C, CFG_CODES!A:A=""MATERIAL"", UPPER(CFG_CODES!B:B)"&amp;"=UPPER(C279))),
  LEFT(UPPER(C279),3)
),
TEXT(ROW()-1,""000"")
))"),"L-COA-278")</f>
        <v>L-COA-278</v>
      </c>
      <c r="J279" s="39" t="s">
        <v>1688</v>
      </c>
      <c r="K279" s="188">
        <v>0.010309278350515464</v>
      </c>
      <c r="L279" s="186">
        <v>3.0</v>
      </c>
      <c r="M279" s="64"/>
      <c r="N279" s="64"/>
      <c r="O279" s="64">
        <v>0.0</v>
      </c>
      <c r="P279" s="64"/>
      <c r="Q279" s="80">
        <v>0.0</v>
      </c>
      <c r="R279" s="81" t="s">
        <v>1689</v>
      </c>
      <c r="S279" s="81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</row>
    <row r="280" ht="15.0" customHeight="1">
      <c r="A280" s="186" t="s">
        <v>1968</v>
      </c>
      <c r="B280" s="186" t="s">
        <v>1225</v>
      </c>
      <c r="C280" s="187" t="s">
        <v>1653</v>
      </c>
      <c r="D280" s="187" t="s">
        <v>2121</v>
      </c>
      <c r="E280" s="186" t="s">
        <v>1595</v>
      </c>
      <c r="F280" s="27" t="s">
        <v>1566</v>
      </c>
      <c r="G280" s="186" t="s">
        <v>2122</v>
      </c>
      <c r="H280" s="186" t="s">
        <v>22</v>
      </c>
      <c r="I280" s="27" t="str">
        <f>IFERROR(__xludf.DUMMYFUNCTION("IF(A280="""","""",
TEXTJOIN(""-"",TRUE,
IFERROR(
  INDEX(FILTER(CFG_CODES!C:C, CFG_CODES!A:A=""CATEGORY"", UPPER(CFG_CODES!B:B)=UPPER(B280))),
  LEFT(UPPER(B280),3)
),
IFERROR(
  INDEX(FILTER(CFG_CODES!C:C, CFG_CODES!A:A=""MATERIAL"", UPPER(CFG_CODES!B:B)"&amp;"=UPPER(C280))),
  LEFT(UPPER(C280),3)
),
TEXT(ROW()-1,""000"")
))"),"P-DUP-279")</f>
        <v>P-DUP-279</v>
      </c>
      <c r="J280" s="186" t="s">
        <v>1688</v>
      </c>
      <c r="K280" s="188">
        <v>6.680412371134021</v>
      </c>
      <c r="L280" s="186">
        <v>3.0</v>
      </c>
      <c r="M280" s="64"/>
      <c r="N280" s="64"/>
      <c r="O280" s="64">
        <v>0.0</v>
      </c>
      <c r="P280" s="64"/>
      <c r="Q280" s="188">
        <v>0.0</v>
      </c>
      <c r="R280" s="81" t="s">
        <v>1689</v>
      </c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</row>
    <row r="281" ht="15.0" customHeight="1">
      <c r="A281" s="186" t="s">
        <v>1092</v>
      </c>
      <c r="B281" s="186" t="s">
        <v>1830</v>
      </c>
      <c r="C281" s="189" t="s">
        <v>1830</v>
      </c>
      <c r="D281" s="135" t="s">
        <v>1566</v>
      </c>
      <c r="E281" s="27" t="s">
        <v>1566</v>
      </c>
      <c r="F281" s="27" t="s">
        <v>1566</v>
      </c>
      <c r="G281" s="27" t="s">
        <v>1566</v>
      </c>
      <c r="H281" s="186" t="s">
        <v>22</v>
      </c>
      <c r="I281" s="27" t="str">
        <f>IFERROR(__xludf.DUMMYFUNCTION("IF(A281="""","""",
TEXTJOIN(""-"",TRUE,
IFERROR(
  INDEX(FILTER(CFG_CODES!C:C, CFG_CODES!A:A=""CATEGORY"", UPPER(CFG_CODES!B:B)=UPPER(B281))),
  LEFT(UPPER(B281),3)
),
IFERROR(
  INDEX(FILTER(CFG_CODES!C:C, CFG_CODES!A:A=""MATERIAL"", UPPER(CFG_CODES!B:B)"&amp;"=UPPER(C281))),
  LEFT(UPPER(C281),3)
),
TEXT(ROW()-1,""000"")
))"),"M-MIS-280")</f>
        <v>M-MIS-280</v>
      </c>
      <c r="J281" s="186" t="s">
        <v>1688</v>
      </c>
      <c r="K281" s="188">
        <v>0.9278350515463918</v>
      </c>
      <c r="L281" s="186">
        <v>3.0</v>
      </c>
      <c r="M281" s="64"/>
      <c r="N281" s="186">
        <v>100.0</v>
      </c>
      <c r="O281" s="64">
        <v>0.0</v>
      </c>
      <c r="P281" s="64"/>
      <c r="Q281" s="188">
        <v>97.0</v>
      </c>
      <c r="R281" s="81" t="s">
        <v>1688</v>
      </c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</row>
    <row r="282" ht="15.0" customHeight="1">
      <c r="A282" s="186" t="s">
        <v>1970</v>
      </c>
      <c r="B282" s="186" t="s">
        <v>1674</v>
      </c>
      <c r="C282" s="187" t="s">
        <v>1691</v>
      </c>
      <c r="D282" s="53" t="s">
        <v>1566</v>
      </c>
      <c r="E282" s="27" t="s">
        <v>1566</v>
      </c>
      <c r="F282" s="27" t="s">
        <v>1566</v>
      </c>
      <c r="G282" s="27" t="s">
        <v>1566</v>
      </c>
      <c r="H282" s="186" t="s">
        <v>290</v>
      </c>
      <c r="I282" s="27" t="str">
        <f>IFERROR(__xludf.DUMMYFUNCTION("IF(A282="""","""",
TEXTJOIN(""-"",TRUE,
IFERROR(
  INDEX(FILTER(CFG_CODES!C:C, CFG_CODES!A:A=""CATEGORY"", UPPER(CFG_CODES!B:B)=UPPER(B282))),
  LEFT(UPPER(B282),3)
),
IFERROR(
  INDEX(FILTER(CFG_CODES!C:C, CFG_CODES!A:A=""MATERIAL"", UPPER(CFG_CODES!B:B)"&amp;"=UPPER(C282))),
  LEFT(UPPER(C282),3)
),
TEXT(ROW()-1,""000"")
))"),"I-PAN-281")</f>
        <v>I-PAN-281</v>
      </c>
      <c r="J282" s="186" t="s">
        <v>1688</v>
      </c>
      <c r="K282" s="188">
        <v>0.010309278350515464</v>
      </c>
      <c r="L282" s="186">
        <v>3.0</v>
      </c>
      <c r="M282" s="64"/>
      <c r="N282" s="64"/>
      <c r="O282" s="64">
        <v>0.0</v>
      </c>
      <c r="P282" s="64"/>
      <c r="Q282" s="188">
        <v>0.0</v>
      </c>
      <c r="R282" s="81" t="s">
        <v>1689</v>
      </c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</row>
    <row r="283" ht="15.0" customHeight="1">
      <c r="A283" s="186" t="s">
        <v>1972</v>
      </c>
      <c r="B283" s="186" t="s">
        <v>1674</v>
      </c>
      <c r="C283" s="189" t="s">
        <v>1691</v>
      </c>
      <c r="D283" s="135" t="s">
        <v>1566</v>
      </c>
      <c r="E283" s="27" t="s">
        <v>1566</v>
      </c>
      <c r="F283" s="27" t="s">
        <v>1566</v>
      </c>
      <c r="G283" s="27" t="s">
        <v>1566</v>
      </c>
      <c r="H283" s="186" t="s">
        <v>290</v>
      </c>
      <c r="I283" s="27" t="str">
        <f>IFERROR(__xludf.DUMMYFUNCTION("IF(A283="""","""",
TEXTJOIN(""-"",TRUE,
IFERROR(
  INDEX(FILTER(CFG_CODES!C:C, CFG_CODES!A:A=""CATEGORY"", UPPER(CFG_CODES!B:B)=UPPER(B283))),
  LEFT(UPPER(B283),3)
),
IFERROR(
  INDEX(FILTER(CFG_CODES!C:C, CFG_CODES!A:A=""MATERIAL"", UPPER(CFG_CODES!B:B)"&amp;"=UPPER(C283))),
  LEFT(UPPER(C283),3)
),
TEXT(ROW()-1,""000"")
))"),"I-PAN-282")</f>
        <v>I-PAN-282</v>
      </c>
      <c r="J283" s="186" t="s">
        <v>1688</v>
      </c>
      <c r="K283" s="188">
        <v>0.010309278350515464</v>
      </c>
      <c r="L283" s="186">
        <v>3.0</v>
      </c>
      <c r="M283" s="64"/>
      <c r="N283" s="64"/>
      <c r="O283" s="64">
        <v>0.0</v>
      </c>
      <c r="P283" s="64"/>
      <c r="Q283" s="188">
        <v>0.0</v>
      </c>
      <c r="R283" s="81" t="s">
        <v>1689</v>
      </c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</row>
    <row r="284" ht="15.0" customHeight="1">
      <c r="A284" s="186" t="s">
        <v>1974</v>
      </c>
      <c r="B284" s="186" t="s">
        <v>1674</v>
      </c>
      <c r="C284" s="187" t="s">
        <v>1691</v>
      </c>
      <c r="D284" s="53" t="s">
        <v>1566</v>
      </c>
      <c r="E284" s="27" t="s">
        <v>1566</v>
      </c>
      <c r="F284" s="27" t="s">
        <v>1566</v>
      </c>
      <c r="G284" s="27" t="s">
        <v>1566</v>
      </c>
      <c r="H284" s="186" t="s">
        <v>290</v>
      </c>
      <c r="I284" s="27" t="str">
        <f>IFERROR(__xludf.DUMMYFUNCTION("IF(A284="""","""",
TEXTJOIN(""-"",TRUE,
IFERROR(
  INDEX(FILTER(CFG_CODES!C:C, CFG_CODES!A:A=""CATEGORY"", UPPER(CFG_CODES!B:B)=UPPER(B284))),
  LEFT(UPPER(B284),3)
),
IFERROR(
  INDEX(FILTER(CFG_CODES!C:C, CFG_CODES!A:A=""MATERIAL"", UPPER(CFG_CODES!B:B)"&amp;"=UPPER(C284))),
  LEFT(UPPER(C284),3)
),
TEXT(ROW()-1,""000"")
))"),"I-PAN-283")</f>
        <v>I-PAN-283</v>
      </c>
      <c r="J284" s="186" t="s">
        <v>1688</v>
      </c>
      <c r="K284" s="188">
        <v>0.010309278350515464</v>
      </c>
      <c r="L284" s="186">
        <v>3.0</v>
      </c>
      <c r="M284" s="64"/>
      <c r="N284" s="64"/>
      <c r="O284" s="64">
        <v>0.0</v>
      </c>
      <c r="P284" s="64"/>
      <c r="Q284" s="188">
        <v>0.0</v>
      </c>
      <c r="R284" s="81" t="s">
        <v>1689</v>
      </c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</row>
    <row r="285" ht="15.0" customHeight="1">
      <c r="A285" s="186" t="s">
        <v>873</v>
      </c>
      <c r="B285" s="186" t="s">
        <v>1225</v>
      </c>
      <c r="C285" s="189" t="s">
        <v>2125</v>
      </c>
      <c r="D285" s="148" t="s">
        <v>1576</v>
      </c>
      <c r="E285" s="27" t="s">
        <v>1566</v>
      </c>
      <c r="F285" s="27" t="s">
        <v>1566</v>
      </c>
      <c r="G285" s="39" t="s">
        <v>2126</v>
      </c>
      <c r="H285" s="186" t="s">
        <v>22</v>
      </c>
      <c r="I285" s="27" t="str">
        <f>IFERROR(__xludf.DUMMYFUNCTION("IF(A285="""","""",
TEXTJOIN(""-"",TRUE,
IFERROR(
  INDEX(FILTER(CFG_CODES!C:C, CFG_CODES!A:A=""CATEGORY"", UPPER(CFG_CODES!B:B)=UPPER(B285))),
  LEFT(UPPER(B285),3)
),
IFERROR(
  INDEX(FILTER(CFG_CODES!C:C, CFG_CODES!A:A=""MATERIAL"", UPPER(CFG_CODES!B:B)"&amp;"=UPPER(C285))),
  LEFT(UPPER(C285),3)
),
TEXT(ROW()-1,""000"")
))"),"P-GUM-284")</f>
        <v>P-GUM-284</v>
      </c>
      <c r="J285" s="186" t="s">
        <v>1688</v>
      </c>
      <c r="K285" s="188">
        <v>0.0</v>
      </c>
      <c r="L285" s="186">
        <v>3.0</v>
      </c>
      <c r="M285" s="64"/>
      <c r="N285" s="64"/>
      <c r="O285" s="64" t="s">
        <v>1333</v>
      </c>
      <c r="P285" s="64"/>
      <c r="Q285" s="64"/>
      <c r="R285" s="81" t="s">
        <v>1689</v>
      </c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</row>
    <row r="286" ht="15.0" customHeight="1">
      <c r="A286" s="186" t="s">
        <v>1096</v>
      </c>
      <c r="B286" s="186" t="s">
        <v>1674</v>
      </c>
      <c r="C286" s="187" t="s">
        <v>1691</v>
      </c>
      <c r="D286" s="53" t="s">
        <v>1566</v>
      </c>
      <c r="E286" s="27" t="s">
        <v>1566</v>
      </c>
      <c r="F286" s="27" t="s">
        <v>1566</v>
      </c>
      <c r="G286" s="186" t="s">
        <v>2127</v>
      </c>
      <c r="H286" s="186" t="s">
        <v>290</v>
      </c>
      <c r="I286" s="27" t="str">
        <f>IFERROR(__xludf.DUMMYFUNCTION("IF(A286="""","""",
TEXTJOIN(""-"",TRUE,
IFERROR(
  INDEX(FILTER(CFG_CODES!C:C, CFG_CODES!A:A=""CATEGORY"", UPPER(CFG_CODES!B:B)=UPPER(B286))),
  LEFT(UPPER(B286),3)
),
IFERROR(
  INDEX(FILTER(CFG_CODES!C:C, CFG_CODES!A:A=""MATERIAL"", UPPER(CFG_CODES!B:B)"&amp;"=UPPER(C286))),
  LEFT(UPPER(C286),3)
),
TEXT(ROW()-1,""000"")
))"),"I-PAN-285")</f>
        <v>I-PAN-285</v>
      </c>
      <c r="J286" s="186" t="s">
        <v>1688</v>
      </c>
      <c r="K286" s="188">
        <v>0.0</v>
      </c>
      <c r="L286" s="186">
        <v>3.0</v>
      </c>
      <c r="M286" s="64"/>
      <c r="N286" s="64"/>
      <c r="O286" s="64" t="s">
        <v>1333</v>
      </c>
      <c r="P286" s="64"/>
      <c r="Q286" s="64"/>
      <c r="R286" s="81" t="s">
        <v>1689</v>
      </c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</row>
    <row r="287" ht="15.0" customHeight="1">
      <c r="A287" s="2" t="s">
        <v>1099</v>
      </c>
      <c r="B287" s="186" t="s">
        <v>1225</v>
      </c>
      <c r="C287" s="189" t="s">
        <v>1562</v>
      </c>
      <c r="D287" s="189" t="s">
        <v>1584</v>
      </c>
      <c r="E287" s="186" t="s">
        <v>1575</v>
      </c>
      <c r="F287" s="27" t="s">
        <v>1566</v>
      </c>
      <c r="G287" s="27" t="s">
        <v>1566</v>
      </c>
      <c r="H287" s="186" t="s">
        <v>22</v>
      </c>
      <c r="I287" s="27" t="str">
        <f>IFERROR(__xludf.DUMMYFUNCTION("IF(A287="""","""",
TEXTJOIN(""-"",TRUE,
IFERROR(
  INDEX(FILTER(CFG_CODES!C:C, CFG_CODES!A:A=""CATEGORY"", UPPER(CFG_CODES!B:B)=UPPER(B287))),
  LEFT(UPPER(B287),3)
),
IFERROR(
  INDEX(FILTER(CFG_CODES!C:C, CFG_CODES!A:A=""MATERIAL"", UPPER(CFG_CODES!B:B)"&amp;"=UPPER(C287))),
  LEFT(UPPER(C287),3)
),
TEXT(ROW()-1,""000"")
))"),"P-SBS-286")</f>
        <v>P-SBS-286</v>
      </c>
      <c r="J287" s="186" t="s">
        <v>1688</v>
      </c>
      <c r="K287" s="188">
        <v>31.95876288659794</v>
      </c>
      <c r="L287" s="186">
        <v>3.0</v>
      </c>
      <c r="M287" s="64"/>
      <c r="N287" s="64"/>
      <c r="O287" s="64">
        <v>0.0</v>
      </c>
      <c r="P287" s="64"/>
      <c r="Q287" s="188">
        <v>0.0</v>
      </c>
      <c r="R287" s="81" t="s">
        <v>1689</v>
      </c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</row>
    <row r="288" ht="15.0" customHeight="1">
      <c r="A288" s="55" t="s">
        <v>594</v>
      </c>
      <c r="B288" s="186" t="s">
        <v>1225</v>
      </c>
      <c r="C288" s="187" t="s">
        <v>1562</v>
      </c>
      <c r="D288" s="187" t="s">
        <v>1591</v>
      </c>
      <c r="E288" s="186" t="s">
        <v>2049</v>
      </c>
      <c r="F288" s="27" t="s">
        <v>1566</v>
      </c>
      <c r="G288" s="27" t="s">
        <v>1566</v>
      </c>
      <c r="H288" s="186" t="s">
        <v>22</v>
      </c>
      <c r="I288" s="27" t="str">
        <f>IFERROR(__xludf.DUMMYFUNCTION("IF(A288="""","""",
TEXTJOIN(""-"",TRUE,
IFERROR(
  INDEX(FILTER(CFG_CODES!C:C, CFG_CODES!A:A=""CATEGORY"", UPPER(CFG_CODES!B:B)=UPPER(B288))),
  LEFT(UPPER(B288),3)
),
IFERROR(
  INDEX(FILTER(CFG_CODES!C:C, CFG_CODES!A:A=""MATERIAL"", UPPER(CFG_CODES!B:B)"&amp;"=UPPER(C288))),
  LEFT(UPPER(C288),3)
),
TEXT(ROW()-1,""000"")
))"),"P-SBS-287")</f>
        <v>P-SBS-287</v>
      </c>
      <c r="J288" s="186" t="s">
        <v>1688</v>
      </c>
      <c r="K288" s="188">
        <v>30.927835051546392</v>
      </c>
      <c r="L288" s="186">
        <v>3.0</v>
      </c>
      <c r="M288" s="64"/>
      <c r="N288" s="64"/>
      <c r="O288" s="64">
        <v>0.0</v>
      </c>
      <c r="P288" s="64"/>
      <c r="Q288" s="188">
        <v>0.0</v>
      </c>
      <c r="R288" s="81" t="s">
        <v>1689</v>
      </c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</row>
    <row r="289" ht="15.0" customHeight="1">
      <c r="A289" s="2" t="s">
        <v>1723</v>
      </c>
      <c r="B289" s="186" t="s">
        <v>1225</v>
      </c>
      <c r="C289" s="189" t="s">
        <v>1562</v>
      </c>
      <c r="D289" s="189" t="s">
        <v>1633</v>
      </c>
      <c r="E289" s="186" t="s">
        <v>1574</v>
      </c>
      <c r="F289" s="27" t="s">
        <v>1566</v>
      </c>
      <c r="G289" s="39" t="s">
        <v>2128</v>
      </c>
      <c r="H289" s="186" t="s">
        <v>22</v>
      </c>
      <c r="I289" s="27" t="str">
        <f>IFERROR(__xludf.DUMMYFUNCTION("IF(A289="""","""",
TEXTJOIN(""-"",TRUE,
IFERROR(
  INDEX(FILTER(CFG_CODES!C:C, CFG_CODES!A:A=""CATEGORY"", UPPER(CFG_CODES!B:B)=UPPER(B289))),
  LEFT(UPPER(B289),3)
),
IFERROR(
  INDEX(FILTER(CFG_CODES!C:C, CFG_CODES!A:A=""MATERIAL"", UPPER(CFG_CODES!B:B)"&amp;"=UPPER(C289))),
  LEFT(UPPER(C289),3)
),
TEXT(ROW()-1,""000"")
))"),"P-SBS-288")</f>
        <v>P-SBS-288</v>
      </c>
      <c r="J289" s="186" t="s">
        <v>1688</v>
      </c>
      <c r="K289" s="188">
        <v>5.154639175257732</v>
      </c>
      <c r="L289" s="186">
        <v>3.0</v>
      </c>
      <c r="M289" s="64"/>
      <c r="N289" s="64"/>
      <c r="O289" s="64">
        <v>0.0</v>
      </c>
      <c r="P289" s="64"/>
      <c r="Q289" s="188">
        <v>0.0</v>
      </c>
      <c r="R289" s="81" t="s">
        <v>1689</v>
      </c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</row>
    <row r="290" ht="15.0" customHeight="1">
      <c r="A290" s="2" t="s">
        <v>1725</v>
      </c>
      <c r="B290" s="186" t="s">
        <v>1225</v>
      </c>
      <c r="C290" s="187" t="s">
        <v>1562</v>
      </c>
      <c r="D290" s="187" t="s">
        <v>1591</v>
      </c>
      <c r="E290" s="186" t="s">
        <v>1574</v>
      </c>
      <c r="F290" s="27" t="s">
        <v>1566</v>
      </c>
      <c r="G290" s="39" t="s">
        <v>2128</v>
      </c>
      <c r="H290" s="186" t="s">
        <v>22</v>
      </c>
      <c r="I290" s="27" t="str">
        <f>IFERROR(__xludf.DUMMYFUNCTION("IF(A290="""","""",
TEXTJOIN(""-"",TRUE,
IFERROR(
  INDEX(FILTER(CFG_CODES!C:C, CFG_CODES!A:A=""CATEGORY"", UPPER(CFG_CODES!B:B)=UPPER(B290))),
  LEFT(UPPER(B290),3)
),
IFERROR(
  INDEX(FILTER(CFG_CODES!C:C, CFG_CODES!A:A=""MATERIAL"", UPPER(CFG_CODES!B:B)"&amp;"=UPPER(C290))),
  LEFT(UPPER(C290),3)
),
TEXT(ROW()-1,""000"")
))"),"P-SBS-289")</f>
        <v>P-SBS-289</v>
      </c>
      <c r="J290" s="186" t="s">
        <v>1688</v>
      </c>
      <c r="K290" s="188">
        <v>6.185567010309279</v>
      </c>
      <c r="L290" s="186">
        <v>3.0</v>
      </c>
      <c r="M290" s="64"/>
      <c r="N290" s="64"/>
      <c r="O290" s="64">
        <v>0.0</v>
      </c>
      <c r="P290" s="64"/>
      <c r="Q290" s="188">
        <v>0.0</v>
      </c>
      <c r="R290" s="81" t="s">
        <v>1689</v>
      </c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</row>
    <row r="291" ht="15.0" customHeight="1">
      <c r="A291" s="2" t="s">
        <v>1977</v>
      </c>
      <c r="B291" s="186" t="s">
        <v>1225</v>
      </c>
      <c r="C291" s="189" t="s">
        <v>1896</v>
      </c>
      <c r="D291" s="189" t="s">
        <v>2129</v>
      </c>
      <c r="E291" s="186" t="s">
        <v>1572</v>
      </c>
      <c r="F291" s="27" t="s">
        <v>1566</v>
      </c>
      <c r="G291" s="186" t="s">
        <v>2130</v>
      </c>
      <c r="H291" s="186" t="s">
        <v>22</v>
      </c>
      <c r="I291" s="27" t="str">
        <f>IFERROR(__xludf.DUMMYFUNCTION("IF(A291="""","""",
TEXTJOIN(""-"",TRUE,
IFERROR(
  INDEX(FILTER(CFG_CODES!C:C, CFG_CODES!A:A=""CATEGORY"", UPPER(CFG_CODES!B:B)=UPPER(B291))),
  LEFT(UPPER(B291),3)
),
IFERROR(
  INDEX(FILTER(CFG_CODES!C:C, CFG_CODES!A:A=""MATERIAL"", UPPER(CFG_CODES!B:B)"&amp;"=UPPER(C291))),
  LEFT(UPPER(C291),3)
),
TEXT(ROW()-1,""000"")
))"),"P-KRA-290")</f>
        <v>P-KRA-290</v>
      </c>
      <c r="J291" s="186" t="s">
        <v>1688</v>
      </c>
      <c r="K291" s="188">
        <v>6.185567010309279</v>
      </c>
      <c r="L291" s="186">
        <v>3.0</v>
      </c>
      <c r="M291" s="64"/>
      <c r="N291" s="64"/>
      <c r="O291" s="64">
        <v>0.0</v>
      </c>
      <c r="P291" s="64"/>
      <c r="Q291" s="188">
        <v>0.0</v>
      </c>
      <c r="R291" s="81" t="s">
        <v>1689</v>
      </c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</row>
    <row r="292" ht="15.0" customHeight="1">
      <c r="A292" s="186" t="s">
        <v>1102</v>
      </c>
      <c r="B292" s="186" t="s">
        <v>1225</v>
      </c>
      <c r="C292" s="187" t="s">
        <v>1653</v>
      </c>
      <c r="D292" s="187" t="s">
        <v>1573</v>
      </c>
      <c r="E292" s="186" t="s">
        <v>2131</v>
      </c>
      <c r="F292" s="27" t="s">
        <v>1566</v>
      </c>
      <c r="G292" s="186" t="s">
        <v>2132</v>
      </c>
      <c r="H292" s="186" t="s">
        <v>22</v>
      </c>
      <c r="I292" s="27" t="str">
        <f>IFERROR(__xludf.DUMMYFUNCTION("IF(A292="""","""",
TEXTJOIN(""-"",TRUE,
IFERROR(
  INDEX(FILTER(CFG_CODES!C:C, CFG_CODES!A:A=""CATEGORY"", UPPER(CFG_CODES!B:B)=UPPER(B292))),
  LEFT(UPPER(B292),3)
),
IFERROR(
  INDEX(FILTER(CFG_CODES!C:C, CFG_CODES!A:A=""MATERIAL"", UPPER(CFG_CODES!B:B)"&amp;"=UPPER(C292))),
  LEFT(UPPER(C292),3)
),
TEXT(ROW()-1,""000"")
))"),"P-DUP-291")</f>
        <v>P-DUP-291</v>
      </c>
      <c r="J292" s="186" t="s">
        <v>1688</v>
      </c>
      <c r="K292" s="188">
        <v>41.56701030927835</v>
      </c>
      <c r="L292" s="186">
        <v>3.0</v>
      </c>
      <c r="M292" s="64"/>
      <c r="N292" s="64"/>
      <c r="O292" s="64">
        <v>0.0</v>
      </c>
      <c r="P292" s="64"/>
      <c r="Q292" s="188">
        <v>21.0</v>
      </c>
      <c r="R292" s="81" t="s">
        <v>1689</v>
      </c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</row>
    <row r="293" ht="15.0" customHeight="1">
      <c r="A293" s="186" t="s">
        <v>1727</v>
      </c>
      <c r="B293" s="186" t="s">
        <v>1225</v>
      </c>
      <c r="C293" s="189" t="s">
        <v>1562</v>
      </c>
      <c r="D293" s="189" t="s">
        <v>2133</v>
      </c>
      <c r="E293" s="186" t="s">
        <v>1564</v>
      </c>
      <c r="F293" s="27" t="s">
        <v>1566</v>
      </c>
      <c r="G293" s="27" t="s">
        <v>1566</v>
      </c>
      <c r="H293" s="186" t="s">
        <v>22</v>
      </c>
      <c r="I293" s="27" t="str">
        <f>IFERROR(__xludf.DUMMYFUNCTION("IF(A293="""","""",
TEXTJOIN(""-"",TRUE,
IFERROR(
  INDEX(FILTER(CFG_CODES!C:C, CFG_CODES!A:A=""CATEGORY"", UPPER(CFG_CODES!B:B)=UPPER(B293))),
  LEFT(UPPER(B293),3)
),
IFERROR(
  INDEX(FILTER(CFG_CODES!C:C, CFG_CODES!A:A=""MATERIAL"", UPPER(CFG_CODES!B:B)"&amp;"=UPPER(C293))),
  LEFT(UPPER(C293),3)
),
TEXT(ROW()-1,""000"")
))"),"P-SBS-292")</f>
        <v>P-SBS-292</v>
      </c>
      <c r="J293" s="186" t="s">
        <v>1688</v>
      </c>
      <c r="K293" s="186">
        <v>12.371134020618557</v>
      </c>
      <c r="L293" s="186">
        <v>3.0</v>
      </c>
      <c r="M293" s="64"/>
      <c r="N293" s="64"/>
      <c r="O293" s="64">
        <v>0.0</v>
      </c>
      <c r="P293" s="64"/>
      <c r="Q293" s="188">
        <v>113.0</v>
      </c>
      <c r="R293" s="81" t="s">
        <v>1689</v>
      </c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</row>
    <row r="294" ht="15.0" customHeight="1">
      <c r="A294" s="186" t="s">
        <v>1106</v>
      </c>
      <c r="B294" s="186" t="s">
        <v>1225</v>
      </c>
      <c r="C294" s="187" t="s">
        <v>1562</v>
      </c>
      <c r="D294" s="187" t="s">
        <v>1591</v>
      </c>
      <c r="E294" s="186" t="s">
        <v>1574</v>
      </c>
      <c r="F294" s="27" t="s">
        <v>1566</v>
      </c>
      <c r="G294" s="27" t="s">
        <v>1566</v>
      </c>
      <c r="H294" s="186" t="s">
        <v>22</v>
      </c>
      <c r="I294" s="27" t="str">
        <f>IFERROR(__xludf.DUMMYFUNCTION("IF(A294="""","""",
TEXTJOIN(""-"",TRUE,
IFERROR(
  INDEX(FILTER(CFG_CODES!C:C, CFG_CODES!A:A=""CATEGORY"", UPPER(CFG_CODES!B:B)=UPPER(B294))),
  LEFT(UPPER(B294),3)
),
IFERROR(
  INDEX(FILTER(CFG_CODES!C:C, CFG_CODES!A:A=""MATERIAL"", UPPER(CFG_CODES!B:B)"&amp;"=UPPER(C294))),
  LEFT(UPPER(C294),3)
),
TEXT(ROW()-1,""000"")
))"),"P-SBS-293")</f>
        <v>P-SBS-293</v>
      </c>
      <c r="J294" s="186" t="s">
        <v>1689</v>
      </c>
      <c r="K294" s="186"/>
      <c r="L294" s="186">
        <v>3.0</v>
      </c>
      <c r="M294" s="64"/>
      <c r="N294" s="64"/>
      <c r="O294" s="64" t="s">
        <v>1333</v>
      </c>
      <c r="P294" s="64"/>
      <c r="Q294" s="188"/>
      <c r="R294" s="81" t="s">
        <v>1689</v>
      </c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</row>
    <row r="295" ht="15.0" customHeight="1">
      <c r="A295" s="55" t="s">
        <v>1109</v>
      </c>
      <c r="B295" s="186" t="s">
        <v>1225</v>
      </c>
      <c r="C295" s="189" t="s">
        <v>1653</v>
      </c>
      <c r="D295" s="189" t="s">
        <v>1656</v>
      </c>
      <c r="E295" s="186" t="s">
        <v>1595</v>
      </c>
      <c r="F295" s="27" t="s">
        <v>1566</v>
      </c>
      <c r="G295" s="186" t="s">
        <v>2122</v>
      </c>
      <c r="H295" s="186" t="s">
        <v>22</v>
      </c>
      <c r="I295" s="27" t="str">
        <f>IFERROR(__xludf.DUMMYFUNCTION("IF(A295="""","""",
TEXTJOIN(""-"",TRUE,
IFERROR(
  INDEX(FILTER(CFG_CODES!C:C, CFG_CODES!A:A=""CATEGORY"", UPPER(CFG_CODES!B:B)=UPPER(B295))),
  LEFT(UPPER(B295),3)
),
IFERROR(
  INDEX(FILTER(CFG_CODES!C:C, CFG_CODES!A:A=""MATERIAL"", UPPER(CFG_CODES!B:B)"&amp;"=UPPER(C295))),
  LEFT(UPPER(C295),3)
),
TEXT(ROW()-1,""000"")
))"),"P-DUP-294")</f>
        <v>P-DUP-294</v>
      </c>
      <c r="J295" s="186" t="s">
        <v>1688</v>
      </c>
      <c r="K295" s="186">
        <v>7.422680412371134</v>
      </c>
      <c r="L295" s="186">
        <v>3.0</v>
      </c>
      <c r="M295" s="64"/>
      <c r="N295" s="64"/>
      <c r="O295" s="64">
        <v>0.0</v>
      </c>
      <c r="P295" s="64"/>
      <c r="Q295" s="188">
        <v>19.0</v>
      </c>
      <c r="R295" s="81" t="s">
        <v>1689</v>
      </c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</row>
    <row r="296" ht="15.0" customHeight="1">
      <c r="A296" s="186" t="s">
        <v>1112</v>
      </c>
      <c r="B296" s="186" t="s">
        <v>1225</v>
      </c>
      <c r="C296" s="187" t="s">
        <v>1653</v>
      </c>
      <c r="D296" s="187" t="s">
        <v>2134</v>
      </c>
      <c r="E296" s="186" t="s">
        <v>1595</v>
      </c>
      <c r="F296" s="27" t="s">
        <v>1566</v>
      </c>
      <c r="G296" s="186" t="s">
        <v>2122</v>
      </c>
      <c r="H296" s="186" t="s">
        <v>22</v>
      </c>
      <c r="I296" s="27" t="str">
        <f>IFERROR(__xludf.DUMMYFUNCTION("IF(A296="""","""",
TEXTJOIN(""-"",TRUE,
IFERROR(
  INDEX(FILTER(CFG_CODES!C:C, CFG_CODES!A:A=""CATEGORY"", UPPER(CFG_CODES!B:B)=UPPER(B296))),
  LEFT(UPPER(B296),3)
),
IFERROR(
  INDEX(FILTER(CFG_CODES!C:C, CFG_CODES!A:A=""MATERIAL"", UPPER(CFG_CODES!B:B)"&amp;"=UPPER(C296))),
  LEFT(UPPER(C296),3)
),
TEXT(ROW()-1,""000"")
))"),"P-DUP-295")</f>
        <v>P-DUP-295</v>
      </c>
      <c r="J296" s="186" t="s">
        <v>1688</v>
      </c>
      <c r="K296" s="186">
        <v>5.938144329896907</v>
      </c>
      <c r="L296" s="186">
        <v>3.0</v>
      </c>
      <c r="M296" s="64"/>
      <c r="N296" s="64"/>
      <c r="O296" s="64">
        <v>0.0</v>
      </c>
      <c r="P296" s="64"/>
      <c r="Q296" s="188">
        <v>194.0</v>
      </c>
      <c r="R296" s="81" t="s">
        <v>1689</v>
      </c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</row>
    <row r="297" ht="15.0" customHeight="1">
      <c r="A297" s="55" t="s">
        <v>216</v>
      </c>
      <c r="B297" s="186" t="s">
        <v>1225</v>
      </c>
      <c r="C297" s="189" t="s">
        <v>1562</v>
      </c>
      <c r="D297" s="189" t="s">
        <v>1600</v>
      </c>
      <c r="E297" s="186" t="s">
        <v>1564</v>
      </c>
      <c r="F297" s="27" t="s">
        <v>1566</v>
      </c>
      <c r="G297" s="27" t="s">
        <v>1566</v>
      </c>
      <c r="H297" s="186" t="s">
        <v>22</v>
      </c>
      <c r="I297" s="27" t="str">
        <f>IFERROR(__xludf.DUMMYFUNCTION("IF(A297="""","""",
TEXTJOIN(""-"",TRUE,
IFERROR(
  INDEX(FILTER(CFG_CODES!C:C, CFG_CODES!A:A=""CATEGORY"", UPPER(CFG_CODES!B:B)=UPPER(B297))),
  LEFT(UPPER(B297),3)
),
IFERROR(
  INDEX(FILTER(CFG_CODES!C:C, CFG_CODES!A:A=""MATERIAL"", UPPER(CFG_CODES!B:B)"&amp;"=UPPER(C297))),
  LEFT(UPPER(C297),3)
),
TEXT(ROW()-1,""000"")
))"),"P-SBS-296")</f>
        <v>P-SBS-296</v>
      </c>
      <c r="J297" s="186" t="s">
        <v>1688</v>
      </c>
      <c r="K297" s="186">
        <v>11.34020618556701</v>
      </c>
      <c r="L297" s="186">
        <v>3.0</v>
      </c>
      <c r="M297" s="64"/>
      <c r="N297" s="64"/>
      <c r="O297" s="64">
        <v>0.0</v>
      </c>
      <c r="P297" s="64"/>
      <c r="Q297" s="188">
        <v>0.0</v>
      </c>
      <c r="R297" s="81" t="s">
        <v>1689</v>
      </c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</row>
    <row r="298" ht="15.0" customHeight="1">
      <c r="A298" s="2" t="s">
        <v>1115</v>
      </c>
      <c r="B298" s="186" t="s">
        <v>1225</v>
      </c>
      <c r="C298" s="187" t="s">
        <v>1562</v>
      </c>
      <c r="D298" s="187" t="s">
        <v>1573</v>
      </c>
      <c r="E298" s="186" t="s">
        <v>1572</v>
      </c>
      <c r="F298" s="27" t="s">
        <v>1566</v>
      </c>
      <c r="G298" s="27" t="s">
        <v>1566</v>
      </c>
      <c r="H298" s="186" t="s">
        <v>22</v>
      </c>
      <c r="I298" s="27" t="str">
        <f>IFERROR(__xludf.DUMMYFUNCTION("IF(A298="""","""",
TEXTJOIN(""-"",TRUE,
IFERROR(
  INDEX(FILTER(CFG_CODES!C:C, CFG_CODES!A:A=""CATEGORY"", UPPER(CFG_CODES!B:B)=UPPER(B298))),
  LEFT(UPPER(B298),3)
),
IFERROR(
  INDEX(FILTER(CFG_CODES!C:C, CFG_CODES!A:A=""MATERIAL"", UPPER(CFG_CODES!B:B)"&amp;"=UPPER(C298))),
  LEFT(UPPER(C298),3)
),
TEXT(ROW()-1,""000"")
))"),"P-SBS-297")</f>
        <v>P-SBS-297</v>
      </c>
      <c r="J298" s="186" t="s">
        <v>1688</v>
      </c>
      <c r="K298" s="186">
        <v>0.0</v>
      </c>
      <c r="L298" s="186">
        <v>3.0</v>
      </c>
      <c r="M298" s="64"/>
      <c r="N298" s="64"/>
      <c r="O298" s="64" t="s">
        <v>1333</v>
      </c>
      <c r="P298" s="64"/>
      <c r="Q298" s="64"/>
      <c r="R298" s="81" t="s">
        <v>1689</v>
      </c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</row>
    <row r="299" ht="15.0" customHeight="1">
      <c r="A299" s="2" t="s">
        <v>1118</v>
      </c>
      <c r="B299" s="186" t="s">
        <v>1225</v>
      </c>
      <c r="C299" s="189" t="s">
        <v>1642</v>
      </c>
      <c r="D299" s="189" t="s">
        <v>2136</v>
      </c>
      <c r="E299" s="186" t="s">
        <v>1622</v>
      </c>
      <c r="F299" s="27" t="s">
        <v>1566</v>
      </c>
      <c r="G299" s="27" t="s">
        <v>1566</v>
      </c>
      <c r="H299" s="186" t="s">
        <v>22</v>
      </c>
      <c r="I299" s="27" t="str">
        <f>IFERROR(__xludf.DUMMYFUNCTION("IF(A299="""","""",
TEXTJOIN(""-"",TRUE,
IFERROR(
  INDEX(FILTER(CFG_CODES!C:C, CFG_CODES!A:A=""CATEGORY"", UPPER(CFG_CODES!B:B)=UPPER(B299))),
  LEFT(UPPER(B299),3)
),
IFERROR(
  INDEX(FILTER(CFG_CODES!C:C, CFG_CODES!A:A=""MATERIAL"", UPPER(CFG_CODES!B:B)"&amp;"=UPPER(C299))),
  LEFT(UPPER(C299),3)
),
TEXT(ROW()-1,""000"")
))"),"P-OTH-298")</f>
        <v>P-OTH-298</v>
      </c>
      <c r="J299" s="186" t="s">
        <v>1688</v>
      </c>
      <c r="K299" s="186">
        <v>6.185567010309279</v>
      </c>
      <c r="L299" s="186">
        <v>3.0</v>
      </c>
      <c r="M299" s="64"/>
      <c r="N299" s="64"/>
      <c r="O299" s="64">
        <v>0.0</v>
      </c>
      <c r="P299" s="64"/>
      <c r="Q299" s="188">
        <v>129.0</v>
      </c>
      <c r="R299" s="81" t="s">
        <v>1689</v>
      </c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</row>
    <row r="300" ht="15.0" customHeight="1">
      <c r="A300" s="186" t="s">
        <v>1121</v>
      </c>
      <c r="B300" s="186" t="s">
        <v>1830</v>
      </c>
      <c r="C300" s="187" t="s">
        <v>1642</v>
      </c>
      <c r="D300" s="53" t="s">
        <v>1566</v>
      </c>
      <c r="E300" s="27" t="s">
        <v>1566</v>
      </c>
      <c r="F300" s="27" t="s">
        <v>1566</v>
      </c>
      <c r="G300" s="27" t="s">
        <v>1566</v>
      </c>
      <c r="H300" s="186" t="s">
        <v>616</v>
      </c>
      <c r="I300" s="27" t="str">
        <f>IFERROR(__xludf.DUMMYFUNCTION("IF(A300="""","""",
TEXTJOIN(""-"",TRUE,
IFERROR(
  INDEX(FILTER(CFG_CODES!C:C, CFG_CODES!A:A=""CATEGORY"", UPPER(CFG_CODES!B:B)=UPPER(B300))),
  LEFT(UPPER(B300),3)
),
IFERROR(
  INDEX(FILTER(CFG_CODES!C:C, CFG_CODES!A:A=""MATERIAL"", UPPER(CFG_CODES!B:B)"&amp;"=UPPER(C300))),
  LEFT(UPPER(C300),3)
),
TEXT(ROW()-1,""000"")
))"),"M-OTH-299")</f>
        <v>M-OTH-299</v>
      </c>
      <c r="J300" s="186" t="s">
        <v>1688</v>
      </c>
      <c r="K300" s="186">
        <v>0.00979381443298969</v>
      </c>
      <c r="L300" s="186">
        <v>3.0</v>
      </c>
      <c r="M300" s="64"/>
      <c r="N300" s="64"/>
      <c r="O300" s="64">
        <v>0.0</v>
      </c>
      <c r="P300" s="64"/>
      <c r="Q300" s="188">
        <v>97.0</v>
      </c>
      <c r="R300" s="81" t="s">
        <v>1689</v>
      </c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</row>
    <row r="301" ht="15.0" customHeight="1">
      <c r="A301" s="186" t="s">
        <v>1125</v>
      </c>
      <c r="B301" s="186" t="s">
        <v>1830</v>
      </c>
      <c r="C301" s="189" t="s">
        <v>1642</v>
      </c>
      <c r="D301" s="135" t="s">
        <v>1566</v>
      </c>
      <c r="E301" s="27" t="s">
        <v>1566</v>
      </c>
      <c r="F301" s="27" t="s">
        <v>1566</v>
      </c>
      <c r="G301" s="27" t="s">
        <v>1566</v>
      </c>
      <c r="H301" s="186" t="s">
        <v>661</v>
      </c>
      <c r="I301" s="27" t="str">
        <f>IFERROR(__xludf.DUMMYFUNCTION("IF(A301="""","""",
TEXTJOIN(""-"",TRUE,
IFERROR(
  INDEX(FILTER(CFG_CODES!C:C, CFG_CODES!A:A=""CATEGORY"", UPPER(CFG_CODES!B:B)=UPPER(B301))),
  LEFT(UPPER(B301),3)
),
IFERROR(
  INDEX(FILTER(CFG_CODES!C:C, CFG_CODES!A:A=""MATERIAL"", UPPER(CFG_CODES!B:B)"&amp;"=UPPER(C301))),
  LEFT(UPPER(C301),3)
),
TEXT(ROW()-1,""000"")
))"),"M-OTH-300")</f>
        <v>M-OTH-300</v>
      </c>
      <c r="J301" s="186" t="s">
        <v>1688</v>
      </c>
      <c r="K301" s="186">
        <v>0.0</v>
      </c>
      <c r="L301" s="186">
        <v>3.0</v>
      </c>
      <c r="M301" s="64"/>
      <c r="N301" s="64"/>
      <c r="O301" s="64" t="s">
        <v>1333</v>
      </c>
      <c r="P301" s="64"/>
      <c r="Q301" s="64"/>
      <c r="R301" s="81" t="s">
        <v>1689</v>
      </c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</row>
    <row r="302" ht="15.0" customHeight="1">
      <c r="A302" s="186" t="s">
        <v>1128</v>
      </c>
      <c r="B302" s="186" t="s">
        <v>1830</v>
      </c>
      <c r="C302" s="187" t="s">
        <v>1642</v>
      </c>
      <c r="D302" s="53" t="s">
        <v>1566</v>
      </c>
      <c r="E302" s="27" t="s">
        <v>1566</v>
      </c>
      <c r="F302" s="27" t="s">
        <v>1566</v>
      </c>
      <c r="G302" s="27" t="s">
        <v>1566</v>
      </c>
      <c r="H302" s="186" t="s">
        <v>661</v>
      </c>
      <c r="I302" s="27" t="str">
        <f>IFERROR(__xludf.DUMMYFUNCTION("IF(A302="""","""",
TEXTJOIN(""-"",TRUE,
IFERROR(
  INDEX(FILTER(CFG_CODES!C:C, CFG_CODES!A:A=""CATEGORY"", UPPER(CFG_CODES!B:B)=UPPER(B302))),
  LEFT(UPPER(B302),3)
),
IFERROR(
  INDEX(FILTER(CFG_CODES!C:C, CFG_CODES!A:A=""MATERIAL"", UPPER(CFG_CODES!B:B)"&amp;"=UPPER(C302))),
  LEFT(UPPER(C302),3)
),
TEXT(ROW()-1,""000"")
))"),"M-OTH-301")</f>
        <v>M-OTH-301</v>
      </c>
      <c r="J302" s="186" t="s">
        <v>1688</v>
      </c>
      <c r="K302" s="186">
        <v>0.0</v>
      </c>
      <c r="L302" s="186">
        <v>3.0</v>
      </c>
      <c r="M302" s="64"/>
      <c r="N302" s="64"/>
      <c r="O302" s="64" t="s">
        <v>1333</v>
      </c>
      <c r="P302" s="64"/>
      <c r="Q302" s="64"/>
      <c r="R302" s="81" t="s">
        <v>1689</v>
      </c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</row>
    <row r="303" ht="15.0" customHeight="1">
      <c r="A303" s="186" t="s">
        <v>1131</v>
      </c>
      <c r="B303" s="186" t="s">
        <v>1833</v>
      </c>
      <c r="C303" s="189" t="s">
        <v>1833</v>
      </c>
      <c r="D303" s="135" t="s">
        <v>1566</v>
      </c>
      <c r="E303" s="27" t="s">
        <v>1566</v>
      </c>
      <c r="F303" s="27" t="s">
        <v>1566</v>
      </c>
      <c r="G303" s="27" t="s">
        <v>1566</v>
      </c>
      <c r="H303" s="186" t="s">
        <v>290</v>
      </c>
      <c r="I303" s="27" t="str">
        <f>IFERROR(__xludf.DUMMYFUNCTION("IF(A303="""","""",
TEXTJOIN(""-"",TRUE,
IFERROR(
  INDEX(FILTER(CFG_CODES!C:C, CFG_CODES!A:A=""CATEGORY"", UPPER(CFG_CODES!B:B)=UPPER(B303))),
  LEFT(UPPER(B303),3)
),
IFERROR(
  INDEX(FILTER(CFG_CODES!C:C, CFG_CODES!A:A=""MATERIAL"", UPPER(CFG_CODES!B:B)"&amp;"=UPPER(C303))),
  LEFT(UPPER(C303),3)
),
TEXT(ROW()-1,""000"")
))"),"POW-POW-302")</f>
        <v>POW-POW-302</v>
      </c>
      <c r="J303" s="186" t="s">
        <v>1688</v>
      </c>
      <c r="K303" s="186">
        <v>0.020618556701030927</v>
      </c>
      <c r="L303" s="186">
        <v>3.0</v>
      </c>
      <c r="M303" s="64"/>
      <c r="N303" s="64"/>
      <c r="O303" s="64">
        <v>0.0</v>
      </c>
      <c r="P303" s="64"/>
      <c r="Q303" s="188">
        <v>146.0</v>
      </c>
      <c r="R303" s="81" t="s">
        <v>1689</v>
      </c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</row>
    <row r="304" ht="15.0" customHeight="1">
      <c r="A304" s="186" t="s">
        <v>1134</v>
      </c>
      <c r="B304" s="186" t="s">
        <v>1821</v>
      </c>
      <c r="C304" s="187" t="s">
        <v>1821</v>
      </c>
      <c r="D304" s="53" t="s">
        <v>1566</v>
      </c>
      <c r="E304" s="27" t="s">
        <v>1566</v>
      </c>
      <c r="F304" s="27" t="s">
        <v>1566</v>
      </c>
      <c r="G304" s="27" t="s">
        <v>1566</v>
      </c>
      <c r="H304" s="186" t="s">
        <v>643</v>
      </c>
      <c r="I304" s="27" t="str">
        <f>IFERROR(__xludf.DUMMYFUNCTION("IF(A304="""","""",
TEXTJOIN(""-"",TRUE,
IFERROR(
  INDEX(FILTER(CFG_CODES!C:C, CFG_CODES!A:A=""CATEGORY"", UPPER(CFG_CODES!B:B)=UPPER(B304))),
  LEFT(UPPER(B304),3)
),
IFERROR(
  INDEX(FILTER(CFG_CODES!C:C, CFG_CODES!A:A=""MATERIAL"", UPPER(CFG_CODES!B:B)"&amp;"=UPPER(C304))),
  LEFT(UPPER(C304),3)
),
TEXT(ROW()-1,""000"")
))"),"A-ADH-303")</f>
        <v>A-ADH-303</v>
      </c>
      <c r="J304" s="186" t="s">
        <v>1688</v>
      </c>
      <c r="K304" s="186">
        <v>0.020618556701030927</v>
      </c>
      <c r="L304" s="186">
        <v>3.0</v>
      </c>
      <c r="M304" s="64"/>
      <c r="N304" s="64"/>
      <c r="O304" s="64">
        <v>0.0</v>
      </c>
      <c r="P304" s="64"/>
      <c r="Q304" s="188">
        <v>97.0</v>
      </c>
      <c r="R304" s="81" t="s">
        <v>1689</v>
      </c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</row>
    <row r="305" ht="15.0" customHeight="1">
      <c r="A305" s="186" t="s">
        <v>1980</v>
      </c>
      <c r="B305" s="186" t="s">
        <v>1225</v>
      </c>
      <c r="C305" s="189" t="s">
        <v>1642</v>
      </c>
      <c r="D305" s="189" t="s">
        <v>1576</v>
      </c>
      <c r="E305" s="186" t="s">
        <v>1662</v>
      </c>
      <c r="F305" s="27" t="s">
        <v>1566</v>
      </c>
      <c r="G305" s="186" t="s">
        <v>2140</v>
      </c>
      <c r="H305" s="186" t="s">
        <v>22</v>
      </c>
      <c r="I305" s="27" t="str">
        <f>IFERROR(__xludf.DUMMYFUNCTION("IF(A305="""","""",
TEXTJOIN(""-"",TRUE,
IFERROR(
  INDEX(FILTER(CFG_CODES!C:C, CFG_CODES!A:A=""CATEGORY"", UPPER(CFG_CODES!B:B)=UPPER(B305))),
  LEFT(UPPER(B305),3)
),
IFERROR(
  INDEX(FILTER(CFG_CODES!C:C, CFG_CODES!A:A=""MATERIAL"", UPPER(CFG_CODES!B:B)"&amp;"=UPPER(C305))),
  LEFT(UPPER(C305),3)
),
TEXT(ROW()-1,""000"")
))"),"P-OTH-304")</f>
        <v>P-OTH-304</v>
      </c>
      <c r="J305" s="186" t="s">
        <v>1688</v>
      </c>
      <c r="K305" s="186">
        <v>4.123711340206185</v>
      </c>
      <c r="L305" s="186">
        <v>3.0</v>
      </c>
      <c r="M305" s="64"/>
      <c r="N305" s="64"/>
      <c r="O305" s="64">
        <v>0.0</v>
      </c>
      <c r="P305" s="64"/>
      <c r="Q305" s="188">
        <v>0.0</v>
      </c>
      <c r="R305" s="81" t="s">
        <v>1689</v>
      </c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</row>
    <row r="306" ht="15.0" customHeight="1">
      <c r="A306" s="186" t="s">
        <v>1137</v>
      </c>
      <c r="B306" s="186" t="s">
        <v>1812</v>
      </c>
      <c r="C306" s="187" t="s">
        <v>1815</v>
      </c>
      <c r="D306" s="53" t="s">
        <v>1566</v>
      </c>
      <c r="E306" s="27" t="s">
        <v>1566</v>
      </c>
      <c r="F306" s="27" t="s">
        <v>1566</v>
      </c>
      <c r="G306" s="27" t="s">
        <v>1566</v>
      </c>
      <c r="H306" s="186" t="s">
        <v>290</v>
      </c>
      <c r="I306" s="27" t="str">
        <f>IFERROR(__xludf.DUMMYFUNCTION("IF(A306="""","""",
TEXTJOIN(""-"",TRUE,
IFERROR(
  INDEX(FILTER(CFG_CODES!C:C, CFG_CODES!A:A=""CATEGORY"", UPPER(CFG_CODES!B:B)=UPPER(B306))),
  LEFT(UPPER(B306),3)
),
IFERROR(
  INDEX(FILTER(CFG_CODES!C:C, CFG_CODES!A:A=""MATERIAL"", UPPER(CFG_CODES!B:B)"&amp;"=UPPER(C306))),
  LEFT(UPPER(C306),3)
),
TEXT(ROW()-1,""000"")
))"),"CH-SOL-305")</f>
        <v>CH-SOL-305</v>
      </c>
      <c r="J306" s="186" t="s">
        <v>1688</v>
      </c>
      <c r="K306" s="186">
        <v>0.010309278350515464</v>
      </c>
      <c r="L306" s="186">
        <v>3.0</v>
      </c>
      <c r="M306" s="64"/>
      <c r="N306" s="64"/>
      <c r="O306" s="64">
        <v>0.0</v>
      </c>
      <c r="P306" s="64"/>
      <c r="Q306" s="188">
        <v>97.0</v>
      </c>
      <c r="R306" s="81" t="s">
        <v>1689</v>
      </c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</row>
    <row r="307" ht="15.0" customHeight="1">
      <c r="A307" s="2" t="s">
        <v>1982</v>
      </c>
      <c r="B307" s="186" t="s">
        <v>1225</v>
      </c>
      <c r="C307" s="189" t="s">
        <v>1653</v>
      </c>
      <c r="D307" s="189" t="s">
        <v>1584</v>
      </c>
      <c r="E307" s="186" t="s">
        <v>1595</v>
      </c>
      <c r="F307" s="27" t="s">
        <v>1566</v>
      </c>
      <c r="G307" s="39" t="s">
        <v>2100</v>
      </c>
      <c r="H307" s="186" t="s">
        <v>22</v>
      </c>
      <c r="I307" s="27" t="str">
        <f>IFERROR(__xludf.DUMMYFUNCTION("IF(A307="""","""",
TEXTJOIN(""-"",TRUE,
IFERROR(
  INDEX(FILTER(CFG_CODES!C:C, CFG_CODES!A:A=""CATEGORY"", UPPER(CFG_CODES!B:B)=UPPER(B307))),
  LEFT(UPPER(B307),3)
),
IFERROR(
  INDEX(FILTER(CFG_CODES!C:C, CFG_CODES!A:A=""MATERIAL"", UPPER(CFG_CODES!B:B)"&amp;"=UPPER(C307))),
  LEFT(UPPER(C307),3)
),
TEXT(ROW()-1,""000"")
))"),"P-DUP-306")</f>
        <v>P-DUP-306</v>
      </c>
      <c r="J307" s="186" t="s">
        <v>1688</v>
      </c>
      <c r="K307" s="186">
        <v>10.391752577319588</v>
      </c>
      <c r="L307" s="186">
        <v>3.0</v>
      </c>
      <c r="M307" s="64"/>
      <c r="N307" s="64"/>
      <c r="O307" s="64">
        <v>0.0</v>
      </c>
      <c r="P307" s="64"/>
      <c r="Q307" s="188">
        <v>55.0</v>
      </c>
      <c r="R307" s="81" t="s">
        <v>1689</v>
      </c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</row>
    <row r="308" ht="15.0" customHeight="1">
      <c r="A308" s="2" t="s">
        <v>1143</v>
      </c>
      <c r="B308" s="186" t="s">
        <v>1225</v>
      </c>
      <c r="C308" s="187" t="s">
        <v>1653</v>
      </c>
      <c r="D308" s="187" t="s">
        <v>1576</v>
      </c>
      <c r="E308" s="186" t="s">
        <v>1595</v>
      </c>
      <c r="F308" s="27" t="s">
        <v>1566</v>
      </c>
      <c r="G308" s="39" t="s">
        <v>2100</v>
      </c>
      <c r="H308" s="186" t="s">
        <v>22</v>
      </c>
      <c r="I308" s="27" t="str">
        <f>IFERROR(__xludf.DUMMYFUNCTION("IF(A308="""","""",
TEXTJOIN(""-"",TRUE,
IFERROR(
  INDEX(FILTER(CFG_CODES!C:C, CFG_CODES!A:A=""CATEGORY"", UPPER(CFG_CODES!B:B)=UPPER(B308))),
  LEFT(UPPER(B308),3)
),
IFERROR(
  INDEX(FILTER(CFG_CODES!C:C, CFG_CODES!A:A=""MATERIAL"", UPPER(CFG_CODES!B:B)"&amp;"=UPPER(C308))),
  LEFT(UPPER(C308),3)
),
TEXT(ROW()-1,""000"")
))"),"P-DUP-307")</f>
        <v>P-DUP-307</v>
      </c>
      <c r="J308" s="186" t="s">
        <v>1688</v>
      </c>
      <c r="K308" s="186">
        <v>2.9690721649484537</v>
      </c>
      <c r="L308" s="186">
        <v>3.0</v>
      </c>
      <c r="M308" s="64"/>
      <c r="N308" s="64"/>
      <c r="O308" s="64">
        <v>0.0</v>
      </c>
      <c r="P308" s="64"/>
      <c r="Q308" s="188">
        <v>485.0</v>
      </c>
      <c r="R308" s="81" t="s">
        <v>1689</v>
      </c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</row>
    <row r="309" ht="15.0" customHeight="1">
      <c r="A309" s="2" t="s">
        <v>1984</v>
      </c>
      <c r="B309" s="186" t="s">
        <v>1225</v>
      </c>
      <c r="C309" s="189" t="s">
        <v>1653</v>
      </c>
      <c r="D309" s="189" t="s">
        <v>1573</v>
      </c>
      <c r="E309" s="186" t="s">
        <v>1595</v>
      </c>
      <c r="F309" s="27" t="s">
        <v>1566</v>
      </c>
      <c r="G309" s="39" t="s">
        <v>2100</v>
      </c>
      <c r="H309" s="186" t="s">
        <v>22</v>
      </c>
      <c r="I309" s="27" t="str">
        <f>IFERROR(__xludf.DUMMYFUNCTION("IF(A309="""","""",
TEXTJOIN(""-"",TRUE,
IFERROR(
  INDEX(FILTER(CFG_CODES!C:C, CFG_CODES!A:A=""CATEGORY"", UPPER(CFG_CODES!B:B)=UPPER(B309))),
  LEFT(UPPER(B309),3)
),
IFERROR(
  INDEX(FILTER(CFG_CODES!C:C, CFG_CODES!A:A=""MATERIAL"", UPPER(CFG_CODES!B:B)"&amp;"=UPPER(C309))),
  LEFT(UPPER(C309),3)
),
TEXT(ROW()-1,""000"")
))"),"P-DUP-308")</f>
        <v>P-DUP-308</v>
      </c>
      <c r="J309" s="186" t="s">
        <v>1688</v>
      </c>
      <c r="K309" s="186">
        <v>17.814432989690722</v>
      </c>
      <c r="L309" s="186">
        <v>3.0</v>
      </c>
      <c r="M309" s="64"/>
      <c r="N309" s="64"/>
      <c r="O309" s="64">
        <v>0.0</v>
      </c>
      <c r="P309" s="64"/>
      <c r="Q309" s="188">
        <v>0.0</v>
      </c>
      <c r="R309" s="81" t="s">
        <v>1689</v>
      </c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</row>
    <row r="310" ht="15.0" customHeight="1">
      <c r="A310" s="186" t="s">
        <v>1986</v>
      </c>
      <c r="B310" s="186" t="s">
        <v>1674</v>
      </c>
      <c r="C310" s="187" t="s">
        <v>1691</v>
      </c>
      <c r="D310" s="53" t="s">
        <v>1566</v>
      </c>
      <c r="E310" s="27" t="s">
        <v>1566</v>
      </c>
      <c r="F310" s="27" t="s">
        <v>1566</v>
      </c>
      <c r="G310" s="27" t="s">
        <v>1566</v>
      </c>
      <c r="H310" s="186" t="s">
        <v>290</v>
      </c>
      <c r="I310" s="27" t="str">
        <f>IFERROR(__xludf.DUMMYFUNCTION("IF(A310="""","""",
TEXTJOIN(""-"",TRUE,
IFERROR(
  INDEX(FILTER(CFG_CODES!C:C, CFG_CODES!A:A=""CATEGORY"", UPPER(CFG_CODES!B:B)=UPPER(B310))),
  LEFT(UPPER(B310),3)
),
IFERROR(
  INDEX(FILTER(CFG_CODES!C:C, CFG_CODES!A:A=""MATERIAL"", UPPER(CFG_CODES!B:B)"&amp;"=UPPER(C310))),
  LEFT(UPPER(C310),3)
),
TEXT(ROW()-1,""000"")
))"),"I-PAN-309")</f>
        <v>I-PAN-309</v>
      </c>
      <c r="J310" s="186" t="s">
        <v>1688</v>
      </c>
      <c r="K310" s="186">
        <v>0.010309278350515464</v>
      </c>
      <c r="L310" s="186">
        <v>3.0</v>
      </c>
      <c r="M310" s="64"/>
      <c r="N310" s="64"/>
      <c r="O310" s="64">
        <v>0.0</v>
      </c>
      <c r="P310" s="64"/>
      <c r="Q310" s="188">
        <v>0.0</v>
      </c>
      <c r="R310" s="81" t="s">
        <v>1689</v>
      </c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</row>
    <row r="311" ht="15.0" customHeight="1">
      <c r="A311" s="2" t="s">
        <v>309</v>
      </c>
      <c r="B311" s="186" t="s">
        <v>1225</v>
      </c>
      <c r="C311" s="189" t="s">
        <v>1562</v>
      </c>
      <c r="D311" s="189" t="s">
        <v>1563</v>
      </c>
      <c r="E311" s="186" t="s">
        <v>1574</v>
      </c>
      <c r="F311" s="27" t="s">
        <v>1566</v>
      </c>
      <c r="G311" s="27" t="s">
        <v>1566</v>
      </c>
      <c r="H311" s="186" t="s">
        <v>22</v>
      </c>
      <c r="I311" s="27" t="str">
        <f>IFERROR(__xludf.DUMMYFUNCTION("IF(A311="""","""",
TEXTJOIN(""-"",TRUE,
IFERROR(
  INDEX(FILTER(CFG_CODES!C:C, CFG_CODES!A:A=""CATEGORY"", UPPER(CFG_CODES!B:B)=UPPER(B311))),
  LEFT(UPPER(B311),3)
),
IFERROR(
  INDEX(FILTER(CFG_CODES!C:C, CFG_CODES!A:A=""MATERIAL"", UPPER(CFG_CODES!B:B)"&amp;"=UPPER(C311))),
  LEFT(UPPER(C311),3)
),
TEXT(ROW()-1,""000"")
))"),"P-SBS-310")</f>
        <v>P-SBS-310</v>
      </c>
      <c r="J311" s="186" t="s">
        <v>1688</v>
      </c>
      <c r="K311" s="186">
        <v>31.95876288659794</v>
      </c>
      <c r="L311" s="186">
        <v>3.0</v>
      </c>
      <c r="M311" s="64"/>
      <c r="N311" s="64"/>
      <c r="O311" s="64">
        <v>0.0</v>
      </c>
      <c r="P311" s="64"/>
      <c r="Q311" s="188">
        <v>0.0</v>
      </c>
      <c r="R311" s="81" t="s">
        <v>1689</v>
      </c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</row>
    <row r="312" ht="15.0" customHeight="1">
      <c r="A312" s="55" t="s">
        <v>1152</v>
      </c>
      <c r="B312" s="186" t="s">
        <v>1225</v>
      </c>
      <c r="C312" s="187" t="s">
        <v>1653</v>
      </c>
      <c r="D312" s="187" t="s">
        <v>1563</v>
      </c>
      <c r="E312" s="186" t="s">
        <v>1564</v>
      </c>
      <c r="F312" s="27" t="s">
        <v>1566</v>
      </c>
      <c r="G312" s="186" t="s">
        <v>2132</v>
      </c>
      <c r="H312" s="186" t="s">
        <v>22</v>
      </c>
      <c r="I312" s="27" t="str">
        <f>IFERROR(__xludf.DUMMYFUNCTION("IF(A312="""","""",
TEXTJOIN(""-"",TRUE,
IFERROR(
  INDEX(FILTER(CFG_CODES!C:C, CFG_CODES!A:A=""CATEGORY"", UPPER(CFG_CODES!B:B)=UPPER(B312))),
  LEFT(UPPER(B312),3)
),
IFERROR(
  INDEX(FILTER(CFG_CODES!C:C, CFG_CODES!A:A=""MATERIAL"", UPPER(CFG_CODES!B:B)"&amp;"=UPPER(C312))),
  LEFT(UPPER(C312),3)
),
TEXT(ROW()-1,""000"")
))"),"P-DUP-311")</f>
        <v>P-DUP-311</v>
      </c>
      <c r="J312" s="186" t="s">
        <v>1688</v>
      </c>
      <c r="K312" s="186">
        <v>0.0</v>
      </c>
      <c r="L312" s="186">
        <v>3.0</v>
      </c>
      <c r="M312" s="64"/>
      <c r="N312" s="64"/>
      <c r="O312" s="64" t="s">
        <v>1333</v>
      </c>
      <c r="P312" s="64"/>
      <c r="Q312" s="64"/>
      <c r="R312" s="81" t="s">
        <v>1689</v>
      </c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</row>
    <row r="313" ht="15.0" customHeight="1">
      <c r="A313" s="55" t="s">
        <v>1155</v>
      </c>
      <c r="B313" s="186" t="s">
        <v>1225</v>
      </c>
      <c r="C313" s="189" t="s">
        <v>1653</v>
      </c>
      <c r="D313" s="189" t="s">
        <v>1563</v>
      </c>
      <c r="E313" s="186" t="s">
        <v>1564</v>
      </c>
      <c r="F313" s="27" t="s">
        <v>1566</v>
      </c>
      <c r="G313" s="186" t="s">
        <v>2145</v>
      </c>
      <c r="H313" s="186" t="s">
        <v>22</v>
      </c>
      <c r="I313" s="27" t="str">
        <f>IFERROR(__xludf.DUMMYFUNCTION("IF(A313="""","""",
TEXTJOIN(""-"",TRUE,
IFERROR(
  INDEX(FILTER(CFG_CODES!C:C, CFG_CODES!A:A=""CATEGORY"", UPPER(CFG_CODES!B:B)=UPPER(B313))),
  LEFT(UPPER(B313),3)
),
IFERROR(
  INDEX(FILTER(CFG_CODES!C:C, CFG_CODES!A:A=""MATERIAL"", UPPER(CFG_CODES!B:B)"&amp;"=UPPER(C313))),
  LEFT(UPPER(C313),3)
),
TEXT(ROW()-1,""000"")
))"),"P-DUP-312")</f>
        <v>P-DUP-312</v>
      </c>
      <c r="J313" s="186" t="s">
        <v>1688</v>
      </c>
      <c r="K313" s="186">
        <v>0.0</v>
      </c>
      <c r="L313" s="186">
        <v>3.0</v>
      </c>
      <c r="M313" s="64"/>
      <c r="N313" s="64"/>
      <c r="O313" s="64" t="s">
        <v>1333</v>
      </c>
      <c r="P313" s="64"/>
      <c r="Q313" s="64"/>
      <c r="R313" s="81" t="s">
        <v>1689</v>
      </c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</row>
    <row r="314" ht="15.0" customHeight="1">
      <c r="A314" s="186" t="s">
        <v>1376</v>
      </c>
      <c r="B314" s="186" t="s">
        <v>1812</v>
      </c>
      <c r="C314" s="187" t="s">
        <v>1815</v>
      </c>
      <c r="D314" s="53" t="s">
        <v>1566</v>
      </c>
      <c r="E314" s="27" t="s">
        <v>1566</v>
      </c>
      <c r="F314" s="27" t="s">
        <v>1566</v>
      </c>
      <c r="G314" s="186" t="s">
        <v>2146</v>
      </c>
      <c r="H314" s="186" t="s">
        <v>616</v>
      </c>
      <c r="I314" s="27" t="str">
        <f>IFERROR(__xludf.DUMMYFUNCTION("IF(A314="""","""",
TEXTJOIN(""-"",TRUE,
IFERROR(
  INDEX(FILTER(CFG_CODES!C:C, CFG_CODES!A:A=""CATEGORY"", UPPER(CFG_CODES!B:B)=UPPER(B314))),
  LEFT(UPPER(B314),3)
),
IFERROR(
  INDEX(FILTER(CFG_CODES!C:C, CFG_CODES!A:A=""MATERIAL"", UPPER(CFG_CODES!B:B)"&amp;"=UPPER(C314))),
  LEFT(UPPER(C314),3)
),
TEXT(ROW()-1,""000"")
))"),"CH-SOL-313")</f>
        <v>CH-SOL-313</v>
      </c>
      <c r="J314" s="186" t="s">
        <v>1688</v>
      </c>
      <c r="K314" s="186">
        <v>0.008659793814432989</v>
      </c>
      <c r="L314" s="186">
        <v>3.0</v>
      </c>
      <c r="M314" s="64"/>
      <c r="N314" s="186">
        <v>2.0</v>
      </c>
      <c r="O314" s="64">
        <v>0.0</v>
      </c>
      <c r="P314" s="64"/>
      <c r="Q314" s="188">
        <v>0.0</v>
      </c>
      <c r="R314" s="143" t="s">
        <v>2029</v>
      </c>
      <c r="S314" s="188">
        <v>3.0</v>
      </c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</row>
    <row r="315" ht="15.0" customHeight="1">
      <c r="A315" s="2" t="s">
        <v>1729</v>
      </c>
      <c r="B315" s="186" t="s">
        <v>1225</v>
      </c>
      <c r="C315" s="189" t="s">
        <v>1562</v>
      </c>
      <c r="D315" s="189" t="s">
        <v>1584</v>
      </c>
      <c r="E315" s="186" t="s">
        <v>1572</v>
      </c>
      <c r="F315" s="27" t="s">
        <v>1566</v>
      </c>
      <c r="G315" s="186" t="s">
        <v>1565</v>
      </c>
      <c r="H315" s="186" t="s">
        <v>22</v>
      </c>
      <c r="I315" s="27" t="str">
        <f>IFERROR(__xludf.DUMMYFUNCTION("IF(A315="""","""",
TEXTJOIN(""-"",TRUE,
IFERROR(
  INDEX(FILTER(CFG_CODES!C:C, CFG_CODES!A:A=""CATEGORY"", UPPER(CFG_CODES!B:B)=UPPER(B315))),
  LEFT(UPPER(B315),3)
),
IFERROR(
  INDEX(FILTER(CFG_CODES!C:C, CFG_CODES!A:A=""MATERIAL"", UPPER(CFG_CODES!B:B)"&amp;"=UPPER(C315))),
  LEFT(UPPER(C315),3)
),
TEXT(ROW()-1,""000"")
))"),"P-SBS-314")</f>
        <v>P-SBS-314</v>
      </c>
      <c r="J315" s="186" t="s">
        <v>1688</v>
      </c>
      <c r="K315" s="188">
        <v>3.0927835051546393</v>
      </c>
      <c r="L315" s="186">
        <v>3.0</v>
      </c>
      <c r="M315" s="64"/>
      <c r="N315" s="64"/>
      <c r="O315" s="64">
        <v>0.0</v>
      </c>
      <c r="P315" s="64"/>
      <c r="Q315" s="188">
        <v>0.0</v>
      </c>
      <c r="R315" s="81" t="s">
        <v>1689</v>
      </c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</row>
    <row r="316" ht="15.0" customHeight="1">
      <c r="A316" s="55" t="s">
        <v>1159</v>
      </c>
      <c r="B316" s="186" t="s">
        <v>1225</v>
      </c>
      <c r="C316" s="187" t="s">
        <v>1562</v>
      </c>
      <c r="D316" s="187" t="s">
        <v>1576</v>
      </c>
      <c r="E316" s="186" t="s">
        <v>1572</v>
      </c>
      <c r="F316" s="27" t="s">
        <v>1566</v>
      </c>
      <c r="G316" s="186" t="s">
        <v>1565</v>
      </c>
      <c r="H316" s="186" t="s">
        <v>22</v>
      </c>
      <c r="I316" s="27" t="str">
        <f>IFERROR(__xludf.DUMMYFUNCTION("IF(A316="""","""",
TEXTJOIN(""-"",TRUE,
IFERROR(
  INDEX(FILTER(CFG_CODES!C:C, CFG_CODES!A:A=""CATEGORY"", UPPER(CFG_CODES!B:B)=UPPER(B316))),
  LEFT(UPPER(B316),3)
),
IFERROR(
  INDEX(FILTER(CFG_CODES!C:C, CFG_CODES!A:A=""MATERIAL"", UPPER(CFG_CODES!B:B)"&amp;"=UPPER(C316))),
  LEFT(UPPER(C316),3)
),
TEXT(ROW()-1,""000"")
))"),"P-SBS-315")</f>
        <v>P-SBS-315</v>
      </c>
      <c r="J316" s="186" t="s">
        <v>1688</v>
      </c>
      <c r="K316" s="188">
        <v>0.0</v>
      </c>
      <c r="L316" s="64"/>
      <c r="M316" s="64"/>
      <c r="N316" s="64"/>
      <c r="O316" s="64" t="s">
        <v>1333</v>
      </c>
      <c r="P316" s="64"/>
      <c r="Q316" s="64"/>
      <c r="R316" s="81" t="s">
        <v>1689</v>
      </c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</row>
    <row r="317" ht="15.0" customHeight="1">
      <c r="A317" s="55" t="s">
        <v>1989</v>
      </c>
      <c r="B317" s="186" t="s">
        <v>1225</v>
      </c>
      <c r="C317" s="189" t="s">
        <v>1653</v>
      </c>
      <c r="D317" s="189" t="s">
        <v>2148</v>
      </c>
      <c r="E317" s="186" t="s">
        <v>2149</v>
      </c>
      <c r="F317" s="27" t="s">
        <v>1566</v>
      </c>
      <c r="G317" s="186" t="s">
        <v>2100</v>
      </c>
      <c r="H317" s="186" t="s">
        <v>22</v>
      </c>
      <c r="I317" s="27" t="str">
        <f>IFERROR(__xludf.DUMMYFUNCTION("IF(A317="""","""",
TEXTJOIN(""-"",TRUE,
IFERROR(
  INDEX(FILTER(CFG_CODES!C:C, CFG_CODES!A:A=""CATEGORY"", UPPER(CFG_CODES!B:B)=UPPER(B317))),
  LEFT(UPPER(B317),3)
),
IFERROR(
  INDEX(FILTER(CFG_CODES!C:C, CFG_CODES!A:A=""MATERIAL"", UPPER(CFG_CODES!B:B)"&amp;"=UPPER(C317))),
  LEFT(UPPER(C317),3)
),
TEXT(ROW()-1,""000"")
))"),"P-DUP-316")</f>
        <v>P-DUP-316</v>
      </c>
      <c r="J317" s="186" t="s">
        <v>1688</v>
      </c>
      <c r="K317" s="188">
        <v>5.938144329896907</v>
      </c>
      <c r="L317" s="64"/>
      <c r="M317" s="64"/>
      <c r="N317" s="64"/>
      <c r="O317" s="64">
        <v>0.0</v>
      </c>
      <c r="P317" s="64"/>
      <c r="Q317" s="188">
        <v>0.0</v>
      </c>
      <c r="R317" s="81" t="s">
        <v>1689</v>
      </c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</row>
    <row r="318" ht="15.0" customHeight="1">
      <c r="A318" s="148" t="s">
        <v>1991</v>
      </c>
      <c r="B318" s="186" t="s">
        <v>1225</v>
      </c>
      <c r="C318" s="187" t="s">
        <v>1653</v>
      </c>
      <c r="D318" s="187" t="s">
        <v>1576</v>
      </c>
      <c r="E318" s="186" t="s">
        <v>1564</v>
      </c>
      <c r="F318" s="27" t="s">
        <v>1566</v>
      </c>
      <c r="G318" s="186" t="s">
        <v>2151</v>
      </c>
      <c r="H318" s="186" t="s">
        <v>22</v>
      </c>
      <c r="I318" s="27" t="str">
        <f>IFERROR(__xludf.DUMMYFUNCTION("IF(A318="""","""",
TEXTJOIN(""-"",TRUE,
IFERROR(
  INDEX(FILTER(CFG_CODES!C:C, CFG_CODES!A:A=""CATEGORY"", UPPER(CFG_CODES!B:B)=UPPER(B318))),
  LEFT(UPPER(B318),3)
),
IFERROR(
  INDEX(FILTER(CFG_CODES!C:C, CFG_CODES!A:A=""MATERIAL"", UPPER(CFG_CODES!B:B)"&amp;"=UPPER(C318))),
  LEFT(UPPER(C318),3)
),
TEXT(ROW()-1,""000"")
))"),"P-DUP-317")</f>
        <v>P-DUP-317</v>
      </c>
      <c r="J318" s="186" t="s">
        <v>1688</v>
      </c>
      <c r="K318" s="188">
        <v>60.865979381443296</v>
      </c>
      <c r="L318" s="64"/>
      <c r="M318" s="64"/>
      <c r="N318" s="64"/>
      <c r="O318" s="64">
        <v>0.0</v>
      </c>
      <c r="P318" s="64"/>
      <c r="Q318" s="188">
        <v>0.0</v>
      </c>
      <c r="R318" s="81" t="s">
        <v>1689</v>
      </c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</row>
    <row r="319" ht="15.0" customHeight="1">
      <c r="A319" s="186" t="s">
        <v>736</v>
      </c>
      <c r="B319" s="186" t="s">
        <v>1225</v>
      </c>
      <c r="C319" s="189" t="s">
        <v>1562</v>
      </c>
      <c r="D319" s="189" t="s">
        <v>1591</v>
      </c>
      <c r="E319" s="186" t="s">
        <v>1564</v>
      </c>
      <c r="F319" s="27" t="s">
        <v>1566</v>
      </c>
      <c r="G319" s="27" t="s">
        <v>1566</v>
      </c>
      <c r="H319" s="186" t="s">
        <v>22</v>
      </c>
      <c r="I319" s="27" t="str">
        <f>IFERROR(__xludf.DUMMYFUNCTION("IF(A319="""","""",
TEXTJOIN(""-"",TRUE,
IFERROR(
  INDEX(FILTER(CFG_CODES!C:C, CFG_CODES!A:A=""CATEGORY"", UPPER(CFG_CODES!B:B)=UPPER(B319))),
  LEFT(UPPER(B319),3)
),
IFERROR(
  INDEX(FILTER(CFG_CODES!C:C, CFG_CODES!A:A=""MATERIAL"", UPPER(CFG_CODES!B:B)"&amp;"=UPPER(C319))),
  LEFT(UPPER(C319),3)
),
TEXT(ROW()-1,""000"")
))"),"P-SBS-318")</f>
        <v>P-SBS-318</v>
      </c>
      <c r="J319" s="186" t="s">
        <v>1688</v>
      </c>
      <c r="K319" s="188">
        <v>0.0</v>
      </c>
      <c r="L319" s="64"/>
      <c r="M319" s="64"/>
      <c r="N319" s="64"/>
      <c r="O319" s="64" t="s">
        <v>1333</v>
      </c>
      <c r="P319" s="64"/>
      <c r="Q319" s="64"/>
      <c r="R319" s="81" t="s">
        <v>1689</v>
      </c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</row>
    <row r="320" ht="15.0" customHeight="1">
      <c r="A320" s="186" t="s">
        <v>1112</v>
      </c>
      <c r="B320" s="186" t="s">
        <v>1225</v>
      </c>
      <c r="C320" s="187" t="s">
        <v>1653</v>
      </c>
      <c r="D320" s="187" t="s">
        <v>2134</v>
      </c>
      <c r="E320" s="186" t="s">
        <v>1595</v>
      </c>
      <c r="F320" s="27" t="s">
        <v>1566</v>
      </c>
      <c r="G320" s="186" t="s">
        <v>2132</v>
      </c>
      <c r="H320" s="186" t="s">
        <v>22</v>
      </c>
      <c r="I320" s="27" t="str">
        <f>IFERROR(__xludf.DUMMYFUNCTION("IF(A320="""","""",
TEXTJOIN(""-"",TRUE,
IFERROR(
  INDEX(FILTER(CFG_CODES!C:C, CFG_CODES!A:A=""CATEGORY"", UPPER(CFG_CODES!B:B)=UPPER(B320))),
  LEFT(UPPER(B320),3)
),
IFERROR(
  INDEX(FILTER(CFG_CODES!C:C, CFG_CODES!A:A=""MATERIAL"", UPPER(CFG_CODES!B:B)"&amp;"=UPPER(C320))),
  LEFT(UPPER(C320),3)
),
TEXT(ROW()-1,""000"")
))"),"P-DUP-319")</f>
        <v>P-DUP-319</v>
      </c>
      <c r="J320" s="186" t="s">
        <v>1688</v>
      </c>
      <c r="K320" s="188">
        <v>18.556701030927837</v>
      </c>
      <c r="L320" s="64"/>
      <c r="M320" s="64"/>
      <c r="N320" s="64"/>
      <c r="O320" s="64">
        <v>0.0</v>
      </c>
      <c r="P320" s="64"/>
      <c r="Q320" s="188">
        <v>97.0</v>
      </c>
      <c r="R320" s="81" t="s">
        <v>1689</v>
      </c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</row>
    <row r="321" ht="15.0" customHeight="1">
      <c r="A321" s="2" t="s">
        <v>1993</v>
      </c>
      <c r="B321" s="186" t="s">
        <v>1225</v>
      </c>
      <c r="C321" s="189" t="s">
        <v>1653</v>
      </c>
      <c r="D321" s="189" t="s">
        <v>1633</v>
      </c>
      <c r="E321" s="186" t="s">
        <v>1595</v>
      </c>
      <c r="F321" s="27" t="s">
        <v>1566</v>
      </c>
      <c r="G321" s="186" t="s">
        <v>2132</v>
      </c>
      <c r="H321" s="186" t="s">
        <v>22</v>
      </c>
      <c r="I321" s="27" t="str">
        <f>IFERROR(__xludf.DUMMYFUNCTION("IF(A321="""","""",
TEXTJOIN(""-"",TRUE,
IFERROR(
  INDEX(FILTER(CFG_CODES!C:C, CFG_CODES!A:A=""CATEGORY"", UPPER(CFG_CODES!B:B)=UPPER(B321))),
  LEFT(UPPER(B321),3)
),
IFERROR(
  INDEX(FILTER(CFG_CODES!C:C, CFG_CODES!A:A=""MATERIAL"", UPPER(CFG_CODES!B:B)"&amp;"=UPPER(C321))),
  LEFT(UPPER(C321),3)
),
TEXT(ROW()-1,""000"")
))"),"P-DUP-320")</f>
        <v>P-DUP-320</v>
      </c>
      <c r="J321" s="186" t="s">
        <v>1688</v>
      </c>
      <c r="K321" s="188">
        <v>14.845360824742269</v>
      </c>
      <c r="L321" s="64"/>
      <c r="M321" s="64"/>
      <c r="N321" s="64"/>
      <c r="O321" s="64">
        <v>0.0</v>
      </c>
      <c r="P321" s="64"/>
      <c r="Q321" s="188">
        <v>0.0</v>
      </c>
      <c r="R321" s="81" t="s">
        <v>1689</v>
      </c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</row>
    <row r="322" ht="15.0" customHeight="1">
      <c r="A322" s="2" t="s">
        <v>1164</v>
      </c>
      <c r="B322" s="186" t="s">
        <v>1225</v>
      </c>
      <c r="C322" s="187" t="s">
        <v>1562</v>
      </c>
      <c r="D322" s="187" t="s">
        <v>2116</v>
      </c>
      <c r="E322" s="186" t="s">
        <v>2152</v>
      </c>
      <c r="F322" s="27" t="s">
        <v>1566</v>
      </c>
      <c r="G322" s="186" t="s">
        <v>2128</v>
      </c>
      <c r="H322" s="186" t="s">
        <v>22</v>
      </c>
      <c r="I322" s="27" t="str">
        <f>IFERROR(__xludf.DUMMYFUNCTION("IF(A322="""","""",
TEXTJOIN(""-"",TRUE,
IFERROR(
  INDEX(FILTER(CFG_CODES!C:C, CFG_CODES!A:A=""CATEGORY"", UPPER(CFG_CODES!B:B)=UPPER(B322))),
  LEFT(UPPER(B322),3)
),
IFERROR(
  INDEX(FILTER(CFG_CODES!C:C, CFG_CODES!A:A=""MATERIAL"", UPPER(CFG_CODES!B:B)"&amp;"=UPPER(C322))),
  LEFT(UPPER(C322),3)
),
TEXT(ROW()-1,""000"")
))"),"P-SBS-321")</f>
        <v>P-SBS-321</v>
      </c>
      <c r="J322" s="186" t="s">
        <v>1688</v>
      </c>
      <c r="K322" s="188">
        <v>88.65979381443299</v>
      </c>
      <c r="L322" s="64"/>
      <c r="M322" s="64"/>
      <c r="N322" s="64"/>
      <c r="O322" s="64">
        <v>0.0</v>
      </c>
      <c r="P322" s="64"/>
      <c r="Q322" s="188">
        <v>1.0</v>
      </c>
      <c r="R322" s="81" t="s">
        <v>1689</v>
      </c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</row>
    <row r="323" ht="15.0" customHeight="1">
      <c r="A323" s="186" t="s">
        <v>1172</v>
      </c>
      <c r="B323" s="186" t="s">
        <v>1225</v>
      </c>
      <c r="C323" s="189" t="s">
        <v>1562</v>
      </c>
      <c r="D323" s="189" t="s">
        <v>2154</v>
      </c>
      <c r="E323" s="186" t="s">
        <v>2152</v>
      </c>
      <c r="F323" s="27" t="s">
        <v>1566</v>
      </c>
      <c r="G323" s="186" t="s">
        <v>1571</v>
      </c>
      <c r="H323" s="186" t="s">
        <v>22</v>
      </c>
      <c r="I323" s="27" t="str">
        <f>IFERROR(__xludf.DUMMYFUNCTION("IF(A323="""","""",
TEXTJOIN(""-"",TRUE,
IFERROR(
  INDEX(FILTER(CFG_CODES!C:C, CFG_CODES!A:A=""CATEGORY"", UPPER(CFG_CODES!B:B)=UPPER(B323))),
  LEFT(UPPER(B323),3)
),
IFERROR(
  INDEX(FILTER(CFG_CODES!C:C, CFG_CODES!A:A=""MATERIAL"", UPPER(CFG_CODES!B:B)"&amp;"=UPPER(C323))),
  LEFT(UPPER(C323),3)
),
TEXT(ROW()-1,""000"")
))"),"P-SBS-322")</f>
        <v>P-SBS-322</v>
      </c>
      <c r="J323" s="186" t="s">
        <v>1688</v>
      </c>
      <c r="K323" s="188">
        <v>6.185567010309279</v>
      </c>
      <c r="L323" s="64"/>
      <c r="M323" s="64"/>
      <c r="N323" s="64"/>
      <c r="O323" s="64">
        <v>0.0</v>
      </c>
      <c r="P323" s="64"/>
      <c r="Q323" s="188">
        <v>786.0</v>
      </c>
      <c r="R323" s="81" t="s">
        <v>1689</v>
      </c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</row>
    <row r="324" ht="15.0" customHeight="1">
      <c r="A324" s="55" t="s">
        <v>1181</v>
      </c>
      <c r="B324" s="186" t="s">
        <v>1225</v>
      </c>
      <c r="C324" s="187" t="s">
        <v>1562</v>
      </c>
      <c r="D324" s="187" t="s">
        <v>1603</v>
      </c>
      <c r="E324" s="186" t="s">
        <v>1597</v>
      </c>
      <c r="F324" s="27" t="s">
        <v>1566</v>
      </c>
      <c r="G324" s="186" t="s">
        <v>1571</v>
      </c>
      <c r="H324" s="186" t="s">
        <v>22</v>
      </c>
      <c r="I324" s="27" t="str">
        <f>IFERROR(__xludf.DUMMYFUNCTION("IF(A324="""","""",
TEXTJOIN(""-"",TRUE,
IFERROR(
  INDEX(FILTER(CFG_CODES!C:C, CFG_CODES!A:A=""CATEGORY"", UPPER(CFG_CODES!B:B)=UPPER(B324))),
  LEFT(UPPER(B324),3)
),
IFERROR(
  INDEX(FILTER(CFG_CODES!C:C, CFG_CODES!A:A=""MATERIAL"", UPPER(CFG_CODES!B:B)"&amp;"=UPPER(C324))),
  LEFT(UPPER(C324),3)
),
TEXT(ROW()-1,""000"")
))"),"P-SBS-323")</f>
        <v>P-SBS-323</v>
      </c>
      <c r="J324" s="186" t="s">
        <v>1688</v>
      </c>
      <c r="K324" s="188">
        <v>13.402061855670103</v>
      </c>
      <c r="L324" s="64"/>
      <c r="M324" s="64"/>
      <c r="N324" s="64"/>
      <c r="O324" s="64">
        <v>0.0</v>
      </c>
      <c r="P324" s="64"/>
      <c r="Q324" s="188">
        <v>22.0</v>
      </c>
      <c r="R324" s="81" t="s">
        <v>1689</v>
      </c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</row>
    <row r="325" ht="15.0" customHeight="1">
      <c r="A325" s="55" t="s">
        <v>1184</v>
      </c>
      <c r="B325" s="186" t="s">
        <v>1225</v>
      </c>
      <c r="C325" s="189" t="s">
        <v>1562</v>
      </c>
      <c r="D325" s="189" t="s">
        <v>1582</v>
      </c>
      <c r="E325" s="186" t="s">
        <v>2155</v>
      </c>
      <c r="F325" s="27" t="s">
        <v>1566</v>
      </c>
      <c r="G325" s="186" t="s">
        <v>1571</v>
      </c>
      <c r="H325" s="186" t="s">
        <v>22</v>
      </c>
      <c r="I325" s="27" t="str">
        <f>IFERROR(__xludf.DUMMYFUNCTION("IF(A325="""","""",
TEXTJOIN(""-"",TRUE,
IFERROR(
  INDEX(FILTER(CFG_CODES!C:C, CFG_CODES!A:A=""CATEGORY"", UPPER(CFG_CODES!B:B)=UPPER(B325))),
  LEFT(UPPER(B325),3)
),
IFERROR(
  INDEX(FILTER(CFG_CODES!C:C, CFG_CODES!A:A=""MATERIAL"", UPPER(CFG_CODES!B:B)"&amp;"=UPPER(C325))),
  LEFT(UPPER(C325),3)
),
TEXT(ROW()-1,""000"")
))"),"P-SBS-324")</f>
        <v>P-SBS-324</v>
      </c>
      <c r="J325" s="186" t="s">
        <v>1688</v>
      </c>
      <c r="K325" s="188">
        <v>0.0</v>
      </c>
      <c r="L325" s="64"/>
      <c r="M325" s="64"/>
      <c r="N325" s="64"/>
      <c r="O325" s="64" t="s">
        <v>1333</v>
      </c>
      <c r="P325" s="64"/>
      <c r="Q325" s="64"/>
      <c r="R325" s="81" t="s">
        <v>1689</v>
      </c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</row>
    <row r="326" ht="15.0" customHeight="1">
      <c r="A326" s="2" t="s">
        <v>1733</v>
      </c>
      <c r="B326" s="186" t="s">
        <v>1225</v>
      </c>
      <c r="C326" s="187" t="s">
        <v>1562</v>
      </c>
      <c r="D326" s="187" t="s">
        <v>1582</v>
      </c>
      <c r="E326" s="186" t="s">
        <v>2157</v>
      </c>
      <c r="F326" s="27" t="s">
        <v>1566</v>
      </c>
      <c r="G326" s="186" t="s">
        <v>1571</v>
      </c>
      <c r="H326" s="186" t="s">
        <v>22</v>
      </c>
      <c r="I326" s="27" t="str">
        <f>IFERROR(__xludf.DUMMYFUNCTION("IF(A326="""","""",
TEXTJOIN(""-"",TRUE,
IFERROR(
  INDEX(FILTER(CFG_CODES!C:C, CFG_CODES!A:A=""CATEGORY"", UPPER(CFG_CODES!B:B)=UPPER(B326))),
  LEFT(UPPER(B326),3)
),
IFERROR(
  INDEX(FILTER(CFG_CODES!C:C, CFG_CODES!A:A=""MATERIAL"", UPPER(CFG_CODES!B:B)"&amp;"=UPPER(C326))),
  LEFT(UPPER(C326),3)
),
TEXT(ROW()-1,""000"")
))"),"P-SBS-325")</f>
        <v>P-SBS-325</v>
      </c>
      <c r="J326" s="186" t="s">
        <v>1688</v>
      </c>
      <c r="K326" s="188">
        <v>6.185567010309279</v>
      </c>
      <c r="L326" s="64"/>
      <c r="M326" s="64"/>
      <c r="N326" s="64"/>
      <c r="O326" s="64">
        <v>0.0</v>
      </c>
      <c r="P326" s="64"/>
      <c r="Q326" s="188">
        <v>0.0</v>
      </c>
      <c r="R326" s="81" t="s">
        <v>1689</v>
      </c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</row>
    <row r="327" ht="15.0" customHeight="1">
      <c r="A327" s="2" t="s">
        <v>124</v>
      </c>
      <c r="B327" s="186" t="s">
        <v>1225</v>
      </c>
      <c r="C327" s="189" t="s">
        <v>1562</v>
      </c>
      <c r="D327" s="189" t="s">
        <v>1587</v>
      </c>
      <c r="E327" s="186" t="s">
        <v>1575</v>
      </c>
      <c r="F327" s="27" t="s">
        <v>1566</v>
      </c>
      <c r="G327" s="186" t="s">
        <v>1571</v>
      </c>
      <c r="H327" s="186" t="s">
        <v>22</v>
      </c>
      <c r="I327" s="27" t="str">
        <f>IFERROR(__xludf.DUMMYFUNCTION("IF(A327="""","""",
TEXTJOIN(""-"",TRUE,
IFERROR(
  INDEX(FILTER(CFG_CODES!C:C, CFG_CODES!A:A=""CATEGORY"", UPPER(CFG_CODES!B:B)=UPPER(B327))),
  LEFT(UPPER(B327),3)
),
IFERROR(
  INDEX(FILTER(CFG_CODES!C:C, CFG_CODES!A:A=""MATERIAL"", UPPER(CFG_CODES!B:B)"&amp;"=UPPER(C327))),
  LEFT(UPPER(C327),3)
),
TEXT(ROW()-1,""000"")
))"),"P-SBS-326")</f>
        <v>P-SBS-326</v>
      </c>
      <c r="J327" s="186" t="s">
        <v>1688</v>
      </c>
      <c r="K327" s="188">
        <v>30.927835051546392</v>
      </c>
      <c r="L327" s="64"/>
      <c r="M327" s="64"/>
      <c r="N327" s="64"/>
      <c r="O327" s="64">
        <v>0.0</v>
      </c>
      <c r="P327" s="64"/>
      <c r="Q327" s="188">
        <v>91.0</v>
      </c>
      <c r="R327" s="81" t="s">
        <v>1689</v>
      </c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</row>
    <row r="328" ht="15.0" customHeight="1">
      <c r="A328" s="186" t="s">
        <v>1996</v>
      </c>
      <c r="B328" s="186" t="s">
        <v>1674</v>
      </c>
      <c r="C328" s="187" t="s">
        <v>1691</v>
      </c>
      <c r="D328" s="53" t="s">
        <v>1566</v>
      </c>
      <c r="E328" s="27" t="s">
        <v>1566</v>
      </c>
      <c r="F328" s="27" t="s">
        <v>1566</v>
      </c>
      <c r="G328" s="186" t="s">
        <v>1682</v>
      </c>
      <c r="H328" s="186" t="s">
        <v>290</v>
      </c>
      <c r="I328" s="27" t="str">
        <f>IFERROR(__xludf.DUMMYFUNCTION("IF(A328="""","""",
TEXTJOIN(""-"",TRUE,
IFERROR(
  INDEX(FILTER(CFG_CODES!C:C, CFG_CODES!A:A=""CATEGORY"", UPPER(CFG_CODES!B:B)=UPPER(B328))),
  LEFT(UPPER(B328),3)
),
IFERROR(
  INDEX(FILTER(CFG_CODES!C:C, CFG_CODES!A:A=""MATERIAL"", UPPER(CFG_CODES!B:B)"&amp;"=UPPER(C328))),
  LEFT(UPPER(C328),3)
),
TEXT(ROW()-1,""000"")
))"),"I-PAN-327")</f>
        <v>I-PAN-327</v>
      </c>
      <c r="J328" s="186" t="s">
        <v>1688</v>
      </c>
      <c r="K328" s="188">
        <v>0.010309278350515464</v>
      </c>
      <c r="L328" s="64"/>
      <c r="M328" s="64"/>
      <c r="N328" s="64"/>
      <c r="O328" s="64">
        <v>0.0</v>
      </c>
      <c r="P328" s="64"/>
      <c r="Q328" s="188">
        <v>0.0</v>
      </c>
      <c r="R328" s="81" t="s">
        <v>1689</v>
      </c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</row>
    <row r="329" ht="15.0" customHeight="1">
      <c r="A329" s="186" t="s">
        <v>1999</v>
      </c>
      <c r="B329" s="186" t="s">
        <v>1674</v>
      </c>
      <c r="C329" s="189" t="s">
        <v>1691</v>
      </c>
      <c r="D329" s="135" t="s">
        <v>1566</v>
      </c>
      <c r="E329" s="27" t="s">
        <v>1566</v>
      </c>
      <c r="F329" s="27" t="s">
        <v>1566</v>
      </c>
      <c r="G329" s="186" t="s">
        <v>1805</v>
      </c>
      <c r="H329" s="186" t="s">
        <v>290</v>
      </c>
      <c r="I329" s="27" t="str">
        <f>IFERROR(__xludf.DUMMYFUNCTION("IF(A329="""","""",
TEXTJOIN(""-"",TRUE,
IFERROR(
  INDEX(FILTER(CFG_CODES!C:C, CFG_CODES!A:A=""CATEGORY"", UPPER(CFG_CODES!B:B)=UPPER(B329))),
  LEFT(UPPER(B329),3)
),
IFERROR(
  INDEX(FILTER(CFG_CODES!C:C, CFG_CODES!A:A=""MATERIAL"", UPPER(CFG_CODES!B:B)"&amp;"=UPPER(C329))),
  LEFT(UPPER(C329),3)
),
TEXT(ROW()-1,""000"")
))"),"I-PAN-328")</f>
        <v>I-PAN-328</v>
      </c>
      <c r="J329" s="186" t="s">
        <v>1688</v>
      </c>
      <c r="K329" s="188">
        <v>0.010309278350515464</v>
      </c>
      <c r="L329" s="64"/>
      <c r="M329" s="64"/>
      <c r="N329" s="64"/>
      <c r="O329" s="64">
        <v>0.0</v>
      </c>
      <c r="P329" s="64"/>
      <c r="Q329" s="188">
        <v>0.0</v>
      </c>
      <c r="R329" s="81" t="s">
        <v>1689</v>
      </c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</row>
    <row r="330" ht="15.0" customHeight="1">
      <c r="A330" s="186" t="s">
        <v>1192</v>
      </c>
      <c r="B330" s="186" t="s">
        <v>1674</v>
      </c>
      <c r="C330" s="187" t="s">
        <v>1691</v>
      </c>
      <c r="D330" s="53" t="s">
        <v>1566</v>
      </c>
      <c r="E330" s="27" t="s">
        <v>1566</v>
      </c>
      <c r="F330" s="27" t="s">
        <v>1566</v>
      </c>
      <c r="G330" s="186" t="s">
        <v>2159</v>
      </c>
      <c r="H330" s="186" t="s">
        <v>290</v>
      </c>
      <c r="I330" s="27" t="str">
        <f>IFERROR(__xludf.DUMMYFUNCTION("IF(A330="""","""",
TEXTJOIN(""-"",TRUE,
IFERROR(
  INDEX(FILTER(CFG_CODES!C:C, CFG_CODES!A:A=""CATEGORY"", UPPER(CFG_CODES!B:B)=UPPER(B330))),
  LEFT(UPPER(B330),3)
),
IFERROR(
  INDEX(FILTER(CFG_CODES!C:C, CFG_CODES!A:A=""MATERIAL"", UPPER(CFG_CODES!B:B)"&amp;"=UPPER(C330))),
  LEFT(UPPER(C330),3)
),
TEXT(ROW()-1,""000"")
))"),"I-PAN-329")</f>
        <v>I-PAN-329</v>
      </c>
      <c r="J330" s="186" t="s">
        <v>1688</v>
      </c>
      <c r="K330" s="188">
        <v>0.010309278350515464</v>
      </c>
      <c r="L330" s="64"/>
      <c r="M330" s="64"/>
      <c r="N330" s="64"/>
      <c r="O330" s="64">
        <v>0.0</v>
      </c>
      <c r="P330" s="64"/>
      <c r="Q330" s="188">
        <v>194.0</v>
      </c>
      <c r="R330" s="81" t="s">
        <v>1689</v>
      </c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</row>
    <row r="331" ht="15.0" customHeight="1">
      <c r="A331" s="2" t="s">
        <v>62</v>
      </c>
      <c r="B331" s="186" t="s">
        <v>1225</v>
      </c>
      <c r="C331" s="189" t="s">
        <v>1562</v>
      </c>
      <c r="D331" s="189" t="s">
        <v>1600</v>
      </c>
      <c r="E331" s="186" t="s">
        <v>1575</v>
      </c>
      <c r="F331" s="27" t="s">
        <v>1566</v>
      </c>
      <c r="G331" s="186" t="s">
        <v>2160</v>
      </c>
      <c r="H331" s="186" t="s">
        <v>22</v>
      </c>
      <c r="I331" s="27" t="str">
        <f>IFERROR(__xludf.DUMMYFUNCTION("IF(A331="""","""",
TEXTJOIN(""-"",TRUE,
IFERROR(
  INDEX(FILTER(CFG_CODES!C:C, CFG_CODES!A:A=""CATEGORY"", UPPER(CFG_CODES!B:B)=UPPER(B331))),
  LEFT(UPPER(B331),3)
),
IFERROR(
  INDEX(FILTER(CFG_CODES!C:C, CFG_CODES!A:A=""MATERIAL"", UPPER(CFG_CODES!B:B)"&amp;"=UPPER(C331))),
  LEFT(UPPER(C331),3)
),
TEXT(ROW()-1,""000"")
))"),"P-SBS-330")</f>
        <v>P-SBS-330</v>
      </c>
      <c r="J331" s="186" t="s">
        <v>1688</v>
      </c>
      <c r="K331" s="188">
        <v>12.371134020618557</v>
      </c>
      <c r="L331" s="64"/>
      <c r="M331" s="64"/>
      <c r="N331" s="64"/>
      <c r="O331" s="64">
        <v>0.0</v>
      </c>
      <c r="P331" s="64"/>
      <c r="Q331" s="188">
        <v>0.0</v>
      </c>
      <c r="R331" s="81" t="s">
        <v>1689</v>
      </c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</row>
    <row r="332" ht="15.0" customHeight="1">
      <c r="A332" s="55" t="s">
        <v>2001</v>
      </c>
      <c r="B332" s="186" t="s">
        <v>1225</v>
      </c>
      <c r="C332" s="187" t="s">
        <v>1646</v>
      </c>
      <c r="D332" s="187" t="s">
        <v>1647</v>
      </c>
      <c r="E332" s="186" t="s">
        <v>2161</v>
      </c>
      <c r="F332" s="27" t="s">
        <v>1566</v>
      </c>
      <c r="G332" s="27" t="s">
        <v>1566</v>
      </c>
      <c r="H332" s="186" t="s">
        <v>22</v>
      </c>
      <c r="I332" s="27" t="str">
        <f>IFERROR(__xludf.DUMMYFUNCTION("IF(A332="""","""",
TEXTJOIN(""-"",TRUE,
IFERROR(
  INDEX(FILTER(CFG_CODES!C:C, CFG_CODES!A:A=""CATEGORY"", UPPER(CFG_CODES!B:B)=UPPER(B332))),
  LEFT(UPPER(B332),3)
),
IFERROR(
  INDEX(FILTER(CFG_CODES!C:C, CFG_CODES!A:A=""MATERIAL"", UPPER(CFG_CODES!B:B)"&amp;"=UPPER(C332))),
  LEFT(UPPER(C332),3)
),
TEXT(ROW()-1,""000"")
))"),"P-ART-331")</f>
        <v>P-ART-331</v>
      </c>
      <c r="J332" s="186" t="s">
        <v>1688</v>
      </c>
      <c r="K332" s="188">
        <v>5.154639175257732</v>
      </c>
      <c r="L332" s="64"/>
      <c r="M332" s="64"/>
      <c r="N332" s="64"/>
      <c r="O332" s="64">
        <v>0.0</v>
      </c>
      <c r="P332" s="64"/>
      <c r="Q332" s="188">
        <v>0.0</v>
      </c>
      <c r="R332" s="81" t="s">
        <v>1689</v>
      </c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</row>
    <row r="333" ht="15.0" customHeight="1">
      <c r="A333" s="2" t="s">
        <v>2004</v>
      </c>
      <c r="B333" s="186" t="s">
        <v>1844</v>
      </c>
      <c r="C333" s="189" t="s">
        <v>1807</v>
      </c>
      <c r="D333" s="189" t="s">
        <v>2162</v>
      </c>
      <c r="E333" s="27" t="s">
        <v>1566</v>
      </c>
      <c r="F333" s="27" t="s">
        <v>1566</v>
      </c>
      <c r="G333" s="27" t="s">
        <v>1566</v>
      </c>
      <c r="H333" s="186" t="s">
        <v>661</v>
      </c>
      <c r="I333" s="27" t="str">
        <f>IFERROR(__xludf.DUMMYFUNCTION("IF(A333="""","""",
TEXTJOIN(""-"",TRUE,
IFERROR(
  INDEX(FILTER(CFG_CODES!C:C, CFG_CODES!A:A=""CATEGORY"", UPPER(CFG_CODES!B:B)=UPPER(B333))),
  LEFT(UPPER(B333),3)
),
IFERROR(
  INDEX(FILTER(CFG_CODES!C:C, CFG_CODES!A:A=""MATERIAL"", UPPER(CFG_CODES!B:B)"&amp;"=UPPER(C333))),
  LEFT(UPPER(C333),3)
),
TEXT(ROW()-1,""000"")
))"),"L-COA-332")</f>
        <v>L-COA-332</v>
      </c>
      <c r="J333" s="186" t="s">
        <v>1688</v>
      </c>
      <c r="K333" s="188">
        <v>0.010309278350515464</v>
      </c>
      <c r="L333" s="64"/>
      <c r="M333" s="64"/>
      <c r="N333" s="64"/>
      <c r="O333" s="64">
        <v>0.0</v>
      </c>
      <c r="P333" s="64"/>
      <c r="Q333" s="188">
        <v>0.0</v>
      </c>
      <c r="R333" s="81" t="s">
        <v>1689</v>
      </c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</row>
    <row r="334" ht="15.0" customHeight="1">
      <c r="A334" s="186" t="s">
        <v>1196</v>
      </c>
      <c r="B334" s="186" t="s">
        <v>1674</v>
      </c>
      <c r="C334" s="187" t="s">
        <v>1691</v>
      </c>
      <c r="D334" s="53" t="s">
        <v>1566</v>
      </c>
      <c r="E334" s="27" t="s">
        <v>1566</v>
      </c>
      <c r="F334" s="27" t="s">
        <v>1566</v>
      </c>
      <c r="G334" s="27" t="s">
        <v>1566</v>
      </c>
      <c r="H334" s="186" t="s">
        <v>290</v>
      </c>
      <c r="I334" s="27" t="str">
        <f>IFERROR(__xludf.DUMMYFUNCTION("IF(A334="""","""",
TEXTJOIN(""-"",TRUE,
IFERROR(
  INDEX(FILTER(CFG_CODES!C:C, CFG_CODES!A:A=""CATEGORY"", UPPER(CFG_CODES!B:B)=UPPER(B334))),
  LEFT(UPPER(B334),3)
),
IFERROR(
  INDEX(FILTER(CFG_CODES!C:C, CFG_CODES!A:A=""MATERIAL"", UPPER(CFG_CODES!B:B)"&amp;"=UPPER(C334))),
  LEFT(UPPER(C334),3)
),
TEXT(ROW()-1,""000"")
))"),"I-PAN-333")</f>
        <v>I-PAN-333</v>
      </c>
      <c r="J334" s="186" t="s">
        <v>1688</v>
      </c>
      <c r="K334" s="188">
        <v>0.0</v>
      </c>
      <c r="L334" s="64"/>
      <c r="M334" s="64"/>
      <c r="N334" s="64"/>
      <c r="O334" s="64" t="s">
        <v>1333</v>
      </c>
      <c r="P334" s="64"/>
      <c r="Q334" s="64"/>
      <c r="R334" s="81" t="s">
        <v>1689</v>
      </c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</row>
    <row r="335" ht="15.0" customHeight="1">
      <c r="A335" s="186" t="s">
        <v>1201</v>
      </c>
      <c r="B335" s="186" t="s">
        <v>1807</v>
      </c>
      <c r="C335" s="189" t="s">
        <v>1807</v>
      </c>
      <c r="D335" s="135" t="s">
        <v>1566</v>
      </c>
      <c r="E335" s="27" t="s">
        <v>1566</v>
      </c>
      <c r="F335" s="27" t="s">
        <v>1566</v>
      </c>
      <c r="G335" s="186" t="s">
        <v>2164</v>
      </c>
      <c r="H335" s="186" t="s">
        <v>661</v>
      </c>
      <c r="I335" s="27" t="str">
        <f>IFERROR(__xludf.DUMMYFUNCTION("IF(A335="""","""",
TEXTJOIN(""-"",TRUE,
IFERROR(
  INDEX(FILTER(CFG_CODES!C:C, CFG_CODES!A:A=""CATEGORY"", UPPER(CFG_CODES!B:B)=UPPER(B335))),
  LEFT(UPPER(B335),3)
),
IFERROR(
  INDEX(FILTER(CFG_CODES!C:C, CFG_CODES!A:A=""MATERIAL"", UPPER(CFG_CODES!B:B)"&amp;"=UPPER(C335))),
  LEFT(UPPER(C335),3)
),
TEXT(ROW()-1,""000"")
))"),"C-COA-334")</f>
        <v>C-COA-334</v>
      </c>
      <c r="J335" s="186" t="s">
        <v>1688</v>
      </c>
      <c r="K335" s="188">
        <v>0.020618556701030927</v>
      </c>
      <c r="L335" s="64"/>
      <c r="M335" s="64"/>
      <c r="N335" s="64"/>
      <c r="O335" s="64">
        <v>0.0</v>
      </c>
      <c r="P335" s="64"/>
      <c r="Q335" s="188">
        <v>97.0</v>
      </c>
      <c r="R335" s="81" t="s">
        <v>1689</v>
      </c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</row>
    <row r="336" ht="15.0" customHeight="1">
      <c r="A336" s="186" t="s">
        <v>1210</v>
      </c>
      <c r="B336" s="186" t="s">
        <v>1830</v>
      </c>
      <c r="C336" s="187" t="s">
        <v>1642</v>
      </c>
      <c r="D336" s="53" t="s">
        <v>1566</v>
      </c>
      <c r="F336" s="27" t="s">
        <v>1566</v>
      </c>
      <c r="G336" s="186" t="s">
        <v>2165</v>
      </c>
      <c r="H336" s="186" t="s">
        <v>22</v>
      </c>
      <c r="I336" s="27" t="str">
        <f>IFERROR(__xludf.DUMMYFUNCTION("IF(A336="""","""",
TEXTJOIN(""-"",TRUE,
IFERROR(
  INDEX(FILTER(CFG_CODES!C:C, CFG_CODES!A:A=""CATEGORY"", UPPER(CFG_CODES!B:B)=UPPER(B336))),
  LEFT(UPPER(B336),3)
),
IFERROR(
  INDEX(FILTER(CFG_CODES!C:C, CFG_CODES!A:A=""MATERIAL"", UPPER(CFG_CODES!B:B)"&amp;"=UPPER(C336))),
  LEFT(UPPER(C336),3)
),
TEXT(ROW()-1,""000"")
))"),"M-OTH-335")</f>
        <v>M-OTH-335</v>
      </c>
      <c r="J336" s="186" t="s">
        <v>1688</v>
      </c>
      <c r="K336" s="188">
        <v>0.0</v>
      </c>
      <c r="L336" s="64"/>
      <c r="M336" s="64"/>
      <c r="N336" s="64"/>
      <c r="O336" s="64" t="s">
        <v>1333</v>
      </c>
      <c r="P336" s="64"/>
      <c r="Q336" s="64"/>
      <c r="R336" s="81" t="s">
        <v>1688</v>
      </c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</row>
    <row r="337" ht="15.0" customHeight="1">
      <c r="A337" s="186" t="s">
        <v>1213</v>
      </c>
      <c r="B337" s="186" t="s">
        <v>1830</v>
      </c>
      <c r="C337" s="189" t="s">
        <v>1642</v>
      </c>
      <c r="D337" s="135" t="s">
        <v>1566</v>
      </c>
      <c r="E337" s="27" t="s">
        <v>1566</v>
      </c>
      <c r="F337" s="27" t="s">
        <v>1566</v>
      </c>
      <c r="G337" s="186" t="s">
        <v>2166</v>
      </c>
      <c r="H337" s="186" t="s">
        <v>22</v>
      </c>
      <c r="I337" s="27" t="str">
        <f>IFERROR(__xludf.DUMMYFUNCTION("IF(A337="""","""",
TEXTJOIN(""-"",TRUE,
IFERROR(
  INDEX(FILTER(CFG_CODES!C:C, CFG_CODES!A:A=""CATEGORY"", UPPER(CFG_CODES!B:B)=UPPER(B337))),
  LEFT(UPPER(B337),3)
),
IFERROR(
  INDEX(FILTER(CFG_CODES!C:C, CFG_CODES!A:A=""MATERIAL"", UPPER(CFG_CODES!B:B)"&amp;"=UPPER(C337))),
  LEFT(UPPER(C337),3)
),
TEXT(ROW()-1,""000"")
))"),"M-OTH-336")</f>
        <v>M-OTH-336</v>
      </c>
      <c r="J337" s="186" t="s">
        <v>1688</v>
      </c>
      <c r="K337" s="188">
        <v>0.0</v>
      </c>
      <c r="L337" s="64"/>
      <c r="M337" s="64"/>
      <c r="N337" s="64"/>
      <c r="O337" s="64" t="s">
        <v>1333</v>
      </c>
      <c r="P337" s="64"/>
      <c r="Q337" s="64"/>
      <c r="R337" s="81" t="s">
        <v>1688</v>
      </c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</row>
    <row r="338" ht="15.0" customHeight="1">
      <c r="A338" s="186" t="s">
        <v>762</v>
      </c>
      <c r="B338" s="186" t="s">
        <v>1225</v>
      </c>
      <c r="C338" s="187" t="s">
        <v>1562</v>
      </c>
      <c r="D338" s="187" t="s">
        <v>2168</v>
      </c>
      <c r="E338" s="39" t="s">
        <v>1575</v>
      </c>
      <c r="F338" s="27" t="s">
        <v>1566</v>
      </c>
      <c r="G338" s="27" t="s">
        <v>1566</v>
      </c>
      <c r="H338" s="186" t="s">
        <v>22</v>
      </c>
      <c r="I338" s="27" t="str">
        <f>IFERROR(__xludf.DUMMYFUNCTION("IF(A338="""","""",
TEXTJOIN(""-"",TRUE,
IFERROR(
  INDEX(FILTER(CFG_CODES!C:C, CFG_CODES!A:A=""CATEGORY"", UPPER(CFG_CODES!B:B)=UPPER(B338))),
  LEFT(UPPER(B338),3)
),
IFERROR(
  INDEX(FILTER(CFG_CODES!C:C, CFG_CODES!A:A=""MATERIAL"", UPPER(CFG_CODES!B:B)"&amp;"=UPPER(C338))),
  LEFT(UPPER(C338),3)
),
TEXT(ROW()-1,""000"")
))"),"P-SBS-337")</f>
        <v>P-SBS-337</v>
      </c>
      <c r="J338" s="186" t="s">
        <v>1688</v>
      </c>
      <c r="K338" s="188">
        <v>25.77319587628866</v>
      </c>
      <c r="L338" s="64"/>
      <c r="M338" s="64"/>
      <c r="N338" s="64"/>
      <c r="O338" s="64">
        <v>0.0</v>
      </c>
      <c r="P338" s="64"/>
      <c r="Q338" s="188">
        <v>97.0</v>
      </c>
      <c r="R338" s="81" t="s">
        <v>1689</v>
      </c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</row>
    <row r="339" ht="15.0" customHeight="1">
      <c r="A339" s="2" t="s">
        <v>1216</v>
      </c>
      <c r="B339" s="186" t="s">
        <v>1844</v>
      </c>
      <c r="C339" s="189" t="s">
        <v>1807</v>
      </c>
      <c r="D339" s="189">
        <v>16.5</v>
      </c>
      <c r="E339" s="27" t="s">
        <v>1566</v>
      </c>
      <c r="F339" s="27" t="s">
        <v>1566</v>
      </c>
      <c r="G339" s="27" t="s">
        <v>1566</v>
      </c>
      <c r="H339" s="186" t="s">
        <v>661</v>
      </c>
      <c r="I339" s="27" t="str">
        <f>IFERROR(__xludf.DUMMYFUNCTION("IF(A339="""","""",
TEXTJOIN(""-"",TRUE,
IFERROR(
  INDEX(FILTER(CFG_CODES!C:C, CFG_CODES!A:A=""CATEGORY"", UPPER(CFG_CODES!B:B)=UPPER(B339))),
  LEFT(UPPER(B339),3)
),
IFERROR(
  INDEX(FILTER(CFG_CODES!C:C, CFG_CODES!A:A=""MATERIAL"", UPPER(CFG_CODES!B:B)"&amp;"=UPPER(C339))),
  LEFT(UPPER(C339),3)
),
TEXT(ROW()-1,""000"")
))"),"L-COA-338")</f>
        <v>L-COA-338</v>
      </c>
      <c r="J339" s="186" t="s">
        <v>1688</v>
      </c>
      <c r="K339" s="188">
        <v>0.0</v>
      </c>
      <c r="L339" s="64"/>
      <c r="M339" s="64"/>
      <c r="N339" s="64"/>
      <c r="O339" s="64" t="s">
        <v>1333</v>
      </c>
      <c r="P339" s="64"/>
      <c r="Q339" s="64"/>
      <c r="R339" s="81" t="s">
        <v>1689</v>
      </c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</row>
    <row r="340" ht="15.0" customHeight="1">
      <c r="A340" s="2" t="s">
        <v>1222</v>
      </c>
      <c r="B340" s="186" t="s">
        <v>1844</v>
      </c>
      <c r="C340" s="187" t="s">
        <v>1807</v>
      </c>
      <c r="D340" s="187">
        <v>18.5</v>
      </c>
      <c r="E340" s="27" t="s">
        <v>1566</v>
      </c>
      <c r="F340" s="27" t="s">
        <v>1566</v>
      </c>
      <c r="G340" s="27" t="s">
        <v>1566</v>
      </c>
      <c r="H340" s="186" t="s">
        <v>661</v>
      </c>
      <c r="I340" s="27" t="str">
        <f>IFERROR(__xludf.DUMMYFUNCTION("IF(A340="""","""",
TEXTJOIN(""-"",TRUE,
IFERROR(
  INDEX(FILTER(CFG_CODES!C:C, CFG_CODES!A:A=""CATEGORY"", UPPER(CFG_CODES!B:B)=UPPER(B340))),
  LEFT(UPPER(B340),3)
),
IFERROR(
  INDEX(FILTER(CFG_CODES!C:C, CFG_CODES!A:A=""MATERIAL"", UPPER(CFG_CODES!B:B)"&amp;"=UPPER(C340))),
  LEFT(UPPER(C340),3)
),
TEXT(ROW()-1,""000"")
))"),"L-COA-339")</f>
        <v>L-COA-339</v>
      </c>
      <c r="J340" s="186" t="s">
        <v>1688</v>
      </c>
      <c r="K340" s="188">
        <v>0.0</v>
      </c>
      <c r="L340" s="64"/>
      <c r="M340" s="64"/>
      <c r="N340" s="64"/>
      <c r="O340" s="64" t="s">
        <v>1333</v>
      </c>
      <c r="P340" s="64"/>
      <c r="Q340" s="64"/>
      <c r="R340" s="81" t="s">
        <v>1689</v>
      </c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</row>
    <row r="341" ht="15.0" customHeight="1">
      <c r="A341" s="186" t="s">
        <v>2006</v>
      </c>
      <c r="B341" s="186" t="s">
        <v>1225</v>
      </c>
      <c r="C341" s="189" t="s">
        <v>1642</v>
      </c>
      <c r="D341" s="189" t="s">
        <v>2170</v>
      </c>
      <c r="E341" s="186" t="s">
        <v>1622</v>
      </c>
      <c r="F341" s="27" t="s">
        <v>1566</v>
      </c>
      <c r="G341" s="27" t="s">
        <v>1566</v>
      </c>
      <c r="H341" s="186" t="s">
        <v>22</v>
      </c>
      <c r="I341" s="27" t="str">
        <f>IFERROR(__xludf.DUMMYFUNCTION("IF(A341="""","""",
TEXTJOIN(""-"",TRUE,
IFERROR(
  INDEX(FILTER(CFG_CODES!C:C, CFG_CODES!A:A=""CATEGORY"", UPPER(CFG_CODES!B:B)=UPPER(B341))),
  LEFT(UPPER(B341),3)
),
IFERROR(
  INDEX(FILTER(CFG_CODES!C:C, CFG_CODES!A:A=""MATERIAL"", UPPER(CFG_CODES!B:B)"&amp;"=UPPER(C341))),
  LEFT(UPPER(C341),3)
),
TEXT(ROW()-1,""000"")
))"),"P-OTH-340")</f>
        <v>P-OTH-340</v>
      </c>
      <c r="J341" s="186" t="s">
        <v>1688</v>
      </c>
      <c r="K341" s="188">
        <v>14.43298969072165</v>
      </c>
      <c r="L341" s="64"/>
      <c r="M341" s="64"/>
      <c r="N341" s="64"/>
      <c r="O341" s="64">
        <v>0.0</v>
      </c>
      <c r="P341" s="64"/>
      <c r="Q341" s="188">
        <v>0.0</v>
      </c>
      <c r="R341" s="81" t="s">
        <v>1689</v>
      </c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</row>
    <row r="342" ht="15.0" customHeight="1">
      <c r="A342" s="186" t="s">
        <v>2009</v>
      </c>
      <c r="B342" s="186" t="s">
        <v>1225</v>
      </c>
      <c r="C342" s="187" t="s">
        <v>1642</v>
      </c>
      <c r="D342" s="187" t="s">
        <v>2170</v>
      </c>
      <c r="E342" s="186" t="s">
        <v>1574</v>
      </c>
      <c r="F342" s="27" t="s">
        <v>1566</v>
      </c>
      <c r="G342" s="27" t="s">
        <v>1566</v>
      </c>
      <c r="H342" s="186" t="s">
        <v>22</v>
      </c>
      <c r="I342" s="27" t="str">
        <f>IFERROR(__xludf.DUMMYFUNCTION("IF(A342="""","""",
TEXTJOIN(""-"",TRUE,
IFERROR(
  INDEX(FILTER(CFG_CODES!C:C, CFG_CODES!A:A=""CATEGORY"", UPPER(CFG_CODES!B:B)=UPPER(B342))),
  LEFT(UPPER(B342),3)
),
IFERROR(
  INDEX(FILTER(CFG_CODES!C:C, CFG_CODES!A:A=""MATERIAL"", UPPER(CFG_CODES!B:B)"&amp;"=UPPER(C342))),
  LEFT(UPPER(C342),3)
),
TEXT(ROW()-1,""000"")
))"),"P-OTH-341")</f>
        <v>P-OTH-341</v>
      </c>
      <c r="J342" s="186" t="s">
        <v>1688</v>
      </c>
      <c r="K342" s="188">
        <v>0.0</v>
      </c>
      <c r="L342" s="64"/>
      <c r="M342" s="64"/>
      <c r="N342" s="64"/>
      <c r="O342" s="64" t="s">
        <v>1333</v>
      </c>
      <c r="P342" s="64"/>
      <c r="Q342" s="64"/>
      <c r="R342" s="81" t="s">
        <v>1689</v>
      </c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</row>
    <row r="343" ht="15.0" customHeight="1">
      <c r="A343" s="2" t="s">
        <v>1226</v>
      </c>
      <c r="B343" s="186" t="s">
        <v>1225</v>
      </c>
      <c r="C343" s="189" t="s">
        <v>1562</v>
      </c>
      <c r="D343" s="189" t="s">
        <v>2171</v>
      </c>
      <c r="E343" s="186" t="s">
        <v>2172</v>
      </c>
      <c r="F343" s="27" t="s">
        <v>1566</v>
      </c>
      <c r="G343" s="27" t="s">
        <v>1566</v>
      </c>
      <c r="H343" s="186" t="s">
        <v>22</v>
      </c>
      <c r="I343" s="27" t="str">
        <f>IFERROR(__xludf.DUMMYFUNCTION("IF(A343="""","""",
TEXTJOIN(""-"",TRUE,
IFERROR(
  INDEX(FILTER(CFG_CODES!C:C, CFG_CODES!A:A=""CATEGORY"", UPPER(CFG_CODES!B:B)=UPPER(B343))),
  LEFT(UPPER(B343),3)
),
IFERROR(
  INDEX(FILTER(CFG_CODES!C:C, CFG_CODES!A:A=""MATERIAL"", UPPER(CFG_CODES!B:B)"&amp;"=UPPER(C343))),
  LEFT(UPPER(C343),3)
),
TEXT(ROW()-1,""000"")
))"),"P-SBS-342")</f>
        <v>P-SBS-342</v>
      </c>
      <c r="J343" s="186" t="s">
        <v>1688</v>
      </c>
      <c r="K343" s="188">
        <v>46.391752577319586</v>
      </c>
      <c r="L343" s="64"/>
      <c r="M343" s="64"/>
      <c r="N343" s="64"/>
      <c r="O343" s="64">
        <v>0.0</v>
      </c>
      <c r="P343" s="64"/>
      <c r="Q343" s="188">
        <v>101.0</v>
      </c>
      <c r="R343" s="81" t="s">
        <v>1689</v>
      </c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</row>
    <row r="344" ht="15.0" customHeight="1">
      <c r="A344" s="2" t="s">
        <v>855</v>
      </c>
      <c r="B344" s="186" t="s">
        <v>1225</v>
      </c>
      <c r="C344" s="187" t="s">
        <v>1562</v>
      </c>
      <c r="D344" s="187" t="s">
        <v>1633</v>
      </c>
      <c r="E344" s="186" t="s">
        <v>1572</v>
      </c>
      <c r="F344" s="27" t="s">
        <v>1566</v>
      </c>
      <c r="G344" s="27" t="s">
        <v>1566</v>
      </c>
      <c r="H344" s="186" t="s">
        <v>22</v>
      </c>
      <c r="I344" s="27" t="str">
        <f>IFERROR(__xludf.DUMMYFUNCTION("IF(A344="""","""",
TEXTJOIN(""-"",TRUE,
IFERROR(
  INDEX(FILTER(CFG_CODES!C:C, CFG_CODES!A:A=""CATEGORY"", UPPER(CFG_CODES!B:B)=UPPER(B344))),
  LEFT(UPPER(B344),3)
),
IFERROR(
  INDEX(FILTER(CFG_CODES!C:C, CFG_CODES!A:A=""MATERIAL"", UPPER(CFG_CODES!B:B)"&amp;"=UPPER(C344))),
  LEFT(UPPER(C344),3)
),
TEXT(ROW()-1,""000"")
))"),"P-SBS-343")</f>
        <v>P-SBS-343</v>
      </c>
      <c r="J344" s="186" t="s">
        <v>1688</v>
      </c>
      <c r="K344" s="188">
        <v>9.278350515463918</v>
      </c>
      <c r="L344" s="64"/>
      <c r="M344" s="64"/>
      <c r="N344" s="64"/>
      <c r="O344" s="64">
        <v>0.0</v>
      </c>
      <c r="P344" s="64"/>
      <c r="Q344" s="188">
        <v>0.0</v>
      </c>
      <c r="R344" s="81" t="s">
        <v>1689</v>
      </c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</row>
    <row r="345" ht="15.0" customHeight="1">
      <c r="A345" s="186" t="s">
        <v>1231</v>
      </c>
      <c r="B345" s="186" t="s">
        <v>1830</v>
      </c>
      <c r="C345" s="189" t="s">
        <v>1642</v>
      </c>
      <c r="D345" s="135" t="s">
        <v>1566</v>
      </c>
      <c r="E345" s="27" t="s">
        <v>1566</v>
      </c>
      <c r="F345" s="27" t="s">
        <v>1566</v>
      </c>
      <c r="G345" s="27" t="s">
        <v>1566</v>
      </c>
      <c r="H345" s="186" t="s">
        <v>661</v>
      </c>
      <c r="I345" s="27" t="str">
        <f>IFERROR(__xludf.DUMMYFUNCTION("IF(A345="""","""",
TEXTJOIN(""-"",TRUE,
IFERROR(
  INDEX(FILTER(CFG_CODES!C:C, CFG_CODES!A:A=""CATEGORY"", UPPER(CFG_CODES!B:B)=UPPER(B345))),
  LEFT(UPPER(B345),3)
),
IFERROR(
  INDEX(FILTER(CFG_CODES!C:C, CFG_CODES!A:A=""MATERIAL"", UPPER(CFG_CODES!B:B)"&amp;"=UPPER(C345))),
  LEFT(UPPER(C345),3)
),
TEXT(ROW()-1,""000"")
))"),"M-OTH-344")</f>
        <v>M-OTH-344</v>
      </c>
      <c r="J345" s="186" t="s">
        <v>1688</v>
      </c>
      <c r="K345" s="188">
        <v>0.020618556701030927</v>
      </c>
      <c r="L345" s="64"/>
      <c r="M345" s="64"/>
      <c r="N345" s="64"/>
      <c r="O345" s="64">
        <v>0.0</v>
      </c>
      <c r="P345" s="64"/>
      <c r="Q345" s="188">
        <v>2328.0</v>
      </c>
      <c r="R345" s="81" t="s">
        <v>1688</v>
      </c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</row>
    <row r="346" ht="15.0" customHeight="1">
      <c r="A346" s="186" t="s">
        <v>2011</v>
      </c>
      <c r="B346" s="186" t="s">
        <v>1674</v>
      </c>
      <c r="C346" s="187" t="s">
        <v>1691</v>
      </c>
      <c r="D346" s="53" t="s">
        <v>1566</v>
      </c>
      <c r="E346" s="27" t="s">
        <v>1566</v>
      </c>
      <c r="F346" s="27" t="s">
        <v>1566</v>
      </c>
      <c r="G346" s="27" t="s">
        <v>1566</v>
      </c>
      <c r="H346" s="186" t="s">
        <v>290</v>
      </c>
      <c r="I346" s="27" t="str">
        <f>IFERROR(__xludf.DUMMYFUNCTION("IF(A346="""","""",
TEXTJOIN(""-"",TRUE,
IFERROR(
  INDEX(FILTER(CFG_CODES!C:C, CFG_CODES!A:A=""CATEGORY"", UPPER(CFG_CODES!B:B)=UPPER(B346))),
  LEFT(UPPER(B346),3)
),
IFERROR(
  INDEX(FILTER(CFG_CODES!C:C, CFG_CODES!A:A=""MATERIAL"", UPPER(CFG_CODES!B:B)"&amp;"=UPPER(C346))),
  LEFT(UPPER(C346),3)
),
TEXT(ROW()-1,""000"")
))"),"I-PAN-345")</f>
        <v>I-PAN-345</v>
      </c>
      <c r="J346" s="186" t="s">
        <v>1688</v>
      </c>
      <c r="K346" s="188">
        <v>0.020618556701030927</v>
      </c>
      <c r="L346" s="64"/>
      <c r="M346" s="64"/>
      <c r="N346" s="64"/>
      <c r="O346" s="64">
        <v>0.0</v>
      </c>
      <c r="P346" s="64"/>
      <c r="Q346" s="188">
        <v>0.0</v>
      </c>
      <c r="R346" s="81" t="s">
        <v>1689</v>
      </c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</row>
    <row r="347" ht="15.0" customHeight="1">
      <c r="A347" s="2" t="s">
        <v>80</v>
      </c>
      <c r="B347" s="186" t="s">
        <v>1225</v>
      </c>
      <c r="C347" s="189" t="s">
        <v>1562</v>
      </c>
      <c r="D347" s="189" t="s">
        <v>1563</v>
      </c>
      <c r="E347" s="186" t="s">
        <v>1575</v>
      </c>
      <c r="F347" s="27" t="s">
        <v>1566</v>
      </c>
      <c r="G347" s="27" t="s">
        <v>1566</v>
      </c>
      <c r="H347" s="186" t="s">
        <v>22</v>
      </c>
      <c r="I347" s="27" t="str">
        <f>IFERROR(__xludf.DUMMYFUNCTION("IF(A347="""","""",
TEXTJOIN(""-"",TRUE,
IFERROR(
  INDEX(FILTER(CFG_CODES!C:C, CFG_CODES!A:A=""CATEGORY"", UPPER(CFG_CODES!B:B)=UPPER(B347))),
  LEFT(UPPER(B347),3)
),
IFERROR(
  INDEX(FILTER(CFG_CODES!C:C, CFG_CODES!A:A=""MATERIAL"", UPPER(CFG_CODES!B:B)"&amp;"=UPPER(C347))),
  LEFT(UPPER(C347),3)
),
TEXT(ROW()-1,""000"")
))"),"P-SBS-346")</f>
        <v>P-SBS-346</v>
      </c>
      <c r="J347" s="186" t="s">
        <v>1688</v>
      </c>
      <c r="K347" s="188">
        <v>6.185567010309279</v>
      </c>
      <c r="L347" s="64"/>
      <c r="M347" s="64"/>
      <c r="N347" s="64"/>
      <c r="O347" s="64">
        <v>0.0</v>
      </c>
      <c r="P347" s="64"/>
      <c r="Q347" s="188">
        <v>0.0</v>
      </c>
      <c r="R347" s="81" t="s">
        <v>1689</v>
      </c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</row>
    <row r="348" ht="15.0" customHeight="1">
      <c r="A348" s="55" t="s">
        <v>425</v>
      </c>
      <c r="B348" s="186" t="s">
        <v>1225</v>
      </c>
      <c r="C348" s="187" t="s">
        <v>1651</v>
      </c>
      <c r="D348" s="187" t="s">
        <v>1647</v>
      </c>
      <c r="E348" s="186" t="s">
        <v>2174</v>
      </c>
      <c r="F348" s="27" t="s">
        <v>1566</v>
      </c>
      <c r="G348" s="27" t="s">
        <v>1566</v>
      </c>
      <c r="H348" s="186" t="s">
        <v>22</v>
      </c>
      <c r="I348" s="27" t="str">
        <f>IFERROR(__xludf.DUMMYFUNCTION("IF(A348="""","""",
TEXTJOIN(""-"",TRUE,
IFERROR(
  INDEX(FILTER(CFG_CODES!C:C, CFG_CODES!A:A=""CATEGORY"", UPPER(CFG_CODES!B:B)=UPPER(B348))),
  LEFT(UPPER(B348),3)
),
IFERROR(
  INDEX(FILTER(CFG_CODES!C:C, CFG_CODES!A:A=""MATERIAL"", UPPER(CFG_CODES!B:B)"&amp;"=UPPER(C348))),
  LEFT(UPPER(C348),3)
),
TEXT(ROW()-1,""000"")
))"),"P-MAP-347")</f>
        <v>P-MAP-347</v>
      </c>
      <c r="J348" s="186" t="s">
        <v>1688</v>
      </c>
      <c r="K348" s="188">
        <v>47.422680412371136</v>
      </c>
      <c r="L348" s="64"/>
      <c r="M348" s="64"/>
      <c r="N348" s="64"/>
      <c r="O348" s="64">
        <v>0.0</v>
      </c>
      <c r="P348" s="64"/>
      <c r="Q348" s="188">
        <v>30.0</v>
      </c>
      <c r="R348" s="81" t="s">
        <v>1689</v>
      </c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</row>
    <row r="349" ht="15.0" customHeight="1">
      <c r="A349" s="55" t="s">
        <v>1238</v>
      </c>
      <c r="B349" s="186" t="s">
        <v>1225</v>
      </c>
      <c r="C349" s="189" t="s">
        <v>1653</v>
      </c>
      <c r="D349" s="189" t="s">
        <v>1603</v>
      </c>
      <c r="E349" s="186" t="s">
        <v>1572</v>
      </c>
      <c r="F349" s="27" t="s">
        <v>1566</v>
      </c>
      <c r="G349" s="27" t="s">
        <v>1566</v>
      </c>
      <c r="H349" s="186" t="s">
        <v>22</v>
      </c>
      <c r="I349" s="27" t="str">
        <f>IFERROR(__xludf.DUMMYFUNCTION("IF(A349="""","""",
TEXTJOIN(""-"",TRUE,
IFERROR(
  INDEX(FILTER(CFG_CODES!C:C, CFG_CODES!A:A=""CATEGORY"", UPPER(CFG_CODES!B:B)=UPPER(B349))),
  LEFT(UPPER(B349),3)
),
IFERROR(
  INDEX(FILTER(CFG_CODES!C:C, CFG_CODES!A:A=""MATERIAL"", UPPER(CFG_CODES!B:B)"&amp;"=UPPER(C349))),
  LEFT(UPPER(C349),3)
),
TEXT(ROW()-1,""000"")
))"),"P-DUP-348")</f>
        <v>P-DUP-348</v>
      </c>
      <c r="J349" s="186" t="s">
        <v>1688</v>
      </c>
      <c r="K349" s="188">
        <v>0.0</v>
      </c>
      <c r="L349" s="64"/>
      <c r="M349" s="64"/>
      <c r="N349" s="64"/>
      <c r="O349" s="64" t="s">
        <v>1333</v>
      </c>
      <c r="P349" s="64"/>
      <c r="Q349" s="64"/>
      <c r="R349" s="81" t="s">
        <v>1689</v>
      </c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</row>
    <row r="350" ht="15.0" customHeight="1">
      <c r="A350" s="55" t="s">
        <v>1241</v>
      </c>
      <c r="B350" s="186" t="s">
        <v>1225</v>
      </c>
      <c r="C350" s="187" t="s">
        <v>1562</v>
      </c>
      <c r="D350" s="187" t="s">
        <v>1633</v>
      </c>
      <c r="E350" s="186" t="s">
        <v>1586</v>
      </c>
      <c r="F350" s="27" t="s">
        <v>1566</v>
      </c>
      <c r="G350" s="27" t="s">
        <v>1566</v>
      </c>
      <c r="H350" s="186" t="s">
        <v>22</v>
      </c>
      <c r="I350" s="27" t="str">
        <f>IFERROR(__xludf.DUMMYFUNCTION("IF(A350="""","""",
TEXTJOIN(""-"",TRUE,
IFERROR(
  INDEX(FILTER(CFG_CODES!C:C, CFG_CODES!A:A=""CATEGORY"", UPPER(CFG_CODES!B:B)=UPPER(B350))),
  LEFT(UPPER(B350),3)
),
IFERROR(
  INDEX(FILTER(CFG_CODES!C:C, CFG_CODES!A:A=""MATERIAL"", UPPER(CFG_CODES!B:B)"&amp;"=UPPER(C350))),
  LEFT(UPPER(C350),3)
),
TEXT(ROW()-1,""000"")
))"),"P-SBS-349")</f>
        <v>P-SBS-349</v>
      </c>
      <c r="J350" s="186" t="s">
        <v>1688</v>
      </c>
      <c r="K350" s="186">
        <v>5.154639175257732</v>
      </c>
      <c r="L350" s="64"/>
      <c r="M350" s="64"/>
      <c r="N350" s="64"/>
      <c r="O350" s="64">
        <v>0.0</v>
      </c>
      <c r="P350" s="64"/>
      <c r="Q350" s="188">
        <v>0.0</v>
      </c>
      <c r="R350" s="81" t="s">
        <v>1689</v>
      </c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</row>
    <row r="351" ht="15.0" customHeight="1">
      <c r="A351" s="2" t="s">
        <v>1245</v>
      </c>
      <c r="B351" s="186" t="s">
        <v>1821</v>
      </c>
      <c r="C351" s="189" t="s">
        <v>1821</v>
      </c>
      <c r="D351" s="135" t="s">
        <v>1566</v>
      </c>
      <c r="E351" s="194">
        <v>12.5</v>
      </c>
      <c r="F351" s="27" t="s">
        <v>1566</v>
      </c>
      <c r="G351" s="27" t="s">
        <v>1566</v>
      </c>
      <c r="H351" s="186" t="s">
        <v>661</v>
      </c>
      <c r="I351" s="27" t="str">
        <f>IFERROR(__xludf.DUMMYFUNCTION("IF(A351="""","""",
TEXTJOIN(""-"",TRUE,
IFERROR(
  INDEX(FILTER(CFG_CODES!C:C, CFG_CODES!A:A=""CATEGORY"", UPPER(CFG_CODES!B:B)=UPPER(B351))),
  LEFT(UPPER(B351),3)
),
IFERROR(
  INDEX(FILTER(CFG_CODES!C:C, CFG_CODES!A:A=""MATERIAL"", UPPER(CFG_CODES!B:B)"&amp;"=UPPER(C351))),
  LEFT(UPPER(C351),3)
),
TEXT(ROW()-1,""000"")
))"),"A-ADH-350")</f>
        <v>A-ADH-350</v>
      </c>
      <c r="J351" s="186" t="s">
        <v>1688</v>
      </c>
      <c r="K351" s="186">
        <v>0.0</v>
      </c>
      <c r="L351" s="64"/>
      <c r="M351" s="64"/>
      <c r="N351" s="64"/>
      <c r="O351" s="64" t="s">
        <v>1333</v>
      </c>
      <c r="P351" s="64"/>
      <c r="Q351" s="64"/>
      <c r="R351" s="81" t="s">
        <v>1689</v>
      </c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</row>
    <row r="352" ht="15.0" customHeight="1">
      <c r="A352" s="186" t="s">
        <v>2013</v>
      </c>
      <c r="B352" s="186" t="s">
        <v>1674</v>
      </c>
      <c r="C352" s="187" t="s">
        <v>1691</v>
      </c>
      <c r="D352" s="53" t="s">
        <v>1566</v>
      </c>
      <c r="E352" s="27" t="s">
        <v>1566</v>
      </c>
      <c r="F352" s="27" t="s">
        <v>1566</v>
      </c>
      <c r="G352" s="39" t="s">
        <v>2176</v>
      </c>
      <c r="H352" s="186" t="s">
        <v>290</v>
      </c>
      <c r="I352" s="27" t="str">
        <f>IFERROR(__xludf.DUMMYFUNCTION("IF(A352="""","""",
TEXTJOIN(""-"",TRUE,
IFERROR(
  INDEX(FILTER(CFG_CODES!C:C, CFG_CODES!A:A=""CATEGORY"", UPPER(CFG_CODES!B:B)=UPPER(B352))),
  LEFT(UPPER(B352),3)
),
IFERROR(
  INDEX(FILTER(CFG_CODES!C:C, CFG_CODES!A:A=""MATERIAL"", UPPER(CFG_CODES!B:B)"&amp;"=UPPER(C352))),
  LEFT(UPPER(C352),3)
),
TEXT(ROW()-1,""000"")
))"),"I-PAN-351")</f>
        <v>I-PAN-351</v>
      </c>
      <c r="J352" s="186" t="s">
        <v>1688</v>
      </c>
      <c r="K352" s="186">
        <v>0.0</v>
      </c>
      <c r="L352" s="64"/>
      <c r="M352" s="64"/>
      <c r="N352" s="64"/>
      <c r="O352" s="64" t="s">
        <v>1333</v>
      </c>
      <c r="P352" s="64"/>
      <c r="Q352" s="64"/>
      <c r="R352" s="81" t="s">
        <v>1688</v>
      </c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</row>
    <row r="353" ht="15.0" customHeight="1">
      <c r="A353" s="186" t="s">
        <v>1737</v>
      </c>
      <c r="B353" s="186" t="s">
        <v>1225</v>
      </c>
      <c r="C353" s="189" t="s">
        <v>1562</v>
      </c>
      <c r="D353" s="189" t="s">
        <v>1587</v>
      </c>
      <c r="E353" s="186" t="s">
        <v>2172</v>
      </c>
      <c r="F353" s="27" t="s">
        <v>1566</v>
      </c>
      <c r="G353" s="27" t="s">
        <v>1566</v>
      </c>
      <c r="H353" s="186" t="s">
        <v>22</v>
      </c>
      <c r="I353" s="27" t="str">
        <f>IFERROR(__xludf.DUMMYFUNCTION("IF(A353="""","""",
TEXTJOIN(""-"",TRUE,
IFERROR(
  INDEX(FILTER(CFG_CODES!C:C, CFG_CODES!A:A=""CATEGORY"", UPPER(CFG_CODES!B:B)=UPPER(B353))),
  LEFT(UPPER(B353),3)
),
IFERROR(
  INDEX(FILTER(CFG_CODES!C:C, CFG_CODES!A:A=""MATERIAL"", UPPER(CFG_CODES!B:B)"&amp;"=UPPER(C353))),
  LEFT(UPPER(C353),3)
),
TEXT(ROW()-1,""000"")
))"),"P-SBS-352")</f>
        <v>P-SBS-352</v>
      </c>
      <c r="J353" s="186" t="s">
        <v>1688</v>
      </c>
      <c r="K353" s="186">
        <v>0.0</v>
      </c>
      <c r="L353" s="64"/>
      <c r="M353" s="64"/>
      <c r="N353" s="64"/>
      <c r="O353" s="64" t="s">
        <v>1333</v>
      </c>
      <c r="P353" s="64"/>
      <c r="Q353" s="64"/>
      <c r="R353" s="81" t="s">
        <v>1689</v>
      </c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</row>
    <row r="354" ht="15.0" customHeight="1">
      <c r="A354" s="186" t="s">
        <v>1251</v>
      </c>
      <c r="B354" s="186" t="s">
        <v>1225</v>
      </c>
      <c r="C354" s="187" t="s">
        <v>1562</v>
      </c>
      <c r="D354" s="187" t="s">
        <v>1600</v>
      </c>
      <c r="E354" s="186" t="s">
        <v>2172</v>
      </c>
      <c r="F354" s="27" t="s">
        <v>1566</v>
      </c>
      <c r="G354" s="27" t="s">
        <v>1566</v>
      </c>
      <c r="H354" s="186" t="s">
        <v>22</v>
      </c>
      <c r="I354" s="27" t="str">
        <f>IFERROR(__xludf.DUMMYFUNCTION("IF(A354="""","""",
TEXTJOIN(""-"",TRUE,
IFERROR(
  INDEX(FILTER(CFG_CODES!C:C, CFG_CODES!A:A=""CATEGORY"", UPPER(CFG_CODES!B:B)=UPPER(B354))),
  LEFT(UPPER(B354),3)
),
IFERROR(
  INDEX(FILTER(CFG_CODES!C:C, CFG_CODES!A:A=""MATERIAL"", UPPER(CFG_CODES!B:B)"&amp;"=UPPER(C354))),
  LEFT(UPPER(C354),3)
),
TEXT(ROW()-1,""000"")
))"),"P-SBS-353")</f>
        <v>P-SBS-353</v>
      </c>
      <c r="J354" s="186" t="s">
        <v>1688</v>
      </c>
      <c r="K354" s="186">
        <v>0.0</v>
      </c>
      <c r="L354" s="64"/>
      <c r="M354" s="64"/>
      <c r="N354" s="64"/>
      <c r="O354" s="64" t="s">
        <v>1333</v>
      </c>
      <c r="P354" s="64"/>
      <c r="Q354" s="64"/>
      <c r="R354" s="81" t="s">
        <v>1689</v>
      </c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</row>
    <row r="355" ht="15.0" customHeight="1">
      <c r="A355" s="2" t="s">
        <v>1254</v>
      </c>
      <c r="B355" s="186" t="s">
        <v>1225</v>
      </c>
      <c r="C355" s="189" t="s">
        <v>1653</v>
      </c>
      <c r="D355" s="189" t="s">
        <v>1582</v>
      </c>
      <c r="E355" s="186" t="s">
        <v>1572</v>
      </c>
      <c r="F355" s="27" t="s">
        <v>1566</v>
      </c>
      <c r="G355" s="186" t="s">
        <v>1654</v>
      </c>
      <c r="H355" s="186" t="s">
        <v>22</v>
      </c>
      <c r="I355" s="27" t="str">
        <f>IFERROR(__xludf.DUMMYFUNCTION("IF(A355="""","""",
TEXTJOIN(""-"",TRUE,
IFERROR(
  INDEX(FILTER(CFG_CODES!C:C, CFG_CODES!A:A=""CATEGORY"", UPPER(CFG_CODES!B:B)=UPPER(B355))),
  LEFT(UPPER(B355),3)
),
IFERROR(
  INDEX(FILTER(CFG_CODES!C:C, CFG_CODES!A:A=""MATERIAL"", UPPER(CFG_CODES!B:B)"&amp;"=UPPER(C355))),
  LEFT(UPPER(C355),3)
),
TEXT(ROW()-1,""000"")
))"),"P-DUP-354")</f>
        <v>P-DUP-354</v>
      </c>
      <c r="J355" s="186" t="s">
        <v>1688</v>
      </c>
      <c r="K355" s="186">
        <v>0.0</v>
      </c>
      <c r="L355" s="64"/>
      <c r="M355" s="64"/>
      <c r="N355" s="64"/>
      <c r="O355" s="64" t="s">
        <v>1333</v>
      </c>
      <c r="P355" s="64"/>
      <c r="Q355" s="64"/>
      <c r="R355" s="81" t="s">
        <v>1689</v>
      </c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</row>
    <row r="356" ht="15.0" customHeight="1">
      <c r="A356" s="2" t="s">
        <v>188</v>
      </c>
      <c r="B356" s="186" t="s">
        <v>1225</v>
      </c>
      <c r="C356" s="187" t="s">
        <v>1653</v>
      </c>
      <c r="D356" s="187" t="s">
        <v>1587</v>
      </c>
      <c r="E356" s="186" t="s">
        <v>1572</v>
      </c>
      <c r="F356" s="27" t="s">
        <v>1566</v>
      </c>
      <c r="G356" s="186" t="s">
        <v>1654</v>
      </c>
      <c r="H356" s="186" t="s">
        <v>22</v>
      </c>
      <c r="I356" s="27" t="str">
        <f>IFERROR(__xludf.DUMMYFUNCTION("IF(A356="""","""",
TEXTJOIN(""-"",TRUE,
IFERROR(
  INDEX(FILTER(CFG_CODES!C:C, CFG_CODES!A:A=""CATEGORY"", UPPER(CFG_CODES!B:B)=UPPER(B356))),
  LEFT(UPPER(B356),3)
),
IFERROR(
  INDEX(FILTER(CFG_CODES!C:C, CFG_CODES!A:A=""MATERIAL"", UPPER(CFG_CODES!B:B)"&amp;"=UPPER(C356))),
  LEFT(UPPER(C356),3)
),
TEXT(ROW()-1,""000"")
))"),"P-DUP-355")</f>
        <v>P-DUP-355</v>
      </c>
      <c r="J356" s="186" t="s">
        <v>1688</v>
      </c>
      <c r="K356" s="186">
        <v>0.0</v>
      </c>
      <c r="L356" s="64"/>
      <c r="M356" s="64"/>
      <c r="N356" s="64"/>
      <c r="O356" s="64" t="s">
        <v>1333</v>
      </c>
      <c r="P356" s="64"/>
      <c r="Q356" s="64"/>
      <c r="R356" s="81" t="s">
        <v>1689</v>
      </c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</row>
    <row r="357" ht="15.0" customHeight="1">
      <c r="A357" s="186" t="s">
        <v>1257</v>
      </c>
      <c r="B357" s="186" t="s">
        <v>1674</v>
      </c>
      <c r="C357" s="189" t="s">
        <v>1691</v>
      </c>
      <c r="D357" s="135" t="s">
        <v>1566</v>
      </c>
      <c r="E357" s="27" t="s">
        <v>1566</v>
      </c>
      <c r="F357" s="27" t="s">
        <v>1566</v>
      </c>
      <c r="G357" s="2" t="s">
        <v>2177</v>
      </c>
      <c r="H357" s="186" t="s">
        <v>290</v>
      </c>
      <c r="I357" s="27" t="str">
        <f>IFERROR(__xludf.DUMMYFUNCTION("IF(A357="""","""",
TEXTJOIN(""-"",TRUE,
IFERROR(
  INDEX(FILTER(CFG_CODES!C:C, CFG_CODES!A:A=""CATEGORY"", UPPER(CFG_CODES!B:B)=UPPER(B357))),
  LEFT(UPPER(B357),3)
),
IFERROR(
  INDEX(FILTER(CFG_CODES!C:C, CFG_CODES!A:A=""MATERIAL"", UPPER(CFG_CODES!B:B)"&amp;"=UPPER(C357))),
  LEFT(UPPER(C357),3)
),
TEXT(ROW()-1,""000"")
))"),"I-PAN-356")</f>
        <v>I-PAN-356</v>
      </c>
      <c r="J357" s="186" t="s">
        <v>1688</v>
      </c>
      <c r="K357" s="186">
        <v>0.0</v>
      </c>
      <c r="L357" s="64"/>
      <c r="M357" s="64"/>
      <c r="N357" s="64"/>
      <c r="O357" s="64" t="s">
        <v>1333</v>
      </c>
      <c r="P357" s="64"/>
      <c r="Q357" s="64"/>
      <c r="R357" s="81" t="s">
        <v>1689</v>
      </c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</row>
    <row r="358" ht="15.0" customHeight="1">
      <c r="A358" s="186" t="s">
        <v>1261</v>
      </c>
      <c r="B358" s="186" t="s">
        <v>1674</v>
      </c>
      <c r="C358" s="187" t="s">
        <v>1642</v>
      </c>
      <c r="D358" s="53" t="s">
        <v>1566</v>
      </c>
      <c r="E358" s="27" t="s">
        <v>1566</v>
      </c>
      <c r="F358" s="27" t="s">
        <v>1566</v>
      </c>
      <c r="G358" s="39" t="s">
        <v>2178</v>
      </c>
      <c r="H358" s="186" t="s">
        <v>290</v>
      </c>
      <c r="I358" s="27" t="str">
        <f>IFERROR(__xludf.DUMMYFUNCTION("IF(A358="""","""",
TEXTJOIN(""-"",TRUE,
IFERROR(
  INDEX(FILTER(CFG_CODES!C:C, CFG_CODES!A:A=""CATEGORY"", UPPER(CFG_CODES!B:B)=UPPER(B358))),
  LEFT(UPPER(B358),3)
),
IFERROR(
  INDEX(FILTER(CFG_CODES!C:C, CFG_CODES!A:A=""MATERIAL"", UPPER(CFG_CODES!B:B)"&amp;"=UPPER(C358))),
  LEFT(UPPER(C358),3)
),
TEXT(ROW()-1,""000"")
))"),"I-OTH-357")</f>
        <v>I-OTH-357</v>
      </c>
      <c r="J358" s="186" t="s">
        <v>1688</v>
      </c>
      <c r="K358" s="186">
        <v>0.0</v>
      </c>
      <c r="L358" s="64"/>
      <c r="M358" s="64"/>
      <c r="N358" s="64"/>
      <c r="O358" s="64" t="s">
        <v>1333</v>
      </c>
      <c r="P358" s="64"/>
      <c r="Q358" s="64"/>
      <c r="R358" s="81" t="s">
        <v>1689</v>
      </c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</row>
    <row r="359" ht="15.0" customHeight="1">
      <c r="A359" s="186" t="s">
        <v>1266</v>
      </c>
      <c r="B359" s="186" t="s">
        <v>1674</v>
      </c>
      <c r="C359" s="189" t="s">
        <v>1642</v>
      </c>
      <c r="D359" s="135" t="s">
        <v>1566</v>
      </c>
      <c r="E359" s="27" t="s">
        <v>1566</v>
      </c>
      <c r="F359" s="27" t="s">
        <v>1566</v>
      </c>
      <c r="G359" s="39" t="s">
        <v>2179</v>
      </c>
      <c r="H359" s="186" t="s">
        <v>290</v>
      </c>
      <c r="I359" s="27" t="str">
        <f>IFERROR(__xludf.DUMMYFUNCTION("IF(A359="""","""",
TEXTJOIN(""-"",TRUE,
IFERROR(
  INDEX(FILTER(CFG_CODES!C:C, CFG_CODES!A:A=""CATEGORY"", UPPER(CFG_CODES!B:B)=UPPER(B359))),
  LEFT(UPPER(B359),3)
),
IFERROR(
  INDEX(FILTER(CFG_CODES!C:C, CFG_CODES!A:A=""MATERIAL"", UPPER(CFG_CODES!B:B)"&amp;"=UPPER(C359))),
  LEFT(UPPER(C359),3)
),
TEXT(ROW()-1,""000"")
))"),"I-OTH-358")</f>
        <v>I-OTH-358</v>
      </c>
      <c r="J359" s="186" t="s">
        <v>1688</v>
      </c>
      <c r="K359" s="186">
        <v>0.0</v>
      </c>
      <c r="L359" s="64"/>
      <c r="M359" s="64"/>
      <c r="N359" s="64"/>
      <c r="O359" s="64" t="s">
        <v>1333</v>
      </c>
      <c r="P359" s="64"/>
      <c r="Q359" s="64"/>
      <c r="R359" s="81" t="s">
        <v>1689</v>
      </c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</row>
    <row r="360" ht="15.0" customHeight="1">
      <c r="A360" s="186" t="s">
        <v>1740</v>
      </c>
      <c r="B360" s="186" t="s">
        <v>1225</v>
      </c>
      <c r="C360" s="187" t="s">
        <v>1562</v>
      </c>
      <c r="D360" s="187" t="s">
        <v>2180</v>
      </c>
      <c r="E360" s="186" t="s">
        <v>1572</v>
      </c>
      <c r="F360" s="27" t="s">
        <v>1566</v>
      </c>
      <c r="G360" s="27" t="s">
        <v>1566</v>
      </c>
      <c r="H360" s="186" t="s">
        <v>22</v>
      </c>
      <c r="I360" s="27" t="str">
        <f>IFERROR(__xludf.DUMMYFUNCTION("IF(A360="""","""",
TEXTJOIN(""-"",TRUE,
IFERROR(
  INDEX(FILTER(CFG_CODES!C:C, CFG_CODES!A:A=""CATEGORY"", UPPER(CFG_CODES!B:B)=UPPER(B360))),
  LEFT(UPPER(B360),3)
),
IFERROR(
  INDEX(FILTER(CFG_CODES!C:C, CFG_CODES!A:A=""MATERIAL"", UPPER(CFG_CODES!B:B)"&amp;"=UPPER(C360))),
  LEFT(UPPER(C360),3)
),
TEXT(ROW()-1,""000"")
))"),"P-SBS-359")</f>
        <v>P-SBS-359</v>
      </c>
      <c r="J360" s="186" t="s">
        <v>1688</v>
      </c>
      <c r="K360" s="186">
        <v>0.0</v>
      </c>
      <c r="L360" s="64"/>
      <c r="M360" s="64"/>
      <c r="N360" s="64"/>
      <c r="O360" s="64" t="s">
        <v>1333</v>
      </c>
      <c r="P360" s="64"/>
      <c r="Q360" s="64"/>
      <c r="R360" s="81" t="s">
        <v>1689</v>
      </c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</row>
    <row r="361" ht="15.0" customHeight="1">
      <c r="A361" s="186" t="s">
        <v>1270</v>
      </c>
      <c r="B361" s="186" t="s">
        <v>1812</v>
      </c>
      <c r="C361" s="189" t="s">
        <v>1815</v>
      </c>
      <c r="D361" s="135" t="s">
        <v>1566</v>
      </c>
      <c r="E361" s="27" t="s">
        <v>1566</v>
      </c>
      <c r="F361" s="27" t="s">
        <v>1566</v>
      </c>
      <c r="G361" s="27" t="s">
        <v>1566</v>
      </c>
      <c r="H361" s="186" t="s">
        <v>616</v>
      </c>
      <c r="I361" s="27" t="str">
        <f>IFERROR(__xludf.DUMMYFUNCTION("IF(A361="""","""",
TEXTJOIN(""-"",TRUE,
IFERROR(
  INDEX(FILTER(CFG_CODES!C:C, CFG_CODES!A:A=""CATEGORY"", UPPER(CFG_CODES!B:B)=UPPER(B361))),
  LEFT(UPPER(B361),3)
),
IFERROR(
  INDEX(FILTER(CFG_CODES!C:C, CFG_CODES!A:A=""MATERIAL"", UPPER(CFG_CODES!B:B)"&amp;"=UPPER(C361))),
  LEFT(UPPER(C361),3)
),
TEXT(ROW()-1,""000"")
))"),"CH-SOL-360")</f>
        <v>CH-SOL-360</v>
      </c>
      <c r="J361" s="186" t="s">
        <v>1688</v>
      </c>
      <c r="K361" s="186">
        <v>0.0</v>
      </c>
      <c r="L361" s="64"/>
      <c r="M361" s="64"/>
      <c r="N361" s="64"/>
      <c r="O361" s="64" t="s">
        <v>1333</v>
      </c>
      <c r="P361" s="64"/>
      <c r="Q361" s="64"/>
      <c r="R361" s="81" t="s">
        <v>1689</v>
      </c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</row>
    <row r="362" ht="15.0" customHeight="1">
      <c r="A362" s="2" t="s">
        <v>2017</v>
      </c>
      <c r="B362" s="186" t="s">
        <v>1844</v>
      </c>
      <c r="C362" s="187" t="s">
        <v>1846</v>
      </c>
      <c r="D362" s="53" t="s">
        <v>1566</v>
      </c>
      <c r="E362" s="186" t="s">
        <v>1865</v>
      </c>
      <c r="F362" s="27" t="s">
        <v>1566</v>
      </c>
      <c r="G362" s="27" t="s">
        <v>1566</v>
      </c>
      <c r="H362" s="186" t="s">
        <v>643</v>
      </c>
      <c r="I362" s="27" t="str">
        <f>IFERROR(__xludf.DUMMYFUNCTION("IF(A362="""","""",
TEXTJOIN(""-"",TRUE,
IFERROR(
  INDEX(FILTER(CFG_CODES!C:C, CFG_CODES!A:A=""CATEGORY"", UPPER(CFG_CODES!B:B)=UPPER(B362))),
  LEFT(UPPER(B362),3)
),
IFERROR(
  INDEX(FILTER(CFG_CODES!C:C, CFG_CODES!A:A=""MATERIAL"", UPPER(CFG_CODES!B:B)"&amp;"=UPPER(C362))),
  LEFT(UPPER(C362),3)
),
TEXT(ROW()-1,""000"")
))"),"L-BOP-361")</f>
        <v>L-BOP-361</v>
      </c>
      <c r="J362" s="186" t="s">
        <v>1688</v>
      </c>
      <c r="K362" s="186">
        <v>0.0</v>
      </c>
      <c r="L362" s="64"/>
      <c r="M362" s="64"/>
      <c r="N362" s="64"/>
      <c r="O362" s="64" t="s">
        <v>1333</v>
      </c>
      <c r="P362" s="64"/>
      <c r="Q362" s="64"/>
      <c r="R362" s="81" t="s">
        <v>1689</v>
      </c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</row>
    <row r="363" ht="15.0" customHeight="1">
      <c r="A363" s="186" t="s">
        <v>1742</v>
      </c>
      <c r="B363" s="186" t="s">
        <v>1225</v>
      </c>
      <c r="C363" s="189" t="s">
        <v>1562</v>
      </c>
      <c r="D363" s="189" t="s">
        <v>1656</v>
      </c>
      <c r="E363" s="186" t="s">
        <v>1575</v>
      </c>
      <c r="F363" s="27" t="s">
        <v>1566</v>
      </c>
      <c r="G363" s="27" t="s">
        <v>1566</v>
      </c>
      <c r="H363" s="186" t="s">
        <v>22</v>
      </c>
      <c r="I363" s="27" t="str">
        <f>IFERROR(__xludf.DUMMYFUNCTION("IF(A363="""","""",
TEXTJOIN(""-"",TRUE,
IFERROR(
  INDEX(FILTER(CFG_CODES!C:C, CFG_CODES!A:A=""CATEGORY"", UPPER(CFG_CODES!B:B)=UPPER(B363))),
  LEFT(UPPER(B363),3)
),
IFERROR(
  INDEX(FILTER(CFG_CODES!C:C, CFG_CODES!A:A=""MATERIAL"", UPPER(CFG_CODES!B:B)"&amp;"=UPPER(C363))),
  LEFT(UPPER(C363),3)
),
TEXT(ROW()-1,""000"")
))"),"P-SBS-362")</f>
        <v>P-SBS-362</v>
      </c>
      <c r="J363" s="186" t="s">
        <v>1688</v>
      </c>
      <c r="K363" s="186">
        <v>0.0</v>
      </c>
      <c r="L363" s="64"/>
      <c r="M363" s="64"/>
      <c r="N363" s="64"/>
      <c r="O363" s="64" t="s">
        <v>1333</v>
      </c>
      <c r="P363" s="64"/>
      <c r="Q363" s="64"/>
      <c r="R363" s="81" t="s">
        <v>1689</v>
      </c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</row>
    <row r="364" ht="15.0" customHeight="1">
      <c r="A364" s="2" t="s">
        <v>1744</v>
      </c>
      <c r="B364" s="186" t="s">
        <v>1225</v>
      </c>
      <c r="C364" s="187" t="s">
        <v>1562</v>
      </c>
      <c r="D364" s="187" t="s">
        <v>1591</v>
      </c>
      <c r="E364" s="186" t="s">
        <v>1572</v>
      </c>
      <c r="F364" s="27" t="s">
        <v>1566</v>
      </c>
      <c r="G364" s="27" t="s">
        <v>1566</v>
      </c>
      <c r="H364" s="186" t="s">
        <v>22</v>
      </c>
      <c r="I364" s="27" t="str">
        <f>IFERROR(__xludf.DUMMYFUNCTION("IF(A364="""","""",
TEXTJOIN(""-"",TRUE,
IFERROR(
  INDEX(FILTER(CFG_CODES!C:C, CFG_CODES!A:A=""CATEGORY"", UPPER(CFG_CODES!B:B)=UPPER(B364))),
  LEFT(UPPER(B364),3)
),
IFERROR(
  INDEX(FILTER(CFG_CODES!C:C, CFG_CODES!A:A=""MATERIAL"", UPPER(CFG_CODES!B:B)"&amp;"=UPPER(C364))),
  LEFT(UPPER(C364),3)
),
TEXT(ROW()-1,""000"")
))"),"P-SBS-363")</f>
        <v>P-SBS-363</v>
      </c>
      <c r="J364" s="186" t="s">
        <v>1688</v>
      </c>
      <c r="K364" s="186">
        <v>0.0</v>
      </c>
      <c r="L364" s="64"/>
      <c r="M364" s="64"/>
      <c r="N364" s="64"/>
      <c r="O364" s="64" t="s">
        <v>1333</v>
      </c>
      <c r="P364" s="64"/>
      <c r="Q364" s="64"/>
      <c r="R364" s="81" t="s">
        <v>1689</v>
      </c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</row>
    <row r="365" ht="15.0" customHeight="1">
      <c r="A365" s="186" t="s">
        <v>1747</v>
      </c>
      <c r="B365" s="186" t="s">
        <v>1225</v>
      </c>
      <c r="C365" s="189" t="s">
        <v>1562</v>
      </c>
      <c r="D365" s="189" t="s">
        <v>2181</v>
      </c>
      <c r="E365" s="186" t="s">
        <v>1607</v>
      </c>
      <c r="F365" s="27" t="s">
        <v>1566</v>
      </c>
      <c r="G365" s="27" t="s">
        <v>1566</v>
      </c>
      <c r="H365" s="186" t="s">
        <v>22</v>
      </c>
      <c r="I365" s="27" t="str">
        <f>IFERROR(__xludf.DUMMYFUNCTION("IF(A365="""","""",
TEXTJOIN(""-"",TRUE,
IFERROR(
  INDEX(FILTER(CFG_CODES!C:C, CFG_CODES!A:A=""CATEGORY"", UPPER(CFG_CODES!B:B)=UPPER(B365))),
  LEFT(UPPER(B365),3)
),
IFERROR(
  INDEX(FILTER(CFG_CODES!C:C, CFG_CODES!A:A=""MATERIAL"", UPPER(CFG_CODES!B:B)"&amp;"=UPPER(C365))),
  LEFT(UPPER(C365),3)
),
TEXT(ROW()-1,""000"")
))"),"P-SBS-364")</f>
        <v>P-SBS-364</v>
      </c>
      <c r="J365" s="186" t="s">
        <v>1688</v>
      </c>
      <c r="K365" s="186">
        <v>0.0</v>
      </c>
      <c r="L365" s="64"/>
      <c r="M365" s="64"/>
      <c r="N365" s="64"/>
      <c r="O365" s="64" t="s">
        <v>1333</v>
      </c>
      <c r="P365" s="64"/>
      <c r="Q365" s="64"/>
      <c r="R365" s="81" t="s">
        <v>1689</v>
      </c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</row>
    <row r="366" ht="15.0" customHeight="1">
      <c r="A366" s="186" t="s">
        <v>1273</v>
      </c>
      <c r="B366" s="186" t="s">
        <v>1225</v>
      </c>
      <c r="C366" s="187" t="s">
        <v>1562</v>
      </c>
      <c r="D366" s="187" t="s">
        <v>2182</v>
      </c>
      <c r="E366" s="186" t="s">
        <v>1607</v>
      </c>
      <c r="F366" s="27" t="s">
        <v>1566</v>
      </c>
      <c r="G366" s="27" t="s">
        <v>1566</v>
      </c>
      <c r="H366" s="186" t="s">
        <v>22</v>
      </c>
      <c r="I366" s="27" t="str">
        <f>IFERROR(__xludf.DUMMYFUNCTION("IF(A366="""","""",
TEXTJOIN(""-"",TRUE,
IFERROR(
  INDEX(FILTER(CFG_CODES!C:C, CFG_CODES!A:A=""CATEGORY"", UPPER(CFG_CODES!B:B)=UPPER(B366))),
  LEFT(UPPER(B366),3)
),
IFERROR(
  INDEX(FILTER(CFG_CODES!C:C, CFG_CODES!A:A=""MATERIAL"", UPPER(CFG_CODES!B:B)"&amp;"=UPPER(C366))),
  LEFT(UPPER(C366),3)
),
TEXT(ROW()-1,""000"")
))"),"P-SBS-365")</f>
        <v>P-SBS-365</v>
      </c>
      <c r="J366" s="186" t="s">
        <v>1688</v>
      </c>
      <c r="K366" s="186">
        <v>0.0</v>
      </c>
      <c r="L366" s="64"/>
      <c r="M366" s="64"/>
      <c r="N366" s="64"/>
      <c r="O366" s="64" t="s">
        <v>1333</v>
      </c>
      <c r="P366" s="64"/>
      <c r="Q366" s="64"/>
      <c r="R366" s="81" t="s">
        <v>1689</v>
      </c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</row>
    <row r="367" ht="15.0" customHeight="1">
      <c r="A367" s="186" t="s">
        <v>1276</v>
      </c>
      <c r="B367" s="186" t="s">
        <v>1225</v>
      </c>
      <c r="C367" s="189" t="s">
        <v>1562</v>
      </c>
      <c r="D367" s="189" t="s">
        <v>2183</v>
      </c>
      <c r="E367" s="186" t="s">
        <v>1607</v>
      </c>
      <c r="F367" s="27" t="s">
        <v>1566</v>
      </c>
      <c r="G367" s="27" t="s">
        <v>1566</v>
      </c>
      <c r="H367" s="186" t="s">
        <v>22</v>
      </c>
      <c r="I367" s="27" t="str">
        <f>IFERROR(__xludf.DUMMYFUNCTION("IF(A367="""","""",
TEXTJOIN(""-"",TRUE,
IFERROR(
  INDEX(FILTER(CFG_CODES!C:C, CFG_CODES!A:A=""CATEGORY"", UPPER(CFG_CODES!B:B)=UPPER(B367))),
  LEFT(UPPER(B367),3)
),
IFERROR(
  INDEX(FILTER(CFG_CODES!C:C, CFG_CODES!A:A=""MATERIAL"", UPPER(CFG_CODES!B:B)"&amp;"=UPPER(C367))),
  LEFT(UPPER(C367),3)
),
TEXT(ROW()-1,""000"")
))"),"P-SBS-366")</f>
        <v>P-SBS-366</v>
      </c>
      <c r="J367" s="186" t="s">
        <v>1688</v>
      </c>
      <c r="K367" s="186">
        <v>0.0</v>
      </c>
      <c r="L367" s="64"/>
      <c r="M367" s="64"/>
      <c r="N367" s="64"/>
      <c r="O367" s="64" t="s">
        <v>1333</v>
      </c>
      <c r="P367" s="64"/>
      <c r="Q367" s="64"/>
      <c r="R367" s="81" t="s">
        <v>1689</v>
      </c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</row>
    <row r="368" ht="15.0" customHeight="1">
      <c r="A368" s="55" t="s">
        <v>1751</v>
      </c>
      <c r="B368" s="186" t="s">
        <v>1225</v>
      </c>
      <c r="C368" s="187" t="s">
        <v>1562</v>
      </c>
      <c r="D368" s="187" t="s">
        <v>2184</v>
      </c>
      <c r="E368" s="186" t="s">
        <v>1607</v>
      </c>
      <c r="F368" s="27" t="s">
        <v>1566</v>
      </c>
      <c r="G368" s="27" t="s">
        <v>1566</v>
      </c>
      <c r="H368" s="186" t="s">
        <v>22</v>
      </c>
      <c r="I368" s="27" t="str">
        <f>IFERROR(__xludf.DUMMYFUNCTION("IF(A368="""","""",
TEXTJOIN(""-"",TRUE,
IFERROR(
  INDEX(FILTER(CFG_CODES!C:C, CFG_CODES!A:A=""CATEGORY"", UPPER(CFG_CODES!B:B)=UPPER(B368))),
  LEFT(UPPER(B368),3)
),
IFERROR(
  INDEX(FILTER(CFG_CODES!C:C, CFG_CODES!A:A=""MATERIAL"", UPPER(CFG_CODES!B:B)"&amp;"=UPPER(C368))),
  LEFT(UPPER(C368),3)
),
TEXT(ROW()-1,""000"")
))"),"P-SBS-367")</f>
        <v>P-SBS-367</v>
      </c>
      <c r="J368" s="186" t="s">
        <v>1688</v>
      </c>
      <c r="K368" s="186">
        <v>0.0</v>
      </c>
      <c r="L368" s="64"/>
      <c r="M368" s="64"/>
      <c r="N368" s="64"/>
      <c r="O368" s="64" t="s">
        <v>1333</v>
      </c>
      <c r="P368" s="64"/>
      <c r="Q368" s="64"/>
      <c r="R368" s="81" t="s">
        <v>1689</v>
      </c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</row>
    <row r="369" ht="15.0" customHeight="1">
      <c r="A369" s="186" t="s">
        <v>1279</v>
      </c>
      <c r="B369" s="186" t="s">
        <v>1225</v>
      </c>
      <c r="C369" s="189" t="s">
        <v>1562</v>
      </c>
      <c r="D369" s="189" t="s">
        <v>1563</v>
      </c>
      <c r="E369" s="186" t="s">
        <v>1607</v>
      </c>
      <c r="F369" s="27" t="s">
        <v>1566</v>
      </c>
      <c r="G369" s="27" t="s">
        <v>1566</v>
      </c>
      <c r="H369" s="186" t="s">
        <v>22</v>
      </c>
      <c r="I369" s="27" t="str">
        <f>IFERROR(__xludf.DUMMYFUNCTION("IF(A369="""","""",
TEXTJOIN(""-"",TRUE,
IFERROR(
  INDEX(FILTER(CFG_CODES!C:C, CFG_CODES!A:A=""CATEGORY"", UPPER(CFG_CODES!B:B)=UPPER(B369))),
  LEFT(UPPER(B369),3)
),
IFERROR(
  INDEX(FILTER(CFG_CODES!C:C, CFG_CODES!A:A=""MATERIAL"", UPPER(CFG_CODES!B:B)"&amp;"=UPPER(C369))),
  LEFT(UPPER(C369),3)
),
TEXT(ROW()-1,""000"")
))"),"P-SBS-368")</f>
        <v>P-SBS-368</v>
      </c>
      <c r="J369" s="186" t="s">
        <v>1688</v>
      </c>
      <c r="K369" s="186">
        <v>0.0</v>
      </c>
      <c r="L369" s="64"/>
      <c r="M369" s="64"/>
      <c r="N369" s="64"/>
      <c r="O369" s="64" t="s">
        <v>1333</v>
      </c>
      <c r="P369" s="64"/>
      <c r="Q369" s="64"/>
      <c r="R369" s="81" t="s">
        <v>1689</v>
      </c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</row>
    <row r="370" ht="15.0" customHeight="1">
      <c r="A370" s="186" t="s">
        <v>1282</v>
      </c>
      <c r="B370" s="186" t="s">
        <v>1225</v>
      </c>
      <c r="C370" s="187" t="s">
        <v>1646</v>
      </c>
      <c r="D370" s="187" t="s">
        <v>1563</v>
      </c>
      <c r="E370" s="186" t="s">
        <v>2161</v>
      </c>
      <c r="F370" s="27" t="s">
        <v>1566</v>
      </c>
      <c r="G370" s="27" t="s">
        <v>1566</v>
      </c>
      <c r="H370" s="186" t="s">
        <v>22</v>
      </c>
      <c r="I370" s="27" t="str">
        <f>IFERROR(__xludf.DUMMYFUNCTION("IF(A370="""","""",
TEXTJOIN(""-"",TRUE,
IFERROR(
  INDEX(FILTER(CFG_CODES!C:C, CFG_CODES!A:A=""CATEGORY"", UPPER(CFG_CODES!B:B)=UPPER(B370))),
  LEFT(UPPER(B370),3)
),
IFERROR(
  INDEX(FILTER(CFG_CODES!C:C, CFG_CODES!A:A=""MATERIAL"", UPPER(CFG_CODES!B:B)"&amp;"=UPPER(C370))),
  LEFT(UPPER(C370),3)
),
TEXT(ROW()-1,""000"")
))"),"P-ART-369")</f>
        <v>P-ART-369</v>
      </c>
      <c r="J370" s="186" t="s">
        <v>1688</v>
      </c>
      <c r="K370" s="186">
        <v>0.0</v>
      </c>
      <c r="L370" s="64"/>
      <c r="M370" s="64"/>
      <c r="N370" s="64"/>
      <c r="O370" s="64" t="s">
        <v>1333</v>
      </c>
      <c r="P370" s="64"/>
      <c r="Q370" s="64"/>
      <c r="R370" s="81" t="s">
        <v>1689</v>
      </c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</row>
    <row r="371" ht="15.0" customHeight="1">
      <c r="A371" s="55" t="s">
        <v>1286</v>
      </c>
      <c r="B371" s="186" t="s">
        <v>1225</v>
      </c>
      <c r="C371" s="189" t="s">
        <v>1896</v>
      </c>
      <c r="D371" s="189" t="s">
        <v>1563</v>
      </c>
      <c r="E371" s="186" t="s">
        <v>1572</v>
      </c>
      <c r="F371" s="27" t="s">
        <v>1566</v>
      </c>
      <c r="G371" s="27" t="s">
        <v>1566</v>
      </c>
      <c r="H371" s="186" t="s">
        <v>22</v>
      </c>
      <c r="I371" s="27" t="str">
        <f>IFERROR(__xludf.DUMMYFUNCTION("IF(A371="""","""",
TEXTJOIN(""-"",TRUE,
IFERROR(
  INDEX(FILTER(CFG_CODES!C:C, CFG_CODES!A:A=""CATEGORY"", UPPER(CFG_CODES!B:B)=UPPER(B371))),
  LEFT(UPPER(B371),3)
),
IFERROR(
  INDEX(FILTER(CFG_CODES!C:C, CFG_CODES!A:A=""MATERIAL"", UPPER(CFG_CODES!B:B)"&amp;"=UPPER(C371))),
  LEFT(UPPER(C371),3)
),
TEXT(ROW()-1,""000"")
))"),"P-KRA-370")</f>
        <v>P-KRA-370</v>
      </c>
      <c r="J371" s="186" t="s">
        <v>1688</v>
      </c>
      <c r="K371" s="186">
        <v>0.0</v>
      </c>
      <c r="L371" s="64"/>
      <c r="M371" s="64"/>
      <c r="N371" s="64"/>
      <c r="O371" s="64" t="s">
        <v>1333</v>
      </c>
      <c r="P371" s="64"/>
      <c r="Q371" s="64"/>
      <c r="R371" s="81" t="s">
        <v>1689</v>
      </c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</row>
    <row r="372" ht="15.0" customHeight="1">
      <c r="A372" s="186" t="s">
        <v>1292</v>
      </c>
      <c r="B372" s="186" t="s">
        <v>1225</v>
      </c>
      <c r="C372" s="187" t="s">
        <v>1653</v>
      </c>
      <c r="D372" s="187" t="s">
        <v>1573</v>
      </c>
      <c r="E372" s="186" t="s">
        <v>2131</v>
      </c>
      <c r="F372" s="27" t="s">
        <v>1566</v>
      </c>
      <c r="G372" s="27" t="s">
        <v>1566</v>
      </c>
      <c r="H372" s="186" t="s">
        <v>22</v>
      </c>
      <c r="I372" s="27" t="str">
        <f>IFERROR(__xludf.DUMMYFUNCTION("IF(A372="""","""",
TEXTJOIN(""-"",TRUE,
IFERROR(
  INDEX(FILTER(CFG_CODES!C:C, CFG_CODES!A:A=""CATEGORY"", UPPER(CFG_CODES!B:B)=UPPER(B372))),
  LEFT(UPPER(B372),3)
),
IFERROR(
  INDEX(FILTER(CFG_CODES!C:C, CFG_CODES!A:A=""MATERIAL"", UPPER(CFG_CODES!B:B)"&amp;"=UPPER(C372))),
  LEFT(UPPER(C372),3)
),
TEXT(ROW()-1,""000"")
))"),"P-DUP-371")</f>
        <v>P-DUP-371</v>
      </c>
      <c r="J372" s="186" t="s">
        <v>1688</v>
      </c>
      <c r="K372" s="186">
        <v>0.0</v>
      </c>
      <c r="L372" s="64"/>
      <c r="M372" s="64"/>
      <c r="N372" s="64"/>
      <c r="O372" s="64" t="s">
        <v>1333</v>
      </c>
      <c r="P372" s="64"/>
      <c r="Q372" s="64"/>
      <c r="R372" s="81" t="s">
        <v>1689</v>
      </c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</row>
    <row r="373" ht="15.0" customHeight="1">
      <c r="A373" s="186" t="s">
        <v>1296</v>
      </c>
      <c r="B373" s="186" t="s">
        <v>1674</v>
      </c>
      <c r="C373" s="189" t="s">
        <v>1691</v>
      </c>
      <c r="D373" s="135" t="s">
        <v>1566</v>
      </c>
      <c r="E373" s="27" t="s">
        <v>1566</v>
      </c>
      <c r="F373" s="27" t="s">
        <v>1566</v>
      </c>
      <c r="G373" s="27" t="s">
        <v>1566</v>
      </c>
      <c r="H373" s="186" t="s">
        <v>290</v>
      </c>
      <c r="I373" s="27" t="str">
        <f>IFERROR(__xludf.DUMMYFUNCTION("IF(A373="""","""",
TEXTJOIN(""-"",TRUE,
IFERROR(
  INDEX(FILTER(CFG_CODES!C:C, CFG_CODES!A:A=""CATEGORY"", UPPER(CFG_CODES!B:B)=UPPER(B373))),
  LEFT(UPPER(B373),3)
),
IFERROR(
  INDEX(FILTER(CFG_CODES!C:C, CFG_CODES!A:A=""MATERIAL"", UPPER(CFG_CODES!B:B)"&amp;"=UPPER(C373))),
  LEFT(UPPER(C373),3)
),
TEXT(ROW()-1,""000"")
))"),"I-PAN-372")</f>
        <v>I-PAN-372</v>
      </c>
      <c r="J373" s="186" t="s">
        <v>1688</v>
      </c>
      <c r="K373" s="186">
        <v>0.0</v>
      </c>
      <c r="L373" s="64"/>
      <c r="M373" s="64"/>
      <c r="N373" s="64"/>
      <c r="O373" s="64" t="s">
        <v>1333</v>
      </c>
      <c r="P373" s="64"/>
      <c r="Q373" s="64"/>
      <c r="R373" s="81" t="s">
        <v>1689</v>
      </c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</row>
    <row r="374" ht="15.0" customHeight="1">
      <c r="A374" s="2" t="s">
        <v>2020</v>
      </c>
      <c r="B374" s="186" t="s">
        <v>1225</v>
      </c>
      <c r="C374" s="187" t="s">
        <v>1653</v>
      </c>
      <c r="D374" s="187" t="s">
        <v>1584</v>
      </c>
      <c r="E374" s="186" t="s">
        <v>2131</v>
      </c>
      <c r="F374" s="27" t="s">
        <v>1566</v>
      </c>
      <c r="G374" s="39" t="s">
        <v>2132</v>
      </c>
      <c r="H374" s="186" t="s">
        <v>22</v>
      </c>
      <c r="I374" s="27" t="str">
        <f>IFERROR(__xludf.DUMMYFUNCTION("IF(A374="""","""",
TEXTJOIN(""-"",TRUE,
IFERROR(
  INDEX(FILTER(CFG_CODES!C:C, CFG_CODES!A:A=""CATEGORY"", UPPER(CFG_CODES!B:B)=UPPER(B374))),
  LEFT(UPPER(B374),3)
),
IFERROR(
  INDEX(FILTER(CFG_CODES!C:C, CFG_CODES!A:A=""MATERIAL"", UPPER(CFG_CODES!B:B)"&amp;"=UPPER(C374))),
  LEFT(UPPER(C374),3)
),
TEXT(ROW()-1,""000"")
))"),"P-DUP-373")</f>
        <v>P-DUP-373</v>
      </c>
      <c r="J374" s="186" t="s">
        <v>1688</v>
      </c>
      <c r="K374" s="186">
        <v>0.0</v>
      </c>
      <c r="L374" s="64"/>
      <c r="M374" s="64"/>
      <c r="N374" s="64"/>
      <c r="O374" s="64" t="s">
        <v>1333</v>
      </c>
      <c r="P374" s="64"/>
      <c r="Q374" s="64"/>
      <c r="R374" s="81" t="s">
        <v>1689</v>
      </c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</row>
    <row r="375" ht="15.0" customHeight="1">
      <c r="A375" s="2" t="s">
        <v>416</v>
      </c>
      <c r="B375" s="186" t="s">
        <v>1225</v>
      </c>
      <c r="C375" s="189" t="s">
        <v>1646</v>
      </c>
      <c r="D375" s="189" t="s">
        <v>1563</v>
      </c>
      <c r="E375" s="186" t="s">
        <v>1648</v>
      </c>
      <c r="F375" s="27" t="s">
        <v>1566</v>
      </c>
      <c r="G375" s="27" t="s">
        <v>1566</v>
      </c>
      <c r="H375" s="186" t="s">
        <v>22</v>
      </c>
      <c r="I375" s="27" t="str">
        <f>IFERROR(__xludf.DUMMYFUNCTION("IF(A375="""","""",
TEXTJOIN(""-"",TRUE,
IFERROR(
  INDEX(FILTER(CFG_CODES!C:C, CFG_CODES!A:A=""CATEGORY"", UPPER(CFG_CODES!B:B)=UPPER(B375))),
  LEFT(UPPER(B375),3)
),
IFERROR(
  INDEX(FILTER(CFG_CODES!C:C, CFG_CODES!A:A=""MATERIAL"", UPPER(CFG_CODES!B:B)"&amp;"=UPPER(C375))),
  LEFT(UPPER(C375),3)
),
TEXT(ROW()-1,""000"")
))"),"P-ART-374")</f>
        <v>P-ART-374</v>
      </c>
      <c r="J375" s="186" t="s">
        <v>1688</v>
      </c>
      <c r="K375" s="186">
        <v>0.0</v>
      </c>
      <c r="L375" s="64"/>
      <c r="M375" s="64"/>
      <c r="N375" s="64"/>
      <c r="O375" s="64" t="s">
        <v>1333</v>
      </c>
      <c r="P375" s="64"/>
      <c r="Q375" s="64"/>
      <c r="R375" s="81" t="s">
        <v>1689</v>
      </c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</row>
    <row r="376" ht="15.0" customHeight="1">
      <c r="A376" s="186" t="s">
        <v>1753</v>
      </c>
      <c r="B376" s="186" t="s">
        <v>1225</v>
      </c>
      <c r="C376" s="187" t="s">
        <v>1562</v>
      </c>
      <c r="D376" s="187" t="s">
        <v>1573</v>
      </c>
      <c r="E376" s="186" t="s">
        <v>2172</v>
      </c>
      <c r="F376" s="27" t="s">
        <v>1566</v>
      </c>
      <c r="G376" s="27" t="s">
        <v>1566</v>
      </c>
      <c r="H376" s="186" t="s">
        <v>22</v>
      </c>
      <c r="I376" s="27" t="str">
        <f>IFERROR(__xludf.DUMMYFUNCTION("IF(A376="""","""",
TEXTJOIN(""-"",TRUE,
IFERROR(
  INDEX(FILTER(CFG_CODES!C:C, CFG_CODES!A:A=""CATEGORY"", UPPER(CFG_CODES!B:B)=UPPER(B376))),
  LEFT(UPPER(B376),3)
),
IFERROR(
  INDEX(FILTER(CFG_CODES!C:C, CFG_CODES!A:A=""MATERIAL"", UPPER(CFG_CODES!B:B)"&amp;"=UPPER(C376))),
  LEFT(UPPER(C376),3)
),
TEXT(ROW()-1,""000"")
))"),"P-SBS-375")</f>
        <v>P-SBS-375</v>
      </c>
      <c r="J376" s="186" t="s">
        <v>1688</v>
      </c>
      <c r="K376" s="186">
        <v>0.0</v>
      </c>
      <c r="L376" s="64"/>
      <c r="M376" s="64"/>
      <c r="N376" s="64"/>
      <c r="O376" s="64" t="s">
        <v>1333</v>
      </c>
      <c r="P376" s="64"/>
      <c r="Q376" s="64"/>
      <c r="R376" s="81" t="s">
        <v>1689</v>
      </c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</row>
    <row r="377" ht="15.0" customHeight="1">
      <c r="A377" s="2" t="s">
        <v>1755</v>
      </c>
      <c r="B377" s="186" t="s">
        <v>1225</v>
      </c>
      <c r="C377" s="189" t="s">
        <v>1562</v>
      </c>
      <c r="D377" s="189" t="s">
        <v>1600</v>
      </c>
      <c r="E377" s="186" t="s">
        <v>1586</v>
      </c>
      <c r="F377" s="27" t="s">
        <v>1566</v>
      </c>
      <c r="G377" s="27" t="s">
        <v>1566</v>
      </c>
      <c r="H377" s="186" t="s">
        <v>22</v>
      </c>
      <c r="I377" s="27" t="str">
        <f>IFERROR(__xludf.DUMMYFUNCTION("IF(A377="""","""",
TEXTJOIN(""-"",TRUE,
IFERROR(
  INDEX(FILTER(CFG_CODES!C:C, CFG_CODES!A:A=""CATEGORY"", UPPER(CFG_CODES!B:B)=UPPER(B377))),
  LEFT(UPPER(B377),3)
),
IFERROR(
  INDEX(FILTER(CFG_CODES!C:C, CFG_CODES!A:A=""MATERIAL"", UPPER(CFG_CODES!B:B)"&amp;"=UPPER(C377))),
  LEFT(UPPER(C377),3)
),
TEXT(ROW()-1,""000"")
))"),"P-SBS-376")</f>
        <v>P-SBS-376</v>
      </c>
      <c r="J377" s="186" t="s">
        <v>1688</v>
      </c>
      <c r="K377" s="186">
        <v>0.0</v>
      </c>
      <c r="L377" s="64"/>
      <c r="M377" s="64"/>
      <c r="N377" s="64"/>
      <c r="O377" s="64" t="s">
        <v>1333</v>
      </c>
      <c r="P377" s="64"/>
      <c r="Q377" s="64"/>
      <c r="R377" s="81" t="s">
        <v>1689</v>
      </c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</row>
    <row r="378" ht="15.0" customHeight="1">
      <c r="A378" s="186" t="s">
        <v>1300</v>
      </c>
      <c r="B378" s="186" t="s">
        <v>1225</v>
      </c>
      <c r="C378" s="187" t="s">
        <v>1653</v>
      </c>
      <c r="D378" s="187" t="s">
        <v>1656</v>
      </c>
      <c r="E378" s="186" t="s">
        <v>2187</v>
      </c>
      <c r="F378" s="27" t="s">
        <v>1566</v>
      </c>
      <c r="G378" s="186" t="s">
        <v>1654</v>
      </c>
      <c r="H378" s="186" t="s">
        <v>22</v>
      </c>
      <c r="I378" s="27" t="str">
        <f>IFERROR(__xludf.DUMMYFUNCTION("IF(A378="""","""",
TEXTJOIN(""-"",TRUE,
IFERROR(
  INDEX(FILTER(CFG_CODES!C:C, CFG_CODES!A:A=""CATEGORY"", UPPER(CFG_CODES!B:B)=UPPER(B378))),
  LEFT(UPPER(B378),3)
),
IFERROR(
  INDEX(FILTER(CFG_CODES!C:C, CFG_CODES!A:A=""MATERIAL"", UPPER(CFG_CODES!B:B)"&amp;"=UPPER(C378))),
  LEFT(UPPER(C378),3)
),
TEXT(ROW()-1,""000"")
))"),"P-DUP-377")</f>
        <v>P-DUP-377</v>
      </c>
      <c r="J378" s="186" t="s">
        <v>1688</v>
      </c>
      <c r="K378" s="186">
        <v>0.0</v>
      </c>
      <c r="L378" s="64"/>
      <c r="M378" s="64"/>
      <c r="N378" s="64"/>
      <c r="O378" s="64" t="s">
        <v>1333</v>
      </c>
      <c r="P378" s="64"/>
      <c r="Q378" s="64"/>
      <c r="R378" s="81" t="s">
        <v>1689</v>
      </c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</row>
    <row r="379" ht="15.0" customHeight="1">
      <c r="A379" s="186" t="s">
        <v>1303</v>
      </c>
      <c r="B379" s="186" t="s">
        <v>1225</v>
      </c>
      <c r="C379" s="189" t="s">
        <v>1653</v>
      </c>
      <c r="D379" s="189" t="s">
        <v>1563</v>
      </c>
      <c r="E379" s="186" t="s">
        <v>2187</v>
      </c>
      <c r="F379" s="27" t="s">
        <v>1566</v>
      </c>
      <c r="G379" s="186" t="s">
        <v>1654</v>
      </c>
      <c r="H379" s="186" t="s">
        <v>22</v>
      </c>
      <c r="I379" s="27" t="str">
        <f>IFERROR(__xludf.DUMMYFUNCTION("IF(A379="""","""",
TEXTJOIN(""-"",TRUE,
IFERROR(
  INDEX(FILTER(CFG_CODES!C:C, CFG_CODES!A:A=""CATEGORY"", UPPER(CFG_CODES!B:B)=UPPER(B379))),
  LEFT(UPPER(B379),3)
),
IFERROR(
  INDEX(FILTER(CFG_CODES!C:C, CFG_CODES!A:A=""MATERIAL"", UPPER(CFG_CODES!B:B)"&amp;"=UPPER(C379))),
  LEFT(UPPER(C379),3)
),
TEXT(ROW()-1,""000"")
))"),"P-DUP-378")</f>
        <v>P-DUP-378</v>
      </c>
      <c r="J379" s="186" t="s">
        <v>1688</v>
      </c>
      <c r="K379" s="186">
        <v>0.0</v>
      </c>
      <c r="L379" s="64"/>
      <c r="M379" s="64"/>
      <c r="N379" s="64"/>
      <c r="O379" s="64" t="s">
        <v>1333</v>
      </c>
      <c r="P379" s="64"/>
      <c r="Q379" s="64"/>
      <c r="R379" s="81" t="s">
        <v>1689</v>
      </c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</row>
    <row r="380" ht="15.0" customHeight="1">
      <c r="A380" s="186" t="s">
        <v>2022</v>
      </c>
      <c r="B380" s="186" t="s">
        <v>1225</v>
      </c>
      <c r="C380" s="187" t="s">
        <v>1653</v>
      </c>
      <c r="D380" s="187" t="s">
        <v>1600</v>
      </c>
      <c r="E380" s="186" t="s">
        <v>2187</v>
      </c>
      <c r="F380" s="27" t="s">
        <v>1566</v>
      </c>
      <c r="G380" s="186" t="s">
        <v>1654</v>
      </c>
      <c r="H380" s="186" t="s">
        <v>22</v>
      </c>
      <c r="I380" s="27" t="str">
        <f>IFERROR(__xludf.DUMMYFUNCTION("IF(A380="""","""",
TEXTJOIN(""-"",TRUE,
IFERROR(
  INDEX(FILTER(CFG_CODES!C:C, CFG_CODES!A:A=""CATEGORY"", UPPER(CFG_CODES!B:B)=UPPER(B380))),
  LEFT(UPPER(B380),3)
),
IFERROR(
  INDEX(FILTER(CFG_CODES!C:C, CFG_CODES!A:A=""MATERIAL"", UPPER(CFG_CODES!B:B)"&amp;"=UPPER(C380))),
  LEFT(UPPER(C380),3)
),
TEXT(ROW()-1,""000"")
))"),"P-DUP-379")</f>
        <v>P-DUP-379</v>
      </c>
      <c r="J380" s="186" t="s">
        <v>1688</v>
      </c>
      <c r="K380" s="186">
        <v>0.0</v>
      </c>
      <c r="L380" s="64"/>
      <c r="M380" s="64"/>
      <c r="N380" s="64"/>
      <c r="O380" s="64" t="s">
        <v>1333</v>
      </c>
      <c r="P380" s="64"/>
      <c r="Q380" s="64"/>
      <c r="R380" s="81" t="s">
        <v>1689</v>
      </c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</row>
    <row r="381" ht="15.0" customHeight="1">
      <c r="A381" s="186" t="s">
        <v>1307</v>
      </c>
      <c r="B381" s="186" t="s">
        <v>1225</v>
      </c>
      <c r="C381" s="189" t="s">
        <v>1653</v>
      </c>
      <c r="D381" s="189" t="s">
        <v>1591</v>
      </c>
      <c r="E381" s="186" t="s">
        <v>1572</v>
      </c>
      <c r="F381" s="27" t="s">
        <v>1566</v>
      </c>
      <c r="G381" s="186" t="s">
        <v>1654</v>
      </c>
      <c r="H381" s="186" t="s">
        <v>22</v>
      </c>
      <c r="I381" s="27" t="str">
        <f>IFERROR(__xludf.DUMMYFUNCTION("IF(A381="""","""",
TEXTJOIN(""-"",TRUE,
IFERROR(
  INDEX(FILTER(CFG_CODES!C:C, CFG_CODES!A:A=""CATEGORY"", UPPER(CFG_CODES!B:B)=UPPER(B381))),
  LEFT(UPPER(B381),3)
),
IFERROR(
  INDEX(FILTER(CFG_CODES!C:C, CFG_CODES!A:A=""MATERIAL"", UPPER(CFG_CODES!B:B)"&amp;"=UPPER(C381))),
  LEFT(UPPER(C381),3)
),
TEXT(ROW()-1,""000"")
))"),"P-DUP-380")</f>
        <v>P-DUP-380</v>
      </c>
      <c r="J381" s="186" t="s">
        <v>1688</v>
      </c>
      <c r="K381" s="186">
        <v>0.0</v>
      </c>
      <c r="L381" s="64"/>
      <c r="M381" s="64"/>
      <c r="N381" s="64"/>
      <c r="O381" s="64" t="s">
        <v>1333</v>
      </c>
      <c r="P381" s="64"/>
      <c r="Q381" s="64"/>
      <c r="R381" s="81" t="s">
        <v>1689</v>
      </c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</row>
    <row r="382" ht="15.0" customHeight="1">
      <c r="A382" s="186" t="s">
        <v>539</v>
      </c>
      <c r="B382" s="186" t="s">
        <v>1225</v>
      </c>
      <c r="C382" s="187" t="s">
        <v>1653</v>
      </c>
      <c r="D382" s="187" t="s">
        <v>1600</v>
      </c>
      <c r="E382" s="186" t="s">
        <v>1572</v>
      </c>
      <c r="F382" s="27" t="s">
        <v>1566</v>
      </c>
      <c r="G382" s="186" t="s">
        <v>1654</v>
      </c>
      <c r="H382" s="186" t="s">
        <v>22</v>
      </c>
      <c r="I382" s="27" t="str">
        <f>IFERROR(__xludf.DUMMYFUNCTION("IF(A382="""","""",
TEXTJOIN(""-"",TRUE,
IFERROR(
  INDEX(FILTER(CFG_CODES!C:C, CFG_CODES!A:A=""CATEGORY"", UPPER(CFG_CODES!B:B)=UPPER(B382))),
  LEFT(UPPER(B382),3)
),
IFERROR(
  INDEX(FILTER(CFG_CODES!C:C, CFG_CODES!A:A=""MATERIAL"", UPPER(CFG_CODES!B:B)"&amp;"=UPPER(C382))),
  LEFT(UPPER(C382),3)
),
TEXT(ROW()-1,""000"")
))"),"P-DUP-381")</f>
        <v>P-DUP-381</v>
      </c>
      <c r="J382" s="186" t="s">
        <v>1688</v>
      </c>
      <c r="K382" s="186">
        <v>0.0</v>
      </c>
      <c r="L382" s="64"/>
      <c r="M382" s="64"/>
      <c r="N382" s="64"/>
      <c r="O382" s="64" t="s">
        <v>1333</v>
      </c>
      <c r="P382" s="64"/>
      <c r="Q382" s="64"/>
      <c r="R382" s="81" t="s">
        <v>1689</v>
      </c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</row>
    <row r="383" ht="15.0" customHeight="1">
      <c r="A383" s="186" t="s">
        <v>1311</v>
      </c>
      <c r="B383" s="186" t="s">
        <v>1225</v>
      </c>
      <c r="C383" s="189" t="s">
        <v>1896</v>
      </c>
      <c r="D383" s="189" t="s">
        <v>2188</v>
      </c>
      <c r="E383" s="186" t="s">
        <v>1572</v>
      </c>
      <c r="F383" s="27" t="s">
        <v>1566</v>
      </c>
      <c r="G383" s="186" t="s">
        <v>1654</v>
      </c>
      <c r="H383" s="186" t="s">
        <v>22</v>
      </c>
      <c r="I383" s="27" t="str">
        <f>IFERROR(__xludf.DUMMYFUNCTION("IF(A383="""","""",
TEXTJOIN(""-"",TRUE,
IFERROR(
  INDEX(FILTER(CFG_CODES!C:C, CFG_CODES!A:A=""CATEGORY"", UPPER(CFG_CODES!B:B)=UPPER(B383))),
  LEFT(UPPER(B383),3)
),
IFERROR(
  INDEX(FILTER(CFG_CODES!C:C, CFG_CODES!A:A=""MATERIAL"", UPPER(CFG_CODES!B:B)"&amp;"=UPPER(C383))),
  LEFT(UPPER(C383),3)
),
TEXT(ROW()-1,""000"")
))"),"P-KRA-382")</f>
        <v>P-KRA-382</v>
      </c>
      <c r="J383" s="186" t="s">
        <v>1688</v>
      </c>
      <c r="K383" s="186">
        <v>0.0</v>
      </c>
      <c r="L383" s="64"/>
      <c r="M383" s="64"/>
      <c r="N383" s="64"/>
      <c r="O383" s="64" t="s">
        <v>1333</v>
      </c>
      <c r="P383" s="64"/>
      <c r="Q383" s="64"/>
      <c r="R383" s="81" t="s">
        <v>1689</v>
      </c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</row>
    <row r="384" ht="15.0" customHeight="1">
      <c r="A384" s="186" t="s">
        <v>2024</v>
      </c>
      <c r="B384" s="186" t="s">
        <v>1225</v>
      </c>
      <c r="C384" s="187" t="s">
        <v>1896</v>
      </c>
      <c r="D384" s="187" t="s">
        <v>2189</v>
      </c>
      <c r="E384" s="186" t="s">
        <v>1572</v>
      </c>
      <c r="F384" s="27" t="s">
        <v>1566</v>
      </c>
      <c r="G384" s="186" t="s">
        <v>1654</v>
      </c>
      <c r="H384" s="186" t="s">
        <v>22</v>
      </c>
      <c r="I384" s="27" t="str">
        <f>IFERROR(__xludf.DUMMYFUNCTION("IF(A384="""","""",
TEXTJOIN(""-"",TRUE,
IFERROR(
  INDEX(FILTER(CFG_CODES!C:C, CFG_CODES!A:A=""CATEGORY"", UPPER(CFG_CODES!B:B)=UPPER(B384))),
  LEFT(UPPER(B384),3)
),
IFERROR(
  INDEX(FILTER(CFG_CODES!C:C, CFG_CODES!A:A=""MATERIAL"", UPPER(CFG_CODES!B:B)"&amp;"=UPPER(C384))),
  LEFT(UPPER(C384),3)
),
TEXT(ROW()-1,""000"")
))"),"P-KRA-383")</f>
        <v>P-KRA-383</v>
      </c>
      <c r="J384" s="186" t="s">
        <v>1688</v>
      </c>
      <c r="K384" s="186">
        <v>0.0</v>
      </c>
      <c r="L384" s="64"/>
      <c r="M384" s="64"/>
      <c r="N384" s="64"/>
      <c r="O384" s="64" t="s">
        <v>1333</v>
      </c>
      <c r="P384" s="64"/>
      <c r="Q384" s="64"/>
      <c r="R384" s="81" t="s">
        <v>1689</v>
      </c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</row>
    <row r="385" ht="15.0" customHeight="1">
      <c r="A385" s="2" t="s">
        <v>1315</v>
      </c>
      <c r="B385" s="186" t="s">
        <v>1225</v>
      </c>
      <c r="C385" s="189" t="s">
        <v>1562</v>
      </c>
      <c r="D385" s="189" t="s">
        <v>1573</v>
      </c>
      <c r="E385" s="186" t="s">
        <v>1586</v>
      </c>
      <c r="F385" s="27" t="s">
        <v>1566</v>
      </c>
      <c r="G385" s="186" t="s">
        <v>1571</v>
      </c>
      <c r="H385" s="186" t="s">
        <v>22</v>
      </c>
      <c r="I385" s="27" t="str">
        <f>IFERROR(__xludf.DUMMYFUNCTION("IF(A385="""","""",
TEXTJOIN(""-"",TRUE,
IFERROR(
  INDEX(FILTER(CFG_CODES!C:C, CFG_CODES!A:A=""CATEGORY"", UPPER(CFG_CODES!B:B)=UPPER(B385))),
  LEFT(UPPER(B385),3)
),
IFERROR(
  INDEX(FILTER(CFG_CODES!C:C, CFG_CODES!A:A=""MATERIAL"", UPPER(CFG_CODES!B:B)"&amp;"=UPPER(C385))),
  LEFT(UPPER(C385),3)
),
TEXT(ROW()-1,""000"")
))"),"P-SBS-384")</f>
        <v>P-SBS-384</v>
      </c>
      <c r="J385" s="186" t="s">
        <v>1688</v>
      </c>
      <c r="K385" s="186">
        <v>0.0</v>
      </c>
      <c r="L385" s="64"/>
      <c r="M385" s="64"/>
      <c r="N385" s="64"/>
      <c r="O385" s="64" t="s">
        <v>1333</v>
      </c>
      <c r="P385" s="64"/>
      <c r="Q385" s="64"/>
      <c r="R385" s="81" t="s">
        <v>1689</v>
      </c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</row>
    <row r="386" ht="15.0" customHeight="1">
      <c r="A386" s="55" t="s">
        <v>71</v>
      </c>
      <c r="B386" s="186" t="s">
        <v>1225</v>
      </c>
      <c r="C386" s="187" t="s">
        <v>1562</v>
      </c>
      <c r="D386" s="187" t="s">
        <v>1591</v>
      </c>
      <c r="E386" s="186" t="s">
        <v>2172</v>
      </c>
      <c r="F386" s="27" t="s">
        <v>1566</v>
      </c>
      <c r="G386" s="186" t="s">
        <v>1571</v>
      </c>
      <c r="H386" s="186" t="s">
        <v>22</v>
      </c>
      <c r="I386" s="27" t="str">
        <f>IFERROR(__xludf.DUMMYFUNCTION("IF(A386="""","""",
TEXTJOIN(""-"",TRUE,
IFERROR(
  INDEX(FILTER(CFG_CODES!C:C, CFG_CODES!A:A=""CATEGORY"", UPPER(CFG_CODES!B:B)=UPPER(B386))),
  LEFT(UPPER(B386),3)
),
IFERROR(
  INDEX(FILTER(CFG_CODES!C:C, CFG_CODES!A:A=""MATERIAL"", UPPER(CFG_CODES!B:B)"&amp;"=UPPER(C386))),
  LEFT(UPPER(C386),3)
),
TEXT(ROW()-1,""000"")
))"),"P-SBS-385")</f>
        <v>P-SBS-385</v>
      </c>
      <c r="J386" s="186" t="s">
        <v>1688</v>
      </c>
      <c r="K386" s="186">
        <v>0.0</v>
      </c>
      <c r="L386" s="64"/>
      <c r="M386" s="64"/>
      <c r="N386" s="64"/>
      <c r="O386" s="64" t="s">
        <v>1333</v>
      </c>
      <c r="P386" s="64"/>
      <c r="Q386" s="64"/>
      <c r="R386" s="81" t="s">
        <v>1689</v>
      </c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</row>
    <row r="387" ht="15.0" customHeight="1">
      <c r="A387" s="186" t="s">
        <v>1472</v>
      </c>
      <c r="B387" s="186" t="s">
        <v>1674</v>
      </c>
      <c r="C387" s="189" t="s">
        <v>1691</v>
      </c>
      <c r="D387" s="189" t="s">
        <v>1590</v>
      </c>
      <c r="E387" s="186" t="s">
        <v>1590</v>
      </c>
      <c r="F387" s="186" t="s">
        <v>2190</v>
      </c>
      <c r="G387" s="27" t="s">
        <v>1566</v>
      </c>
      <c r="H387" s="186" t="s">
        <v>290</v>
      </c>
      <c r="I387" s="27" t="str">
        <f>IFERROR(__xludf.DUMMYFUNCTION("IF(A387="""","""",
TEXTJOIN(""-"",TRUE,
IFERROR(
  INDEX(FILTER(CFG_CODES!C:C, CFG_CODES!A:A=""CATEGORY"", UPPER(CFG_CODES!B:B)=UPPER(B387))),
  LEFT(UPPER(B387),3)
),
IFERROR(
  INDEX(FILTER(CFG_CODES!C:C, CFG_CODES!A:A=""MATERIAL"", UPPER(CFG_CODES!B:B)"&amp;"=UPPER(C387))),
  LEFT(UPPER(C387),3)
),
TEXT(ROW()-1,""000"")
))"),"I-PAN-386")</f>
        <v>I-PAN-386</v>
      </c>
      <c r="J387" s="186" t="s">
        <v>1688</v>
      </c>
      <c r="K387" s="186">
        <v>0.0</v>
      </c>
      <c r="L387" s="64"/>
      <c r="M387" s="64"/>
      <c r="N387" s="64"/>
      <c r="O387" s="64" t="s">
        <v>1333</v>
      </c>
      <c r="P387" s="64"/>
      <c r="Q387" s="64"/>
      <c r="R387" s="81" t="s">
        <v>1689</v>
      </c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</row>
    <row r="388" ht="15.0" customHeight="1">
      <c r="A388" s="186" t="s">
        <v>1463</v>
      </c>
      <c r="B388" s="186" t="s">
        <v>1674</v>
      </c>
      <c r="C388" s="187" t="s">
        <v>1691</v>
      </c>
      <c r="D388" s="187" t="s">
        <v>1590</v>
      </c>
      <c r="E388" s="186" t="s">
        <v>1590</v>
      </c>
      <c r="F388" s="186" t="s">
        <v>2191</v>
      </c>
      <c r="G388" s="27" t="s">
        <v>1566</v>
      </c>
      <c r="H388" s="186" t="s">
        <v>290</v>
      </c>
      <c r="I388" s="27" t="str">
        <f>IFERROR(__xludf.DUMMYFUNCTION("IF(A388="""","""",
TEXTJOIN(""-"",TRUE,
IFERROR(
  INDEX(FILTER(CFG_CODES!C:C, CFG_CODES!A:A=""CATEGORY"", UPPER(CFG_CODES!B:B)=UPPER(B388))),
  LEFT(UPPER(B388),3)
),
IFERROR(
  INDEX(FILTER(CFG_CODES!C:C, CFG_CODES!A:A=""MATERIAL"", UPPER(CFG_CODES!B:B)"&amp;"=UPPER(C388))),
  LEFT(UPPER(C388),3)
),
TEXT(ROW()-1,""000"")
))"),"I-PAN-387")</f>
        <v>I-PAN-387</v>
      </c>
      <c r="J388" s="186" t="s">
        <v>1688</v>
      </c>
      <c r="K388" s="186">
        <v>0.0</v>
      </c>
      <c r="L388" s="64"/>
      <c r="M388" s="64"/>
      <c r="N388" s="64"/>
      <c r="O388" s="64" t="s">
        <v>1333</v>
      </c>
      <c r="P388" s="64"/>
      <c r="Q388" s="64"/>
      <c r="R388" s="81" t="s">
        <v>1689</v>
      </c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</row>
    <row r="389" ht="15.0" customHeight="1">
      <c r="A389" s="186" t="s">
        <v>1449</v>
      </c>
      <c r="B389" s="186" t="s">
        <v>1674</v>
      </c>
      <c r="C389" s="189" t="s">
        <v>1691</v>
      </c>
      <c r="D389" s="189" t="s">
        <v>1590</v>
      </c>
      <c r="E389" s="186" t="s">
        <v>1590</v>
      </c>
      <c r="F389" s="186" t="s">
        <v>2192</v>
      </c>
      <c r="G389" s="27" t="s">
        <v>1566</v>
      </c>
      <c r="H389" s="186" t="s">
        <v>290</v>
      </c>
      <c r="I389" s="27" t="str">
        <f>IFERROR(__xludf.DUMMYFUNCTION("IF(A389="""","""",
TEXTJOIN(""-"",TRUE,
IFERROR(
  INDEX(FILTER(CFG_CODES!C:C, CFG_CODES!A:A=""CATEGORY"", UPPER(CFG_CODES!B:B)=UPPER(B389))),
  LEFT(UPPER(B389),3)
),
IFERROR(
  INDEX(FILTER(CFG_CODES!C:C, CFG_CODES!A:A=""MATERIAL"", UPPER(CFG_CODES!B:B)"&amp;"=UPPER(C389))),
  LEFT(UPPER(C389),3)
),
TEXT(ROW()-1,""000"")
))"),"I-PAN-388")</f>
        <v>I-PAN-388</v>
      </c>
      <c r="J389" s="186" t="s">
        <v>1688</v>
      </c>
      <c r="K389" s="186">
        <v>0.0</v>
      </c>
      <c r="L389" s="64"/>
      <c r="M389" s="64"/>
      <c r="N389" s="64"/>
      <c r="O389" s="64" t="s">
        <v>1333</v>
      </c>
      <c r="P389" s="64"/>
      <c r="Q389" s="64"/>
      <c r="R389" s="81" t="s">
        <v>1689</v>
      </c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</row>
    <row r="390" ht="15.0" customHeight="1">
      <c r="A390" s="186" t="s">
        <v>1435</v>
      </c>
      <c r="B390" s="186" t="s">
        <v>1674</v>
      </c>
      <c r="C390" s="187" t="s">
        <v>1691</v>
      </c>
      <c r="D390" s="187" t="s">
        <v>1590</v>
      </c>
      <c r="E390" s="186" t="s">
        <v>1590</v>
      </c>
      <c r="F390" s="186" t="s">
        <v>2194</v>
      </c>
      <c r="G390" s="27" t="s">
        <v>1566</v>
      </c>
      <c r="H390" s="186" t="s">
        <v>290</v>
      </c>
      <c r="I390" s="27" t="str">
        <f>IFERROR(__xludf.DUMMYFUNCTION("IF(A390="""","""",
TEXTJOIN(""-"",TRUE,
IFERROR(
  INDEX(FILTER(CFG_CODES!C:C, CFG_CODES!A:A=""CATEGORY"", UPPER(CFG_CODES!B:B)=UPPER(B390))),
  LEFT(UPPER(B390),3)
),
IFERROR(
  INDEX(FILTER(CFG_CODES!C:C, CFG_CODES!A:A=""MATERIAL"", UPPER(CFG_CODES!B:B)"&amp;"=UPPER(C390))),
  LEFT(UPPER(C390),3)
),
TEXT(ROW()-1,""000"")
))"),"I-PAN-389")</f>
        <v>I-PAN-389</v>
      </c>
      <c r="J390" s="186" t="s">
        <v>1688</v>
      </c>
      <c r="K390" s="186">
        <v>0.0</v>
      </c>
      <c r="L390" s="64"/>
      <c r="M390" s="64"/>
      <c r="N390" s="64"/>
      <c r="O390" s="64" t="s">
        <v>1333</v>
      </c>
      <c r="P390" s="64"/>
      <c r="Q390" s="64"/>
      <c r="R390" s="81" t="s">
        <v>1689</v>
      </c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</row>
    <row r="391" ht="15.0" customHeight="1">
      <c r="A391" s="186" t="s">
        <v>1428</v>
      </c>
      <c r="B391" s="186" t="s">
        <v>1674</v>
      </c>
      <c r="C391" s="189" t="s">
        <v>1691</v>
      </c>
      <c r="D391" s="189" t="s">
        <v>1590</v>
      </c>
      <c r="E391" s="186" t="s">
        <v>1590</v>
      </c>
      <c r="F391" s="186" t="s">
        <v>2195</v>
      </c>
      <c r="G391" s="27" t="s">
        <v>1566</v>
      </c>
      <c r="H391" s="186" t="s">
        <v>290</v>
      </c>
      <c r="I391" s="27" t="str">
        <f>IFERROR(__xludf.DUMMYFUNCTION("IF(A391="""","""",
TEXTJOIN(""-"",TRUE,
IFERROR(
  INDEX(FILTER(CFG_CODES!C:C, CFG_CODES!A:A=""CATEGORY"", UPPER(CFG_CODES!B:B)=UPPER(B391))),
  LEFT(UPPER(B391),3)
),
IFERROR(
  INDEX(FILTER(CFG_CODES!C:C, CFG_CODES!A:A=""MATERIAL"", UPPER(CFG_CODES!B:B)"&amp;"=UPPER(C391))),
  LEFT(UPPER(C391),3)
),
TEXT(ROW()-1,""000"")
))"),"I-PAN-390")</f>
        <v>I-PAN-390</v>
      </c>
      <c r="J391" s="186" t="s">
        <v>1688</v>
      </c>
      <c r="K391" s="186">
        <v>0.0</v>
      </c>
      <c r="L391" s="64"/>
      <c r="M391" s="64"/>
      <c r="N391" s="64"/>
      <c r="O391" s="64" t="s">
        <v>1333</v>
      </c>
      <c r="P391" s="64"/>
      <c r="Q391" s="64"/>
      <c r="R391" s="81" t="s">
        <v>1689</v>
      </c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</row>
    <row r="392" ht="15.0" customHeight="1">
      <c r="A392" s="186" t="s">
        <v>1420</v>
      </c>
      <c r="B392" s="186" t="s">
        <v>1674</v>
      </c>
      <c r="C392" s="187" t="s">
        <v>1691</v>
      </c>
      <c r="D392" s="187" t="s">
        <v>1590</v>
      </c>
      <c r="E392" s="186" t="s">
        <v>1590</v>
      </c>
      <c r="F392" s="186" t="s">
        <v>1590</v>
      </c>
      <c r="G392" s="27" t="s">
        <v>1566</v>
      </c>
      <c r="H392" s="186" t="s">
        <v>290</v>
      </c>
      <c r="I392" s="27" t="str">
        <f>IFERROR(__xludf.DUMMYFUNCTION("IF(A392="""","""",
TEXTJOIN(""-"",TRUE,
IFERROR(
  INDEX(FILTER(CFG_CODES!C:C, CFG_CODES!A:A=""CATEGORY"", UPPER(CFG_CODES!B:B)=UPPER(B392))),
  LEFT(UPPER(B392),3)
),
IFERROR(
  INDEX(FILTER(CFG_CODES!C:C, CFG_CODES!A:A=""MATERIAL"", UPPER(CFG_CODES!B:B)"&amp;"=UPPER(C392))),
  LEFT(UPPER(C392),3)
),
TEXT(ROW()-1,""000"")
))"),"I-PAN-391")</f>
        <v>I-PAN-391</v>
      </c>
      <c r="J392" s="186" t="s">
        <v>1688</v>
      </c>
      <c r="K392" s="186">
        <v>0.0</v>
      </c>
      <c r="L392" s="64"/>
      <c r="M392" s="64"/>
      <c r="N392" s="64"/>
      <c r="O392" s="64" t="s">
        <v>1333</v>
      </c>
      <c r="P392" s="64"/>
      <c r="Q392" s="64"/>
      <c r="R392" s="81" t="s">
        <v>1689</v>
      </c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</row>
    <row r="393" ht="15.0" customHeight="1">
      <c r="A393" s="186" t="s">
        <v>1407</v>
      </c>
      <c r="B393" s="186" t="s">
        <v>1674</v>
      </c>
      <c r="C393" s="189" t="s">
        <v>1691</v>
      </c>
      <c r="D393" s="189" t="s">
        <v>1590</v>
      </c>
      <c r="E393" s="186" t="s">
        <v>1590</v>
      </c>
      <c r="F393" s="186" t="s">
        <v>1590</v>
      </c>
      <c r="G393" s="27" t="s">
        <v>1566</v>
      </c>
      <c r="H393" s="186" t="s">
        <v>290</v>
      </c>
      <c r="I393" s="27" t="str">
        <f>IFERROR(__xludf.DUMMYFUNCTION("IF(A393="""","""",
TEXTJOIN(""-"",TRUE,
IFERROR(
  INDEX(FILTER(CFG_CODES!C:C, CFG_CODES!A:A=""CATEGORY"", UPPER(CFG_CODES!B:B)=UPPER(B393))),
  LEFT(UPPER(B393),3)
),
IFERROR(
  INDEX(FILTER(CFG_CODES!C:C, CFG_CODES!A:A=""MATERIAL"", UPPER(CFG_CODES!B:B)"&amp;"=UPPER(C393))),
  LEFT(UPPER(C393),3)
),
TEXT(ROW()-1,""000"")
))"),"I-PAN-392")</f>
        <v>I-PAN-392</v>
      </c>
      <c r="J393" s="186" t="s">
        <v>1688</v>
      </c>
      <c r="K393" s="186">
        <v>0.0</v>
      </c>
      <c r="L393" s="64"/>
      <c r="M393" s="64"/>
      <c r="N393" s="64"/>
      <c r="O393" s="64" t="s">
        <v>1333</v>
      </c>
      <c r="P393" s="64"/>
      <c r="Q393" s="64"/>
      <c r="R393" s="81" t="s">
        <v>1689</v>
      </c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</row>
    <row r="394" ht="15.0" customHeight="1">
      <c r="A394" s="2" t="s">
        <v>88</v>
      </c>
      <c r="B394" s="186" t="s">
        <v>1225</v>
      </c>
      <c r="C394" s="187" t="s">
        <v>1562</v>
      </c>
      <c r="D394" s="187" t="s">
        <v>1633</v>
      </c>
      <c r="E394" s="186" t="s">
        <v>1575</v>
      </c>
      <c r="F394" s="186" t="s">
        <v>1590</v>
      </c>
      <c r="G394" s="39" t="s">
        <v>2160</v>
      </c>
      <c r="H394" s="186" t="s">
        <v>22</v>
      </c>
      <c r="I394" s="27" t="str">
        <f>IFERROR(__xludf.DUMMYFUNCTION("IF(A394="""","""",
TEXTJOIN(""-"",TRUE,
IFERROR(
  INDEX(FILTER(CFG_CODES!C:C, CFG_CODES!A:A=""CATEGORY"", UPPER(CFG_CODES!B:B)=UPPER(B394))),
  LEFT(UPPER(B394),3)
),
IFERROR(
  INDEX(FILTER(CFG_CODES!C:C, CFG_CODES!A:A=""MATERIAL"", UPPER(CFG_CODES!B:B)"&amp;"=UPPER(C394))),
  LEFT(UPPER(C394),3)
),
TEXT(ROW()-1,""000"")
))"),"P-SBS-393")</f>
        <v>P-SBS-393</v>
      </c>
      <c r="J394" s="186" t="s">
        <v>1688</v>
      </c>
      <c r="K394" s="186">
        <v>0.0</v>
      </c>
      <c r="L394" s="64"/>
      <c r="M394" s="64"/>
      <c r="N394" s="64"/>
      <c r="O394" s="64" t="s">
        <v>1333</v>
      </c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</row>
    <row r="395" ht="15.0" customHeight="1">
      <c r="A395" s="186" t="s">
        <v>1763</v>
      </c>
      <c r="B395" s="186" t="s">
        <v>1225</v>
      </c>
      <c r="C395" s="189" t="s">
        <v>1562</v>
      </c>
      <c r="D395" s="189" t="s">
        <v>2197</v>
      </c>
      <c r="E395" s="186" t="s">
        <v>1575</v>
      </c>
      <c r="F395" s="186" t="s">
        <v>1590</v>
      </c>
      <c r="G395" s="39" t="s">
        <v>2160</v>
      </c>
      <c r="H395" s="186" t="s">
        <v>22</v>
      </c>
      <c r="I395" s="27" t="str">
        <f>IFERROR(__xludf.DUMMYFUNCTION("IF(A395="""","""",
TEXTJOIN(""-"",TRUE,
IFERROR(
  INDEX(FILTER(CFG_CODES!C:C, CFG_CODES!A:A=""CATEGORY"", UPPER(CFG_CODES!B:B)=UPPER(B395))),
  LEFT(UPPER(B395),3)
),
IFERROR(
  INDEX(FILTER(CFG_CODES!C:C, CFG_CODES!A:A=""MATERIAL"", UPPER(CFG_CODES!B:B)"&amp;"=UPPER(C395))),
  LEFT(UPPER(C395),3)
),
TEXT(ROW()-1,""000"")
))"),"P-SBS-394")</f>
        <v>P-SBS-394</v>
      </c>
      <c r="J395" s="186" t="s">
        <v>1688</v>
      </c>
      <c r="K395" s="186">
        <v>0.0</v>
      </c>
      <c r="L395" s="64"/>
      <c r="M395" s="64"/>
      <c r="N395" s="64"/>
      <c r="O395" s="64" t="s">
        <v>1333</v>
      </c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</row>
    <row r="396" ht="15.0" customHeight="1">
      <c r="A396" s="2" t="s">
        <v>1765</v>
      </c>
      <c r="B396" s="186" t="s">
        <v>1225</v>
      </c>
      <c r="C396" s="187" t="s">
        <v>1562</v>
      </c>
      <c r="D396" s="187" t="s">
        <v>1641</v>
      </c>
      <c r="E396" s="186" t="s">
        <v>1575</v>
      </c>
      <c r="F396" s="186" t="s">
        <v>1590</v>
      </c>
      <c r="G396" s="39" t="s">
        <v>2160</v>
      </c>
      <c r="H396" s="186" t="s">
        <v>22</v>
      </c>
      <c r="I396" s="27" t="str">
        <f>IFERROR(__xludf.DUMMYFUNCTION("IF(A396="""","""",
TEXTJOIN(""-"",TRUE,
IFERROR(
  INDEX(FILTER(CFG_CODES!C:C, CFG_CODES!A:A=""CATEGORY"", UPPER(CFG_CODES!B:B)=UPPER(B396))),
  LEFT(UPPER(B396),3)
),
IFERROR(
  INDEX(FILTER(CFG_CODES!C:C, CFG_CODES!A:A=""MATERIAL"", UPPER(CFG_CODES!B:B)"&amp;"=UPPER(C396))),
  LEFT(UPPER(C396),3)
),
TEXT(ROW()-1,""000"")
))"),"P-SBS-395")</f>
        <v>P-SBS-395</v>
      </c>
      <c r="J396" s="186" t="s">
        <v>1688</v>
      </c>
      <c r="K396" s="186">
        <v>0.0</v>
      </c>
      <c r="L396" s="64"/>
      <c r="M396" s="64"/>
      <c r="N396" s="64"/>
      <c r="O396" s="64" t="s">
        <v>1333</v>
      </c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</row>
    <row r="397" ht="15.0" customHeight="1">
      <c r="A397" s="186" t="s">
        <v>1318</v>
      </c>
      <c r="B397" s="186" t="s">
        <v>1225</v>
      </c>
      <c r="C397" s="189" t="s">
        <v>1562</v>
      </c>
      <c r="D397" s="189" t="s">
        <v>2198</v>
      </c>
      <c r="E397" s="186" t="s">
        <v>1604</v>
      </c>
      <c r="F397" s="186" t="s">
        <v>1590</v>
      </c>
      <c r="G397" s="39" t="s">
        <v>2160</v>
      </c>
      <c r="H397" s="186" t="s">
        <v>22</v>
      </c>
      <c r="I397" s="27" t="str">
        <f>IFERROR(__xludf.DUMMYFUNCTION("IF(A397="""","""",
TEXTJOIN(""-"",TRUE,
IFERROR(
  INDEX(FILTER(CFG_CODES!C:C, CFG_CODES!A:A=""CATEGORY"", UPPER(CFG_CODES!B:B)=UPPER(B397))),
  LEFT(UPPER(B397),3)
),
IFERROR(
  INDEX(FILTER(CFG_CODES!C:C, CFG_CODES!A:A=""MATERIAL"", UPPER(CFG_CODES!B:B)"&amp;"=UPPER(C397))),
  LEFT(UPPER(C397),3)
),
TEXT(ROW()-1,""000"")
))"),"P-SBS-396")</f>
        <v>P-SBS-396</v>
      </c>
      <c r="J397" s="186" t="s">
        <v>1688</v>
      </c>
      <c r="K397" s="186">
        <v>0.0</v>
      </c>
      <c r="L397" s="64"/>
      <c r="M397" s="64"/>
      <c r="N397" s="64"/>
      <c r="O397" s="64" t="s">
        <v>1333</v>
      </c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</row>
    <row r="398" ht="15.0" customHeight="1">
      <c r="A398" s="2" t="s">
        <v>1767</v>
      </c>
      <c r="B398" s="186" t="s">
        <v>1225</v>
      </c>
      <c r="C398" s="187" t="s">
        <v>1562</v>
      </c>
      <c r="D398" s="187" t="s">
        <v>2133</v>
      </c>
      <c r="E398" s="186" t="s">
        <v>1597</v>
      </c>
      <c r="F398" s="186" t="s">
        <v>1590</v>
      </c>
      <c r="G398" s="39" t="s">
        <v>2160</v>
      </c>
      <c r="H398" s="186" t="s">
        <v>22</v>
      </c>
      <c r="I398" s="27" t="str">
        <f>IFERROR(__xludf.DUMMYFUNCTION("IF(A398="""","""",
TEXTJOIN(""-"",TRUE,
IFERROR(
  INDEX(FILTER(CFG_CODES!C:C, CFG_CODES!A:A=""CATEGORY"", UPPER(CFG_CODES!B:B)=UPPER(B398))),
  LEFT(UPPER(B398),3)
),
IFERROR(
  INDEX(FILTER(CFG_CODES!C:C, CFG_CODES!A:A=""MATERIAL"", UPPER(CFG_CODES!B:B)"&amp;"=UPPER(C398))),
  LEFT(UPPER(C398),3)
),
TEXT(ROW()-1,""000"")
))"),"P-SBS-397")</f>
        <v>P-SBS-397</v>
      </c>
      <c r="J398" s="186" t="s">
        <v>1688</v>
      </c>
      <c r="K398" s="186">
        <v>0.0</v>
      </c>
      <c r="L398" s="64"/>
      <c r="M398" s="64"/>
      <c r="N398" s="64"/>
      <c r="O398" s="64" t="s">
        <v>1333</v>
      </c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</row>
    <row r="399" ht="15.0" customHeight="1">
      <c r="A399" s="186" t="s">
        <v>1321</v>
      </c>
      <c r="B399" s="186" t="s">
        <v>1674</v>
      </c>
      <c r="C399" s="189" t="s">
        <v>1691</v>
      </c>
      <c r="D399" s="198" t="s">
        <v>1590</v>
      </c>
      <c r="E399" s="186" t="s">
        <v>1590</v>
      </c>
      <c r="F399" s="186" t="s">
        <v>1590</v>
      </c>
      <c r="G399" s="186" t="s">
        <v>1590</v>
      </c>
      <c r="H399" s="186" t="s">
        <v>290</v>
      </c>
      <c r="I399" s="27" t="str">
        <f>IFERROR(__xludf.DUMMYFUNCTION("IF(A399="""","""",
TEXTJOIN(""-"",TRUE,
IFERROR(
  INDEX(FILTER(CFG_CODES!C:C, CFG_CODES!A:A=""CATEGORY"", UPPER(CFG_CODES!B:B)=UPPER(B399))),
  LEFT(UPPER(B399),3)
),
IFERROR(
  INDEX(FILTER(CFG_CODES!C:C, CFG_CODES!A:A=""MATERIAL"", UPPER(CFG_CODES!B:B)"&amp;"=UPPER(C399))),
  LEFT(UPPER(C399),3)
),
TEXT(ROW()-1,""000"")
))"),"I-PAN-398")</f>
        <v>I-PAN-398</v>
      </c>
      <c r="J399" s="186" t="s">
        <v>1688</v>
      </c>
      <c r="K399" s="186">
        <v>0.0</v>
      </c>
      <c r="L399" s="64"/>
      <c r="M399" s="64"/>
      <c r="N399" s="64"/>
      <c r="O399" s="64" t="s">
        <v>1333</v>
      </c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</row>
    <row r="400" ht="15.0" customHeight="1">
      <c r="A400" s="186" t="s">
        <v>54</v>
      </c>
      <c r="B400" s="186" t="s">
        <v>1225</v>
      </c>
      <c r="C400" s="187" t="s">
        <v>1562</v>
      </c>
      <c r="D400" s="199" t="s">
        <v>2199</v>
      </c>
      <c r="E400" s="186" t="s">
        <v>1586</v>
      </c>
      <c r="F400" s="186" t="s">
        <v>1590</v>
      </c>
      <c r="G400" s="186" t="s">
        <v>1590</v>
      </c>
      <c r="H400" s="186" t="s">
        <v>22</v>
      </c>
      <c r="I400" s="27" t="str">
        <f>IFERROR(__xludf.DUMMYFUNCTION("IF(A400="""","""",
TEXTJOIN(""-"",TRUE,
IFERROR(
  INDEX(FILTER(CFG_CODES!C:C, CFG_CODES!A:A=""CATEGORY"", UPPER(CFG_CODES!B:B)=UPPER(B400))),
  LEFT(UPPER(B400),3)
),
IFERROR(
  INDEX(FILTER(CFG_CODES!C:C, CFG_CODES!A:A=""MATERIAL"", UPPER(CFG_CODES!B:B)"&amp;"=UPPER(C400))),
  LEFT(UPPER(C400),3)
),
TEXT(ROW()-1,""000"")
))"),"P-SBS-399")</f>
        <v>P-SBS-399</v>
      </c>
      <c r="J400" s="186" t="s">
        <v>1688</v>
      </c>
      <c r="K400" s="186">
        <v>0.0</v>
      </c>
      <c r="L400" s="64"/>
      <c r="M400" s="64"/>
      <c r="N400" s="64"/>
      <c r="O400" s="64" t="s">
        <v>1333</v>
      </c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</row>
    <row r="401" ht="15.0" customHeight="1">
      <c r="A401" s="2" t="s">
        <v>224</v>
      </c>
      <c r="B401" s="186" t="s">
        <v>1225</v>
      </c>
      <c r="C401" s="189" t="s">
        <v>1562</v>
      </c>
      <c r="D401" s="198" t="s">
        <v>1633</v>
      </c>
      <c r="E401" s="186" t="s">
        <v>2172</v>
      </c>
      <c r="F401" s="186" t="s">
        <v>1590</v>
      </c>
      <c r="G401" s="186" t="s">
        <v>1590</v>
      </c>
      <c r="H401" s="186" t="s">
        <v>22</v>
      </c>
      <c r="I401" s="27" t="str">
        <f>IFERROR(__xludf.DUMMYFUNCTION("IF(A401="""","""",
TEXTJOIN(""-"",TRUE,
IFERROR(
  INDEX(FILTER(CFG_CODES!C:C, CFG_CODES!A:A=""CATEGORY"", UPPER(CFG_CODES!B:B)=UPPER(B401))),
  LEFT(UPPER(B401),3)
),
IFERROR(
  INDEX(FILTER(CFG_CODES!C:C, CFG_CODES!A:A=""MATERIAL"", UPPER(CFG_CODES!B:B)"&amp;"=UPPER(C401))),
  LEFT(UPPER(C401),3)
),
TEXT(ROW()-1,""000"")
))"),"P-SBS-400")</f>
        <v>P-SBS-400</v>
      </c>
      <c r="J401" s="186" t="s">
        <v>1688</v>
      </c>
      <c r="K401" s="186">
        <v>0.0</v>
      </c>
      <c r="L401" s="64"/>
      <c r="M401" s="64"/>
      <c r="N401" s="64"/>
      <c r="O401" s="64" t="s">
        <v>1333</v>
      </c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</row>
    <row r="402" ht="15.0" customHeight="1">
      <c r="A402" s="2" t="s">
        <v>1771</v>
      </c>
      <c r="B402" s="186" t="s">
        <v>1225</v>
      </c>
      <c r="C402" s="187" t="s">
        <v>1562</v>
      </c>
      <c r="D402" s="199" t="s">
        <v>1576</v>
      </c>
      <c r="E402" s="186" t="s">
        <v>1597</v>
      </c>
      <c r="F402" s="186" t="s">
        <v>1590</v>
      </c>
      <c r="G402" s="186" t="s">
        <v>1590</v>
      </c>
      <c r="H402" s="186" t="s">
        <v>22</v>
      </c>
      <c r="I402" s="27" t="str">
        <f>IFERROR(__xludf.DUMMYFUNCTION("IF(A402="""","""",
TEXTJOIN(""-"",TRUE,
IFERROR(
  INDEX(FILTER(CFG_CODES!C:C, CFG_CODES!A:A=""CATEGORY"", UPPER(CFG_CODES!B:B)=UPPER(B402))),
  LEFT(UPPER(B402),3)
),
IFERROR(
  INDEX(FILTER(CFG_CODES!C:C, CFG_CODES!A:A=""MATERIAL"", UPPER(CFG_CODES!B:B)"&amp;"=UPPER(C402))),
  LEFT(UPPER(C402),3)
),
TEXT(ROW()-1,""000"")
))"),"P-SBS-401")</f>
        <v>P-SBS-401</v>
      </c>
      <c r="J402" s="186" t="s">
        <v>1688</v>
      </c>
      <c r="K402" s="186">
        <v>0.0</v>
      </c>
      <c r="L402" s="64"/>
      <c r="M402" s="64"/>
      <c r="N402" s="64"/>
      <c r="O402" s="64" t="s">
        <v>1333</v>
      </c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</row>
    <row r="403" ht="15.0" customHeight="1">
      <c r="A403" s="2" t="s">
        <v>1774</v>
      </c>
      <c r="B403" s="186" t="s">
        <v>1225</v>
      </c>
      <c r="C403" s="189" t="s">
        <v>1562</v>
      </c>
      <c r="D403" s="198" t="s">
        <v>1576</v>
      </c>
      <c r="E403" s="186" t="s">
        <v>1574</v>
      </c>
      <c r="F403" s="186" t="s">
        <v>1590</v>
      </c>
      <c r="G403" s="186" t="s">
        <v>1590</v>
      </c>
      <c r="H403" s="186" t="s">
        <v>22</v>
      </c>
      <c r="I403" s="27" t="str">
        <f>IFERROR(__xludf.DUMMYFUNCTION("IF(A403="""","""",
TEXTJOIN(""-"",TRUE,
IFERROR(
  INDEX(FILTER(CFG_CODES!C:C, CFG_CODES!A:A=""CATEGORY"", UPPER(CFG_CODES!B:B)=UPPER(B403))),
  LEFT(UPPER(B403),3)
),
IFERROR(
  INDEX(FILTER(CFG_CODES!C:C, CFG_CODES!A:A=""MATERIAL"", UPPER(CFG_CODES!B:B)"&amp;"=UPPER(C403))),
  LEFT(UPPER(C403),3)
),
TEXT(ROW()-1,""000"")
))"),"P-SBS-402")</f>
        <v>P-SBS-402</v>
      </c>
      <c r="J403" s="186" t="s">
        <v>1688</v>
      </c>
      <c r="K403" s="186">
        <v>0.0</v>
      </c>
      <c r="L403" s="64"/>
      <c r="M403" s="64"/>
      <c r="N403" s="64"/>
      <c r="O403" s="64" t="s">
        <v>1333</v>
      </c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</row>
    <row r="404" ht="15.0" customHeight="1">
      <c r="A404" s="55" t="s">
        <v>2031</v>
      </c>
      <c r="B404" s="186" t="s">
        <v>1225</v>
      </c>
      <c r="C404" s="187" t="s">
        <v>1653</v>
      </c>
      <c r="D404" s="199" t="s">
        <v>1600</v>
      </c>
      <c r="E404" s="186" t="s">
        <v>1574</v>
      </c>
      <c r="F404" s="186" t="s">
        <v>1590</v>
      </c>
      <c r="G404" s="186" t="s">
        <v>2200</v>
      </c>
      <c r="H404" s="186" t="s">
        <v>22</v>
      </c>
      <c r="I404" s="27" t="str">
        <f>IFERROR(__xludf.DUMMYFUNCTION("IF(A404="""","""",
TEXTJOIN(""-"",TRUE,
IFERROR(
  INDEX(FILTER(CFG_CODES!C:C, CFG_CODES!A:A=""CATEGORY"", UPPER(CFG_CODES!B:B)=UPPER(B404))),
  LEFT(UPPER(B404),3)
),
IFERROR(
  INDEX(FILTER(CFG_CODES!C:C, CFG_CODES!A:A=""MATERIAL"", UPPER(CFG_CODES!B:B)"&amp;"=UPPER(C404))),
  LEFT(UPPER(C404),3)
),
TEXT(ROW()-1,""000"")
))"),"P-DUP-403")</f>
        <v>P-DUP-403</v>
      </c>
      <c r="J404" s="186" t="s">
        <v>1688</v>
      </c>
      <c r="K404" s="186">
        <v>0.0</v>
      </c>
      <c r="L404" s="64"/>
      <c r="M404" s="64"/>
      <c r="N404" s="64"/>
      <c r="O404" s="64" t="s">
        <v>1333</v>
      </c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</row>
    <row r="405" ht="15.0" customHeight="1">
      <c r="A405" s="2" t="s">
        <v>1776</v>
      </c>
      <c r="B405" s="186" t="s">
        <v>1225</v>
      </c>
      <c r="C405" s="189" t="s">
        <v>1562</v>
      </c>
      <c r="D405" s="198" t="s">
        <v>1615</v>
      </c>
      <c r="E405" s="186" t="s">
        <v>2172</v>
      </c>
      <c r="F405" s="186" t="s">
        <v>1590</v>
      </c>
      <c r="G405" s="186" t="s">
        <v>1590</v>
      </c>
      <c r="H405" s="186" t="s">
        <v>22</v>
      </c>
      <c r="I405" s="27" t="str">
        <f>IFERROR(__xludf.DUMMYFUNCTION("IF(A405="""","""",
TEXTJOIN(""-"",TRUE,
IFERROR(
  INDEX(FILTER(CFG_CODES!C:C, CFG_CODES!A:A=""CATEGORY"", UPPER(CFG_CODES!B:B)=UPPER(B405))),
  LEFT(UPPER(B405),3)
),
IFERROR(
  INDEX(FILTER(CFG_CODES!C:C, CFG_CODES!A:A=""MATERIAL"", UPPER(CFG_CODES!B:B)"&amp;"=UPPER(C407))),
  LEFT(UPPER(C407),3)
),
TEXT(ROW()-1,""000"")
))"),"P-SBS-404")</f>
        <v>P-SBS-404</v>
      </c>
      <c r="J405" s="186" t="s">
        <v>1688</v>
      </c>
      <c r="K405" s="186">
        <v>0.0</v>
      </c>
      <c r="L405" s="64"/>
      <c r="M405" s="64"/>
      <c r="N405" s="64"/>
      <c r="O405" s="64" t="s">
        <v>1333</v>
      </c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</row>
    <row r="406" ht="15.0" customHeight="1">
      <c r="A406" s="186" t="s">
        <v>1348</v>
      </c>
      <c r="B406" s="186" t="s">
        <v>1225</v>
      </c>
      <c r="C406" s="186" t="s">
        <v>1653</v>
      </c>
      <c r="D406" s="186" t="s">
        <v>2201</v>
      </c>
      <c r="E406" s="186" t="s">
        <v>1662</v>
      </c>
      <c r="F406" s="186" t="s">
        <v>1566</v>
      </c>
      <c r="G406" s="186" t="s">
        <v>2202</v>
      </c>
      <c r="H406" s="186" t="s">
        <v>22</v>
      </c>
      <c r="I406" s="200" t="s">
        <v>2033</v>
      </c>
      <c r="J406" s="186" t="s">
        <v>1688</v>
      </c>
      <c r="K406" s="186">
        <v>0.0</v>
      </c>
      <c r="L406" s="64"/>
      <c r="M406" s="64"/>
      <c r="N406" s="64"/>
      <c r="O406" s="64" t="s">
        <v>1333</v>
      </c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</row>
    <row r="407">
      <c r="A407" s="2" t="s">
        <v>318</v>
      </c>
      <c r="B407" s="186" t="s">
        <v>1225</v>
      </c>
      <c r="C407" s="194" t="s">
        <v>1562</v>
      </c>
      <c r="D407" s="2" t="s">
        <v>2199</v>
      </c>
      <c r="E407" s="2" t="s">
        <v>1575</v>
      </c>
      <c r="F407" s="2" t="s">
        <v>1566</v>
      </c>
      <c r="G407" s="2" t="s">
        <v>2204</v>
      </c>
      <c r="H407" s="186" t="s">
        <v>22</v>
      </c>
      <c r="I407" s="2" t="s">
        <v>317</v>
      </c>
      <c r="J407" s="186" t="s">
        <v>1688</v>
      </c>
      <c r="K407" s="186">
        <v>0.0</v>
      </c>
      <c r="O407" s="25" t="s">
        <v>1333</v>
      </c>
    </row>
    <row r="408">
      <c r="A408" s="2" t="s">
        <v>358</v>
      </c>
      <c r="B408" s="186" t="s">
        <v>1225</v>
      </c>
      <c r="C408" s="194" t="s">
        <v>1562</v>
      </c>
      <c r="D408" s="2" t="s">
        <v>2205</v>
      </c>
      <c r="E408" s="2" t="s">
        <v>1572</v>
      </c>
      <c r="F408" s="2" t="s">
        <v>1566</v>
      </c>
      <c r="G408" s="2" t="s">
        <v>1566</v>
      </c>
      <c r="H408" s="186" t="s">
        <v>22</v>
      </c>
      <c r="I408" s="2" t="s">
        <v>356</v>
      </c>
      <c r="J408" s="186" t="s">
        <v>1688</v>
      </c>
      <c r="K408" s="186">
        <v>0.0</v>
      </c>
      <c r="O408" s="25" t="s">
        <v>1333</v>
      </c>
    </row>
    <row r="409" ht="15.0" customHeight="1">
      <c r="A409" s="186" t="s">
        <v>329</v>
      </c>
      <c r="B409" s="186" t="s">
        <v>1225</v>
      </c>
      <c r="C409" s="186" t="s">
        <v>1562</v>
      </c>
      <c r="D409" s="186" t="s">
        <v>1563</v>
      </c>
      <c r="E409" s="186" t="s">
        <v>2172</v>
      </c>
      <c r="F409" s="186" t="s">
        <v>1566</v>
      </c>
      <c r="G409" s="186" t="s">
        <v>2160</v>
      </c>
      <c r="H409" s="186" t="s">
        <v>22</v>
      </c>
      <c r="I409" s="39" t="s">
        <v>328</v>
      </c>
      <c r="J409" s="186" t="s">
        <v>1688</v>
      </c>
      <c r="K409" s="186">
        <v>0.0</v>
      </c>
      <c r="L409" s="64"/>
      <c r="M409" s="64"/>
      <c r="N409" s="64"/>
      <c r="O409" s="64" t="s">
        <v>1333</v>
      </c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</row>
    <row r="410" ht="15.0" customHeight="1">
      <c r="A410" s="186" t="s">
        <v>2035</v>
      </c>
      <c r="B410" s="186" t="s">
        <v>1225</v>
      </c>
      <c r="C410" s="186" t="s">
        <v>1646</v>
      </c>
      <c r="D410" s="186" t="s">
        <v>1563</v>
      </c>
      <c r="E410" s="186">
        <v>80.0</v>
      </c>
      <c r="F410" s="186" t="s">
        <v>1566</v>
      </c>
      <c r="G410" s="186" t="s">
        <v>1566</v>
      </c>
      <c r="H410" s="186" t="s">
        <v>22</v>
      </c>
      <c r="I410" s="39" t="s">
        <v>1393</v>
      </c>
      <c r="J410" s="186" t="s">
        <v>1688</v>
      </c>
      <c r="K410" s="186">
        <v>0.0</v>
      </c>
      <c r="L410" s="64"/>
      <c r="M410" s="64"/>
      <c r="N410" s="64"/>
      <c r="O410" s="64" t="s">
        <v>1333</v>
      </c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</row>
    <row r="411" ht="15.0" customHeight="1">
      <c r="A411" s="186" t="s">
        <v>1401</v>
      </c>
      <c r="B411" s="186" t="s">
        <v>1674</v>
      </c>
      <c r="C411" s="186" t="s">
        <v>1691</v>
      </c>
      <c r="D411" s="186" t="s">
        <v>1566</v>
      </c>
      <c r="E411" s="186" t="s">
        <v>1566</v>
      </c>
      <c r="F411" s="186" t="s">
        <v>2106</v>
      </c>
      <c r="G411" s="186" t="s">
        <v>1566</v>
      </c>
      <c r="H411" s="186" t="s">
        <v>290</v>
      </c>
      <c r="I411" s="39" t="s">
        <v>1400</v>
      </c>
      <c r="J411" s="186" t="s">
        <v>1688</v>
      </c>
      <c r="K411" s="186">
        <v>0.0</v>
      </c>
      <c r="L411" s="64"/>
      <c r="M411" s="64"/>
      <c r="N411" s="64"/>
      <c r="O411" s="64" t="s">
        <v>1333</v>
      </c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</row>
    <row r="412" ht="15.0" customHeight="1">
      <c r="A412" s="186" t="s">
        <v>1409</v>
      </c>
      <c r="B412" s="186" t="s">
        <v>1225</v>
      </c>
      <c r="C412" s="186" t="s">
        <v>1640</v>
      </c>
      <c r="D412" s="186" t="s">
        <v>1563</v>
      </c>
      <c r="E412" s="186" t="s">
        <v>2047</v>
      </c>
      <c r="F412" s="186" t="s">
        <v>1566</v>
      </c>
      <c r="G412" s="186" t="s">
        <v>1566</v>
      </c>
      <c r="H412" s="186" t="s">
        <v>22</v>
      </c>
      <c r="I412" s="39" t="s">
        <v>1408</v>
      </c>
      <c r="J412" s="186" t="s">
        <v>1688</v>
      </c>
      <c r="K412" s="186">
        <v>0.0</v>
      </c>
      <c r="L412" s="64"/>
      <c r="M412" s="64"/>
      <c r="N412" s="64"/>
      <c r="O412" s="64" t="s">
        <v>1333</v>
      </c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</row>
    <row r="413" ht="15.0" customHeight="1">
      <c r="A413" s="186" t="s">
        <v>475</v>
      </c>
      <c r="B413" s="186" t="s">
        <v>1225</v>
      </c>
      <c r="C413" s="186" t="s">
        <v>1642</v>
      </c>
      <c r="D413" s="186" t="s">
        <v>1576</v>
      </c>
      <c r="E413" s="186" t="s">
        <v>1574</v>
      </c>
      <c r="F413" s="186" t="s">
        <v>1566</v>
      </c>
      <c r="G413" s="186" t="s">
        <v>1566</v>
      </c>
      <c r="H413" s="186" t="s">
        <v>22</v>
      </c>
      <c r="I413" s="27" t="str">
        <f>IFERROR(__xludf.DUMMYFUNCTION("IF(A413="""","""",
TEXTJOIN(""-"",TRUE,
IFERROR(
  INDEX(FILTER(CFG_CODES!C:C, CFG_CODES!A:A=""CATEGORY"", UPPER(CFG_CODES!B:B)=UPPER(B413))),
  LEFT(UPPER(B413),3)
),
IFERROR(
  INDEX(FILTER(CFG_CODES!C:C, CFG_CODES!A:A=""MATERIAL"", UPPER(CFG_CODES!B:B)"&amp;"=UPPER(C413))),
  LEFT(UPPER(C413),3)
),
TEXT(ROW()-1,""000"")
))"),"P-OTH-412")</f>
        <v>P-OTH-412</v>
      </c>
      <c r="J413" s="186" t="s">
        <v>1688</v>
      </c>
      <c r="K413" s="186">
        <v>0.0</v>
      </c>
      <c r="L413" s="64"/>
      <c r="M413" s="64"/>
      <c r="N413" s="64"/>
      <c r="O413" s="64" t="s">
        <v>1333</v>
      </c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</row>
    <row r="414" ht="15.0" customHeight="1">
      <c r="A414" s="186" t="s">
        <v>2037</v>
      </c>
      <c r="B414" s="186" t="s">
        <v>1225</v>
      </c>
      <c r="C414" s="186" t="s">
        <v>1653</v>
      </c>
      <c r="D414" s="186" t="s">
        <v>1600</v>
      </c>
      <c r="E414" s="186" t="s">
        <v>1574</v>
      </c>
      <c r="F414" s="186" t="s">
        <v>2100</v>
      </c>
      <c r="G414" s="186" t="s">
        <v>1566</v>
      </c>
      <c r="H414" s="186" t="s">
        <v>22</v>
      </c>
      <c r="I414" s="39" t="s">
        <v>2036</v>
      </c>
      <c r="J414" s="186" t="s">
        <v>1688</v>
      </c>
      <c r="K414" s="186">
        <v>0.0</v>
      </c>
      <c r="L414" s="64"/>
      <c r="M414" s="64"/>
      <c r="N414" s="64"/>
      <c r="O414" s="64" t="s">
        <v>1333</v>
      </c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</row>
    <row r="415" ht="15.0" customHeight="1">
      <c r="A415" s="186" t="s">
        <v>483</v>
      </c>
      <c r="B415" s="186" t="s">
        <v>1225</v>
      </c>
      <c r="C415" s="186" t="s">
        <v>1653</v>
      </c>
      <c r="D415" s="186" t="s">
        <v>1587</v>
      </c>
      <c r="E415" s="186" t="s">
        <v>1574</v>
      </c>
      <c r="F415" s="186" t="s">
        <v>1566</v>
      </c>
      <c r="G415" s="186" t="s">
        <v>2100</v>
      </c>
      <c r="H415" s="186" t="s">
        <v>22</v>
      </c>
      <c r="I415" s="39" t="s">
        <v>481</v>
      </c>
      <c r="J415" s="186" t="s">
        <v>1688</v>
      </c>
      <c r="K415" s="186">
        <v>0.0</v>
      </c>
      <c r="L415" s="64"/>
      <c r="M415" s="64"/>
      <c r="N415" s="64"/>
      <c r="O415" s="64" t="s">
        <v>1333</v>
      </c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</row>
    <row r="416" ht="15.0" customHeight="1">
      <c r="A416" s="186" t="s">
        <v>493</v>
      </c>
      <c r="B416" s="186" t="s">
        <v>1225</v>
      </c>
      <c r="C416" s="186" t="s">
        <v>1653</v>
      </c>
      <c r="D416" s="186" t="s">
        <v>1587</v>
      </c>
      <c r="E416" s="186" t="s">
        <v>1574</v>
      </c>
      <c r="F416" s="186" t="s">
        <v>1566</v>
      </c>
      <c r="G416" s="186" t="s">
        <v>2100</v>
      </c>
      <c r="H416" s="186" t="s">
        <v>22</v>
      </c>
      <c r="I416" s="39" t="s">
        <v>492</v>
      </c>
      <c r="J416" s="186" t="s">
        <v>1688</v>
      </c>
      <c r="K416" s="186">
        <v>0.0</v>
      </c>
      <c r="L416" s="64"/>
      <c r="M416" s="64"/>
      <c r="N416" s="64"/>
      <c r="O416" s="64" t="s">
        <v>1333</v>
      </c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</row>
    <row r="417" ht="15.0" customHeight="1">
      <c r="A417" s="186" t="s">
        <v>502</v>
      </c>
      <c r="B417" s="186" t="s">
        <v>1225</v>
      </c>
      <c r="C417" s="186" t="s">
        <v>1562</v>
      </c>
      <c r="D417" s="186" t="s">
        <v>1615</v>
      </c>
      <c r="E417" s="186" t="s">
        <v>1575</v>
      </c>
      <c r="F417" s="186" t="s">
        <v>1566</v>
      </c>
      <c r="G417" s="186" t="s">
        <v>1566</v>
      </c>
      <c r="H417" s="186" t="s">
        <v>22</v>
      </c>
      <c r="I417" s="39" t="s">
        <v>501</v>
      </c>
      <c r="J417" s="64"/>
      <c r="K417" s="64"/>
      <c r="L417" s="64"/>
      <c r="M417" s="64"/>
      <c r="N417" s="64"/>
      <c r="O417" s="64" t="s">
        <v>1333</v>
      </c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</row>
    <row r="418" ht="15.0" customHeight="1">
      <c r="A418" s="186" t="s">
        <v>585</v>
      </c>
      <c r="B418" s="186" t="s">
        <v>1225</v>
      </c>
      <c r="C418" s="186" t="s">
        <v>1562</v>
      </c>
      <c r="D418" s="186" t="s">
        <v>585</v>
      </c>
      <c r="E418" s="186" t="s">
        <v>1564</v>
      </c>
      <c r="F418" s="186" t="s">
        <v>1566</v>
      </c>
      <c r="G418" s="186" t="s">
        <v>1566</v>
      </c>
      <c r="H418" s="186" t="s">
        <v>22</v>
      </c>
      <c r="I418" s="39" t="s">
        <v>584</v>
      </c>
      <c r="J418" s="64"/>
      <c r="K418" s="64"/>
      <c r="L418" s="64"/>
      <c r="M418" s="64"/>
      <c r="N418" s="64"/>
      <c r="O418" s="64" t="s">
        <v>1333</v>
      </c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</row>
    <row r="419" ht="15.0" customHeight="1">
      <c r="A419" s="186" t="s">
        <v>1446</v>
      </c>
      <c r="B419" s="186" t="s">
        <v>1225</v>
      </c>
      <c r="C419" s="186" t="s">
        <v>1642</v>
      </c>
      <c r="D419" s="186" t="s">
        <v>1563</v>
      </c>
      <c r="E419" s="186" t="s">
        <v>2208</v>
      </c>
      <c r="F419" s="186" t="s">
        <v>1566</v>
      </c>
      <c r="G419" s="186" t="s">
        <v>1566</v>
      </c>
      <c r="H419" s="186" t="s">
        <v>22</v>
      </c>
      <c r="I419" s="39" t="s">
        <v>1445</v>
      </c>
      <c r="J419" s="64"/>
      <c r="K419" s="64"/>
      <c r="L419" s="64"/>
      <c r="M419" s="64"/>
      <c r="N419" s="64"/>
      <c r="O419" s="64" t="s">
        <v>1333</v>
      </c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</row>
    <row r="420" ht="15.0" customHeight="1">
      <c r="A420" s="186" t="s">
        <v>800</v>
      </c>
      <c r="B420" s="186" t="s">
        <v>1225</v>
      </c>
      <c r="C420" s="186" t="s">
        <v>1646</v>
      </c>
      <c r="D420" s="186" t="s">
        <v>1563</v>
      </c>
      <c r="E420" s="186" t="s">
        <v>1645</v>
      </c>
      <c r="F420" s="186" t="s">
        <v>1566</v>
      </c>
      <c r="G420" s="186" t="s">
        <v>1566</v>
      </c>
      <c r="H420" s="186" t="s">
        <v>22</v>
      </c>
      <c r="I420" s="39" t="s">
        <v>799</v>
      </c>
      <c r="J420" s="64"/>
      <c r="K420" s="64"/>
      <c r="L420" s="64"/>
      <c r="M420" s="64"/>
      <c r="N420" s="64"/>
      <c r="O420" s="64" t="s">
        <v>1333</v>
      </c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</row>
    <row r="421" ht="15.0" customHeight="1">
      <c r="A421" s="186" t="s">
        <v>815</v>
      </c>
      <c r="B421" s="186" t="s">
        <v>1674</v>
      </c>
      <c r="C421" s="186" t="s">
        <v>1691</v>
      </c>
      <c r="D421" s="186" t="s">
        <v>1566</v>
      </c>
      <c r="E421" s="186" t="s">
        <v>1566</v>
      </c>
      <c r="F421" s="186" t="s">
        <v>1566</v>
      </c>
      <c r="G421" s="186" t="s">
        <v>1566</v>
      </c>
      <c r="H421" s="186" t="s">
        <v>290</v>
      </c>
      <c r="I421" s="39" t="s">
        <v>814</v>
      </c>
      <c r="J421" s="64"/>
      <c r="K421" s="64"/>
      <c r="L421" s="64"/>
      <c r="M421" s="64"/>
      <c r="N421" s="64"/>
      <c r="O421" s="64" t="s">
        <v>1333</v>
      </c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</row>
    <row r="422" ht="15.0" customHeight="1">
      <c r="A422" s="186" t="s">
        <v>824</v>
      </c>
      <c r="B422" s="186" t="s">
        <v>1674</v>
      </c>
      <c r="C422" s="186" t="s">
        <v>1691</v>
      </c>
      <c r="D422" s="186" t="s">
        <v>1566</v>
      </c>
      <c r="E422" s="186" t="s">
        <v>1566</v>
      </c>
      <c r="F422" s="186" t="s">
        <v>1566</v>
      </c>
      <c r="G422" s="186" t="s">
        <v>1566</v>
      </c>
      <c r="H422" s="186" t="s">
        <v>290</v>
      </c>
      <c r="I422" s="39" t="s">
        <v>823</v>
      </c>
      <c r="J422" s="64"/>
      <c r="K422" s="64"/>
      <c r="L422" s="64"/>
      <c r="M422" s="64"/>
      <c r="N422" s="64"/>
      <c r="O422" s="64" t="s">
        <v>1333</v>
      </c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</row>
    <row r="423" ht="15.0" customHeight="1">
      <c r="A423" s="186" t="s">
        <v>884</v>
      </c>
      <c r="B423" s="186" t="s">
        <v>1225</v>
      </c>
      <c r="C423" s="186" t="s">
        <v>1831</v>
      </c>
      <c r="D423" s="186" t="s">
        <v>1563</v>
      </c>
      <c r="E423" s="186" t="s">
        <v>1566</v>
      </c>
      <c r="F423" s="186" t="s">
        <v>1566</v>
      </c>
      <c r="G423" s="186" t="s">
        <v>1566</v>
      </c>
      <c r="H423" s="186" t="s">
        <v>22</v>
      </c>
      <c r="I423" s="39" t="s">
        <v>883</v>
      </c>
      <c r="J423" s="64"/>
      <c r="K423" s="64"/>
      <c r="L423" s="64"/>
      <c r="M423" s="64"/>
      <c r="N423" s="64"/>
      <c r="O423" s="64" t="s">
        <v>1333</v>
      </c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</row>
    <row r="424" ht="15.0" customHeight="1">
      <c r="A424" s="186" t="s">
        <v>1506</v>
      </c>
      <c r="B424" s="186" t="s">
        <v>1674</v>
      </c>
      <c r="C424" s="186" t="s">
        <v>1691</v>
      </c>
      <c r="D424" s="186" t="s">
        <v>1566</v>
      </c>
      <c r="E424" s="186" t="s">
        <v>1566</v>
      </c>
      <c r="F424" s="186" t="s">
        <v>1566</v>
      </c>
      <c r="G424" s="186" t="s">
        <v>1566</v>
      </c>
      <c r="H424" s="186" t="s">
        <v>290</v>
      </c>
      <c r="I424" s="39" t="s">
        <v>1505</v>
      </c>
      <c r="J424" s="64"/>
      <c r="K424" s="64"/>
      <c r="L424" s="64"/>
      <c r="M424" s="64"/>
      <c r="N424" s="64"/>
      <c r="O424" s="64" t="s">
        <v>1333</v>
      </c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</row>
    <row r="425" ht="15.0" customHeight="1">
      <c r="A425" s="186" t="s">
        <v>1510</v>
      </c>
      <c r="B425" s="186" t="s">
        <v>1674</v>
      </c>
      <c r="C425" s="186" t="s">
        <v>1691</v>
      </c>
      <c r="D425" s="186" t="s">
        <v>1566</v>
      </c>
      <c r="E425" s="186" t="s">
        <v>1566</v>
      </c>
      <c r="F425" s="186" t="s">
        <v>1566</v>
      </c>
      <c r="G425" s="186" t="s">
        <v>1566</v>
      </c>
      <c r="H425" s="186" t="s">
        <v>290</v>
      </c>
      <c r="I425" s="39" t="s">
        <v>1509</v>
      </c>
      <c r="J425" s="64"/>
      <c r="K425" s="64"/>
      <c r="L425" s="64"/>
      <c r="M425" s="64"/>
      <c r="N425" s="64"/>
      <c r="O425" s="64" t="s">
        <v>1333</v>
      </c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</row>
    <row r="426" ht="15.0" customHeight="1">
      <c r="A426" s="64"/>
      <c r="B426" s="64"/>
      <c r="C426" s="64"/>
      <c r="D426" s="64"/>
      <c r="E426" s="64"/>
      <c r="F426" s="64"/>
      <c r="G426" s="64"/>
      <c r="H426" s="64"/>
      <c r="I426" s="27" t="str">
        <f>IFERROR(__xludf.DUMMYFUNCTION("IF(A426="""","""",
TEXTJOIN(""-"",TRUE,
IFERROR(
  INDEX(FILTER(CFG_CODES!C:C, CFG_CODES!A:A=""CATEGORY"", UPPER(CFG_CODES!B:B)=UPPER(B426))),
  LEFT(UPPER(B426),3)
),
IFERROR(
  INDEX(FILTER(CFG_CODES!C:C, CFG_CODES!A:A=""MATERIAL"", UPPER(CFG_CODES!B:B)"&amp;"=UPPER(C426))),
  LEFT(UPPER(C426),3)
),
TEXT(ROW()-1,""000"")
))"),"")</f>
        <v/>
      </c>
      <c r="J426" s="64"/>
      <c r="K426" s="64"/>
      <c r="L426" s="64"/>
      <c r="M426" s="64"/>
      <c r="N426" s="64"/>
      <c r="O426" s="64" t="s">
        <v>1333</v>
      </c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</row>
    <row r="427" ht="15.0" customHeight="1">
      <c r="A427" s="64"/>
      <c r="B427" s="64"/>
      <c r="C427" s="64"/>
      <c r="D427" s="64"/>
      <c r="E427" s="64"/>
      <c r="F427" s="64"/>
      <c r="G427" s="64"/>
      <c r="H427" s="64"/>
      <c r="I427" s="27" t="str">
        <f>IFERROR(__xludf.DUMMYFUNCTION("IF(A427="""","""",
TEXTJOIN(""-"",TRUE,
IFERROR(
  INDEX(FILTER(CFG_CODES!C:C, CFG_CODES!A:A=""CATEGORY"", UPPER(CFG_CODES!B:B)=UPPER(B427))),
  LEFT(UPPER(B427),3)
),
IFERROR(
  INDEX(FILTER(CFG_CODES!C:C, CFG_CODES!A:A=""MATERIAL"", UPPER(CFG_CODES!B:B)"&amp;"=UPPER(C427))),
  LEFT(UPPER(C427),3)
),
TEXT(ROW()-1,""000"")
))"),"")</f>
        <v/>
      </c>
      <c r="J427" s="64"/>
      <c r="K427" s="64"/>
      <c r="L427" s="64"/>
      <c r="M427" s="64"/>
      <c r="N427" s="64"/>
      <c r="O427" s="64" t="s">
        <v>1333</v>
      </c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</row>
    <row r="428" ht="15.0" customHeight="1">
      <c r="A428" s="64"/>
      <c r="B428" s="64"/>
      <c r="C428" s="64"/>
      <c r="D428" s="64"/>
      <c r="E428" s="64"/>
      <c r="F428" s="64"/>
      <c r="G428" s="64"/>
      <c r="H428" s="64"/>
      <c r="I428" s="27" t="str">
        <f>IFERROR(__xludf.DUMMYFUNCTION("IF(A428="""","""",
TEXTJOIN(""-"",TRUE,
IFERROR(
  INDEX(FILTER(CFG_CODES!C:C, CFG_CODES!A:A=""CATEGORY"", UPPER(CFG_CODES!B:B)=UPPER(B428))),
  LEFT(UPPER(B428),3)
),
IFERROR(
  INDEX(FILTER(CFG_CODES!C:C, CFG_CODES!A:A=""MATERIAL"", UPPER(CFG_CODES!B:B)"&amp;"=UPPER(C428))),
  LEFT(UPPER(C428),3)
),
TEXT(ROW()-1,""000"")
))"),"")</f>
        <v/>
      </c>
      <c r="J428" s="64"/>
      <c r="K428" s="64"/>
      <c r="L428" s="64"/>
      <c r="M428" s="64"/>
      <c r="N428" s="64"/>
      <c r="O428" s="64" t="s">
        <v>1333</v>
      </c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</row>
    <row r="429" ht="15.0" customHeight="1">
      <c r="A429" s="64"/>
      <c r="B429" s="64"/>
      <c r="C429" s="64"/>
      <c r="D429" s="64"/>
      <c r="E429" s="64"/>
      <c r="F429" s="64"/>
      <c r="G429" s="64"/>
      <c r="H429" s="64"/>
      <c r="I429" s="27" t="str">
        <f>IFERROR(__xludf.DUMMYFUNCTION("IF(A429="""","""",
TEXTJOIN(""-"",TRUE,
IFERROR(
  INDEX(FILTER(CFG_CODES!C:C, CFG_CODES!A:A=""CATEGORY"", UPPER(CFG_CODES!B:B)=UPPER(B429))),
  LEFT(UPPER(B429),3)
),
IFERROR(
  INDEX(FILTER(CFG_CODES!C:C, CFG_CODES!A:A=""MATERIAL"", UPPER(CFG_CODES!B:B)"&amp;"=UPPER(C429))),
  LEFT(UPPER(C429),3)
),
TEXT(ROW()-1,""000"")
))"),"")</f>
        <v/>
      </c>
      <c r="J429" s="64"/>
      <c r="K429" s="64"/>
      <c r="L429" s="64"/>
      <c r="M429" s="64"/>
      <c r="N429" s="64"/>
      <c r="O429" s="64" t="s">
        <v>1333</v>
      </c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</row>
    <row r="430" ht="15.0" customHeight="1">
      <c r="A430" s="64"/>
      <c r="B430" s="64"/>
      <c r="C430" s="64"/>
      <c r="D430" s="64"/>
      <c r="E430" s="64"/>
      <c r="F430" s="64"/>
      <c r="G430" s="64"/>
      <c r="H430" s="64"/>
      <c r="I430" s="27" t="str">
        <f>IFERROR(__xludf.DUMMYFUNCTION("IF(A430="""","""",
TEXTJOIN(""-"",TRUE,
IFERROR(
  INDEX(FILTER(CFG_CODES!C:C, CFG_CODES!A:A=""CATEGORY"", UPPER(CFG_CODES!B:B)=UPPER(B430))),
  LEFT(UPPER(B430),3)
),
IFERROR(
  INDEX(FILTER(CFG_CODES!C:C, CFG_CODES!A:A=""MATERIAL"", UPPER(CFG_CODES!B:B)"&amp;"=UPPER(C430))),
  LEFT(UPPER(C430),3)
),
TEXT(ROW()-1,""000"")
))"),"")</f>
        <v/>
      </c>
      <c r="J430" s="64"/>
      <c r="K430" s="64"/>
      <c r="L430" s="64"/>
      <c r="M430" s="64"/>
      <c r="N430" s="64"/>
      <c r="O430" s="64" t="s">
        <v>1333</v>
      </c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</row>
    <row r="431" ht="15.0" customHeight="1">
      <c r="A431" s="64"/>
      <c r="B431" s="64"/>
      <c r="C431" s="64"/>
      <c r="D431" s="64"/>
      <c r="E431" s="64"/>
      <c r="F431" s="64"/>
      <c r="G431" s="64"/>
      <c r="H431" s="64"/>
      <c r="I431" s="27" t="str">
        <f>IFERROR(__xludf.DUMMYFUNCTION("IF(A431="""","""",
TEXTJOIN(""-"",TRUE,
IFERROR(
  INDEX(FILTER(CFG_CODES!C:C, CFG_CODES!A:A=""CATEGORY"", UPPER(CFG_CODES!B:B)=UPPER(B431))),
  LEFT(UPPER(B431),3)
),
IFERROR(
  INDEX(FILTER(CFG_CODES!C:C, CFG_CODES!A:A=""MATERIAL"", UPPER(CFG_CODES!B:B)"&amp;"=UPPER(C431))),
  LEFT(UPPER(C431),3)
),
TEXT(ROW()-1,""000"")
))"),"")</f>
        <v/>
      </c>
      <c r="J431" s="64"/>
      <c r="K431" s="64"/>
      <c r="L431" s="64"/>
      <c r="M431" s="64"/>
      <c r="N431" s="64"/>
      <c r="O431" s="64" t="s">
        <v>1333</v>
      </c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</row>
    <row r="432" ht="15.0" customHeight="1">
      <c r="A432" s="64"/>
      <c r="B432" s="64"/>
      <c r="C432" s="64"/>
      <c r="D432" s="64"/>
      <c r="E432" s="64"/>
      <c r="F432" s="64"/>
      <c r="G432" s="64"/>
      <c r="H432" s="64"/>
      <c r="I432" s="27" t="str">
        <f>IFERROR(__xludf.DUMMYFUNCTION("IF(A432="""","""",
TEXTJOIN(""-"",TRUE,
IFERROR(
  INDEX(FILTER(CFG_CODES!C:C, CFG_CODES!A:A=""CATEGORY"", UPPER(CFG_CODES!B:B)=UPPER(B432))),
  LEFT(UPPER(B432),3)
),
IFERROR(
  INDEX(FILTER(CFG_CODES!C:C, CFG_CODES!A:A=""MATERIAL"", UPPER(CFG_CODES!B:B)"&amp;"=UPPER(C432))),
  LEFT(UPPER(C432),3)
),
TEXT(ROW()-1,""000"")
))"),"")</f>
        <v/>
      </c>
      <c r="J432" s="64"/>
      <c r="K432" s="64"/>
      <c r="L432" s="64"/>
      <c r="M432" s="64"/>
      <c r="N432" s="64"/>
      <c r="O432" s="64" t="s">
        <v>1333</v>
      </c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</row>
    <row r="433" ht="15.0" customHeight="1">
      <c r="A433" s="64"/>
      <c r="B433" s="64"/>
      <c r="C433" s="64"/>
      <c r="D433" s="64"/>
      <c r="E433" s="64"/>
      <c r="F433" s="64"/>
      <c r="G433" s="64"/>
      <c r="H433" s="64"/>
      <c r="I433" s="27" t="str">
        <f>IFERROR(__xludf.DUMMYFUNCTION("IF(A433="""","""",
TEXTJOIN(""-"",TRUE,
IFERROR(
  INDEX(FILTER(CFG_CODES!C:C, CFG_CODES!A:A=""CATEGORY"", UPPER(CFG_CODES!B:B)=UPPER(B433))),
  LEFT(UPPER(B433),3)
),
IFERROR(
  INDEX(FILTER(CFG_CODES!C:C, CFG_CODES!A:A=""MATERIAL"", UPPER(CFG_CODES!B:B)"&amp;"=UPPER(C433))),
  LEFT(UPPER(C433),3)
),
TEXT(ROW()-1,""000"")
))"),"")</f>
        <v/>
      </c>
      <c r="J433" s="64"/>
      <c r="K433" s="64"/>
      <c r="L433" s="64"/>
      <c r="M433" s="64"/>
      <c r="N433" s="64"/>
      <c r="O433" s="64" t="s">
        <v>1333</v>
      </c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</row>
    <row r="434" ht="15.0" customHeight="1">
      <c r="A434" s="64"/>
      <c r="B434" s="64"/>
      <c r="C434" s="64"/>
      <c r="D434" s="64"/>
      <c r="E434" s="64"/>
      <c r="F434" s="64"/>
      <c r="G434" s="64"/>
      <c r="H434" s="64"/>
      <c r="I434" s="27" t="str">
        <f>IFERROR(__xludf.DUMMYFUNCTION("IF(A434="""","""",
TEXTJOIN(""-"",TRUE,
IFERROR(
  INDEX(FILTER(CFG_CODES!C:C, CFG_CODES!A:A=""CATEGORY"", UPPER(CFG_CODES!B:B)=UPPER(B434))),
  LEFT(UPPER(B434),3)
),
IFERROR(
  INDEX(FILTER(CFG_CODES!C:C, CFG_CODES!A:A=""MATERIAL"", UPPER(CFG_CODES!B:B)"&amp;"=UPPER(C434))),
  LEFT(UPPER(C434),3)
),
TEXT(ROW()-1,""000"")
))"),"")</f>
        <v/>
      </c>
      <c r="J434" s="64"/>
      <c r="K434" s="64"/>
      <c r="L434" s="64"/>
      <c r="M434" s="64"/>
      <c r="N434" s="64"/>
      <c r="O434" s="64" t="s">
        <v>1333</v>
      </c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</row>
    <row r="435" ht="15.0" customHeight="1">
      <c r="A435" s="64"/>
      <c r="B435" s="64"/>
      <c r="C435" s="64"/>
      <c r="D435" s="64"/>
      <c r="E435" s="64"/>
      <c r="F435" s="64"/>
      <c r="G435" s="64"/>
      <c r="H435" s="64"/>
      <c r="I435" s="27" t="str">
        <f>IFERROR(__xludf.DUMMYFUNCTION("IF(A435="""","""",
TEXTJOIN(""-"",TRUE,
IFERROR(
  INDEX(FILTER(CFG_CODES!C:C, CFG_CODES!A:A=""CATEGORY"", UPPER(CFG_CODES!B:B)=UPPER(B435))),
  LEFT(UPPER(B435),3)
),
IFERROR(
  INDEX(FILTER(CFG_CODES!C:C, CFG_CODES!A:A=""MATERIAL"", UPPER(CFG_CODES!B:B)"&amp;"=UPPER(C435))),
  LEFT(UPPER(C435),3)
),
TEXT(ROW()-1,""000"")
))"),"")</f>
        <v/>
      </c>
      <c r="J435" s="64"/>
      <c r="K435" s="64"/>
      <c r="L435" s="64"/>
      <c r="M435" s="64"/>
      <c r="N435" s="64"/>
      <c r="O435" s="64" t="s">
        <v>1333</v>
      </c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</row>
    <row r="436" ht="15.0" customHeight="1">
      <c r="A436" s="64"/>
      <c r="B436" s="64"/>
      <c r="C436" s="64"/>
      <c r="D436" s="64"/>
      <c r="E436" s="64"/>
      <c r="F436" s="64"/>
      <c r="G436" s="64"/>
      <c r="H436" s="64"/>
      <c r="I436" s="27" t="str">
        <f>IFERROR(__xludf.DUMMYFUNCTION("IF(A436="""","""",
TEXTJOIN(""-"",TRUE,
IFERROR(
  INDEX(FILTER(CFG_CODES!C:C, CFG_CODES!A:A=""CATEGORY"", UPPER(CFG_CODES!B:B)=UPPER(B436))),
  LEFT(UPPER(B436),3)
),
IFERROR(
  INDEX(FILTER(CFG_CODES!C:C, CFG_CODES!A:A=""MATERIAL"", UPPER(CFG_CODES!B:B)"&amp;"=UPPER(C436))),
  LEFT(UPPER(C436),3)
),
TEXT(ROW()-1,""000"")
))"),"")</f>
        <v/>
      </c>
      <c r="J436" s="64"/>
      <c r="K436" s="64"/>
      <c r="L436" s="64"/>
      <c r="M436" s="64"/>
      <c r="N436" s="64"/>
      <c r="O436" s="64" t="s">
        <v>1333</v>
      </c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</row>
    <row r="437" ht="15.0" customHeight="1">
      <c r="A437" s="64"/>
      <c r="B437" s="64"/>
      <c r="C437" s="64"/>
      <c r="D437" s="64"/>
      <c r="E437" s="64"/>
      <c r="F437" s="64"/>
      <c r="G437" s="64"/>
      <c r="H437" s="64"/>
      <c r="I437" s="27" t="str">
        <f>IFERROR(__xludf.DUMMYFUNCTION("IF(A437="""","""",
TEXTJOIN(""-"",TRUE,
IFERROR(
  INDEX(FILTER(CFG_CODES!C:C, CFG_CODES!A:A=""CATEGORY"", UPPER(CFG_CODES!B:B)=UPPER(B437))),
  LEFT(UPPER(B437),3)
),
IFERROR(
  INDEX(FILTER(CFG_CODES!C:C, CFG_CODES!A:A=""MATERIAL"", UPPER(CFG_CODES!B:B)"&amp;"=UPPER(C437))),
  LEFT(UPPER(C437),3)
),
TEXT(ROW()-1,""000"")
))"),"")</f>
        <v/>
      </c>
      <c r="J437" s="64"/>
      <c r="K437" s="64"/>
      <c r="L437" s="64"/>
      <c r="M437" s="64"/>
      <c r="N437" s="64"/>
      <c r="O437" s="64" t="s">
        <v>1333</v>
      </c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</row>
    <row r="438" ht="15.0" customHeight="1">
      <c r="A438" s="64"/>
      <c r="B438" s="64"/>
      <c r="C438" s="64"/>
      <c r="D438" s="64"/>
      <c r="E438" s="64"/>
      <c r="F438" s="64"/>
      <c r="G438" s="64"/>
      <c r="H438" s="64"/>
      <c r="I438" s="27" t="str">
        <f>IFERROR(__xludf.DUMMYFUNCTION("IF(A438="""","""",
TEXTJOIN(""-"",TRUE,
IFERROR(
  INDEX(FILTER(CFG_CODES!C:C, CFG_CODES!A:A=""CATEGORY"", UPPER(CFG_CODES!B:B)=UPPER(B438))),
  LEFT(UPPER(B438),3)
),
IFERROR(
  INDEX(FILTER(CFG_CODES!C:C, CFG_CODES!A:A=""MATERIAL"", UPPER(CFG_CODES!B:B)"&amp;"=UPPER(C438))),
  LEFT(UPPER(C438),3)
),
TEXT(ROW()-1,""000"")
))"),"")</f>
        <v/>
      </c>
      <c r="J438" s="64"/>
      <c r="K438" s="64"/>
      <c r="L438" s="64"/>
      <c r="M438" s="64"/>
      <c r="N438" s="64"/>
      <c r="O438" s="64" t="s">
        <v>1333</v>
      </c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</row>
    <row r="439" ht="15.0" customHeight="1">
      <c r="A439" s="64"/>
      <c r="B439" s="64"/>
      <c r="C439" s="64"/>
      <c r="D439" s="64"/>
      <c r="E439" s="64"/>
      <c r="F439" s="64"/>
      <c r="G439" s="64"/>
      <c r="H439" s="64"/>
      <c r="I439" s="27" t="str">
        <f>IFERROR(__xludf.DUMMYFUNCTION("IF(A439="""","""",
TEXTJOIN(""-"",TRUE,
IFERROR(
  INDEX(FILTER(CFG_CODES!C:C, CFG_CODES!A:A=""CATEGORY"", UPPER(CFG_CODES!B:B)=UPPER(B439))),
  LEFT(UPPER(B439),3)
),
IFERROR(
  INDEX(FILTER(CFG_CODES!C:C, CFG_CODES!A:A=""MATERIAL"", UPPER(CFG_CODES!B:B)"&amp;"=UPPER(C439))),
  LEFT(UPPER(C439),3)
),
TEXT(ROW()-1,""000"")
))"),"")</f>
        <v/>
      </c>
      <c r="J439" s="64"/>
      <c r="K439" s="64"/>
      <c r="L439" s="64"/>
      <c r="M439" s="64"/>
      <c r="N439" s="64"/>
      <c r="O439" s="64" t="s">
        <v>1333</v>
      </c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</row>
    <row r="440" ht="15.0" customHeight="1">
      <c r="A440" s="64"/>
      <c r="B440" s="64"/>
      <c r="C440" s="64"/>
      <c r="D440" s="64"/>
      <c r="E440" s="64"/>
      <c r="F440" s="64"/>
      <c r="G440" s="64"/>
      <c r="H440" s="64"/>
      <c r="I440" s="27" t="str">
        <f>IFERROR(__xludf.DUMMYFUNCTION("IF(A440="""","""",
TEXTJOIN(""-"",TRUE,
IFERROR(
  INDEX(FILTER(CFG_CODES!C:C, CFG_CODES!A:A=""CATEGORY"", UPPER(CFG_CODES!B:B)=UPPER(B440))),
  LEFT(UPPER(B440),3)
),
IFERROR(
  INDEX(FILTER(CFG_CODES!C:C, CFG_CODES!A:A=""MATERIAL"", UPPER(CFG_CODES!B:B)"&amp;"=UPPER(C440))),
  LEFT(UPPER(C440),3)
),
TEXT(ROW()-1,""000"")
))"),"")</f>
        <v/>
      </c>
      <c r="J440" s="64"/>
      <c r="K440" s="64"/>
      <c r="L440" s="64"/>
      <c r="M440" s="64"/>
      <c r="N440" s="64"/>
      <c r="O440" s="64" t="s">
        <v>1333</v>
      </c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</row>
    <row r="441" ht="15.0" customHeight="1">
      <c r="A441" s="64"/>
      <c r="B441" s="64"/>
      <c r="C441" s="64"/>
      <c r="D441" s="64"/>
      <c r="E441" s="64"/>
      <c r="F441" s="64"/>
      <c r="G441" s="64"/>
      <c r="H441" s="64"/>
      <c r="I441" s="27" t="str">
        <f>IFERROR(__xludf.DUMMYFUNCTION("IF(A441="""","""",
TEXTJOIN(""-"",TRUE,
IFERROR(
  INDEX(FILTER(CFG_CODES!C:C, CFG_CODES!A:A=""CATEGORY"", UPPER(CFG_CODES!B:B)=UPPER(B441))),
  LEFT(UPPER(B441),3)
),
IFERROR(
  INDEX(FILTER(CFG_CODES!C:C, CFG_CODES!A:A=""MATERIAL"", UPPER(CFG_CODES!B:B)"&amp;"=UPPER(C441))),
  LEFT(UPPER(C441),3)
),
TEXT(ROW()-1,""000"")
))"),"")</f>
        <v/>
      </c>
      <c r="J441" s="64"/>
      <c r="K441" s="64"/>
      <c r="L441" s="64"/>
      <c r="M441" s="64"/>
      <c r="N441" s="64"/>
      <c r="O441" s="64" t="s">
        <v>1333</v>
      </c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</row>
    <row r="442" ht="15.0" customHeight="1">
      <c r="A442" s="64"/>
      <c r="B442" s="64"/>
      <c r="C442" s="64"/>
      <c r="D442" s="64"/>
      <c r="E442" s="64"/>
      <c r="F442" s="64"/>
      <c r="G442" s="64"/>
      <c r="H442" s="64"/>
      <c r="I442" s="27" t="str">
        <f>IFERROR(__xludf.DUMMYFUNCTION("IF(A442="""","""",
TEXTJOIN(""-"",TRUE,
IFERROR(
  INDEX(FILTER(CFG_CODES!C:C, CFG_CODES!A:A=""CATEGORY"", UPPER(CFG_CODES!B:B)=UPPER(B442))),
  LEFT(UPPER(B442),3)
),
IFERROR(
  INDEX(FILTER(CFG_CODES!C:C, CFG_CODES!A:A=""MATERIAL"", UPPER(CFG_CODES!B:B)"&amp;"=UPPER(C442))),
  LEFT(UPPER(C442),3)
),
TEXT(ROW()-1,""000"")
))"),"")</f>
        <v/>
      </c>
      <c r="J442" s="64"/>
      <c r="K442" s="64"/>
      <c r="L442" s="64"/>
      <c r="M442" s="64"/>
      <c r="N442" s="64"/>
      <c r="O442" s="64" t="s">
        <v>1333</v>
      </c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</row>
    <row r="443" ht="15.0" customHeight="1">
      <c r="A443" s="64"/>
      <c r="B443" s="64"/>
      <c r="C443" s="64"/>
      <c r="D443" s="64"/>
      <c r="E443" s="64"/>
      <c r="F443" s="64"/>
      <c r="G443" s="64"/>
      <c r="H443" s="64"/>
      <c r="I443" s="27" t="str">
        <f>IFERROR(__xludf.DUMMYFUNCTION("IF(A443="""","""",
TEXTJOIN(""-"",TRUE,
IFERROR(
  INDEX(FILTER(CFG_CODES!C:C, CFG_CODES!A:A=""CATEGORY"", UPPER(CFG_CODES!B:B)=UPPER(B443))),
  LEFT(UPPER(B443),3)
),
IFERROR(
  INDEX(FILTER(CFG_CODES!C:C, CFG_CODES!A:A=""MATERIAL"", UPPER(CFG_CODES!B:B)"&amp;"=UPPER(C443))),
  LEFT(UPPER(C443),3)
),
TEXT(ROW()-1,""000"")
))"),"")</f>
        <v/>
      </c>
      <c r="J443" s="64"/>
      <c r="K443" s="64"/>
      <c r="L443" s="64"/>
      <c r="M443" s="64"/>
      <c r="N443" s="64"/>
      <c r="O443" s="64" t="s">
        <v>1333</v>
      </c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</row>
    <row r="444" ht="15.0" customHeight="1">
      <c r="A444" s="64"/>
      <c r="B444" s="64"/>
      <c r="C444" s="64"/>
      <c r="D444" s="64"/>
      <c r="E444" s="64"/>
      <c r="F444" s="64"/>
      <c r="G444" s="64"/>
      <c r="H444" s="64"/>
      <c r="I444" s="27" t="str">
        <f>IFERROR(__xludf.DUMMYFUNCTION("IF(A444="""","""",
TEXTJOIN(""-"",TRUE,
IFERROR(
  INDEX(FILTER(CFG_CODES!C:C, CFG_CODES!A:A=""CATEGORY"", UPPER(CFG_CODES!B:B)=UPPER(B444))),
  LEFT(UPPER(B444),3)
),
IFERROR(
  INDEX(FILTER(CFG_CODES!C:C, CFG_CODES!A:A=""MATERIAL"", UPPER(CFG_CODES!B:B)"&amp;"=UPPER(C444))),
  LEFT(UPPER(C444),3)
),
TEXT(ROW()-1,""000"")
))"),"")</f>
        <v/>
      </c>
      <c r="J444" s="64"/>
      <c r="K444" s="64"/>
      <c r="L444" s="64"/>
      <c r="M444" s="64"/>
      <c r="N444" s="64"/>
      <c r="O444" s="64" t="s">
        <v>1333</v>
      </c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</row>
    <row r="445" ht="15.0" customHeight="1">
      <c r="A445" s="64"/>
      <c r="B445" s="64"/>
      <c r="C445" s="64"/>
      <c r="D445" s="64"/>
      <c r="E445" s="64"/>
      <c r="F445" s="64"/>
      <c r="G445" s="64"/>
      <c r="H445" s="64"/>
      <c r="I445" s="27" t="str">
        <f>IFERROR(__xludf.DUMMYFUNCTION("IF(A445="""","""",
TEXTJOIN(""-"",TRUE,
IFERROR(
  INDEX(FILTER(CFG_CODES!C:C, CFG_CODES!A:A=""CATEGORY"", UPPER(CFG_CODES!B:B)=UPPER(B445))),
  LEFT(UPPER(B445),3)
),
IFERROR(
  INDEX(FILTER(CFG_CODES!C:C, CFG_CODES!A:A=""MATERIAL"", UPPER(CFG_CODES!B:B)"&amp;"=UPPER(C445))),
  LEFT(UPPER(C445),3)
),
TEXT(ROW()-1,""000"")
))"),"")</f>
        <v/>
      </c>
      <c r="J445" s="64"/>
      <c r="K445" s="64"/>
      <c r="L445" s="64"/>
      <c r="M445" s="64"/>
      <c r="N445" s="64"/>
      <c r="O445" s="64" t="s">
        <v>1333</v>
      </c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</row>
    <row r="446" ht="15.0" customHeight="1">
      <c r="A446" s="64"/>
      <c r="B446" s="64"/>
      <c r="C446" s="64"/>
      <c r="D446" s="64"/>
      <c r="E446" s="64"/>
      <c r="F446" s="64"/>
      <c r="G446" s="64"/>
      <c r="H446" s="64"/>
      <c r="I446" s="27" t="str">
        <f>IFERROR(__xludf.DUMMYFUNCTION("IF(A446="""","""",
TEXTJOIN(""-"",TRUE,
IFERROR(
  INDEX(FILTER(CFG_CODES!C:C, CFG_CODES!A:A=""CATEGORY"", UPPER(CFG_CODES!B:B)=UPPER(B446))),
  LEFT(UPPER(B446),3)
),
IFERROR(
  INDEX(FILTER(CFG_CODES!C:C, CFG_CODES!A:A=""MATERIAL"", UPPER(CFG_CODES!B:B)"&amp;"=UPPER(C446))),
  LEFT(UPPER(C446),3)
),
TEXT(ROW()-1,""000"")
))"),"")</f>
        <v/>
      </c>
      <c r="J446" s="64"/>
      <c r="K446" s="64"/>
      <c r="L446" s="64"/>
      <c r="M446" s="64"/>
      <c r="N446" s="64"/>
      <c r="O446" s="64" t="s">
        <v>1333</v>
      </c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</row>
    <row r="447" ht="15.0" customHeight="1">
      <c r="A447" s="64"/>
      <c r="B447" s="64"/>
      <c r="C447" s="64"/>
      <c r="D447" s="64"/>
      <c r="E447" s="64"/>
      <c r="F447" s="64"/>
      <c r="G447" s="64"/>
      <c r="H447" s="64"/>
      <c r="I447" s="27" t="str">
        <f>IFERROR(__xludf.DUMMYFUNCTION("IF(A447="""","""",
TEXTJOIN(""-"",TRUE,
IFERROR(
  INDEX(FILTER(CFG_CODES!C:C, CFG_CODES!A:A=""CATEGORY"", UPPER(CFG_CODES!B:B)=UPPER(B447))),
  LEFT(UPPER(B447),3)
),
IFERROR(
  INDEX(FILTER(CFG_CODES!C:C, CFG_CODES!A:A=""MATERIAL"", UPPER(CFG_CODES!B:B)"&amp;"=UPPER(C447))),
  LEFT(UPPER(C447),3)
),
TEXT(ROW()-1,""000"")
))"),"")</f>
        <v/>
      </c>
      <c r="J447" s="64"/>
      <c r="K447" s="64"/>
      <c r="L447" s="64"/>
      <c r="M447" s="64"/>
      <c r="N447" s="64"/>
      <c r="O447" s="64" t="s">
        <v>1333</v>
      </c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</row>
    <row r="448" ht="15.0" customHeight="1">
      <c r="A448" s="64"/>
      <c r="B448" s="64"/>
      <c r="C448" s="64"/>
      <c r="D448" s="64"/>
      <c r="E448" s="64"/>
      <c r="F448" s="64"/>
      <c r="G448" s="64"/>
      <c r="H448" s="64"/>
      <c r="I448" s="27" t="str">
        <f>IFERROR(__xludf.DUMMYFUNCTION("IF(A448="""","""",
TEXTJOIN(""-"",TRUE,
IFERROR(
  INDEX(FILTER(CFG_CODES!C:C, CFG_CODES!A:A=""CATEGORY"", UPPER(CFG_CODES!B:B)=UPPER(B448))),
  LEFT(UPPER(B448),3)
),
IFERROR(
  INDEX(FILTER(CFG_CODES!C:C, CFG_CODES!A:A=""MATERIAL"", UPPER(CFG_CODES!B:B)"&amp;"=UPPER(C448))),
  LEFT(UPPER(C448),3)
),
TEXT(ROW()-1,""000"")
))"),"")</f>
        <v/>
      </c>
      <c r="J448" s="64"/>
      <c r="K448" s="64"/>
      <c r="L448" s="64"/>
      <c r="M448" s="64"/>
      <c r="N448" s="64"/>
      <c r="O448" s="64" t="s">
        <v>1333</v>
      </c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</row>
    <row r="449" ht="15.0" customHeight="1">
      <c r="A449" s="64"/>
      <c r="B449" s="64"/>
      <c r="C449" s="64"/>
      <c r="D449" s="64"/>
      <c r="E449" s="64"/>
      <c r="F449" s="64"/>
      <c r="G449" s="64"/>
      <c r="H449" s="64"/>
      <c r="I449" s="27" t="str">
        <f>IFERROR(__xludf.DUMMYFUNCTION("IF(A449="""","""",
TEXTJOIN(""-"",TRUE,
IFERROR(
  INDEX(FILTER(CFG_CODES!C:C, CFG_CODES!A:A=""CATEGORY"", UPPER(CFG_CODES!B:B)=UPPER(B449))),
  LEFT(UPPER(B449),3)
),
IFERROR(
  INDEX(FILTER(CFG_CODES!C:C, CFG_CODES!A:A=""MATERIAL"", UPPER(CFG_CODES!B:B)"&amp;"=UPPER(C449))),
  LEFT(UPPER(C449),3)
),
TEXT(ROW()-1,""000"")
))"),"")</f>
        <v/>
      </c>
      <c r="J449" s="64"/>
      <c r="K449" s="64"/>
      <c r="L449" s="64"/>
      <c r="M449" s="64"/>
      <c r="N449" s="64"/>
      <c r="O449" s="64" t="s">
        <v>1333</v>
      </c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</row>
    <row r="450" ht="15.0" customHeight="1">
      <c r="A450" s="64"/>
      <c r="B450" s="64"/>
      <c r="C450" s="64"/>
      <c r="D450" s="64"/>
      <c r="E450" s="64"/>
      <c r="F450" s="64"/>
      <c r="G450" s="64"/>
      <c r="H450" s="64"/>
      <c r="I450" s="27" t="str">
        <f>IFERROR(__xludf.DUMMYFUNCTION("IF(A450="""","""",
TEXTJOIN(""-"",TRUE,
IFERROR(
  INDEX(FILTER(CFG_CODES!C:C, CFG_CODES!A:A=""CATEGORY"", UPPER(CFG_CODES!B:B)=UPPER(B450))),
  LEFT(UPPER(B450),3)
),
IFERROR(
  INDEX(FILTER(CFG_CODES!C:C, CFG_CODES!A:A=""MATERIAL"", UPPER(CFG_CODES!B:B)"&amp;"=UPPER(C450))),
  LEFT(UPPER(C450),3)
),
TEXT(ROW()-1,""000"")
))"),"")</f>
        <v/>
      </c>
      <c r="J450" s="64"/>
      <c r="K450" s="64"/>
      <c r="L450" s="64"/>
      <c r="M450" s="64"/>
      <c r="N450" s="64"/>
      <c r="O450" s="64" t="s">
        <v>1333</v>
      </c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</row>
    <row r="451" ht="15.0" customHeight="1">
      <c r="A451" s="64"/>
      <c r="B451" s="64"/>
      <c r="C451" s="64"/>
      <c r="D451" s="64"/>
      <c r="E451" s="64"/>
      <c r="F451" s="64"/>
      <c r="G451" s="64"/>
      <c r="H451" s="64"/>
      <c r="I451" s="27" t="str">
        <f>IFERROR(__xludf.DUMMYFUNCTION("IF(A451="""","""",
TEXTJOIN(""-"",TRUE,
IFERROR(
  INDEX(FILTER(CFG_CODES!C:C, CFG_CODES!A:A=""CATEGORY"", UPPER(CFG_CODES!B:B)=UPPER(B451))),
  LEFT(UPPER(B451),3)
),
IFERROR(
  INDEX(FILTER(CFG_CODES!C:C, CFG_CODES!A:A=""MATERIAL"", UPPER(CFG_CODES!B:B)"&amp;"=UPPER(C451))),
  LEFT(UPPER(C451),3)
),
TEXT(ROW()-1,""000"")
))"),"")</f>
        <v/>
      </c>
      <c r="J451" s="64"/>
      <c r="K451" s="64"/>
      <c r="L451" s="64"/>
      <c r="M451" s="64"/>
      <c r="N451" s="64"/>
      <c r="O451" s="64" t="s">
        <v>1333</v>
      </c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</row>
    <row r="452" ht="15.0" customHeight="1">
      <c r="A452" s="64"/>
      <c r="B452" s="64"/>
      <c r="C452" s="64"/>
      <c r="D452" s="64"/>
      <c r="E452" s="64"/>
      <c r="F452" s="64"/>
      <c r="G452" s="64"/>
      <c r="H452" s="64"/>
      <c r="I452" s="27" t="str">
        <f>IFERROR(__xludf.DUMMYFUNCTION("IF(A452="""","""",
TEXTJOIN(""-"",TRUE,
IFERROR(
  INDEX(FILTER(CFG_CODES!C:C, CFG_CODES!A:A=""CATEGORY"", UPPER(CFG_CODES!B:B)=UPPER(B452))),
  LEFT(UPPER(B452),3)
),
IFERROR(
  INDEX(FILTER(CFG_CODES!C:C, CFG_CODES!A:A=""MATERIAL"", UPPER(CFG_CODES!B:B)"&amp;"=UPPER(C452))),
  LEFT(UPPER(C452),3)
),
TEXT(ROW()-1,""000"")
))"),"")</f>
        <v/>
      </c>
      <c r="J452" s="64"/>
      <c r="K452" s="64"/>
      <c r="L452" s="64"/>
      <c r="M452" s="64"/>
      <c r="N452" s="64"/>
      <c r="O452" s="64" t="s">
        <v>1333</v>
      </c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</row>
    <row r="453" ht="15.0" customHeight="1">
      <c r="A453" s="64"/>
      <c r="B453" s="64"/>
      <c r="C453" s="64"/>
      <c r="D453" s="64"/>
      <c r="E453" s="64"/>
      <c r="F453" s="64"/>
      <c r="G453" s="64"/>
      <c r="H453" s="64"/>
      <c r="I453" s="27" t="str">
        <f>IFERROR(__xludf.DUMMYFUNCTION("IF(A453="""","""",
TEXTJOIN(""-"",TRUE,
IFERROR(
  INDEX(FILTER(CFG_CODES!C:C, CFG_CODES!A:A=""CATEGORY"", UPPER(CFG_CODES!B:B)=UPPER(B453))),
  LEFT(UPPER(B453),3)
),
IFERROR(
  INDEX(FILTER(CFG_CODES!C:C, CFG_CODES!A:A=""MATERIAL"", UPPER(CFG_CODES!B:B)"&amp;"=UPPER(C453))),
  LEFT(UPPER(C453),3)
),
TEXT(ROW()-1,""000"")
))"),"")</f>
        <v/>
      </c>
      <c r="J453" s="64"/>
      <c r="K453" s="64"/>
      <c r="L453" s="64"/>
      <c r="M453" s="64"/>
      <c r="N453" s="64"/>
      <c r="O453" s="64" t="s">
        <v>1333</v>
      </c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</row>
    <row r="454" ht="15.0" customHeight="1">
      <c r="A454" s="64"/>
      <c r="B454" s="64"/>
      <c r="C454" s="64"/>
      <c r="D454" s="64"/>
      <c r="E454" s="64"/>
      <c r="F454" s="64"/>
      <c r="G454" s="64"/>
      <c r="H454" s="64"/>
      <c r="I454" s="27" t="str">
        <f>IFERROR(__xludf.DUMMYFUNCTION("IF(A454="""","""",
TEXTJOIN(""-"",TRUE,
IFERROR(
  INDEX(FILTER(CFG_CODES!C:C, CFG_CODES!A:A=""CATEGORY"", UPPER(CFG_CODES!B:B)=UPPER(B454))),
  LEFT(UPPER(B454),3)
),
IFERROR(
  INDEX(FILTER(CFG_CODES!C:C, CFG_CODES!A:A=""MATERIAL"", UPPER(CFG_CODES!B:B)"&amp;"=UPPER(C454))),
  LEFT(UPPER(C454),3)
),
TEXT(ROW()-1,""000"")
))"),"")</f>
        <v/>
      </c>
      <c r="J454" s="64"/>
      <c r="K454" s="64"/>
      <c r="L454" s="64"/>
      <c r="M454" s="64"/>
      <c r="N454" s="64"/>
      <c r="O454" s="64" t="s">
        <v>1333</v>
      </c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</row>
    <row r="455" ht="15.0" customHeight="1">
      <c r="A455" s="64"/>
      <c r="B455" s="64"/>
      <c r="C455" s="64"/>
      <c r="D455" s="64"/>
      <c r="E455" s="64"/>
      <c r="F455" s="64"/>
      <c r="G455" s="64"/>
      <c r="H455" s="64"/>
      <c r="I455" s="27" t="str">
        <f>IFERROR(__xludf.DUMMYFUNCTION("IF(A455="""","""",
TEXTJOIN(""-"",TRUE,
IFERROR(
  INDEX(FILTER(CFG_CODES!C:C, CFG_CODES!A:A=""CATEGORY"", UPPER(CFG_CODES!B:B)=UPPER(B455))),
  LEFT(UPPER(B455),3)
),
IFERROR(
  INDEX(FILTER(CFG_CODES!C:C, CFG_CODES!A:A=""MATERIAL"", UPPER(CFG_CODES!B:B)"&amp;"=UPPER(C455))),
  LEFT(UPPER(C455),3)
),
TEXT(ROW()-1,""000"")
))"),"")</f>
        <v/>
      </c>
      <c r="J455" s="64"/>
      <c r="K455" s="64"/>
      <c r="L455" s="64"/>
      <c r="M455" s="64"/>
      <c r="N455" s="64"/>
      <c r="O455" s="64" t="s">
        <v>1333</v>
      </c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</row>
    <row r="456" ht="15.0" customHeight="1">
      <c r="A456" s="64"/>
      <c r="B456" s="64"/>
      <c r="C456" s="64"/>
      <c r="D456" s="64"/>
      <c r="E456" s="64"/>
      <c r="F456" s="64"/>
      <c r="G456" s="64"/>
      <c r="H456" s="64"/>
      <c r="I456" s="27" t="str">
        <f>IFERROR(__xludf.DUMMYFUNCTION("IF(A456="""","""",
TEXTJOIN(""-"",TRUE,
IFERROR(
  INDEX(FILTER(CFG_CODES!C:C, CFG_CODES!A:A=""CATEGORY"", UPPER(CFG_CODES!B:B)=UPPER(B456))),
  LEFT(UPPER(B456),3)
),
IFERROR(
  INDEX(FILTER(CFG_CODES!C:C, CFG_CODES!A:A=""MATERIAL"", UPPER(CFG_CODES!B:B)"&amp;"=UPPER(C456))),
  LEFT(UPPER(C456),3)
),
TEXT(ROW()-1,""000"")
))"),"")</f>
        <v/>
      </c>
      <c r="J456" s="64"/>
      <c r="K456" s="64"/>
      <c r="L456" s="64"/>
      <c r="M456" s="64"/>
      <c r="N456" s="64"/>
      <c r="O456" s="64" t="s">
        <v>1333</v>
      </c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</row>
    <row r="457" ht="15.0" customHeight="1">
      <c r="A457" s="64"/>
      <c r="B457" s="64"/>
      <c r="C457" s="64"/>
      <c r="D457" s="64"/>
      <c r="E457" s="64"/>
      <c r="F457" s="64"/>
      <c r="G457" s="64"/>
      <c r="H457" s="64"/>
      <c r="I457" s="27" t="str">
        <f>IFERROR(__xludf.DUMMYFUNCTION("IF(A457="""","""",
TEXTJOIN(""-"",TRUE,
IFERROR(
  INDEX(FILTER(CFG_CODES!C:C, CFG_CODES!A:A=""CATEGORY"", UPPER(CFG_CODES!B:B)=UPPER(B457))),
  LEFT(UPPER(B457),3)
),
IFERROR(
  INDEX(FILTER(CFG_CODES!C:C, CFG_CODES!A:A=""MATERIAL"", UPPER(CFG_CODES!B:B)"&amp;"=UPPER(C457))),
  LEFT(UPPER(C457),3)
),
TEXT(ROW()-1,""000"")
))"),"")</f>
        <v/>
      </c>
      <c r="J457" s="64"/>
      <c r="K457" s="64"/>
      <c r="L457" s="64"/>
      <c r="M457" s="64"/>
      <c r="N457" s="64"/>
      <c r="O457" s="64" t="s">
        <v>1333</v>
      </c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</row>
    <row r="458" ht="15.0" customHeight="1">
      <c r="A458" s="64"/>
      <c r="B458" s="64"/>
      <c r="C458" s="64"/>
      <c r="D458" s="64"/>
      <c r="E458" s="64"/>
      <c r="F458" s="64"/>
      <c r="G458" s="64"/>
      <c r="H458" s="64"/>
      <c r="I458" s="27" t="str">
        <f>IFERROR(__xludf.DUMMYFUNCTION("IF(A458="""","""",
TEXTJOIN(""-"",TRUE,
IFERROR(
  INDEX(FILTER(CFG_CODES!C:C, CFG_CODES!A:A=""CATEGORY"", UPPER(CFG_CODES!B:B)=UPPER(B458))),
  LEFT(UPPER(B458),3)
),
IFERROR(
  INDEX(FILTER(CFG_CODES!C:C, CFG_CODES!A:A=""MATERIAL"", UPPER(CFG_CODES!B:B)"&amp;"=UPPER(C458))),
  LEFT(UPPER(C458),3)
),
TEXT(ROW()-1,""000"")
))"),"")</f>
        <v/>
      </c>
      <c r="J458" s="64"/>
      <c r="K458" s="64"/>
      <c r="L458" s="64"/>
      <c r="M458" s="64"/>
      <c r="N458" s="64"/>
      <c r="O458" s="64" t="s">
        <v>1333</v>
      </c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</row>
    <row r="459" ht="15.0" customHeight="1">
      <c r="A459" s="64"/>
      <c r="B459" s="64"/>
      <c r="C459" s="64"/>
      <c r="D459" s="64"/>
      <c r="E459" s="64"/>
      <c r="F459" s="64"/>
      <c r="G459" s="64"/>
      <c r="H459" s="64"/>
      <c r="I459" s="27" t="str">
        <f>IFERROR(__xludf.DUMMYFUNCTION("IF(A459="""","""",
TEXTJOIN(""-"",TRUE,
IFERROR(
  INDEX(FILTER(CFG_CODES!C:C, CFG_CODES!A:A=""CATEGORY"", UPPER(CFG_CODES!B:B)=UPPER(B459))),
  LEFT(UPPER(B459),3)
),
IFERROR(
  INDEX(FILTER(CFG_CODES!C:C, CFG_CODES!A:A=""MATERIAL"", UPPER(CFG_CODES!B:B)"&amp;"=UPPER(C459))),
  LEFT(UPPER(C459),3)
),
TEXT(ROW()-1,""000"")
))"),"")</f>
        <v/>
      </c>
      <c r="J459" s="64"/>
      <c r="K459" s="64"/>
      <c r="L459" s="64"/>
      <c r="M459" s="64"/>
      <c r="N459" s="64"/>
      <c r="O459" s="64" t="s">
        <v>1333</v>
      </c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</row>
    <row r="460" ht="15.0" customHeight="1">
      <c r="A460" s="64"/>
      <c r="B460" s="64"/>
      <c r="C460" s="64"/>
      <c r="D460" s="64"/>
      <c r="E460" s="64"/>
      <c r="F460" s="64"/>
      <c r="G460" s="64"/>
      <c r="H460" s="64"/>
      <c r="I460" s="27" t="str">
        <f>IFERROR(__xludf.DUMMYFUNCTION("IF(A460="""","""",
TEXTJOIN(""-"",TRUE,
IFERROR(
  INDEX(FILTER(CFG_CODES!C:C, CFG_CODES!A:A=""CATEGORY"", UPPER(CFG_CODES!B:B)=UPPER(B460))),
  LEFT(UPPER(B460),3)
),
IFERROR(
  INDEX(FILTER(CFG_CODES!C:C, CFG_CODES!A:A=""MATERIAL"", UPPER(CFG_CODES!B:B)"&amp;"=UPPER(C460))),
  LEFT(UPPER(C460),3)
),
TEXT(ROW()-1,""000"")
))"),"")</f>
        <v/>
      </c>
      <c r="J460" s="64"/>
      <c r="K460" s="64"/>
      <c r="L460" s="64"/>
      <c r="M460" s="64"/>
      <c r="N460" s="64"/>
      <c r="O460" s="64" t="s">
        <v>1333</v>
      </c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</row>
    <row r="461" ht="15.0" customHeight="1">
      <c r="A461" s="64"/>
      <c r="B461" s="64"/>
      <c r="C461" s="64"/>
      <c r="D461" s="64"/>
      <c r="E461" s="64"/>
      <c r="F461" s="64"/>
      <c r="G461" s="64"/>
      <c r="H461" s="64"/>
      <c r="I461" s="27" t="str">
        <f>IFERROR(__xludf.DUMMYFUNCTION("IF(A461="""","""",
TEXTJOIN(""-"",TRUE,
IFERROR(
  INDEX(FILTER(CFG_CODES!C:C, CFG_CODES!A:A=""CATEGORY"", UPPER(CFG_CODES!B:B)=UPPER(B461))),
  LEFT(UPPER(B461),3)
),
IFERROR(
  INDEX(FILTER(CFG_CODES!C:C, CFG_CODES!A:A=""MATERIAL"", UPPER(CFG_CODES!B:B)"&amp;"=UPPER(C461))),
  LEFT(UPPER(C461),3)
),
TEXT(ROW()-1,""000"")
))"),"")</f>
        <v/>
      </c>
      <c r="J461" s="64"/>
      <c r="K461" s="64"/>
      <c r="L461" s="64"/>
      <c r="M461" s="64"/>
      <c r="N461" s="64"/>
      <c r="O461" s="64" t="s">
        <v>1333</v>
      </c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</row>
    <row r="462" ht="15.0" customHeight="1">
      <c r="A462" s="64"/>
      <c r="B462" s="64"/>
      <c r="C462" s="64"/>
      <c r="D462" s="64"/>
      <c r="E462" s="64"/>
      <c r="F462" s="64"/>
      <c r="G462" s="64"/>
      <c r="H462" s="64"/>
      <c r="I462" s="27" t="str">
        <f>IFERROR(__xludf.DUMMYFUNCTION("IF(A462="""","""",
TEXTJOIN(""-"",TRUE,
IFERROR(
  INDEX(FILTER(CFG_CODES!C:C, CFG_CODES!A:A=""CATEGORY"", UPPER(CFG_CODES!B:B)=UPPER(B462))),
  LEFT(UPPER(B462),3)
),
IFERROR(
  INDEX(FILTER(CFG_CODES!C:C, CFG_CODES!A:A=""MATERIAL"", UPPER(CFG_CODES!B:B)"&amp;"=UPPER(C462))),
  LEFT(UPPER(C462),3)
),
TEXT(ROW()-1,""000"")
))"),"")</f>
        <v/>
      </c>
      <c r="J462" s="64"/>
      <c r="K462" s="64"/>
      <c r="L462" s="64"/>
      <c r="M462" s="64"/>
      <c r="N462" s="64"/>
      <c r="O462" s="64" t="s">
        <v>1333</v>
      </c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</row>
    <row r="463" ht="15.0" customHeight="1">
      <c r="A463" s="64"/>
      <c r="B463" s="64"/>
      <c r="C463" s="64"/>
      <c r="D463" s="64"/>
      <c r="E463" s="64"/>
      <c r="F463" s="64"/>
      <c r="G463" s="64"/>
      <c r="H463" s="64"/>
      <c r="I463" s="27" t="str">
        <f>IFERROR(__xludf.DUMMYFUNCTION("IF(A463="""","""",
TEXTJOIN(""-"",TRUE,
IFERROR(
  INDEX(FILTER(CFG_CODES!C:C, CFG_CODES!A:A=""CATEGORY"", UPPER(CFG_CODES!B:B)=UPPER(B463))),
  LEFT(UPPER(B463),3)
),
IFERROR(
  INDEX(FILTER(CFG_CODES!C:C, CFG_CODES!A:A=""MATERIAL"", UPPER(CFG_CODES!B:B)"&amp;"=UPPER(C463))),
  LEFT(UPPER(C463),3)
),
TEXT(ROW()-1,""000"")
))"),"")</f>
        <v/>
      </c>
      <c r="J463" s="64"/>
      <c r="K463" s="64"/>
      <c r="L463" s="64"/>
      <c r="M463" s="64"/>
      <c r="N463" s="64"/>
      <c r="O463" s="64" t="s">
        <v>1333</v>
      </c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</row>
    <row r="464" ht="15.0" customHeight="1">
      <c r="A464" s="64"/>
      <c r="B464" s="64"/>
      <c r="C464" s="64"/>
      <c r="D464" s="64"/>
      <c r="E464" s="64"/>
      <c r="F464" s="64"/>
      <c r="G464" s="64"/>
      <c r="H464" s="64"/>
      <c r="I464" s="27" t="str">
        <f>IFERROR(__xludf.DUMMYFUNCTION("IF(A464="""","""",
TEXTJOIN(""-"",TRUE,
IFERROR(
  INDEX(FILTER(CFG_CODES!C:C, CFG_CODES!A:A=""CATEGORY"", UPPER(CFG_CODES!B:B)=UPPER(B464))),
  LEFT(UPPER(B464),3)
),
IFERROR(
  INDEX(FILTER(CFG_CODES!C:C, CFG_CODES!A:A=""MATERIAL"", UPPER(CFG_CODES!B:B)"&amp;"=UPPER(C464))),
  LEFT(UPPER(C464),3)
),
TEXT(ROW()-1,""000"")
))"),"")</f>
        <v/>
      </c>
      <c r="J464" s="64"/>
      <c r="K464" s="64"/>
      <c r="L464" s="64"/>
      <c r="M464" s="64"/>
      <c r="N464" s="64"/>
      <c r="O464" s="64" t="s">
        <v>1333</v>
      </c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</row>
    <row r="465" ht="15.0" customHeight="1">
      <c r="A465" s="64"/>
      <c r="B465" s="64"/>
      <c r="C465" s="64"/>
      <c r="D465" s="64"/>
      <c r="E465" s="64"/>
      <c r="F465" s="64"/>
      <c r="G465" s="64"/>
      <c r="H465" s="64"/>
      <c r="I465" s="27" t="str">
        <f>IFERROR(__xludf.DUMMYFUNCTION("IF(A465="""","""",
TEXTJOIN(""-"",TRUE,
IFERROR(
  INDEX(FILTER(CFG_CODES!C:C, CFG_CODES!A:A=""CATEGORY"", UPPER(CFG_CODES!B:B)=UPPER(B465))),
  LEFT(UPPER(B465),3)
),
IFERROR(
  INDEX(FILTER(CFG_CODES!C:C, CFG_CODES!A:A=""MATERIAL"", UPPER(CFG_CODES!B:B)"&amp;"=UPPER(C465))),
  LEFT(UPPER(C465),3)
),
TEXT(ROW()-1,""000"")
))"),"")</f>
        <v/>
      </c>
      <c r="J465" s="64"/>
      <c r="K465" s="64"/>
      <c r="L465" s="64"/>
      <c r="M465" s="64"/>
      <c r="N465" s="64"/>
      <c r="O465" s="64" t="s">
        <v>1333</v>
      </c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</row>
    <row r="466" ht="15.0" customHeight="1">
      <c r="A466" s="64"/>
      <c r="B466" s="64"/>
      <c r="C466" s="64"/>
      <c r="D466" s="64"/>
      <c r="E466" s="64"/>
      <c r="F466" s="64"/>
      <c r="G466" s="64"/>
      <c r="H466" s="64"/>
      <c r="I466" s="27" t="str">
        <f>IFERROR(__xludf.DUMMYFUNCTION("IF(A466="""","""",
TEXTJOIN(""-"",TRUE,
IFERROR(
  INDEX(FILTER(CFG_CODES!C:C, CFG_CODES!A:A=""CATEGORY"", UPPER(CFG_CODES!B:B)=UPPER(B466))),
  LEFT(UPPER(B466),3)
),
IFERROR(
  INDEX(FILTER(CFG_CODES!C:C, CFG_CODES!A:A=""MATERIAL"", UPPER(CFG_CODES!B:B)"&amp;"=UPPER(C466))),
  LEFT(UPPER(C466),3)
),
TEXT(ROW()-1,""000"")
))"),"")</f>
        <v/>
      </c>
      <c r="J466" s="64"/>
      <c r="K466" s="64"/>
      <c r="L466" s="64"/>
      <c r="M466" s="64"/>
      <c r="N466" s="64"/>
      <c r="O466" s="64" t="s">
        <v>1333</v>
      </c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</row>
    <row r="467" ht="15.0" customHeight="1">
      <c r="A467" s="64"/>
      <c r="B467" s="64"/>
      <c r="C467" s="64"/>
      <c r="D467" s="64"/>
      <c r="E467" s="64"/>
      <c r="F467" s="64"/>
      <c r="G467" s="64"/>
      <c r="H467" s="64"/>
      <c r="I467" s="27" t="str">
        <f>IFERROR(__xludf.DUMMYFUNCTION("IF(A467="""","""",
TEXTJOIN(""-"",TRUE,
IFERROR(
  INDEX(FILTER(CFG_CODES!C:C, CFG_CODES!A:A=""CATEGORY"", UPPER(CFG_CODES!B:B)=UPPER(B467))),
  LEFT(UPPER(B467),3)
),
IFERROR(
  INDEX(FILTER(CFG_CODES!C:C, CFG_CODES!A:A=""MATERIAL"", UPPER(CFG_CODES!B:B)"&amp;"=UPPER(C467))),
  LEFT(UPPER(C467),3)
),
TEXT(ROW()-1,""000"")
))"),"")</f>
        <v/>
      </c>
      <c r="J467" s="64"/>
      <c r="K467" s="64"/>
      <c r="L467" s="64"/>
      <c r="M467" s="64"/>
      <c r="N467" s="64"/>
      <c r="O467" s="64" t="s">
        <v>1333</v>
      </c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</row>
    <row r="468" ht="15.0" customHeight="1">
      <c r="A468" s="64"/>
      <c r="B468" s="64"/>
      <c r="C468" s="64"/>
      <c r="D468" s="64"/>
      <c r="E468" s="64"/>
      <c r="F468" s="64"/>
      <c r="G468" s="64"/>
      <c r="H468" s="64"/>
      <c r="I468" s="27" t="str">
        <f>IFERROR(__xludf.DUMMYFUNCTION("IF(A468="""","""",
TEXTJOIN(""-"",TRUE,
IFERROR(
  INDEX(FILTER(CFG_CODES!C:C, CFG_CODES!A:A=""CATEGORY"", UPPER(CFG_CODES!B:B)=UPPER(B468))),
  LEFT(UPPER(B468),3)
),
IFERROR(
  INDEX(FILTER(CFG_CODES!C:C, CFG_CODES!A:A=""MATERIAL"", UPPER(CFG_CODES!B:B)"&amp;"=UPPER(C468))),
  LEFT(UPPER(C468),3)
),
TEXT(ROW()-1,""000"")
))"),"")</f>
        <v/>
      </c>
      <c r="J468" s="64"/>
      <c r="K468" s="64"/>
      <c r="L468" s="64"/>
      <c r="M468" s="64"/>
      <c r="N468" s="64"/>
      <c r="O468" s="64" t="s">
        <v>1333</v>
      </c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</row>
    <row r="469" ht="15.0" customHeight="1">
      <c r="A469" s="64"/>
      <c r="B469" s="64"/>
      <c r="C469" s="64"/>
      <c r="D469" s="64"/>
      <c r="E469" s="64"/>
      <c r="F469" s="64"/>
      <c r="G469" s="64"/>
      <c r="H469" s="64"/>
      <c r="I469" s="27" t="str">
        <f>IFERROR(__xludf.DUMMYFUNCTION("IF(A469="""","""",
TEXTJOIN(""-"",TRUE,
IFERROR(
  INDEX(FILTER(CFG_CODES!C:C, CFG_CODES!A:A=""CATEGORY"", UPPER(CFG_CODES!B:B)=UPPER(B469))),
  LEFT(UPPER(B469),3)
),
IFERROR(
  INDEX(FILTER(CFG_CODES!C:C, CFG_CODES!A:A=""MATERIAL"", UPPER(CFG_CODES!B:B)"&amp;"=UPPER(C469))),
  LEFT(UPPER(C469),3)
),
TEXT(ROW()-1,""000"")
))"),"")</f>
        <v/>
      </c>
      <c r="J469" s="64"/>
      <c r="K469" s="64"/>
      <c r="L469" s="64"/>
      <c r="M469" s="64"/>
      <c r="N469" s="64"/>
      <c r="O469" s="64" t="s">
        <v>1333</v>
      </c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</row>
    <row r="470" ht="15.0" customHeight="1">
      <c r="A470" s="64"/>
      <c r="B470" s="64"/>
      <c r="C470" s="64"/>
      <c r="D470" s="64"/>
      <c r="E470" s="64"/>
      <c r="F470" s="64"/>
      <c r="G470" s="64"/>
      <c r="H470" s="64"/>
      <c r="I470" s="27" t="str">
        <f>IFERROR(__xludf.DUMMYFUNCTION("IF(A470="""","""",
TEXTJOIN(""-"",TRUE,
IFERROR(
  INDEX(FILTER(CFG_CODES!C:C, CFG_CODES!A:A=""CATEGORY"", UPPER(CFG_CODES!B:B)=UPPER(B470))),
  LEFT(UPPER(B470),3)
),
IFERROR(
  INDEX(FILTER(CFG_CODES!C:C, CFG_CODES!A:A=""MATERIAL"", UPPER(CFG_CODES!B:B)"&amp;"=UPPER(C470))),
  LEFT(UPPER(C470),3)
),
TEXT(ROW()-1,""000"")
))"),"")</f>
        <v/>
      </c>
      <c r="J470" s="64"/>
      <c r="K470" s="64"/>
      <c r="L470" s="64"/>
      <c r="M470" s="64"/>
      <c r="N470" s="64"/>
      <c r="O470" s="64" t="s">
        <v>1333</v>
      </c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</row>
    <row r="471" ht="15.0" customHeight="1">
      <c r="A471" s="64"/>
      <c r="B471" s="64"/>
      <c r="C471" s="64"/>
      <c r="D471" s="64"/>
      <c r="E471" s="64"/>
      <c r="F471" s="64"/>
      <c r="G471" s="64"/>
      <c r="H471" s="64"/>
      <c r="I471" s="27" t="str">
        <f>IFERROR(__xludf.DUMMYFUNCTION("IF(A471="""","""",
TEXTJOIN(""-"",TRUE,
IFERROR(
  INDEX(FILTER(CFG_CODES!C:C, CFG_CODES!A:A=""CATEGORY"", UPPER(CFG_CODES!B:B)=UPPER(B471))),
  LEFT(UPPER(B471),3)
),
IFERROR(
  INDEX(FILTER(CFG_CODES!C:C, CFG_CODES!A:A=""MATERIAL"", UPPER(CFG_CODES!B:B)"&amp;"=UPPER(C471))),
  LEFT(UPPER(C471),3)
),
TEXT(ROW()-1,""000"")
))"),"")</f>
        <v/>
      </c>
      <c r="J471" s="64"/>
      <c r="K471" s="64"/>
      <c r="L471" s="64"/>
      <c r="M471" s="64"/>
      <c r="N471" s="64"/>
      <c r="O471" s="64" t="s">
        <v>1333</v>
      </c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</row>
    <row r="472" ht="15.0" customHeight="1">
      <c r="A472" s="64"/>
      <c r="B472" s="64"/>
      <c r="C472" s="64"/>
      <c r="D472" s="64"/>
      <c r="E472" s="64"/>
      <c r="F472" s="64"/>
      <c r="G472" s="64"/>
      <c r="H472" s="64"/>
      <c r="I472" s="27" t="str">
        <f>IFERROR(__xludf.DUMMYFUNCTION("IF(A472="""","""",
TEXTJOIN(""-"",TRUE,
IFERROR(
  INDEX(FILTER(CFG_CODES!C:C, CFG_CODES!A:A=""CATEGORY"", UPPER(CFG_CODES!B:B)=UPPER(B472))),
  LEFT(UPPER(B472),3)
),
IFERROR(
  INDEX(FILTER(CFG_CODES!C:C, CFG_CODES!A:A=""MATERIAL"", UPPER(CFG_CODES!B:B)"&amp;"=UPPER(C472))),
  LEFT(UPPER(C472),3)
),
TEXT(ROW()-1,""000"")
))"),"")</f>
        <v/>
      </c>
      <c r="J472" s="64"/>
      <c r="K472" s="64"/>
      <c r="L472" s="64"/>
      <c r="M472" s="64"/>
      <c r="N472" s="64"/>
      <c r="O472" s="64" t="s">
        <v>1333</v>
      </c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</row>
    <row r="473" ht="15.0" customHeight="1">
      <c r="A473" s="64"/>
      <c r="B473" s="64"/>
      <c r="C473" s="64"/>
      <c r="D473" s="64"/>
      <c r="E473" s="64"/>
      <c r="F473" s="64"/>
      <c r="G473" s="64"/>
      <c r="H473" s="64"/>
      <c r="I473" s="27" t="str">
        <f>IFERROR(__xludf.DUMMYFUNCTION("IF(A473="""","""",
TEXTJOIN(""-"",TRUE,
IFERROR(
  INDEX(FILTER(CFG_CODES!C:C, CFG_CODES!A:A=""CATEGORY"", UPPER(CFG_CODES!B:B)=UPPER(B473))),
  LEFT(UPPER(B473),3)
),
IFERROR(
  INDEX(FILTER(CFG_CODES!C:C, CFG_CODES!A:A=""MATERIAL"", UPPER(CFG_CODES!B:B)"&amp;"=UPPER(C473))),
  LEFT(UPPER(C473),3)
),
TEXT(ROW()-1,""000"")
))"),"")</f>
        <v/>
      </c>
      <c r="J473" s="64"/>
      <c r="K473" s="64"/>
      <c r="L473" s="64"/>
      <c r="M473" s="64"/>
      <c r="N473" s="64"/>
      <c r="O473" s="64" t="s">
        <v>1333</v>
      </c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</row>
    <row r="474" ht="15.0" customHeight="1">
      <c r="A474" s="64"/>
      <c r="B474" s="64"/>
      <c r="C474" s="64"/>
      <c r="D474" s="64"/>
      <c r="E474" s="64"/>
      <c r="F474" s="64"/>
      <c r="G474" s="64"/>
      <c r="H474" s="64"/>
      <c r="I474" s="27" t="str">
        <f>IFERROR(__xludf.DUMMYFUNCTION("IF(A474="""","""",
TEXTJOIN(""-"",TRUE,
IFERROR(
  INDEX(FILTER(CFG_CODES!C:C, CFG_CODES!A:A=""CATEGORY"", UPPER(CFG_CODES!B:B)=UPPER(B474))),
  LEFT(UPPER(B474),3)
),
IFERROR(
  INDEX(FILTER(CFG_CODES!C:C, CFG_CODES!A:A=""MATERIAL"", UPPER(CFG_CODES!B:B)"&amp;"=UPPER(C474))),
  LEFT(UPPER(C474),3)
),
TEXT(ROW()-1,""000"")
))"),"")</f>
        <v/>
      </c>
      <c r="J474" s="64"/>
      <c r="K474" s="64"/>
      <c r="L474" s="64"/>
      <c r="M474" s="64"/>
      <c r="N474" s="64"/>
      <c r="O474" s="64" t="s">
        <v>1333</v>
      </c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</row>
    <row r="475" ht="15.0" customHeight="1">
      <c r="A475" s="64"/>
      <c r="B475" s="64"/>
      <c r="C475" s="64"/>
      <c r="D475" s="64"/>
      <c r="E475" s="64"/>
      <c r="F475" s="64"/>
      <c r="G475" s="64"/>
      <c r="H475" s="64"/>
      <c r="I475" s="27" t="str">
        <f>IFERROR(__xludf.DUMMYFUNCTION("IF(A475="""","""",
TEXTJOIN(""-"",TRUE,
IFERROR(
  INDEX(FILTER(CFG_CODES!C:C, CFG_CODES!A:A=""CATEGORY"", UPPER(CFG_CODES!B:B)=UPPER(B475))),
  LEFT(UPPER(B475),3)
),
IFERROR(
  INDEX(FILTER(CFG_CODES!C:C, CFG_CODES!A:A=""MATERIAL"", UPPER(CFG_CODES!B:B)"&amp;"=UPPER(C475))),
  LEFT(UPPER(C475),3)
),
TEXT(ROW()-1,""000"")
))"),"")</f>
        <v/>
      </c>
      <c r="J475" s="64"/>
      <c r="K475" s="64"/>
      <c r="L475" s="64"/>
      <c r="M475" s="64"/>
      <c r="N475" s="64"/>
      <c r="O475" s="64" t="s">
        <v>1333</v>
      </c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</row>
    <row r="476" ht="15.0" customHeight="1">
      <c r="A476" s="64"/>
      <c r="B476" s="64"/>
      <c r="C476" s="64"/>
      <c r="D476" s="64"/>
      <c r="E476" s="64"/>
      <c r="F476" s="64"/>
      <c r="G476" s="64"/>
      <c r="H476" s="64"/>
      <c r="I476" s="27" t="str">
        <f>IFERROR(__xludf.DUMMYFUNCTION("IF(A476="""","""",
TEXTJOIN(""-"",TRUE,
IFERROR(
  INDEX(FILTER(CFG_CODES!C:C, CFG_CODES!A:A=""CATEGORY"", UPPER(CFG_CODES!B:B)=UPPER(B476))),
  LEFT(UPPER(B476),3)
),
IFERROR(
  INDEX(FILTER(CFG_CODES!C:C, CFG_CODES!A:A=""MATERIAL"", UPPER(CFG_CODES!B:B)"&amp;"=UPPER(C476))),
  LEFT(UPPER(C476),3)
),
TEXT(ROW()-1,""000"")
))"),"")</f>
        <v/>
      </c>
      <c r="J476" s="64"/>
      <c r="K476" s="64"/>
      <c r="L476" s="64"/>
      <c r="M476" s="64"/>
      <c r="N476" s="64"/>
      <c r="O476" s="64" t="s">
        <v>1333</v>
      </c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</row>
    <row r="477" ht="15.0" customHeight="1">
      <c r="A477" s="64"/>
      <c r="B477" s="64"/>
      <c r="C477" s="64"/>
      <c r="D477" s="64"/>
      <c r="E477" s="64"/>
      <c r="F477" s="64"/>
      <c r="G477" s="64"/>
      <c r="H477" s="64"/>
      <c r="I477" s="27" t="str">
        <f>IFERROR(__xludf.DUMMYFUNCTION("IF(A477="""","""",
TEXTJOIN(""-"",TRUE,
IFERROR(
  INDEX(FILTER(CFG_CODES!C:C, CFG_CODES!A:A=""CATEGORY"", UPPER(CFG_CODES!B:B)=UPPER(B477))),
  LEFT(UPPER(B477),3)
),
IFERROR(
  INDEX(FILTER(CFG_CODES!C:C, CFG_CODES!A:A=""MATERIAL"", UPPER(CFG_CODES!B:B)"&amp;"=UPPER(C477))),
  LEFT(UPPER(C477),3)
),
TEXT(ROW()-1,""000"")
))"),"")</f>
        <v/>
      </c>
      <c r="J477" s="64"/>
      <c r="K477" s="64"/>
      <c r="L477" s="64"/>
      <c r="M477" s="64"/>
      <c r="N477" s="64"/>
      <c r="O477" s="64" t="s">
        <v>1333</v>
      </c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</row>
    <row r="478" ht="15.0" customHeight="1">
      <c r="A478" s="64"/>
      <c r="B478" s="64"/>
      <c r="C478" s="64"/>
      <c r="D478" s="64"/>
      <c r="E478" s="64"/>
      <c r="F478" s="64"/>
      <c r="G478" s="64"/>
      <c r="H478" s="64"/>
      <c r="I478" s="27" t="str">
        <f>IFERROR(__xludf.DUMMYFUNCTION("IF(A478="""","""",
TEXTJOIN(""-"",TRUE,
IFERROR(
  INDEX(FILTER(CFG_CODES!C:C, CFG_CODES!A:A=""CATEGORY"", UPPER(CFG_CODES!B:B)=UPPER(B478))),
  LEFT(UPPER(B478),3)
),
IFERROR(
  INDEX(FILTER(CFG_CODES!C:C, CFG_CODES!A:A=""MATERIAL"", UPPER(CFG_CODES!B:B)"&amp;"=UPPER(C478))),
  LEFT(UPPER(C478),3)
),
TEXT(ROW()-1,""000"")
))"),"")</f>
        <v/>
      </c>
      <c r="J478" s="64"/>
      <c r="K478" s="64"/>
      <c r="L478" s="64"/>
      <c r="M478" s="64"/>
      <c r="N478" s="64"/>
      <c r="O478" s="64" t="s">
        <v>1333</v>
      </c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</row>
    <row r="479" ht="15.0" customHeight="1">
      <c r="A479" s="64"/>
      <c r="B479" s="64"/>
      <c r="C479" s="64"/>
      <c r="D479" s="64"/>
      <c r="E479" s="64"/>
      <c r="F479" s="64"/>
      <c r="G479" s="64"/>
      <c r="H479" s="64"/>
      <c r="I479" s="27" t="str">
        <f>IFERROR(__xludf.DUMMYFUNCTION("IF(A479="""","""",
TEXTJOIN(""-"",TRUE,
IFERROR(
  INDEX(FILTER(CFG_CODES!C:C, CFG_CODES!A:A=""CATEGORY"", UPPER(CFG_CODES!B:B)=UPPER(B479))),
  LEFT(UPPER(B479),3)
),
IFERROR(
  INDEX(FILTER(CFG_CODES!C:C, CFG_CODES!A:A=""MATERIAL"", UPPER(CFG_CODES!B:B)"&amp;"=UPPER(C479))),
  LEFT(UPPER(C479),3)
),
TEXT(ROW()-1,""000"")
))"),"")</f>
        <v/>
      </c>
      <c r="J479" s="64"/>
      <c r="K479" s="64"/>
      <c r="L479" s="64"/>
      <c r="M479" s="64"/>
      <c r="N479" s="64"/>
      <c r="O479" s="64" t="s">
        <v>1333</v>
      </c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</row>
    <row r="480" ht="15.0" customHeight="1">
      <c r="A480" s="64"/>
      <c r="B480" s="64"/>
      <c r="C480" s="64"/>
      <c r="D480" s="64"/>
      <c r="E480" s="64"/>
      <c r="F480" s="64"/>
      <c r="G480" s="64"/>
      <c r="H480" s="64"/>
      <c r="I480" s="27" t="str">
        <f>IFERROR(__xludf.DUMMYFUNCTION("IF(A480="""","""",
TEXTJOIN(""-"",TRUE,
IFERROR(
  INDEX(FILTER(CFG_CODES!C:C, CFG_CODES!A:A=""CATEGORY"", UPPER(CFG_CODES!B:B)=UPPER(B480))),
  LEFT(UPPER(B480),3)
),
IFERROR(
  INDEX(FILTER(CFG_CODES!C:C, CFG_CODES!A:A=""MATERIAL"", UPPER(CFG_CODES!B:B)"&amp;"=UPPER(C480))),
  LEFT(UPPER(C480),3)
),
TEXT(ROW()-1,""000"")
))"),"")</f>
        <v/>
      </c>
      <c r="J480" s="64"/>
      <c r="K480" s="64"/>
      <c r="L480" s="64"/>
      <c r="M480" s="64"/>
      <c r="N480" s="64"/>
      <c r="O480" s="64" t="s">
        <v>1333</v>
      </c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</row>
    <row r="481" ht="15.0" customHeight="1">
      <c r="A481" s="64"/>
      <c r="B481" s="64"/>
      <c r="C481" s="64"/>
      <c r="D481" s="64"/>
      <c r="E481" s="64"/>
      <c r="F481" s="64"/>
      <c r="G481" s="64"/>
      <c r="H481" s="64"/>
      <c r="I481" s="27" t="str">
        <f>IFERROR(__xludf.DUMMYFUNCTION("IF(A481="""","""",
TEXTJOIN(""-"",TRUE,
IFERROR(
  INDEX(FILTER(CFG_CODES!C:C, CFG_CODES!A:A=""CATEGORY"", UPPER(CFG_CODES!B:B)=UPPER(B481))),
  LEFT(UPPER(B481),3)
),
IFERROR(
  INDEX(FILTER(CFG_CODES!C:C, CFG_CODES!A:A=""MATERIAL"", UPPER(CFG_CODES!B:B)"&amp;"=UPPER(C481))),
  LEFT(UPPER(C481),3)
),
TEXT(ROW()-1,""000"")
))"),"")</f>
        <v/>
      </c>
      <c r="J481" s="64"/>
      <c r="K481" s="64"/>
      <c r="L481" s="64"/>
      <c r="M481" s="64"/>
      <c r="N481" s="64"/>
      <c r="O481" s="64" t="s">
        <v>1333</v>
      </c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</row>
    <row r="482" ht="15.0" customHeight="1">
      <c r="A482" s="64"/>
      <c r="B482" s="64"/>
      <c r="C482" s="64"/>
      <c r="D482" s="64"/>
      <c r="E482" s="64"/>
      <c r="F482" s="64"/>
      <c r="G482" s="64"/>
      <c r="H482" s="64"/>
      <c r="I482" s="27" t="str">
        <f>IFERROR(__xludf.DUMMYFUNCTION("IF(A482="""","""",
TEXTJOIN(""-"",TRUE,
IFERROR(
  INDEX(FILTER(CFG_CODES!C:C, CFG_CODES!A:A=""CATEGORY"", UPPER(CFG_CODES!B:B)=UPPER(B482))),
  LEFT(UPPER(B482),3)
),
IFERROR(
  INDEX(FILTER(CFG_CODES!C:C, CFG_CODES!A:A=""MATERIAL"", UPPER(CFG_CODES!B:B)"&amp;"=UPPER(C482))),
  LEFT(UPPER(C482),3)
),
TEXT(ROW()-1,""000"")
))"),"")</f>
        <v/>
      </c>
      <c r="J482" s="64"/>
      <c r="K482" s="64"/>
      <c r="L482" s="64"/>
      <c r="M482" s="64"/>
      <c r="N482" s="64"/>
      <c r="O482" s="64" t="s">
        <v>1333</v>
      </c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</row>
    <row r="483" ht="15.0" customHeight="1">
      <c r="A483" s="64"/>
      <c r="B483" s="64"/>
      <c r="C483" s="64"/>
      <c r="D483" s="64"/>
      <c r="E483" s="64"/>
      <c r="F483" s="64"/>
      <c r="G483" s="64"/>
      <c r="H483" s="64"/>
      <c r="I483" s="27" t="str">
        <f>IFERROR(__xludf.DUMMYFUNCTION("IF(A483="""","""",
TEXTJOIN(""-"",TRUE,
IFERROR(
  INDEX(FILTER(CFG_CODES!C:C, CFG_CODES!A:A=""CATEGORY"", UPPER(CFG_CODES!B:B)=UPPER(B483))),
  LEFT(UPPER(B483),3)
),
IFERROR(
  INDEX(FILTER(CFG_CODES!C:C, CFG_CODES!A:A=""MATERIAL"", UPPER(CFG_CODES!B:B)"&amp;"=UPPER(C483))),
  LEFT(UPPER(C483),3)
),
TEXT(ROW()-1,""000"")
))"),"")</f>
        <v/>
      </c>
      <c r="J483" s="64"/>
      <c r="K483" s="64"/>
      <c r="L483" s="64"/>
      <c r="M483" s="64"/>
      <c r="N483" s="64"/>
      <c r="O483" s="64" t="s">
        <v>1333</v>
      </c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</row>
    <row r="484" ht="15.0" customHeight="1">
      <c r="A484" s="64"/>
      <c r="B484" s="64"/>
      <c r="C484" s="64"/>
      <c r="D484" s="64"/>
      <c r="E484" s="64"/>
      <c r="F484" s="64"/>
      <c r="G484" s="64"/>
      <c r="H484" s="64"/>
      <c r="I484" s="27" t="str">
        <f>IFERROR(__xludf.DUMMYFUNCTION("IF(A484="""","""",
TEXTJOIN(""-"",TRUE,
IFERROR(
  INDEX(FILTER(CFG_CODES!C:C, CFG_CODES!A:A=""CATEGORY"", UPPER(CFG_CODES!B:B)=UPPER(B484))),
  LEFT(UPPER(B484),3)
),
IFERROR(
  INDEX(FILTER(CFG_CODES!C:C, CFG_CODES!A:A=""MATERIAL"", UPPER(CFG_CODES!B:B)"&amp;"=UPPER(C484))),
  LEFT(UPPER(C484),3)
),
TEXT(ROW()-1,""000"")
))"),"")</f>
        <v/>
      </c>
      <c r="J484" s="64"/>
      <c r="K484" s="64"/>
      <c r="L484" s="64"/>
      <c r="M484" s="64"/>
      <c r="N484" s="64"/>
      <c r="O484" s="64" t="s">
        <v>1333</v>
      </c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</row>
    <row r="485" ht="15.0" customHeight="1">
      <c r="A485" s="64"/>
      <c r="B485" s="64"/>
      <c r="C485" s="64"/>
      <c r="D485" s="64"/>
      <c r="E485" s="64"/>
      <c r="F485" s="64"/>
      <c r="G485" s="64"/>
      <c r="H485" s="64"/>
      <c r="I485" s="27" t="str">
        <f>IFERROR(__xludf.DUMMYFUNCTION("IF(A485="""","""",
TEXTJOIN(""-"",TRUE,
IFERROR(
  INDEX(FILTER(CFG_CODES!C:C, CFG_CODES!A:A=""CATEGORY"", UPPER(CFG_CODES!B:B)=UPPER(B485))),
  LEFT(UPPER(B485),3)
),
IFERROR(
  INDEX(FILTER(CFG_CODES!C:C, CFG_CODES!A:A=""MATERIAL"", UPPER(CFG_CODES!B:B)"&amp;"=UPPER(C485))),
  LEFT(UPPER(C485),3)
),
TEXT(ROW()-1,""000"")
))"),"")</f>
        <v/>
      </c>
      <c r="J485" s="64"/>
      <c r="K485" s="64"/>
      <c r="L485" s="64"/>
      <c r="M485" s="64"/>
      <c r="N485" s="64"/>
      <c r="O485" s="64" t="s">
        <v>1333</v>
      </c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</row>
    <row r="486" ht="15.0" customHeight="1">
      <c r="A486" s="64"/>
      <c r="B486" s="64"/>
      <c r="C486" s="64"/>
      <c r="D486" s="64"/>
      <c r="E486" s="64"/>
      <c r="F486" s="64"/>
      <c r="G486" s="64"/>
      <c r="H486" s="64"/>
      <c r="I486" s="27" t="str">
        <f>IFERROR(__xludf.DUMMYFUNCTION("IF(A486="""","""",
TEXTJOIN(""-"",TRUE,
IFERROR(
  INDEX(FILTER(CFG_CODES!C:C, CFG_CODES!A:A=""CATEGORY"", UPPER(CFG_CODES!B:B)=UPPER(B486))),
  LEFT(UPPER(B486),3)
),
IFERROR(
  INDEX(FILTER(CFG_CODES!C:C, CFG_CODES!A:A=""MATERIAL"", UPPER(CFG_CODES!B:B)"&amp;"=UPPER(C486))),
  LEFT(UPPER(C486),3)
),
TEXT(ROW()-1,""000"")
))"),"")</f>
        <v/>
      </c>
      <c r="J486" s="64"/>
      <c r="K486" s="64"/>
      <c r="L486" s="64"/>
      <c r="M486" s="64"/>
      <c r="N486" s="64"/>
      <c r="O486" s="64" t="s">
        <v>1333</v>
      </c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</row>
    <row r="487" ht="15.0" customHeight="1">
      <c r="A487" s="64"/>
      <c r="B487" s="64"/>
      <c r="C487" s="64"/>
      <c r="D487" s="64"/>
      <c r="E487" s="64"/>
      <c r="F487" s="64"/>
      <c r="G487" s="64"/>
      <c r="H487" s="64"/>
      <c r="I487" s="27" t="str">
        <f>IFERROR(__xludf.DUMMYFUNCTION("IF(A487="""","""",
TEXTJOIN(""-"",TRUE,
IFERROR(
  INDEX(FILTER(CFG_CODES!C:C, CFG_CODES!A:A=""CATEGORY"", UPPER(CFG_CODES!B:B)=UPPER(B487))),
  LEFT(UPPER(B487),3)
),
IFERROR(
  INDEX(FILTER(CFG_CODES!C:C, CFG_CODES!A:A=""MATERIAL"", UPPER(CFG_CODES!B:B)"&amp;"=UPPER(C487))),
  LEFT(UPPER(C487),3)
),
TEXT(ROW()-1,""000"")
))"),"")</f>
        <v/>
      </c>
      <c r="J487" s="64"/>
      <c r="K487" s="64"/>
      <c r="L487" s="64"/>
      <c r="M487" s="64"/>
      <c r="N487" s="64"/>
      <c r="O487" s="64" t="s">
        <v>1333</v>
      </c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</row>
    <row r="488" ht="15.0" customHeight="1">
      <c r="A488" s="64"/>
      <c r="B488" s="64"/>
      <c r="C488" s="64"/>
      <c r="D488" s="64"/>
      <c r="E488" s="64"/>
      <c r="F488" s="64"/>
      <c r="G488" s="64"/>
      <c r="H488" s="64"/>
      <c r="I488" s="27" t="str">
        <f>IFERROR(__xludf.DUMMYFUNCTION("IF(A488="""","""",
TEXTJOIN(""-"",TRUE,
IFERROR(
  INDEX(FILTER(CFG_CODES!C:C, CFG_CODES!A:A=""CATEGORY"", UPPER(CFG_CODES!B:B)=UPPER(B488))),
  LEFT(UPPER(B488),3)
),
IFERROR(
  INDEX(FILTER(CFG_CODES!C:C, CFG_CODES!A:A=""MATERIAL"", UPPER(CFG_CODES!B:B)"&amp;"=UPPER(C488))),
  LEFT(UPPER(C488),3)
),
TEXT(ROW()-1,""000"")
))"),"")</f>
        <v/>
      </c>
      <c r="J488" s="64"/>
      <c r="K488" s="64"/>
      <c r="L488" s="64"/>
      <c r="M488" s="64"/>
      <c r="N488" s="64"/>
      <c r="O488" s="64" t="s">
        <v>1333</v>
      </c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</row>
    <row r="489" ht="15.0" customHeight="1">
      <c r="A489" s="64"/>
      <c r="B489" s="64"/>
      <c r="C489" s="64"/>
      <c r="D489" s="64"/>
      <c r="E489" s="64"/>
      <c r="F489" s="64"/>
      <c r="G489" s="64"/>
      <c r="H489" s="64"/>
      <c r="I489" s="27" t="str">
        <f>IFERROR(__xludf.DUMMYFUNCTION("IF(A489="""","""",
TEXTJOIN(""-"",TRUE,
IFERROR(
  INDEX(FILTER(CFG_CODES!C:C, CFG_CODES!A:A=""CATEGORY"", UPPER(CFG_CODES!B:B)=UPPER(B489))),
  LEFT(UPPER(B489),3)
),
IFERROR(
  INDEX(FILTER(CFG_CODES!C:C, CFG_CODES!A:A=""MATERIAL"", UPPER(CFG_CODES!B:B)"&amp;"=UPPER(C489))),
  LEFT(UPPER(C489),3)
),
TEXT(ROW()-1,""000"")
))"),"")</f>
        <v/>
      </c>
      <c r="J489" s="64"/>
      <c r="K489" s="64"/>
      <c r="L489" s="64"/>
      <c r="M489" s="64"/>
      <c r="N489" s="64"/>
      <c r="O489" s="64" t="s">
        <v>1333</v>
      </c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</row>
    <row r="490" ht="15.0" customHeight="1">
      <c r="A490" s="64"/>
      <c r="B490" s="64"/>
      <c r="C490" s="64"/>
      <c r="D490" s="64"/>
      <c r="E490" s="64"/>
      <c r="F490" s="64"/>
      <c r="G490" s="64"/>
      <c r="H490" s="64"/>
      <c r="I490" s="27" t="str">
        <f>IFERROR(__xludf.DUMMYFUNCTION("IF(A490="""","""",
TEXTJOIN(""-"",TRUE,
IFERROR(
  INDEX(FILTER(CFG_CODES!C:C, CFG_CODES!A:A=""CATEGORY"", UPPER(CFG_CODES!B:B)=UPPER(B490))),
  LEFT(UPPER(B490),3)
),
IFERROR(
  INDEX(FILTER(CFG_CODES!C:C, CFG_CODES!A:A=""MATERIAL"", UPPER(CFG_CODES!B:B)"&amp;"=UPPER(C490))),
  LEFT(UPPER(C490),3)
),
TEXT(ROW()-1,""000"")
))"),"")</f>
        <v/>
      </c>
      <c r="J490" s="64"/>
      <c r="K490" s="64"/>
      <c r="L490" s="64"/>
      <c r="M490" s="64"/>
      <c r="N490" s="64"/>
      <c r="O490" s="64" t="s">
        <v>1333</v>
      </c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</row>
    <row r="491" ht="15.0" customHeight="1">
      <c r="A491" s="64"/>
      <c r="B491" s="64"/>
      <c r="C491" s="64"/>
      <c r="D491" s="64"/>
      <c r="E491" s="64"/>
      <c r="F491" s="64"/>
      <c r="G491" s="64"/>
      <c r="H491" s="64"/>
      <c r="I491" s="27" t="str">
        <f>IFERROR(__xludf.DUMMYFUNCTION("IF(A491="""","""",
TEXTJOIN(""-"",TRUE,
IFERROR(
  INDEX(FILTER(CFG_CODES!C:C, CFG_CODES!A:A=""CATEGORY"", UPPER(CFG_CODES!B:B)=UPPER(B491))),
  LEFT(UPPER(B491),3)
),
IFERROR(
  INDEX(FILTER(CFG_CODES!C:C, CFG_CODES!A:A=""MATERIAL"", UPPER(CFG_CODES!B:B)"&amp;"=UPPER(C491))),
  LEFT(UPPER(C491),3)
),
TEXT(ROW()-1,""000"")
))"),"")</f>
        <v/>
      </c>
      <c r="J491" s="64"/>
      <c r="K491" s="64"/>
      <c r="L491" s="64"/>
      <c r="M491" s="64"/>
      <c r="N491" s="64"/>
      <c r="O491" s="64" t="s">
        <v>1333</v>
      </c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</row>
    <row r="492" ht="15.0" customHeight="1">
      <c r="A492" s="64"/>
      <c r="B492" s="64"/>
      <c r="C492" s="64"/>
      <c r="D492" s="64"/>
      <c r="E492" s="64"/>
      <c r="F492" s="64"/>
      <c r="G492" s="64"/>
      <c r="H492" s="64"/>
      <c r="I492" s="27" t="str">
        <f>IFERROR(__xludf.DUMMYFUNCTION("IF(A492="""","""",
TEXTJOIN(""-"",TRUE,
IFERROR(
  INDEX(FILTER(CFG_CODES!C:C, CFG_CODES!A:A=""CATEGORY"", UPPER(CFG_CODES!B:B)=UPPER(B492))),
  LEFT(UPPER(B492),3)
),
IFERROR(
  INDEX(FILTER(CFG_CODES!C:C, CFG_CODES!A:A=""MATERIAL"", UPPER(CFG_CODES!B:B)"&amp;"=UPPER(C492))),
  LEFT(UPPER(C492),3)
),
TEXT(ROW()-1,""000"")
))"),"")</f>
        <v/>
      </c>
      <c r="J492" s="64"/>
      <c r="K492" s="64"/>
      <c r="L492" s="64"/>
      <c r="M492" s="64"/>
      <c r="N492" s="64"/>
      <c r="O492" s="64" t="s">
        <v>1333</v>
      </c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</row>
    <row r="493" ht="15.0" customHeight="1">
      <c r="A493" s="64"/>
      <c r="B493" s="64"/>
      <c r="C493" s="64"/>
      <c r="D493" s="64"/>
      <c r="E493" s="64"/>
      <c r="F493" s="64"/>
      <c r="G493" s="64"/>
      <c r="H493" s="64"/>
      <c r="I493" s="27" t="str">
        <f>IFERROR(__xludf.DUMMYFUNCTION("IF(A493="""","""",
TEXTJOIN(""-"",TRUE,
IFERROR(
  INDEX(FILTER(CFG_CODES!C:C, CFG_CODES!A:A=""CATEGORY"", UPPER(CFG_CODES!B:B)=UPPER(B493))),
  LEFT(UPPER(B493),3)
),
IFERROR(
  INDEX(FILTER(CFG_CODES!C:C, CFG_CODES!A:A=""MATERIAL"", UPPER(CFG_CODES!B:B)"&amp;"=UPPER(C493))),
  LEFT(UPPER(C493),3)
),
TEXT(ROW()-1,""000"")
))"),"")</f>
        <v/>
      </c>
      <c r="J493" s="64"/>
      <c r="K493" s="64"/>
      <c r="L493" s="64"/>
      <c r="M493" s="64"/>
      <c r="N493" s="64"/>
      <c r="O493" s="64" t="s">
        <v>1333</v>
      </c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</row>
    <row r="494" ht="15.0" customHeight="1">
      <c r="A494" s="64"/>
      <c r="B494" s="64"/>
      <c r="C494" s="64"/>
      <c r="D494" s="64"/>
      <c r="E494" s="64"/>
      <c r="F494" s="64"/>
      <c r="G494" s="64"/>
      <c r="H494" s="64"/>
      <c r="I494" s="27" t="str">
        <f>IFERROR(__xludf.DUMMYFUNCTION("IF(A494="""","""",
TEXTJOIN(""-"",TRUE,
IFERROR(
  INDEX(FILTER(CFG_CODES!C:C, CFG_CODES!A:A=""CATEGORY"", UPPER(CFG_CODES!B:B)=UPPER(B494))),
  LEFT(UPPER(B494),3)
),
IFERROR(
  INDEX(FILTER(CFG_CODES!C:C, CFG_CODES!A:A=""MATERIAL"", UPPER(CFG_CODES!B:B)"&amp;"=UPPER(C494))),
  LEFT(UPPER(C494),3)
),
TEXT(ROW()-1,""000"")
))"),"")</f>
        <v/>
      </c>
      <c r="J494" s="64"/>
      <c r="K494" s="64"/>
      <c r="L494" s="64"/>
      <c r="M494" s="64"/>
      <c r="N494" s="64"/>
      <c r="O494" s="64" t="s">
        <v>1333</v>
      </c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</row>
    <row r="495" ht="15.0" customHeight="1">
      <c r="A495" s="64"/>
      <c r="B495" s="64"/>
      <c r="C495" s="64"/>
      <c r="D495" s="64"/>
      <c r="E495" s="64"/>
      <c r="F495" s="64"/>
      <c r="G495" s="64"/>
      <c r="H495" s="64"/>
      <c r="I495" s="27" t="str">
        <f>IFERROR(__xludf.DUMMYFUNCTION("IF(A495="""","""",
TEXTJOIN(""-"",TRUE,
IFERROR(
  INDEX(FILTER(CFG_CODES!C:C, CFG_CODES!A:A=""CATEGORY"", UPPER(CFG_CODES!B:B)=UPPER(B495))),
  LEFT(UPPER(B495),3)
),
IFERROR(
  INDEX(FILTER(CFG_CODES!C:C, CFG_CODES!A:A=""MATERIAL"", UPPER(CFG_CODES!B:B)"&amp;"=UPPER(C495))),
  LEFT(UPPER(C495),3)
),
TEXT(ROW()-1,""000"")
))"),"")</f>
        <v/>
      </c>
      <c r="J495" s="64"/>
      <c r="K495" s="64"/>
      <c r="L495" s="64"/>
      <c r="M495" s="64"/>
      <c r="N495" s="64"/>
      <c r="O495" s="64" t="s">
        <v>1333</v>
      </c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</row>
    <row r="496" ht="15.0" customHeight="1">
      <c r="A496" s="64"/>
      <c r="B496" s="64"/>
      <c r="C496" s="64"/>
      <c r="D496" s="64"/>
      <c r="E496" s="64"/>
      <c r="F496" s="64"/>
      <c r="G496" s="64"/>
      <c r="H496" s="64"/>
      <c r="I496" s="27" t="str">
        <f>IFERROR(__xludf.DUMMYFUNCTION("IF(A496="""","""",
TEXTJOIN(""-"",TRUE,
IFERROR(
  INDEX(FILTER(CFG_CODES!C:C, CFG_CODES!A:A=""CATEGORY"", UPPER(CFG_CODES!B:B)=UPPER(B496))),
  LEFT(UPPER(B496),3)
),
IFERROR(
  INDEX(FILTER(CFG_CODES!C:C, CFG_CODES!A:A=""MATERIAL"", UPPER(CFG_CODES!B:B)"&amp;"=UPPER(C496))),
  LEFT(UPPER(C496),3)
),
TEXT(ROW()-1,""000"")
))"),"")</f>
        <v/>
      </c>
      <c r="J496" s="64"/>
      <c r="K496" s="64"/>
      <c r="L496" s="64"/>
      <c r="M496" s="64"/>
      <c r="N496" s="64"/>
      <c r="O496" s="64" t="s">
        <v>1333</v>
      </c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</row>
    <row r="497" ht="15.0" customHeight="1">
      <c r="A497" s="64"/>
      <c r="B497" s="64"/>
      <c r="C497" s="64"/>
      <c r="D497" s="64"/>
      <c r="E497" s="64"/>
      <c r="F497" s="64"/>
      <c r="G497" s="64"/>
      <c r="H497" s="64"/>
      <c r="I497" s="27" t="str">
        <f>IFERROR(__xludf.DUMMYFUNCTION("IF(A497="""","""",
TEXTJOIN(""-"",TRUE,
IFERROR(
  INDEX(FILTER(CFG_CODES!C:C, CFG_CODES!A:A=""CATEGORY"", UPPER(CFG_CODES!B:B)=UPPER(B497))),
  LEFT(UPPER(B497),3)
),
IFERROR(
  INDEX(FILTER(CFG_CODES!C:C, CFG_CODES!A:A=""MATERIAL"", UPPER(CFG_CODES!B:B)"&amp;"=UPPER(C497))),
  LEFT(UPPER(C497),3)
),
TEXT(ROW()-1,""000"")
))"),"")</f>
        <v/>
      </c>
      <c r="J497" s="64"/>
      <c r="K497" s="64"/>
      <c r="L497" s="64"/>
      <c r="M497" s="64"/>
      <c r="N497" s="64"/>
      <c r="O497" s="64" t="s">
        <v>1333</v>
      </c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</row>
    <row r="498" ht="15.0" customHeight="1">
      <c r="A498" s="64"/>
      <c r="B498" s="64"/>
      <c r="C498" s="64"/>
      <c r="D498" s="64"/>
      <c r="E498" s="64"/>
      <c r="F498" s="64"/>
      <c r="G498" s="64"/>
      <c r="H498" s="64"/>
      <c r="I498" s="27" t="str">
        <f>IFERROR(__xludf.DUMMYFUNCTION("IF(A498="""","""",
TEXTJOIN(""-"",TRUE,
IFERROR(
  INDEX(FILTER(CFG_CODES!C:C, CFG_CODES!A:A=""CATEGORY"", UPPER(CFG_CODES!B:B)=UPPER(B498))),
  LEFT(UPPER(B498),3)
),
IFERROR(
  INDEX(FILTER(CFG_CODES!C:C, CFG_CODES!A:A=""MATERIAL"", UPPER(CFG_CODES!B:B)"&amp;"=UPPER(C498))),
  LEFT(UPPER(C498),3)
),
TEXT(ROW()-1,""000"")
))"),"")</f>
        <v/>
      </c>
      <c r="J498" s="64"/>
      <c r="K498" s="64"/>
      <c r="L498" s="64"/>
      <c r="M498" s="64"/>
      <c r="N498" s="64"/>
      <c r="O498" s="64" t="s">
        <v>1333</v>
      </c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</row>
    <row r="499" ht="15.0" customHeight="1">
      <c r="A499" s="64"/>
      <c r="B499" s="64"/>
      <c r="C499" s="64"/>
      <c r="D499" s="64"/>
      <c r="E499" s="64"/>
      <c r="F499" s="64"/>
      <c r="G499" s="64"/>
      <c r="H499" s="64"/>
      <c r="I499" s="27" t="str">
        <f>IFERROR(__xludf.DUMMYFUNCTION("IF(A499="""","""",
TEXTJOIN(""-"",TRUE,
IFERROR(
  INDEX(FILTER(CFG_CODES!C:C, CFG_CODES!A:A=""CATEGORY"", UPPER(CFG_CODES!B:B)=UPPER(B499))),
  LEFT(UPPER(B499),3)
),
IFERROR(
  INDEX(FILTER(CFG_CODES!C:C, CFG_CODES!A:A=""MATERIAL"", UPPER(CFG_CODES!B:B)"&amp;"=UPPER(C499))),
  LEFT(UPPER(C499),3)
),
TEXT(ROW()-1,""000"")
))"),"")</f>
        <v/>
      </c>
      <c r="J499" s="64"/>
      <c r="K499" s="64"/>
      <c r="L499" s="64"/>
      <c r="M499" s="64"/>
      <c r="N499" s="64"/>
      <c r="O499" s="64" t="s">
        <v>1333</v>
      </c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</row>
    <row r="500" ht="15.0" customHeight="1">
      <c r="A500" s="64"/>
      <c r="B500" s="64"/>
      <c r="C500" s="64"/>
      <c r="D500" s="64"/>
      <c r="E500" s="64"/>
      <c r="F500" s="64"/>
      <c r="G500" s="64"/>
      <c r="H500" s="64"/>
      <c r="I500" s="27" t="str">
        <f>IFERROR(__xludf.DUMMYFUNCTION("IF(A500="""","""",
TEXTJOIN(""-"",TRUE,
IFERROR(
  INDEX(FILTER(CFG_CODES!C:C, CFG_CODES!A:A=""CATEGORY"", UPPER(CFG_CODES!B:B)=UPPER(B500))),
  LEFT(UPPER(B500),3)
),
IFERROR(
  INDEX(FILTER(CFG_CODES!C:C, CFG_CODES!A:A=""MATERIAL"", UPPER(CFG_CODES!B:B)"&amp;"=UPPER(C500))),
  LEFT(UPPER(C500),3)
),
TEXT(ROW()-1,""000"")
))"),"")</f>
        <v/>
      </c>
      <c r="J500" s="64"/>
      <c r="K500" s="64"/>
      <c r="L500" s="64"/>
      <c r="M500" s="64"/>
      <c r="N500" s="64"/>
      <c r="O500" s="64" t="s">
        <v>1333</v>
      </c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</row>
    <row r="501" ht="15.0" customHeight="1">
      <c r="A501" s="64"/>
      <c r="B501" s="64"/>
      <c r="C501" s="64"/>
      <c r="D501" s="64"/>
      <c r="E501" s="64"/>
      <c r="F501" s="64"/>
      <c r="G501" s="64"/>
      <c r="H501" s="64"/>
      <c r="I501" s="27" t="str">
        <f>IFERROR(__xludf.DUMMYFUNCTION("IF(A501="""","""",
TEXTJOIN(""-"",TRUE,
IFERROR(
  INDEX(FILTER(CFG_CODES!C:C, CFG_CODES!A:A=""CATEGORY"", UPPER(CFG_CODES!B:B)=UPPER(B501))),
  LEFT(UPPER(B501),3)
),
IFERROR(
  INDEX(FILTER(CFG_CODES!C:C, CFG_CODES!A:A=""MATERIAL"", UPPER(CFG_CODES!B:B)"&amp;"=UPPER(C501))),
  LEFT(UPPER(C501),3)
),
TEXT(ROW()-1,""000"")
))"),"")</f>
        <v/>
      </c>
      <c r="J501" s="64"/>
      <c r="K501" s="64"/>
      <c r="L501" s="64"/>
      <c r="M501" s="64"/>
      <c r="N501" s="64"/>
      <c r="O501" s="64" t="s">
        <v>1333</v>
      </c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</row>
    <row r="502" ht="15.0" customHeight="1">
      <c r="A502" s="64"/>
      <c r="B502" s="64"/>
      <c r="C502" s="64"/>
      <c r="D502" s="64"/>
      <c r="E502" s="64"/>
      <c r="F502" s="64"/>
      <c r="G502" s="64"/>
      <c r="H502" s="64"/>
      <c r="I502" s="27" t="str">
        <f>IFERROR(__xludf.DUMMYFUNCTION("IF(A502="""","""",
TEXTJOIN(""-"",TRUE,
IFERROR(
  INDEX(FILTER(CFG_CODES!C:C, CFG_CODES!A:A=""CATEGORY"", UPPER(CFG_CODES!B:B)=UPPER(B502))),
  LEFT(UPPER(B502),3)
),
IFERROR(
  INDEX(FILTER(CFG_CODES!C:C, CFG_CODES!A:A=""MATERIAL"", UPPER(CFG_CODES!B:B)"&amp;"=UPPER(C502))),
  LEFT(UPPER(C502),3)
),
TEXT(ROW()-1,""000"")
))"),"")</f>
        <v/>
      </c>
      <c r="J502" s="64"/>
      <c r="K502" s="64"/>
      <c r="L502" s="64"/>
      <c r="M502" s="64"/>
      <c r="N502" s="64"/>
      <c r="O502" s="64" t="s">
        <v>1333</v>
      </c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</row>
    <row r="503" ht="15.0" customHeight="1">
      <c r="A503" s="64"/>
      <c r="B503" s="64"/>
      <c r="C503" s="64"/>
      <c r="D503" s="64"/>
      <c r="E503" s="64"/>
      <c r="F503" s="64"/>
      <c r="G503" s="64"/>
      <c r="H503" s="64"/>
      <c r="I503" s="27" t="str">
        <f>IFERROR(__xludf.DUMMYFUNCTION("IF(A503="""","""",
TEXTJOIN(""-"",TRUE,
IFERROR(
  INDEX(FILTER(CFG_CODES!C:C, CFG_CODES!A:A=""CATEGORY"", UPPER(CFG_CODES!B:B)=UPPER(B503))),
  LEFT(UPPER(B503),3)
),
IFERROR(
  INDEX(FILTER(CFG_CODES!C:C, CFG_CODES!A:A=""MATERIAL"", UPPER(CFG_CODES!B:B)"&amp;"=UPPER(C503))),
  LEFT(UPPER(C503),3)
),
TEXT(ROW()-1,""000"")
))"),"")</f>
        <v/>
      </c>
      <c r="J503" s="64"/>
      <c r="K503" s="64"/>
      <c r="L503" s="64"/>
      <c r="M503" s="64"/>
      <c r="N503" s="64"/>
      <c r="O503" s="64" t="s">
        <v>1333</v>
      </c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</row>
    <row r="504" ht="15.0" customHeight="1">
      <c r="A504" s="64"/>
      <c r="B504" s="64"/>
      <c r="C504" s="64"/>
      <c r="D504" s="64"/>
      <c r="E504" s="64"/>
      <c r="F504" s="64"/>
      <c r="G504" s="64"/>
      <c r="H504" s="64"/>
      <c r="I504" s="27" t="str">
        <f>IFERROR(__xludf.DUMMYFUNCTION("IF(A504="""","""",
TEXTJOIN(""-"",TRUE,
IFERROR(
  INDEX(FILTER(CFG_CODES!C:C, CFG_CODES!A:A=""CATEGORY"", UPPER(CFG_CODES!B:B)=UPPER(B504))),
  LEFT(UPPER(B504),3)
),
IFERROR(
  INDEX(FILTER(CFG_CODES!C:C, CFG_CODES!A:A=""MATERIAL"", UPPER(CFG_CODES!B:B)"&amp;"=UPPER(C504))),
  LEFT(UPPER(C504),3)
),
TEXT(ROW()-1,""000"")
))"),"")</f>
        <v/>
      </c>
      <c r="J504" s="64"/>
      <c r="K504" s="64"/>
      <c r="L504" s="64"/>
      <c r="M504" s="64"/>
      <c r="N504" s="64"/>
      <c r="O504" s="64" t="s">
        <v>1333</v>
      </c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</row>
    <row r="505" ht="15.0" customHeight="1">
      <c r="A505" s="64"/>
      <c r="B505" s="64"/>
      <c r="C505" s="64"/>
      <c r="D505" s="64"/>
      <c r="E505" s="64"/>
      <c r="F505" s="64"/>
      <c r="G505" s="64"/>
      <c r="H505" s="64"/>
      <c r="I505" s="27" t="str">
        <f>IFERROR(__xludf.DUMMYFUNCTION("IF(A505="""","""",
TEXTJOIN(""-"",TRUE,
IFERROR(
  INDEX(FILTER(CFG_CODES!C:C, CFG_CODES!A:A=""CATEGORY"", UPPER(CFG_CODES!B:B)=UPPER(B505))),
  LEFT(UPPER(B505),3)
),
IFERROR(
  INDEX(FILTER(CFG_CODES!C:C, CFG_CODES!A:A=""MATERIAL"", UPPER(CFG_CODES!B:B)"&amp;"=UPPER(C505))),
  LEFT(UPPER(C505),3)
),
TEXT(ROW()-1,""000"")
))"),"")</f>
        <v/>
      </c>
      <c r="J505" s="64"/>
      <c r="K505" s="64"/>
      <c r="L505" s="64"/>
      <c r="M505" s="64"/>
      <c r="N505" s="64"/>
      <c r="O505" s="64" t="s">
        <v>1333</v>
      </c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</row>
    <row r="506" ht="15.0" customHeight="1">
      <c r="A506" s="64"/>
      <c r="B506" s="64"/>
      <c r="C506" s="64"/>
      <c r="D506" s="64"/>
      <c r="E506" s="64"/>
      <c r="F506" s="64"/>
      <c r="G506" s="64"/>
      <c r="H506" s="64"/>
      <c r="I506" s="27" t="str">
        <f>IFERROR(__xludf.DUMMYFUNCTION("IF(A506="""","""",
TEXTJOIN(""-"",TRUE,
IFERROR(
  INDEX(FILTER(CFG_CODES!C:C, CFG_CODES!A:A=""CATEGORY"", UPPER(CFG_CODES!B:B)=UPPER(B506))),
  LEFT(UPPER(B506),3)
),
IFERROR(
  INDEX(FILTER(CFG_CODES!C:C, CFG_CODES!A:A=""MATERIAL"", UPPER(CFG_CODES!B:B)"&amp;"=UPPER(C506))),
  LEFT(UPPER(C506),3)
),
TEXT(ROW()-1,""000"")
))"),"")</f>
        <v/>
      </c>
      <c r="J506" s="64"/>
      <c r="K506" s="64"/>
      <c r="L506" s="64"/>
      <c r="M506" s="64"/>
      <c r="N506" s="64"/>
      <c r="O506" s="64" t="s">
        <v>1333</v>
      </c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</row>
    <row r="507" ht="15.0" customHeight="1">
      <c r="A507" s="64"/>
      <c r="B507" s="64"/>
      <c r="C507" s="64"/>
      <c r="D507" s="64"/>
      <c r="E507" s="64"/>
      <c r="F507" s="64"/>
      <c r="G507" s="64"/>
      <c r="H507" s="64"/>
      <c r="I507" s="27" t="str">
        <f>IFERROR(__xludf.DUMMYFUNCTION("IF(A507="""","""",
TEXTJOIN(""-"",TRUE,
IFERROR(
  INDEX(FILTER(CFG_CODES!C:C, CFG_CODES!A:A=""CATEGORY"", UPPER(CFG_CODES!B:B)=UPPER(B507))),
  LEFT(UPPER(B507),3)
),
IFERROR(
  INDEX(FILTER(CFG_CODES!C:C, CFG_CODES!A:A=""MATERIAL"", UPPER(CFG_CODES!B:B)"&amp;"=UPPER(C507))),
  LEFT(UPPER(C507),3)
),
TEXT(ROW()-1,""000"")
))"),"")</f>
        <v/>
      </c>
      <c r="J507" s="64"/>
      <c r="K507" s="64"/>
      <c r="L507" s="64"/>
      <c r="M507" s="64"/>
      <c r="N507" s="64"/>
      <c r="O507" s="64" t="s">
        <v>1333</v>
      </c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</row>
    <row r="508" ht="15.0" customHeight="1">
      <c r="A508" s="64"/>
      <c r="B508" s="64"/>
      <c r="C508" s="64"/>
      <c r="D508" s="64"/>
      <c r="E508" s="64"/>
      <c r="F508" s="64"/>
      <c r="G508" s="64"/>
      <c r="H508" s="64"/>
      <c r="I508" s="27" t="str">
        <f>IFERROR(__xludf.DUMMYFUNCTION("IF(A508="""","""",
TEXTJOIN(""-"",TRUE,
IFERROR(
  INDEX(FILTER(CFG_CODES!C:C, CFG_CODES!A:A=""CATEGORY"", UPPER(CFG_CODES!B:B)=UPPER(B508))),
  LEFT(UPPER(B508),3)
),
IFERROR(
  INDEX(FILTER(CFG_CODES!C:C, CFG_CODES!A:A=""MATERIAL"", UPPER(CFG_CODES!B:B)"&amp;"=UPPER(C508))),
  LEFT(UPPER(C508),3)
),
TEXT(ROW()-1,""000"")
))"),"")</f>
        <v/>
      </c>
      <c r="J508" s="64"/>
      <c r="K508" s="64"/>
      <c r="L508" s="64"/>
      <c r="M508" s="64"/>
      <c r="N508" s="64"/>
      <c r="O508" s="64" t="s">
        <v>1333</v>
      </c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</row>
    <row r="509" ht="15.0" customHeight="1">
      <c r="A509" s="64"/>
      <c r="B509" s="64"/>
      <c r="C509" s="64"/>
      <c r="D509" s="64"/>
      <c r="E509" s="64"/>
      <c r="F509" s="64"/>
      <c r="G509" s="64"/>
      <c r="H509" s="64"/>
      <c r="I509" s="27" t="str">
        <f>IFERROR(__xludf.DUMMYFUNCTION("IF(A509="""","""",
TEXTJOIN(""-"",TRUE,
IFERROR(
  INDEX(FILTER(CFG_CODES!C:C, CFG_CODES!A:A=""CATEGORY"", UPPER(CFG_CODES!B:B)=UPPER(B509))),
  LEFT(UPPER(B509),3)
),
IFERROR(
  INDEX(FILTER(CFG_CODES!C:C, CFG_CODES!A:A=""MATERIAL"", UPPER(CFG_CODES!B:B)"&amp;"=UPPER(C509))),
  LEFT(UPPER(C509),3)
),
TEXT(ROW()-1,""000"")
))"),"")</f>
        <v/>
      </c>
      <c r="J509" s="64"/>
      <c r="K509" s="64"/>
      <c r="L509" s="64"/>
      <c r="M509" s="64"/>
      <c r="N509" s="64"/>
      <c r="O509" s="64" t="s">
        <v>1333</v>
      </c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</row>
    <row r="510" ht="15.0" customHeight="1">
      <c r="A510" s="64"/>
      <c r="B510" s="64"/>
      <c r="C510" s="64"/>
      <c r="D510" s="64"/>
      <c r="E510" s="64"/>
      <c r="F510" s="64"/>
      <c r="G510" s="64"/>
      <c r="H510" s="64"/>
      <c r="I510" s="27" t="str">
        <f>IFERROR(__xludf.DUMMYFUNCTION("IF(A510="""","""",
TEXTJOIN(""-"",TRUE,
IFERROR(
  INDEX(FILTER(CFG_CODES!C:C, CFG_CODES!A:A=""CATEGORY"", UPPER(CFG_CODES!B:B)=UPPER(B510))),
  LEFT(UPPER(B510),3)
),
IFERROR(
  INDEX(FILTER(CFG_CODES!C:C, CFG_CODES!A:A=""MATERIAL"", UPPER(CFG_CODES!B:B)"&amp;"=UPPER(C510))),
  LEFT(UPPER(C510),3)
),
TEXT(ROW()-1,""000"")
))"),"")</f>
        <v/>
      </c>
      <c r="J510" s="64"/>
      <c r="K510" s="64"/>
      <c r="L510" s="64"/>
      <c r="M510" s="64"/>
      <c r="N510" s="64"/>
      <c r="O510" s="64" t="s">
        <v>1333</v>
      </c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</row>
    <row r="511" ht="15.0" customHeight="1">
      <c r="A511" s="64"/>
      <c r="B511" s="64"/>
      <c r="C511" s="64"/>
      <c r="D511" s="64"/>
      <c r="E511" s="64"/>
      <c r="F511" s="64"/>
      <c r="G511" s="64"/>
      <c r="H511" s="64"/>
      <c r="I511" s="27" t="str">
        <f>IFERROR(__xludf.DUMMYFUNCTION("IF(A511="""","""",
TEXTJOIN(""-"",TRUE,
IFERROR(
  INDEX(FILTER(CFG_CODES!C:C, CFG_CODES!A:A=""CATEGORY"", UPPER(CFG_CODES!B:B)=UPPER(B511))),
  LEFT(UPPER(B511),3)
),
IFERROR(
  INDEX(FILTER(CFG_CODES!C:C, CFG_CODES!A:A=""MATERIAL"", UPPER(CFG_CODES!B:B)"&amp;"=UPPER(C511))),
  LEFT(UPPER(C511),3)
),
TEXT(ROW()-1,""000"")
))"),"")</f>
        <v/>
      </c>
      <c r="J511" s="64"/>
      <c r="K511" s="64"/>
      <c r="L511" s="64"/>
      <c r="M511" s="64"/>
      <c r="N511" s="64"/>
      <c r="O511" s="64" t="s">
        <v>1333</v>
      </c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</row>
    <row r="512" ht="15.0" customHeight="1">
      <c r="A512" s="64"/>
      <c r="B512" s="64"/>
      <c r="C512" s="64"/>
      <c r="D512" s="64"/>
      <c r="E512" s="64"/>
      <c r="F512" s="64"/>
      <c r="G512" s="64"/>
      <c r="H512" s="64"/>
      <c r="I512" s="27" t="str">
        <f>IFERROR(__xludf.DUMMYFUNCTION("IF(A512="""","""",
TEXTJOIN(""-"",TRUE,
IFERROR(
  INDEX(FILTER(CFG_CODES!C:C, CFG_CODES!A:A=""CATEGORY"", UPPER(CFG_CODES!B:B)=UPPER(B512))),
  LEFT(UPPER(B512),3)
),
IFERROR(
  INDEX(FILTER(CFG_CODES!C:C, CFG_CODES!A:A=""MATERIAL"", UPPER(CFG_CODES!B:B)"&amp;"=UPPER(C512))),
  LEFT(UPPER(C512),3)
),
TEXT(ROW()-1,""000"")
))"),"")</f>
        <v/>
      </c>
      <c r="J512" s="64"/>
      <c r="K512" s="64"/>
      <c r="L512" s="64"/>
      <c r="M512" s="64"/>
      <c r="N512" s="64"/>
      <c r="O512" s="64" t="s">
        <v>1333</v>
      </c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</row>
    <row r="513" ht="15.0" customHeight="1">
      <c r="A513" s="64"/>
      <c r="B513" s="64"/>
      <c r="C513" s="64"/>
      <c r="D513" s="64"/>
      <c r="E513" s="64"/>
      <c r="F513" s="64"/>
      <c r="G513" s="64"/>
      <c r="H513" s="64"/>
      <c r="I513" s="27" t="str">
        <f>IFERROR(__xludf.DUMMYFUNCTION("IF(A513="""","""",
TEXTJOIN(""-"",TRUE,
IFERROR(
  INDEX(FILTER(CFG_CODES!C:C, CFG_CODES!A:A=""CATEGORY"", UPPER(CFG_CODES!B:B)=UPPER(B513))),
  LEFT(UPPER(B513),3)
),
IFERROR(
  INDEX(FILTER(CFG_CODES!C:C, CFG_CODES!A:A=""MATERIAL"", UPPER(CFG_CODES!B:B)"&amp;"=UPPER(C513))),
  LEFT(UPPER(C513),3)
),
TEXT(ROW()-1,""000"")
))"),"")</f>
        <v/>
      </c>
      <c r="J513" s="64"/>
      <c r="K513" s="64"/>
      <c r="L513" s="64"/>
      <c r="M513" s="64"/>
      <c r="N513" s="64"/>
      <c r="O513" s="64" t="s">
        <v>1333</v>
      </c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</row>
    <row r="514" ht="15.0" customHeight="1">
      <c r="A514" s="64"/>
      <c r="B514" s="64"/>
      <c r="C514" s="64"/>
      <c r="D514" s="64"/>
      <c r="E514" s="64"/>
      <c r="F514" s="64"/>
      <c r="G514" s="64"/>
      <c r="H514" s="64"/>
      <c r="I514" s="27" t="str">
        <f>IFERROR(__xludf.DUMMYFUNCTION("IF(A514="""","""",
TEXTJOIN(""-"",TRUE,
IFERROR(
  INDEX(FILTER(CFG_CODES!C:C, CFG_CODES!A:A=""CATEGORY"", UPPER(CFG_CODES!B:B)=UPPER(B514))),
  LEFT(UPPER(B514),3)
),
IFERROR(
  INDEX(FILTER(CFG_CODES!C:C, CFG_CODES!A:A=""MATERIAL"", UPPER(CFG_CODES!B:B)"&amp;"=UPPER(C514))),
  LEFT(UPPER(C514),3)
),
TEXT(ROW()-1,""000"")
))"),"")</f>
        <v/>
      </c>
      <c r="J514" s="64"/>
      <c r="K514" s="64"/>
      <c r="L514" s="64"/>
      <c r="M514" s="64"/>
      <c r="N514" s="64"/>
      <c r="O514" s="64" t="s">
        <v>1333</v>
      </c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</row>
    <row r="515" ht="15.0" customHeight="1">
      <c r="A515" s="64"/>
      <c r="B515" s="64"/>
      <c r="C515" s="64"/>
      <c r="D515" s="64"/>
      <c r="E515" s="64"/>
      <c r="F515" s="64"/>
      <c r="G515" s="64"/>
      <c r="H515" s="64"/>
      <c r="I515" s="27" t="str">
        <f>IFERROR(__xludf.DUMMYFUNCTION("IF(A515="""","""",
TEXTJOIN(""-"",TRUE,
IFERROR(
  INDEX(FILTER(CFG_CODES!C:C, CFG_CODES!A:A=""CATEGORY"", UPPER(CFG_CODES!B:B)=UPPER(B515))),
  LEFT(UPPER(B515),3)
),
IFERROR(
  INDEX(FILTER(CFG_CODES!C:C, CFG_CODES!A:A=""MATERIAL"", UPPER(CFG_CODES!B:B)"&amp;"=UPPER(C515))),
  LEFT(UPPER(C515),3)
),
TEXT(ROW()-1,""000"")
))"),"")</f>
        <v/>
      </c>
      <c r="J515" s="64"/>
      <c r="K515" s="64"/>
      <c r="L515" s="64"/>
      <c r="M515" s="64"/>
      <c r="N515" s="64"/>
      <c r="O515" s="64" t="s">
        <v>1333</v>
      </c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</row>
    <row r="516" ht="15.0" customHeight="1">
      <c r="A516" s="64"/>
      <c r="B516" s="64"/>
      <c r="C516" s="64"/>
      <c r="D516" s="64"/>
      <c r="E516" s="64"/>
      <c r="F516" s="64"/>
      <c r="G516" s="64"/>
      <c r="H516" s="64"/>
      <c r="I516" s="27" t="str">
        <f>IFERROR(__xludf.DUMMYFUNCTION("IF(A516="""","""",
TEXTJOIN(""-"",TRUE,
IFERROR(
  INDEX(FILTER(CFG_CODES!C:C, CFG_CODES!A:A=""CATEGORY"", UPPER(CFG_CODES!B:B)=UPPER(B516))),
  LEFT(UPPER(B516),3)
),
IFERROR(
  INDEX(FILTER(CFG_CODES!C:C, CFG_CODES!A:A=""MATERIAL"", UPPER(CFG_CODES!B:B)"&amp;"=UPPER(C516))),
  LEFT(UPPER(C516),3)
),
TEXT(ROW()-1,""000"")
))"),"")</f>
        <v/>
      </c>
      <c r="J516" s="64"/>
      <c r="K516" s="64"/>
      <c r="L516" s="64"/>
      <c r="M516" s="64"/>
      <c r="N516" s="64"/>
      <c r="O516" s="64" t="s">
        <v>1333</v>
      </c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</row>
    <row r="517" ht="15.0" customHeight="1">
      <c r="A517" s="64"/>
      <c r="B517" s="64"/>
      <c r="C517" s="64"/>
      <c r="D517" s="64"/>
      <c r="E517" s="64"/>
      <c r="F517" s="64"/>
      <c r="G517" s="64"/>
      <c r="H517" s="64"/>
      <c r="I517" s="27" t="str">
        <f>IFERROR(__xludf.DUMMYFUNCTION("IF(A517="""","""",
TEXTJOIN(""-"",TRUE,
IFERROR(
  INDEX(FILTER(CFG_CODES!C:C, CFG_CODES!A:A=""CATEGORY"", UPPER(CFG_CODES!B:B)=UPPER(B517))),
  LEFT(UPPER(B517),3)
),
IFERROR(
  INDEX(FILTER(CFG_CODES!C:C, CFG_CODES!A:A=""MATERIAL"", UPPER(CFG_CODES!B:B)"&amp;"=UPPER(C517))),
  LEFT(UPPER(C517),3)
),
TEXT(ROW()-1,""000"")
))"),"")</f>
        <v/>
      </c>
      <c r="J517" s="64"/>
      <c r="K517" s="64"/>
      <c r="L517" s="64"/>
      <c r="M517" s="64"/>
      <c r="N517" s="64"/>
      <c r="O517" s="64" t="s">
        <v>1333</v>
      </c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</row>
    <row r="518" ht="15.0" customHeight="1">
      <c r="A518" s="64"/>
      <c r="B518" s="64"/>
      <c r="C518" s="64"/>
      <c r="D518" s="64"/>
      <c r="E518" s="64"/>
      <c r="F518" s="64"/>
      <c r="G518" s="64"/>
      <c r="H518" s="64"/>
      <c r="I518" s="27" t="str">
        <f>IFERROR(__xludf.DUMMYFUNCTION("IF(A518="""","""",
TEXTJOIN(""-"",TRUE,
IFERROR(
  INDEX(FILTER(CFG_CODES!C:C, CFG_CODES!A:A=""CATEGORY"", UPPER(CFG_CODES!B:B)=UPPER(B518))),
  LEFT(UPPER(B518),3)
),
IFERROR(
  INDEX(FILTER(CFG_CODES!C:C, CFG_CODES!A:A=""MATERIAL"", UPPER(CFG_CODES!B:B)"&amp;"=UPPER(C518))),
  LEFT(UPPER(C518),3)
),
TEXT(ROW()-1,""000"")
))"),"")</f>
        <v/>
      </c>
      <c r="J518" s="64"/>
      <c r="K518" s="64"/>
      <c r="L518" s="64"/>
      <c r="M518" s="64"/>
      <c r="N518" s="64"/>
      <c r="O518" s="64" t="s">
        <v>1333</v>
      </c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</row>
    <row r="519" ht="15.0" customHeight="1">
      <c r="A519" s="64"/>
      <c r="B519" s="64"/>
      <c r="C519" s="64"/>
      <c r="D519" s="64"/>
      <c r="E519" s="64"/>
      <c r="F519" s="64"/>
      <c r="G519" s="64"/>
      <c r="H519" s="64"/>
      <c r="I519" s="27" t="str">
        <f>IFERROR(__xludf.DUMMYFUNCTION("IF(A519="""","""",
TEXTJOIN(""-"",TRUE,
IFERROR(
  INDEX(FILTER(CFG_CODES!C:C, CFG_CODES!A:A=""CATEGORY"", UPPER(CFG_CODES!B:B)=UPPER(B519))),
  LEFT(UPPER(B519),3)
),
IFERROR(
  INDEX(FILTER(CFG_CODES!C:C, CFG_CODES!A:A=""MATERIAL"", UPPER(CFG_CODES!B:B)"&amp;"=UPPER(C519))),
  LEFT(UPPER(C519),3)
),
TEXT(ROW()-1,""000"")
))"),"")</f>
        <v/>
      </c>
      <c r="J519" s="64"/>
      <c r="K519" s="64"/>
      <c r="L519" s="64"/>
      <c r="M519" s="64"/>
      <c r="N519" s="64"/>
      <c r="O519" s="64" t="s">
        <v>1333</v>
      </c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</row>
    <row r="520" ht="15.0" customHeight="1">
      <c r="A520" s="64"/>
      <c r="B520" s="64"/>
      <c r="C520" s="64"/>
      <c r="D520" s="64"/>
      <c r="E520" s="64"/>
      <c r="F520" s="64"/>
      <c r="G520" s="64"/>
      <c r="H520" s="64"/>
      <c r="I520" s="27" t="str">
        <f>IFERROR(__xludf.DUMMYFUNCTION("IF(A520="""","""",
TEXTJOIN(""-"",TRUE,
IFERROR(
  INDEX(FILTER(CFG_CODES!C:C, CFG_CODES!A:A=""CATEGORY"", UPPER(CFG_CODES!B:B)=UPPER(B520))),
  LEFT(UPPER(B520),3)
),
IFERROR(
  INDEX(FILTER(CFG_CODES!C:C, CFG_CODES!A:A=""MATERIAL"", UPPER(CFG_CODES!B:B)"&amp;"=UPPER(C520))),
  LEFT(UPPER(C520),3)
),
TEXT(ROW()-1,""000"")
))"),"")</f>
        <v/>
      </c>
      <c r="J520" s="64"/>
      <c r="K520" s="64"/>
      <c r="L520" s="64"/>
      <c r="M520" s="64"/>
      <c r="N520" s="64"/>
      <c r="O520" s="64" t="s">
        <v>1333</v>
      </c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</row>
    <row r="521" ht="15.0" customHeight="1">
      <c r="A521" s="64"/>
      <c r="B521" s="64"/>
      <c r="C521" s="64"/>
      <c r="D521" s="64"/>
      <c r="E521" s="64"/>
      <c r="F521" s="64"/>
      <c r="G521" s="64"/>
      <c r="H521" s="64"/>
      <c r="I521" s="27" t="str">
        <f>IFERROR(__xludf.DUMMYFUNCTION("IF(A521="""","""",
TEXTJOIN(""-"",TRUE,
IFERROR(
  INDEX(FILTER(CFG_CODES!C:C, CFG_CODES!A:A=""CATEGORY"", UPPER(CFG_CODES!B:B)=UPPER(B521))),
  LEFT(UPPER(B521),3)
),
IFERROR(
  INDEX(FILTER(CFG_CODES!C:C, CFG_CODES!A:A=""MATERIAL"", UPPER(CFG_CODES!B:B)"&amp;"=UPPER(C521))),
  LEFT(UPPER(C521),3)
),
TEXT(ROW()-1,""000"")
))"),"")</f>
        <v/>
      </c>
      <c r="J521" s="64"/>
      <c r="K521" s="64"/>
      <c r="L521" s="64"/>
      <c r="M521" s="64"/>
      <c r="N521" s="64"/>
      <c r="O521" s="64" t="s">
        <v>1333</v>
      </c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</row>
    <row r="522" ht="15.0" customHeight="1">
      <c r="A522" s="64"/>
      <c r="B522" s="64"/>
      <c r="C522" s="64"/>
      <c r="D522" s="64"/>
      <c r="E522" s="64"/>
      <c r="F522" s="64"/>
      <c r="G522" s="64"/>
      <c r="H522" s="64"/>
      <c r="I522" s="27" t="str">
        <f>IFERROR(__xludf.DUMMYFUNCTION("IF(A522="""","""",
TEXTJOIN(""-"",TRUE,
IFERROR(
  INDEX(FILTER(CFG_CODES!C:C, CFG_CODES!A:A=""CATEGORY"", UPPER(CFG_CODES!B:B)=UPPER(B522))),
  LEFT(UPPER(B522),3)
),
IFERROR(
  INDEX(FILTER(CFG_CODES!C:C, CFG_CODES!A:A=""MATERIAL"", UPPER(CFG_CODES!B:B)"&amp;"=UPPER(C522))),
  LEFT(UPPER(C522),3)
),
TEXT(ROW()-1,""000"")
))"),"")</f>
        <v/>
      </c>
      <c r="J522" s="64"/>
      <c r="K522" s="64"/>
      <c r="L522" s="64"/>
      <c r="M522" s="64"/>
      <c r="N522" s="64"/>
      <c r="O522" s="64" t="s">
        <v>1333</v>
      </c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</row>
    <row r="523" ht="15.0" customHeight="1">
      <c r="A523" s="64"/>
      <c r="B523" s="64"/>
      <c r="C523" s="64"/>
      <c r="D523" s="64"/>
      <c r="E523" s="64"/>
      <c r="F523" s="64"/>
      <c r="G523" s="64"/>
      <c r="H523" s="64"/>
      <c r="I523" s="27" t="str">
        <f>IFERROR(__xludf.DUMMYFUNCTION("IF(A523="""","""",
TEXTJOIN(""-"",TRUE,
IFERROR(
  INDEX(FILTER(CFG_CODES!C:C, CFG_CODES!A:A=""CATEGORY"", UPPER(CFG_CODES!B:B)=UPPER(B523))),
  LEFT(UPPER(B523),3)
),
IFERROR(
  INDEX(FILTER(CFG_CODES!C:C, CFG_CODES!A:A=""MATERIAL"", UPPER(CFG_CODES!B:B)"&amp;"=UPPER(C523))),
  LEFT(UPPER(C523),3)
),
TEXT(ROW()-1,""000"")
))"),"")</f>
        <v/>
      </c>
      <c r="J523" s="64"/>
      <c r="K523" s="64"/>
      <c r="L523" s="64"/>
      <c r="M523" s="64"/>
      <c r="N523" s="64"/>
      <c r="O523" s="64" t="s">
        <v>1333</v>
      </c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</row>
    <row r="524" ht="15.0" customHeight="1">
      <c r="A524" s="64"/>
      <c r="B524" s="64"/>
      <c r="C524" s="64"/>
      <c r="D524" s="64"/>
      <c r="E524" s="64"/>
      <c r="F524" s="64"/>
      <c r="G524" s="64"/>
      <c r="H524" s="64"/>
      <c r="I524" s="27" t="str">
        <f>IFERROR(__xludf.DUMMYFUNCTION("IF(A524="""","""",
TEXTJOIN(""-"",TRUE,
IFERROR(
  INDEX(FILTER(CFG_CODES!C:C, CFG_CODES!A:A=""CATEGORY"", UPPER(CFG_CODES!B:B)=UPPER(B524))),
  LEFT(UPPER(B524),3)
),
IFERROR(
  INDEX(FILTER(CFG_CODES!C:C, CFG_CODES!A:A=""MATERIAL"", UPPER(CFG_CODES!B:B)"&amp;"=UPPER(C524))),
  LEFT(UPPER(C524),3)
),
TEXT(ROW()-1,""000"")
))"),"")</f>
        <v/>
      </c>
      <c r="J524" s="64"/>
      <c r="K524" s="64"/>
      <c r="L524" s="64"/>
      <c r="M524" s="64"/>
      <c r="N524" s="64"/>
      <c r="O524" s="64" t="s">
        <v>1333</v>
      </c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</row>
    <row r="525" ht="15.0" customHeight="1">
      <c r="A525" s="64"/>
      <c r="B525" s="64"/>
      <c r="C525" s="64"/>
      <c r="D525" s="64"/>
      <c r="E525" s="64"/>
      <c r="F525" s="64"/>
      <c r="G525" s="64"/>
      <c r="H525" s="64"/>
      <c r="I525" s="27" t="str">
        <f>IFERROR(__xludf.DUMMYFUNCTION("IF(A525="""","""",
TEXTJOIN(""-"",TRUE,
IFERROR(
  INDEX(FILTER(CFG_CODES!C:C, CFG_CODES!A:A=""CATEGORY"", UPPER(CFG_CODES!B:B)=UPPER(B525))),
  LEFT(UPPER(B525),3)
),
IFERROR(
  INDEX(FILTER(CFG_CODES!C:C, CFG_CODES!A:A=""MATERIAL"", UPPER(CFG_CODES!B:B)"&amp;"=UPPER(C525))),
  LEFT(UPPER(C525),3)
),
TEXT(ROW()-1,""000"")
))"),"")</f>
        <v/>
      </c>
      <c r="J525" s="64"/>
      <c r="K525" s="64"/>
      <c r="L525" s="64"/>
      <c r="M525" s="64"/>
      <c r="N525" s="64"/>
      <c r="O525" s="64" t="s">
        <v>1333</v>
      </c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</row>
    <row r="526" ht="15.0" customHeight="1">
      <c r="A526" s="64"/>
      <c r="B526" s="64"/>
      <c r="C526" s="64"/>
      <c r="D526" s="64"/>
      <c r="E526" s="64"/>
      <c r="F526" s="64"/>
      <c r="G526" s="64"/>
      <c r="H526" s="64"/>
      <c r="I526" s="27" t="str">
        <f>IFERROR(__xludf.DUMMYFUNCTION("IF(A526="""","""",
TEXTJOIN(""-"",TRUE,
IFERROR(
  INDEX(FILTER(CFG_CODES!C:C, CFG_CODES!A:A=""CATEGORY"", UPPER(CFG_CODES!B:B)=UPPER(B526))),
  LEFT(UPPER(B526),3)
),
IFERROR(
  INDEX(FILTER(CFG_CODES!C:C, CFG_CODES!A:A=""MATERIAL"", UPPER(CFG_CODES!B:B)"&amp;"=UPPER(C526))),
  LEFT(UPPER(C526),3)
),
TEXT(ROW()-1,""000"")
))"),"")</f>
        <v/>
      </c>
      <c r="J526" s="64"/>
      <c r="K526" s="64"/>
      <c r="L526" s="64"/>
      <c r="M526" s="64"/>
      <c r="N526" s="64"/>
      <c r="O526" s="64" t="s">
        <v>1333</v>
      </c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</row>
    <row r="527" ht="15.0" customHeight="1">
      <c r="B527" s="64"/>
      <c r="C527" s="64"/>
      <c r="D527" s="64"/>
      <c r="E527" s="64"/>
      <c r="F527" s="64"/>
      <c r="G527" s="64"/>
      <c r="H527" s="64"/>
      <c r="I527" s="27" t="str">
        <f>IFERROR(__xludf.DUMMYFUNCTION("IF(A527="""","""",
TEXTJOIN(""-"",TRUE,
IFERROR(
  INDEX(FILTER(CFG_CODES!C:C, CFG_CODES!A:A=""CATEGORY"", UPPER(CFG_CODES!B:B)=UPPER(B527))),
  LEFT(UPPER(B527),3)
),
IFERROR(
  INDEX(FILTER(CFG_CODES!C:C, CFG_CODES!A:A=""MATERIAL"", UPPER(CFG_CODES!B:B)"&amp;"=UPPER(C527))),
  LEFT(UPPER(C527),3)
),
TEXT(ROW()-1,""000"")
))"),"")</f>
        <v/>
      </c>
      <c r="J527" s="64"/>
      <c r="K527" s="64"/>
      <c r="L527" s="64"/>
      <c r="M527" s="64"/>
      <c r="N527" s="64"/>
      <c r="O527" s="64" t="s">
        <v>1333</v>
      </c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</row>
    <row r="528" ht="15.0" customHeight="1">
      <c r="A528" s="64"/>
      <c r="B528" s="64"/>
      <c r="C528" s="64"/>
      <c r="D528" s="64"/>
      <c r="E528" s="64"/>
      <c r="F528" s="64"/>
      <c r="G528" s="64"/>
      <c r="H528" s="64"/>
      <c r="I528" s="27" t="str">
        <f>IFERROR(__xludf.DUMMYFUNCTION("IF(A528="""","""",
TEXTJOIN(""-"",TRUE,
IFERROR(
  INDEX(FILTER(CFG_CODES!C:C, CFG_CODES!A:A=""CATEGORY"", UPPER(CFG_CODES!B:B)=UPPER(B528))),
  LEFT(UPPER(B528),3)
),
IFERROR(
  INDEX(FILTER(CFG_CODES!C:C, CFG_CODES!A:A=""MATERIAL"", UPPER(CFG_CODES!B:B)"&amp;"=UPPER(C528))),
  LEFT(UPPER(C528),3)
),
TEXT(ROW()-1,""000"")
))"),"")</f>
        <v/>
      </c>
      <c r="J528" s="64"/>
      <c r="K528" s="64"/>
      <c r="L528" s="64"/>
      <c r="M528" s="64"/>
      <c r="N528" s="64"/>
      <c r="O528" s="64" t="s">
        <v>1333</v>
      </c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</row>
    <row r="529" ht="15.0" customHeight="1">
      <c r="A529" s="64"/>
      <c r="B529" s="64"/>
      <c r="C529" s="64"/>
      <c r="D529" s="64"/>
      <c r="E529" s="64"/>
      <c r="F529" s="64"/>
      <c r="G529" s="64"/>
      <c r="H529" s="64"/>
      <c r="I529" s="27" t="str">
        <f>IFERROR(__xludf.DUMMYFUNCTION("IF(A529="""","""",
TEXTJOIN(""-"",TRUE,
IFERROR(
  INDEX(FILTER(CFG_CODES!C:C, CFG_CODES!A:A=""CATEGORY"", UPPER(CFG_CODES!B:B)=UPPER(B529))),
  LEFT(UPPER(B529),3)
),
IFERROR(
  INDEX(FILTER(CFG_CODES!C:C, CFG_CODES!A:A=""MATERIAL"", UPPER(CFG_CODES!B:B)"&amp;"=UPPER(C529))),
  LEFT(UPPER(C529),3)
),
TEXT(ROW()-1,""000"")
))"),"")</f>
        <v/>
      </c>
      <c r="J529" s="64"/>
      <c r="K529" s="64"/>
      <c r="L529" s="64"/>
      <c r="M529" s="64"/>
      <c r="N529" s="64"/>
      <c r="O529" s="64" t="s">
        <v>1333</v>
      </c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</row>
    <row r="530" ht="15.0" customHeight="1">
      <c r="A530" s="64"/>
      <c r="B530" s="64"/>
      <c r="C530" s="64"/>
      <c r="D530" s="64"/>
      <c r="E530" s="64"/>
      <c r="F530" s="64"/>
      <c r="G530" s="64"/>
      <c r="H530" s="64"/>
      <c r="I530" s="27" t="str">
        <f>IFERROR(__xludf.DUMMYFUNCTION("IF(A530="""","""",
TEXTJOIN(""-"",TRUE,
IFERROR(
  INDEX(FILTER(CFG_CODES!C:C, CFG_CODES!A:A=""CATEGORY"", UPPER(CFG_CODES!B:B)=UPPER(B530))),
  LEFT(UPPER(B530),3)
),
IFERROR(
  INDEX(FILTER(CFG_CODES!C:C, CFG_CODES!A:A=""MATERIAL"", UPPER(CFG_CODES!B:B)"&amp;"=UPPER(C530))),
  LEFT(UPPER(C530),3)
),
TEXT(ROW()-1,""000"")
))"),"")</f>
        <v/>
      </c>
      <c r="J530" s="64"/>
      <c r="K530" s="64"/>
      <c r="L530" s="64"/>
      <c r="M530" s="64"/>
      <c r="N530" s="64"/>
      <c r="O530" s="64" t="s">
        <v>1333</v>
      </c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</row>
    <row r="531" ht="15.0" customHeight="1">
      <c r="A531" s="64"/>
      <c r="B531" s="64"/>
      <c r="C531" s="64"/>
      <c r="D531" s="64"/>
      <c r="E531" s="64"/>
      <c r="F531" s="64"/>
      <c r="G531" s="64"/>
      <c r="H531" s="64"/>
      <c r="I531" s="27" t="str">
        <f>IFERROR(__xludf.DUMMYFUNCTION("IF(A531="""","""",
TEXTJOIN(""-"",TRUE,
IFERROR(
  INDEX(FILTER(CFG_CODES!C:C, CFG_CODES!A:A=""CATEGORY"", UPPER(CFG_CODES!B:B)=UPPER(B531))),
  LEFT(UPPER(B531),3)
),
IFERROR(
  INDEX(FILTER(CFG_CODES!C:C, CFG_CODES!A:A=""MATERIAL"", UPPER(CFG_CODES!B:B)"&amp;"=UPPER(C531))),
  LEFT(UPPER(C531),3)
),
TEXT(ROW()-1,""000"")
))"),"")</f>
        <v/>
      </c>
      <c r="J531" s="64"/>
      <c r="K531" s="64"/>
      <c r="L531" s="64"/>
      <c r="M531" s="64"/>
      <c r="N531" s="64"/>
      <c r="O531" s="64" t="s">
        <v>1333</v>
      </c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</row>
    <row r="532" ht="15.0" customHeight="1">
      <c r="A532" s="64"/>
      <c r="B532" s="64"/>
      <c r="C532" s="64"/>
      <c r="D532" s="64"/>
      <c r="E532" s="64"/>
      <c r="F532" s="64"/>
      <c r="G532" s="64"/>
      <c r="H532" s="64"/>
      <c r="I532" s="27" t="str">
        <f>IFERROR(__xludf.DUMMYFUNCTION("IF(A532="""","""",
TEXTJOIN(""-"",TRUE,
IFERROR(
  INDEX(FILTER(CFG_CODES!C:C, CFG_CODES!A:A=""CATEGORY"", UPPER(CFG_CODES!B:B)=UPPER(B532))),
  LEFT(UPPER(B532),3)
),
IFERROR(
  INDEX(FILTER(CFG_CODES!C:C, CFG_CODES!A:A=""MATERIAL"", UPPER(CFG_CODES!B:B)"&amp;"=UPPER(C532))),
  LEFT(UPPER(C532),3)
),
TEXT(ROW()-1,""000"")
))"),"")</f>
        <v/>
      </c>
      <c r="J532" s="64"/>
      <c r="K532" s="64"/>
      <c r="L532" s="64"/>
      <c r="M532" s="64"/>
      <c r="N532" s="64"/>
      <c r="O532" s="64" t="s">
        <v>1333</v>
      </c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</row>
    <row r="533" ht="15.0" customHeight="1">
      <c r="A533" s="64"/>
      <c r="B533" s="64"/>
      <c r="C533" s="64"/>
      <c r="D533" s="64"/>
      <c r="E533" s="64"/>
      <c r="F533" s="64"/>
      <c r="G533" s="64"/>
      <c r="H533" s="64"/>
      <c r="I533" s="27" t="str">
        <f>IFERROR(__xludf.DUMMYFUNCTION("IF(A533="""","""",
TEXTJOIN(""-"",TRUE,
IFERROR(
  INDEX(FILTER(CFG_CODES!C:C, CFG_CODES!A:A=""CATEGORY"", UPPER(CFG_CODES!B:B)=UPPER(B533))),
  LEFT(UPPER(B533),3)
),
IFERROR(
  INDEX(FILTER(CFG_CODES!C:C, CFG_CODES!A:A=""MATERIAL"", UPPER(CFG_CODES!B:B)"&amp;"=UPPER(C533))),
  LEFT(UPPER(C533),3)
),
TEXT(ROW()-1,""000"")
))"),"")</f>
        <v/>
      </c>
      <c r="J533" s="64"/>
      <c r="K533" s="64"/>
      <c r="L533" s="64"/>
      <c r="M533" s="64"/>
      <c r="N533" s="64"/>
      <c r="O533" s="64" t="s">
        <v>1333</v>
      </c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</row>
    <row r="534" ht="15.0" customHeight="1">
      <c r="A534" s="64"/>
      <c r="B534" s="64"/>
      <c r="C534" s="64"/>
      <c r="D534" s="64"/>
      <c r="E534" s="64"/>
      <c r="F534" s="64"/>
      <c r="G534" s="64"/>
      <c r="H534" s="64"/>
      <c r="I534" s="27" t="str">
        <f>IFERROR(__xludf.DUMMYFUNCTION("IF(A534="""","""",
TEXTJOIN(""-"",TRUE,
IFERROR(
  INDEX(FILTER(CFG_CODES!C:C, CFG_CODES!A:A=""CATEGORY"", UPPER(CFG_CODES!B:B)=UPPER(B534))),
  LEFT(UPPER(B534),3)
),
IFERROR(
  INDEX(FILTER(CFG_CODES!C:C, CFG_CODES!A:A=""MATERIAL"", UPPER(CFG_CODES!B:B)"&amp;"=UPPER(C534))),
  LEFT(UPPER(C534),3)
),
TEXT(ROW()-1,""000"")
))"),"")</f>
        <v/>
      </c>
      <c r="J534" s="64"/>
      <c r="K534" s="64"/>
      <c r="L534" s="64"/>
      <c r="M534" s="64"/>
      <c r="N534" s="64"/>
      <c r="O534" s="64" t="s">
        <v>1333</v>
      </c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</row>
    <row r="535" ht="15.0" customHeight="1">
      <c r="A535" s="64"/>
      <c r="B535" s="64"/>
      <c r="C535" s="64"/>
      <c r="D535" s="64"/>
      <c r="E535" s="64"/>
      <c r="F535" s="64"/>
      <c r="G535" s="64"/>
      <c r="H535" s="64"/>
      <c r="I535" s="27" t="str">
        <f>IFERROR(__xludf.DUMMYFUNCTION("IF(A535="""","""",
TEXTJOIN(""-"",TRUE,
IFERROR(
  INDEX(FILTER(CFG_CODES!C:C, CFG_CODES!A:A=""CATEGORY"", UPPER(CFG_CODES!B:B)=UPPER(B535))),
  LEFT(UPPER(B535),3)
),
IFERROR(
  INDEX(FILTER(CFG_CODES!C:C, CFG_CODES!A:A=""MATERIAL"", UPPER(CFG_CODES!B:B)"&amp;"=UPPER(C535))),
  LEFT(UPPER(C535),3)
),
TEXT(ROW()-1,""000"")
))"),"")</f>
        <v/>
      </c>
      <c r="J535" s="64"/>
      <c r="K535" s="64"/>
      <c r="L535" s="64"/>
      <c r="M535" s="64"/>
      <c r="N535" s="64"/>
      <c r="O535" s="64" t="s">
        <v>1333</v>
      </c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</row>
    <row r="536" ht="15.0" customHeight="1">
      <c r="A536" s="64"/>
      <c r="B536" s="64"/>
      <c r="C536" s="64"/>
      <c r="D536" s="64"/>
      <c r="E536" s="64"/>
      <c r="F536" s="64"/>
      <c r="G536" s="64"/>
      <c r="H536" s="64"/>
      <c r="I536" s="27" t="str">
        <f>IFERROR(__xludf.DUMMYFUNCTION("IF(A536="""","""",
TEXTJOIN(""-"",TRUE,
IFERROR(
  INDEX(FILTER(CFG_CODES!C:C, CFG_CODES!A:A=""CATEGORY"", UPPER(CFG_CODES!B:B)=UPPER(B536))),
  LEFT(UPPER(B536),3)
),
IFERROR(
  INDEX(FILTER(CFG_CODES!C:C, CFG_CODES!A:A=""MATERIAL"", UPPER(CFG_CODES!B:B)"&amp;"=UPPER(C536))),
  LEFT(UPPER(C536),3)
),
TEXT(ROW()-1,""000"")
))"),"")</f>
        <v/>
      </c>
      <c r="J536" s="64"/>
      <c r="K536" s="64"/>
      <c r="L536" s="64"/>
      <c r="M536" s="64"/>
      <c r="N536" s="64"/>
      <c r="O536" s="64" t="s">
        <v>1333</v>
      </c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</row>
    <row r="537" ht="15.0" customHeight="1">
      <c r="A537" s="64"/>
      <c r="B537" s="64"/>
      <c r="C537" s="64"/>
      <c r="D537" s="64"/>
      <c r="E537" s="64"/>
      <c r="F537" s="64"/>
      <c r="G537" s="64"/>
      <c r="H537" s="64"/>
      <c r="I537" s="27" t="str">
        <f>IFERROR(__xludf.DUMMYFUNCTION("IF(A537="""","""",
TEXTJOIN(""-"",TRUE,
IFERROR(
  INDEX(FILTER(CFG_CODES!C:C, CFG_CODES!A:A=""CATEGORY"", UPPER(CFG_CODES!B:B)=UPPER(B537))),
  LEFT(UPPER(B537),3)
),
IFERROR(
  INDEX(FILTER(CFG_CODES!C:C, CFG_CODES!A:A=""MATERIAL"", UPPER(CFG_CODES!B:B)"&amp;"=UPPER(C537))),
  LEFT(UPPER(C537),3)
),
TEXT(ROW()-1,""000"")
))"),"")</f>
        <v/>
      </c>
      <c r="J537" s="64"/>
      <c r="K537" s="64"/>
      <c r="L537" s="64"/>
      <c r="M537" s="64"/>
      <c r="N537" s="64"/>
      <c r="O537" s="64" t="s">
        <v>1333</v>
      </c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</row>
    <row r="538" ht="15.0" customHeight="1">
      <c r="A538" s="64"/>
      <c r="B538" s="64"/>
      <c r="C538" s="64"/>
      <c r="D538" s="64"/>
      <c r="E538" s="64"/>
      <c r="F538" s="64"/>
      <c r="G538" s="64"/>
      <c r="H538" s="64"/>
      <c r="I538" s="27" t="str">
        <f>IFERROR(__xludf.DUMMYFUNCTION("IF(A538="""","""",
TEXTJOIN(""-"",TRUE,
IFERROR(
  INDEX(FILTER(CFG_CODES!C:C, CFG_CODES!A:A=""CATEGORY"", UPPER(CFG_CODES!B:B)=UPPER(B538))),
  LEFT(UPPER(B538),3)
),
IFERROR(
  INDEX(FILTER(CFG_CODES!C:C, CFG_CODES!A:A=""MATERIAL"", UPPER(CFG_CODES!B:B)"&amp;"=UPPER(C538))),
  LEFT(UPPER(C538),3)
),
TEXT(ROW()-1,""000"")
))"),"")</f>
        <v/>
      </c>
      <c r="J538" s="64"/>
      <c r="K538" s="64"/>
      <c r="L538" s="64"/>
      <c r="M538" s="64"/>
      <c r="N538" s="64"/>
      <c r="O538" s="64" t="s">
        <v>1333</v>
      </c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</row>
    <row r="539" ht="15.0" customHeight="1">
      <c r="A539" s="64"/>
      <c r="B539" s="64"/>
      <c r="C539" s="64"/>
      <c r="D539" s="64"/>
      <c r="E539" s="64"/>
      <c r="F539" s="64"/>
      <c r="G539" s="64"/>
      <c r="H539" s="64"/>
      <c r="I539" s="27" t="str">
        <f>IFERROR(__xludf.DUMMYFUNCTION("IF(A539="""","""",
TEXTJOIN(""-"",TRUE,
IFERROR(
  INDEX(FILTER(CFG_CODES!C:C, CFG_CODES!A:A=""CATEGORY"", UPPER(CFG_CODES!B:B)=UPPER(B539))),
  LEFT(UPPER(B539),3)
),
IFERROR(
  INDEX(FILTER(CFG_CODES!C:C, CFG_CODES!A:A=""MATERIAL"", UPPER(CFG_CODES!B:B)"&amp;"=UPPER(C539))),
  LEFT(UPPER(C539),3)
),
TEXT(ROW()-1,""000"")
))"),"")</f>
        <v/>
      </c>
      <c r="J539" s="64"/>
      <c r="K539" s="64"/>
      <c r="L539" s="64"/>
      <c r="M539" s="64"/>
      <c r="N539" s="64"/>
      <c r="O539" s="64" t="s">
        <v>1333</v>
      </c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</row>
    <row r="540" ht="15.0" customHeight="1">
      <c r="A540" s="64"/>
      <c r="B540" s="64"/>
      <c r="C540" s="64"/>
      <c r="D540" s="64"/>
      <c r="E540" s="64"/>
      <c r="F540" s="64"/>
      <c r="G540" s="64"/>
      <c r="H540" s="64"/>
      <c r="I540" s="27" t="str">
        <f>IFERROR(__xludf.DUMMYFUNCTION("IF(A540="""","""",
TEXTJOIN(""-"",TRUE,
IFERROR(
  INDEX(FILTER(CFG_CODES!C:C, CFG_CODES!A:A=""CATEGORY"", UPPER(CFG_CODES!B:B)=UPPER(B540))),
  LEFT(UPPER(B540),3)
),
IFERROR(
  INDEX(FILTER(CFG_CODES!C:C, CFG_CODES!A:A=""MATERIAL"", UPPER(CFG_CODES!B:B)"&amp;"=UPPER(C540))),
  LEFT(UPPER(C540),3)
),
TEXT(ROW()-1,""000"")
))"),"")</f>
        <v/>
      </c>
      <c r="J540" s="64"/>
      <c r="K540" s="64"/>
      <c r="L540" s="64"/>
      <c r="M540" s="64"/>
      <c r="N540" s="64"/>
      <c r="O540" s="64" t="s">
        <v>1333</v>
      </c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</row>
    <row r="541" ht="15.0" customHeight="1">
      <c r="A541" s="64"/>
      <c r="B541" s="64"/>
      <c r="C541" s="64"/>
      <c r="D541" s="64"/>
      <c r="E541" s="64"/>
      <c r="F541" s="64"/>
      <c r="G541" s="64"/>
      <c r="H541" s="64"/>
      <c r="I541" s="27" t="str">
        <f>IFERROR(__xludf.DUMMYFUNCTION("IF(A541="""","""",
TEXTJOIN(""-"",TRUE,
IFERROR(
  INDEX(FILTER(CFG_CODES!C:C, CFG_CODES!A:A=""CATEGORY"", UPPER(CFG_CODES!B:B)=UPPER(B541))),
  LEFT(UPPER(B541),3)
),
IFERROR(
  INDEX(FILTER(CFG_CODES!C:C, CFG_CODES!A:A=""MATERIAL"", UPPER(CFG_CODES!B:B)"&amp;"=UPPER(C541))),
  LEFT(UPPER(C541),3)
),
TEXT(ROW()-1,""000"")
))"),"")</f>
        <v/>
      </c>
      <c r="J541" s="64"/>
      <c r="K541" s="64"/>
      <c r="L541" s="64"/>
      <c r="M541" s="64"/>
      <c r="N541" s="64"/>
      <c r="O541" s="64" t="s">
        <v>1333</v>
      </c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</row>
    <row r="542" ht="15.0" customHeight="1">
      <c r="A542" s="64"/>
      <c r="B542" s="64"/>
      <c r="C542" s="64"/>
      <c r="D542" s="64"/>
      <c r="E542" s="64"/>
      <c r="F542" s="64"/>
      <c r="G542" s="64"/>
      <c r="H542" s="64"/>
      <c r="I542" s="27" t="str">
        <f>IFERROR(__xludf.DUMMYFUNCTION("IF(A542="""","""",
TEXTJOIN(""-"",TRUE,
IFERROR(
  INDEX(FILTER(CFG_CODES!C:C, CFG_CODES!A:A=""CATEGORY"", UPPER(CFG_CODES!B:B)=UPPER(B542))),
  LEFT(UPPER(B542),3)
),
IFERROR(
  INDEX(FILTER(CFG_CODES!C:C, CFG_CODES!A:A=""MATERIAL"", UPPER(CFG_CODES!B:B)"&amp;"=UPPER(C542))),
  LEFT(UPPER(C542),3)
),
TEXT(ROW()-1,""000"")
))"),"")</f>
        <v/>
      </c>
      <c r="J542" s="64"/>
      <c r="K542" s="64"/>
      <c r="L542" s="64"/>
      <c r="M542" s="64"/>
      <c r="N542" s="64"/>
      <c r="O542" s="64" t="s">
        <v>1333</v>
      </c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</row>
    <row r="543" ht="15.0" customHeight="1">
      <c r="A543" s="64"/>
      <c r="B543" s="64"/>
      <c r="C543" s="64"/>
      <c r="D543" s="64"/>
      <c r="E543" s="64"/>
      <c r="F543" s="64"/>
      <c r="G543" s="64"/>
      <c r="H543" s="64"/>
      <c r="I543" s="27" t="str">
        <f>IFERROR(__xludf.DUMMYFUNCTION("IF(A543="""","""",
TEXTJOIN(""-"",TRUE,
IFERROR(
  INDEX(FILTER(CFG_CODES!C:C, CFG_CODES!A:A=""CATEGORY"", UPPER(CFG_CODES!B:B)=UPPER(B543))),
  LEFT(UPPER(B543),3)
),
IFERROR(
  INDEX(FILTER(CFG_CODES!C:C, CFG_CODES!A:A=""MATERIAL"", UPPER(CFG_CODES!B:B)"&amp;"=UPPER(C543))),
  LEFT(UPPER(C543),3)
),
TEXT(ROW()-1,""000"")
))"),"")</f>
        <v/>
      </c>
      <c r="J543" s="64"/>
      <c r="K543" s="64"/>
      <c r="L543" s="64"/>
      <c r="M543" s="64"/>
      <c r="N543" s="64"/>
      <c r="O543" s="64" t="s">
        <v>1333</v>
      </c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</row>
    <row r="544" ht="15.0" customHeight="1">
      <c r="A544" s="64"/>
      <c r="B544" s="64"/>
      <c r="C544" s="64"/>
      <c r="D544" s="64"/>
      <c r="E544" s="64"/>
      <c r="F544" s="64"/>
      <c r="G544" s="64"/>
      <c r="H544" s="64"/>
      <c r="I544" s="27" t="str">
        <f>IFERROR(__xludf.DUMMYFUNCTION("IF(A544="""","""",
TEXTJOIN(""-"",TRUE,
IFERROR(
  INDEX(FILTER(CFG_CODES!C:C, CFG_CODES!A:A=""CATEGORY"", UPPER(CFG_CODES!B:B)=UPPER(B544))),
  LEFT(UPPER(B544),3)
),
IFERROR(
  INDEX(FILTER(CFG_CODES!C:C, CFG_CODES!A:A=""MATERIAL"", UPPER(CFG_CODES!B:B)"&amp;"=UPPER(C544))),
  LEFT(UPPER(C544),3)
),
TEXT(ROW()-1,""000"")
))"),"")</f>
        <v/>
      </c>
      <c r="J544" s="64"/>
      <c r="K544" s="64"/>
      <c r="L544" s="64"/>
      <c r="M544" s="64"/>
      <c r="N544" s="64"/>
      <c r="O544" s="64" t="s">
        <v>1333</v>
      </c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</row>
    <row r="545" ht="15.0" customHeight="1">
      <c r="A545" s="64"/>
      <c r="B545" s="64"/>
      <c r="C545" s="64"/>
      <c r="D545" s="64"/>
      <c r="E545" s="64"/>
      <c r="F545" s="64"/>
      <c r="G545" s="64"/>
      <c r="H545" s="64"/>
      <c r="I545" s="27" t="str">
        <f>IFERROR(__xludf.DUMMYFUNCTION("IF(A545="""","""",
TEXTJOIN(""-"",TRUE,
IFERROR(
  INDEX(FILTER(CFG_CODES!C:C, CFG_CODES!A:A=""CATEGORY"", UPPER(CFG_CODES!B:B)=UPPER(B545))),
  LEFT(UPPER(B545),3)
),
IFERROR(
  INDEX(FILTER(CFG_CODES!C:C, CFG_CODES!A:A=""MATERIAL"", UPPER(CFG_CODES!B:B)"&amp;"=UPPER(C545))),
  LEFT(UPPER(C545),3)
),
TEXT(ROW()-1,""000"")
))"),"")</f>
        <v/>
      </c>
      <c r="J545" s="64"/>
      <c r="K545" s="64"/>
      <c r="L545" s="64"/>
      <c r="M545" s="64"/>
      <c r="N545" s="64"/>
      <c r="O545" s="64" t="s">
        <v>1333</v>
      </c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</row>
    <row r="546" ht="15.0" customHeight="1">
      <c r="A546" s="64"/>
      <c r="B546" s="64"/>
      <c r="C546" s="64"/>
      <c r="D546" s="64"/>
      <c r="E546" s="64"/>
      <c r="F546" s="64"/>
      <c r="G546" s="64"/>
      <c r="H546" s="64"/>
      <c r="I546" s="27" t="str">
        <f>IFERROR(__xludf.DUMMYFUNCTION("IF(A546="""","""",
TEXTJOIN(""-"",TRUE,
IFERROR(
  INDEX(FILTER(CFG_CODES!C:C, CFG_CODES!A:A=""CATEGORY"", UPPER(CFG_CODES!B:B)=UPPER(B546))),
  LEFT(UPPER(B546),3)
),
IFERROR(
  INDEX(FILTER(CFG_CODES!C:C, CFG_CODES!A:A=""MATERIAL"", UPPER(CFG_CODES!B:B)"&amp;"=UPPER(C546))),
  LEFT(UPPER(C546),3)
),
TEXT(ROW()-1,""000"")
))"),"")</f>
        <v/>
      </c>
      <c r="J546" s="64"/>
      <c r="K546" s="64"/>
      <c r="L546" s="64"/>
      <c r="M546" s="64"/>
      <c r="N546" s="64"/>
      <c r="O546" s="64" t="s">
        <v>1333</v>
      </c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</row>
    <row r="547" ht="15.0" customHeight="1">
      <c r="A547" s="64"/>
      <c r="B547" s="64"/>
      <c r="C547" s="64"/>
      <c r="D547" s="64"/>
      <c r="E547" s="64"/>
      <c r="F547" s="64"/>
      <c r="G547" s="64"/>
      <c r="H547" s="64"/>
      <c r="I547" s="27" t="str">
        <f>IFERROR(__xludf.DUMMYFUNCTION("IF(A547="""","""",
TEXTJOIN(""-"",TRUE,
IFERROR(
  INDEX(FILTER(CFG_CODES!C:C, CFG_CODES!A:A=""CATEGORY"", UPPER(CFG_CODES!B:B)=UPPER(B547))),
  LEFT(UPPER(B547),3)
),
IFERROR(
  INDEX(FILTER(CFG_CODES!C:C, CFG_CODES!A:A=""MATERIAL"", UPPER(CFG_CODES!B:B)"&amp;"=UPPER(C547))),
  LEFT(UPPER(C547),3)
),
TEXT(ROW()-1,""000"")
))"),"")</f>
        <v/>
      </c>
      <c r="J547" s="64"/>
      <c r="K547" s="64"/>
      <c r="L547" s="64"/>
      <c r="M547" s="64"/>
      <c r="N547" s="64"/>
      <c r="O547" s="64" t="s">
        <v>1333</v>
      </c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</row>
    <row r="548" ht="15.0" customHeight="1">
      <c r="A548" s="64"/>
      <c r="B548" s="64"/>
      <c r="C548" s="64"/>
      <c r="D548" s="64"/>
      <c r="E548" s="64"/>
      <c r="F548" s="64"/>
      <c r="G548" s="64"/>
      <c r="H548" s="64"/>
      <c r="I548" s="27" t="str">
        <f>IFERROR(__xludf.DUMMYFUNCTION("IF(A548="""","""",
TEXTJOIN(""-"",TRUE,
IFERROR(
  INDEX(FILTER(CFG_CODES!C:C, CFG_CODES!A:A=""CATEGORY"", UPPER(CFG_CODES!B:B)=UPPER(B548))),
  LEFT(UPPER(B548),3)
),
IFERROR(
  INDEX(FILTER(CFG_CODES!C:C, CFG_CODES!A:A=""MATERIAL"", UPPER(CFG_CODES!B:B)"&amp;"=UPPER(C548))),
  LEFT(UPPER(C548),3)
),
TEXT(ROW()-1,""000"")
))"),"")</f>
        <v/>
      </c>
      <c r="J548" s="64"/>
      <c r="K548" s="64"/>
      <c r="L548" s="64"/>
      <c r="M548" s="64"/>
      <c r="N548" s="64"/>
      <c r="O548" s="64" t="s">
        <v>1333</v>
      </c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</row>
    <row r="549" ht="15.0" customHeight="1">
      <c r="A549" s="64"/>
      <c r="B549" s="64"/>
      <c r="C549" s="64"/>
      <c r="D549" s="64"/>
      <c r="E549" s="64"/>
      <c r="F549" s="64"/>
      <c r="G549" s="64"/>
      <c r="H549" s="64"/>
      <c r="I549" s="27" t="str">
        <f>IFERROR(__xludf.DUMMYFUNCTION("IF(A549="""","""",
TEXTJOIN(""-"",TRUE,
IFERROR(
  INDEX(FILTER(CFG_CODES!C:C, CFG_CODES!A:A=""CATEGORY"", UPPER(CFG_CODES!B:B)=UPPER(B549))),
  LEFT(UPPER(B549),3)
),
IFERROR(
  INDEX(FILTER(CFG_CODES!C:C, CFG_CODES!A:A=""MATERIAL"", UPPER(CFG_CODES!B:B)"&amp;"=UPPER(C549))),
  LEFT(UPPER(C549),3)
),
TEXT(ROW()-1,""000"")
))"),"")</f>
        <v/>
      </c>
      <c r="J549" s="64"/>
      <c r="K549" s="64"/>
      <c r="L549" s="64"/>
      <c r="M549" s="64"/>
      <c r="N549" s="64"/>
      <c r="O549" s="64" t="s">
        <v>1333</v>
      </c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</row>
    <row r="550" ht="15.0" customHeight="1">
      <c r="A550" s="64"/>
      <c r="B550" s="64"/>
      <c r="C550" s="64"/>
      <c r="D550" s="64"/>
      <c r="E550" s="64"/>
      <c r="F550" s="64"/>
      <c r="G550" s="64"/>
      <c r="H550" s="64"/>
      <c r="I550" s="27" t="str">
        <f>IFERROR(__xludf.DUMMYFUNCTION("IF(A550="""","""",
TEXTJOIN(""-"",TRUE,
IFERROR(
  INDEX(FILTER(CFG_CODES!C:C, CFG_CODES!A:A=""CATEGORY"", UPPER(CFG_CODES!B:B)=UPPER(B550))),
  LEFT(UPPER(B550),3)
),
IFERROR(
  INDEX(FILTER(CFG_CODES!C:C, CFG_CODES!A:A=""MATERIAL"", UPPER(CFG_CODES!B:B)"&amp;"=UPPER(C550))),
  LEFT(UPPER(C550),3)
),
TEXT(ROW()-1,""000"")
))"),"")</f>
        <v/>
      </c>
      <c r="J550" s="64"/>
      <c r="K550" s="64"/>
      <c r="L550" s="64"/>
      <c r="M550" s="64"/>
      <c r="N550" s="64"/>
      <c r="O550" s="64" t="s">
        <v>1333</v>
      </c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</row>
    <row r="551" ht="15.0" customHeight="1">
      <c r="A551" s="64"/>
      <c r="B551" s="64"/>
      <c r="C551" s="64"/>
      <c r="D551" s="64"/>
      <c r="E551" s="64"/>
      <c r="F551" s="64"/>
      <c r="G551" s="64"/>
      <c r="H551" s="64"/>
      <c r="I551" s="27" t="str">
        <f>IFERROR(__xludf.DUMMYFUNCTION("IF(A551="""","""",
TEXTJOIN(""-"",TRUE,
IFERROR(
  INDEX(FILTER(CFG_CODES!C:C, CFG_CODES!A:A=""CATEGORY"", UPPER(CFG_CODES!B:B)=UPPER(B551))),
  LEFT(UPPER(B551),3)
),
IFERROR(
  INDEX(FILTER(CFG_CODES!C:C, CFG_CODES!A:A=""MATERIAL"", UPPER(CFG_CODES!B:B)"&amp;"=UPPER(C551))),
  LEFT(UPPER(C551),3)
),
TEXT(ROW()-1,""000"")
))"),"")</f>
        <v/>
      </c>
      <c r="J551" s="64"/>
      <c r="K551" s="64"/>
      <c r="L551" s="64"/>
      <c r="M551" s="64"/>
      <c r="N551" s="64"/>
      <c r="O551" s="64" t="s">
        <v>1333</v>
      </c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</row>
    <row r="552" ht="15.0" customHeight="1">
      <c r="A552" s="64"/>
      <c r="B552" s="64"/>
      <c r="C552" s="64"/>
      <c r="D552" s="64"/>
      <c r="E552" s="64"/>
      <c r="F552" s="64"/>
      <c r="G552" s="64"/>
      <c r="H552" s="64"/>
      <c r="I552" s="27" t="str">
        <f>IFERROR(__xludf.DUMMYFUNCTION("IF(A552="""","""",
TEXTJOIN(""-"",TRUE,
IFERROR(
  INDEX(FILTER(CFG_CODES!C:C, CFG_CODES!A:A=""CATEGORY"", UPPER(CFG_CODES!B:B)=UPPER(B552))),
  LEFT(UPPER(B552),3)
),
IFERROR(
  INDEX(FILTER(CFG_CODES!C:C, CFG_CODES!A:A=""MATERIAL"", UPPER(CFG_CODES!B:B)"&amp;"=UPPER(C552))),
  LEFT(UPPER(C552),3)
),
TEXT(ROW()-1,""000"")
))"),"")</f>
        <v/>
      </c>
      <c r="J552" s="64"/>
      <c r="K552" s="64"/>
      <c r="L552" s="64"/>
      <c r="M552" s="64"/>
      <c r="N552" s="64"/>
      <c r="O552" s="64" t="s">
        <v>1333</v>
      </c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</row>
    <row r="553" ht="15.0" customHeight="1">
      <c r="A553" s="64"/>
      <c r="B553" s="64"/>
      <c r="C553" s="64"/>
      <c r="D553" s="64"/>
      <c r="E553" s="64"/>
      <c r="F553" s="64"/>
      <c r="G553" s="64"/>
      <c r="H553" s="64"/>
      <c r="I553" s="27" t="str">
        <f>IFERROR(__xludf.DUMMYFUNCTION("IF(A553="""","""",
TEXTJOIN(""-"",TRUE,
IFERROR(
  INDEX(FILTER(CFG_CODES!C:C, CFG_CODES!A:A=""CATEGORY"", UPPER(CFG_CODES!B:B)=UPPER(B553))),
  LEFT(UPPER(B553),3)
),
IFERROR(
  INDEX(FILTER(CFG_CODES!C:C, CFG_CODES!A:A=""MATERIAL"", UPPER(CFG_CODES!B:B)"&amp;"=UPPER(C553))),
  LEFT(UPPER(C553),3)
),
TEXT(ROW()-1,""000"")
))"),"")</f>
        <v/>
      </c>
      <c r="J553" s="64"/>
      <c r="K553" s="64"/>
      <c r="L553" s="64"/>
      <c r="M553" s="64"/>
      <c r="N553" s="64"/>
      <c r="O553" s="64" t="s">
        <v>1333</v>
      </c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</row>
    <row r="554" ht="15.0" customHeight="1">
      <c r="A554" s="64"/>
      <c r="B554" s="64"/>
      <c r="C554" s="64"/>
      <c r="D554" s="64"/>
      <c r="E554" s="64"/>
      <c r="F554" s="64"/>
      <c r="G554" s="64"/>
      <c r="H554" s="64"/>
      <c r="I554" s="27" t="str">
        <f>IFERROR(__xludf.DUMMYFUNCTION("IF(A554="""","""",
TEXTJOIN(""-"",TRUE,
IFERROR(
  INDEX(FILTER(CFG_CODES!C:C, CFG_CODES!A:A=""CATEGORY"", UPPER(CFG_CODES!B:B)=UPPER(B554))),
  LEFT(UPPER(B554),3)
),
IFERROR(
  INDEX(FILTER(CFG_CODES!C:C, CFG_CODES!A:A=""MATERIAL"", UPPER(CFG_CODES!B:B)"&amp;"=UPPER(C554))),
  LEFT(UPPER(C554),3)
),
TEXT(ROW()-1,""000"")
))"),"")</f>
        <v/>
      </c>
      <c r="J554" s="64"/>
      <c r="K554" s="64"/>
      <c r="L554" s="64"/>
      <c r="M554" s="64"/>
      <c r="N554" s="64"/>
      <c r="O554" s="64" t="s">
        <v>1333</v>
      </c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</row>
    <row r="555" ht="15.0" customHeight="1">
      <c r="A555" s="64"/>
      <c r="B555" s="64"/>
      <c r="C555" s="64"/>
      <c r="D555" s="64"/>
      <c r="E555" s="64"/>
      <c r="F555" s="64"/>
      <c r="G555" s="64"/>
      <c r="H555" s="64"/>
      <c r="I555" s="27" t="str">
        <f>IFERROR(__xludf.DUMMYFUNCTION("IF(A555="""","""",
TEXTJOIN(""-"",TRUE,
IFERROR(
  INDEX(FILTER(CFG_CODES!C:C, CFG_CODES!A:A=""CATEGORY"", UPPER(CFG_CODES!B:B)=UPPER(B555))),
  LEFT(UPPER(B555),3)
),
IFERROR(
  INDEX(FILTER(CFG_CODES!C:C, CFG_CODES!A:A=""MATERIAL"", UPPER(CFG_CODES!B:B)"&amp;"=UPPER(C555))),
  LEFT(UPPER(C555),3)
),
TEXT(ROW()-1,""000"")
))"),"")</f>
        <v/>
      </c>
      <c r="J555" s="64"/>
      <c r="K555" s="64"/>
      <c r="L555" s="64"/>
      <c r="M555" s="64"/>
      <c r="N555" s="64"/>
      <c r="O555" s="64" t="s">
        <v>1333</v>
      </c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</row>
    <row r="556" ht="15.0" customHeight="1">
      <c r="A556" s="64"/>
      <c r="B556" s="64"/>
      <c r="C556" s="64"/>
      <c r="D556" s="64"/>
      <c r="E556" s="64"/>
      <c r="F556" s="64"/>
      <c r="G556" s="64"/>
      <c r="H556" s="64"/>
      <c r="I556" s="27" t="str">
        <f>IFERROR(__xludf.DUMMYFUNCTION("IF(A556="""","""",
TEXTJOIN(""-"",TRUE,
IFERROR(
  INDEX(FILTER(CFG_CODES!C:C, CFG_CODES!A:A=""CATEGORY"", UPPER(CFG_CODES!B:B)=UPPER(B556))),
  LEFT(UPPER(B556),3)
),
IFERROR(
  INDEX(FILTER(CFG_CODES!C:C, CFG_CODES!A:A=""MATERIAL"", UPPER(CFG_CODES!B:B)"&amp;"=UPPER(C556))),
  LEFT(UPPER(C556),3)
),
TEXT(ROW()-1,""000"")
))"),"")</f>
        <v/>
      </c>
      <c r="J556" s="64"/>
      <c r="K556" s="64"/>
      <c r="L556" s="64"/>
      <c r="M556" s="64"/>
      <c r="N556" s="64"/>
      <c r="O556" s="64" t="s">
        <v>1333</v>
      </c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</row>
    <row r="557" ht="15.0" customHeight="1">
      <c r="A557" s="64"/>
      <c r="B557" s="64"/>
      <c r="C557" s="64"/>
      <c r="D557" s="64"/>
      <c r="E557" s="64"/>
      <c r="F557" s="64"/>
      <c r="G557" s="64"/>
      <c r="H557" s="64"/>
      <c r="I557" s="27" t="str">
        <f>IFERROR(__xludf.DUMMYFUNCTION("IF(A557="""","""",
TEXTJOIN(""-"",TRUE,
IFERROR(
  INDEX(FILTER(CFG_CODES!C:C, CFG_CODES!A:A=""CATEGORY"", UPPER(CFG_CODES!B:B)=UPPER(B557))),
  LEFT(UPPER(B557),3)
),
IFERROR(
  INDEX(FILTER(CFG_CODES!C:C, CFG_CODES!A:A=""MATERIAL"", UPPER(CFG_CODES!B:B)"&amp;"=UPPER(C557))),
  LEFT(UPPER(C557),3)
),
TEXT(ROW()-1,""000"")
))"),"")</f>
        <v/>
      </c>
      <c r="J557" s="64"/>
      <c r="K557" s="64"/>
      <c r="L557" s="64"/>
      <c r="M557" s="64"/>
      <c r="N557" s="64"/>
      <c r="O557" s="64" t="s">
        <v>1333</v>
      </c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</row>
    <row r="558" ht="15.0" customHeight="1">
      <c r="A558" s="64"/>
      <c r="B558" s="64"/>
      <c r="C558" s="64"/>
      <c r="D558" s="64"/>
      <c r="E558" s="64"/>
      <c r="F558" s="64"/>
      <c r="G558" s="64"/>
      <c r="H558" s="64"/>
      <c r="I558" s="27" t="str">
        <f>IFERROR(__xludf.DUMMYFUNCTION("IF(A558="""","""",
TEXTJOIN(""-"",TRUE,
IFERROR(
  INDEX(FILTER(CFG_CODES!C:C, CFG_CODES!A:A=""CATEGORY"", UPPER(CFG_CODES!B:B)=UPPER(B558))),
  LEFT(UPPER(B558),3)
),
IFERROR(
  INDEX(FILTER(CFG_CODES!C:C, CFG_CODES!A:A=""MATERIAL"", UPPER(CFG_CODES!B:B)"&amp;"=UPPER(C558))),
  LEFT(UPPER(C558),3)
),
TEXT(ROW()-1,""000"")
))"),"")</f>
        <v/>
      </c>
      <c r="J558" s="64"/>
      <c r="K558" s="64"/>
      <c r="L558" s="64"/>
      <c r="M558" s="64"/>
      <c r="N558" s="64"/>
      <c r="O558" s="64" t="s">
        <v>1333</v>
      </c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</row>
    <row r="559" ht="15.0" customHeight="1">
      <c r="A559" s="64"/>
      <c r="B559" s="64"/>
      <c r="C559" s="64"/>
      <c r="D559" s="64"/>
      <c r="E559" s="64"/>
      <c r="F559" s="64"/>
      <c r="G559" s="64"/>
      <c r="H559" s="64"/>
      <c r="I559" s="27" t="str">
        <f>IFERROR(__xludf.DUMMYFUNCTION("IF(A559="""","""",
TEXTJOIN(""-"",TRUE,
IFERROR(
  INDEX(FILTER(CFG_CODES!C:C, CFG_CODES!A:A=""CATEGORY"", UPPER(CFG_CODES!B:B)=UPPER(B559))),
  LEFT(UPPER(B559),3)
),
IFERROR(
  INDEX(FILTER(CFG_CODES!C:C, CFG_CODES!A:A=""MATERIAL"", UPPER(CFG_CODES!B:B)"&amp;"=UPPER(C559))),
  LEFT(UPPER(C559),3)
),
TEXT(ROW()-1,""000"")
))"),"")</f>
        <v/>
      </c>
      <c r="J559" s="64"/>
      <c r="K559" s="64"/>
      <c r="L559" s="64"/>
      <c r="M559" s="64"/>
      <c r="N559" s="64"/>
      <c r="O559" s="64" t="s">
        <v>1333</v>
      </c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</row>
    <row r="560" ht="15.0" customHeight="1">
      <c r="A560" s="64"/>
      <c r="B560" s="64"/>
      <c r="C560" s="64"/>
      <c r="D560" s="64"/>
      <c r="E560" s="64"/>
      <c r="F560" s="64"/>
      <c r="G560" s="64"/>
      <c r="H560" s="64"/>
      <c r="I560" s="27" t="str">
        <f>IFERROR(__xludf.DUMMYFUNCTION("IF(A560="""","""",
TEXTJOIN(""-"",TRUE,
IFERROR(
  INDEX(FILTER(CFG_CODES!C:C, CFG_CODES!A:A=""CATEGORY"", UPPER(CFG_CODES!B:B)=UPPER(B560))),
  LEFT(UPPER(B560),3)
),
IFERROR(
  INDEX(FILTER(CFG_CODES!C:C, CFG_CODES!A:A=""MATERIAL"", UPPER(CFG_CODES!B:B)"&amp;"=UPPER(C560))),
  LEFT(UPPER(C560),3)
),
TEXT(ROW()-1,""000"")
))"),"")</f>
        <v/>
      </c>
      <c r="J560" s="64"/>
      <c r="K560" s="64"/>
      <c r="L560" s="64"/>
      <c r="M560" s="64"/>
      <c r="N560" s="64"/>
      <c r="O560" s="64" t="s">
        <v>1333</v>
      </c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</row>
    <row r="561" ht="15.0" customHeight="1">
      <c r="A561" s="64"/>
      <c r="B561" s="64"/>
      <c r="C561" s="64"/>
      <c r="D561" s="64"/>
      <c r="E561" s="64"/>
      <c r="F561" s="64"/>
      <c r="G561" s="64"/>
      <c r="H561" s="64"/>
      <c r="I561" s="27" t="str">
        <f>IFERROR(__xludf.DUMMYFUNCTION("IF(A561="""","""",
TEXTJOIN(""-"",TRUE,
IFERROR(
  INDEX(FILTER(CFG_CODES!C:C, CFG_CODES!A:A=""CATEGORY"", UPPER(CFG_CODES!B:B)=UPPER(B561))),
  LEFT(UPPER(B561),3)
),
IFERROR(
  INDEX(FILTER(CFG_CODES!C:C, CFG_CODES!A:A=""MATERIAL"", UPPER(CFG_CODES!B:B)"&amp;"=UPPER(C561))),
  LEFT(UPPER(C561),3)
),
TEXT(ROW()-1,""000"")
))"),"")</f>
        <v/>
      </c>
      <c r="J561" s="64"/>
      <c r="K561" s="64"/>
      <c r="L561" s="64"/>
      <c r="M561" s="64"/>
      <c r="N561" s="64"/>
      <c r="O561" s="64" t="s">
        <v>1333</v>
      </c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</row>
    <row r="562" ht="15.0" customHeight="1">
      <c r="A562" s="64"/>
      <c r="B562" s="64"/>
      <c r="C562" s="64"/>
      <c r="D562" s="64"/>
      <c r="E562" s="64"/>
      <c r="F562" s="64"/>
      <c r="G562" s="64"/>
      <c r="H562" s="64"/>
      <c r="I562" s="27" t="str">
        <f>IFERROR(__xludf.DUMMYFUNCTION("IF(A562="""","""",
TEXTJOIN(""-"",TRUE,
IFERROR(
  INDEX(FILTER(CFG_CODES!C:C, CFG_CODES!A:A=""CATEGORY"", UPPER(CFG_CODES!B:B)=UPPER(B562))),
  LEFT(UPPER(B562),3)
),
IFERROR(
  INDEX(FILTER(CFG_CODES!C:C, CFG_CODES!A:A=""MATERIAL"", UPPER(CFG_CODES!B:B)"&amp;"=UPPER(C562))),
  LEFT(UPPER(C562),3)
),
TEXT(ROW()-1,""000"")
))"),"")</f>
        <v/>
      </c>
      <c r="J562" s="64"/>
      <c r="K562" s="64"/>
      <c r="L562" s="64"/>
      <c r="M562" s="64"/>
      <c r="N562" s="64"/>
      <c r="O562" s="64" t="s">
        <v>1333</v>
      </c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</row>
    <row r="563" ht="15.0" customHeight="1">
      <c r="A563" s="64"/>
      <c r="B563" s="64"/>
      <c r="C563" s="64"/>
      <c r="D563" s="64"/>
      <c r="E563" s="64"/>
      <c r="F563" s="64"/>
      <c r="G563" s="64"/>
      <c r="H563" s="64"/>
      <c r="I563" s="27" t="str">
        <f>IFERROR(__xludf.DUMMYFUNCTION("IF(A563="""","""",
TEXTJOIN(""-"",TRUE,
IFERROR(
  INDEX(FILTER(CFG_CODES!C:C, CFG_CODES!A:A=""CATEGORY"", UPPER(CFG_CODES!B:B)=UPPER(B563))),
  LEFT(UPPER(B563),3)
),
IFERROR(
  INDEX(FILTER(CFG_CODES!C:C, CFG_CODES!A:A=""MATERIAL"", UPPER(CFG_CODES!B:B)"&amp;"=UPPER(C563))),
  LEFT(UPPER(C563),3)
),
TEXT(ROW()-1,""000"")
))"),"")</f>
        <v/>
      </c>
      <c r="J563" s="64"/>
      <c r="K563" s="64"/>
      <c r="L563" s="64"/>
      <c r="M563" s="64"/>
      <c r="N563" s="64"/>
      <c r="O563" s="64" t="s">
        <v>1333</v>
      </c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</row>
    <row r="564" ht="15.0" customHeight="1">
      <c r="A564" s="64"/>
      <c r="B564" s="64"/>
      <c r="C564" s="64"/>
      <c r="D564" s="64"/>
      <c r="E564" s="64"/>
      <c r="F564" s="64"/>
      <c r="G564" s="64"/>
      <c r="H564" s="64"/>
      <c r="I564" s="27" t="str">
        <f>IFERROR(__xludf.DUMMYFUNCTION("IF(A564="""","""",
TEXTJOIN(""-"",TRUE,
IFERROR(
  INDEX(FILTER(CFG_CODES!C:C, CFG_CODES!A:A=""CATEGORY"", UPPER(CFG_CODES!B:B)=UPPER(B564))),
  LEFT(UPPER(B564),3)
),
IFERROR(
  INDEX(FILTER(CFG_CODES!C:C, CFG_CODES!A:A=""MATERIAL"", UPPER(CFG_CODES!B:B)"&amp;"=UPPER(C564))),
  LEFT(UPPER(C564),3)
),
TEXT(ROW()-1,""000"")
))"),"")</f>
        <v/>
      </c>
      <c r="J564" s="64"/>
      <c r="K564" s="64"/>
      <c r="L564" s="64"/>
      <c r="M564" s="64"/>
      <c r="N564" s="64"/>
      <c r="O564" s="64" t="s">
        <v>1333</v>
      </c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</row>
    <row r="565" ht="15.0" customHeight="1">
      <c r="A565" s="64"/>
      <c r="B565" s="64"/>
      <c r="C565" s="64"/>
      <c r="D565" s="64"/>
      <c r="E565" s="64"/>
      <c r="F565" s="64"/>
      <c r="G565" s="64"/>
      <c r="H565" s="64"/>
      <c r="I565" s="27" t="str">
        <f>IFERROR(__xludf.DUMMYFUNCTION("IF(A565="""","""",
TEXTJOIN(""-"",TRUE,
IFERROR(
  INDEX(FILTER(CFG_CODES!C:C, CFG_CODES!A:A=""CATEGORY"", UPPER(CFG_CODES!B:B)=UPPER(B565))),
  LEFT(UPPER(B565),3)
),
IFERROR(
  INDEX(FILTER(CFG_CODES!C:C, CFG_CODES!A:A=""MATERIAL"", UPPER(CFG_CODES!B:B)"&amp;"=UPPER(C565))),
  LEFT(UPPER(C565),3)
),
TEXT(ROW()-1,""000"")
))"),"")</f>
        <v/>
      </c>
      <c r="J565" s="64"/>
      <c r="K565" s="64"/>
      <c r="L565" s="64"/>
      <c r="M565" s="64"/>
      <c r="N565" s="64"/>
      <c r="O565" s="64" t="s">
        <v>1333</v>
      </c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</row>
    <row r="566" ht="15.0" customHeight="1">
      <c r="A566" s="64"/>
      <c r="B566" s="64"/>
      <c r="C566" s="64"/>
      <c r="D566" s="64"/>
      <c r="E566" s="64"/>
      <c r="F566" s="64"/>
      <c r="G566" s="64"/>
      <c r="H566" s="64"/>
      <c r="I566" s="27" t="str">
        <f>IFERROR(__xludf.DUMMYFUNCTION("IF(A566="""","""",
TEXTJOIN(""-"",TRUE,
IFERROR(
  INDEX(FILTER(CFG_CODES!C:C, CFG_CODES!A:A=""CATEGORY"", UPPER(CFG_CODES!B:B)=UPPER(B566))),
  LEFT(UPPER(B566),3)
),
IFERROR(
  INDEX(FILTER(CFG_CODES!C:C, CFG_CODES!A:A=""MATERIAL"", UPPER(CFG_CODES!B:B)"&amp;"=UPPER(C566))),
  LEFT(UPPER(C566),3)
),
TEXT(ROW()-1,""000"")
))"),"")</f>
        <v/>
      </c>
      <c r="J566" s="64"/>
      <c r="K566" s="64"/>
      <c r="L566" s="64"/>
      <c r="M566" s="64"/>
      <c r="N566" s="64"/>
      <c r="O566" s="64" t="s">
        <v>1333</v>
      </c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</row>
    <row r="567" ht="15.0" customHeight="1">
      <c r="A567" s="64"/>
      <c r="B567" s="64"/>
      <c r="C567" s="64"/>
      <c r="D567" s="64"/>
      <c r="E567" s="64"/>
      <c r="F567" s="64"/>
      <c r="G567" s="64"/>
      <c r="H567" s="64"/>
      <c r="I567" s="27" t="str">
        <f>IFERROR(__xludf.DUMMYFUNCTION("IF(A567="""","""",
TEXTJOIN(""-"",TRUE,
IFERROR(
  INDEX(FILTER(CFG_CODES!C:C, CFG_CODES!A:A=""CATEGORY"", UPPER(CFG_CODES!B:B)=UPPER(B567))),
  LEFT(UPPER(B567),3)
),
IFERROR(
  INDEX(FILTER(CFG_CODES!C:C, CFG_CODES!A:A=""MATERIAL"", UPPER(CFG_CODES!B:B)"&amp;"=UPPER(C567))),
  LEFT(UPPER(C567),3)
),
TEXT(ROW()-1,""000"")
))"),"")</f>
        <v/>
      </c>
      <c r="J567" s="64"/>
      <c r="K567" s="64"/>
      <c r="L567" s="64"/>
      <c r="M567" s="64"/>
      <c r="N567" s="64"/>
      <c r="O567" s="64" t="s">
        <v>1333</v>
      </c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</row>
    <row r="568" ht="15.0" customHeight="1">
      <c r="A568" s="64"/>
      <c r="B568" s="64"/>
      <c r="C568" s="64"/>
      <c r="D568" s="64"/>
      <c r="E568" s="64"/>
      <c r="F568" s="64"/>
      <c r="G568" s="64"/>
      <c r="H568" s="64"/>
      <c r="I568" s="27" t="str">
        <f>IFERROR(__xludf.DUMMYFUNCTION("IF(A568="""","""",
TEXTJOIN(""-"",TRUE,
IFERROR(
  INDEX(FILTER(CFG_CODES!C:C, CFG_CODES!A:A=""CATEGORY"", UPPER(CFG_CODES!B:B)=UPPER(B568))),
  LEFT(UPPER(B568),3)
),
IFERROR(
  INDEX(FILTER(CFG_CODES!C:C, CFG_CODES!A:A=""MATERIAL"", UPPER(CFG_CODES!B:B)"&amp;"=UPPER(C568))),
  LEFT(UPPER(C568),3)
),
TEXT(ROW()-1,""000"")
))"),"")</f>
        <v/>
      </c>
      <c r="J568" s="64"/>
      <c r="K568" s="64"/>
      <c r="L568" s="64"/>
      <c r="M568" s="64"/>
      <c r="N568" s="64"/>
      <c r="O568" s="64" t="s">
        <v>1333</v>
      </c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</row>
    <row r="569" ht="15.0" customHeight="1">
      <c r="A569" s="64"/>
      <c r="B569" s="64"/>
      <c r="C569" s="64"/>
      <c r="D569" s="64"/>
      <c r="E569" s="64"/>
      <c r="F569" s="64"/>
      <c r="G569" s="64"/>
      <c r="H569" s="64"/>
      <c r="I569" s="27" t="str">
        <f>IFERROR(__xludf.DUMMYFUNCTION("IF(A569="""","""",
TEXTJOIN(""-"",TRUE,
IFERROR(
  INDEX(FILTER(CFG_CODES!C:C, CFG_CODES!A:A=""CATEGORY"", UPPER(CFG_CODES!B:B)=UPPER(B569))),
  LEFT(UPPER(B569),3)
),
IFERROR(
  INDEX(FILTER(CFG_CODES!C:C, CFG_CODES!A:A=""MATERIAL"", UPPER(CFG_CODES!B:B)"&amp;"=UPPER(C569))),
  LEFT(UPPER(C569),3)
),
TEXT(ROW()-1,""000"")
))"),"")</f>
        <v/>
      </c>
      <c r="J569" s="64"/>
      <c r="K569" s="64"/>
      <c r="L569" s="64"/>
      <c r="M569" s="64"/>
      <c r="N569" s="64"/>
      <c r="O569" s="64" t="s">
        <v>1333</v>
      </c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</row>
    <row r="570" ht="15.0" customHeight="1">
      <c r="A570" s="64"/>
      <c r="B570" s="64"/>
      <c r="C570" s="64"/>
      <c r="D570" s="64"/>
      <c r="E570" s="64"/>
      <c r="F570" s="64"/>
      <c r="G570" s="64"/>
      <c r="H570" s="64"/>
      <c r="I570" s="27" t="str">
        <f>IFERROR(__xludf.DUMMYFUNCTION("IF(A570="""","""",
TEXTJOIN(""-"",TRUE,
IFERROR(
  INDEX(FILTER(CFG_CODES!C:C, CFG_CODES!A:A=""CATEGORY"", UPPER(CFG_CODES!B:B)=UPPER(B570))),
  LEFT(UPPER(B570),3)
),
IFERROR(
  INDEX(FILTER(CFG_CODES!C:C, CFG_CODES!A:A=""MATERIAL"", UPPER(CFG_CODES!B:B)"&amp;"=UPPER(C570))),
  LEFT(UPPER(C570),3)
),
TEXT(ROW()-1,""000"")
))"),"")</f>
        <v/>
      </c>
      <c r="J570" s="64"/>
      <c r="K570" s="64"/>
      <c r="L570" s="64"/>
      <c r="M570" s="64"/>
      <c r="N570" s="64"/>
      <c r="O570" s="64" t="s">
        <v>1333</v>
      </c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</row>
    <row r="571" ht="15.0" customHeight="1">
      <c r="A571" s="64"/>
      <c r="B571" s="64"/>
      <c r="C571" s="64"/>
      <c r="D571" s="64"/>
      <c r="E571" s="64"/>
      <c r="F571" s="64"/>
      <c r="G571" s="64"/>
      <c r="H571" s="64"/>
      <c r="I571" s="27" t="str">
        <f>IFERROR(__xludf.DUMMYFUNCTION("IF(A571="""","""",
TEXTJOIN(""-"",TRUE,
IFERROR(
  INDEX(FILTER(CFG_CODES!C:C, CFG_CODES!A:A=""CATEGORY"", UPPER(CFG_CODES!B:B)=UPPER(B571))),
  LEFT(UPPER(B571),3)
),
IFERROR(
  INDEX(FILTER(CFG_CODES!C:C, CFG_CODES!A:A=""MATERIAL"", UPPER(CFG_CODES!B:B)"&amp;"=UPPER(C571))),
  LEFT(UPPER(C571),3)
),
TEXT(ROW()-1,""000"")
))"),"")</f>
        <v/>
      </c>
      <c r="J571" s="64"/>
      <c r="K571" s="64"/>
      <c r="L571" s="64"/>
      <c r="M571" s="64"/>
      <c r="N571" s="64"/>
      <c r="O571" s="64" t="s">
        <v>1333</v>
      </c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</row>
    <row r="572" ht="15.0" customHeight="1">
      <c r="A572" s="64"/>
      <c r="B572" s="64"/>
      <c r="C572" s="64"/>
      <c r="D572" s="64"/>
      <c r="E572" s="64"/>
      <c r="F572" s="64"/>
      <c r="G572" s="64"/>
      <c r="H572" s="64"/>
      <c r="I572" s="27" t="str">
        <f>IFERROR(__xludf.DUMMYFUNCTION("IF(A572="""","""",
TEXTJOIN(""-"",TRUE,
IFERROR(
  INDEX(FILTER(CFG_CODES!C:C, CFG_CODES!A:A=""CATEGORY"", UPPER(CFG_CODES!B:B)=UPPER(B572))),
  LEFT(UPPER(B572),3)
),
IFERROR(
  INDEX(FILTER(CFG_CODES!C:C, CFG_CODES!A:A=""MATERIAL"", UPPER(CFG_CODES!B:B)"&amp;"=UPPER(C572))),
  LEFT(UPPER(C572),3)
),
TEXT(ROW()-1,""000"")
))"),"")</f>
        <v/>
      </c>
      <c r="J572" s="64"/>
      <c r="K572" s="64"/>
      <c r="L572" s="64"/>
      <c r="M572" s="64"/>
      <c r="N572" s="64"/>
      <c r="O572" s="64" t="s">
        <v>1333</v>
      </c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</row>
    <row r="573" ht="15.0" customHeight="1">
      <c r="A573" s="64"/>
      <c r="B573" s="64"/>
      <c r="C573" s="64"/>
      <c r="D573" s="64"/>
      <c r="E573" s="64"/>
      <c r="F573" s="64"/>
      <c r="G573" s="64"/>
      <c r="H573" s="64"/>
      <c r="I573" s="27" t="str">
        <f>IFERROR(__xludf.DUMMYFUNCTION("IF(A573="""","""",
TEXTJOIN(""-"",TRUE,
IFERROR(
  INDEX(FILTER(CFG_CODES!C:C, CFG_CODES!A:A=""CATEGORY"", UPPER(CFG_CODES!B:B)=UPPER(B573))),
  LEFT(UPPER(B573),3)
),
IFERROR(
  INDEX(FILTER(CFG_CODES!C:C, CFG_CODES!A:A=""MATERIAL"", UPPER(CFG_CODES!B:B)"&amp;"=UPPER(C573))),
  LEFT(UPPER(C573),3)
),
TEXT(ROW()-1,""000"")
))"),"")</f>
        <v/>
      </c>
      <c r="J573" s="64"/>
      <c r="K573" s="64"/>
      <c r="L573" s="64"/>
      <c r="M573" s="64"/>
      <c r="N573" s="64"/>
      <c r="O573" s="64" t="s">
        <v>1333</v>
      </c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</row>
    <row r="574" ht="15.0" customHeight="1">
      <c r="A574" s="64"/>
      <c r="B574" s="64"/>
      <c r="C574" s="64"/>
      <c r="D574" s="64"/>
      <c r="E574" s="64"/>
      <c r="F574" s="64"/>
      <c r="G574" s="64"/>
      <c r="H574" s="64"/>
      <c r="I574" s="27" t="str">
        <f>IFERROR(__xludf.DUMMYFUNCTION("IF(A574="""","""",
TEXTJOIN(""-"",TRUE,
IFERROR(
  INDEX(FILTER(CFG_CODES!C:C, CFG_CODES!A:A=""CATEGORY"", UPPER(CFG_CODES!B:B)=UPPER(B574))),
  LEFT(UPPER(B574),3)
),
IFERROR(
  INDEX(FILTER(CFG_CODES!C:C, CFG_CODES!A:A=""MATERIAL"", UPPER(CFG_CODES!B:B)"&amp;"=UPPER(C574))),
  LEFT(UPPER(C574),3)
),
TEXT(ROW()-1,""000"")
))"),"")</f>
        <v/>
      </c>
      <c r="J574" s="64"/>
      <c r="K574" s="64"/>
      <c r="L574" s="64"/>
      <c r="M574" s="64"/>
      <c r="N574" s="64"/>
      <c r="O574" s="64" t="s">
        <v>1333</v>
      </c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</row>
    <row r="575" ht="15.0" customHeight="1">
      <c r="A575" s="64"/>
      <c r="B575" s="64"/>
      <c r="C575" s="64"/>
      <c r="D575" s="64"/>
      <c r="E575" s="64"/>
      <c r="F575" s="64"/>
      <c r="G575" s="64"/>
      <c r="H575" s="64"/>
      <c r="I575" s="27" t="str">
        <f>IFERROR(__xludf.DUMMYFUNCTION("IF(A575="""","""",
TEXTJOIN(""-"",TRUE,
IFERROR(
  INDEX(FILTER(CFG_CODES!C:C, CFG_CODES!A:A=""CATEGORY"", UPPER(CFG_CODES!B:B)=UPPER(B575))),
  LEFT(UPPER(B575),3)
),
IFERROR(
  INDEX(FILTER(CFG_CODES!C:C, CFG_CODES!A:A=""MATERIAL"", UPPER(CFG_CODES!B:B)"&amp;"=UPPER(C575))),
  LEFT(UPPER(C575),3)
),
TEXT(ROW()-1,""000"")
))"),"")</f>
        <v/>
      </c>
      <c r="J575" s="64"/>
      <c r="K575" s="64"/>
      <c r="L575" s="64"/>
      <c r="M575" s="64"/>
      <c r="N575" s="64"/>
      <c r="O575" s="64" t="s">
        <v>1333</v>
      </c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</row>
    <row r="576" ht="15.0" customHeight="1">
      <c r="A576" s="64"/>
      <c r="B576" s="64"/>
      <c r="C576" s="64"/>
      <c r="D576" s="64"/>
      <c r="E576" s="64"/>
      <c r="F576" s="64"/>
      <c r="G576" s="64"/>
      <c r="H576" s="64"/>
      <c r="I576" s="27" t="str">
        <f>IFERROR(__xludf.DUMMYFUNCTION("IF(A576="""","""",
TEXTJOIN(""-"",TRUE,
IFERROR(
  INDEX(FILTER(CFG_CODES!C:C, CFG_CODES!A:A=""CATEGORY"", UPPER(CFG_CODES!B:B)=UPPER(B576))),
  LEFT(UPPER(B576),3)
),
IFERROR(
  INDEX(FILTER(CFG_CODES!C:C, CFG_CODES!A:A=""MATERIAL"", UPPER(CFG_CODES!B:B)"&amp;"=UPPER(C576))),
  LEFT(UPPER(C576),3)
),
TEXT(ROW()-1,""000"")
))"),"")</f>
        <v/>
      </c>
      <c r="J576" s="64"/>
      <c r="K576" s="64"/>
      <c r="L576" s="64"/>
      <c r="M576" s="64"/>
      <c r="N576" s="64"/>
      <c r="O576" s="64" t="s">
        <v>1333</v>
      </c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</row>
    <row r="577" ht="15.0" customHeight="1">
      <c r="A577" s="64"/>
      <c r="B577" s="64"/>
      <c r="C577" s="64"/>
      <c r="D577" s="64"/>
      <c r="E577" s="64"/>
      <c r="F577" s="64"/>
      <c r="G577" s="64"/>
      <c r="H577" s="64"/>
      <c r="I577" s="27" t="str">
        <f>IFERROR(__xludf.DUMMYFUNCTION("IF(A577="""","""",
TEXTJOIN(""-"",TRUE,
IFERROR(
  INDEX(FILTER(CFG_CODES!C:C, CFG_CODES!A:A=""CATEGORY"", UPPER(CFG_CODES!B:B)=UPPER(B577))),
  LEFT(UPPER(B577),3)
),
IFERROR(
  INDEX(FILTER(CFG_CODES!C:C, CFG_CODES!A:A=""MATERIAL"", UPPER(CFG_CODES!B:B)"&amp;"=UPPER(C577))),
  LEFT(UPPER(C577),3)
),
TEXT(ROW()-1,""000"")
))"),"")</f>
        <v/>
      </c>
      <c r="J577" s="64"/>
      <c r="K577" s="64"/>
      <c r="L577" s="64"/>
      <c r="M577" s="64"/>
      <c r="N577" s="64"/>
      <c r="O577" s="64" t="s">
        <v>1333</v>
      </c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</row>
    <row r="578" ht="15.0" customHeight="1">
      <c r="A578" s="64"/>
      <c r="B578" s="64"/>
      <c r="C578" s="64"/>
      <c r="D578" s="64"/>
      <c r="E578" s="64"/>
      <c r="F578" s="64"/>
      <c r="G578" s="64"/>
      <c r="H578" s="64"/>
      <c r="I578" s="27" t="str">
        <f>IFERROR(__xludf.DUMMYFUNCTION("IF(A578="""","""",
TEXTJOIN(""-"",TRUE,
IFERROR(
  INDEX(FILTER(CFG_CODES!C:C, CFG_CODES!A:A=""CATEGORY"", UPPER(CFG_CODES!B:B)=UPPER(B578))),
  LEFT(UPPER(B578),3)
),
IFERROR(
  INDEX(FILTER(CFG_CODES!C:C, CFG_CODES!A:A=""MATERIAL"", UPPER(CFG_CODES!B:B)"&amp;"=UPPER(C578))),
  LEFT(UPPER(C578),3)
),
TEXT(ROW()-1,""000"")
))"),"")</f>
        <v/>
      </c>
      <c r="J578" s="64"/>
      <c r="K578" s="64"/>
      <c r="L578" s="64"/>
      <c r="M578" s="64"/>
      <c r="N578" s="64"/>
      <c r="O578" s="64" t="s">
        <v>1333</v>
      </c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</row>
    <row r="579" ht="15.0" customHeight="1">
      <c r="A579" s="64"/>
      <c r="B579" s="64"/>
      <c r="C579" s="64"/>
      <c r="D579" s="64"/>
      <c r="E579" s="64"/>
      <c r="F579" s="64"/>
      <c r="G579" s="64"/>
      <c r="H579" s="64"/>
      <c r="I579" s="27" t="str">
        <f>IFERROR(__xludf.DUMMYFUNCTION("IF(A579="""","""",
TEXTJOIN(""-"",TRUE,
IFERROR(
  INDEX(FILTER(CFG_CODES!C:C, CFG_CODES!A:A=""CATEGORY"", UPPER(CFG_CODES!B:B)=UPPER(B579))),
  LEFT(UPPER(B579),3)
),
IFERROR(
  INDEX(FILTER(CFG_CODES!C:C, CFG_CODES!A:A=""MATERIAL"", UPPER(CFG_CODES!B:B)"&amp;"=UPPER(C579))),
  LEFT(UPPER(C579),3)
),
TEXT(ROW()-1,""000"")
))"),"")</f>
        <v/>
      </c>
      <c r="J579" s="64"/>
      <c r="K579" s="64"/>
      <c r="L579" s="64"/>
      <c r="M579" s="64"/>
      <c r="N579" s="64"/>
      <c r="O579" s="64" t="s">
        <v>1333</v>
      </c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</row>
    <row r="580" ht="15.0" customHeight="1">
      <c r="A580" s="64"/>
      <c r="B580" s="64"/>
      <c r="C580" s="64"/>
      <c r="D580" s="64"/>
      <c r="E580" s="64"/>
      <c r="F580" s="64"/>
      <c r="G580" s="64"/>
      <c r="H580" s="64"/>
      <c r="I580" s="27" t="str">
        <f>IFERROR(__xludf.DUMMYFUNCTION("IF(A580="""","""",
TEXTJOIN(""-"",TRUE,
IFERROR(
  INDEX(FILTER(CFG_CODES!C:C, CFG_CODES!A:A=""CATEGORY"", UPPER(CFG_CODES!B:B)=UPPER(B580))),
  LEFT(UPPER(B580),3)
),
IFERROR(
  INDEX(FILTER(CFG_CODES!C:C, CFG_CODES!A:A=""MATERIAL"", UPPER(CFG_CODES!B:B)"&amp;"=UPPER(C580))),
  LEFT(UPPER(C580),3)
),
TEXT(ROW()-1,""000"")
))"),"")</f>
        <v/>
      </c>
      <c r="J580" s="64"/>
      <c r="K580" s="64"/>
      <c r="L580" s="64"/>
      <c r="M580" s="64"/>
      <c r="N580" s="64"/>
      <c r="O580" s="64" t="s">
        <v>1333</v>
      </c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</row>
    <row r="581" ht="15.0" customHeight="1">
      <c r="A581" s="64"/>
      <c r="B581" s="64"/>
      <c r="C581" s="64"/>
      <c r="D581" s="64"/>
      <c r="E581" s="64"/>
      <c r="F581" s="64"/>
      <c r="G581" s="64"/>
      <c r="H581" s="64"/>
      <c r="I581" s="27" t="str">
        <f>IFERROR(__xludf.DUMMYFUNCTION("IF(A581="""","""",
TEXTJOIN(""-"",TRUE,
IFERROR(
  INDEX(FILTER(CFG_CODES!C:C, CFG_CODES!A:A=""CATEGORY"", UPPER(CFG_CODES!B:B)=UPPER(B581))),
  LEFT(UPPER(B581),3)
),
IFERROR(
  INDEX(FILTER(CFG_CODES!C:C, CFG_CODES!A:A=""MATERIAL"", UPPER(CFG_CODES!B:B)"&amp;"=UPPER(C581))),
  LEFT(UPPER(C581),3)
),
TEXT(ROW()-1,""000"")
))"),"")</f>
        <v/>
      </c>
      <c r="J581" s="64"/>
      <c r="K581" s="64"/>
      <c r="L581" s="64"/>
      <c r="M581" s="64"/>
      <c r="N581" s="64"/>
      <c r="O581" s="64" t="s">
        <v>1333</v>
      </c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</row>
    <row r="582" ht="15.0" customHeight="1">
      <c r="A582" s="64"/>
      <c r="B582" s="64"/>
      <c r="C582" s="64"/>
      <c r="D582" s="64"/>
      <c r="E582" s="64"/>
      <c r="F582" s="64"/>
      <c r="G582" s="64"/>
      <c r="H582" s="64"/>
      <c r="I582" s="27" t="str">
        <f>IFERROR(__xludf.DUMMYFUNCTION("IF(A582="""","""",
TEXTJOIN(""-"",TRUE,
IFERROR(
  INDEX(FILTER(CFG_CODES!C:C, CFG_CODES!A:A=""CATEGORY"", UPPER(CFG_CODES!B:B)=UPPER(B582))),
  LEFT(UPPER(B582),3)
),
IFERROR(
  INDEX(FILTER(CFG_CODES!C:C, CFG_CODES!A:A=""MATERIAL"", UPPER(CFG_CODES!B:B)"&amp;"=UPPER(C582))),
  LEFT(UPPER(C582),3)
),
TEXT(ROW()-1,""000"")
))"),"")</f>
        <v/>
      </c>
      <c r="J582" s="64"/>
      <c r="K582" s="64"/>
      <c r="L582" s="64"/>
      <c r="M582" s="64"/>
      <c r="N582" s="64"/>
      <c r="O582" s="64" t="s">
        <v>1333</v>
      </c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</row>
    <row r="583" ht="15.0" customHeight="1">
      <c r="A583" s="64"/>
      <c r="B583" s="64"/>
      <c r="C583" s="64"/>
      <c r="D583" s="64"/>
      <c r="E583" s="64"/>
      <c r="F583" s="64"/>
      <c r="G583" s="64"/>
      <c r="H583" s="64"/>
      <c r="I583" s="27" t="str">
        <f>IFERROR(__xludf.DUMMYFUNCTION("IF(A583="""","""",
TEXTJOIN(""-"",TRUE,
IFERROR(
  INDEX(FILTER(CFG_CODES!C:C, CFG_CODES!A:A=""CATEGORY"", UPPER(CFG_CODES!B:B)=UPPER(B583))),
  LEFT(UPPER(B583),3)
),
IFERROR(
  INDEX(FILTER(CFG_CODES!C:C, CFG_CODES!A:A=""MATERIAL"", UPPER(CFG_CODES!B:B)"&amp;"=UPPER(C583))),
  LEFT(UPPER(C583),3)
),
TEXT(ROW()-1,""000"")
))"),"")</f>
        <v/>
      </c>
      <c r="J583" s="64"/>
      <c r="K583" s="64"/>
      <c r="L583" s="64"/>
      <c r="M583" s="64"/>
      <c r="N583" s="64"/>
      <c r="O583" s="64" t="s">
        <v>1333</v>
      </c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</row>
    <row r="584" ht="15.0" customHeight="1">
      <c r="A584" s="64"/>
      <c r="B584" s="64"/>
      <c r="C584" s="64"/>
      <c r="D584" s="64"/>
      <c r="E584" s="64"/>
      <c r="F584" s="64"/>
      <c r="G584" s="64"/>
      <c r="H584" s="64"/>
      <c r="I584" s="27" t="str">
        <f>IFERROR(__xludf.DUMMYFUNCTION("IF(A584="""","""",
TEXTJOIN(""-"",TRUE,
IFERROR(
  INDEX(FILTER(CFG_CODES!C:C, CFG_CODES!A:A=""CATEGORY"", UPPER(CFG_CODES!B:B)=UPPER(B584))),
  LEFT(UPPER(B584),3)
),
IFERROR(
  INDEX(FILTER(CFG_CODES!C:C, CFG_CODES!A:A=""MATERIAL"", UPPER(CFG_CODES!B:B)"&amp;"=UPPER(C584))),
  LEFT(UPPER(C584),3)
),
TEXT(ROW()-1,""000"")
))"),"")</f>
        <v/>
      </c>
      <c r="J584" s="64"/>
      <c r="K584" s="64"/>
      <c r="L584" s="64"/>
      <c r="M584" s="64"/>
      <c r="N584" s="64"/>
      <c r="O584" s="64" t="s">
        <v>1333</v>
      </c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</row>
    <row r="585" ht="15.0" customHeight="1">
      <c r="A585" s="64"/>
      <c r="B585" s="64"/>
      <c r="C585" s="64"/>
      <c r="D585" s="64"/>
      <c r="E585" s="64"/>
      <c r="F585" s="64"/>
      <c r="G585" s="64"/>
      <c r="H585" s="64"/>
      <c r="I585" s="27" t="str">
        <f>IFERROR(__xludf.DUMMYFUNCTION("IF(A585="""","""",
TEXTJOIN(""-"",TRUE,
IFERROR(
  INDEX(FILTER(CFG_CODES!C:C, CFG_CODES!A:A=""CATEGORY"", UPPER(CFG_CODES!B:B)=UPPER(B585))),
  LEFT(UPPER(B585),3)
),
IFERROR(
  INDEX(FILTER(CFG_CODES!C:C, CFG_CODES!A:A=""MATERIAL"", UPPER(CFG_CODES!B:B)"&amp;"=UPPER(C585))),
  LEFT(UPPER(C585),3)
),
TEXT(ROW()-1,""000"")
))"),"")</f>
        <v/>
      </c>
      <c r="J585" s="64"/>
      <c r="K585" s="64"/>
      <c r="L585" s="64"/>
      <c r="M585" s="64"/>
      <c r="N585" s="64"/>
      <c r="O585" s="64" t="s">
        <v>1333</v>
      </c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</row>
    <row r="586" ht="15.0" customHeight="1">
      <c r="A586" s="64"/>
      <c r="B586" s="64"/>
      <c r="C586" s="64"/>
      <c r="D586" s="64"/>
      <c r="E586" s="64"/>
      <c r="F586" s="64"/>
      <c r="G586" s="64"/>
      <c r="H586" s="64"/>
      <c r="I586" s="27" t="str">
        <f>IFERROR(__xludf.DUMMYFUNCTION("IF(A586="""","""",
TEXTJOIN(""-"",TRUE,
IFERROR(
  INDEX(FILTER(CFG_CODES!C:C, CFG_CODES!A:A=""CATEGORY"", UPPER(CFG_CODES!B:B)=UPPER(B586))),
  LEFT(UPPER(B586),3)
),
IFERROR(
  INDEX(FILTER(CFG_CODES!C:C, CFG_CODES!A:A=""MATERIAL"", UPPER(CFG_CODES!B:B)"&amp;"=UPPER(C586))),
  LEFT(UPPER(C586),3)
),
TEXT(ROW()-1,""000"")
))"),"")</f>
        <v/>
      </c>
      <c r="J586" s="64"/>
      <c r="K586" s="64"/>
      <c r="L586" s="64"/>
      <c r="M586" s="64"/>
      <c r="N586" s="64"/>
      <c r="O586" s="64" t="s">
        <v>1333</v>
      </c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</row>
    <row r="587" ht="15.0" customHeight="1">
      <c r="A587" s="64"/>
      <c r="B587" s="64"/>
      <c r="C587" s="64"/>
      <c r="D587" s="64"/>
      <c r="E587" s="64"/>
      <c r="F587" s="64"/>
      <c r="G587" s="64"/>
      <c r="H587" s="64"/>
      <c r="I587" s="27" t="str">
        <f>IFERROR(__xludf.DUMMYFUNCTION("IF(A587="""","""",
TEXTJOIN(""-"",TRUE,
IFERROR(
  INDEX(FILTER(CFG_CODES!C:C, CFG_CODES!A:A=""CATEGORY"", UPPER(CFG_CODES!B:B)=UPPER(B587))),
  LEFT(UPPER(B587),3)
),
IFERROR(
  INDEX(FILTER(CFG_CODES!C:C, CFG_CODES!A:A=""MATERIAL"", UPPER(CFG_CODES!B:B)"&amp;"=UPPER(C587))),
  LEFT(UPPER(C587),3)
),
TEXT(ROW()-1,""000"")
))"),"")</f>
        <v/>
      </c>
      <c r="J587" s="64"/>
      <c r="K587" s="64"/>
      <c r="L587" s="64"/>
      <c r="M587" s="64"/>
      <c r="N587" s="64"/>
      <c r="O587" s="64" t="s">
        <v>1333</v>
      </c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</row>
    <row r="588" ht="15.0" customHeight="1">
      <c r="A588" s="64"/>
      <c r="B588" s="64"/>
      <c r="C588" s="64"/>
      <c r="D588" s="64"/>
      <c r="E588" s="64"/>
      <c r="F588" s="64"/>
      <c r="G588" s="64"/>
      <c r="H588" s="64"/>
      <c r="I588" s="27" t="str">
        <f>IFERROR(__xludf.DUMMYFUNCTION("IF(A588="""","""",
TEXTJOIN(""-"",TRUE,
IFERROR(
  INDEX(FILTER(CFG_CODES!C:C, CFG_CODES!A:A=""CATEGORY"", UPPER(CFG_CODES!B:B)=UPPER(B588))),
  LEFT(UPPER(B588),3)
),
IFERROR(
  INDEX(FILTER(CFG_CODES!C:C, CFG_CODES!A:A=""MATERIAL"", UPPER(CFG_CODES!B:B)"&amp;"=UPPER(C588))),
  LEFT(UPPER(C588),3)
),
TEXT(ROW()-1,""000"")
))"),"")</f>
        <v/>
      </c>
      <c r="J588" s="64"/>
      <c r="K588" s="64"/>
      <c r="L588" s="64"/>
      <c r="M588" s="64"/>
      <c r="N588" s="64"/>
      <c r="O588" s="64" t="s">
        <v>1333</v>
      </c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</row>
    <row r="589" ht="15.0" customHeight="1">
      <c r="A589" s="64"/>
      <c r="B589" s="64"/>
      <c r="C589" s="64"/>
      <c r="D589" s="64"/>
      <c r="E589" s="64"/>
      <c r="F589" s="64"/>
      <c r="G589" s="64"/>
      <c r="H589" s="64"/>
      <c r="I589" s="27" t="str">
        <f>IFERROR(__xludf.DUMMYFUNCTION("IF(A589="""","""",
TEXTJOIN(""-"",TRUE,
IFERROR(
  INDEX(FILTER(CFG_CODES!C:C, CFG_CODES!A:A=""CATEGORY"", UPPER(CFG_CODES!B:B)=UPPER(B589))),
  LEFT(UPPER(B589),3)
),
IFERROR(
  INDEX(FILTER(CFG_CODES!C:C, CFG_CODES!A:A=""MATERIAL"", UPPER(CFG_CODES!B:B)"&amp;"=UPPER(C589))),
  LEFT(UPPER(C589),3)
),
TEXT(ROW()-1,""000"")
))"),"")</f>
        <v/>
      </c>
      <c r="J589" s="64"/>
      <c r="K589" s="64"/>
      <c r="L589" s="64"/>
      <c r="M589" s="64"/>
      <c r="N589" s="64"/>
      <c r="O589" s="64" t="s">
        <v>1333</v>
      </c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</row>
    <row r="590" ht="15.0" customHeight="1">
      <c r="A590" s="64"/>
      <c r="B590" s="64"/>
      <c r="C590" s="64"/>
      <c r="D590" s="64"/>
      <c r="E590" s="64"/>
      <c r="F590" s="64"/>
      <c r="G590" s="64"/>
      <c r="H590" s="64"/>
      <c r="I590" s="27" t="str">
        <f>IFERROR(__xludf.DUMMYFUNCTION("IF(A590="""","""",
TEXTJOIN(""-"",TRUE,
IFERROR(
  INDEX(FILTER(CFG_CODES!C:C, CFG_CODES!A:A=""CATEGORY"", UPPER(CFG_CODES!B:B)=UPPER(B590))),
  LEFT(UPPER(B590),3)
),
IFERROR(
  INDEX(FILTER(CFG_CODES!C:C, CFG_CODES!A:A=""MATERIAL"", UPPER(CFG_CODES!B:B)"&amp;"=UPPER(C590))),
  LEFT(UPPER(C590),3)
),
TEXT(ROW()-1,""000"")
))"),"")</f>
        <v/>
      </c>
      <c r="J590" s="64"/>
      <c r="K590" s="64"/>
      <c r="L590" s="64"/>
      <c r="M590" s="64"/>
      <c r="N590" s="64"/>
      <c r="O590" s="64" t="s">
        <v>1333</v>
      </c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</row>
    <row r="591" ht="15.0" customHeight="1">
      <c r="A591" s="64"/>
      <c r="B591" s="64"/>
      <c r="C591" s="64"/>
      <c r="D591" s="64"/>
      <c r="E591" s="64"/>
      <c r="F591" s="64"/>
      <c r="G591" s="64"/>
      <c r="H591" s="64"/>
      <c r="I591" s="27" t="str">
        <f>IFERROR(__xludf.DUMMYFUNCTION("IF(A591="""","""",
TEXTJOIN(""-"",TRUE,
IFERROR(
  INDEX(FILTER(CFG_CODES!C:C, CFG_CODES!A:A=""CATEGORY"", UPPER(CFG_CODES!B:B)=UPPER(B591))),
  LEFT(UPPER(B591),3)
),
IFERROR(
  INDEX(FILTER(CFG_CODES!C:C, CFG_CODES!A:A=""MATERIAL"", UPPER(CFG_CODES!B:B)"&amp;"=UPPER(C591))),
  LEFT(UPPER(C591),3)
),
TEXT(ROW()-1,""000"")
))"),"")</f>
        <v/>
      </c>
      <c r="J591" s="64"/>
      <c r="K591" s="64"/>
      <c r="L591" s="64"/>
      <c r="M591" s="64"/>
      <c r="N591" s="64"/>
      <c r="O591" s="64" t="s">
        <v>1333</v>
      </c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</row>
    <row r="592" ht="15.0" customHeight="1">
      <c r="A592" s="64"/>
      <c r="B592" s="64"/>
      <c r="C592" s="64"/>
      <c r="D592" s="64"/>
      <c r="E592" s="64"/>
      <c r="F592" s="64"/>
      <c r="G592" s="64"/>
      <c r="H592" s="64"/>
      <c r="I592" s="27" t="str">
        <f>IFERROR(__xludf.DUMMYFUNCTION("IF(A592="""","""",
TEXTJOIN(""-"",TRUE,
IFERROR(
  INDEX(FILTER(CFG_CODES!C:C, CFG_CODES!A:A=""CATEGORY"", UPPER(CFG_CODES!B:B)=UPPER(B592))),
  LEFT(UPPER(B592),3)
),
IFERROR(
  INDEX(FILTER(CFG_CODES!C:C, CFG_CODES!A:A=""MATERIAL"", UPPER(CFG_CODES!B:B)"&amp;"=UPPER(C592))),
  LEFT(UPPER(C592),3)
),
TEXT(ROW()-1,""000"")
))"),"")</f>
        <v/>
      </c>
      <c r="J592" s="64"/>
      <c r="K592" s="64"/>
      <c r="L592" s="64"/>
      <c r="M592" s="64"/>
      <c r="N592" s="64"/>
      <c r="O592" s="64" t="s">
        <v>1333</v>
      </c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</row>
    <row r="593" ht="15.0" customHeight="1">
      <c r="A593" s="64"/>
      <c r="B593" s="64"/>
      <c r="C593" s="64"/>
      <c r="D593" s="64"/>
      <c r="E593" s="64"/>
      <c r="F593" s="64"/>
      <c r="G593" s="64"/>
      <c r="H593" s="64"/>
      <c r="I593" s="27" t="str">
        <f>IFERROR(__xludf.DUMMYFUNCTION("IF(A593="""","""",
TEXTJOIN(""-"",TRUE,
IFERROR(
  INDEX(FILTER(CFG_CODES!C:C, CFG_CODES!A:A=""CATEGORY"", UPPER(CFG_CODES!B:B)=UPPER(B593))),
  LEFT(UPPER(B593),3)
),
IFERROR(
  INDEX(FILTER(CFG_CODES!C:C, CFG_CODES!A:A=""MATERIAL"", UPPER(CFG_CODES!B:B)"&amp;"=UPPER(C593))),
  LEFT(UPPER(C593),3)
),
TEXT(ROW()-1,""000"")
))"),"")</f>
        <v/>
      </c>
      <c r="J593" s="64"/>
      <c r="K593" s="64"/>
      <c r="L593" s="64"/>
      <c r="M593" s="64"/>
      <c r="N593" s="64"/>
      <c r="O593" s="64" t="s">
        <v>1333</v>
      </c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</row>
    <row r="594" ht="15.0" customHeight="1">
      <c r="A594" s="64"/>
      <c r="B594" s="64"/>
      <c r="C594" s="64"/>
      <c r="D594" s="64"/>
      <c r="E594" s="64"/>
      <c r="F594" s="64"/>
      <c r="G594" s="64"/>
      <c r="H594" s="64"/>
      <c r="I594" s="27" t="str">
        <f>IFERROR(__xludf.DUMMYFUNCTION("IF(A594="""","""",
TEXTJOIN(""-"",TRUE,
IFERROR(
  INDEX(FILTER(CFG_CODES!C:C, CFG_CODES!A:A=""CATEGORY"", UPPER(CFG_CODES!B:B)=UPPER(B594))),
  LEFT(UPPER(B594),3)
),
IFERROR(
  INDEX(FILTER(CFG_CODES!C:C, CFG_CODES!A:A=""MATERIAL"", UPPER(CFG_CODES!B:B)"&amp;"=UPPER(C594))),
  LEFT(UPPER(C594),3)
),
TEXT(ROW()-1,""000"")
))"),"")</f>
        <v/>
      </c>
      <c r="J594" s="64"/>
      <c r="K594" s="64"/>
      <c r="L594" s="64"/>
      <c r="M594" s="64"/>
      <c r="N594" s="64"/>
      <c r="O594" s="64" t="s">
        <v>1333</v>
      </c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</row>
    <row r="595" ht="15.0" customHeight="1">
      <c r="A595" s="64"/>
      <c r="B595" s="64"/>
      <c r="C595" s="64"/>
      <c r="D595" s="64"/>
      <c r="E595" s="64"/>
      <c r="F595" s="64"/>
      <c r="G595" s="64"/>
      <c r="H595" s="64"/>
      <c r="I595" s="27" t="str">
        <f>IFERROR(__xludf.DUMMYFUNCTION("IF(A595="""","""",
TEXTJOIN(""-"",TRUE,
IFERROR(
  INDEX(FILTER(CFG_CODES!C:C, CFG_CODES!A:A=""CATEGORY"", UPPER(CFG_CODES!B:B)=UPPER(B595))),
  LEFT(UPPER(B595),3)
),
IFERROR(
  INDEX(FILTER(CFG_CODES!C:C, CFG_CODES!A:A=""MATERIAL"", UPPER(CFG_CODES!B:B)"&amp;"=UPPER(C595))),
  LEFT(UPPER(C595),3)
),
TEXT(ROW()-1,""000"")
))"),"")</f>
        <v/>
      </c>
      <c r="J595" s="64"/>
      <c r="K595" s="64"/>
      <c r="L595" s="64"/>
      <c r="M595" s="64"/>
      <c r="N595" s="64"/>
      <c r="O595" s="64" t="s">
        <v>1333</v>
      </c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</row>
    <row r="596" ht="15.0" customHeight="1">
      <c r="A596" s="64"/>
      <c r="B596" s="64"/>
      <c r="C596" s="64"/>
      <c r="D596" s="64"/>
      <c r="E596" s="64"/>
      <c r="F596" s="64"/>
      <c r="G596" s="64"/>
      <c r="H596" s="64"/>
      <c r="I596" s="27" t="str">
        <f>IFERROR(__xludf.DUMMYFUNCTION("IF(A596="""","""",
TEXTJOIN(""-"",TRUE,
IFERROR(
  INDEX(FILTER(CFG_CODES!C:C, CFG_CODES!A:A=""CATEGORY"", UPPER(CFG_CODES!B:B)=UPPER(B596))),
  LEFT(UPPER(B596),3)
),
IFERROR(
  INDEX(FILTER(CFG_CODES!C:C, CFG_CODES!A:A=""MATERIAL"", UPPER(CFG_CODES!B:B)"&amp;"=UPPER(C596))),
  LEFT(UPPER(C596),3)
),
TEXT(ROW()-1,""000"")
))"),"")</f>
        <v/>
      </c>
      <c r="J596" s="64"/>
      <c r="K596" s="64"/>
      <c r="L596" s="64"/>
      <c r="M596" s="64"/>
      <c r="N596" s="64"/>
      <c r="O596" s="64" t="s">
        <v>1333</v>
      </c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</row>
    <row r="597" ht="15.0" customHeight="1">
      <c r="A597" s="64"/>
      <c r="B597" s="64"/>
      <c r="C597" s="64"/>
      <c r="D597" s="64"/>
      <c r="E597" s="64"/>
      <c r="F597" s="64"/>
      <c r="G597" s="64"/>
      <c r="H597" s="64"/>
      <c r="I597" s="27" t="str">
        <f>IFERROR(__xludf.DUMMYFUNCTION("IF(A597="""","""",
TEXTJOIN(""-"",TRUE,
IFERROR(
  INDEX(FILTER(CFG_CODES!C:C, CFG_CODES!A:A=""CATEGORY"", UPPER(CFG_CODES!B:B)=UPPER(B597))),
  LEFT(UPPER(B597),3)
),
IFERROR(
  INDEX(FILTER(CFG_CODES!C:C, CFG_CODES!A:A=""MATERIAL"", UPPER(CFG_CODES!B:B)"&amp;"=UPPER(C597))),
  LEFT(UPPER(C597),3)
),
TEXT(ROW()-1,""000"")
))"),"")</f>
        <v/>
      </c>
      <c r="J597" s="64"/>
      <c r="K597" s="64"/>
      <c r="L597" s="64"/>
      <c r="M597" s="64"/>
      <c r="N597" s="64"/>
      <c r="O597" s="64" t="s">
        <v>1333</v>
      </c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</row>
    <row r="598" ht="15.0" customHeight="1">
      <c r="A598" s="64"/>
      <c r="B598" s="64"/>
      <c r="C598" s="64"/>
      <c r="D598" s="64"/>
      <c r="E598" s="64"/>
      <c r="F598" s="64"/>
      <c r="G598" s="64"/>
      <c r="H598" s="64"/>
      <c r="I598" s="27" t="str">
        <f>IFERROR(__xludf.DUMMYFUNCTION("IF(A598="""","""",
TEXTJOIN(""-"",TRUE,
IFERROR(
  INDEX(FILTER(CFG_CODES!C:C, CFG_CODES!A:A=""CATEGORY"", UPPER(CFG_CODES!B:B)=UPPER(B598))),
  LEFT(UPPER(B598),3)
),
IFERROR(
  INDEX(FILTER(CFG_CODES!C:C, CFG_CODES!A:A=""MATERIAL"", UPPER(CFG_CODES!B:B)"&amp;"=UPPER(C598))),
  LEFT(UPPER(C598),3)
),
TEXT(ROW()-1,""000"")
))"),"")</f>
        <v/>
      </c>
      <c r="J598" s="64"/>
      <c r="K598" s="64"/>
      <c r="L598" s="64"/>
      <c r="M598" s="64"/>
      <c r="N598" s="64"/>
      <c r="O598" s="64" t="s">
        <v>1333</v>
      </c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</row>
    <row r="599" ht="15.0" customHeight="1">
      <c r="A599" s="64"/>
      <c r="B599" s="64"/>
      <c r="C599" s="64"/>
      <c r="D599" s="64"/>
      <c r="E599" s="64"/>
      <c r="F599" s="64"/>
      <c r="G599" s="64"/>
      <c r="H599" s="64"/>
      <c r="I599" s="27" t="str">
        <f>IFERROR(__xludf.DUMMYFUNCTION("IF(A599="""","""",
TEXTJOIN(""-"",TRUE,
IFERROR(
  INDEX(FILTER(CFG_CODES!C:C, CFG_CODES!A:A=""CATEGORY"", UPPER(CFG_CODES!B:B)=UPPER(B599))),
  LEFT(UPPER(B599),3)
),
IFERROR(
  INDEX(FILTER(CFG_CODES!C:C, CFG_CODES!A:A=""MATERIAL"", UPPER(CFG_CODES!B:B)"&amp;"=UPPER(C599))),
  LEFT(UPPER(C599),3)
),
TEXT(ROW()-1,""000"")
))"),"")</f>
        <v/>
      </c>
      <c r="J599" s="64"/>
      <c r="K599" s="64"/>
      <c r="L599" s="64"/>
      <c r="M599" s="64"/>
      <c r="N599" s="64"/>
      <c r="O599" s="64" t="s">
        <v>1333</v>
      </c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</row>
    <row r="600" ht="15.0" customHeight="1">
      <c r="A600" s="64"/>
      <c r="B600" s="64"/>
      <c r="C600" s="64"/>
      <c r="D600" s="64"/>
      <c r="E600" s="64"/>
      <c r="F600" s="64"/>
      <c r="G600" s="64"/>
      <c r="H600" s="64"/>
      <c r="I600" s="27" t="str">
        <f>IFERROR(__xludf.DUMMYFUNCTION("IF(A600="""","""",
TEXTJOIN(""-"",TRUE,
IFERROR(
  INDEX(FILTER(CFG_CODES!C:C, CFG_CODES!A:A=""CATEGORY"", UPPER(CFG_CODES!B:B)=UPPER(B600))),
  LEFT(UPPER(B600),3)
),
IFERROR(
  INDEX(FILTER(CFG_CODES!C:C, CFG_CODES!A:A=""MATERIAL"", UPPER(CFG_CODES!B:B)"&amp;"=UPPER(C600))),
  LEFT(UPPER(C600),3)
),
TEXT(ROW()-1,""000"")
))"),"")</f>
        <v/>
      </c>
      <c r="J600" s="64"/>
      <c r="K600" s="64"/>
      <c r="L600" s="64"/>
      <c r="M600" s="64"/>
      <c r="N600" s="64"/>
      <c r="O600" s="64" t="s">
        <v>1333</v>
      </c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</row>
    <row r="601" ht="15.0" customHeight="1">
      <c r="A601" s="64"/>
      <c r="B601" s="64"/>
      <c r="C601" s="64"/>
      <c r="D601" s="64"/>
      <c r="E601" s="64"/>
      <c r="F601" s="64"/>
      <c r="G601" s="64"/>
      <c r="H601" s="64"/>
      <c r="I601" s="27" t="str">
        <f>IFERROR(__xludf.DUMMYFUNCTION("IF(A601="""","""",
TEXTJOIN(""-"",TRUE,
IFERROR(
  INDEX(FILTER(CFG_CODES!C:C, CFG_CODES!A:A=""CATEGORY"", UPPER(CFG_CODES!B:B)=UPPER(B601))),
  LEFT(UPPER(B601),3)
),
IFERROR(
  INDEX(FILTER(CFG_CODES!C:C, CFG_CODES!A:A=""MATERIAL"", UPPER(CFG_CODES!B:B)"&amp;"=UPPER(C601))),
  LEFT(UPPER(C601),3)
),
TEXT(ROW()-1,""000"")
))"),"")</f>
        <v/>
      </c>
      <c r="J601" s="64"/>
      <c r="K601" s="64"/>
      <c r="L601" s="64"/>
      <c r="M601" s="64"/>
      <c r="N601" s="64"/>
      <c r="O601" s="64" t="s">
        <v>1333</v>
      </c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</row>
    <row r="602" ht="15.0" customHeight="1">
      <c r="A602" s="64"/>
      <c r="B602" s="64"/>
      <c r="C602" s="64"/>
      <c r="D602" s="64"/>
      <c r="E602" s="64"/>
      <c r="F602" s="64"/>
      <c r="G602" s="64"/>
      <c r="H602" s="64"/>
      <c r="I602" s="27" t="str">
        <f>IFERROR(__xludf.DUMMYFUNCTION("IF(A602="""","""",
TEXTJOIN(""-"",TRUE,
IFERROR(
  INDEX(FILTER(CFG_CODES!C:C, CFG_CODES!A:A=""CATEGORY"", UPPER(CFG_CODES!B:B)=UPPER(B602))),
  LEFT(UPPER(B602),3)
),
IFERROR(
  INDEX(FILTER(CFG_CODES!C:C, CFG_CODES!A:A=""MATERIAL"", UPPER(CFG_CODES!B:B)"&amp;"=UPPER(C602))),
  LEFT(UPPER(C602),3)
),
TEXT(ROW()-1,""000"")
))"),"")</f>
        <v/>
      </c>
      <c r="J602" s="64"/>
      <c r="K602" s="64"/>
      <c r="L602" s="64"/>
      <c r="M602" s="64"/>
      <c r="N602" s="64"/>
      <c r="O602" s="64" t="s">
        <v>1333</v>
      </c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</row>
    <row r="603" ht="15.0" customHeight="1">
      <c r="A603" s="64"/>
      <c r="B603" s="64"/>
      <c r="C603" s="64"/>
      <c r="D603" s="64"/>
      <c r="E603" s="64"/>
      <c r="F603" s="64"/>
      <c r="G603" s="64"/>
      <c r="H603" s="64"/>
      <c r="I603" s="27" t="str">
        <f>IFERROR(__xludf.DUMMYFUNCTION("IF(A603="""","""",
TEXTJOIN(""-"",TRUE,
IFERROR(
  INDEX(FILTER(CFG_CODES!C:C, CFG_CODES!A:A=""CATEGORY"", UPPER(CFG_CODES!B:B)=UPPER(B603))),
  LEFT(UPPER(B603),3)
),
IFERROR(
  INDEX(FILTER(CFG_CODES!C:C, CFG_CODES!A:A=""MATERIAL"", UPPER(CFG_CODES!B:B)"&amp;"=UPPER(C603))),
  LEFT(UPPER(C603),3)
),
TEXT(ROW()-1,""000"")
))"),"")</f>
        <v/>
      </c>
      <c r="J603" s="64"/>
      <c r="K603" s="64"/>
      <c r="L603" s="64"/>
      <c r="M603" s="64"/>
      <c r="N603" s="64"/>
      <c r="O603" s="64" t="s">
        <v>1333</v>
      </c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</row>
    <row r="604" ht="15.0" customHeight="1">
      <c r="A604" s="64"/>
      <c r="B604" s="64"/>
      <c r="C604" s="64"/>
      <c r="D604" s="64"/>
      <c r="E604" s="64"/>
      <c r="F604" s="64"/>
      <c r="G604" s="64"/>
      <c r="H604" s="64"/>
      <c r="I604" s="27" t="str">
        <f>IFERROR(__xludf.DUMMYFUNCTION("IF(A604="""","""",
TEXTJOIN(""-"",TRUE,
IFERROR(
  INDEX(FILTER(CFG_CODES!C:C, CFG_CODES!A:A=""CATEGORY"", UPPER(CFG_CODES!B:B)=UPPER(B604))),
  LEFT(UPPER(B604),3)
),
IFERROR(
  INDEX(FILTER(CFG_CODES!C:C, CFG_CODES!A:A=""MATERIAL"", UPPER(CFG_CODES!B:B)"&amp;"=UPPER(C604))),
  LEFT(UPPER(C604),3)
),
TEXT(ROW()-1,""000"")
))"),"")</f>
        <v/>
      </c>
      <c r="J604" s="64"/>
      <c r="K604" s="64"/>
      <c r="L604" s="64"/>
      <c r="M604" s="64"/>
      <c r="N604" s="64"/>
      <c r="O604" s="64" t="s">
        <v>1333</v>
      </c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</row>
    <row r="605" ht="15.0" customHeight="1">
      <c r="A605" s="64"/>
      <c r="B605" s="64"/>
      <c r="C605" s="64"/>
      <c r="D605" s="64"/>
      <c r="E605" s="64"/>
      <c r="F605" s="64"/>
      <c r="G605" s="64"/>
      <c r="H605" s="64"/>
      <c r="I605" s="27" t="str">
        <f>IFERROR(__xludf.DUMMYFUNCTION("IF(A605="""","""",
TEXTJOIN(""-"",TRUE,
IFERROR(
  INDEX(FILTER(CFG_CODES!C:C, CFG_CODES!A:A=""CATEGORY"", UPPER(CFG_CODES!B:B)=UPPER(B605))),
  LEFT(UPPER(B605),3)
),
IFERROR(
  INDEX(FILTER(CFG_CODES!C:C, CFG_CODES!A:A=""MATERIAL"", UPPER(CFG_CODES!B:B)"&amp;"=UPPER(C605))),
  LEFT(UPPER(C605),3)
),
TEXT(ROW()-1,""000"")
))"),"")</f>
        <v/>
      </c>
      <c r="J605" s="64"/>
      <c r="K605" s="64"/>
      <c r="L605" s="64"/>
      <c r="M605" s="64"/>
      <c r="N605" s="64"/>
      <c r="O605" s="64" t="s">
        <v>1333</v>
      </c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</row>
    <row r="606" ht="15.0" customHeight="1">
      <c r="A606" s="64"/>
      <c r="B606" s="64"/>
      <c r="C606" s="64"/>
      <c r="D606" s="64"/>
      <c r="E606" s="64"/>
      <c r="F606" s="64"/>
      <c r="G606" s="64"/>
      <c r="H606" s="64"/>
      <c r="I606" s="27" t="str">
        <f>IFERROR(__xludf.DUMMYFUNCTION("IF(A606="""","""",
TEXTJOIN(""-"",TRUE,
IFERROR(
  INDEX(FILTER(CFG_CODES!C:C, CFG_CODES!A:A=""CATEGORY"", UPPER(CFG_CODES!B:B)=UPPER(B606))),
  LEFT(UPPER(B606),3)
),
IFERROR(
  INDEX(FILTER(CFG_CODES!C:C, CFG_CODES!A:A=""MATERIAL"", UPPER(CFG_CODES!B:B)"&amp;"=UPPER(C606))),
  LEFT(UPPER(C606),3)
),
TEXT(ROW()-1,""000"")
))"),"")</f>
        <v/>
      </c>
      <c r="J606" s="64"/>
      <c r="K606" s="64"/>
      <c r="L606" s="64"/>
      <c r="M606" s="64"/>
      <c r="N606" s="64"/>
      <c r="O606" s="64" t="s">
        <v>1333</v>
      </c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</row>
    <row r="607" ht="15.0" customHeight="1">
      <c r="A607" s="64"/>
      <c r="B607" s="64"/>
      <c r="C607" s="64"/>
      <c r="D607" s="64"/>
      <c r="E607" s="64"/>
      <c r="F607" s="64"/>
      <c r="G607" s="64"/>
      <c r="H607" s="64"/>
      <c r="I607" s="27" t="str">
        <f>IFERROR(__xludf.DUMMYFUNCTION("IF(A607="""","""",
TEXTJOIN(""-"",TRUE,
IFERROR(
  INDEX(FILTER(CFG_CODES!C:C, CFG_CODES!A:A=""CATEGORY"", UPPER(CFG_CODES!B:B)=UPPER(B607))),
  LEFT(UPPER(B607),3)
),
IFERROR(
  INDEX(FILTER(CFG_CODES!C:C, CFG_CODES!A:A=""MATERIAL"", UPPER(CFG_CODES!B:B)"&amp;"=UPPER(C607))),
  LEFT(UPPER(C607),3)
),
TEXT(ROW()-1,""000"")
))"),"")</f>
        <v/>
      </c>
      <c r="J607" s="64"/>
      <c r="K607" s="64"/>
      <c r="L607" s="64"/>
      <c r="M607" s="64"/>
      <c r="N607" s="64"/>
      <c r="O607" s="64" t="s">
        <v>1333</v>
      </c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</row>
    <row r="608" ht="15.0" customHeight="1">
      <c r="A608" s="64"/>
      <c r="B608" s="64"/>
      <c r="C608" s="64"/>
      <c r="D608" s="64"/>
      <c r="E608" s="64"/>
      <c r="F608" s="64"/>
      <c r="G608" s="64"/>
      <c r="H608" s="64"/>
      <c r="I608" s="27" t="str">
        <f>IFERROR(__xludf.DUMMYFUNCTION("IF(A608="""","""",
TEXTJOIN(""-"",TRUE,
IFERROR(
  INDEX(FILTER(CFG_CODES!C:C, CFG_CODES!A:A=""CATEGORY"", UPPER(CFG_CODES!B:B)=UPPER(B608))),
  LEFT(UPPER(B608),3)
),
IFERROR(
  INDEX(FILTER(CFG_CODES!C:C, CFG_CODES!A:A=""MATERIAL"", UPPER(CFG_CODES!B:B)"&amp;"=UPPER(C608))),
  LEFT(UPPER(C608),3)
),
TEXT(ROW()-1,""000"")
))"),"")</f>
        <v/>
      </c>
      <c r="J608" s="64"/>
      <c r="K608" s="64"/>
      <c r="L608" s="64"/>
      <c r="M608" s="64"/>
      <c r="N608" s="64"/>
      <c r="O608" s="64" t="s">
        <v>1333</v>
      </c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</row>
    <row r="609" ht="15.0" customHeight="1">
      <c r="A609" s="64"/>
      <c r="B609" s="64"/>
      <c r="C609" s="64"/>
      <c r="D609" s="64"/>
      <c r="E609" s="64"/>
      <c r="F609" s="64"/>
      <c r="G609" s="64"/>
      <c r="H609" s="64"/>
      <c r="I609" s="27" t="str">
        <f>IFERROR(__xludf.DUMMYFUNCTION("IF(A609="""","""",
TEXTJOIN(""-"",TRUE,
IFERROR(
  INDEX(FILTER(CFG_CODES!C:C, CFG_CODES!A:A=""CATEGORY"", UPPER(CFG_CODES!B:B)=UPPER(B609))),
  LEFT(UPPER(B609),3)
),
IFERROR(
  INDEX(FILTER(CFG_CODES!C:C, CFG_CODES!A:A=""MATERIAL"", UPPER(CFG_CODES!B:B)"&amp;"=UPPER(C609))),
  LEFT(UPPER(C609),3)
),
TEXT(ROW()-1,""000"")
))"),"")</f>
        <v/>
      </c>
      <c r="J609" s="64"/>
      <c r="K609" s="64"/>
      <c r="L609" s="64"/>
      <c r="M609" s="64"/>
      <c r="N609" s="64"/>
      <c r="O609" s="64" t="s">
        <v>1333</v>
      </c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</row>
    <row r="610" ht="15.0" customHeight="1">
      <c r="A610" s="64"/>
      <c r="B610" s="64"/>
      <c r="C610" s="64"/>
      <c r="D610" s="64"/>
      <c r="E610" s="64"/>
      <c r="F610" s="64"/>
      <c r="G610" s="64"/>
      <c r="H610" s="64"/>
      <c r="I610" s="27" t="str">
        <f>IFERROR(__xludf.DUMMYFUNCTION("IF(A610="""","""",
TEXTJOIN(""-"",TRUE,
IFERROR(
  INDEX(FILTER(CFG_CODES!C:C, CFG_CODES!A:A=""CATEGORY"", UPPER(CFG_CODES!B:B)=UPPER(B610))),
  LEFT(UPPER(B610),3)
),
IFERROR(
  INDEX(FILTER(CFG_CODES!C:C, CFG_CODES!A:A=""MATERIAL"", UPPER(CFG_CODES!B:B)"&amp;"=UPPER(C610))),
  LEFT(UPPER(C610),3)
),
TEXT(ROW()-1,""000"")
))"),"")</f>
        <v/>
      </c>
      <c r="J610" s="64"/>
      <c r="K610" s="64"/>
      <c r="L610" s="64"/>
      <c r="M610" s="64"/>
      <c r="N610" s="64"/>
      <c r="O610" s="64" t="s">
        <v>1333</v>
      </c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</row>
    <row r="611" ht="15.0" customHeight="1">
      <c r="A611" s="64"/>
      <c r="B611" s="64"/>
      <c r="C611" s="64"/>
      <c r="D611" s="64"/>
      <c r="E611" s="64"/>
      <c r="F611" s="64"/>
      <c r="G611" s="64"/>
      <c r="H611" s="64"/>
      <c r="I611" s="27" t="str">
        <f>IFERROR(__xludf.DUMMYFUNCTION("IF(A611="""","""",
TEXTJOIN(""-"",TRUE,
IFERROR(
  INDEX(FILTER(CFG_CODES!C:C, CFG_CODES!A:A=""CATEGORY"", UPPER(CFG_CODES!B:B)=UPPER(B611))),
  LEFT(UPPER(B611),3)
),
IFERROR(
  INDEX(FILTER(CFG_CODES!C:C, CFG_CODES!A:A=""MATERIAL"", UPPER(CFG_CODES!B:B)"&amp;"=UPPER(C611))),
  LEFT(UPPER(C611),3)
),
TEXT(ROW()-1,""000"")
))"),"")</f>
        <v/>
      </c>
      <c r="J611" s="64"/>
      <c r="K611" s="64"/>
      <c r="L611" s="64"/>
      <c r="M611" s="64"/>
      <c r="N611" s="64"/>
      <c r="O611" s="64" t="s">
        <v>1333</v>
      </c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</row>
    <row r="612" ht="15.0" customHeight="1">
      <c r="A612" s="64"/>
      <c r="B612" s="64"/>
      <c r="C612" s="64"/>
      <c r="D612" s="64"/>
      <c r="E612" s="64"/>
      <c r="F612" s="64"/>
      <c r="G612" s="64"/>
      <c r="H612" s="64"/>
      <c r="I612" s="27" t="str">
        <f>IFERROR(__xludf.DUMMYFUNCTION("IF(A612="""","""",
TEXTJOIN(""-"",TRUE,
IFERROR(
  INDEX(FILTER(CFG_CODES!C:C, CFG_CODES!A:A=""CATEGORY"", UPPER(CFG_CODES!B:B)=UPPER(B612))),
  LEFT(UPPER(B612),3)
),
IFERROR(
  INDEX(FILTER(CFG_CODES!C:C, CFG_CODES!A:A=""MATERIAL"", UPPER(CFG_CODES!B:B)"&amp;"=UPPER(C612))),
  LEFT(UPPER(C612),3)
),
TEXT(ROW()-1,""000"")
))"),"")</f>
        <v/>
      </c>
      <c r="J612" s="64"/>
      <c r="K612" s="64"/>
      <c r="L612" s="64"/>
      <c r="M612" s="64"/>
      <c r="N612" s="64"/>
      <c r="O612" s="64" t="s">
        <v>1333</v>
      </c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</row>
    <row r="613" ht="15.0" customHeight="1">
      <c r="A613" s="64"/>
      <c r="B613" s="64"/>
      <c r="C613" s="64"/>
      <c r="D613" s="64"/>
      <c r="E613" s="64"/>
      <c r="F613" s="64"/>
      <c r="G613" s="64"/>
      <c r="H613" s="64"/>
      <c r="I613" s="27" t="str">
        <f>IFERROR(__xludf.DUMMYFUNCTION("IF(A613="""","""",
TEXTJOIN(""-"",TRUE,
IFERROR(
  INDEX(FILTER(CFG_CODES!C:C, CFG_CODES!A:A=""CATEGORY"", UPPER(CFG_CODES!B:B)=UPPER(B613))),
  LEFT(UPPER(B613),3)
),
IFERROR(
  INDEX(FILTER(CFG_CODES!C:C, CFG_CODES!A:A=""MATERIAL"", UPPER(CFG_CODES!B:B)"&amp;"=UPPER(C613))),
  LEFT(UPPER(C613),3)
),
TEXT(ROW()-1,""000"")
))"),"")</f>
        <v/>
      </c>
      <c r="J613" s="64"/>
      <c r="K613" s="64"/>
      <c r="L613" s="64"/>
      <c r="M613" s="64"/>
      <c r="N613" s="64"/>
      <c r="O613" s="64" t="s">
        <v>1333</v>
      </c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</row>
    <row r="614" ht="15.0" customHeight="1">
      <c r="A614" s="64"/>
      <c r="B614" s="64"/>
      <c r="C614" s="64"/>
      <c r="D614" s="64"/>
      <c r="E614" s="64"/>
      <c r="F614" s="64"/>
      <c r="G614" s="64"/>
      <c r="H614" s="64"/>
      <c r="I614" s="27" t="str">
        <f>IFERROR(__xludf.DUMMYFUNCTION("IF(A614="""","""",
TEXTJOIN(""-"",TRUE,
IFERROR(
  INDEX(FILTER(CFG_CODES!C:C, CFG_CODES!A:A=""CATEGORY"", UPPER(CFG_CODES!B:B)=UPPER(B614))),
  LEFT(UPPER(B614),3)
),
IFERROR(
  INDEX(FILTER(CFG_CODES!C:C, CFG_CODES!A:A=""MATERIAL"", UPPER(CFG_CODES!B:B)"&amp;"=UPPER(C614))),
  LEFT(UPPER(C614),3)
),
TEXT(ROW()-1,""000"")
))"),"")</f>
        <v/>
      </c>
      <c r="J614" s="64"/>
      <c r="K614" s="64"/>
      <c r="L614" s="64"/>
      <c r="M614" s="64"/>
      <c r="N614" s="64"/>
      <c r="O614" s="64" t="s">
        <v>1333</v>
      </c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</row>
    <row r="615" ht="15.0" customHeight="1">
      <c r="A615" s="64"/>
      <c r="B615" s="64"/>
      <c r="C615" s="64"/>
      <c r="D615" s="64"/>
      <c r="E615" s="64"/>
      <c r="F615" s="64"/>
      <c r="G615" s="64"/>
      <c r="H615" s="64"/>
      <c r="I615" s="27" t="str">
        <f>IFERROR(__xludf.DUMMYFUNCTION("IF(A615="""","""",
TEXTJOIN(""-"",TRUE,
IFERROR(
  INDEX(FILTER(CFG_CODES!C:C, CFG_CODES!A:A=""CATEGORY"", UPPER(CFG_CODES!B:B)=UPPER(B615))),
  LEFT(UPPER(B615),3)
),
IFERROR(
  INDEX(FILTER(CFG_CODES!C:C, CFG_CODES!A:A=""MATERIAL"", UPPER(CFG_CODES!B:B)"&amp;"=UPPER(C615))),
  LEFT(UPPER(C615),3)
),
TEXT(ROW()-1,""000"")
))"),"")</f>
        <v/>
      </c>
      <c r="J615" s="64"/>
      <c r="K615" s="64"/>
      <c r="L615" s="64"/>
      <c r="M615" s="64"/>
      <c r="N615" s="64"/>
      <c r="O615" s="64" t="s">
        <v>1333</v>
      </c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</row>
    <row r="616" ht="15.0" customHeight="1">
      <c r="A616" s="64"/>
      <c r="B616" s="64"/>
      <c r="C616" s="64"/>
      <c r="D616" s="64"/>
      <c r="E616" s="64"/>
      <c r="F616" s="64"/>
      <c r="G616" s="64"/>
      <c r="H616" s="64"/>
      <c r="I616" s="27" t="str">
        <f>IFERROR(__xludf.DUMMYFUNCTION("IF(A616="""","""",
TEXTJOIN(""-"",TRUE,
IFERROR(
  INDEX(FILTER(CFG_CODES!C:C, CFG_CODES!A:A=""CATEGORY"", UPPER(CFG_CODES!B:B)=UPPER(B616))),
  LEFT(UPPER(B616),3)
),
IFERROR(
  INDEX(FILTER(CFG_CODES!C:C, CFG_CODES!A:A=""MATERIAL"", UPPER(CFG_CODES!B:B)"&amp;"=UPPER(C616))),
  LEFT(UPPER(C616),3)
),
TEXT(ROW()-1,""000"")
))"),"")</f>
        <v/>
      </c>
      <c r="J616" s="64"/>
      <c r="K616" s="64"/>
      <c r="L616" s="64"/>
      <c r="M616" s="64"/>
      <c r="N616" s="64"/>
      <c r="O616" s="64" t="s">
        <v>1333</v>
      </c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</row>
    <row r="617" ht="15.0" customHeight="1">
      <c r="A617" s="64"/>
      <c r="B617" s="64"/>
      <c r="C617" s="64"/>
      <c r="D617" s="64"/>
      <c r="E617" s="64"/>
      <c r="F617" s="64"/>
      <c r="G617" s="64"/>
      <c r="H617" s="64"/>
      <c r="I617" s="27" t="str">
        <f>IFERROR(__xludf.DUMMYFUNCTION("IF(A617="""","""",
TEXTJOIN(""-"",TRUE,
IFERROR(
  INDEX(FILTER(CFG_CODES!C:C, CFG_CODES!A:A=""CATEGORY"", UPPER(CFG_CODES!B:B)=UPPER(B617))),
  LEFT(UPPER(B617),3)
),
IFERROR(
  INDEX(FILTER(CFG_CODES!C:C, CFG_CODES!A:A=""MATERIAL"", UPPER(CFG_CODES!B:B)"&amp;"=UPPER(C617))),
  LEFT(UPPER(C617),3)
),
TEXT(ROW()-1,""000"")
))"),"")</f>
        <v/>
      </c>
      <c r="J617" s="64"/>
      <c r="K617" s="64"/>
      <c r="L617" s="64"/>
      <c r="M617" s="64"/>
      <c r="N617" s="64"/>
      <c r="O617" s="64" t="s">
        <v>1333</v>
      </c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</row>
    <row r="618" ht="15.0" customHeight="1">
      <c r="A618" s="64"/>
      <c r="B618" s="64"/>
      <c r="C618" s="64"/>
      <c r="D618" s="64"/>
      <c r="E618" s="64"/>
      <c r="F618" s="64"/>
      <c r="G618" s="64"/>
      <c r="H618" s="64"/>
      <c r="I618" s="27" t="str">
        <f>IFERROR(__xludf.DUMMYFUNCTION("IF(A618="""","""",
TEXTJOIN(""-"",TRUE,
IFERROR(
  INDEX(FILTER(CFG_CODES!C:C, CFG_CODES!A:A=""CATEGORY"", UPPER(CFG_CODES!B:B)=UPPER(B618))),
  LEFT(UPPER(B618),3)
),
IFERROR(
  INDEX(FILTER(CFG_CODES!C:C, CFG_CODES!A:A=""MATERIAL"", UPPER(CFG_CODES!B:B)"&amp;"=UPPER(C618))),
  LEFT(UPPER(C618),3)
),
TEXT(ROW()-1,""000"")
))"),"")</f>
        <v/>
      </c>
      <c r="J618" s="64"/>
      <c r="K618" s="64"/>
      <c r="L618" s="64"/>
      <c r="M618" s="64"/>
      <c r="N618" s="64"/>
      <c r="O618" s="64" t="s">
        <v>1333</v>
      </c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</row>
    <row r="619" ht="15.0" customHeight="1">
      <c r="A619" s="64"/>
      <c r="B619" s="64"/>
      <c r="C619" s="64"/>
      <c r="D619" s="64"/>
      <c r="E619" s="64"/>
      <c r="F619" s="64"/>
      <c r="G619" s="64"/>
      <c r="H619" s="64"/>
      <c r="I619" s="27" t="str">
        <f>IFERROR(__xludf.DUMMYFUNCTION("IF(A619="""","""",
TEXTJOIN(""-"",TRUE,
IFERROR(
  INDEX(FILTER(CFG_CODES!C:C, CFG_CODES!A:A=""CATEGORY"", UPPER(CFG_CODES!B:B)=UPPER(B619))),
  LEFT(UPPER(B619),3)
),
IFERROR(
  INDEX(FILTER(CFG_CODES!C:C, CFG_CODES!A:A=""MATERIAL"", UPPER(CFG_CODES!B:B)"&amp;"=UPPER(C619))),
  LEFT(UPPER(C619),3)
),
TEXT(ROW()-1,""000"")
))"),"")</f>
        <v/>
      </c>
      <c r="J619" s="64"/>
      <c r="K619" s="64"/>
      <c r="L619" s="64"/>
      <c r="M619" s="64"/>
      <c r="N619" s="64"/>
      <c r="O619" s="64" t="s">
        <v>1333</v>
      </c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</row>
    <row r="620" ht="15.0" customHeight="1">
      <c r="A620" s="64"/>
      <c r="B620" s="64"/>
      <c r="C620" s="64"/>
      <c r="D620" s="64"/>
      <c r="E620" s="64"/>
      <c r="F620" s="64"/>
      <c r="G620" s="64"/>
      <c r="H620" s="64"/>
      <c r="I620" s="27" t="str">
        <f>IFERROR(__xludf.DUMMYFUNCTION("IF(A620="""","""",
TEXTJOIN(""-"",TRUE,
IFERROR(
  INDEX(FILTER(CFG_CODES!C:C, CFG_CODES!A:A=""CATEGORY"", UPPER(CFG_CODES!B:B)=UPPER(B620))),
  LEFT(UPPER(B620),3)
),
IFERROR(
  INDEX(FILTER(CFG_CODES!C:C, CFG_CODES!A:A=""MATERIAL"", UPPER(CFG_CODES!B:B)"&amp;"=UPPER(C620))),
  LEFT(UPPER(C620),3)
),
TEXT(ROW()-1,""000"")
))"),"")</f>
        <v/>
      </c>
      <c r="J620" s="64"/>
      <c r="K620" s="64"/>
      <c r="L620" s="64"/>
      <c r="M620" s="64"/>
      <c r="N620" s="64"/>
      <c r="O620" s="64" t="s">
        <v>1333</v>
      </c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</row>
    <row r="621" ht="15.0" customHeight="1">
      <c r="A621" s="64"/>
      <c r="B621" s="64"/>
      <c r="C621" s="64"/>
      <c r="D621" s="64"/>
      <c r="E621" s="64"/>
      <c r="F621" s="64"/>
      <c r="G621" s="64"/>
      <c r="H621" s="64"/>
      <c r="I621" s="27" t="str">
        <f>IFERROR(__xludf.DUMMYFUNCTION("IF(A621="""","""",
TEXTJOIN(""-"",TRUE,
IFERROR(
  INDEX(FILTER(CFG_CODES!C:C, CFG_CODES!A:A=""CATEGORY"", UPPER(CFG_CODES!B:B)=UPPER(B621))),
  LEFT(UPPER(B621),3)
),
IFERROR(
  INDEX(FILTER(CFG_CODES!C:C, CFG_CODES!A:A=""MATERIAL"", UPPER(CFG_CODES!B:B)"&amp;"=UPPER(C621))),
  LEFT(UPPER(C621),3)
),
TEXT(ROW()-1,""000"")
))"),"")</f>
        <v/>
      </c>
      <c r="J621" s="64"/>
      <c r="K621" s="64"/>
      <c r="L621" s="64"/>
      <c r="M621" s="64"/>
      <c r="N621" s="64"/>
      <c r="O621" s="64" t="s">
        <v>1333</v>
      </c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</row>
    <row r="622" ht="15.0" customHeight="1">
      <c r="A622" s="64"/>
      <c r="B622" s="64"/>
      <c r="C622" s="64"/>
      <c r="D622" s="64"/>
      <c r="E622" s="64"/>
      <c r="F622" s="64"/>
      <c r="G622" s="64"/>
      <c r="H622" s="64"/>
      <c r="I622" s="27" t="str">
        <f>IFERROR(__xludf.DUMMYFUNCTION("IF(A622="""","""",
TEXTJOIN(""-"",TRUE,
IFERROR(
  INDEX(FILTER(CFG_CODES!C:C, CFG_CODES!A:A=""CATEGORY"", UPPER(CFG_CODES!B:B)=UPPER(B622))),
  LEFT(UPPER(B622),3)
),
IFERROR(
  INDEX(FILTER(CFG_CODES!C:C, CFG_CODES!A:A=""MATERIAL"", UPPER(CFG_CODES!B:B)"&amp;"=UPPER(C622))),
  LEFT(UPPER(C622),3)
),
TEXT(ROW()-1,""000"")
))"),"")</f>
        <v/>
      </c>
      <c r="J622" s="64"/>
      <c r="K622" s="64"/>
      <c r="L622" s="64"/>
      <c r="M622" s="64"/>
      <c r="N622" s="64"/>
      <c r="O622" s="64" t="s">
        <v>1333</v>
      </c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</row>
    <row r="623" ht="15.0" customHeight="1">
      <c r="A623" s="64"/>
      <c r="B623" s="64"/>
      <c r="C623" s="64"/>
      <c r="D623" s="64"/>
      <c r="E623" s="64"/>
      <c r="F623" s="64"/>
      <c r="G623" s="64"/>
      <c r="H623" s="64"/>
      <c r="I623" s="27" t="str">
        <f>IFERROR(__xludf.DUMMYFUNCTION("IF(A623="""","""",
TEXTJOIN(""-"",TRUE,
IFERROR(
  INDEX(FILTER(CFG_CODES!C:C, CFG_CODES!A:A=""CATEGORY"", UPPER(CFG_CODES!B:B)=UPPER(B623))),
  LEFT(UPPER(B623),3)
),
IFERROR(
  INDEX(FILTER(CFG_CODES!C:C, CFG_CODES!A:A=""MATERIAL"", UPPER(CFG_CODES!B:B)"&amp;"=UPPER(C623))),
  LEFT(UPPER(C623),3)
),
TEXT(ROW()-1,""000"")
))"),"")</f>
        <v/>
      </c>
      <c r="J623" s="64"/>
      <c r="K623" s="64"/>
      <c r="L623" s="64"/>
      <c r="M623" s="64"/>
      <c r="N623" s="64"/>
      <c r="O623" s="64" t="s">
        <v>1333</v>
      </c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</row>
    <row r="624" ht="15.0" customHeight="1">
      <c r="A624" s="64"/>
      <c r="B624" s="64"/>
      <c r="C624" s="64"/>
      <c r="D624" s="64"/>
      <c r="E624" s="64"/>
      <c r="F624" s="64"/>
      <c r="G624" s="64"/>
      <c r="H624" s="64"/>
      <c r="I624" s="27" t="str">
        <f>IFERROR(__xludf.DUMMYFUNCTION("IF(A624="""","""",
TEXTJOIN(""-"",TRUE,
IFERROR(
  INDEX(FILTER(CFG_CODES!C:C, CFG_CODES!A:A=""CATEGORY"", UPPER(CFG_CODES!B:B)=UPPER(B624))),
  LEFT(UPPER(B624),3)
),
IFERROR(
  INDEX(FILTER(CFG_CODES!C:C, CFG_CODES!A:A=""MATERIAL"", UPPER(CFG_CODES!B:B)"&amp;"=UPPER(C624))),
  LEFT(UPPER(C624),3)
),
TEXT(ROW()-1,""000"")
))"),"")</f>
        <v/>
      </c>
      <c r="J624" s="64"/>
      <c r="K624" s="64"/>
      <c r="L624" s="64"/>
      <c r="M624" s="64"/>
      <c r="N624" s="64"/>
      <c r="O624" s="64" t="s">
        <v>1333</v>
      </c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</row>
    <row r="625" ht="15.0" customHeight="1">
      <c r="A625" s="64"/>
      <c r="B625" s="64"/>
      <c r="C625" s="64"/>
      <c r="D625" s="64"/>
      <c r="E625" s="64"/>
      <c r="F625" s="64"/>
      <c r="G625" s="64"/>
      <c r="H625" s="64"/>
      <c r="I625" s="27" t="str">
        <f>IFERROR(__xludf.DUMMYFUNCTION("IF(A625="""","""",
TEXTJOIN(""-"",TRUE,
IFERROR(
  INDEX(FILTER(CFG_CODES!C:C, CFG_CODES!A:A=""CATEGORY"", UPPER(CFG_CODES!B:B)=UPPER(B625))),
  LEFT(UPPER(B625),3)
),
IFERROR(
  INDEX(FILTER(CFG_CODES!C:C, CFG_CODES!A:A=""MATERIAL"", UPPER(CFG_CODES!B:B)"&amp;"=UPPER(C625))),
  LEFT(UPPER(C625),3)
),
TEXT(ROW()-1,""000"")
))"),"")</f>
        <v/>
      </c>
      <c r="J625" s="64"/>
      <c r="K625" s="64"/>
      <c r="L625" s="64"/>
      <c r="M625" s="64"/>
      <c r="N625" s="64"/>
      <c r="O625" s="64" t="s">
        <v>1333</v>
      </c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</row>
    <row r="626" ht="15.0" customHeight="1">
      <c r="A626" s="64"/>
      <c r="B626" s="64"/>
      <c r="C626" s="64"/>
      <c r="D626" s="64"/>
      <c r="E626" s="64"/>
      <c r="F626" s="64"/>
      <c r="G626" s="64"/>
      <c r="H626" s="64"/>
      <c r="I626" s="27" t="str">
        <f>IFERROR(__xludf.DUMMYFUNCTION("IF(A626="""","""",
TEXTJOIN(""-"",TRUE,
IFERROR(
  INDEX(FILTER(CFG_CODES!C:C, CFG_CODES!A:A=""CATEGORY"", UPPER(CFG_CODES!B:B)=UPPER(B626))),
  LEFT(UPPER(B626),3)
),
IFERROR(
  INDEX(FILTER(CFG_CODES!C:C, CFG_CODES!A:A=""MATERIAL"", UPPER(CFG_CODES!B:B)"&amp;"=UPPER(C626))),
  LEFT(UPPER(C626),3)
),
TEXT(ROW()-1,""000"")
))"),"")</f>
        <v/>
      </c>
      <c r="J626" s="64"/>
      <c r="K626" s="64"/>
      <c r="L626" s="64"/>
      <c r="M626" s="64"/>
      <c r="N626" s="64"/>
      <c r="O626" s="64" t="s">
        <v>1333</v>
      </c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</row>
    <row r="627" ht="15.0" customHeight="1">
      <c r="A627" s="64"/>
      <c r="B627" s="64"/>
      <c r="C627" s="64"/>
      <c r="D627" s="64"/>
      <c r="E627" s="64"/>
      <c r="F627" s="64"/>
      <c r="G627" s="64"/>
      <c r="H627" s="64"/>
      <c r="I627" s="27" t="str">
        <f>IFERROR(__xludf.DUMMYFUNCTION("IF(A627="""","""",
TEXTJOIN(""-"",TRUE,
IFERROR(
  INDEX(FILTER(CFG_CODES!C:C, CFG_CODES!A:A=""CATEGORY"", UPPER(CFG_CODES!B:B)=UPPER(B627))),
  LEFT(UPPER(B627),3)
),
IFERROR(
  INDEX(FILTER(CFG_CODES!C:C, CFG_CODES!A:A=""MATERIAL"", UPPER(CFG_CODES!B:B)"&amp;"=UPPER(C627))),
  LEFT(UPPER(C627),3)
),
TEXT(ROW()-1,""000"")
))"),"")</f>
        <v/>
      </c>
      <c r="J627" s="64"/>
      <c r="K627" s="64"/>
      <c r="L627" s="64"/>
      <c r="M627" s="64"/>
      <c r="N627" s="64"/>
      <c r="O627" s="64" t="s">
        <v>1333</v>
      </c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</row>
    <row r="628" ht="15.0" customHeight="1">
      <c r="A628" s="64"/>
      <c r="B628" s="64"/>
      <c r="C628" s="64"/>
      <c r="D628" s="64"/>
      <c r="E628" s="64"/>
      <c r="F628" s="64"/>
      <c r="G628" s="64"/>
      <c r="H628" s="64"/>
      <c r="I628" s="27" t="str">
        <f>IFERROR(__xludf.DUMMYFUNCTION("IF(A628="""","""",
TEXTJOIN(""-"",TRUE,
IFERROR(
  INDEX(FILTER(CFG_CODES!C:C, CFG_CODES!A:A=""CATEGORY"", UPPER(CFG_CODES!B:B)=UPPER(B628))),
  LEFT(UPPER(B628),3)
),
IFERROR(
  INDEX(FILTER(CFG_CODES!C:C, CFG_CODES!A:A=""MATERIAL"", UPPER(CFG_CODES!B:B)"&amp;"=UPPER(C628))),
  LEFT(UPPER(C628),3)
),
TEXT(ROW()-1,""000"")
))"),"")</f>
        <v/>
      </c>
      <c r="J628" s="64"/>
      <c r="K628" s="64"/>
      <c r="L628" s="64"/>
      <c r="M628" s="64"/>
      <c r="N628" s="64"/>
      <c r="O628" s="64" t="s">
        <v>1333</v>
      </c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</row>
    <row r="629" ht="15.0" customHeight="1">
      <c r="A629" s="64"/>
      <c r="B629" s="64"/>
      <c r="C629" s="64"/>
      <c r="D629" s="64"/>
      <c r="E629" s="64"/>
      <c r="F629" s="64"/>
      <c r="G629" s="64"/>
      <c r="H629" s="64"/>
      <c r="I629" s="27" t="str">
        <f>IFERROR(__xludf.DUMMYFUNCTION("IF(A629="""","""",
TEXTJOIN(""-"",TRUE,
IFERROR(
  INDEX(FILTER(CFG_CODES!C:C, CFG_CODES!A:A=""CATEGORY"", UPPER(CFG_CODES!B:B)=UPPER(B629))),
  LEFT(UPPER(B629),3)
),
IFERROR(
  INDEX(FILTER(CFG_CODES!C:C, CFG_CODES!A:A=""MATERIAL"", UPPER(CFG_CODES!B:B)"&amp;"=UPPER(C629))),
  LEFT(UPPER(C629),3)
),
TEXT(ROW()-1,""000"")
))"),"")</f>
        <v/>
      </c>
      <c r="J629" s="64"/>
      <c r="K629" s="64"/>
      <c r="L629" s="64"/>
      <c r="M629" s="64"/>
      <c r="N629" s="64"/>
      <c r="O629" s="64" t="s">
        <v>1333</v>
      </c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</row>
    <row r="630" ht="15.0" customHeight="1">
      <c r="A630" s="64"/>
      <c r="B630" s="64"/>
      <c r="C630" s="64"/>
      <c r="D630" s="64"/>
      <c r="E630" s="64"/>
      <c r="F630" s="64"/>
      <c r="G630" s="64"/>
      <c r="H630" s="64"/>
      <c r="I630" s="27" t="str">
        <f>IFERROR(__xludf.DUMMYFUNCTION("IF(A630="""","""",
TEXTJOIN(""-"",TRUE,
IFERROR(
  INDEX(FILTER(CFG_CODES!C:C, CFG_CODES!A:A=""CATEGORY"", UPPER(CFG_CODES!B:B)=UPPER(B630))),
  LEFT(UPPER(B630),3)
),
IFERROR(
  INDEX(FILTER(CFG_CODES!C:C, CFG_CODES!A:A=""MATERIAL"", UPPER(CFG_CODES!B:B)"&amp;"=UPPER(C630))),
  LEFT(UPPER(C630),3)
),
TEXT(ROW()-1,""000"")
))"),"")</f>
        <v/>
      </c>
      <c r="J630" s="64"/>
      <c r="K630" s="64"/>
      <c r="L630" s="64"/>
      <c r="M630" s="64"/>
      <c r="N630" s="64"/>
      <c r="O630" s="64" t="s">
        <v>1333</v>
      </c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</row>
    <row r="631" ht="15.0" customHeight="1">
      <c r="A631" s="64"/>
      <c r="B631" s="64"/>
      <c r="C631" s="64"/>
      <c r="D631" s="64"/>
      <c r="E631" s="64"/>
      <c r="F631" s="64"/>
      <c r="G631" s="64"/>
      <c r="H631" s="64"/>
      <c r="I631" s="27" t="str">
        <f>IFERROR(__xludf.DUMMYFUNCTION("IF(A631="""","""",
TEXTJOIN(""-"",TRUE,
IFERROR(
  INDEX(FILTER(CFG_CODES!C:C, CFG_CODES!A:A=""CATEGORY"", UPPER(CFG_CODES!B:B)=UPPER(B631))),
  LEFT(UPPER(B631),3)
),
IFERROR(
  INDEX(FILTER(CFG_CODES!C:C, CFG_CODES!A:A=""MATERIAL"", UPPER(CFG_CODES!B:B)"&amp;"=UPPER(C631))),
  LEFT(UPPER(C631),3)
),
TEXT(ROW()-1,""000"")
))"),"")</f>
        <v/>
      </c>
      <c r="J631" s="64"/>
      <c r="K631" s="64"/>
      <c r="L631" s="64"/>
      <c r="M631" s="64"/>
      <c r="N631" s="64"/>
      <c r="O631" s="64" t="s">
        <v>1333</v>
      </c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</row>
    <row r="632" ht="15.0" customHeight="1">
      <c r="A632" s="64"/>
      <c r="B632" s="64"/>
      <c r="C632" s="64"/>
      <c r="D632" s="64"/>
      <c r="E632" s="64"/>
      <c r="F632" s="64"/>
      <c r="G632" s="64"/>
      <c r="H632" s="64"/>
      <c r="I632" s="27" t="str">
        <f>IFERROR(__xludf.DUMMYFUNCTION("IF(A632="""","""",
TEXTJOIN(""-"",TRUE,
IFERROR(
  INDEX(FILTER(CFG_CODES!C:C, CFG_CODES!A:A=""CATEGORY"", UPPER(CFG_CODES!B:B)=UPPER(B632))),
  LEFT(UPPER(B632),3)
),
IFERROR(
  INDEX(FILTER(CFG_CODES!C:C, CFG_CODES!A:A=""MATERIAL"", UPPER(CFG_CODES!B:B)"&amp;"=UPPER(C632))),
  LEFT(UPPER(C632),3)
),
TEXT(ROW()-1,""000"")
))"),"")</f>
        <v/>
      </c>
      <c r="J632" s="64"/>
      <c r="K632" s="64"/>
      <c r="L632" s="64"/>
      <c r="M632" s="64"/>
      <c r="N632" s="64"/>
      <c r="O632" s="64" t="s">
        <v>1333</v>
      </c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</row>
    <row r="633" ht="15.0" customHeight="1">
      <c r="A633" s="64"/>
      <c r="B633" s="64"/>
      <c r="C633" s="64"/>
      <c r="D633" s="64"/>
      <c r="E633" s="64"/>
      <c r="F633" s="64"/>
      <c r="G633" s="64"/>
      <c r="H633" s="64"/>
      <c r="I633" s="27" t="str">
        <f>IFERROR(__xludf.DUMMYFUNCTION("IF(A633="""","""",
TEXTJOIN(""-"",TRUE,
IFERROR(
  INDEX(FILTER(CFG_CODES!C:C, CFG_CODES!A:A=""CATEGORY"", UPPER(CFG_CODES!B:B)=UPPER(B633))),
  LEFT(UPPER(B633),3)
),
IFERROR(
  INDEX(FILTER(CFG_CODES!C:C, CFG_CODES!A:A=""MATERIAL"", UPPER(CFG_CODES!B:B)"&amp;"=UPPER(C633))),
  LEFT(UPPER(C633),3)
),
TEXT(ROW()-1,""000"")
))"),"")</f>
        <v/>
      </c>
      <c r="J633" s="64"/>
      <c r="K633" s="64"/>
      <c r="L633" s="64"/>
      <c r="M633" s="64"/>
      <c r="N633" s="64"/>
      <c r="O633" s="64" t="s">
        <v>1333</v>
      </c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</row>
    <row r="634" ht="15.0" customHeight="1">
      <c r="A634" s="64"/>
      <c r="B634" s="64"/>
      <c r="C634" s="64"/>
      <c r="D634" s="64"/>
      <c r="E634" s="64"/>
      <c r="F634" s="64"/>
      <c r="G634" s="64"/>
      <c r="H634" s="64"/>
      <c r="I634" s="27" t="str">
        <f>IFERROR(__xludf.DUMMYFUNCTION("IF(A634="""","""",
TEXTJOIN(""-"",TRUE,
IFERROR(
  INDEX(FILTER(CFG_CODES!C:C, CFG_CODES!A:A=""CATEGORY"", UPPER(CFG_CODES!B:B)=UPPER(B634))),
  LEFT(UPPER(B634),3)
),
IFERROR(
  INDEX(FILTER(CFG_CODES!C:C, CFG_CODES!A:A=""MATERIAL"", UPPER(CFG_CODES!B:B)"&amp;"=UPPER(C634))),
  LEFT(UPPER(C634),3)
),
TEXT(ROW()-1,""000"")
))"),"")</f>
        <v/>
      </c>
      <c r="J634" s="64"/>
      <c r="K634" s="64"/>
      <c r="L634" s="64"/>
      <c r="M634" s="64"/>
      <c r="N634" s="64"/>
      <c r="O634" s="64" t="s">
        <v>1333</v>
      </c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</row>
    <row r="635" ht="15.0" customHeight="1">
      <c r="A635" s="64"/>
      <c r="B635" s="64"/>
      <c r="C635" s="64"/>
      <c r="D635" s="64"/>
      <c r="E635" s="64"/>
      <c r="F635" s="64"/>
      <c r="G635" s="64"/>
      <c r="H635" s="64"/>
      <c r="I635" s="27" t="str">
        <f>IFERROR(__xludf.DUMMYFUNCTION("IF(A635="""","""",
TEXTJOIN(""-"",TRUE,
IFERROR(
  INDEX(FILTER(CFG_CODES!C:C, CFG_CODES!A:A=""CATEGORY"", UPPER(CFG_CODES!B:B)=UPPER(B635))),
  LEFT(UPPER(B635),3)
),
IFERROR(
  INDEX(FILTER(CFG_CODES!C:C, CFG_CODES!A:A=""MATERIAL"", UPPER(CFG_CODES!B:B)"&amp;"=UPPER(C635))),
  LEFT(UPPER(C635),3)
),
TEXT(ROW()-1,""000"")
))"),"")</f>
        <v/>
      </c>
      <c r="J635" s="64"/>
      <c r="K635" s="64"/>
      <c r="L635" s="64"/>
      <c r="M635" s="64"/>
      <c r="N635" s="64"/>
      <c r="O635" s="64" t="s">
        <v>1333</v>
      </c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</row>
    <row r="636" ht="15.0" customHeight="1">
      <c r="A636" s="64"/>
      <c r="B636" s="64"/>
      <c r="C636" s="64"/>
      <c r="D636" s="64"/>
      <c r="E636" s="64"/>
      <c r="F636" s="64"/>
      <c r="G636" s="64"/>
      <c r="H636" s="64"/>
      <c r="I636" s="27" t="str">
        <f>IFERROR(__xludf.DUMMYFUNCTION("IF(A636="""","""",
TEXTJOIN(""-"",TRUE,
IFERROR(
  INDEX(FILTER(CFG_CODES!C:C, CFG_CODES!A:A=""CATEGORY"", UPPER(CFG_CODES!B:B)=UPPER(B636))),
  LEFT(UPPER(B636),3)
),
IFERROR(
  INDEX(FILTER(CFG_CODES!C:C, CFG_CODES!A:A=""MATERIAL"", UPPER(CFG_CODES!B:B)"&amp;"=UPPER(C636))),
  LEFT(UPPER(C636),3)
),
TEXT(ROW()-1,""000"")
))"),"")</f>
        <v/>
      </c>
      <c r="J636" s="64"/>
      <c r="K636" s="64"/>
      <c r="L636" s="64"/>
      <c r="M636" s="64"/>
      <c r="N636" s="64"/>
      <c r="O636" s="64" t="s">
        <v>1333</v>
      </c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</row>
    <row r="637" ht="15.0" customHeight="1">
      <c r="A637" s="64"/>
      <c r="B637" s="64"/>
      <c r="C637" s="64"/>
      <c r="D637" s="64"/>
      <c r="E637" s="64"/>
      <c r="F637" s="64"/>
      <c r="G637" s="64"/>
      <c r="H637" s="64"/>
      <c r="I637" s="27" t="str">
        <f>IFERROR(__xludf.DUMMYFUNCTION("IF(A637="""","""",
TEXTJOIN(""-"",TRUE,
IFERROR(
  INDEX(FILTER(CFG_CODES!C:C, CFG_CODES!A:A=""CATEGORY"", UPPER(CFG_CODES!B:B)=UPPER(B637))),
  LEFT(UPPER(B637),3)
),
IFERROR(
  INDEX(FILTER(CFG_CODES!C:C, CFG_CODES!A:A=""MATERIAL"", UPPER(CFG_CODES!B:B)"&amp;"=UPPER(C637))),
  LEFT(UPPER(C637),3)
),
TEXT(ROW()-1,""000"")
))"),"")</f>
        <v/>
      </c>
      <c r="J637" s="64"/>
      <c r="K637" s="64"/>
      <c r="L637" s="64"/>
      <c r="M637" s="64"/>
      <c r="N637" s="64"/>
      <c r="O637" s="64" t="s">
        <v>1333</v>
      </c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</row>
    <row r="638" ht="15.0" customHeight="1">
      <c r="A638" s="64"/>
      <c r="B638" s="64"/>
      <c r="C638" s="64"/>
      <c r="D638" s="64"/>
      <c r="E638" s="64"/>
      <c r="F638" s="64"/>
      <c r="G638" s="64"/>
      <c r="H638" s="64"/>
      <c r="I638" s="27" t="str">
        <f>IFERROR(__xludf.DUMMYFUNCTION("IF(A638="""","""",
TEXTJOIN(""-"",TRUE,
IFERROR(
  INDEX(FILTER(CFG_CODES!C:C, CFG_CODES!A:A=""CATEGORY"", UPPER(CFG_CODES!B:B)=UPPER(B638))),
  LEFT(UPPER(B638),3)
),
IFERROR(
  INDEX(FILTER(CFG_CODES!C:C, CFG_CODES!A:A=""MATERIAL"", UPPER(CFG_CODES!B:B)"&amp;"=UPPER(C638))),
  LEFT(UPPER(C638),3)
),
TEXT(ROW()-1,""000"")
))"),"")</f>
        <v/>
      </c>
      <c r="J638" s="64"/>
      <c r="K638" s="64"/>
      <c r="L638" s="64"/>
      <c r="M638" s="64"/>
      <c r="N638" s="64"/>
      <c r="O638" s="64" t="s">
        <v>1333</v>
      </c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</row>
    <row r="639" ht="15.0" customHeight="1">
      <c r="A639" s="64"/>
      <c r="B639" s="64"/>
      <c r="C639" s="64"/>
      <c r="D639" s="64"/>
      <c r="E639" s="64"/>
      <c r="F639" s="64"/>
      <c r="G639" s="64"/>
      <c r="H639" s="64"/>
      <c r="I639" s="27" t="str">
        <f>IFERROR(__xludf.DUMMYFUNCTION("IF(A639="""","""",
TEXTJOIN(""-"",TRUE,
IFERROR(
  INDEX(FILTER(CFG_CODES!C:C, CFG_CODES!A:A=""CATEGORY"", UPPER(CFG_CODES!B:B)=UPPER(B639))),
  LEFT(UPPER(B639),3)
),
IFERROR(
  INDEX(FILTER(CFG_CODES!C:C, CFG_CODES!A:A=""MATERIAL"", UPPER(CFG_CODES!B:B)"&amp;"=UPPER(C639))),
  LEFT(UPPER(C639),3)
),
TEXT(ROW()-1,""000"")
))"),"")</f>
        <v/>
      </c>
      <c r="J639" s="64"/>
      <c r="K639" s="64"/>
      <c r="L639" s="64"/>
      <c r="M639" s="64"/>
      <c r="N639" s="64"/>
      <c r="O639" s="64" t="s">
        <v>1333</v>
      </c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</row>
    <row r="640" ht="15.0" customHeight="1">
      <c r="A640" s="64"/>
      <c r="B640" s="64"/>
      <c r="C640" s="64"/>
      <c r="D640" s="64"/>
      <c r="E640" s="64"/>
      <c r="F640" s="64"/>
      <c r="G640" s="64"/>
      <c r="H640" s="64"/>
      <c r="I640" s="27" t="str">
        <f>IFERROR(__xludf.DUMMYFUNCTION("IF(A640="""","""",
TEXTJOIN(""-"",TRUE,
IFERROR(
  INDEX(FILTER(CFG_CODES!C:C, CFG_CODES!A:A=""CATEGORY"", UPPER(CFG_CODES!B:B)=UPPER(B640))),
  LEFT(UPPER(B640),3)
),
IFERROR(
  INDEX(FILTER(CFG_CODES!C:C, CFG_CODES!A:A=""MATERIAL"", UPPER(CFG_CODES!B:B)"&amp;"=UPPER(C640))),
  LEFT(UPPER(C640),3)
),
TEXT(ROW()-1,""000"")
))"),"")</f>
        <v/>
      </c>
      <c r="J640" s="64"/>
      <c r="K640" s="64"/>
      <c r="L640" s="64"/>
      <c r="M640" s="64"/>
      <c r="N640" s="64"/>
      <c r="O640" s="64" t="s">
        <v>1333</v>
      </c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</row>
    <row r="641" ht="15.0" customHeight="1">
      <c r="A641" s="64"/>
      <c r="B641" s="64"/>
      <c r="C641" s="64"/>
      <c r="D641" s="64"/>
      <c r="E641" s="64"/>
      <c r="F641" s="64"/>
      <c r="G641" s="64"/>
      <c r="H641" s="64"/>
      <c r="I641" s="27" t="str">
        <f>IFERROR(__xludf.DUMMYFUNCTION("IF(A641="""","""",
TEXTJOIN(""-"",TRUE,
IFERROR(
  INDEX(FILTER(CFG_CODES!C:C, CFG_CODES!A:A=""CATEGORY"", UPPER(CFG_CODES!B:B)=UPPER(B641))),
  LEFT(UPPER(B641),3)
),
IFERROR(
  INDEX(FILTER(CFG_CODES!C:C, CFG_CODES!A:A=""MATERIAL"", UPPER(CFG_CODES!B:B)"&amp;"=UPPER(C641))),
  LEFT(UPPER(C641),3)
),
TEXT(ROW()-1,""000"")
))"),"")</f>
        <v/>
      </c>
      <c r="J641" s="64"/>
      <c r="K641" s="64"/>
      <c r="L641" s="64"/>
      <c r="M641" s="64"/>
      <c r="N641" s="64"/>
      <c r="O641" s="64" t="s">
        <v>1333</v>
      </c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</row>
    <row r="642" ht="15.0" customHeight="1">
      <c r="A642" s="64"/>
      <c r="B642" s="64"/>
      <c r="C642" s="64"/>
      <c r="D642" s="64"/>
      <c r="E642" s="64"/>
      <c r="F642" s="64"/>
      <c r="G642" s="64"/>
      <c r="H642" s="64"/>
      <c r="I642" s="27" t="str">
        <f>IFERROR(__xludf.DUMMYFUNCTION("IF(A642="""","""",
TEXTJOIN(""-"",TRUE,
IFERROR(
  INDEX(FILTER(CFG_CODES!C:C, CFG_CODES!A:A=""CATEGORY"", UPPER(CFG_CODES!B:B)=UPPER(B642))),
  LEFT(UPPER(B642),3)
),
IFERROR(
  INDEX(FILTER(CFG_CODES!C:C, CFG_CODES!A:A=""MATERIAL"", UPPER(CFG_CODES!B:B)"&amp;"=UPPER(C642))),
  LEFT(UPPER(C642),3)
),
TEXT(ROW()-1,""000"")
))"),"")</f>
        <v/>
      </c>
      <c r="J642" s="64"/>
      <c r="K642" s="64"/>
      <c r="L642" s="64"/>
      <c r="M642" s="64"/>
      <c r="N642" s="64"/>
      <c r="O642" s="64" t="s">
        <v>1333</v>
      </c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</row>
    <row r="643" ht="15.0" customHeight="1">
      <c r="A643" s="64"/>
      <c r="B643" s="64"/>
      <c r="C643" s="64"/>
      <c r="D643" s="64"/>
      <c r="E643" s="64"/>
      <c r="F643" s="64"/>
      <c r="G643" s="64"/>
      <c r="H643" s="64"/>
      <c r="I643" s="27" t="str">
        <f>IFERROR(__xludf.DUMMYFUNCTION("IF(A643="""","""",
TEXTJOIN(""-"",TRUE,
IFERROR(
  INDEX(FILTER(CFG_CODES!C:C, CFG_CODES!A:A=""CATEGORY"", UPPER(CFG_CODES!B:B)=UPPER(B643))),
  LEFT(UPPER(B643),3)
),
IFERROR(
  INDEX(FILTER(CFG_CODES!C:C, CFG_CODES!A:A=""MATERIAL"", UPPER(CFG_CODES!B:B)"&amp;"=UPPER(C643))),
  LEFT(UPPER(C643),3)
),
TEXT(ROW()-1,""000"")
))"),"")</f>
        <v/>
      </c>
      <c r="J643" s="64"/>
      <c r="K643" s="64"/>
      <c r="L643" s="64"/>
      <c r="M643" s="64"/>
      <c r="N643" s="64"/>
      <c r="O643" s="64" t="s">
        <v>1333</v>
      </c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</row>
    <row r="644" ht="15.0" customHeight="1">
      <c r="A644" s="64"/>
      <c r="B644" s="64"/>
      <c r="C644" s="64"/>
      <c r="D644" s="64"/>
      <c r="E644" s="64"/>
      <c r="F644" s="64"/>
      <c r="G644" s="64"/>
      <c r="H644" s="64"/>
      <c r="I644" s="27" t="str">
        <f>IFERROR(__xludf.DUMMYFUNCTION("IF(A644="""","""",
TEXTJOIN(""-"",TRUE,
IFERROR(
  INDEX(FILTER(CFG_CODES!C:C, CFG_CODES!A:A=""CATEGORY"", UPPER(CFG_CODES!B:B)=UPPER(B644))),
  LEFT(UPPER(B644),3)
),
IFERROR(
  INDEX(FILTER(CFG_CODES!C:C, CFG_CODES!A:A=""MATERIAL"", UPPER(CFG_CODES!B:B)"&amp;"=UPPER(C644))),
  LEFT(UPPER(C644),3)
),
TEXT(ROW()-1,""000"")
))"),"")</f>
        <v/>
      </c>
      <c r="J644" s="64"/>
      <c r="K644" s="64"/>
      <c r="L644" s="64"/>
      <c r="M644" s="64"/>
      <c r="N644" s="64"/>
      <c r="O644" s="64" t="s">
        <v>1333</v>
      </c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</row>
    <row r="645" ht="15.0" customHeight="1">
      <c r="A645" s="64"/>
      <c r="B645" s="64"/>
      <c r="C645" s="64"/>
      <c r="D645" s="64"/>
      <c r="E645" s="64"/>
      <c r="F645" s="64"/>
      <c r="G645" s="64"/>
      <c r="H645" s="64"/>
      <c r="I645" s="27" t="str">
        <f>IFERROR(__xludf.DUMMYFUNCTION("IF(A645="""","""",
TEXTJOIN(""-"",TRUE,
IFERROR(
  INDEX(FILTER(CFG_CODES!C:C, CFG_CODES!A:A=""CATEGORY"", UPPER(CFG_CODES!B:B)=UPPER(B645))),
  LEFT(UPPER(B645),3)
),
IFERROR(
  INDEX(FILTER(CFG_CODES!C:C, CFG_CODES!A:A=""MATERIAL"", UPPER(CFG_CODES!B:B)"&amp;"=UPPER(C645))),
  LEFT(UPPER(C645),3)
),
TEXT(ROW()-1,""000"")
))"),"")</f>
        <v/>
      </c>
      <c r="J645" s="64"/>
      <c r="K645" s="64"/>
      <c r="L645" s="64"/>
      <c r="M645" s="64"/>
      <c r="N645" s="64"/>
      <c r="O645" s="64" t="s">
        <v>1333</v>
      </c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</row>
    <row r="646" ht="15.0" customHeight="1">
      <c r="A646" s="64"/>
      <c r="B646" s="64"/>
      <c r="C646" s="64"/>
      <c r="D646" s="64"/>
      <c r="E646" s="64"/>
      <c r="F646" s="64"/>
      <c r="G646" s="64"/>
      <c r="H646" s="64"/>
      <c r="I646" s="27" t="str">
        <f>IFERROR(__xludf.DUMMYFUNCTION("IF(A646="""","""",
TEXTJOIN(""-"",TRUE,
IFERROR(
  INDEX(FILTER(CFG_CODES!C:C, CFG_CODES!A:A=""CATEGORY"", UPPER(CFG_CODES!B:B)=UPPER(B646))),
  LEFT(UPPER(B646),3)
),
IFERROR(
  INDEX(FILTER(CFG_CODES!C:C, CFG_CODES!A:A=""MATERIAL"", UPPER(CFG_CODES!B:B)"&amp;"=UPPER(C646))),
  LEFT(UPPER(C646),3)
),
TEXT(ROW()-1,""000"")
))"),"")</f>
        <v/>
      </c>
      <c r="J646" s="64"/>
      <c r="K646" s="64"/>
      <c r="L646" s="64"/>
      <c r="M646" s="64"/>
      <c r="N646" s="64"/>
      <c r="O646" s="64" t="s">
        <v>1333</v>
      </c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</row>
    <row r="647" ht="15.0" customHeight="1">
      <c r="A647" s="64"/>
      <c r="B647" s="64"/>
      <c r="C647" s="64"/>
      <c r="D647" s="64"/>
      <c r="E647" s="64"/>
      <c r="F647" s="64"/>
      <c r="G647" s="64"/>
      <c r="H647" s="64"/>
      <c r="I647" s="27" t="str">
        <f>IFERROR(__xludf.DUMMYFUNCTION("IF(A647="""","""",
TEXTJOIN(""-"",TRUE,
IFERROR(
  INDEX(FILTER(CFG_CODES!C:C, CFG_CODES!A:A=""CATEGORY"", UPPER(CFG_CODES!B:B)=UPPER(B647))),
  LEFT(UPPER(B647),3)
),
IFERROR(
  INDEX(FILTER(CFG_CODES!C:C, CFG_CODES!A:A=""MATERIAL"", UPPER(CFG_CODES!B:B)"&amp;"=UPPER(C647))),
  LEFT(UPPER(C647),3)
),
TEXT(ROW()-1,""000"")
))"),"")</f>
        <v/>
      </c>
      <c r="J647" s="64"/>
      <c r="K647" s="64"/>
      <c r="L647" s="64"/>
      <c r="M647" s="64"/>
      <c r="N647" s="64"/>
      <c r="O647" s="64" t="s">
        <v>1333</v>
      </c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</row>
    <row r="648" ht="15.0" customHeight="1">
      <c r="A648" s="64"/>
      <c r="B648" s="64"/>
      <c r="C648" s="64"/>
      <c r="D648" s="64"/>
      <c r="E648" s="64"/>
      <c r="F648" s="64"/>
      <c r="G648" s="64"/>
      <c r="H648" s="64"/>
      <c r="I648" s="27" t="str">
        <f>IFERROR(__xludf.DUMMYFUNCTION("IF(A648="""","""",
TEXTJOIN(""-"",TRUE,
IFERROR(
  INDEX(FILTER(CFG_CODES!C:C, CFG_CODES!A:A=""CATEGORY"", UPPER(CFG_CODES!B:B)=UPPER(B648))),
  LEFT(UPPER(B648),3)
),
IFERROR(
  INDEX(FILTER(CFG_CODES!C:C, CFG_CODES!A:A=""MATERIAL"", UPPER(CFG_CODES!B:B)"&amp;"=UPPER(C648))),
  LEFT(UPPER(C648),3)
),
TEXT(ROW()-1,""000"")
))"),"")</f>
        <v/>
      </c>
      <c r="J648" s="64"/>
      <c r="K648" s="64"/>
      <c r="L648" s="64"/>
      <c r="M648" s="64"/>
      <c r="N648" s="64"/>
      <c r="O648" s="64" t="s">
        <v>1333</v>
      </c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</row>
    <row r="649" ht="15.0" customHeight="1">
      <c r="A649" s="64"/>
      <c r="B649" s="64"/>
      <c r="C649" s="64"/>
      <c r="D649" s="64"/>
      <c r="E649" s="64"/>
      <c r="F649" s="64"/>
      <c r="G649" s="64"/>
      <c r="H649" s="64"/>
      <c r="I649" s="27" t="str">
        <f>IFERROR(__xludf.DUMMYFUNCTION("IF(A649="""","""",
TEXTJOIN(""-"",TRUE,
IFERROR(
  INDEX(FILTER(CFG_CODES!C:C, CFG_CODES!A:A=""CATEGORY"", UPPER(CFG_CODES!B:B)=UPPER(B649))),
  LEFT(UPPER(B649),3)
),
IFERROR(
  INDEX(FILTER(CFG_CODES!C:C, CFG_CODES!A:A=""MATERIAL"", UPPER(CFG_CODES!B:B)"&amp;"=UPPER(C649))),
  LEFT(UPPER(C649),3)
),
TEXT(ROW()-1,""000"")
))"),"")</f>
        <v/>
      </c>
      <c r="J649" s="64"/>
      <c r="K649" s="64"/>
      <c r="L649" s="64"/>
      <c r="M649" s="64"/>
      <c r="N649" s="64"/>
      <c r="O649" s="64" t="s">
        <v>1333</v>
      </c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</row>
    <row r="650" ht="15.0" customHeight="1">
      <c r="A650" s="64"/>
      <c r="B650" s="64"/>
      <c r="C650" s="64"/>
      <c r="D650" s="64"/>
      <c r="E650" s="64"/>
      <c r="F650" s="64"/>
      <c r="G650" s="64"/>
      <c r="H650" s="64"/>
      <c r="I650" s="27" t="str">
        <f>IFERROR(__xludf.DUMMYFUNCTION("IF(A650="""","""",
TEXTJOIN(""-"",TRUE,
IFERROR(
  INDEX(FILTER(CFG_CODES!C:C, CFG_CODES!A:A=""CATEGORY"", UPPER(CFG_CODES!B:B)=UPPER(B650))),
  LEFT(UPPER(B650),3)
),
IFERROR(
  INDEX(FILTER(CFG_CODES!C:C, CFG_CODES!A:A=""MATERIAL"", UPPER(CFG_CODES!B:B)"&amp;"=UPPER(C650))),
  LEFT(UPPER(C650),3)
),
TEXT(ROW()-1,""000"")
))"),"")</f>
        <v/>
      </c>
      <c r="J650" s="64"/>
      <c r="K650" s="64"/>
      <c r="L650" s="64"/>
      <c r="M650" s="64"/>
      <c r="N650" s="64"/>
      <c r="O650" s="64" t="s">
        <v>1333</v>
      </c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</row>
    <row r="651" ht="15.0" customHeight="1">
      <c r="A651" s="64"/>
      <c r="B651" s="64"/>
      <c r="C651" s="64"/>
      <c r="D651" s="64"/>
      <c r="E651" s="64"/>
      <c r="F651" s="64"/>
      <c r="G651" s="64"/>
      <c r="H651" s="64"/>
      <c r="I651" s="27" t="str">
        <f>IFERROR(__xludf.DUMMYFUNCTION("IF(A651="""","""",
TEXTJOIN(""-"",TRUE,
IFERROR(
  INDEX(FILTER(CFG_CODES!C:C, CFG_CODES!A:A=""CATEGORY"", UPPER(CFG_CODES!B:B)=UPPER(B651))),
  LEFT(UPPER(B651),3)
),
IFERROR(
  INDEX(FILTER(CFG_CODES!C:C, CFG_CODES!A:A=""MATERIAL"", UPPER(CFG_CODES!B:B)"&amp;"=UPPER(C651))),
  LEFT(UPPER(C651),3)
),
TEXT(ROW()-1,""000"")
))"),"")</f>
        <v/>
      </c>
      <c r="J651" s="64"/>
      <c r="K651" s="64"/>
      <c r="L651" s="64"/>
      <c r="M651" s="64"/>
      <c r="N651" s="64"/>
      <c r="O651" s="64" t="s">
        <v>1333</v>
      </c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</row>
    <row r="652" ht="15.0" customHeight="1">
      <c r="A652" s="64"/>
      <c r="B652" s="64"/>
      <c r="C652" s="64"/>
      <c r="D652" s="64"/>
      <c r="E652" s="64"/>
      <c r="F652" s="64"/>
      <c r="G652" s="64"/>
      <c r="H652" s="64"/>
      <c r="I652" s="27" t="str">
        <f>IFERROR(__xludf.DUMMYFUNCTION("IF(A652="""","""",
TEXTJOIN(""-"",TRUE,
IFERROR(
  INDEX(FILTER(CFG_CODES!C:C, CFG_CODES!A:A=""CATEGORY"", UPPER(CFG_CODES!B:B)=UPPER(B652))),
  LEFT(UPPER(B652),3)
),
IFERROR(
  INDEX(FILTER(CFG_CODES!C:C, CFG_CODES!A:A=""MATERIAL"", UPPER(CFG_CODES!B:B)"&amp;"=UPPER(C652))),
  LEFT(UPPER(C652),3)
),
TEXT(ROW()-1,""000"")
))"),"")</f>
        <v/>
      </c>
      <c r="J652" s="64"/>
      <c r="K652" s="64"/>
      <c r="L652" s="64"/>
      <c r="M652" s="64"/>
      <c r="N652" s="64"/>
      <c r="O652" s="64" t="s">
        <v>1333</v>
      </c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</row>
    <row r="653" ht="15.0" customHeight="1">
      <c r="A653" s="64"/>
      <c r="B653" s="64"/>
      <c r="C653" s="64"/>
      <c r="D653" s="64"/>
      <c r="E653" s="64"/>
      <c r="F653" s="64"/>
      <c r="G653" s="64"/>
      <c r="H653" s="64"/>
      <c r="I653" s="27" t="str">
        <f>IFERROR(__xludf.DUMMYFUNCTION("IF(A653="""","""",
TEXTJOIN(""-"",TRUE,
IFERROR(
  INDEX(FILTER(CFG_CODES!C:C, CFG_CODES!A:A=""CATEGORY"", UPPER(CFG_CODES!B:B)=UPPER(B653))),
  LEFT(UPPER(B653),3)
),
IFERROR(
  INDEX(FILTER(CFG_CODES!C:C, CFG_CODES!A:A=""MATERIAL"", UPPER(CFG_CODES!B:B)"&amp;"=UPPER(C653))),
  LEFT(UPPER(C653),3)
),
TEXT(ROW()-1,""000"")
))"),"")</f>
        <v/>
      </c>
      <c r="J653" s="64"/>
      <c r="K653" s="64"/>
      <c r="L653" s="64"/>
      <c r="M653" s="64"/>
      <c r="N653" s="64"/>
      <c r="O653" s="64" t="s">
        <v>1333</v>
      </c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</row>
    <row r="654" ht="15.0" customHeight="1">
      <c r="A654" s="64"/>
      <c r="B654" s="64"/>
      <c r="C654" s="64"/>
      <c r="D654" s="64"/>
      <c r="E654" s="64"/>
      <c r="F654" s="64"/>
      <c r="G654" s="64"/>
      <c r="H654" s="64"/>
      <c r="I654" s="27" t="str">
        <f>IFERROR(__xludf.DUMMYFUNCTION("IF(A654="""","""",
TEXTJOIN(""-"",TRUE,
IFERROR(
  INDEX(FILTER(CFG_CODES!C:C, CFG_CODES!A:A=""CATEGORY"", UPPER(CFG_CODES!B:B)=UPPER(B654))),
  LEFT(UPPER(B654),3)
),
IFERROR(
  INDEX(FILTER(CFG_CODES!C:C, CFG_CODES!A:A=""MATERIAL"", UPPER(CFG_CODES!B:B)"&amp;"=UPPER(C654))),
  LEFT(UPPER(C654),3)
),
TEXT(ROW()-1,""000"")
))"),"")</f>
        <v/>
      </c>
      <c r="J654" s="64"/>
      <c r="K654" s="64"/>
      <c r="L654" s="64"/>
      <c r="M654" s="64"/>
      <c r="N654" s="64"/>
      <c r="O654" s="64" t="s">
        <v>1333</v>
      </c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</row>
    <row r="655" ht="15.0" customHeight="1">
      <c r="A655" s="64"/>
      <c r="B655" s="64"/>
      <c r="C655" s="64"/>
      <c r="D655" s="64"/>
      <c r="E655" s="64"/>
      <c r="F655" s="64"/>
      <c r="G655" s="64"/>
      <c r="H655" s="64"/>
      <c r="I655" s="27" t="str">
        <f>IFERROR(__xludf.DUMMYFUNCTION("IF(A655="""","""",
TEXTJOIN(""-"",TRUE,
IFERROR(
  INDEX(FILTER(CFG_CODES!C:C, CFG_CODES!A:A=""CATEGORY"", UPPER(CFG_CODES!B:B)=UPPER(B655))),
  LEFT(UPPER(B655),3)
),
IFERROR(
  INDEX(FILTER(CFG_CODES!C:C, CFG_CODES!A:A=""MATERIAL"", UPPER(CFG_CODES!B:B)"&amp;"=UPPER(C655))),
  LEFT(UPPER(C655),3)
),
TEXT(ROW()-1,""000"")
))"),"")</f>
        <v/>
      </c>
      <c r="J655" s="64"/>
      <c r="K655" s="64"/>
      <c r="L655" s="64"/>
      <c r="M655" s="64"/>
      <c r="N655" s="64"/>
      <c r="O655" s="64" t="s">
        <v>1333</v>
      </c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</row>
    <row r="656" ht="15.0" customHeight="1">
      <c r="A656" s="64"/>
      <c r="B656" s="64"/>
      <c r="C656" s="64"/>
      <c r="D656" s="64"/>
      <c r="E656" s="64"/>
      <c r="F656" s="64"/>
      <c r="G656" s="64"/>
      <c r="H656" s="64"/>
      <c r="I656" s="27" t="str">
        <f>IFERROR(__xludf.DUMMYFUNCTION("IF(A656="""","""",
TEXTJOIN(""-"",TRUE,
IFERROR(
  INDEX(FILTER(CFG_CODES!C:C, CFG_CODES!A:A=""CATEGORY"", UPPER(CFG_CODES!B:B)=UPPER(B656))),
  LEFT(UPPER(B656),3)
),
IFERROR(
  INDEX(FILTER(CFG_CODES!C:C, CFG_CODES!A:A=""MATERIAL"", UPPER(CFG_CODES!B:B)"&amp;"=UPPER(C656))),
  LEFT(UPPER(C656),3)
),
TEXT(ROW()-1,""000"")
))"),"")</f>
        <v/>
      </c>
      <c r="J656" s="64"/>
      <c r="K656" s="64"/>
      <c r="L656" s="64"/>
      <c r="M656" s="64"/>
      <c r="N656" s="64"/>
      <c r="O656" s="64" t="s">
        <v>1333</v>
      </c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</row>
    <row r="657" ht="15.0" customHeight="1">
      <c r="A657" s="64"/>
      <c r="B657" s="64"/>
      <c r="C657" s="64"/>
      <c r="D657" s="64"/>
      <c r="E657" s="64"/>
      <c r="F657" s="64"/>
      <c r="G657" s="64"/>
      <c r="H657" s="64"/>
      <c r="I657" s="27" t="str">
        <f>IFERROR(__xludf.DUMMYFUNCTION("IF(A657="""","""",
TEXTJOIN(""-"",TRUE,
IFERROR(
  INDEX(FILTER(CFG_CODES!C:C, CFG_CODES!A:A=""CATEGORY"", UPPER(CFG_CODES!B:B)=UPPER(B657))),
  LEFT(UPPER(B657),3)
),
IFERROR(
  INDEX(FILTER(CFG_CODES!C:C, CFG_CODES!A:A=""MATERIAL"", UPPER(CFG_CODES!B:B)"&amp;"=UPPER(C657))),
  LEFT(UPPER(C657),3)
),
TEXT(ROW()-1,""000"")
))"),"")</f>
        <v/>
      </c>
      <c r="J657" s="64"/>
      <c r="K657" s="64"/>
      <c r="L657" s="64"/>
      <c r="M657" s="64"/>
      <c r="N657" s="64"/>
      <c r="O657" s="64" t="s">
        <v>1333</v>
      </c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</row>
    <row r="658" ht="15.0" customHeight="1">
      <c r="A658" s="64"/>
      <c r="B658" s="64"/>
      <c r="C658" s="64"/>
      <c r="D658" s="64"/>
      <c r="E658" s="64"/>
      <c r="F658" s="64"/>
      <c r="G658" s="64"/>
      <c r="H658" s="64"/>
      <c r="I658" s="27" t="str">
        <f>IFERROR(__xludf.DUMMYFUNCTION("IF(A658="""","""",
TEXTJOIN(""-"",TRUE,
IFERROR(
  INDEX(FILTER(CFG_CODES!C:C, CFG_CODES!A:A=""CATEGORY"", UPPER(CFG_CODES!B:B)=UPPER(B658))),
  LEFT(UPPER(B658),3)
),
IFERROR(
  INDEX(FILTER(CFG_CODES!C:C, CFG_CODES!A:A=""MATERIAL"", UPPER(CFG_CODES!B:B)"&amp;"=UPPER(C658))),
  LEFT(UPPER(C658),3)
),
TEXT(ROW()-1,""000"")
))"),"")</f>
        <v/>
      </c>
      <c r="J658" s="64"/>
      <c r="K658" s="64"/>
      <c r="L658" s="64"/>
      <c r="M658" s="64"/>
      <c r="N658" s="64"/>
      <c r="O658" s="64" t="s">
        <v>1333</v>
      </c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</row>
    <row r="659" ht="15.0" customHeight="1">
      <c r="A659" s="64"/>
      <c r="B659" s="64"/>
      <c r="C659" s="64"/>
      <c r="D659" s="64"/>
      <c r="E659" s="64"/>
      <c r="F659" s="64"/>
      <c r="G659" s="64"/>
      <c r="H659" s="64"/>
      <c r="I659" s="27" t="str">
        <f>IFERROR(__xludf.DUMMYFUNCTION("IF(A659="""","""",
TEXTJOIN(""-"",TRUE,
IFERROR(
  INDEX(FILTER(CFG_CODES!C:C, CFG_CODES!A:A=""CATEGORY"", UPPER(CFG_CODES!B:B)=UPPER(B659))),
  LEFT(UPPER(B659),3)
),
IFERROR(
  INDEX(FILTER(CFG_CODES!C:C, CFG_CODES!A:A=""MATERIAL"", UPPER(CFG_CODES!B:B)"&amp;"=UPPER(C659))),
  LEFT(UPPER(C659),3)
),
TEXT(ROW()-1,""000"")
))"),"")</f>
        <v/>
      </c>
      <c r="J659" s="64"/>
      <c r="K659" s="64"/>
      <c r="L659" s="64"/>
      <c r="M659" s="64"/>
      <c r="N659" s="64"/>
      <c r="O659" s="64" t="s">
        <v>1333</v>
      </c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</row>
    <row r="660" ht="15.0" customHeight="1">
      <c r="A660" s="64"/>
      <c r="B660" s="64"/>
      <c r="C660" s="64"/>
      <c r="D660" s="64"/>
      <c r="E660" s="64"/>
      <c r="F660" s="64"/>
      <c r="G660" s="64"/>
      <c r="H660" s="64"/>
      <c r="I660" s="27" t="str">
        <f>IFERROR(__xludf.DUMMYFUNCTION("IF(A660="""","""",
TEXTJOIN(""-"",TRUE,
IFERROR(
  INDEX(FILTER(CFG_CODES!C:C, CFG_CODES!A:A=""CATEGORY"", UPPER(CFG_CODES!B:B)=UPPER(B660))),
  LEFT(UPPER(B660),3)
),
IFERROR(
  INDEX(FILTER(CFG_CODES!C:C, CFG_CODES!A:A=""MATERIAL"", UPPER(CFG_CODES!B:B)"&amp;"=UPPER(C660))),
  LEFT(UPPER(C660),3)
),
TEXT(ROW()-1,""000"")
))"),"")</f>
        <v/>
      </c>
      <c r="J660" s="64"/>
      <c r="K660" s="64"/>
      <c r="L660" s="64"/>
      <c r="M660" s="64"/>
      <c r="N660" s="64"/>
      <c r="O660" s="64" t="s">
        <v>1333</v>
      </c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</row>
    <row r="661" ht="15.0" customHeight="1">
      <c r="A661" s="64"/>
      <c r="B661" s="64"/>
      <c r="C661" s="64"/>
      <c r="D661" s="64"/>
      <c r="E661" s="64"/>
      <c r="F661" s="64"/>
      <c r="G661" s="64"/>
      <c r="H661" s="64"/>
      <c r="I661" s="27" t="str">
        <f>IFERROR(__xludf.DUMMYFUNCTION("IF(A661="""","""",
TEXTJOIN(""-"",TRUE,
IFERROR(
  INDEX(FILTER(CFG_CODES!C:C, CFG_CODES!A:A=""CATEGORY"", UPPER(CFG_CODES!B:B)=UPPER(B661))),
  LEFT(UPPER(B661),3)
),
IFERROR(
  INDEX(FILTER(CFG_CODES!C:C, CFG_CODES!A:A=""MATERIAL"", UPPER(CFG_CODES!B:B)"&amp;"=UPPER(C661))),
  LEFT(UPPER(C661),3)
),
TEXT(ROW()-1,""000"")
))"),"")</f>
        <v/>
      </c>
      <c r="J661" s="64"/>
      <c r="K661" s="64"/>
      <c r="L661" s="64"/>
      <c r="M661" s="64"/>
      <c r="N661" s="64"/>
      <c r="O661" s="64" t="s">
        <v>1333</v>
      </c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</row>
    <row r="662" ht="15.0" customHeight="1">
      <c r="A662" s="64"/>
      <c r="B662" s="64"/>
      <c r="C662" s="64"/>
      <c r="D662" s="64"/>
      <c r="E662" s="64"/>
      <c r="F662" s="64"/>
      <c r="G662" s="64"/>
      <c r="H662" s="64"/>
      <c r="I662" s="27" t="str">
        <f>IFERROR(__xludf.DUMMYFUNCTION("IF(A662="""","""",
TEXTJOIN(""-"",TRUE,
IFERROR(
  INDEX(FILTER(CFG_CODES!C:C, CFG_CODES!A:A=""CATEGORY"", UPPER(CFG_CODES!B:B)=UPPER(B662))),
  LEFT(UPPER(B662),3)
),
IFERROR(
  INDEX(FILTER(CFG_CODES!C:C, CFG_CODES!A:A=""MATERIAL"", UPPER(CFG_CODES!B:B)"&amp;"=UPPER(C662))),
  LEFT(UPPER(C662),3)
),
TEXT(ROW()-1,""000"")
))"),"")</f>
        <v/>
      </c>
      <c r="J662" s="64"/>
      <c r="K662" s="64"/>
      <c r="L662" s="64"/>
      <c r="M662" s="64"/>
      <c r="N662" s="64"/>
      <c r="O662" s="64" t="s">
        <v>1333</v>
      </c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</row>
    <row r="663" ht="15.0" customHeight="1">
      <c r="A663" s="64"/>
      <c r="B663" s="64"/>
      <c r="C663" s="64"/>
      <c r="D663" s="64"/>
      <c r="E663" s="64"/>
      <c r="F663" s="64"/>
      <c r="G663" s="64"/>
      <c r="H663" s="64"/>
      <c r="I663" s="27" t="str">
        <f>IFERROR(__xludf.DUMMYFUNCTION("IF(A663="""","""",
TEXTJOIN(""-"",TRUE,
IFERROR(
  INDEX(FILTER(CFG_CODES!C:C, CFG_CODES!A:A=""CATEGORY"", UPPER(CFG_CODES!B:B)=UPPER(B663))),
  LEFT(UPPER(B663),3)
),
IFERROR(
  INDEX(FILTER(CFG_CODES!C:C, CFG_CODES!A:A=""MATERIAL"", UPPER(CFG_CODES!B:B)"&amp;"=UPPER(C663))),
  LEFT(UPPER(C663),3)
),
TEXT(ROW()-1,""000"")
))"),"")</f>
        <v/>
      </c>
      <c r="J663" s="64"/>
      <c r="K663" s="64"/>
      <c r="L663" s="64"/>
      <c r="M663" s="64"/>
      <c r="N663" s="64"/>
      <c r="O663" s="64" t="s">
        <v>1333</v>
      </c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</row>
    <row r="664" ht="15.0" customHeight="1">
      <c r="A664" s="64"/>
      <c r="B664" s="64"/>
      <c r="C664" s="64"/>
      <c r="D664" s="64"/>
      <c r="E664" s="64"/>
      <c r="F664" s="64"/>
      <c r="G664" s="64"/>
      <c r="H664" s="64"/>
      <c r="I664" s="27" t="str">
        <f>IFERROR(__xludf.DUMMYFUNCTION("IF(A664="""","""",
TEXTJOIN(""-"",TRUE,
IFERROR(
  INDEX(FILTER(CFG_CODES!C:C, CFG_CODES!A:A=""CATEGORY"", UPPER(CFG_CODES!B:B)=UPPER(B664))),
  LEFT(UPPER(B664),3)
),
IFERROR(
  INDEX(FILTER(CFG_CODES!C:C, CFG_CODES!A:A=""MATERIAL"", UPPER(CFG_CODES!B:B)"&amp;"=UPPER(C664))),
  LEFT(UPPER(C664),3)
),
TEXT(ROW()-1,""000"")
))"),"")</f>
        <v/>
      </c>
      <c r="J664" s="64"/>
      <c r="K664" s="64"/>
      <c r="L664" s="64"/>
      <c r="M664" s="64"/>
      <c r="N664" s="64"/>
      <c r="O664" s="64" t="s">
        <v>1333</v>
      </c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</row>
    <row r="665" ht="15.0" customHeight="1">
      <c r="A665" s="64"/>
      <c r="B665" s="64"/>
      <c r="C665" s="64"/>
      <c r="D665" s="64"/>
      <c r="E665" s="64"/>
      <c r="F665" s="64"/>
      <c r="G665" s="64"/>
      <c r="H665" s="64"/>
      <c r="I665" s="27" t="str">
        <f>IFERROR(__xludf.DUMMYFUNCTION("IF(A665="""","""",
TEXTJOIN(""-"",TRUE,
IFERROR(
  INDEX(FILTER(CFG_CODES!C:C, CFG_CODES!A:A=""CATEGORY"", UPPER(CFG_CODES!B:B)=UPPER(B665))),
  LEFT(UPPER(B665),3)
),
IFERROR(
  INDEX(FILTER(CFG_CODES!C:C, CFG_CODES!A:A=""MATERIAL"", UPPER(CFG_CODES!B:B)"&amp;"=UPPER(C665))),
  LEFT(UPPER(C665),3)
),
TEXT(ROW()-1,""000"")
))"),"")</f>
        <v/>
      </c>
      <c r="J665" s="64"/>
      <c r="K665" s="64"/>
      <c r="L665" s="64"/>
      <c r="M665" s="64"/>
      <c r="N665" s="64"/>
      <c r="O665" s="64" t="s">
        <v>1333</v>
      </c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</row>
    <row r="666" ht="15.0" customHeight="1">
      <c r="A666" s="64"/>
      <c r="B666" s="64"/>
      <c r="C666" s="64"/>
      <c r="D666" s="64"/>
      <c r="E666" s="64"/>
      <c r="F666" s="64"/>
      <c r="G666" s="64"/>
      <c r="H666" s="64"/>
      <c r="I666" s="27" t="str">
        <f>IFERROR(__xludf.DUMMYFUNCTION("IF(A666="""","""",
TEXTJOIN(""-"",TRUE,
IFERROR(
  INDEX(FILTER(CFG_CODES!C:C, CFG_CODES!A:A=""CATEGORY"", UPPER(CFG_CODES!B:B)=UPPER(B666))),
  LEFT(UPPER(B666),3)
),
IFERROR(
  INDEX(FILTER(CFG_CODES!C:C, CFG_CODES!A:A=""MATERIAL"", UPPER(CFG_CODES!B:B)"&amp;"=UPPER(C666))),
  LEFT(UPPER(C666),3)
),
TEXT(ROW()-1,""000"")
))"),"")</f>
        <v/>
      </c>
      <c r="J666" s="64"/>
      <c r="K666" s="64"/>
      <c r="L666" s="64"/>
      <c r="M666" s="64"/>
      <c r="N666" s="64"/>
      <c r="O666" s="64" t="s">
        <v>1333</v>
      </c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</row>
    <row r="667" ht="15.0" customHeight="1">
      <c r="A667" s="64"/>
      <c r="B667" s="64"/>
      <c r="C667" s="64"/>
      <c r="D667" s="64"/>
      <c r="E667" s="64"/>
      <c r="F667" s="64"/>
      <c r="G667" s="64"/>
      <c r="H667" s="64"/>
      <c r="I667" s="27" t="str">
        <f>IFERROR(__xludf.DUMMYFUNCTION("IF(A667="""","""",
TEXTJOIN(""-"",TRUE,
IFERROR(
  INDEX(FILTER(CFG_CODES!C:C, CFG_CODES!A:A=""CATEGORY"", UPPER(CFG_CODES!B:B)=UPPER(B667))),
  LEFT(UPPER(B667),3)
),
IFERROR(
  INDEX(FILTER(CFG_CODES!C:C, CFG_CODES!A:A=""MATERIAL"", UPPER(CFG_CODES!B:B)"&amp;"=UPPER(C667))),
  LEFT(UPPER(C667),3)
),
TEXT(ROW()-1,""000"")
))"),"")</f>
        <v/>
      </c>
      <c r="J667" s="64"/>
      <c r="K667" s="64"/>
      <c r="L667" s="64"/>
      <c r="M667" s="64"/>
      <c r="N667" s="64"/>
      <c r="O667" s="64" t="s">
        <v>1333</v>
      </c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</row>
    <row r="668" ht="15.0" customHeight="1">
      <c r="A668" s="64"/>
      <c r="B668" s="64"/>
      <c r="C668" s="64"/>
      <c r="D668" s="64"/>
      <c r="E668" s="64"/>
      <c r="F668" s="64"/>
      <c r="G668" s="64"/>
      <c r="H668" s="64"/>
      <c r="I668" s="27" t="str">
        <f>IFERROR(__xludf.DUMMYFUNCTION("IF(A668="""","""",
TEXTJOIN(""-"",TRUE,
IFERROR(
  INDEX(FILTER(CFG_CODES!C:C, CFG_CODES!A:A=""CATEGORY"", UPPER(CFG_CODES!B:B)=UPPER(B668))),
  LEFT(UPPER(B668),3)
),
IFERROR(
  INDEX(FILTER(CFG_CODES!C:C, CFG_CODES!A:A=""MATERIAL"", UPPER(CFG_CODES!B:B)"&amp;"=UPPER(C668))),
  LEFT(UPPER(C668),3)
),
TEXT(ROW()-1,""000"")
))"),"")</f>
        <v/>
      </c>
      <c r="J668" s="64"/>
      <c r="K668" s="64"/>
      <c r="L668" s="64"/>
      <c r="M668" s="64"/>
      <c r="N668" s="64"/>
      <c r="O668" s="64" t="s">
        <v>1333</v>
      </c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</row>
    <row r="669" ht="15.0" customHeight="1">
      <c r="A669" s="64"/>
      <c r="B669" s="64"/>
      <c r="C669" s="64"/>
      <c r="D669" s="64"/>
      <c r="E669" s="64"/>
      <c r="F669" s="64"/>
      <c r="G669" s="64"/>
      <c r="H669" s="64"/>
      <c r="I669" s="27" t="str">
        <f>IFERROR(__xludf.DUMMYFUNCTION("IF(A669="""","""",
TEXTJOIN(""-"",TRUE,
IFERROR(
  INDEX(FILTER(CFG_CODES!C:C, CFG_CODES!A:A=""CATEGORY"", UPPER(CFG_CODES!B:B)=UPPER(B669))),
  LEFT(UPPER(B669),3)
),
IFERROR(
  INDEX(FILTER(CFG_CODES!C:C, CFG_CODES!A:A=""MATERIAL"", UPPER(CFG_CODES!B:B)"&amp;"=UPPER(C669))),
  LEFT(UPPER(C669),3)
),
TEXT(ROW()-1,""000"")
))"),"")</f>
        <v/>
      </c>
      <c r="J669" s="64"/>
      <c r="K669" s="64"/>
      <c r="L669" s="64"/>
      <c r="M669" s="64"/>
      <c r="N669" s="64"/>
      <c r="O669" s="64" t="s">
        <v>1333</v>
      </c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</row>
    <row r="670" ht="15.0" customHeight="1">
      <c r="A670" s="64"/>
      <c r="B670" s="64"/>
      <c r="C670" s="64"/>
      <c r="D670" s="64"/>
      <c r="E670" s="64"/>
      <c r="F670" s="64"/>
      <c r="G670" s="64"/>
      <c r="H670" s="64"/>
      <c r="I670" s="27" t="str">
        <f>IFERROR(__xludf.DUMMYFUNCTION("IF(A670="""","""",
TEXTJOIN(""-"",TRUE,
IFERROR(
  INDEX(FILTER(CFG_CODES!C:C, CFG_CODES!A:A=""CATEGORY"", UPPER(CFG_CODES!B:B)=UPPER(B670))),
  LEFT(UPPER(B670),3)
),
IFERROR(
  INDEX(FILTER(CFG_CODES!C:C, CFG_CODES!A:A=""MATERIAL"", UPPER(CFG_CODES!B:B)"&amp;"=UPPER(C670))),
  LEFT(UPPER(C670),3)
),
TEXT(ROW()-1,""000"")
))"),"")</f>
        <v/>
      </c>
      <c r="J670" s="64"/>
      <c r="K670" s="64"/>
      <c r="L670" s="64"/>
      <c r="M670" s="64"/>
      <c r="N670" s="64"/>
      <c r="O670" s="64" t="s">
        <v>1333</v>
      </c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</row>
    <row r="671" ht="15.0" customHeight="1">
      <c r="A671" s="64"/>
      <c r="B671" s="64"/>
      <c r="C671" s="64"/>
      <c r="D671" s="64"/>
      <c r="E671" s="64"/>
      <c r="F671" s="64"/>
      <c r="G671" s="64"/>
      <c r="H671" s="64"/>
      <c r="I671" s="27" t="str">
        <f>IFERROR(__xludf.DUMMYFUNCTION("IF(A671="""","""",
TEXTJOIN(""-"",TRUE,
IFERROR(
  INDEX(FILTER(CFG_CODES!C:C, CFG_CODES!A:A=""CATEGORY"", UPPER(CFG_CODES!B:B)=UPPER(B671))),
  LEFT(UPPER(B671),3)
),
IFERROR(
  INDEX(FILTER(CFG_CODES!C:C, CFG_CODES!A:A=""MATERIAL"", UPPER(CFG_CODES!B:B)"&amp;"=UPPER(C671))),
  LEFT(UPPER(C671),3)
),
TEXT(ROW()-1,""000"")
))"),"")</f>
        <v/>
      </c>
      <c r="J671" s="64"/>
      <c r="K671" s="64"/>
      <c r="L671" s="64"/>
      <c r="M671" s="64"/>
      <c r="N671" s="64"/>
      <c r="O671" s="64" t="s">
        <v>1333</v>
      </c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</row>
    <row r="672" ht="15.0" customHeight="1">
      <c r="A672" s="64"/>
      <c r="B672" s="64"/>
      <c r="C672" s="64"/>
      <c r="D672" s="64"/>
      <c r="E672" s="64"/>
      <c r="F672" s="64"/>
      <c r="G672" s="64"/>
      <c r="H672" s="64"/>
      <c r="I672" s="27" t="str">
        <f>IFERROR(__xludf.DUMMYFUNCTION("IF(A672="""","""",
TEXTJOIN(""-"",TRUE,
IFERROR(
  INDEX(FILTER(CFG_CODES!C:C, CFG_CODES!A:A=""CATEGORY"", UPPER(CFG_CODES!B:B)=UPPER(B672))),
  LEFT(UPPER(B672),3)
),
IFERROR(
  INDEX(FILTER(CFG_CODES!C:C, CFG_CODES!A:A=""MATERIAL"", UPPER(CFG_CODES!B:B)"&amp;"=UPPER(C672))),
  LEFT(UPPER(C672),3)
),
TEXT(ROW()-1,""000"")
))"),"")</f>
        <v/>
      </c>
      <c r="J672" s="64"/>
      <c r="K672" s="64"/>
      <c r="L672" s="64"/>
      <c r="M672" s="64"/>
      <c r="N672" s="64"/>
      <c r="O672" s="64" t="s">
        <v>1333</v>
      </c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</row>
    <row r="673" ht="15.0" customHeight="1">
      <c r="A673" s="64"/>
      <c r="B673" s="64"/>
      <c r="C673" s="64"/>
      <c r="D673" s="64"/>
      <c r="E673" s="64"/>
      <c r="F673" s="64"/>
      <c r="G673" s="64"/>
      <c r="H673" s="64"/>
      <c r="I673" s="27" t="str">
        <f>IFERROR(__xludf.DUMMYFUNCTION("IF(A673="""","""",
TEXTJOIN(""-"",TRUE,
IFERROR(
  INDEX(FILTER(CFG_CODES!C:C, CFG_CODES!A:A=""CATEGORY"", UPPER(CFG_CODES!B:B)=UPPER(B673))),
  LEFT(UPPER(B673),3)
),
IFERROR(
  INDEX(FILTER(CFG_CODES!C:C, CFG_CODES!A:A=""MATERIAL"", UPPER(CFG_CODES!B:B)"&amp;"=UPPER(C673))),
  LEFT(UPPER(C673),3)
),
TEXT(ROW()-1,""000"")
))"),"")</f>
        <v/>
      </c>
      <c r="J673" s="64"/>
      <c r="K673" s="64"/>
      <c r="L673" s="64"/>
      <c r="M673" s="64"/>
      <c r="N673" s="64"/>
      <c r="O673" s="64" t="s">
        <v>1333</v>
      </c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</row>
    <row r="674" ht="15.0" customHeight="1">
      <c r="A674" s="64"/>
      <c r="B674" s="64"/>
      <c r="C674" s="64"/>
      <c r="D674" s="64"/>
      <c r="E674" s="64"/>
      <c r="F674" s="64"/>
      <c r="G674" s="64"/>
      <c r="H674" s="64"/>
      <c r="I674" s="27" t="str">
        <f>IFERROR(__xludf.DUMMYFUNCTION("IF(A674="""","""",
TEXTJOIN(""-"",TRUE,
IFERROR(
  INDEX(FILTER(CFG_CODES!C:C, CFG_CODES!A:A=""CATEGORY"", UPPER(CFG_CODES!B:B)=UPPER(B674))),
  LEFT(UPPER(B674),3)
),
IFERROR(
  INDEX(FILTER(CFG_CODES!C:C, CFG_CODES!A:A=""MATERIAL"", UPPER(CFG_CODES!B:B)"&amp;"=UPPER(C674))),
  LEFT(UPPER(C674),3)
),
TEXT(ROW()-1,""000"")
))"),"")</f>
        <v/>
      </c>
      <c r="J674" s="64"/>
      <c r="K674" s="64"/>
      <c r="L674" s="64"/>
      <c r="M674" s="64"/>
      <c r="N674" s="64"/>
      <c r="O674" s="64" t="s">
        <v>1333</v>
      </c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</row>
    <row r="675" ht="15.0" customHeight="1">
      <c r="A675" s="64"/>
      <c r="B675" s="64"/>
      <c r="C675" s="64"/>
      <c r="D675" s="64"/>
      <c r="E675" s="64"/>
      <c r="F675" s="64"/>
      <c r="G675" s="64"/>
      <c r="H675" s="64"/>
      <c r="I675" s="27" t="str">
        <f>IFERROR(__xludf.DUMMYFUNCTION("IF(A675="""","""",
TEXTJOIN(""-"",TRUE,
IFERROR(
  INDEX(FILTER(CFG_CODES!C:C, CFG_CODES!A:A=""CATEGORY"", UPPER(CFG_CODES!B:B)=UPPER(B675))),
  LEFT(UPPER(B675),3)
),
IFERROR(
  INDEX(FILTER(CFG_CODES!C:C, CFG_CODES!A:A=""MATERIAL"", UPPER(CFG_CODES!B:B)"&amp;"=UPPER(C675))),
  LEFT(UPPER(C675),3)
),
TEXT(ROW()-1,""000"")
))"),"")</f>
        <v/>
      </c>
      <c r="J675" s="64"/>
      <c r="K675" s="64"/>
      <c r="L675" s="64"/>
      <c r="M675" s="64"/>
      <c r="N675" s="64"/>
      <c r="O675" s="64" t="s">
        <v>1333</v>
      </c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</row>
    <row r="676" ht="15.0" customHeight="1">
      <c r="A676" s="64"/>
      <c r="B676" s="64"/>
      <c r="C676" s="64"/>
      <c r="D676" s="64"/>
      <c r="E676" s="64"/>
      <c r="F676" s="64"/>
      <c r="G676" s="64"/>
      <c r="H676" s="64"/>
      <c r="I676" s="27" t="str">
        <f>IFERROR(__xludf.DUMMYFUNCTION("IF(A676="""","""",
TEXTJOIN(""-"",TRUE,
IFERROR(
  INDEX(FILTER(CFG_CODES!C:C, CFG_CODES!A:A=""CATEGORY"", UPPER(CFG_CODES!B:B)=UPPER(B676))),
  LEFT(UPPER(B676),3)
),
IFERROR(
  INDEX(FILTER(CFG_CODES!C:C, CFG_CODES!A:A=""MATERIAL"", UPPER(CFG_CODES!B:B)"&amp;"=UPPER(C676))),
  LEFT(UPPER(C676),3)
),
TEXT(ROW()-1,""000"")
))"),"")</f>
        <v/>
      </c>
      <c r="J676" s="64"/>
      <c r="K676" s="64"/>
      <c r="L676" s="64"/>
      <c r="M676" s="64"/>
      <c r="N676" s="64"/>
      <c r="O676" s="64" t="s">
        <v>1333</v>
      </c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</row>
    <row r="677" ht="15.0" customHeight="1">
      <c r="A677" s="64"/>
      <c r="B677" s="64"/>
      <c r="C677" s="64"/>
      <c r="D677" s="64"/>
      <c r="E677" s="64"/>
      <c r="F677" s="64"/>
      <c r="G677" s="64"/>
      <c r="H677" s="64"/>
      <c r="I677" s="27" t="str">
        <f>IFERROR(__xludf.DUMMYFUNCTION("IF(A677="""","""",
TEXTJOIN(""-"",TRUE,
IFERROR(
  INDEX(FILTER(CFG_CODES!C:C, CFG_CODES!A:A=""CATEGORY"", UPPER(CFG_CODES!B:B)=UPPER(B677))),
  LEFT(UPPER(B677),3)
),
IFERROR(
  INDEX(FILTER(CFG_CODES!C:C, CFG_CODES!A:A=""MATERIAL"", UPPER(CFG_CODES!B:B)"&amp;"=UPPER(C677))),
  LEFT(UPPER(C677),3)
),
TEXT(ROW()-1,""000"")
))"),"")</f>
        <v/>
      </c>
      <c r="J677" s="64"/>
      <c r="K677" s="64"/>
      <c r="L677" s="64"/>
      <c r="M677" s="64"/>
      <c r="N677" s="64"/>
      <c r="O677" s="64" t="s">
        <v>1333</v>
      </c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</row>
    <row r="678" ht="15.0" customHeight="1">
      <c r="A678" s="64"/>
      <c r="B678" s="64"/>
      <c r="C678" s="64"/>
      <c r="D678" s="64"/>
      <c r="E678" s="64"/>
      <c r="F678" s="64"/>
      <c r="G678" s="64"/>
      <c r="H678" s="64"/>
      <c r="I678" s="27" t="str">
        <f>IFERROR(__xludf.DUMMYFUNCTION("IF(A678="""","""",
TEXTJOIN(""-"",TRUE,
IFERROR(
  INDEX(FILTER(CFG_CODES!C:C, CFG_CODES!A:A=""CATEGORY"", UPPER(CFG_CODES!B:B)=UPPER(B678))),
  LEFT(UPPER(B678),3)
),
IFERROR(
  INDEX(FILTER(CFG_CODES!C:C, CFG_CODES!A:A=""MATERIAL"", UPPER(CFG_CODES!B:B)"&amp;"=UPPER(C678))),
  LEFT(UPPER(C678),3)
),
TEXT(ROW()-1,""000"")
))"),"")</f>
        <v/>
      </c>
      <c r="J678" s="64"/>
      <c r="K678" s="64"/>
      <c r="L678" s="64"/>
      <c r="M678" s="64"/>
      <c r="N678" s="64"/>
      <c r="O678" s="64" t="s">
        <v>1333</v>
      </c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</row>
    <row r="679" ht="15.0" customHeight="1">
      <c r="A679" s="64"/>
      <c r="B679" s="64"/>
      <c r="C679" s="64"/>
      <c r="D679" s="64"/>
      <c r="E679" s="64"/>
      <c r="F679" s="64"/>
      <c r="G679" s="64"/>
      <c r="H679" s="64"/>
      <c r="I679" s="27" t="str">
        <f>IFERROR(__xludf.DUMMYFUNCTION("IF(A679="""","""",
TEXTJOIN(""-"",TRUE,
IFERROR(
  INDEX(FILTER(CFG_CODES!C:C, CFG_CODES!A:A=""CATEGORY"", UPPER(CFG_CODES!B:B)=UPPER(B679))),
  LEFT(UPPER(B679),3)
),
IFERROR(
  INDEX(FILTER(CFG_CODES!C:C, CFG_CODES!A:A=""MATERIAL"", UPPER(CFG_CODES!B:B)"&amp;"=UPPER(C679))),
  LEFT(UPPER(C679),3)
),
TEXT(ROW()-1,""000"")
))"),"")</f>
        <v/>
      </c>
      <c r="J679" s="64"/>
      <c r="K679" s="64"/>
      <c r="L679" s="64"/>
      <c r="M679" s="64"/>
      <c r="N679" s="64"/>
      <c r="O679" s="64" t="s">
        <v>1333</v>
      </c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</row>
    <row r="680" ht="15.0" customHeight="1">
      <c r="A680" s="64"/>
      <c r="B680" s="64"/>
      <c r="C680" s="64"/>
      <c r="D680" s="64"/>
      <c r="E680" s="64"/>
      <c r="F680" s="64"/>
      <c r="G680" s="64"/>
      <c r="H680" s="64"/>
      <c r="I680" s="27" t="str">
        <f>IFERROR(__xludf.DUMMYFUNCTION("IF(A680="""","""",
TEXTJOIN(""-"",TRUE,
IFERROR(
  INDEX(FILTER(CFG_CODES!C:C, CFG_CODES!A:A=""CATEGORY"", UPPER(CFG_CODES!B:B)=UPPER(B680))),
  LEFT(UPPER(B680),3)
),
IFERROR(
  INDEX(FILTER(CFG_CODES!C:C, CFG_CODES!A:A=""MATERIAL"", UPPER(CFG_CODES!B:B)"&amp;"=UPPER(C680))),
  LEFT(UPPER(C680),3)
),
TEXT(ROW()-1,""000"")
))"),"")</f>
        <v/>
      </c>
      <c r="J680" s="64"/>
      <c r="K680" s="64"/>
      <c r="L680" s="64"/>
      <c r="M680" s="64"/>
      <c r="N680" s="64"/>
      <c r="O680" s="64" t="s">
        <v>1333</v>
      </c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</row>
    <row r="681" ht="15.0" customHeight="1">
      <c r="A681" s="64"/>
      <c r="B681" s="64"/>
      <c r="C681" s="64"/>
      <c r="D681" s="64"/>
      <c r="E681" s="64"/>
      <c r="F681" s="64"/>
      <c r="G681" s="64"/>
      <c r="H681" s="64"/>
      <c r="I681" s="27" t="str">
        <f>IFERROR(__xludf.DUMMYFUNCTION("IF(A681="""","""",
TEXTJOIN(""-"",TRUE,
IFERROR(
  INDEX(FILTER(CFG_CODES!C:C, CFG_CODES!A:A=""CATEGORY"", UPPER(CFG_CODES!B:B)=UPPER(B681))),
  LEFT(UPPER(B681),3)
),
IFERROR(
  INDEX(FILTER(CFG_CODES!C:C, CFG_CODES!A:A=""MATERIAL"", UPPER(CFG_CODES!B:B)"&amp;"=UPPER(C681))),
  LEFT(UPPER(C681),3)
),
TEXT(ROW()-1,""000"")
))"),"")</f>
        <v/>
      </c>
      <c r="J681" s="64"/>
      <c r="K681" s="64"/>
      <c r="L681" s="64"/>
      <c r="M681" s="64"/>
      <c r="N681" s="64"/>
      <c r="O681" s="64" t="s">
        <v>1333</v>
      </c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</row>
    <row r="682" ht="15.0" customHeight="1">
      <c r="A682" s="64"/>
      <c r="B682" s="64"/>
      <c r="C682" s="64"/>
      <c r="D682" s="64"/>
      <c r="E682" s="64"/>
      <c r="F682" s="64"/>
      <c r="G682" s="64"/>
      <c r="H682" s="64"/>
      <c r="I682" s="27" t="str">
        <f>IFERROR(__xludf.DUMMYFUNCTION("IF(A682="""","""",
TEXTJOIN(""-"",TRUE,
IFERROR(
  INDEX(FILTER(CFG_CODES!C:C, CFG_CODES!A:A=""CATEGORY"", UPPER(CFG_CODES!B:B)=UPPER(B682))),
  LEFT(UPPER(B682),3)
),
IFERROR(
  INDEX(FILTER(CFG_CODES!C:C, CFG_CODES!A:A=""MATERIAL"", UPPER(CFG_CODES!B:B)"&amp;"=UPPER(C682))),
  LEFT(UPPER(C682),3)
),
TEXT(ROW()-1,""000"")
))"),"")</f>
        <v/>
      </c>
      <c r="J682" s="64"/>
      <c r="K682" s="64"/>
      <c r="L682" s="64"/>
      <c r="M682" s="64"/>
      <c r="N682" s="64"/>
      <c r="O682" s="64" t="s">
        <v>1333</v>
      </c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</row>
    <row r="683" ht="15.0" customHeight="1">
      <c r="A683" s="64"/>
      <c r="B683" s="64"/>
      <c r="C683" s="64"/>
      <c r="D683" s="64"/>
      <c r="E683" s="64"/>
      <c r="F683" s="64"/>
      <c r="G683" s="64"/>
      <c r="H683" s="64"/>
      <c r="I683" s="27" t="str">
        <f>IFERROR(__xludf.DUMMYFUNCTION("IF(A683="""","""",
TEXTJOIN(""-"",TRUE,
IFERROR(
  INDEX(FILTER(CFG_CODES!C:C, CFG_CODES!A:A=""CATEGORY"", UPPER(CFG_CODES!B:B)=UPPER(B683))),
  LEFT(UPPER(B683),3)
),
IFERROR(
  INDEX(FILTER(CFG_CODES!C:C, CFG_CODES!A:A=""MATERIAL"", UPPER(CFG_CODES!B:B)"&amp;"=UPPER(C683))),
  LEFT(UPPER(C683),3)
),
TEXT(ROW()-1,""000"")
))"),"")</f>
        <v/>
      </c>
      <c r="J683" s="64"/>
      <c r="K683" s="64"/>
      <c r="L683" s="64"/>
      <c r="M683" s="64"/>
      <c r="N683" s="64"/>
      <c r="O683" s="64" t="s">
        <v>1333</v>
      </c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</row>
    <row r="684" ht="15.0" customHeight="1">
      <c r="A684" s="64"/>
      <c r="B684" s="64"/>
      <c r="C684" s="64"/>
      <c r="D684" s="64"/>
      <c r="E684" s="64"/>
      <c r="F684" s="64"/>
      <c r="G684" s="64"/>
      <c r="H684" s="64"/>
      <c r="I684" s="27" t="str">
        <f>IFERROR(__xludf.DUMMYFUNCTION("IF(A684="""","""",
TEXTJOIN(""-"",TRUE,
IFERROR(
  INDEX(FILTER(CFG_CODES!C:C, CFG_CODES!A:A=""CATEGORY"", UPPER(CFG_CODES!B:B)=UPPER(B684))),
  LEFT(UPPER(B684),3)
),
IFERROR(
  INDEX(FILTER(CFG_CODES!C:C, CFG_CODES!A:A=""MATERIAL"", UPPER(CFG_CODES!B:B)"&amp;"=UPPER(C684))),
  LEFT(UPPER(C684),3)
),
TEXT(ROW()-1,""000"")
))"),"")</f>
        <v/>
      </c>
      <c r="J684" s="64"/>
      <c r="K684" s="64"/>
      <c r="L684" s="64"/>
      <c r="M684" s="64"/>
      <c r="N684" s="64"/>
      <c r="O684" s="64" t="s">
        <v>1333</v>
      </c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</row>
    <row r="685" ht="15.0" customHeight="1">
      <c r="A685" s="64"/>
      <c r="B685" s="64"/>
      <c r="C685" s="64"/>
      <c r="D685" s="64"/>
      <c r="E685" s="64"/>
      <c r="F685" s="64"/>
      <c r="G685" s="64"/>
      <c r="H685" s="64"/>
      <c r="I685" s="27" t="str">
        <f>IFERROR(__xludf.DUMMYFUNCTION("IF(A685="""","""",
TEXTJOIN(""-"",TRUE,
IFERROR(
  INDEX(FILTER(CFG_CODES!C:C, CFG_CODES!A:A=""CATEGORY"", UPPER(CFG_CODES!B:B)=UPPER(B685))),
  LEFT(UPPER(B685),3)
),
IFERROR(
  INDEX(FILTER(CFG_CODES!C:C, CFG_CODES!A:A=""MATERIAL"", UPPER(CFG_CODES!B:B)"&amp;"=UPPER(C685))),
  LEFT(UPPER(C685),3)
),
TEXT(ROW()-1,""000"")
))"),"")</f>
        <v/>
      </c>
      <c r="J685" s="64"/>
      <c r="K685" s="64"/>
      <c r="L685" s="64"/>
      <c r="M685" s="64"/>
      <c r="N685" s="64"/>
      <c r="O685" s="64" t="s">
        <v>1333</v>
      </c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</row>
    <row r="686" ht="15.0" customHeight="1">
      <c r="A686" s="64"/>
      <c r="B686" s="64"/>
      <c r="C686" s="64"/>
      <c r="D686" s="64"/>
      <c r="E686" s="64"/>
      <c r="F686" s="64"/>
      <c r="G686" s="64"/>
      <c r="H686" s="64"/>
      <c r="I686" s="27" t="str">
        <f>IFERROR(__xludf.DUMMYFUNCTION("IF(A686="""","""",
TEXTJOIN(""-"",TRUE,
IFERROR(
  INDEX(FILTER(CFG_CODES!C:C, CFG_CODES!A:A=""CATEGORY"", UPPER(CFG_CODES!B:B)=UPPER(B686))),
  LEFT(UPPER(B686),3)
),
IFERROR(
  INDEX(FILTER(CFG_CODES!C:C, CFG_CODES!A:A=""MATERIAL"", UPPER(CFG_CODES!B:B)"&amp;"=UPPER(C686))),
  LEFT(UPPER(C686),3)
),
TEXT(ROW()-1,""000"")
))"),"")</f>
        <v/>
      </c>
      <c r="J686" s="64"/>
      <c r="K686" s="64"/>
      <c r="L686" s="64"/>
      <c r="M686" s="64"/>
      <c r="N686" s="64"/>
      <c r="O686" s="64" t="s">
        <v>1333</v>
      </c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</row>
    <row r="687" ht="15.0" customHeight="1">
      <c r="A687" s="64"/>
      <c r="B687" s="64"/>
      <c r="C687" s="64"/>
      <c r="D687" s="64"/>
      <c r="E687" s="64"/>
      <c r="F687" s="64"/>
      <c r="G687" s="64"/>
      <c r="H687" s="64"/>
      <c r="I687" s="27" t="str">
        <f>IFERROR(__xludf.DUMMYFUNCTION("IF(A687="""","""",
TEXTJOIN(""-"",TRUE,
IFERROR(
  INDEX(FILTER(CFG_CODES!C:C, CFG_CODES!A:A=""CATEGORY"", UPPER(CFG_CODES!B:B)=UPPER(B687))),
  LEFT(UPPER(B687),3)
),
IFERROR(
  INDEX(FILTER(CFG_CODES!C:C, CFG_CODES!A:A=""MATERIAL"", UPPER(CFG_CODES!B:B)"&amp;"=UPPER(C687))),
  LEFT(UPPER(C687),3)
),
TEXT(ROW()-1,""000"")
))"),"")</f>
        <v/>
      </c>
      <c r="J687" s="64"/>
      <c r="K687" s="64"/>
      <c r="L687" s="64"/>
      <c r="M687" s="64"/>
      <c r="N687" s="64"/>
      <c r="O687" s="64" t="s">
        <v>1333</v>
      </c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</row>
    <row r="688" ht="15.0" customHeight="1">
      <c r="A688" s="64"/>
      <c r="B688" s="64"/>
      <c r="C688" s="64"/>
      <c r="D688" s="64"/>
      <c r="E688" s="64"/>
      <c r="F688" s="64"/>
      <c r="G688" s="64"/>
      <c r="H688" s="64"/>
      <c r="I688" s="27" t="str">
        <f>IFERROR(__xludf.DUMMYFUNCTION("IF(A688="""","""",
TEXTJOIN(""-"",TRUE,
IFERROR(
  INDEX(FILTER(CFG_CODES!C:C, CFG_CODES!A:A=""CATEGORY"", UPPER(CFG_CODES!B:B)=UPPER(B688))),
  LEFT(UPPER(B688),3)
),
IFERROR(
  INDEX(FILTER(CFG_CODES!C:C, CFG_CODES!A:A=""MATERIAL"", UPPER(CFG_CODES!B:B)"&amp;"=UPPER(C688))),
  LEFT(UPPER(C688),3)
),
TEXT(ROW()-1,""000"")
))"),"")</f>
        <v/>
      </c>
      <c r="J688" s="64"/>
      <c r="K688" s="64"/>
      <c r="L688" s="64"/>
      <c r="M688" s="64"/>
      <c r="N688" s="64"/>
      <c r="O688" s="64" t="s">
        <v>1333</v>
      </c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</row>
    <row r="689" ht="15.0" customHeight="1">
      <c r="A689" s="64"/>
      <c r="B689" s="64"/>
      <c r="C689" s="64"/>
      <c r="D689" s="64"/>
      <c r="E689" s="64"/>
      <c r="F689" s="64"/>
      <c r="G689" s="64"/>
      <c r="H689" s="64"/>
      <c r="I689" s="27" t="str">
        <f>IFERROR(__xludf.DUMMYFUNCTION("IF(A689="""","""",
TEXTJOIN(""-"",TRUE,
IFERROR(
  INDEX(FILTER(CFG_CODES!C:C, CFG_CODES!A:A=""CATEGORY"", UPPER(CFG_CODES!B:B)=UPPER(B689))),
  LEFT(UPPER(B689),3)
),
IFERROR(
  INDEX(FILTER(CFG_CODES!C:C, CFG_CODES!A:A=""MATERIAL"", UPPER(CFG_CODES!B:B)"&amp;"=UPPER(C689))),
  LEFT(UPPER(C689),3)
),
TEXT(ROW()-1,""000"")
))"),"")</f>
        <v/>
      </c>
      <c r="J689" s="64"/>
      <c r="K689" s="64"/>
      <c r="L689" s="64"/>
      <c r="M689" s="64"/>
      <c r="N689" s="64"/>
      <c r="O689" s="64" t="s">
        <v>1333</v>
      </c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</row>
    <row r="690" ht="15.0" customHeight="1">
      <c r="A690" s="64"/>
      <c r="B690" s="64"/>
      <c r="C690" s="64"/>
      <c r="D690" s="64"/>
      <c r="E690" s="64"/>
      <c r="F690" s="64"/>
      <c r="G690" s="64"/>
      <c r="H690" s="64"/>
      <c r="I690" s="27" t="str">
        <f>IFERROR(__xludf.DUMMYFUNCTION("IF(A690="""","""",
TEXTJOIN(""-"",TRUE,
IFERROR(
  INDEX(FILTER(CFG_CODES!C:C, CFG_CODES!A:A=""CATEGORY"", UPPER(CFG_CODES!B:B)=UPPER(B690))),
  LEFT(UPPER(B690),3)
),
IFERROR(
  INDEX(FILTER(CFG_CODES!C:C, CFG_CODES!A:A=""MATERIAL"", UPPER(CFG_CODES!B:B)"&amp;"=UPPER(C690))),
  LEFT(UPPER(C690),3)
),
TEXT(ROW()-1,""000"")
))"),"")</f>
        <v/>
      </c>
      <c r="J690" s="64"/>
      <c r="K690" s="64"/>
      <c r="L690" s="64"/>
      <c r="M690" s="64"/>
      <c r="N690" s="64"/>
      <c r="O690" s="64" t="s">
        <v>1333</v>
      </c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</row>
    <row r="691" ht="15.0" customHeight="1">
      <c r="A691" s="64"/>
      <c r="B691" s="64"/>
      <c r="C691" s="64"/>
      <c r="D691" s="64"/>
      <c r="E691" s="64"/>
      <c r="F691" s="64"/>
      <c r="G691" s="64"/>
      <c r="H691" s="64"/>
      <c r="I691" s="27" t="str">
        <f>IFERROR(__xludf.DUMMYFUNCTION("IF(A691="""","""",
TEXTJOIN(""-"",TRUE,
IFERROR(
  INDEX(FILTER(CFG_CODES!C:C, CFG_CODES!A:A=""CATEGORY"", UPPER(CFG_CODES!B:B)=UPPER(B691))),
  LEFT(UPPER(B691),3)
),
IFERROR(
  INDEX(FILTER(CFG_CODES!C:C, CFG_CODES!A:A=""MATERIAL"", UPPER(CFG_CODES!B:B)"&amp;"=UPPER(C691))),
  LEFT(UPPER(C691),3)
),
TEXT(ROW()-1,""000"")
))"),"")</f>
        <v/>
      </c>
      <c r="J691" s="64"/>
      <c r="K691" s="64"/>
      <c r="L691" s="64"/>
      <c r="M691" s="64"/>
      <c r="N691" s="64"/>
      <c r="O691" s="64" t="s">
        <v>1333</v>
      </c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</row>
    <row r="692" ht="15.0" customHeight="1">
      <c r="A692" s="64"/>
      <c r="B692" s="64"/>
      <c r="C692" s="64"/>
      <c r="D692" s="64"/>
      <c r="E692" s="64"/>
      <c r="F692" s="64"/>
      <c r="G692" s="64"/>
      <c r="H692" s="64"/>
      <c r="I692" s="27" t="str">
        <f>IFERROR(__xludf.DUMMYFUNCTION("IF(A692="""","""",
TEXTJOIN(""-"",TRUE,
IFERROR(
  INDEX(FILTER(CFG_CODES!C:C, CFG_CODES!A:A=""CATEGORY"", UPPER(CFG_CODES!B:B)=UPPER(B692))),
  LEFT(UPPER(B692),3)
),
IFERROR(
  INDEX(FILTER(CFG_CODES!C:C, CFG_CODES!A:A=""MATERIAL"", UPPER(CFG_CODES!B:B)"&amp;"=UPPER(C692))),
  LEFT(UPPER(C692),3)
),
TEXT(ROW()-1,""000"")
))"),"")</f>
        <v/>
      </c>
      <c r="J692" s="64"/>
      <c r="K692" s="64"/>
      <c r="L692" s="64"/>
      <c r="M692" s="64"/>
      <c r="N692" s="64"/>
      <c r="O692" s="64" t="s">
        <v>1333</v>
      </c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</row>
    <row r="693" ht="15.0" customHeight="1">
      <c r="A693" s="64"/>
      <c r="B693" s="64"/>
      <c r="C693" s="64"/>
      <c r="D693" s="64"/>
      <c r="E693" s="64"/>
      <c r="F693" s="64"/>
      <c r="G693" s="64"/>
      <c r="H693" s="64"/>
      <c r="I693" s="27" t="str">
        <f>IFERROR(__xludf.DUMMYFUNCTION("IF(A693="""","""",
TEXTJOIN(""-"",TRUE,
IFERROR(
  INDEX(FILTER(CFG_CODES!C:C, CFG_CODES!A:A=""CATEGORY"", UPPER(CFG_CODES!B:B)=UPPER(B693))),
  LEFT(UPPER(B693),3)
),
IFERROR(
  INDEX(FILTER(CFG_CODES!C:C, CFG_CODES!A:A=""MATERIAL"", UPPER(CFG_CODES!B:B)"&amp;"=UPPER(C693))),
  LEFT(UPPER(C693),3)
),
TEXT(ROW()-1,""000"")
))"),"")</f>
        <v/>
      </c>
      <c r="J693" s="64"/>
      <c r="K693" s="64"/>
      <c r="L693" s="64"/>
      <c r="M693" s="64"/>
      <c r="N693" s="64"/>
      <c r="O693" s="64" t="s">
        <v>1333</v>
      </c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</row>
    <row r="694" ht="15.0" customHeight="1">
      <c r="A694" s="64"/>
      <c r="B694" s="64"/>
      <c r="C694" s="64"/>
      <c r="D694" s="64"/>
      <c r="E694" s="64"/>
      <c r="F694" s="64"/>
      <c r="G694" s="64"/>
      <c r="H694" s="64"/>
      <c r="I694" s="27" t="str">
        <f>IFERROR(__xludf.DUMMYFUNCTION("IF(A694="""","""",
TEXTJOIN(""-"",TRUE,
IFERROR(
  INDEX(FILTER(CFG_CODES!C:C, CFG_CODES!A:A=""CATEGORY"", UPPER(CFG_CODES!B:B)=UPPER(B694))),
  LEFT(UPPER(B694),3)
),
IFERROR(
  INDEX(FILTER(CFG_CODES!C:C, CFG_CODES!A:A=""MATERIAL"", UPPER(CFG_CODES!B:B)"&amp;"=UPPER(C694))),
  LEFT(UPPER(C694),3)
),
TEXT(ROW()-1,""000"")
))"),"")</f>
        <v/>
      </c>
      <c r="J694" s="64"/>
      <c r="K694" s="64"/>
      <c r="L694" s="64"/>
      <c r="M694" s="64"/>
      <c r="N694" s="64"/>
      <c r="O694" s="64" t="s">
        <v>1333</v>
      </c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</row>
    <row r="695" ht="15.0" customHeight="1">
      <c r="A695" s="64"/>
      <c r="B695" s="64"/>
      <c r="C695" s="64"/>
      <c r="D695" s="64"/>
      <c r="E695" s="64"/>
      <c r="F695" s="64"/>
      <c r="G695" s="64"/>
      <c r="H695" s="64"/>
      <c r="I695" s="27" t="str">
        <f>IFERROR(__xludf.DUMMYFUNCTION("IF(A695="""","""",
TEXTJOIN(""-"",TRUE,
IFERROR(
  INDEX(FILTER(CFG_CODES!C:C, CFG_CODES!A:A=""CATEGORY"", UPPER(CFG_CODES!B:B)=UPPER(B695))),
  LEFT(UPPER(B695),3)
),
IFERROR(
  INDEX(FILTER(CFG_CODES!C:C, CFG_CODES!A:A=""MATERIAL"", UPPER(CFG_CODES!B:B)"&amp;"=UPPER(C695))),
  LEFT(UPPER(C695),3)
),
TEXT(ROW()-1,""000"")
))"),"")</f>
        <v/>
      </c>
      <c r="J695" s="64"/>
      <c r="K695" s="64"/>
      <c r="L695" s="64"/>
      <c r="M695" s="64"/>
      <c r="N695" s="64"/>
      <c r="O695" s="64" t="s">
        <v>1333</v>
      </c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</row>
    <row r="696" ht="15.0" customHeight="1">
      <c r="A696" s="64"/>
      <c r="B696" s="64"/>
      <c r="C696" s="64"/>
      <c r="D696" s="64"/>
      <c r="E696" s="64"/>
      <c r="F696" s="64"/>
      <c r="G696" s="64"/>
      <c r="H696" s="64"/>
      <c r="I696" s="27" t="str">
        <f>IFERROR(__xludf.DUMMYFUNCTION("IF(A696="""","""",
TEXTJOIN(""-"",TRUE,
IFERROR(
  INDEX(FILTER(CFG_CODES!C:C, CFG_CODES!A:A=""CATEGORY"", UPPER(CFG_CODES!B:B)=UPPER(B696))),
  LEFT(UPPER(B696),3)
),
IFERROR(
  INDEX(FILTER(CFG_CODES!C:C, CFG_CODES!A:A=""MATERIAL"", UPPER(CFG_CODES!B:B)"&amp;"=UPPER(C696))),
  LEFT(UPPER(C696),3)
),
TEXT(ROW()-1,""000"")
))"),"")</f>
        <v/>
      </c>
      <c r="J696" s="64"/>
      <c r="K696" s="64"/>
      <c r="L696" s="64"/>
      <c r="M696" s="64"/>
      <c r="N696" s="64"/>
      <c r="O696" s="64" t="s">
        <v>1333</v>
      </c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</row>
    <row r="697" ht="15.0" customHeight="1">
      <c r="A697" s="64"/>
      <c r="B697" s="64"/>
      <c r="C697" s="64"/>
      <c r="D697" s="64"/>
      <c r="E697" s="64"/>
      <c r="F697" s="64"/>
      <c r="G697" s="64"/>
      <c r="H697" s="64"/>
      <c r="I697" s="27" t="str">
        <f>IFERROR(__xludf.DUMMYFUNCTION("IF(A697="""","""",
TEXTJOIN(""-"",TRUE,
IFERROR(
  INDEX(FILTER(CFG_CODES!C:C, CFG_CODES!A:A=""CATEGORY"", UPPER(CFG_CODES!B:B)=UPPER(B697))),
  LEFT(UPPER(B697),3)
),
IFERROR(
  INDEX(FILTER(CFG_CODES!C:C, CFG_CODES!A:A=""MATERIAL"", UPPER(CFG_CODES!B:B)"&amp;"=UPPER(C697))),
  LEFT(UPPER(C697),3)
),
TEXT(ROW()-1,""000"")
))"),"")</f>
        <v/>
      </c>
      <c r="J697" s="64"/>
      <c r="K697" s="64"/>
      <c r="L697" s="64"/>
      <c r="M697" s="64"/>
      <c r="N697" s="64"/>
      <c r="O697" s="64" t="s">
        <v>1333</v>
      </c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</row>
    <row r="698" ht="15.0" customHeight="1">
      <c r="A698" s="64"/>
      <c r="B698" s="64"/>
      <c r="C698" s="64"/>
      <c r="D698" s="64"/>
      <c r="E698" s="64"/>
      <c r="F698" s="64"/>
      <c r="G698" s="64"/>
      <c r="H698" s="64"/>
      <c r="I698" s="27" t="str">
        <f>IFERROR(__xludf.DUMMYFUNCTION("IF(A698="""","""",
TEXTJOIN(""-"",TRUE,
IFERROR(
  INDEX(FILTER(CFG_CODES!C:C, CFG_CODES!A:A=""CATEGORY"", UPPER(CFG_CODES!B:B)=UPPER(B698))),
  LEFT(UPPER(B698),3)
),
IFERROR(
  INDEX(FILTER(CFG_CODES!C:C, CFG_CODES!A:A=""MATERIAL"", UPPER(CFG_CODES!B:B)"&amp;"=UPPER(C698))),
  LEFT(UPPER(C698),3)
),
TEXT(ROW()-1,""000"")
))"),"")</f>
        <v/>
      </c>
      <c r="J698" s="64"/>
      <c r="K698" s="64"/>
      <c r="L698" s="64"/>
      <c r="M698" s="64"/>
      <c r="N698" s="64"/>
      <c r="O698" s="64" t="s">
        <v>1333</v>
      </c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</row>
    <row r="699" ht="15.0" customHeight="1">
      <c r="A699" s="64"/>
      <c r="B699" s="64"/>
      <c r="C699" s="64"/>
      <c r="D699" s="64"/>
      <c r="E699" s="64"/>
      <c r="F699" s="64"/>
      <c r="G699" s="64"/>
      <c r="H699" s="64"/>
      <c r="I699" s="27" t="str">
        <f>IFERROR(__xludf.DUMMYFUNCTION("IF(A699="""","""",
TEXTJOIN(""-"",TRUE,
IFERROR(
  INDEX(FILTER(CFG_CODES!C:C, CFG_CODES!A:A=""CATEGORY"", UPPER(CFG_CODES!B:B)=UPPER(B699))),
  LEFT(UPPER(B699),3)
),
IFERROR(
  INDEX(FILTER(CFG_CODES!C:C, CFG_CODES!A:A=""MATERIAL"", UPPER(CFG_CODES!B:B)"&amp;"=UPPER(C699))),
  LEFT(UPPER(C699),3)
),
TEXT(ROW()-1,""000"")
))"),"")</f>
        <v/>
      </c>
      <c r="J699" s="64"/>
      <c r="K699" s="64"/>
      <c r="L699" s="64"/>
      <c r="M699" s="64"/>
      <c r="N699" s="64"/>
      <c r="O699" s="64" t="s">
        <v>1333</v>
      </c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</row>
    <row r="700" ht="15.0" customHeight="1">
      <c r="A700" s="64"/>
      <c r="B700" s="64"/>
      <c r="C700" s="64"/>
      <c r="D700" s="64"/>
      <c r="E700" s="64"/>
      <c r="F700" s="64"/>
      <c r="G700" s="64"/>
      <c r="H700" s="64"/>
      <c r="I700" s="27" t="str">
        <f>IFERROR(__xludf.DUMMYFUNCTION("IF(A700="""","""",
TEXTJOIN(""-"",TRUE,
IFERROR(
  INDEX(FILTER(CFG_CODES!C:C, CFG_CODES!A:A=""CATEGORY"", UPPER(CFG_CODES!B:B)=UPPER(B700))),
  LEFT(UPPER(B700),3)
),
IFERROR(
  INDEX(FILTER(CFG_CODES!C:C, CFG_CODES!A:A=""MATERIAL"", UPPER(CFG_CODES!B:B)"&amp;"=UPPER(C700))),
  LEFT(UPPER(C700),3)
),
TEXT(ROW()-1,""000"")
))"),"")</f>
        <v/>
      </c>
      <c r="J700" s="64"/>
      <c r="K700" s="64"/>
      <c r="L700" s="64"/>
      <c r="M700" s="64"/>
      <c r="N700" s="64"/>
      <c r="O700" s="64" t="s">
        <v>1333</v>
      </c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</row>
    <row r="701" ht="15.0" customHeight="1">
      <c r="A701" s="64"/>
      <c r="B701" s="64"/>
      <c r="C701" s="64"/>
      <c r="D701" s="64"/>
      <c r="E701" s="64"/>
      <c r="F701" s="64"/>
      <c r="G701" s="64"/>
      <c r="H701" s="64"/>
      <c r="I701" s="27" t="str">
        <f>IFERROR(__xludf.DUMMYFUNCTION("IF(A701="""","""",
TEXTJOIN(""-"",TRUE,
IFERROR(
  INDEX(FILTER(CFG_CODES!C:C, CFG_CODES!A:A=""CATEGORY"", UPPER(CFG_CODES!B:B)=UPPER(B701))),
  LEFT(UPPER(B701),3)
),
IFERROR(
  INDEX(FILTER(CFG_CODES!C:C, CFG_CODES!A:A=""MATERIAL"", UPPER(CFG_CODES!B:B)"&amp;"=UPPER(C701))),
  LEFT(UPPER(C701),3)
),
TEXT(ROW()-1,""000"")
))"),"")</f>
        <v/>
      </c>
      <c r="J701" s="64"/>
      <c r="K701" s="64"/>
      <c r="L701" s="64"/>
      <c r="M701" s="64"/>
      <c r="N701" s="64"/>
      <c r="O701" s="64" t="s">
        <v>1333</v>
      </c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</row>
    <row r="702" ht="15.0" customHeight="1">
      <c r="A702" s="64"/>
      <c r="B702" s="64"/>
      <c r="C702" s="64"/>
      <c r="D702" s="64"/>
      <c r="E702" s="64"/>
      <c r="F702" s="64"/>
      <c r="G702" s="64"/>
      <c r="H702" s="64"/>
      <c r="I702" s="27" t="str">
        <f>IFERROR(__xludf.DUMMYFUNCTION("IF(A702="""","""",
TEXTJOIN(""-"",TRUE,
IFERROR(
  INDEX(FILTER(CFG_CODES!C:C, CFG_CODES!A:A=""CATEGORY"", UPPER(CFG_CODES!B:B)=UPPER(B702))),
  LEFT(UPPER(B702),3)
),
IFERROR(
  INDEX(FILTER(CFG_CODES!C:C, CFG_CODES!A:A=""MATERIAL"", UPPER(CFG_CODES!B:B)"&amp;"=UPPER(C702))),
  LEFT(UPPER(C702),3)
),
TEXT(ROW()-1,""000"")
))"),"")</f>
        <v/>
      </c>
      <c r="J702" s="64"/>
      <c r="K702" s="64"/>
      <c r="L702" s="64"/>
      <c r="M702" s="64"/>
      <c r="N702" s="64"/>
      <c r="O702" s="64" t="s">
        <v>1333</v>
      </c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</row>
    <row r="703" ht="15.0" customHeight="1">
      <c r="A703" s="64"/>
      <c r="B703" s="64"/>
      <c r="C703" s="64"/>
      <c r="D703" s="64"/>
      <c r="E703" s="64"/>
      <c r="F703" s="64"/>
      <c r="G703" s="64"/>
      <c r="H703" s="64"/>
      <c r="I703" s="27" t="str">
        <f>IFERROR(__xludf.DUMMYFUNCTION("IF(A703="""","""",
TEXTJOIN(""-"",TRUE,
IFERROR(
  INDEX(FILTER(CFG_CODES!C:C, CFG_CODES!A:A=""CATEGORY"", UPPER(CFG_CODES!B:B)=UPPER(B703))),
  LEFT(UPPER(B703),3)
),
IFERROR(
  INDEX(FILTER(CFG_CODES!C:C, CFG_CODES!A:A=""MATERIAL"", UPPER(CFG_CODES!B:B)"&amp;"=UPPER(C703))),
  LEFT(UPPER(C703),3)
),
TEXT(ROW()-1,""000"")
))"),"")</f>
        <v/>
      </c>
      <c r="J703" s="64"/>
      <c r="K703" s="64"/>
      <c r="L703" s="64"/>
      <c r="M703" s="64"/>
      <c r="N703" s="64"/>
      <c r="O703" s="64" t="s">
        <v>1333</v>
      </c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</row>
    <row r="704" ht="15.0" customHeight="1">
      <c r="A704" s="64"/>
      <c r="B704" s="64"/>
      <c r="C704" s="64"/>
      <c r="D704" s="64"/>
      <c r="E704" s="64"/>
      <c r="F704" s="64"/>
      <c r="G704" s="64"/>
      <c r="H704" s="64"/>
      <c r="I704" s="27" t="str">
        <f>IFERROR(__xludf.DUMMYFUNCTION("IF(A704="""","""",
TEXTJOIN(""-"",TRUE,
IFERROR(
  INDEX(FILTER(CFG_CODES!C:C, CFG_CODES!A:A=""CATEGORY"", UPPER(CFG_CODES!B:B)=UPPER(B704))),
  LEFT(UPPER(B704),3)
),
IFERROR(
  INDEX(FILTER(CFG_CODES!C:C, CFG_CODES!A:A=""MATERIAL"", UPPER(CFG_CODES!B:B)"&amp;"=UPPER(C704))),
  LEFT(UPPER(C704),3)
),
TEXT(ROW()-1,""000"")
))"),"")</f>
        <v/>
      </c>
      <c r="J704" s="64"/>
      <c r="K704" s="64"/>
      <c r="L704" s="64"/>
      <c r="M704" s="64"/>
      <c r="N704" s="64"/>
      <c r="O704" s="64" t="s">
        <v>1333</v>
      </c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</row>
    <row r="705" ht="15.0" customHeight="1">
      <c r="A705" s="64"/>
      <c r="B705" s="64"/>
      <c r="C705" s="64"/>
      <c r="D705" s="64"/>
      <c r="E705" s="64"/>
      <c r="F705" s="64"/>
      <c r="G705" s="64"/>
      <c r="H705" s="64"/>
      <c r="I705" s="27" t="str">
        <f>IFERROR(__xludf.DUMMYFUNCTION("IF(A705="""","""",
TEXTJOIN(""-"",TRUE,
IFERROR(
  INDEX(FILTER(CFG_CODES!C:C, CFG_CODES!A:A=""CATEGORY"", UPPER(CFG_CODES!B:B)=UPPER(B705))),
  LEFT(UPPER(B705),3)
),
IFERROR(
  INDEX(FILTER(CFG_CODES!C:C, CFG_CODES!A:A=""MATERIAL"", UPPER(CFG_CODES!B:B)"&amp;"=UPPER(C705))),
  LEFT(UPPER(C705),3)
),
TEXT(ROW()-1,""000"")
))"),"")</f>
        <v/>
      </c>
      <c r="J705" s="64"/>
      <c r="K705" s="64"/>
      <c r="L705" s="64"/>
      <c r="M705" s="64"/>
      <c r="N705" s="64"/>
      <c r="O705" s="64" t="s">
        <v>1333</v>
      </c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</row>
    <row r="706" ht="15.0" customHeight="1">
      <c r="A706" s="64"/>
      <c r="B706" s="64"/>
      <c r="C706" s="64"/>
      <c r="D706" s="64"/>
      <c r="E706" s="64"/>
      <c r="F706" s="64"/>
      <c r="G706" s="64"/>
      <c r="H706" s="64"/>
      <c r="I706" s="27" t="str">
        <f>IFERROR(__xludf.DUMMYFUNCTION("IF(A706="""","""",
TEXTJOIN(""-"",TRUE,
IFERROR(
  INDEX(FILTER(CFG_CODES!C:C, CFG_CODES!A:A=""CATEGORY"", UPPER(CFG_CODES!B:B)=UPPER(B706))),
  LEFT(UPPER(B706),3)
),
IFERROR(
  INDEX(FILTER(CFG_CODES!C:C, CFG_CODES!A:A=""MATERIAL"", UPPER(CFG_CODES!B:B)"&amp;"=UPPER(C706))),
  LEFT(UPPER(C706),3)
),
TEXT(ROW()-1,""000"")
))"),"")</f>
        <v/>
      </c>
      <c r="J706" s="64"/>
      <c r="K706" s="64"/>
      <c r="L706" s="64"/>
      <c r="M706" s="64"/>
      <c r="N706" s="64"/>
      <c r="O706" s="64" t="s">
        <v>1333</v>
      </c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</row>
    <row r="707" ht="15.0" customHeight="1">
      <c r="A707" s="64"/>
      <c r="B707" s="64"/>
      <c r="C707" s="64"/>
      <c r="D707" s="64"/>
      <c r="E707" s="64"/>
      <c r="F707" s="64"/>
      <c r="G707" s="64"/>
      <c r="H707" s="64"/>
      <c r="I707" s="27" t="str">
        <f>IFERROR(__xludf.DUMMYFUNCTION("IF(A707="""","""",
TEXTJOIN(""-"",TRUE,
IFERROR(
  INDEX(FILTER(CFG_CODES!C:C, CFG_CODES!A:A=""CATEGORY"", UPPER(CFG_CODES!B:B)=UPPER(B707))),
  LEFT(UPPER(B707),3)
),
IFERROR(
  INDEX(FILTER(CFG_CODES!C:C, CFG_CODES!A:A=""MATERIAL"", UPPER(CFG_CODES!B:B)"&amp;"=UPPER(C707))),
  LEFT(UPPER(C707),3)
),
TEXT(ROW()-1,""000"")
))"),"")</f>
        <v/>
      </c>
      <c r="J707" s="64"/>
      <c r="K707" s="64"/>
      <c r="L707" s="64"/>
      <c r="M707" s="64"/>
      <c r="N707" s="64"/>
      <c r="O707" s="64" t="s">
        <v>1333</v>
      </c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</row>
    <row r="708" ht="15.0" customHeight="1">
      <c r="A708" s="64"/>
      <c r="B708" s="64"/>
      <c r="C708" s="64"/>
      <c r="D708" s="64"/>
      <c r="E708" s="64"/>
      <c r="F708" s="64"/>
      <c r="G708" s="64"/>
      <c r="H708" s="64"/>
      <c r="I708" s="27" t="str">
        <f>IFERROR(__xludf.DUMMYFUNCTION("IF(A708="""","""",
TEXTJOIN(""-"",TRUE,
IFERROR(
  INDEX(FILTER(CFG_CODES!C:C, CFG_CODES!A:A=""CATEGORY"", UPPER(CFG_CODES!B:B)=UPPER(B708))),
  LEFT(UPPER(B708),3)
),
IFERROR(
  INDEX(FILTER(CFG_CODES!C:C, CFG_CODES!A:A=""MATERIAL"", UPPER(CFG_CODES!B:B)"&amp;"=UPPER(C708))),
  LEFT(UPPER(C708),3)
),
TEXT(ROW()-1,""000"")
))"),"")</f>
        <v/>
      </c>
      <c r="J708" s="64"/>
      <c r="K708" s="64"/>
      <c r="L708" s="64"/>
      <c r="M708" s="64"/>
      <c r="N708" s="64"/>
      <c r="O708" s="64" t="s">
        <v>1333</v>
      </c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</row>
    <row r="709" ht="15.0" customHeight="1">
      <c r="A709" s="64"/>
      <c r="B709" s="64"/>
      <c r="C709" s="64"/>
      <c r="D709" s="64"/>
      <c r="E709" s="64"/>
      <c r="F709" s="64"/>
      <c r="G709" s="64"/>
      <c r="H709" s="64"/>
      <c r="I709" s="27" t="str">
        <f>IFERROR(__xludf.DUMMYFUNCTION("IF(A709="""","""",
TEXTJOIN(""-"",TRUE,
IFERROR(
  INDEX(FILTER(CFG_CODES!C:C, CFG_CODES!A:A=""CATEGORY"", UPPER(CFG_CODES!B:B)=UPPER(B709))),
  LEFT(UPPER(B709),3)
),
IFERROR(
  INDEX(FILTER(CFG_CODES!C:C, CFG_CODES!A:A=""MATERIAL"", UPPER(CFG_CODES!B:B)"&amp;"=UPPER(C709))),
  LEFT(UPPER(C709),3)
),
TEXT(ROW()-1,""000"")
))"),"")</f>
        <v/>
      </c>
      <c r="J709" s="64"/>
      <c r="K709" s="64"/>
      <c r="L709" s="64"/>
      <c r="M709" s="64"/>
      <c r="N709" s="64"/>
      <c r="O709" s="64" t="s">
        <v>1333</v>
      </c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</row>
    <row r="710" ht="15.0" customHeight="1">
      <c r="A710" s="64"/>
      <c r="B710" s="64"/>
      <c r="C710" s="64"/>
      <c r="D710" s="64"/>
      <c r="E710" s="64"/>
      <c r="F710" s="64"/>
      <c r="G710" s="64"/>
      <c r="H710" s="64"/>
      <c r="I710" s="27" t="str">
        <f>IFERROR(__xludf.DUMMYFUNCTION("IF(A710="""","""",
TEXTJOIN(""-"",TRUE,
IFERROR(
  INDEX(FILTER(CFG_CODES!C:C, CFG_CODES!A:A=""CATEGORY"", UPPER(CFG_CODES!B:B)=UPPER(B710))),
  LEFT(UPPER(B710),3)
),
IFERROR(
  INDEX(FILTER(CFG_CODES!C:C, CFG_CODES!A:A=""MATERIAL"", UPPER(CFG_CODES!B:B)"&amp;"=UPPER(C710))),
  LEFT(UPPER(C710),3)
),
TEXT(ROW()-1,""000"")
))"),"")</f>
        <v/>
      </c>
      <c r="J710" s="64"/>
      <c r="K710" s="64"/>
      <c r="L710" s="64"/>
      <c r="M710" s="64"/>
      <c r="N710" s="64"/>
      <c r="O710" s="64" t="s">
        <v>1333</v>
      </c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</row>
    <row r="711" ht="15.0" customHeight="1">
      <c r="A711" s="64"/>
      <c r="B711" s="64"/>
      <c r="C711" s="64"/>
      <c r="D711" s="64"/>
      <c r="E711" s="64"/>
      <c r="F711" s="64"/>
      <c r="G711" s="64"/>
      <c r="H711" s="64"/>
      <c r="I711" s="27" t="str">
        <f>IFERROR(__xludf.DUMMYFUNCTION("IF(A711="""","""",
TEXTJOIN(""-"",TRUE,
IFERROR(
  INDEX(FILTER(CFG_CODES!C:C, CFG_CODES!A:A=""CATEGORY"", UPPER(CFG_CODES!B:B)=UPPER(B711))),
  LEFT(UPPER(B711),3)
),
IFERROR(
  INDEX(FILTER(CFG_CODES!C:C, CFG_CODES!A:A=""MATERIAL"", UPPER(CFG_CODES!B:B)"&amp;"=UPPER(C711))),
  LEFT(UPPER(C711),3)
),
TEXT(ROW()-1,""000"")
))"),"")</f>
        <v/>
      </c>
      <c r="J711" s="64"/>
      <c r="K711" s="64"/>
      <c r="L711" s="64"/>
      <c r="M711" s="64"/>
      <c r="N711" s="64"/>
      <c r="O711" s="64" t="s">
        <v>1333</v>
      </c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</row>
    <row r="712" ht="15.0" customHeight="1">
      <c r="A712" s="64"/>
      <c r="B712" s="64"/>
      <c r="C712" s="64"/>
      <c r="D712" s="64"/>
      <c r="E712" s="64"/>
      <c r="F712" s="64"/>
      <c r="G712" s="64"/>
      <c r="H712" s="64"/>
      <c r="I712" s="27" t="str">
        <f>IFERROR(__xludf.DUMMYFUNCTION("IF(A712="""","""",
TEXTJOIN(""-"",TRUE,
IFERROR(
  INDEX(FILTER(CFG_CODES!C:C, CFG_CODES!A:A=""CATEGORY"", UPPER(CFG_CODES!B:B)=UPPER(B712))),
  LEFT(UPPER(B712),3)
),
IFERROR(
  INDEX(FILTER(CFG_CODES!C:C, CFG_CODES!A:A=""MATERIAL"", UPPER(CFG_CODES!B:B)"&amp;"=UPPER(C712))),
  LEFT(UPPER(C712),3)
),
TEXT(ROW()-1,""000"")
))"),"")</f>
        <v/>
      </c>
      <c r="J712" s="64"/>
      <c r="K712" s="64"/>
      <c r="L712" s="64"/>
      <c r="M712" s="64"/>
      <c r="N712" s="64"/>
      <c r="O712" s="64" t="s">
        <v>1333</v>
      </c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</row>
    <row r="713" ht="15.0" customHeight="1">
      <c r="A713" s="64"/>
      <c r="B713" s="64"/>
      <c r="C713" s="64"/>
      <c r="D713" s="64"/>
      <c r="E713" s="64"/>
      <c r="F713" s="64"/>
      <c r="G713" s="64"/>
      <c r="H713" s="64"/>
      <c r="I713" s="27" t="str">
        <f>IFERROR(__xludf.DUMMYFUNCTION("IF(A713="""","""",
TEXTJOIN(""-"",TRUE,
IFERROR(
  INDEX(FILTER(CFG_CODES!C:C, CFG_CODES!A:A=""CATEGORY"", UPPER(CFG_CODES!B:B)=UPPER(B713))),
  LEFT(UPPER(B713),3)
),
IFERROR(
  INDEX(FILTER(CFG_CODES!C:C, CFG_CODES!A:A=""MATERIAL"", UPPER(CFG_CODES!B:B)"&amp;"=UPPER(C713))),
  LEFT(UPPER(C713),3)
),
TEXT(ROW()-1,""000"")
))"),"")</f>
        <v/>
      </c>
      <c r="J713" s="64"/>
      <c r="K713" s="64"/>
      <c r="L713" s="64"/>
      <c r="M713" s="64"/>
      <c r="N713" s="64"/>
      <c r="O713" s="64" t="s">
        <v>1333</v>
      </c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</row>
    <row r="714" ht="15.0" customHeight="1">
      <c r="A714" s="64"/>
      <c r="B714" s="64"/>
      <c r="C714" s="64"/>
      <c r="D714" s="64"/>
      <c r="E714" s="64"/>
      <c r="F714" s="64"/>
      <c r="G714" s="64"/>
      <c r="H714" s="64"/>
      <c r="I714" s="27" t="str">
        <f>IFERROR(__xludf.DUMMYFUNCTION("IF(A714="""","""",
TEXTJOIN(""-"",TRUE,
IFERROR(
  INDEX(FILTER(CFG_CODES!C:C, CFG_CODES!A:A=""CATEGORY"", UPPER(CFG_CODES!B:B)=UPPER(B714))),
  LEFT(UPPER(B714),3)
),
IFERROR(
  INDEX(FILTER(CFG_CODES!C:C, CFG_CODES!A:A=""MATERIAL"", UPPER(CFG_CODES!B:B)"&amp;"=UPPER(C714))),
  LEFT(UPPER(C714),3)
),
TEXT(ROW()-1,""000"")
))"),"")</f>
        <v/>
      </c>
      <c r="J714" s="64"/>
      <c r="K714" s="64"/>
      <c r="L714" s="64"/>
      <c r="M714" s="64"/>
      <c r="N714" s="64"/>
      <c r="O714" s="64" t="s">
        <v>1333</v>
      </c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</row>
    <row r="715" ht="15.0" customHeight="1">
      <c r="A715" s="64"/>
      <c r="B715" s="64"/>
      <c r="C715" s="64"/>
      <c r="D715" s="64"/>
      <c r="E715" s="64"/>
      <c r="F715" s="64"/>
      <c r="G715" s="64"/>
      <c r="H715" s="64"/>
      <c r="I715" s="27" t="str">
        <f>IFERROR(__xludf.DUMMYFUNCTION("IF(A715="""","""",
TEXTJOIN(""-"",TRUE,
IFERROR(
  INDEX(FILTER(CFG_CODES!C:C, CFG_CODES!A:A=""CATEGORY"", UPPER(CFG_CODES!B:B)=UPPER(B715))),
  LEFT(UPPER(B715),3)
),
IFERROR(
  INDEX(FILTER(CFG_CODES!C:C, CFG_CODES!A:A=""MATERIAL"", UPPER(CFG_CODES!B:B)"&amp;"=UPPER(C715))),
  LEFT(UPPER(C715),3)
),
TEXT(ROW()-1,""000"")
))"),"")</f>
        <v/>
      </c>
      <c r="J715" s="64"/>
      <c r="K715" s="64"/>
      <c r="L715" s="64"/>
      <c r="M715" s="64"/>
      <c r="N715" s="64"/>
      <c r="O715" s="64" t="s">
        <v>1333</v>
      </c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</row>
    <row r="716" ht="15.0" customHeight="1">
      <c r="A716" s="64"/>
      <c r="B716" s="64"/>
      <c r="C716" s="64"/>
      <c r="D716" s="64"/>
      <c r="E716" s="64"/>
      <c r="F716" s="64"/>
      <c r="G716" s="64"/>
      <c r="H716" s="64"/>
      <c r="I716" s="27" t="str">
        <f>IFERROR(__xludf.DUMMYFUNCTION("IF(A716="""","""",
TEXTJOIN(""-"",TRUE,
IFERROR(
  INDEX(FILTER(CFG_CODES!C:C, CFG_CODES!A:A=""CATEGORY"", UPPER(CFG_CODES!B:B)=UPPER(B716))),
  LEFT(UPPER(B716),3)
),
IFERROR(
  INDEX(FILTER(CFG_CODES!C:C, CFG_CODES!A:A=""MATERIAL"", UPPER(CFG_CODES!B:B)"&amp;"=UPPER(C716))),
  LEFT(UPPER(C716),3)
),
TEXT(ROW()-1,""000"")
))"),"")</f>
        <v/>
      </c>
      <c r="J716" s="64"/>
      <c r="K716" s="64"/>
      <c r="L716" s="64"/>
      <c r="M716" s="64"/>
      <c r="N716" s="64"/>
      <c r="O716" s="64" t="s">
        <v>1333</v>
      </c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</row>
    <row r="717" ht="15.0" customHeight="1">
      <c r="A717" s="64"/>
      <c r="B717" s="64"/>
      <c r="C717" s="64"/>
      <c r="D717" s="64"/>
      <c r="E717" s="64"/>
      <c r="F717" s="64"/>
      <c r="G717" s="64"/>
      <c r="H717" s="64"/>
      <c r="I717" s="27" t="str">
        <f>IFERROR(__xludf.DUMMYFUNCTION("IF(A717="""","""",
TEXTJOIN(""-"",TRUE,
IFERROR(
  INDEX(FILTER(CFG_CODES!C:C, CFG_CODES!A:A=""CATEGORY"", UPPER(CFG_CODES!B:B)=UPPER(B717))),
  LEFT(UPPER(B717),3)
),
IFERROR(
  INDEX(FILTER(CFG_CODES!C:C, CFG_CODES!A:A=""MATERIAL"", UPPER(CFG_CODES!B:B)"&amp;"=UPPER(C717))),
  LEFT(UPPER(C717),3)
),
TEXT(ROW()-1,""000"")
))"),"")</f>
        <v/>
      </c>
      <c r="J717" s="64"/>
      <c r="K717" s="64"/>
      <c r="L717" s="64"/>
      <c r="M717" s="64"/>
      <c r="N717" s="64"/>
      <c r="O717" s="64" t="s">
        <v>1333</v>
      </c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</row>
    <row r="718" ht="15.0" customHeight="1">
      <c r="A718" s="64"/>
      <c r="B718" s="64"/>
      <c r="C718" s="64"/>
      <c r="D718" s="64"/>
      <c r="E718" s="64"/>
      <c r="F718" s="64"/>
      <c r="G718" s="64"/>
      <c r="H718" s="64"/>
      <c r="I718" s="27" t="str">
        <f>IFERROR(__xludf.DUMMYFUNCTION("IF(A718="""","""",
TEXTJOIN(""-"",TRUE,
IFERROR(
  INDEX(FILTER(CFG_CODES!C:C, CFG_CODES!A:A=""CATEGORY"", UPPER(CFG_CODES!B:B)=UPPER(B718))),
  LEFT(UPPER(B718),3)
),
IFERROR(
  INDEX(FILTER(CFG_CODES!C:C, CFG_CODES!A:A=""MATERIAL"", UPPER(CFG_CODES!B:B)"&amp;"=UPPER(C718))),
  LEFT(UPPER(C718),3)
),
TEXT(ROW()-1,""000"")
))"),"")</f>
        <v/>
      </c>
      <c r="J718" s="64"/>
      <c r="K718" s="64"/>
      <c r="L718" s="64"/>
      <c r="M718" s="64"/>
      <c r="N718" s="64"/>
      <c r="O718" s="64" t="s">
        <v>1333</v>
      </c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</row>
    <row r="719" ht="15.0" customHeight="1">
      <c r="A719" s="64"/>
      <c r="B719" s="64"/>
      <c r="C719" s="64"/>
      <c r="D719" s="64"/>
      <c r="E719" s="64"/>
      <c r="F719" s="64"/>
      <c r="G719" s="64"/>
      <c r="H719" s="64"/>
      <c r="I719" s="27" t="str">
        <f>IFERROR(__xludf.DUMMYFUNCTION("IF(A719="""","""",
TEXTJOIN(""-"",TRUE,
IFERROR(
  INDEX(FILTER(CFG_CODES!C:C, CFG_CODES!A:A=""CATEGORY"", UPPER(CFG_CODES!B:B)=UPPER(B719))),
  LEFT(UPPER(B719),3)
),
IFERROR(
  INDEX(FILTER(CFG_CODES!C:C, CFG_CODES!A:A=""MATERIAL"", UPPER(CFG_CODES!B:B)"&amp;"=UPPER(C719))),
  LEFT(UPPER(C719),3)
),
TEXT(ROW()-1,""000"")
))"),"")</f>
        <v/>
      </c>
      <c r="J719" s="64"/>
      <c r="K719" s="64"/>
      <c r="L719" s="64"/>
      <c r="M719" s="64"/>
      <c r="N719" s="64"/>
      <c r="O719" s="64" t="s">
        <v>1333</v>
      </c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</row>
    <row r="720" ht="15.0" customHeight="1">
      <c r="A720" s="64"/>
      <c r="B720" s="64"/>
      <c r="C720" s="64"/>
      <c r="D720" s="64"/>
      <c r="E720" s="64"/>
      <c r="F720" s="64"/>
      <c r="G720" s="64"/>
      <c r="H720" s="64"/>
      <c r="I720" s="27" t="str">
        <f>IFERROR(__xludf.DUMMYFUNCTION("IF(A720="""","""",
TEXTJOIN(""-"",TRUE,
IFERROR(
  INDEX(FILTER(CFG_CODES!C:C, CFG_CODES!A:A=""CATEGORY"", UPPER(CFG_CODES!B:B)=UPPER(B720))),
  LEFT(UPPER(B720),3)
),
IFERROR(
  INDEX(FILTER(CFG_CODES!C:C, CFG_CODES!A:A=""MATERIAL"", UPPER(CFG_CODES!B:B)"&amp;"=UPPER(C720))),
  LEFT(UPPER(C720),3)
),
TEXT(ROW()-1,""000"")
))"),"")</f>
        <v/>
      </c>
      <c r="J720" s="64"/>
      <c r="K720" s="64"/>
      <c r="L720" s="64"/>
      <c r="M720" s="64"/>
      <c r="N720" s="64"/>
      <c r="O720" s="64" t="s">
        <v>1333</v>
      </c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</row>
    <row r="721" ht="15.0" customHeight="1">
      <c r="A721" s="64"/>
      <c r="B721" s="64"/>
      <c r="C721" s="64"/>
      <c r="D721" s="64"/>
      <c r="E721" s="64"/>
      <c r="F721" s="64"/>
      <c r="G721" s="64"/>
      <c r="H721" s="64"/>
      <c r="I721" s="27" t="str">
        <f>IFERROR(__xludf.DUMMYFUNCTION("IF(A721="""","""",
TEXTJOIN(""-"",TRUE,
IFERROR(
  INDEX(FILTER(CFG_CODES!C:C, CFG_CODES!A:A=""CATEGORY"", UPPER(CFG_CODES!B:B)=UPPER(B721))),
  LEFT(UPPER(B721),3)
),
IFERROR(
  INDEX(FILTER(CFG_CODES!C:C, CFG_CODES!A:A=""MATERIAL"", UPPER(CFG_CODES!B:B)"&amp;"=UPPER(C721))),
  LEFT(UPPER(C721),3)
),
TEXT(ROW()-1,""000"")
))"),"")</f>
        <v/>
      </c>
      <c r="J721" s="64"/>
      <c r="K721" s="64"/>
      <c r="L721" s="64"/>
      <c r="M721" s="64"/>
      <c r="N721" s="64"/>
      <c r="O721" s="64" t="s">
        <v>1333</v>
      </c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</row>
    <row r="722" ht="15.0" customHeight="1">
      <c r="A722" s="64"/>
      <c r="B722" s="64"/>
      <c r="C722" s="64"/>
      <c r="D722" s="64"/>
      <c r="E722" s="64"/>
      <c r="F722" s="64"/>
      <c r="G722" s="64"/>
      <c r="H722" s="64"/>
      <c r="I722" s="27" t="str">
        <f>IFERROR(__xludf.DUMMYFUNCTION("IF(A722="""","""",
TEXTJOIN(""-"",TRUE,
IFERROR(
  INDEX(FILTER(CFG_CODES!C:C, CFG_CODES!A:A=""CATEGORY"", UPPER(CFG_CODES!B:B)=UPPER(B722))),
  LEFT(UPPER(B722),3)
),
IFERROR(
  INDEX(FILTER(CFG_CODES!C:C, CFG_CODES!A:A=""MATERIAL"", UPPER(CFG_CODES!B:B)"&amp;"=UPPER(C722))),
  LEFT(UPPER(C722),3)
),
TEXT(ROW()-1,""000"")
))"),"")</f>
        <v/>
      </c>
      <c r="J722" s="64"/>
      <c r="K722" s="64"/>
      <c r="L722" s="64"/>
      <c r="M722" s="64"/>
      <c r="N722" s="64"/>
      <c r="O722" s="64" t="s">
        <v>1333</v>
      </c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</row>
    <row r="723" ht="15.0" customHeight="1">
      <c r="A723" s="64"/>
      <c r="B723" s="64"/>
      <c r="C723" s="64"/>
      <c r="D723" s="64"/>
      <c r="E723" s="64"/>
      <c r="F723" s="64"/>
      <c r="G723" s="64"/>
      <c r="H723" s="64"/>
      <c r="I723" s="27" t="str">
        <f>IFERROR(__xludf.DUMMYFUNCTION("IF(A723="""","""",
TEXTJOIN(""-"",TRUE,
IFERROR(
  INDEX(FILTER(CFG_CODES!C:C, CFG_CODES!A:A=""CATEGORY"", UPPER(CFG_CODES!B:B)=UPPER(B723))),
  LEFT(UPPER(B723),3)
),
IFERROR(
  INDEX(FILTER(CFG_CODES!C:C, CFG_CODES!A:A=""MATERIAL"", UPPER(CFG_CODES!B:B)"&amp;"=UPPER(C723))),
  LEFT(UPPER(C723),3)
),
TEXT(ROW()-1,""000"")
))"),"")</f>
        <v/>
      </c>
      <c r="J723" s="64"/>
      <c r="K723" s="64"/>
      <c r="L723" s="64"/>
      <c r="M723" s="64"/>
      <c r="N723" s="64"/>
      <c r="O723" s="64" t="s">
        <v>1333</v>
      </c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</row>
    <row r="724" ht="15.0" customHeight="1">
      <c r="A724" s="64"/>
      <c r="B724" s="64"/>
      <c r="C724" s="64"/>
      <c r="D724" s="64"/>
      <c r="E724" s="64"/>
      <c r="F724" s="64"/>
      <c r="G724" s="64"/>
      <c r="H724" s="64"/>
      <c r="I724" s="27" t="str">
        <f>IFERROR(__xludf.DUMMYFUNCTION("IF(A724="""","""",
TEXTJOIN(""-"",TRUE,
IFERROR(
  INDEX(FILTER(CFG_CODES!C:C, CFG_CODES!A:A=""CATEGORY"", UPPER(CFG_CODES!B:B)=UPPER(B724))),
  LEFT(UPPER(B724),3)
),
IFERROR(
  INDEX(FILTER(CFG_CODES!C:C, CFG_CODES!A:A=""MATERIAL"", UPPER(CFG_CODES!B:B)"&amp;"=UPPER(C724))),
  LEFT(UPPER(C724),3)
),
TEXT(ROW()-1,""000"")
))"),"")</f>
        <v/>
      </c>
      <c r="J724" s="64"/>
      <c r="K724" s="64"/>
      <c r="L724" s="64"/>
      <c r="M724" s="64"/>
      <c r="N724" s="64"/>
      <c r="O724" s="64" t="s">
        <v>1333</v>
      </c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</row>
    <row r="725" ht="15.0" customHeight="1">
      <c r="A725" s="64"/>
      <c r="B725" s="64"/>
      <c r="C725" s="64"/>
      <c r="D725" s="64"/>
      <c r="E725" s="64"/>
      <c r="F725" s="64"/>
      <c r="G725" s="64"/>
      <c r="H725" s="64"/>
      <c r="I725" s="27" t="str">
        <f>IFERROR(__xludf.DUMMYFUNCTION("IF(A725="""","""",
TEXTJOIN(""-"",TRUE,
IFERROR(
  INDEX(FILTER(CFG_CODES!C:C, CFG_CODES!A:A=""CATEGORY"", UPPER(CFG_CODES!B:B)=UPPER(B725))),
  LEFT(UPPER(B725),3)
),
IFERROR(
  INDEX(FILTER(CFG_CODES!C:C, CFG_CODES!A:A=""MATERIAL"", UPPER(CFG_CODES!B:B)"&amp;"=UPPER(C725))),
  LEFT(UPPER(C725),3)
),
TEXT(ROW()-1,""000"")
))"),"")</f>
        <v/>
      </c>
      <c r="J725" s="64"/>
      <c r="K725" s="64"/>
      <c r="L725" s="64"/>
      <c r="M725" s="64"/>
      <c r="N725" s="64"/>
      <c r="O725" s="64" t="s">
        <v>1333</v>
      </c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</row>
    <row r="726" ht="15.0" customHeight="1">
      <c r="A726" s="64"/>
      <c r="B726" s="64"/>
      <c r="C726" s="64"/>
      <c r="D726" s="64"/>
      <c r="E726" s="64"/>
      <c r="F726" s="64"/>
      <c r="G726" s="64"/>
      <c r="H726" s="64"/>
      <c r="I726" s="27" t="str">
        <f>IFERROR(__xludf.DUMMYFUNCTION("IF(A726="""","""",
TEXTJOIN(""-"",TRUE,
IFERROR(
  INDEX(FILTER(CFG_CODES!C:C, CFG_CODES!A:A=""CATEGORY"", UPPER(CFG_CODES!B:B)=UPPER(B726))),
  LEFT(UPPER(B726),3)
),
IFERROR(
  INDEX(FILTER(CFG_CODES!C:C, CFG_CODES!A:A=""MATERIAL"", UPPER(CFG_CODES!B:B)"&amp;"=UPPER(C726))),
  LEFT(UPPER(C726),3)
),
TEXT(ROW()-1,""000"")
))"),"")</f>
        <v/>
      </c>
      <c r="J726" s="64"/>
      <c r="K726" s="64"/>
      <c r="L726" s="64"/>
      <c r="M726" s="64"/>
      <c r="N726" s="64"/>
      <c r="O726" s="64" t="s">
        <v>1333</v>
      </c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</row>
    <row r="727" ht="15.0" customHeight="1">
      <c r="A727" s="64"/>
      <c r="B727" s="64"/>
      <c r="C727" s="64"/>
      <c r="D727" s="64"/>
      <c r="E727" s="64"/>
      <c r="F727" s="64"/>
      <c r="G727" s="64"/>
      <c r="H727" s="64"/>
      <c r="I727" s="27" t="str">
        <f>IFERROR(__xludf.DUMMYFUNCTION("IF(A727="""","""",
TEXTJOIN(""-"",TRUE,
IFERROR(
  INDEX(FILTER(CFG_CODES!C:C, CFG_CODES!A:A=""CATEGORY"", UPPER(CFG_CODES!B:B)=UPPER(B727))),
  LEFT(UPPER(B727),3)
),
IFERROR(
  INDEX(FILTER(CFG_CODES!C:C, CFG_CODES!A:A=""MATERIAL"", UPPER(CFG_CODES!B:B)"&amp;"=UPPER(C727))),
  LEFT(UPPER(C727),3)
),
TEXT(ROW()-1,""000"")
))"),"")</f>
        <v/>
      </c>
      <c r="J727" s="64"/>
      <c r="K727" s="64"/>
      <c r="L727" s="64"/>
      <c r="M727" s="64"/>
      <c r="N727" s="64"/>
      <c r="O727" s="64" t="s">
        <v>1333</v>
      </c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</row>
    <row r="728" ht="15.0" customHeight="1">
      <c r="A728" s="64"/>
      <c r="B728" s="64"/>
      <c r="C728" s="64"/>
      <c r="D728" s="64"/>
      <c r="E728" s="64"/>
      <c r="F728" s="64"/>
      <c r="G728" s="64"/>
      <c r="H728" s="64"/>
      <c r="I728" s="27" t="str">
        <f>IFERROR(__xludf.DUMMYFUNCTION("IF(A728="""","""",
TEXTJOIN(""-"",TRUE,
IFERROR(
  INDEX(FILTER(CFG_CODES!C:C, CFG_CODES!A:A=""CATEGORY"", UPPER(CFG_CODES!B:B)=UPPER(B728))),
  LEFT(UPPER(B728),3)
),
IFERROR(
  INDEX(FILTER(CFG_CODES!C:C, CFG_CODES!A:A=""MATERIAL"", UPPER(CFG_CODES!B:B)"&amp;"=UPPER(C728))),
  LEFT(UPPER(C728),3)
),
TEXT(ROW()-1,""000"")
))"),"")</f>
        <v/>
      </c>
      <c r="J728" s="64"/>
      <c r="K728" s="64"/>
      <c r="L728" s="64"/>
      <c r="M728" s="64"/>
      <c r="N728" s="64"/>
      <c r="O728" s="64" t="s">
        <v>1333</v>
      </c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</row>
    <row r="729" ht="15.0" customHeight="1">
      <c r="A729" s="64"/>
      <c r="B729" s="64"/>
      <c r="C729" s="64"/>
      <c r="D729" s="64"/>
      <c r="E729" s="64"/>
      <c r="F729" s="64"/>
      <c r="G729" s="64"/>
      <c r="H729" s="64"/>
      <c r="I729" s="27" t="str">
        <f>IFERROR(__xludf.DUMMYFUNCTION("IF(A729="""","""",
TEXTJOIN(""-"",TRUE,
IFERROR(
  INDEX(FILTER(CFG_CODES!C:C, CFG_CODES!A:A=""CATEGORY"", UPPER(CFG_CODES!B:B)=UPPER(B729))),
  LEFT(UPPER(B729),3)
),
IFERROR(
  INDEX(FILTER(CFG_CODES!C:C, CFG_CODES!A:A=""MATERIAL"", UPPER(CFG_CODES!B:B)"&amp;"=UPPER(C729))),
  LEFT(UPPER(C729),3)
),
TEXT(ROW()-1,""000"")
))"),"")</f>
        <v/>
      </c>
      <c r="J729" s="64"/>
      <c r="K729" s="64"/>
      <c r="L729" s="64"/>
      <c r="M729" s="64"/>
      <c r="N729" s="64"/>
      <c r="O729" s="64" t="s">
        <v>1333</v>
      </c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</row>
    <row r="730" ht="15.0" customHeight="1">
      <c r="A730" s="64"/>
      <c r="B730" s="64"/>
      <c r="C730" s="64"/>
      <c r="D730" s="64"/>
      <c r="E730" s="64"/>
      <c r="F730" s="64"/>
      <c r="G730" s="64"/>
      <c r="H730" s="64"/>
      <c r="I730" s="27" t="str">
        <f>IFERROR(__xludf.DUMMYFUNCTION("IF(A730="""","""",
TEXTJOIN(""-"",TRUE,
IFERROR(
  INDEX(FILTER(CFG_CODES!C:C, CFG_CODES!A:A=""CATEGORY"", UPPER(CFG_CODES!B:B)=UPPER(B730))),
  LEFT(UPPER(B730),3)
),
IFERROR(
  INDEX(FILTER(CFG_CODES!C:C, CFG_CODES!A:A=""MATERIAL"", UPPER(CFG_CODES!B:B)"&amp;"=UPPER(C730))),
  LEFT(UPPER(C730),3)
),
TEXT(ROW()-1,""000"")
))"),"")</f>
        <v/>
      </c>
      <c r="J730" s="64"/>
      <c r="K730" s="64"/>
      <c r="L730" s="64"/>
      <c r="M730" s="64"/>
      <c r="N730" s="64"/>
      <c r="O730" s="64" t="s">
        <v>1333</v>
      </c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</row>
    <row r="731" ht="15.0" customHeight="1">
      <c r="A731" s="64"/>
      <c r="B731" s="64"/>
      <c r="C731" s="64"/>
      <c r="D731" s="64"/>
      <c r="E731" s="64"/>
      <c r="F731" s="64"/>
      <c r="G731" s="64"/>
      <c r="H731" s="64"/>
      <c r="I731" s="27" t="str">
        <f>IFERROR(__xludf.DUMMYFUNCTION("IF(A731="""","""",
TEXTJOIN(""-"",TRUE,
IFERROR(
  INDEX(FILTER(CFG_CODES!C:C, CFG_CODES!A:A=""CATEGORY"", UPPER(CFG_CODES!B:B)=UPPER(B731))),
  LEFT(UPPER(B731),3)
),
IFERROR(
  INDEX(FILTER(CFG_CODES!C:C, CFG_CODES!A:A=""MATERIAL"", UPPER(CFG_CODES!B:B)"&amp;"=UPPER(C731))),
  LEFT(UPPER(C731),3)
),
TEXT(ROW()-1,""000"")
))"),"")</f>
        <v/>
      </c>
      <c r="J731" s="64"/>
      <c r="K731" s="64"/>
      <c r="L731" s="64"/>
      <c r="M731" s="64"/>
      <c r="N731" s="64"/>
      <c r="O731" s="64" t="s">
        <v>1333</v>
      </c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</row>
    <row r="732" ht="15.0" customHeight="1">
      <c r="A732" s="64"/>
      <c r="B732" s="64"/>
      <c r="C732" s="64"/>
      <c r="D732" s="64"/>
      <c r="E732" s="64"/>
      <c r="F732" s="64"/>
      <c r="G732" s="64"/>
      <c r="H732" s="64"/>
      <c r="I732" s="27" t="str">
        <f>IFERROR(__xludf.DUMMYFUNCTION("IF(A732="""","""",
TEXTJOIN(""-"",TRUE,
IFERROR(
  INDEX(FILTER(CFG_CODES!C:C, CFG_CODES!A:A=""CATEGORY"", UPPER(CFG_CODES!B:B)=UPPER(B732))),
  LEFT(UPPER(B732),3)
),
IFERROR(
  INDEX(FILTER(CFG_CODES!C:C, CFG_CODES!A:A=""MATERIAL"", UPPER(CFG_CODES!B:B)"&amp;"=UPPER(C732))),
  LEFT(UPPER(C732),3)
),
TEXT(ROW()-1,""000"")
))"),"")</f>
        <v/>
      </c>
      <c r="J732" s="64"/>
      <c r="K732" s="64"/>
      <c r="L732" s="64"/>
      <c r="M732" s="64"/>
      <c r="N732" s="64"/>
      <c r="O732" s="64" t="s">
        <v>1333</v>
      </c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</row>
    <row r="733" ht="15.0" customHeight="1">
      <c r="A733" s="64"/>
      <c r="B733" s="64"/>
      <c r="C733" s="64"/>
      <c r="D733" s="64"/>
      <c r="E733" s="64"/>
      <c r="F733" s="64"/>
      <c r="G733" s="64"/>
      <c r="H733" s="64"/>
      <c r="I733" s="27" t="str">
        <f>IFERROR(__xludf.DUMMYFUNCTION("IF(A733="""","""",
TEXTJOIN(""-"",TRUE,
IFERROR(
  INDEX(FILTER(CFG_CODES!C:C, CFG_CODES!A:A=""CATEGORY"", UPPER(CFG_CODES!B:B)=UPPER(B733))),
  LEFT(UPPER(B733),3)
),
IFERROR(
  INDEX(FILTER(CFG_CODES!C:C, CFG_CODES!A:A=""MATERIAL"", UPPER(CFG_CODES!B:B)"&amp;"=UPPER(C733))),
  LEFT(UPPER(C733),3)
),
TEXT(ROW()-1,""000"")
))"),"")</f>
        <v/>
      </c>
      <c r="J733" s="64"/>
      <c r="K733" s="64"/>
      <c r="L733" s="64"/>
      <c r="M733" s="64"/>
      <c r="N733" s="64"/>
      <c r="O733" s="64" t="s">
        <v>1333</v>
      </c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</row>
    <row r="734" ht="15.0" customHeight="1">
      <c r="A734" s="64"/>
      <c r="B734" s="64"/>
      <c r="C734" s="64"/>
      <c r="D734" s="64"/>
      <c r="E734" s="64"/>
      <c r="F734" s="64"/>
      <c r="G734" s="64"/>
      <c r="H734" s="64"/>
      <c r="I734" s="27" t="str">
        <f>IFERROR(__xludf.DUMMYFUNCTION("IF(A734="""","""",
TEXTJOIN(""-"",TRUE,
IFERROR(
  INDEX(FILTER(CFG_CODES!C:C, CFG_CODES!A:A=""CATEGORY"", UPPER(CFG_CODES!B:B)=UPPER(B734))),
  LEFT(UPPER(B734),3)
),
IFERROR(
  INDEX(FILTER(CFG_CODES!C:C, CFG_CODES!A:A=""MATERIAL"", UPPER(CFG_CODES!B:B)"&amp;"=UPPER(C734))),
  LEFT(UPPER(C734),3)
),
TEXT(ROW()-1,""000"")
))"),"")</f>
        <v/>
      </c>
      <c r="J734" s="64"/>
      <c r="K734" s="64"/>
      <c r="L734" s="64"/>
      <c r="M734" s="64"/>
      <c r="N734" s="64"/>
      <c r="O734" s="64" t="s">
        <v>1333</v>
      </c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</row>
    <row r="735" ht="15.0" customHeight="1">
      <c r="A735" s="64"/>
      <c r="B735" s="64"/>
      <c r="C735" s="64"/>
      <c r="D735" s="64"/>
      <c r="E735" s="64"/>
      <c r="F735" s="64"/>
      <c r="G735" s="64"/>
      <c r="H735" s="64"/>
      <c r="I735" s="27" t="str">
        <f>IFERROR(__xludf.DUMMYFUNCTION("IF(A735="""","""",
TEXTJOIN(""-"",TRUE,
IFERROR(
  INDEX(FILTER(CFG_CODES!C:C, CFG_CODES!A:A=""CATEGORY"", UPPER(CFG_CODES!B:B)=UPPER(B735))),
  LEFT(UPPER(B735),3)
),
IFERROR(
  INDEX(FILTER(CFG_CODES!C:C, CFG_CODES!A:A=""MATERIAL"", UPPER(CFG_CODES!B:B)"&amp;"=UPPER(C735))),
  LEFT(UPPER(C735),3)
),
TEXT(ROW()-1,""000"")
))"),"")</f>
        <v/>
      </c>
      <c r="J735" s="64"/>
      <c r="K735" s="64"/>
      <c r="L735" s="64"/>
      <c r="M735" s="64"/>
      <c r="N735" s="64"/>
      <c r="O735" s="64" t="s">
        <v>1333</v>
      </c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</row>
    <row r="736" ht="15.0" customHeight="1">
      <c r="A736" s="64"/>
      <c r="B736" s="64"/>
      <c r="C736" s="64"/>
      <c r="D736" s="64"/>
      <c r="E736" s="64"/>
      <c r="F736" s="64"/>
      <c r="G736" s="64"/>
      <c r="H736" s="64"/>
      <c r="I736" s="27" t="str">
        <f>IFERROR(__xludf.DUMMYFUNCTION("IF(A736="""","""",
TEXTJOIN(""-"",TRUE,
IFERROR(
  INDEX(FILTER(CFG_CODES!C:C, CFG_CODES!A:A=""CATEGORY"", UPPER(CFG_CODES!B:B)=UPPER(B736))),
  LEFT(UPPER(B736),3)
),
IFERROR(
  INDEX(FILTER(CFG_CODES!C:C, CFG_CODES!A:A=""MATERIAL"", UPPER(CFG_CODES!B:B)"&amp;"=UPPER(C736))),
  LEFT(UPPER(C736),3)
),
TEXT(ROW()-1,""000"")
))"),"")</f>
        <v/>
      </c>
      <c r="J736" s="64"/>
      <c r="K736" s="64"/>
      <c r="L736" s="64"/>
      <c r="M736" s="64"/>
      <c r="N736" s="64"/>
      <c r="O736" s="64" t="s">
        <v>1333</v>
      </c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</row>
    <row r="737" ht="15.0" customHeight="1">
      <c r="A737" s="64"/>
      <c r="B737" s="64"/>
      <c r="C737" s="64"/>
      <c r="D737" s="64"/>
      <c r="E737" s="64"/>
      <c r="F737" s="64"/>
      <c r="G737" s="64"/>
      <c r="H737" s="64"/>
      <c r="I737" s="27" t="str">
        <f>IFERROR(__xludf.DUMMYFUNCTION("IF(A737="""","""",
TEXTJOIN(""-"",TRUE,
IFERROR(
  INDEX(FILTER(CFG_CODES!C:C, CFG_CODES!A:A=""CATEGORY"", UPPER(CFG_CODES!B:B)=UPPER(B737))),
  LEFT(UPPER(B737),3)
),
IFERROR(
  INDEX(FILTER(CFG_CODES!C:C, CFG_CODES!A:A=""MATERIAL"", UPPER(CFG_CODES!B:B)"&amp;"=UPPER(C737))),
  LEFT(UPPER(C737),3)
),
TEXT(ROW()-1,""000"")
))"),"")</f>
        <v/>
      </c>
      <c r="J737" s="64"/>
      <c r="K737" s="64"/>
      <c r="L737" s="64"/>
      <c r="M737" s="64"/>
      <c r="N737" s="64"/>
      <c r="O737" s="64" t="s">
        <v>1333</v>
      </c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</row>
    <row r="738" ht="15.0" customHeight="1">
      <c r="A738" s="64"/>
      <c r="B738" s="64"/>
      <c r="C738" s="64"/>
      <c r="D738" s="64"/>
      <c r="E738" s="64"/>
      <c r="F738" s="64"/>
      <c r="G738" s="64"/>
      <c r="H738" s="64"/>
      <c r="I738" s="27" t="str">
        <f>IFERROR(__xludf.DUMMYFUNCTION("IF(A738="""","""",
TEXTJOIN(""-"",TRUE,
IFERROR(
  INDEX(FILTER(CFG_CODES!C:C, CFG_CODES!A:A=""CATEGORY"", UPPER(CFG_CODES!B:B)=UPPER(B738))),
  LEFT(UPPER(B738),3)
),
IFERROR(
  INDEX(FILTER(CFG_CODES!C:C, CFG_CODES!A:A=""MATERIAL"", UPPER(CFG_CODES!B:B)"&amp;"=UPPER(C738))),
  LEFT(UPPER(C738),3)
),
TEXT(ROW()-1,""000"")
))"),"")</f>
        <v/>
      </c>
      <c r="J738" s="64"/>
      <c r="K738" s="64"/>
      <c r="L738" s="64"/>
      <c r="M738" s="64"/>
      <c r="N738" s="64"/>
      <c r="O738" s="64" t="s">
        <v>1333</v>
      </c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</row>
    <row r="739" ht="15.0" customHeight="1">
      <c r="A739" s="64"/>
      <c r="B739" s="64"/>
      <c r="C739" s="64"/>
      <c r="D739" s="64"/>
      <c r="E739" s="64"/>
      <c r="F739" s="64"/>
      <c r="G739" s="64"/>
      <c r="H739" s="64"/>
      <c r="I739" s="27" t="str">
        <f>IFERROR(__xludf.DUMMYFUNCTION("IF(A739="""","""",
TEXTJOIN(""-"",TRUE,
IFERROR(
  INDEX(FILTER(CFG_CODES!C:C, CFG_CODES!A:A=""CATEGORY"", UPPER(CFG_CODES!B:B)=UPPER(B739))),
  LEFT(UPPER(B739),3)
),
IFERROR(
  INDEX(FILTER(CFG_CODES!C:C, CFG_CODES!A:A=""MATERIAL"", UPPER(CFG_CODES!B:B)"&amp;"=UPPER(C739))),
  LEFT(UPPER(C739),3)
),
TEXT(ROW()-1,""000"")
))"),"")</f>
        <v/>
      </c>
      <c r="J739" s="64"/>
      <c r="K739" s="64"/>
      <c r="L739" s="64"/>
      <c r="M739" s="64"/>
      <c r="N739" s="64"/>
      <c r="O739" s="64" t="s">
        <v>1333</v>
      </c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</row>
    <row r="740" ht="15.0" customHeight="1">
      <c r="A740" s="64"/>
      <c r="B740" s="64"/>
      <c r="C740" s="64"/>
      <c r="D740" s="64"/>
      <c r="E740" s="64"/>
      <c r="F740" s="64"/>
      <c r="G740" s="64"/>
      <c r="H740" s="64"/>
      <c r="I740" s="27" t="str">
        <f>IFERROR(__xludf.DUMMYFUNCTION("IF(A740="""","""",
TEXTJOIN(""-"",TRUE,
IFERROR(
  INDEX(FILTER(CFG_CODES!C:C, CFG_CODES!A:A=""CATEGORY"", UPPER(CFG_CODES!B:B)=UPPER(B740))),
  LEFT(UPPER(B740),3)
),
IFERROR(
  INDEX(FILTER(CFG_CODES!C:C, CFG_CODES!A:A=""MATERIAL"", UPPER(CFG_CODES!B:B)"&amp;"=UPPER(C740))),
  LEFT(UPPER(C740),3)
),
TEXT(ROW()-1,""000"")
))"),"")</f>
        <v/>
      </c>
      <c r="J740" s="64"/>
      <c r="K740" s="64"/>
      <c r="L740" s="64"/>
      <c r="M740" s="64"/>
      <c r="N740" s="64"/>
      <c r="O740" s="64" t="s">
        <v>1333</v>
      </c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</row>
    <row r="741" ht="15.0" customHeight="1">
      <c r="A741" s="64"/>
      <c r="B741" s="64"/>
      <c r="C741" s="64"/>
      <c r="D741" s="64"/>
      <c r="E741" s="64"/>
      <c r="F741" s="64"/>
      <c r="G741" s="64"/>
      <c r="H741" s="64"/>
      <c r="I741" s="27" t="str">
        <f>IFERROR(__xludf.DUMMYFUNCTION("IF(A741="""","""",
TEXTJOIN(""-"",TRUE,
IFERROR(
  INDEX(FILTER(CFG_CODES!C:C, CFG_CODES!A:A=""CATEGORY"", UPPER(CFG_CODES!B:B)=UPPER(B741))),
  LEFT(UPPER(B741),3)
),
IFERROR(
  INDEX(FILTER(CFG_CODES!C:C, CFG_CODES!A:A=""MATERIAL"", UPPER(CFG_CODES!B:B)"&amp;"=UPPER(C741))),
  LEFT(UPPER(C741),3)
),
TEXT(ROW()-1,""000"")
))"),"")</f>
        <v/>
      </c>
      <c r="J741" s="64"/>
      <c r="K741" s="64"/>
      <c r="L741" s="64"/>
      <c r="M741" s="64"/>
      <c r="N741" s="64"/>
      <c r="O741" s="64" t="s">
        <v>1333</v>
      </c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</row>
    <row r="742" ht="15.0" customHeight="1">
      <c r="A742" s="64"/>
      <c r="B742" s="64"/>
      <c r="C742" s="64"/>
      <c r="D742" s="64"/>
      <c r="E742" s="64"/>
      <c r="F742" s="64"/>
      <c r="G742" s="64"/>
      <c r="H742" s="64"/>
      <c r="I742" s="27" t="str">
        <f>IFERROR(__xludf.DUMMYFUNCTION("IF(A742="""","""",
TEXTJOIN(""-"",TRUE,
IFERROR(
  INDEX(FILTER(CFG_CODES!C:C, CFG_CODES!A:A=""CATEGORY"", UPPER(CFG_CODES!B:B)=UPPER(B742))),
  LEFT(UPPER(B742),3)
),
IFERROR(
  INDEX(FILTER(CFG_CODES!C:C, CFG_CODES!A:A=""MATERIAL"", UPPER(CFG_CODES!B:B)"&amp;"=UPPER(C742))),
  LEFT(UPPER(C742),3)
),
TEXT(ROW()-1,""000"")
))"),"")</f>
        <v/>
      </c>
      <c r="J742" s="64"/>
      <c r="K742" s="64"/>
      <c r="L742" s="64"/>
      <c r="M742" s="64"/>
      <c r="N742" s="64"/>
      <c r="O742" s="64" t="s">
        <v>1333</v>
      </c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</row>
    <row r="743" ht="15.0" customHeight="1">
      <c r="A743" s="64"/>
      <c r="B743" s="64"/>
      <c r="C743" s="64"/>
      <c r="D743" s="64"/>
      <c r="E743" s="64"/>
      <c r="F743" s="64"/>
      <c r="G743" s="64"/>
      <c r="H743" s="64"/>
      <c r="I743" s="27" t="str">
        <f>IFERROR(__xludf.DUMMYFUNCTION("IF(A743="""","""",
TEXTJOIN(""-"",TRUE,
IFERROR(
  INDEX(FILTER(CFG_CODES!C:C, CFG_CODES!A:A=""CATEGORY"", UPPER(CFG_CODES!B:B)=UPPER(B743))),
  LEFT(UPPER(B743),3)
),
IFERROR(
  INDEX(FILTER(CFG_CODES!C:C, CFG_CODES!A:A=""MATERIAL"", UPPER(CFG_CODES!B:B)"&amp;"=UPPER(C743))),
  LEFT(UPPER(C743),3)
),
TEXT(ROW()-1,""000"")
))"),"")</f>
        <v/>
      </c>
      <c r="J743" s="64"/>
      <c r="K743" s="64"/>
      <c r="L743" s="64"/>
      <c r="M743" s="64"/>
      <c r="N743" s="64"/>
      <c r="O743" s="64" t="s">
        <v>1333</v>
      </c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</row>
    <row r="744" ht="15.0" customHeight="1">
      <c r="A744" s="64"/>
      <c r="B744" s="64"/>
      <c r="C744" s="64"/>
      <c r="D744" s="64"/>
      <c r="E744" s="64"/>
      <c r="F744" s="64"/>
      <c r="G744" s="64"/>
      <c r="H744" s="64"/>
      <c r="I744" s="27" t="str">
        <f>IFERROR(__xludf.DUMMYFUNCTION("IF(A744="""","""",
TEXTJOIN(""-"",TRUE,
IFERROR(
  INDEX(FILTER(CFG_CODES!C:C, CFG_CODES!A:A=""CATEGORY"", UPPER(CFG_CODES!B:B)=UPPER(B744))),
  LEFT(UPPER(B744),3)
),
IFERROR(
  INDEX(FILTER(CFG_CODES!C:C, CFG_CODES!A:A=""MATERIAL"", UPPER(CFG_CODES!B:B)"&amp;"=UPPER(C744))),
  LEFT(UPPER(C744),3)
),
TEXT(ROW()-1,""000"")
))"),"")</f>
        <v/>
      </c>
      <c r="J744" s="64"/>
      <c r="K744" s="64"/>
      <c r="L744" s="64"/>
      <c r="M744" s="64"/>
      <c r="N744" s="64"/>
      <c r="O744" s="64" t="s">
        <v>1333</v>
      </c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</row>
    <row r="745" ht="15.0" customHeight="1">
      <c r="A745" s="64"/>
      <c r="B745" s="64"/>
      <c r="C745" s="64"/>
      <c r="D745" s="64"/>
      <c r="E745" s="64"/>
      <c r="F745" s="64"/>
      <c r="G745" s="64"/>
      <c r="H745" s="64"/>
      <c r="I745" s="27" t="str">
        <f>IFERROR(__xludf.DUMMYFUNCTION("IF(A745="""","""",
TEXTJOIN(""-"",TRUE,
IFERROR(
  INDEX(FILTER(CFG_CODES!C:C, CFG_CODES!A:A=""CATEGORY"", UPPER(CFG_CODES!B:B)=UPPER(B745))),
  LEFT(UPPER(B745),3)
),
IFERROR(
  INDEX(FILTER(CFG_CODES!C:C, CFG_CODES!A:A=""MATERIAL"", UPPER(CFG_CODES!B:B)"&amp;"=UPPER(C745))),
  LEFT(UPPER(C745),3)
),
TEXT(ROW()-1,""000"")
))"),"")</f>
        <v/>
      </c>
      <c r="J745" s="64"/>
      <c r="K745" s="64"/>
      <c r="L745" s="64"/>
      <c r="M745" s="64"/>
      <c r="N745" s="64"/>
      <c r="O745" s="64" t="s">
        <v>1333</v>
      </c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</row>
    <row r="746" ht="15.0" customHeight="1">
      <c r="A746" s="64"/>
      <c r="B746" s="64"/>
      <c r="C746" s="64"/>
      <c r="D746" s="64"/>
      <c r="E746" s="64"/>
      <c r="F746" s="64"/>
      <c r="G746" s="64"/>
      <c r="H746" s="64"/>
      <c r="I746" s="27" t="str">
        <f>IFERROR(__xludf.DUMMYFUNCTION("IF(A746="""","""",
TEXTJOIN(""-"",TRUE,
IFERROR(
  INDEX(FILTER(CFG_CODES!C:C, CFG_CODES!A:A=""CATEGORY"", UPPER(CFG_CODES!B:B)=UPPER(B746))),
  LEFT(UPPER(B746),3)
),
IFERROR(
  INDEX(FILTER(CFG_CODES!C:C, CFG_CODES!A:A=""MATERIAL"", UPPER(CFG_CODES!B:B)"&amp;"=UPPER(C746))),
  LEFT(UPPER(C746),3)
),
TEXT(ROW()-1,""000"")
))"),"")</f>
        <v/>
      </c>
      <c r="J746" s="64"/>
      <c r="K746" s="64"/>
      <c r="L746" s="64"/>
      <c r="M746" s="64"/>
      <c r="N746" s="64"/>
      <c r="O746" s="64" t="s">
        <v>1333</v>
      </c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</row>
    <row r="747" ht="15.0" customHeight="1">
      <c r="A747" s="64"/>
      <c r="B747" s="64"/>
      <c r="C747" s="64"/>
      <c r="D747" s="64"/>
      <c r="E747" s="64"/>
      <c r="F747" s="64"/>
      <c r="G747" s="64"/>
      <c r="H747" s="64"/>
      <c r="I747" s="27" t="str">
        <f>IFERROR(__xludf.DUMMYFUNCTION("IF(A747="""","""",
TEXTJOIN(""-"",TRUE,
IFERROR(
  INDEX(FILTER(CFG_CODES!C:C, CFG_CODES!A:A=""CATEGORY"", UPPER(CFG_CODES!B:B)=UPPER(B747))),
  LEFT(UPPER(B747),3)
),
IFERROR(
  INDEX(FILTER(CFG_CODES!C:C, CFG_CODES!A:A=""MATERIAL"", UPPER(CFG_CODES!B:B)"&amp;"=UPPER(C747))),
  LEFT(UPPER(C747),3)
),
TEXT(ROW()-1,""000"")
))"),"")</f>
        <v/>
      </c>
      <c r="J747" s="64"/>
      <c r="K747" s="64"/>
      <c r="L747" s="64"/>
      <c r="M747" s="64"/>
      <c r="N747" s="64"/>
      <c r="O747" s="64" t="s">
        <v>1333</v>
      </c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</row>
    <row r="748" ht="15.0" customHeight="1">
      <c r="A748" s="64"/>
      <c r="B748" s="64"/>
      <c r="C748" s="64"/>
      <c r="D748" s="64"/>
      <c r="E748" s="64"/>
      <c r="F748" s="64"/>
      <c r="G748" s="64"/>
      <c r="H748" s="64"/>
      <c r="I748" s="27" t="str">
        <f>IFERROR(__xludf.DUMMYFUNCTION("IF(A748="""","""",
TEXTJOIN(""-"",TRUE,
IFERROR(
  INDEX(FILTER(CFG_CODES!C:C, CFG_CODES!A:A=""CATEGORY"", UPPER(CFG_CODES!B:B)=UPPER(B748))),
  LEFT(UPPER(B748),3)
),
IFERROR(
  INDEX(FILTER(CFG_CODES!C:C, CFG_CODES!A:A=""MATERIAL"", UPPER(CFG_CODES!B:B)"&amp;"=UPPER(C748))),
  LEFT(UPPER(C748),3)
),
TEXT(ROW()-1,""000"")
))"),"")</f>
        <v/>
      </c>
      <c r="J748" s="64"/>
      <c r="K748" s="64"/>
      <c r="L748" s="64"/>
      <c r="M748" s="64"/>
      <c r="N748" s="64"/>
      <c r="O748" s="64" t="s">
        <v>1333</v>
      </c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</row>
    <row r="749" ht="15.0" customHeight="1">
      <c r="A749" s="64"/>
      <c r="B749" s="64"/>
      <c r="C749" s="64"/>
      <c r="D749" s="64"/>
      <c r="E749" s="64"/>
      <c r="F749" s="64"/>
      <c r="G749" s="64"/>
      <c r="H749" s="64"/>
      <c r="I749" s="27" t="str">
        <f>IFERROR(__xludf.DUMMYFUNCTION("IF(A749="""","""",
TEXTJOIN(""-"",TRUE,
IFERROR(
  INDEX(FILTER(CFG_CODES!C:C, CFG_CODES!A:A=""CATEGORY"", UPPER(CFG_CODES!B:B)=UPPER(B749))),
  LEFT(UPPER(B749),3)
),
IFERROR(
  INDEX(FILTER(CFG_CODES!C:C, CFG_CODES!A:A=""MATERIAL"", UPPER(CFG_CODES!B:B)"&amp;"=UPPER(C749))),
  LEFT(UPPER(C749),3)
),
TEXT(ROW()-1,""000"")
))"),"")</f>
        <v/>
      </c>
      <c r="J749" s="64"/>
      <c r="K749" s="64"/>
      <c r="L749" s="64"/>
      <c r="M749" s="64"/>
      <c r="N749" s="64"/>
      <c r="O749" s="64" t="s">
        <v>1333</v>
      </c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</row>
    <row r="750" ht="15.0" customHeight="1">
      <c r="A750" s="64"/>
      <c r="B750" s="64"/>
      <c r="C750" s="64"/>
      <c r="D750" s="64"/>
      <c r="E750" s="64"/>
      <c r="F750" s="64"/>
      <c r="G750" s="64"/>
      <c r="H750" s="64"/>
      <c r="I750" s="27" t="str">
        <f>IFERROR(__xludf.DUMMYFUNCTION("IF(A750="""","""",
TEXTJOIN(""-"",TRUE,
IFERROR(
  INDEX(FILTER(CFG_CODES!C:C, CFG_CODES!A:A=""CATEGORY"", UPPER(CFG_CODES!B:B)=UPPER(B750))),
  LEFT(UPPER(B750),3)
),
IFERROR(
  INDEX(FILTER(CFG_CODES!C:C, CFG_CODES!A:A=""MATERIAL"", UPPER(CFG_CODES!B:B)"&amp;"=UPPER(C750))),
  LEFT(UPPER(C750),3)
),
TEXT(ROW()-1,""000"")
))"),"")</f>
        <v/>
      </c>
      <c r="J750" s="64"/>
      <c r="K750" s="64"/>
      <c r="L750" s="64"/>
      <c r="M750" s="64"/>
      <c r="N750" s="64"/>
      <c r="O750" s="64" t="s">
        <v>1333</v>
      </c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</row>
    <row r="751" ht="15.0" customHeight="1">
      <c r="A751" s="64"/>
      <c r="B751" s="64"/>
      <c r="C751" s="64"/>
      <c r="D751" s="64"/>
      <c r="E751" s="64"/>
      <c r="F751" s="64"/>
      <c r="G751" s="64"/>
      <c r="H751" s="64"/>
      <c r="I751" s="27" t="str">
        <f>IFERROR(__xludf.DUMMYFUNCTION("IF(A751="""","""",
TEXTJOIN(""-"",TRUE,
IFERROR(
  INDEX(FILTER(CFG_CODES!C:C, CFG_CODES!A:A=""CATEGORY"", UPPER(CFG_CODES!B:B)=UPPER(B751))),
  LEFT(UPPER(B751),3)
),
IFERROR(
  INDEX(FILTER(CFG_CODES!C:C, CFG_CODES!A:A=""MATERIAL"", UPPER(CFG_CODES!B:B)"&amp;"=UPPER(C751))),
  LEFT(UPPER(C751),3)
),
TEXT(ROW()-1,""000"")
))"),"")</f>
        <v/>
      </c>
      <c r="J751" s="64"/>
      <c r="K751" s="64"/>
      <c r="L751" s="64"/>
      <c r="M751" s="64"/>
      <c r="N751" s="64"/>
      <c r="O751" s="64" t="s">
        <v>1333</v>
      </c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</row>
    <row r="752" ht="15.0" customHeight="1">
      <c r="A752" s="64"/>
      <c r="B752" s="64"/>
      <c r="C752" s="64"/>
      <c r="D752" s="64"/>
      <c r="E752" s="64"/>
      <c r="F752" s="64"/>
      <c r="G752" s="64"/>
      <c r="H752" s="64"/>
      <c r="I752" s="27" t="str">
        <f>IFERROR(__xludf.DUMMYFUNCTION("IF(A752="""","""",
TEXTJOIN(""-"",TRUE,
IFERROR(
  INDEX(FILTER(CFG_CODES!C:C, CFG_CODES!A:A=""CATEGORY"", UPPER(CFG_CODES!B:B)=UPPER(B752))),
  LEFT(UPPER(B752),3)
),
IFERROR(
  INDEX(FILTER(CFG_CODES!C:C, CFG_CODES!A:A=""MATERIAL"", UPPER(CFG_CODES!B:B)"&amp;"=UPPER(C752))),
  LEFT(UPPER(C752),3)
),
TEXT(ROW()-1,""000"")
))"),"")</f>
        <v/>
      </c>
      <c r="J752" s="64"/>
      <c r="K752" s="64"/>
      <c r="L752" s="64"/>
      <c r="M752" s="64"/>
      <c r="N752" s="64"/>
      <c r="O752" s="64" t="s">
        <v>1333</v>
      </c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</row>
    <row r="753" ht="15.0" customHeight="1">
      <c r="A753" s="64"/>
      <c r="B753" s="64"/>
      <c r="C753" s="64"/>
      <c r="D753" s="64"/>
      <c r="E753" s="64"/>
      <c r="F753" s="64"/>
      <c r="G753" s="64"/>
      <c r="H753" s="64"/>
      <c r="I753" s="27" t="str">
        <f>IFERROR(__xludf.DUMMYFUNCTION("IF(A753="""","""",
TEXTJOIN(""-"",TRUE,
IFERROR(
  INDEX(FILTER(CFG_CODES!C:C, CFG_CODES!A:A=""CATEGORY"", UPPER(CFG_CODES!B:B)=UPPER(B753))),
  LEFT(UPPER(B753),3)
),
IFERROR(
  INDEX(FILTER(CFG_CODES!C:C, CFG_CODES!A:A=""MATERIAL"", UPPER(CFG_CODES!B:B)"&amp;"=UPPER(C753))),
  LEFT(UPPER(C753),3)
),
TEXT(ROW()-1,""000"")
))"),"")</f>
        <v/>
      </c>
      <c r="J753" s="64"/>
      <c r="K753" s="64"/>
      <c r="L753" s="64"/>
      <c r="M753" s="64"/>
      <c r="N753" s="64"/>
      <c r="O753" s="64" t="s">
        <v>1333</v>
      </c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</row>
    <row r="754" ht="15.0" customHeight="1">
      <c r="A754" s="64"/>
      <c r="B754" s="64"/>
      <c r="C754" s="64"/>
      <c r="D754" s="64"/>
      <c r="E754" s="64"/>
      <c r="F754" s="64"/>
      <c r="G754" s="64"/>
      <c r="H754" s="64"/>
      <c r="I754" s="27" t="str">
        <f>IFERROR(__xludf.DUMMYFUNCTION("IF(A754="""","""",
TEXTJOIN(""-"",TRUE,
IFERROR(
  INDEX(FILTER(CFG_CODES!C:C, CFG_CODES!A:A=""CATEGORY"", UPPER(CFG_CODES!B:B)=UPPER(B754))),
  LEFT(UPPER(B754),3)
),
IFERROR(
  INDEX(FILTER(CFG_CODES!C:C, CFG_CODES!A:A=""MATERIAL"", UPPER(CFG_CODES!B:B)"&amp;"=UPPER(C754))),
  LEFT(UPPER(C754),3)
),
TEXT(ROW()-1,""000"")
))"),"")</f>
        <v/>
      </c>
      <c r="J754" s="64"/>
      <c r="K754" s="64"/>
      <c r="L754" s="64"/>
      <c r="M754" s="64"/>
      <c r="N754" s="64"/>
      <c r="O754" s="64" t="s">
        <v>1333</v>
      </c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</row>
    <row r="755" ht="15.0" customHeight="1">
      <c r="A755" s="64"/>
      <c r="B755" s="64"/>
      <c r="C755" s="64"/>
      <c r="D755" s="64"/>
      <c r="E755" s="64"/>
      <c r="F755" s="64"/>
      <c r="G755" s="64"/>
      <c r="H755" s="64"/>
      <c r="I755" s="27" t="str">
        <f>IFERROR(__xludf.DUMMYFUNCTION("IF(A755="""","""",
TEXTJOIN(""-"",TRUE,
IFERROR(
  INDEX(FILTER(CFG_CODES!C:C, CFG_CODES!A:A=""CATEGORY"", UPPER(CFG_CODES!B:B)=UPPER(B755))),
  LEFT(UPPER(B755),3)
),
IFERROR(
  INDEX(FILTER(CFG_CODES!C:C, CFG_CODES!A:A=""MATERIAL"", UPPER(CFG_CODES!B:B)"&amp;"=UPPER(C755))),
  LEFT(UPPER(C755),3)
),
TEXT(ROW()-1,""000"")
))"),"")</f>
        <v/>
      </c>
      <c r="J755" s="64"/>
      <c r="K755" s="64"/>
      <c r="L755" s="64"/>
      <c r="M755" s="64"/>
      <c r="N755" s="64"/>
      <c r="O755" s="64" t="s">
        <v>1333</v>
      </c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</row>
    <row r="756" ht="15.0" customHeight="1">
      <c r="A756" s="64"/>
      <c r="B756" s="64"/>
      <c r="C756" s="64"/>
      <c r="D756" s="64"/>
      <c r="E756" s="64"/>
      <c r="F756" s="64"/>
      <c r="G756" s="64"/>
      <c r="H756" s="64"/>
      <c r="I756" s="27" t="str">
        <f>IFERROR(__xludf.DUMMYFUNCTION("IF(A756="""","""",
TEXTJOIN(""-"",TRUE,
IFERROR(
  INDEX(FILTER(CFG_CODES!C:C, CFG_CODES!A:A=""CATEGORY"", UPPER(CFG_CODES!B:B)=UPPER(B756))),
  LEFT(UPPER(B756),3)
),
IFERROR(
  INDEX(FILTER(CFG_CODES!C:C, CFG_CODES!A:A=""MATERIAL"", UPPER(CFG_CODES!B:B)"&amp;"=UPPER(C756))),
  LEFT(UPPER(C756),3)
),
TEXT(ROW()-1,""000"")
))"),"")</f>
        <v/>
      </c>
      <c r="J756" s="64"/>
      <c r="K756" s="64"/>
      <c r="L756" s="64"/>
      <c r="M756" s="64"/>
      <c r="N756" s="64"/>
      <c r="O756" s="64" t="s">
        <v>1333</v>
      </c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</row>
    <row r="757" ht="15.0" customHeight="1">
      <c r="A757" s="64"/>
      <c r="B757" s="64"/>
      <c r="C757" s="64"/>
      <c r="D757" s="64"/>
      <c r="E757" s="64"/>
      <c r="F757" s="64"/>
      <c r="G757" s="64"/>
      <c r="H757" s="64"/>
      <c r="I757" s="27" t="str">
        <f>IFERROR(__xludf.DUMMYFUNCTION("IF(A757="""","""",
TEXTJOIN(""-"",TRUE,
IFERROR(
  INDEX(FILTER(CFG_CODES!C:C, CFG_CODES!A:A=""CATEGORY"", UPPER(CFG_CODES!B:B)=UPPER(B757))),
  LEFT(UPPER(B757),3)
),
IFERROR(
  INDEX(FILTER(CFG_CODES!C:C, CFG_CODES!A:A=""MATERIAL"", UPPER(CFG_CODES!B:B)"&amp;"=UPPER(C757))),
  LEFT(UPPER(C757),3)
),
TEXT(ROW()-1,""000"")
))"),"")</f>
        <v/>
      </c>
      <c r="J757" s="64"/>
      <c r="K757" s="64"/>
      <c r="L757" s="64"/>
      <c r="M757" s="64"/>
      <c r="N757" s="64"/>
      <c r="O757" s="64" t="s">
        <v>1333</v>
      </c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</row>
    <row r="758" ht="15.0" customHeight="1">
      <c r="A758" s="64"/>
      <c r="B758" s="64"/>
      <c r="C758" s="64"/>
      <c r="D758" s="64"/>
      <c r="E758" s="64"/>
      <c r="F758" s="64"/>
      <c r="G758" s="64"/>
      <c r="H758" s="64"/>
      <c r="I758" s="27" t="str">
        <f>IFERROR(__xludf.DUMMYFUNCTION("IF(A758="""","""",
TEXTJOIN(""-"",TRUE,
IFERROR(
  INDEX(FILTER(CFG_CODES!C:C, CFG_CODES!A:A=""CATEGORY"", UPPER(CFG_CODES!B:B)=UPPER(B758))),
  LEFT(UPPER(B758),3)
),
IFERROR(
  INDEX(FILTER(CFG_CODES!C:C, CFG_CODES!A:A=""MATERIAL"", UPPER(CFG_CODES!B:B)"&amp;"=UPPER(C758))),
  LEFT(UPPER(C758),3)
),
TEXT(ROW()-1,""000"")
))"),"")</f>
        <v/>
      </c>
      <c r="J758" s="64"/>
      <c r="K758" s="64"/>
      <c r="L758" s="64"/>
      <c r="M758" s="64"/>
      <c r="N758" s="64"/>
      <c r="O758" s="64" t="s">
        <v>1333</v>
      </c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</row>
    <row r="759" ht="15.0" customHeight="1">
      <c r="A759" s="64"/>
      <c r="B759" s="64"/>
      <c r="C759" s="64"/>
      <c r="D759" s="64"/>
      <c r="E759" s="64"/>
      <c r="F759" s="64"/>
      <c r="G759" s="64"/>
      <c r="H759" s="64"/>
      <c r="I759" s="27" t="str">
        <f>IFERROR(__xludf.DUMMYFUNCTION("IF(A759="""","""",
TEXTJOIN(""-"",TRUE,
IFERROR(
  INDEX(FILTER(CFG_CODES!C:C, CFG_CODES!A:A=""CATEGORY"", UPPER(CFG_CODES!B:B)=UPPER(B759))),
  LEFT(UPPER(B759),3)
),
IFERROR(
  INDEX(FILTER(CFG_CODES!C:C, CFG_CODES!A:A=""MATERIAL"", UPPER(CFG_CODES!B:B)"&amp;"=UPPER(C759))),
  LEFT(UPPER(C759),3)
),
TEXT(ROW()-1,""000"")
))"),"")</f>
        <v/>
      </c>
      <c r="J759" s="64"/>
      <c r="K759" s="64"/>
      <c r="L759" s="64"/>
      <c r="M759" s="64"/>
      <c r="N759" s="64"/>
      <c r="O759" s="64" t="s">
        <v>1333</v>
      </c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</row>
    <row r="760" ht="15.0" customHeight="1">
      <c r="A760" s="64"/>
      <c r="B760" s="64"/>
      <c r="C760" s="64"/>
      <c r="D760" s="64"/>
      <c r="E760" s="64"/>
      <c r="F760" s="64"/>
      <c r="G760" s="64"/>
      <c r="H760" s="64"/>
      <c r="I760" s="27" t="str">
        <f>IFERROR(__xludf.DUMMYFUNCTION("IF(A760="""","""",
TEXTJOIN(""-"",TRUE,
IFERROR(
  INDEX(FILTER(CFG_CODES!C:C, CFG_CODES!A:A=""CATEGORY"", UPPER(CFG_CODES!B:B)=UPPER(B760))),
  LEFT(UPPER(B760),3)
),
IFERROR(
  INDEX(FILTER(CFG_CODES!C:C, CFG_CODES!A:A=""MATERIAL"", UPPER(CFG_CODES!B:B)"&amp;"=UPPER(C760))),
  LEFT(UPPER(C760),3)
),
TEXT(ROW()-1,""000"")
))"),"")</f>
        <v/>
      </c>
      <c r="J760" s="64"/>
      <c r="K760" s="64"/>
      <c r="L760" s="64"/>
      <c r="M760" s="64"/>
      <c r="N760" s="64"/>
      <c r="O760" s="64" t="s">
        <v>1333</v>
      </c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</row>
    <row r="761" ht="15.0" customHeight="1">
      <c r="A761" s="64"/>
      <c r="B761" s="64"/>
      <c r="C761" s="64"/>
      <c r="D761" s="64"/>
      <c r="E761" s="64"/>
      <c r="F761" s="64"/>
      <c r="G761" s="64"/>
      <c r="H761" s="64"/>
      <c r="I761" s="27" t="str">
        <f>IFERROR(__xludf.DUMMYFUNCTION("IF(A761="""","""",
TEXTJOIN(""-"",TRUE,
IFERROR(
  INDEX(FILTER(CFG_CODES!C:C, CFG_CODES!A:A=""CATEGORY"", UPPER(CFG_CODES!B:B)=UPPER(B761))),
  LEFT(UPPER(B761),3)
),
IFERROR(
  INDEX(FILTER(CFG_CODES!C:C, CFG_CODES!A:A=""MATERIAL"", UPPER(CFG_CODES!B:B)"&amp;"=UPPER(C761))),
  LEFT(UPPER(C761),3)
),
TEXT(ROW()-1,""000"")
))"),"")</f>
        <v/>
      </c>
      <c r="J761" s="64"/>
      <c r="K761" s="64"/>
      <c r="L761" s="64"/>
      <c r="M761" s="64"/>
      <c r="N761" s="64"/>
      <c r="O761" s="64" t="s">
        <v>1333</v>
      </c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</row>
    <row r="762" ht="15.0" customHeight="1">
      <c r="A762" s="64"/>
      <c r="B762" s="64"/>
      <c r="C762" s="64"/>
      <c r="D762" s="64"/>
      <c r="E762" s="64"/>
      <c r="F762" s="64"/>
      <c r="G762" s="64"/>
      <c r="H762" s="64"/>
      <c r="I762" s="27" t="str">
        <f>IFERROR(__xludf.DUMMYFUNCTION("IF(A762="""","""",
TEXTJOIN(""-"",TRUE,
IFERROR(
  INDEX(FILTER(CFG_CODES!C:C, CFG_CODES!A:A=""CATEGORY"", UPPER(CFG_CODES!B:B)=UPPER(B762))),
  LEFT(UPPER(B762),3)
),
IFERROR(
  INDEX(FILTER(CFG_CODES!C:C, CFG_CODES!A:A=""MATERIAL"", UPPER(CFG_CODES!B:B)"&amp;"=UPPER(C762))),
  LEFT(UPPER(C762),3)
),
TEXT(ROW()-1,""000"")
))"),"")</f>
        <v/>
      </c>
      <c r="J762" s="64"/>
      <c r="K762" s="64"/>
      <c r="L762" s="64"/>
      <c r="M762" s="64"/>
      <c r="N762" s="64"/>
      <c r="O762" s="64" t="s">
        <v>1333</v>
      </c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</row>
    <row r="763" ht="15.0" customHeight="1">
      <c r="A763" s="64"/>
      <c r="B763" s="64"/>
      <c r="C763" s="64"/>
      <c r="D763" s="64"/>
      <c r="E763" s="64"/>
      <c r="F763" s="64"/>
      <c r="G763" s="64"/>
      <c r="H763" s="64"/>
      <c r="I763" s="27" t="str">
        <f>IFERROR(__xludf.DUMMYFUNCTION("IF(A763="""","""",
TEXTJOIN(""-"",TRUE,
IFERROR(
  INDEX(FILTER(CFG_CODES!C:C, CFG_CODES!A:A=""CATEGORY"", UPPER(CFG_CODES!B:B)=UPPER(B763))),
  LEFT(UPPER(B763),3)
),
IFERROR(
  INDEX(FILTER(CFG_CODES!C:C, CFG_CODES!A:A=""MATERIAL"", UPPER(CFG_CODES!B:B)"&amp;"=UPPER(C763))),
  LEFT(UPPER(C763),3)
),
TEXT(ROW()-1,""000"")
))"),"")</f>
        <v/>
      </c>
      <c r="J763" s="64"/>
      <c r="K763" s="64"/>
      <c r="L763" s="64"/>
      <c r="M763" s="64"/>
      <c r="N763" s="64"/>
      <c r="O763" s="64" t="s">
        <v>1333</v>
      </c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</row>
    <row r="764" ht="15.0" customHeight="1">
      <c r="A764" s="64"/>
      <c r="B764" s="64"/>
      <c r="C764" s="64"/>
      <c r="D764" s="64"/>
      <c r="E764" s="64"/>
      <c r="F764" s="64"/>
      <c r="G764" s="64"/>
      <c r="H764" s="64"/>
      <c r="I764" s="27" t="str">
        <f>IFERROR(__xludf.DUMMYFUNCTION("IF(A764="""","""",
TEXTJOIN(""-"",TRUE,
IFERROR(
  INDEX(FILTER(CFG_CODES!C:C, CFG_CODES!A:A=""CATEGORY"", UPPER(CFG_CODES!B:B)=UPPER(B764))),
  LEFT(UPPER(B764),3)
),
IFERROR(
  INDEX(FILTER(CFG_CODES!C:C, CFG_CODES!A:A=""MATERIAL"", UPPER(CFG_CODES!B:B)"&amp;"=UPPER(C764))),
  LEFT(UPPER(C764),3)
),
TEXT(ROW()-1,""000"")
))"),"")</f>
        <v/>
      </c>
      <c r="J764" s="64"/>
      <c r="K764" s="64"/>
      <c r="L764" s="64"/>
      <c r="M764" s="64"/>
      <c r="N764" s="64"/>
      <c r="O764" s="64" t="s">
        <v>1333</v>
      </c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</row>
    <row r="765" ht="15.0" customHeight="1">
      <c r="A765" s="64"/>
      <c r="B765" s="64"/>
      <c r="C765" s="64"/>
      <c r="D765" s="64"/>
      <c r="E765" s="64"/>
      <c r="F765" s="64"/>
      <c r="G765" s="64"/>
      <c r="H765" s="64"/>
      <c r="I765" s="27" t="str">
        <f>IFERROR(__xludf.DUMMYFUNCTION("IF(A765="""","""",
TEXTJOIN(""-"",TRUE,
IFERROR(
  INDEX(FILTER(CFG_CODES!C:C, CFG_CODES!A:A=""CATEGORY"", UPPER(CFG_CODES!B:B)=UPPER(B765))),
  LEFT(UPPER(B765),3)
),
IFERROR(
  INDEX(FILTER(CFG_CODES!C:C, CFG_CODES!A:A=""MATERIAL"", UPPER(CFG_CODES!B:B)"&amp;"=UPPER(C765))),
  LEFT(UPPER(C765),3)
),
TEXT(ROW()-1,""000"")
))"),"")</f>
        <v/>
      </c>
      <c r="J765" s="64"/>
      <c r="K765" s="64"/>
      <c r="L765" s="64"/>
      <c r="M765" s="64"/>
      <c r="N765" s="64"/>
      <c r="O765" s="64" t="s">
        <v>1333</v>
      </c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</row>
    <row r="766" ht="15.0" customHeight="1">
      <c r="A766" s="64"/>
      <c r="B766" s="64"/>
      <c r="C766" s="64"/>
      <c r="D766" s="64"/>
      <c r="E766" s="64"/>
      <c r="F766" s="64"/>
      <c r="G766" s="64"/>
      <c r="H766" s="64"/>
      <c r="I766" s="27" t="str">
        <f>IFERROR(__xludf.DUMMYFUNCTION("IF(A766="""","""",
TEXTJOIN(""-"",TRUE,
IFERROR(
  INDEX(FILTER(CFG_CODES!C:C, CFG_CODES!A:A=""CATEGORY"", UPPER(CFG_CODES!B:B)=UPPER(B766))),
  LEFT(UPPER(B766),3)
),
IFERROR(
  INDEX(FILTER(CFG_CODES!C:C, CFG_CODES!A:A=""MATERIAL"", UPPER(CFG_CODES!B:B)"&amp;"=UPPER(C766))),
  LEFT(UPPER(C766),3)
),
TEXT(ROW()-1,""000"")
))"),"")</f>
        <v/>
      </c>
      <c r="J766" s="64"/>
      <c r="K766" s="64"/>
      <c r="L766" s="64"/>
      <c r="M766" s="64"/>
      <c r="N766" s="64"/>
      <c r="O766" s="64" t="s">
        <v>1333</v>
      </c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</row>
    <row r="767" ht="15.0" customHeight="1">
      <c r="A767" s="64"/>
      <c r="B767" s="64"/>
      <c r="C767" s="64"/>
      <c r="D767" s="64"/>
      <c r="E767" s="64"/>
      <c r="F767" s="64"/>
      <c r="G767" s="64"/>
      <c r="H767" s="64"/>
      <c r="I767" s="27" t="str">
        <f>IFERROR(__xludf.DUMMYFUNCTION("IF(A767="""","""",
TEXTJOIN(""-"",TRUE,
IFERROR(
  INDEX(FILTER(CFG_CODES!C:C, CFG_CODES!A:A=""CATEGORY"", UPPER(CFG_CODES!B:B)=UPPER(B767))),
  LEFT(UPPER(B767),3)
),
IFERROR(
  INDEX(FILTER(CFG_CODES!C:C, CFG_CODES!A:A=""MATERIAL"", UPPER(CFG_CODES!B:B)"&amp;"=UPPER(C767))),
  LEFT(UPPER(C767),3)
),
TEXT(ROW()-1,""000"")
))"),"")</f>
        <v/>
      </c>
      <c r="J767" s="64"/>
      <c r="K767" s="64"/>
      <c r="L767" s="64"/>
      <c r="M767" s="64"/>
      <c r="N767" s="64"/>
      <c r="O767" s="64" t="s">
        <v>1333</v>
      </c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</row>
    <row r="768" ht="15.0" customHeight="1">
      <c r="A768" s="64"/>
      <c r="B768" s="64"/>
      <c r="C768" s="64"/>
      <c r="D768" s="64"/>
      <c r="E768" s="64"/>
      <c r="F768" s="64"/>
      <c r="G768" s="64"/>
      <c r="H768" s="64"/>
      <c r="I768" s="27" t="str">
        <f>IFERROR(__xludf.DUMMYFUNCTION("IF(A768="""","""",
TEXTJOIN(""-"",TRUE,
IFERROR(
  INDEX(FILTER(CFG_CODES!C:C, CFG_CODES!A:A=""CATEGORY"", UPPER(CFG_CODES!B:B)=UPPER(B768))),
  LEFT(UPPER(B768),3)
),
IFERROR(
  INDEX(FILTER(CFG_CODES!C:C, CFG_CODES!A:A=""MATERIAL"", UPPER(CFG_CODES!B:B)"&amp;"=UPPER(C768))),
  LEFT(UPPER(C768),3)
),
TEXT(ROW()-1,""000"")
))"),"")</f>
        <v/>
      </c>
      <c r="J768" s="64"/>
      <c r="K768" s="64"/>
      <c r="L768" s="64"/>
      <c r="M768" s="64"/>
      <c r="N768" s="64"/>
      <c r="O768" s="64" t="s">
        <v>1333</v>
      </c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</row>
    <row r="769" ht="15.0" customHeight="1">
      <c r="A769" s="64"/>
      <c r="B769" s="64"/>
      <c r="C769" s="64"/>
      <c r="D769" s="64"/>
      <c r="E769" s="64"/>
      <c r="F769" s="64"/>
      <c r="G769" s="64"/>
      <c r="H769" s="64"/>
      <c r="I769" s="27" t="str">
        <f>IFERROR(__xludf.DUMMYFUNCTION("IF(A769="""","""",
TEXTJOIN(""-"",TRUE,
IFERROR(
  INDEX(FILTER(CFG_CODES!C:C, CFG_CODES!A:A=""CATEGORY"", UPPER(CFG_CODES!B:B)=UPPER(B769))),
  LEFT(UPPER(B769),3)
),
IFERROR(
  INDEX(FILTER(CFG_CODES!C:C, CFG_CODES!A:A=""MATERIAL"", UPPER(CFG_CODES!B:B)"&amp;"=UPPER(C769))),
  LEFT(UPPER(C769),3)
),
TEXT(ROW()-1,""000"")
))"),"")</f>
        <v/>
      </c>
      <c r="J769" s="64"/>
      <c r="K769" s="64"/>
      <c r="L769" s="64"/>
      <c r="M769" s="64"/>
      <c r="N769" s="64"/>
      <c r="O769" s="64" t="s">
        <v>1333</v>
      </c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</row>
    <row r="770" ht="15.0" customHeight="1">
      <c r="A770" s="64"/>
      <c r="B770" s="64"/>
      <c r="C770" s="64"/>
      <c r="D770" s="64"/>
      <c r="E770" s="64"/>
      <c r="F770" s="64"/>
      <c r="G770" s="64"/>
      <c r="H770" s="64"/>
      <c r="I770" s="27" t="str">
        <f>IFERROR(__xludf.DUMMYFUNCTION("IF(A770="""","""",
TEXTJOIN(""-"",TRUE,
IFERROR(
  INDEX(FILTER(CFG_CODES!C:C, CFG_CODES!A:A=""CATEGORY"", UPPER(CFG_CODES!B:B)=UPPER(B770))),
  LEFT(UPPER(B770),3)
),
IFERROR(
  INDEX(FILTER(CFG_CODES!C:C, CFG_CODES!A:A=""MATERIAL"", UPPER(CFG_CODES!B:B)"&amp;"=UPPER(C770))),
  LEFT(UPPER(C770),3)
),
TEXT(ROW()-1,""000"")
))"),"")</f>
        <v/>
      </c>
      <c r="J770" s="64"/>
      <c r="K770" s="64"/>
      <c r="L770" s="64"/>
      <c r="M770" s="64"/>
      <c r="N770" s="64"/>
      <c r="O770" s="64" t="s">
        <v>1333</v>
      </c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</row>
    <row r="771" ht="15.0" customHeight="1">
      <c r="A771" s="64"/>
      <c r="B771" s="64"/>
      <c r="C771" s="64"/>
      <c r="D771" s="64"/>
      <c r="E771" s="64"/>
      <c r="F771" s="64"/>
      <c r="G771" s="64"/>
      <c r="H771" s="64"/>
      <c r="I771" s="27" t="str">
        <f>IFERROR(__xludf.DUMMYFUNCTION("IF(A771="""","""",
TEXTJOIN(""-"",TRUE,
IFERROR(
  INDEX(FILTER(CFG_CODES!C:C, CFG_CODES!A:A=""CATEGORY"", UPPER(CFG_CODES!B:B)=UPPER(B771))),
  LEFT(UPPER(B771),3)
),
IFERROR(
  INDEX(FILTER(CFG_CODES!C:C, CFG_CODES!A:A=""MATERIAL"", UPPER(CFG_CODES!B:B)"&amp;"=UPPER(C771))),
  LEFT(UPPER(C771),3)
),
TEXT(ROW()-1,""000"")
))"),"")</f>
        <v/>
      </c>
      <c r="J771" s="64"/>
      <c r="K771" s="64"/>
      <c r="L771" s="64"/>
      <c r="M771" s="64"/>
      <c r="N771" s="64"/>
      <c r="O771" s="64" t="s">
        <v>1333</v>
      </c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</row>
    <row r="772" ht="15.0" customHeight="1">
      <c r="A772" s="64"/>
      <c r="B772" s="64"/>
      <c r="C772" s="64"/>
      <c r="D772" s="64"/>
      <c r="E772" s="64"/>
      <c r="F772" s="64"/>
      <c r="G772" s="64"/>
      <c r="H772" s="64"/>
      <c r="I772" s="27" t="str">
        <f>IFERROR(__xludf.DUMMYFUNCTION("IF(A772="""","""",
TEXTJOIN(""-"",TRUE,
IFERROR(
  INDEX(FILTER(CFG_CODES!C:C, CFG_CODES!A:A=""CATEGORY"", UPPER(CFG_CODES!B:B)=UPPER(B772))),
  LEFT(UPPER(B772),3)
),
IFERROR(
  INDEX(FILTER(CFG_CODES!C:C, CFG_CODES!A:A=""MATERIAL"", UPPER(CFG_CODES!B:B)"&amp;"=UPPER(C772))),
  LEFT(UPPER(C772),3)
),
TEXT(ROW()-1,""000"")
))"),"")</f>
        <v/>
      </c>
      <c r="J772" s="64"/>
      <c r="K772" s="64"/>
      <c r="L772" s="64"/>
      <c r="M772" s="64"/>
      <c r="N772" s="64"/>
      <c r="O772" s="64" t="s">
        <v>1333</v>
      </c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</row>
    <row r="773" ht="15.0" customHeight="1">
      <c r="A773" s="64"/>
      <c r="B773" s="64"/>
      <c r="C773" s="64"/>
      <c r="D773" s="64"/>
      <c r="E773" s="64"/>
      <c r="F773" s="64"/>
      <c r="G773" s="64"/>
      <c r="H773" s="64"/>
      <c r="I773" s="27" t="str">
        <f>IFERROR(__xludf.DUMMYFUNCTION("IF(A773="""","""",
TEXTJOIN(""-"",TRUE,
IFERROR(
  INDEX(FILTER(CFG_CODES!C:C, CFG_CODES!A:A=""CATEGORY"", UPPER(CFG_CODES!B:B)=UPPER(B773))),
  LEFT(UPPER(B773),3)
),
IFERROR(
  INDEX(FILTER(CFG_CODES!C:C, CFG_CODES!A:A=""MATERIAL"", UPPER(CFG_CODES!B:B)"&amp;"=UPPER(C773))),
  LEFT(UPPER(C773),3)
),
TEXT(ROW()-1,""000"")
))"),"")</f>
        <v/>
      </c>
      <c r="J773" s="64"/>
      <c r="K773" s="64"/>
      <c r="L773" s="64"/>
      <c r="M773" s="64"/>
      <c r="N773" s="64"/>
      <c r="O773" s="64" t="s">
        <v>1333</v>
      </c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</row>
    <row r="774" ht="15.0" customHeight="1">
      <c r="A774" s="64"/>
      <c r="B774" s="64"/>
      <c r="C774" s="64"/>
      <c r="D774" s="64"/>
      <c r="E774" s="64"/>
      <c r="F774" s="64"/>
      <c r="G774" s="64"/>
      <c r="H774" s="64"/>
      <c r="I774" s="27" t="str">
        <f>IFERROR(__xludf.DUMMYFUNCTION("IF(A774="""","""",
TEXTJOIN(""-"",TRUE,
IFERROR(
  INDEX(FILTER(CFG_CODES!C:C, CFG_CODES!A:A=""CATEGORY"", UPPER(CFG_CODES!B:B)=UPPER(B774))),
  LEFT(UPPER(B774),3)
),
IFERROR(
  INDEX(FILTER(CFG_CODES!C:C, CFG_CODES!A:A=""MATERIAL"", UPPER(CFG_CODES!B:B)"&amp;"=UPPER(C774))),
  LEFT(UPPER(C774),3)
),
TEXT(ROW()-1,""000"")
))"),"")</f>
        <v/>
      </c>
      <c r="J774" s="64"/>
      <c r="K774" s="64"/>
      <c r="L774" s="64"/>
      <c r="M774" s="64"/>
      <c r="N774" s="64"/>
      <c r="O774" s="64" t="s">
        <v>1333</v>
      </c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</row>
    <row r="775" ht="15.0" customHeight="1">
      <c r="A775" s="64"/>
      <c r="B775" s="64"/>
      <c r="C775" s="64"/>
      <c r="D775" s="64"/>
      <c r="E775" s="64"/>
      <c r="F775" s="64"/>
      <c r="G775" s="64"/>
      <c r="H775" s="64"/>
      <c r="I775" s="27" t="str">
        <f>IFERROR(__xludf.DUMMYFUNCTION("IF(A775="""","""",
TEXTJOIN(""-"",TRUE,
IFERROR(
  INDEX(FILTER(CFG_CODES!C:C, CFG_CODES!A:A=""CATEGORY"", UPPER(CFG_CODES!B:B)=UPPER(B775))),
  LEFT(UPPER(B775),3)
),
IFERROR(
  INDEX(FILTER(CFG_CODES!C:C, CFG_CODES!A:A=""MATERIAL"", UPPER(CFG_CODES!B:B)"&amp;"=UPPER(C775))),
  LEFT(UPPER(C775),3)
),
TEXT(ROW()-1,""000"")
))"),"")</f>
        <v/>
      </c>
      <c r="J775" s="64"/>
      <c r="K775" s="64"/>
      <c r="L775" s="64"/>
      <c r="M775" s="64"/>
      <c r="N775" s="64"/>
      <c r="O775" s="64" t="s">
        <v>1333</v>
      </c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</row>
    <row r="776" ht="15.0" customHeight="1">
      <c r="A776" s="64"/>
      <c r="B776" s="64"/>
      <c r="C776" s="64"/>
      <c r="D776" s="64"/>
      <c r="E776" s="64"/>
      <c r="F776" s="64"/>
      <c r="G776" s="64"/>
      <c r="H776" s="64"/>
      <c r="I776" s="27" t="str">
        <f>IFERROR(__xludf.DUMMYFUNCTION("IF(A776="""","""",
TEXTJOIN(""-"",TRUE,
IFERROR(
  INDEX(FILTER(CFG_CODES!C:C, CFG_CODES!A:A=""CATEGORY"", UPPER(CFG_CODES!B:B)=UPPER(B776))),
  LEFT(UPPER(B776),3)
),
IFERROR(
  INDEX(FILTER(CFG_CODES!C:C, CFG_CODES!A:A=""MATERIAL"", UPPER(CFG_CODES!B:B)"&amp;"=UPPER(C776))),
  LEFT(UPPER(C776),3)
),
TEXT(ROW()-1,""000"")
))"),"")</f>
        <v/>
      </c>
      <c r="J776" s="64"/>
      <c r="K776" s="64"/>
      <c r="L776" s="64"/>
      <c r="M776" s="64"/>
      <c r="N776" s="64"/>
      <c r="O776" s="64" t="s">
        <v>1333</v>
      </c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</row>
    <row r="777" ht="15.0" customHeight="1">
      <c r="A777" s="64"/>
      <c r="B777" s="64"/>
      <c r="C777" s="64"/>
      <c r="D777" s="64"/>
      <c r="E777" s="64"/>
      <c r="F777" s="64"/>
      <c r="G777" s="64"/>
      <c r="H777" s="64"/>
      <c r="I777" s="27" t="str">
        <f>IFERROR(__xludf.DUMMYFUNCTION("IF(A777="""","""",
TEXTJOIN(""-"",TRUE,
IFERROR(
  INDEX(FILTER(CFG_CODES!C:C, CFG_CODES!A:A=""CATEGORY"", UPPER(CFG_CODES!B:B)=UPPER(B777))),
  LEFT(UPPER(B777),3)
),
IFERROR(
  INDEX(FILTER(CFG_CODES!C:C, CFG_CODES!A:A=""MATERIAL"", UPPER(CFG_CODES!B:B)"&amp;"=UPPER(C777))),
  LEFT(UPPER(C777),3)
),
TEXT(ROW()-1,""000"")
))"),"")</f>
        <v/>
      </c>
      <c r="J777" s="64"/>
      <c r="K777" s="64"/>
      <c r="L777" s="64"/>
      <c r="M777" s="64"/>
      <c r="N777" s="64"/>
      <c r="O777" s="64" t="s">
        <v>1333</v>
      </c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</row>
    <row r="778" ht="15.0" customHeight="1">
      <c r="A778" s="64"/>
      <c r="B778" s="64"/>
      <c r="C778" s="64"/>
      <c r="D778" s="64"/>
      <c r="E778" s="64"/>
      <c r="F778" s="64"/>
      <c r="G778" s="64"/>
      <c r="H778" s="64"/>
      <c r="I778" s="27" t="str">
        <f>IFERROR(__xludf.DUMMYFUNCTION("IF(A778="""","""",
TEXTJOIN(""-"",TRUE,
IFERROR(
  INDEX(FILTER(CFG_CODES!C:C, CFG_CODES!A:A=""CATEGORY"", UPPER(CFG_CODES!B:B)=UPPER(B778))),
  LEFT(UPPER(B778),3)
),
IFERROR(
  INDEX(FILTER(CFG_CODES!C:C, CFG_CODES!A:A=""MATERIAL"", UPPER(CFG_CODES!B:B)"&amp;"=UPPER(C778))),
  LEFT(UPPER(C778),3)
),
TEXT(ROW()-1,""000"")
))"),"")</f>
        <v/>
      </c>
      <c r="J778" s="64"/>
      <c r="K778" s="64"/>
      <c r="L778" s="64"/>
      <c r="M778" s="64"/>
      <c r="N778" s="64"/>
      <c r="O778" s="64" t="s">
        <v>1333</v>
      </c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</row>
    <row r="779" ht="15.0" customHeight="1">
      <c r="A779" s="64"/>
      <c r="B779" s="64"/>
      <c r="C779" s="64"/>
      <c r="D779" s="64"/>
      <c r="E779" s="64"/>
      <c r="F779" s="64"/>
      <c r="G779" s="64"/>
      <c r="H779" s="64"/>
      <c r="I779" s="27" t="str">
        <f>IFERROR(__xludf.DUMMYFUNCTION("IF(A779="""","""",
TEXTJOIN(""-"",TRUE,
IFERROR(
  INDEX(FILTER(CFG_CODES!C:C, CFG_CODES!A:A=""CATEGORY"", UPPER(CFG_CODES!B:B)=UPPER(B779))),
  LEFT(UPPER(B779),3)
),
IFERROR(
  INDEX(FILTER(CFG_CODES!C:C, CFG_CODES!A:A=""MATERIAL"", UPPER(CFG_CODES!B:B)"&amp;"=UPPER(C779))),
  LEFT(UPPER(C779),3)
),
TEXT(ROW()-1,""000"")
))"),"")</f>
        <v/>
      </c>
      <c r="J779" s="64"/>
      <c r="K779" s="64"/>
      <c r="L779" s="64"/>
      <c r="M779" s="64"/>
      <c r="N779" s="64"/>
      <c r="O779" s="64" t="s">
        <v>1333</v>
      </c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</row>
    <row r="780" ht="15.0" customHeight="1">
      <c r="A780" s="64"/>
      <c r="B780" s="64"/>
      <c r="C780" s="64"/>
      <c r="D780" s="64"/>
      <c r="E780" s="64"/>
      <c r="F780" s="64"/>
      <c r="G780" s="64"/>
      <c r="H780" s="64"/>
      <c r="I780" s="27" t="str">
        <f>IFERROR(__xludf.DUMMYFUNCTION("IF(A780="""","""",
TEXTJOIN(""-"",TRUE,
IFERROR(
  INDEX(FILTER(CFG_CODES!C:C, CFG_CODES!A:A=""CATEGORY"", UPPER(CFG_CODES!B:B)=UPPER(B780))),
  LEFT(UPPER(B780),3)
),
IFERROR(
  INDEX(FILTER(CFG_CODES!C:C, CFG_CODES!A:A=""MATERIAL"", UPPER(CFG_CODES!B:B)"&amp;"=UPPER(C780))),
  LEFT(UPPER(C780),3)
),
TEXT(ROW()-1,""000"")
))"),"")</f>
        <v/>
      </c>
      <c r="J780" s="64"/>
      <c r="K780" s="64"/>
      <c r="L780" s="64"/>
      <c r="M780" s="64"/>
      <c r="N780" s="64"/>
      <c r="O780" s="64" t="s">
        <v>1333</v>
      </c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</row>
    <row r="781" ht="15.0" customHeight="1">
      <c r="A781" s="64"/>
      <c r="B781" s="64"/>
      <c r="C781" s="64"/>
      <c r="D781" s="64"/>
      <c r="E781" s="64"/>
      <c r="F781" s="64"/>
      <c r="G781" s="64"/>
      <c r="H781" s="64"/>
      <c r="I781" s="27" t="str">
        <f>IFERROR(__xludf.DUMMYFUNCTION("IF(A781="""","""",
TEXTJOIN(""-"",TRUE,
IFERROR(
  INDEX(FILTER(CFG_CODES!C:C, CFG_CODES!A:A=""CATEGORY"", UPPER(CFG_CODES!B:B)=UPPER(B781))),
  LEFT(UPPER(B781),3)
),
IFERROR(
  INDEX(FILTER(CFG_CODES!C:C, CFG_CODES!A:A=""MATERIAL"", UPPER(CFG_CODES!B:B)"&amp;"=UPPER(C781))),
  LEFT(UPPER(C781),3)
),
TEXT(ROW()-1,""000"")
))"),"")</f>
        <v/>
      </c>
      <c r="J781" s="64"/>
      <c r="K781" s="64"/>
      <c r="L781" s="64"/>
      <c r="M781" s="64"/>
      <c r="N781" s="64"/>
      <c r="O781" s="64" t="s">
        <v>1333</v>
      </c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</row>
    <row r="782" ht="15.0" customHeight="1">
      <c r="A782" s="64"/>
      <c r="B782" s="64"/>
      <c r="C782" s="64"/>
      <c r="D782" s="64"/>
      <c r="E782" s="64"/>
      <c r="F782" s="64"/>
      <c r="G782" s="64"/>
      <c r="H782" s="64"/>
      <c r="I782" s="27" t="str">
        <f>IFERROR(__xludf.DUMMYFUNCTION("IF(A782="""","""",
TEXTJOIN(""-"",TRUE,
IFERROR(
  INDEX(FILTER(CFG_CODES!C:C, CFG_CODES!A:A=""CATEGORY"", UPPER(CFG_CODES!B:B)=UPPER(B782))),
  LEFT(UPPER(B782),3)
),
IFERROR(
  INDEX(FILTER(CFG_CODES!C:C, CFG_CODES!A:A=""MATERIAL"", UPPER(CFG_CODES!B:B)"&amp;"=UPPER(C782))),
  LEFT(UPPER(C782),3)
),
TEXT(ROW()-1,""000"")
))"),"")</f>
        <v/>
      </c>
      <c r="J782" s="64"/>
      <c r="K782" s="64"/>
      <c r="L782" s="64"/>
      <c r="M782" s="64"/>
      <c r="N782" s="64"/>
      <c r="O782" s="64" t="s">
        <v>1333</v>
      </c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</row>
    <row r="783" ht="15.0" customHeight="1">
      <c r="A783" s="64"/>
      <c r="B783" s="64"/>
      <c r="C783" s="64"/>
      <c r="D783" s="64"/>
      <c r="E783" s="64"/>
      <c r="F783" s="64"/>
      <c r="G783" s="64"/>
      <c r="H783" s="64"/>
      <c r="I783" s="27" t="str">
        <f>IFERROR(__xludf.DUMMYFUNCTION("IF(A783="""","""",
TEXTJOIN(""-"",TRUE,
IFERROR(
  INDEX(FILTER(CFG_CODES!C:C, CFG_CODES!A:A=""CATEGORY"", UPPER(CFG_CODES!B:B)=UPPER(B783))),
  LEFT(UPPER(B783),3)
),
IFERROR(
  INDEX(FILTER(CFG_CODES!C:C, CFG_CODES!A:A=""MATERIAL"", UPPER(CFG_CODES!B:B)"&amp;"=UPPER(C783))),
  LEFT(UPPER(C783),3)
),
TEXT(ROW()-1,""000"")
))"),"")</f>
        <v/>
      </c>
      <c r="J783" s="64"/>
      <c r="K783" s="64"/>
      <c r="L783" s="64"/>
      <c r="M783" s="64"/>
      <c r="N783" s="64"/>
      <c r="O783" s="64" t="s">
        <v>1333</v>
      </c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</row>
    <row r="784" ht="15.0" customHeight="1">
      <c r="A784" s="64"/>
      <c r="B784" s="64"/>
      <c r="C784" s="64"/>
      <c r="D784" s="64"/>
      <c r="E784" s="64"/>
      <c r="F784" s="64"/>
      <c r="G784" s="64"/>
      <c r="H784" s="64"/>
      <c r="I784" s="27" t="str">
        <f>IFERROR(__xludf.DUMMYFUNCTION("IF(A784="""","""",
TEXTJOIN(""-"",TRUE,
IFERROR(
  INDEX(FILTER(CFG_CODES!C:C, CFG_CODES!A:A=""CATEGORY"", UPPER(CFG_CODES!B:B)=UPPER(B784))),
  LEFT(UPPER(B784),3)
),
IFERROR(
  INDEX(FILTER(CFG_CODES!C:C, CFG_CODES!A:A=""MATERIAL"", UPPER(CFG_CODES!B:B)"&amp;"=UPPER(C784))),
  LEFT(UPPER(C784),3)
),
TEXT(ROW()-1,""000"")
))"),"")</f>
        <v/>
      </c>
      <c r="J784" s="64"/>
      <c r="K784" s="64"/>
      <c r="L784" s="64"/>
      <c r="M784" s="64"/>
      <c r="N784" s="64"/>
      <c r="O784" s="64" t="s">
        <v>1333</v>
      </c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</row>
    <row r="785" ht="15.0" customHeight="1">
      <c r="A785" s="64"/>
      <c r="B785" s="64"/>
      <c r="C785" s="64"/>
      <c r="D785" s="64"/>
      <c r="E785" s="64"/>
      <c r="F785" s="64"/>
      <c r="G785" s="64"/>
      <c r="H785" s="64"/>
      <c r="I785" s="27" t="str">
        <f>IFERROR(__xludf.DUMMYFUNCTION("IF(A785="""","""",
TEXTJOIN(""-"",TRUE,
IFERROR(
  INDEX(FILTER(CFG_CODES!C:C, CFG_CODES!A:A=""CATEGORY"", UPPER(CFG_CODES!B:B)=UPPER(B785))),
  LEFT(UPPER(B785),3)
),
IFERROR(
  INDEX(FILTER(CFG_CODES!C:C, CFG_CODES!A:A=""MATERIAL"", UPPER(CFG_CODES!B:B)"&amp;"=UPPER(C785))),
  LEFT(UPPER(C785),3)
),
TEXT(ROW()-1,""000"")
))"),"")</f>
        <v/>
      </c>
      <c r="J785" s="64"/>
      <c r="K785" s="64"/>
      <c r="L785" s="64"/>
      <c r="M785" s="64"/>
      <c r="N785" s="64"/>
      <c r="O785" s="64" t="s">
        <v>1333</v>
      </c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</row>
    <row r="786" ht="15.0" customHeight="1">
      <c r="A786" s="64"/>
      <c r="B786" s="64"/>
      <c r="C786" s="64"/>
      <c r="D786" s="64"/>
      <c r="E786" s="64"/>
      <c r="F786" s="64"/>
      <c r="G786" s="64"/>
      <c r="H786" s="64"/>
      <c r="I786" s="27" t="str">
        <f>IFERROR(__xludf.DUMMYFUNCTION("IF(A786="""","""",
TEXTJOIN(""-"",TRUE,
IFERROR(
  INDEX(FILTER(CFG_CODES!C:C, CFG_CODES!A:A=""CATEGORY"", UPPER(CFG_CODES!B:B)=UPPER(B786))),
  LEFT(UPPER(B786),3)
),
IFERROR(
  INDEX(FILTER(CFG_CODES!C:C, CFG_CODES!A:A=""MATERIAL"", UPPER(CFG_CODES!B:B)"&amp;"=UPPER(C786))),
  LEFT(UPPER(C786),3)
),
TEXT(ROW()-1,""000"")
))"),"")</f>
        <v/>
      </c>
      <c r="J786" s="64"/>
      <c r="K786" s="64"/>
      <c r="L786" s="64"/>
      <c r="M786" s="64"/>
      <c r="N786" s="64"/>
      <c r="O786" s="64" t="s">
        <v>1333</v>
      </c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</row>
    <row r="787" ht="15.0" customHeight="1">
      <c r="A787" s="64"/>
      <c r="B787" s="64"/>
      <c r="C787" s="64"/>
      <c r="D787" s="64"/>
      <c r="E787" s="64"/>
      <c r="F787" s="64"/>
      <c r="G787" s="64"/>
      <c r="H787" s="64"/>
      <c r="I787" s="27" t="str">
        <f>IFERROR(__xludf.DUMMYFUNCTION("IF(A787="""","""",
TEXTJOIN(""-"",TRUE,
IFERROR(
  INDEX(FILTER(CFG_CODES!C:C, CFG_CODES!A:A=""CATEGORY"", UPPER(CFG_CODES!B:B)=UPPER(B787))),
  LEFT(UPPER(B787),3)
),
IFERROR(
  INDEX(FILTER(CFG_CODES!C:C, CFG_CODES!A:A=""MATERIAL"", UPPER(CFG_CODES!B:B)"&amp;"=UPPER(C787))),
  LEFT(UPPER(C787),3)
),
TEXT(ROW()-1,""000"")
))"),"")</f>
        <v/>
      </c>
      <c r="J787" s="64"/>
      <c r="K787" s="64"/>
      <c r="L787" s="64"/>
      <c r="M787" s="64"/>
      <c r="N787" s="64"/>
      <c r="O787" s="64" t="s">
        <v>1333</v>
      </c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</row>
    <row r="788" ht="15.0" customHeight="1">
      <c r="A788" s="64"/>
      <c r="B788" s="64"/>
      <c r="C788" s="64"/>
      <c r="D788" s="64"/>
      <c r="E788" s="64"/>
      <c r="F788" s="64"/>
      <c r="G788" s="64"/>
      <c r="H788" s="64"/>
      <c r="I788" s="27" t="str">
        <f>IFERROR(__xludf.DUMMYFUNCTION("IF(A788="""","""",
TEXTJOIN(""-"",TRUE,
IFERROR(
  INDEX(FILTER(CFG_CODES!C:C, CFG_CODES!A:A=""CATEGORY"", UPPER(CFG_CODES!B:B)=UPPER(B788))),
  LEFT(UPPER(B788),3)
),
IFERROR(
  INDEX(FILTER(CFG_CODES!C:C, CFG_CODES!A:A=""MATERIAL"", UPPER(CFG_CODES!B:B)"&amp;"=UPPER(C788))),
  LEFT(UPPER(C788),3)
),
TEXT(ROW()-1,""000"")
))"),"")</f>
        <v/>
      </c>
      <c r="J788" s="64"/>
      <c r="K788" s="64"/>
      <c r="L788" s="64"/>
      <c r="M788" s="64"/>
      <c r="N788" s="64"/>
      <c r="O788" s="64" t="s">
        <v>1333</v>
      </c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</row>
    <row r="789" ht="15.0" customHeight="1">
      <c r="A789" s="64"/>
      <c r="B789" s="64"/>
      <c r="C789" s="64"/>
      <c r="D789" s="64"/>
      <c r="E789" s="64"/>
      <c r="F789" s="64"/>
      <c r="G789" s="64"/>
      <c r="H789" s="64"/>
      <c r="I789" s="27" t="str">
        <f>IFERROR(__xludf.DUMMYFUNCTION("IF(A789="""","""",
TEXTJOIN(""-"",TRUE,
IFERROR(
  INDEX(FILTER(CFG_CODES!C:C, CFG_CODES!A:A=""CATEGORY"", UPPER(CFG_CODES!B:B)=UPPER(B789))),
  LEFT(UPPER(B789),3)
),
IFERROR(
  INDEX(FILTER(CFG_CODES!C:C, CFG_CODES!A:A=""MATERIAL"", UPPER(CFG_CODES!B:B)"&amp;"=UPPER(C789))),
  LEFT(UPPER(C789),3)
),
TEXT(ROW()-1,""000"")
))"),"")</f>
        <v/>
      </c>
      <c r="J789" s="64"/>
      <c r="K789" s="64"/>
      <c r="L789" s="64"/>
      <c r="M789" s="64"/>
      <c r="N789" s="64"/>
      <c r="O789" s="64" t="s">
        <v>1333</v>
      </c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</row>
    <row r="790" ht="15.0" customHeight="1">
      <c r="A790" s="64"/>
      <c r="B790" s="64"/>
      <c r="C790" s="64"/>
      <c r="D790" s="64"/>
      <c r="E790" s="64"/>
      <c r="F790" s="64"/>
      <c r="G790" s="64"/>
      <c r="H790" s="64"/>
      <c r="I790" s="27" t="str">
        <f>IFERROR(__xludf.DUMMYFUNCTION("IF(A790="""","""",
TEXTJOIN(""-"",TRUE,
IFERROR(
  INDEX(FILTER(CFG_CODES!C:C, CFG_CODES!A:A=""CATEGORY"", UPPER(CFG_CODES!B:B)=UPPER(B790))),
  LEFT(UPPER(B790),3)
),
IFERROR(
  INDEX(FILTER(CFG_CODES!C:C, CFG_CODES!A:A=""MATERIAL"", UPPER(CFG_CODES!B:B)"&amp;"=UPPER(C790))),
  LEFT(UPPER(C790),3)
),
TEXT(ROW()-1,""000"")
))"),"")</f>
        <v/>
      </c>
      <c r="J790" s="64"/>
      <c r="K790" s="64"/>
      <c r="L790" s="64"/>
      <c r="M790" s="64"/>
      <c r="N790" s="64"/>
      <c r="O790" s="64" t="s">
        <v>1333</v>
      </c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</row>
    <row r="791" ht="15.0" customHeight="1">
      <c r="A791" s="64"/>
      <c r="B791" s="64"/>
      <c r="C791" s="64"/>
      <c r="D791" s="64"/>
      <c r="E791" s="64"/>
      <c r="F791" s="64"/>
      <c r="G791" s="64"/>
      <c r="H791" s="64"/>
      <c r="I791" s="27" t="str">
        <f>IFERROR(__xludf.DUMMYFUNCTION("IF(A791="""","""",
TEXTJOIN(""-"",TRUE,
IFERROR(
  INDEX(FILTER(CFG_CODES!C:C, CFG_CODES!A:A=""CATEGORY"", UPPER(CFG_CODES!B:B)=UPPER(B791))),
  LEFT(UPPER(B791),3)
),
IFERROR(
  INDEX(FILTER(CFG_CODES!C:C, CFG_CODES!A:A=""MATERIAL"", UPPER(CFG_CODES!B:B)"&amp;"=UPPER(C791))),
  LEFT(UPPER(C791),3)
),
TEXT(ROW()-1,""000"")
))"),"")</f>
        <v/>
      </c>
      <c r="J791" s="64"/>
      <c r="K791" s="64"/>
      <c r="L791" s="64"/>
      <c r="M791" s="64"/>
      <c r="N791" s="64"/>
      <c r="O791" s="64" t="s">
        <v>1333</v>
      </c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</row>
    <row r="792" ht="15.0" customHeight="1">
      <c r="A792" s="64"/>
      <c r="B792" s="64"/>
      <c r="C792" s="64"/>
      <c r="D792" s="64"/>
      <c r="E792" s="64"/>
      <c r="F792" s="64"/>
      <c r="G792" s="64"/>
      <c r="H792" s="64"/>
      <c r="I792" s="27" t="str">
        <f>IFERROR(__xludf.DUMMYFUNCTION("IF(A792="""","""",
TEXTJOIN(""-"",TRUE,
IFERROR(
  INDEX(FILTER(CFG_CODES!C:C, CFG_CODES!A:A=""CATEGORY"", UPPER(CFG_CODES!B:B)=UPPER(B792))),
  LEFT(UPPER(B792),3)
),
IFERROR(
  INDEX(FILTER(CFG_CODES!C:C, CFG_CODES!A:A=""MATERIAL"", UPPER(CFG_CODES!B:B)"&amp;"=UPPER(C792))),
  LEFT(UPPER(C792),3)
),
TEXT(ROW()-1,""000"")
))"),"")</f>
        <v/>
      </c>
      <c r="J792" s="64"/>
      <c r="K792" s="64"/>
      <c r="L792" s="64"/>
      <c r="M792" s="64"/>
      <c r="N792" s="64"/>
      <c r="O792" s="64" t="s">
        <v>1333</v>
      </c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</row>
    <row r="793" ht="15.0" customHeight="1">
      <c r="A793" s="64"/>
      <c r="B793" s="64"/>
      <c r="C793" s="64"/>
      <c r="D793" s="64"/>
      <c r="E793" s="64"/>
      <c r="F793" s="64"/>
      <c r="G793" s="64"/>
      <c r="H793" s="64"/>
      <c r="I793" s="27" t="str">
        <f>IFERROR(__xludf.DUMMYFUNCTION("IF(A793="""","""",
TEXTJOIN(""-"",TRUE,
IFERROR(
  INDEX(FILTER(CFG_CODES!C:C, CFG_CODES!A:A=""CATEGORY"", UPPER(CFG_CODES!B:B)=UPPER(B793))),
  LEFT(UPPER(B793),3)
),
IFERROR(
  INDEX(FILTER(CFG_CODES!C:C, CFG_CODES!A:A=""MATERIAL"", UPPER(CFG_CODES!B:B)"&amp;"=UPPER(C793))),
  LEFT(UPPER(C793),3)
),
TEXT(ROW()-1,""000"")
))"),"")</f>
        <v/>
      </c>
      <c r="J793" s="64"/>
      <c r="K793" s="64"/>
      <c r="L793" s="64"/>
      <c r="M793" s="64"/>
      <c r="N793" s="64"/>
      <c r="O793" s="64" t="s">
        <v>1333</v>
      </c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</row>
    <row r="794" ht="15.0" customHeight="1">
      <c r="A794" s="64"/>
      <c r="B794" s="64"/>
      <c r="C794" s="64"/>
      <c r="D794" s="64"/>
      <c r="E794" s="64"/>
      <c r="F794" s="64"/>
      <c r="G794" s="64"/>
      <c r="H794" s="64"/>
      <c r="I794" s="27" t="str">
        <f>IFERROR(__xludf.DUMMYFUNCTION("IF(A794="""","""",
TEXTJOIN(""-"",TRUE,
IFERROR(
  INDEX(FILTER(CFG_CODES!C:C, CFG_CODES!A:A=""CATEGORY"", UPPER(CFG_CODES!B:B)=UPPER(B794))),
  LEFT(UPPER(B794),3)
),
IFERROR(
  INDEX(FILTER(CFG_CODES!C:C, CFG_CODES!A:A=""MATERIAL"", UPPER(CFG_CODES!B:B)"&amp;"=UPPER(C794))),
  LEFT(UPPER(C794),3)
),
TEXT(ROW()-1,""000"")
))"),"")</f>
        <v/>
      </c>
      <c r="J794" s="64"/>
      <c r="K794" s="64"/>
      <c r="L794" s="64"/>
      <c r="M794" s="64"/>
      <c r="N794" s="64"/>
      <c r="O794" s="64" t="s">
        <v>1333</v>
      </c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</row>
    <row r="795" ht="15.0" customHeight="1">
      <c r="A795" s="64"/>
      <c r="B795" s="64"/>
      <c r="C795" s="64"/>
      <c r="D795" s="64"/>
      <c r="E795" s="64"/>
      <c r="F795" s="64"/>
      <c r="G795" s="64"/>
      <c r="H795" s="64"/>
      <c r="I795" s="27" t="str">
        <f>IFERROR(__xludf.DUMMYFUNCTION("IF(A795="""","""",
TEXTJOIN(""-"",TRUE,
IFERROR(
  INDEX(FILTER(CFG_CODES!C:C, CFG_CODES!A:A=""CATEGORY"", UPPER(CFG_CODES!B:B)=UPPER(B795))),
  LEFT(UPPER(B795),3)
),
IFERROR(
  INDEX(FILTER(CFG_CODES!C:C, CFG_CODES!A:A=""MATERIAL"", UPPER(CFG_CODES!B:B)"&amp;"=UPPER(C795))),
  LEFT(UPPER(C795),3)
),
TEXT(ROW()-1,""000"")
))"),"")</f>
        <v/>
      </c>
      <c r="J795" s="64"/>
      <c r="K795" s="64"/>
      <c r="L795" s="64"/>
      <c r="M795" s="64"/>
      <c r="N795" s="64"/>
      <c r="O795" s="64" t="s">
        <v>1333</v>
      </c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</row>
    <row r="796" ht="15.0" customHeight="1">
      <c r="A796" s="64"/>
      <c r="B796" s="64"/>
      <c r="C796" s="64"/>
      <c r="D796" s="64"/>
      <c r="E796" s="64"/>
      <c r="F796" s="64"/>
      <c r="G796" s="64"/>
      <c r="H796" s="64"/>
      <c r="I796" s="27" t="str">
        <f>IFERROR(__xludf.DUMMYFUNCTION("IF(A796="""","""",
TEXTJOIN(""-"",TRUE,
IFERROR(
  INDEX(FILTER(CFG_CODES!C:C, CFG_CODES!A:A=""CATEGORY"", UPPER(CFG_CODES!B:B)=UPPER(B796))),
  LEFT(UPPER(B796),3)
),
IFERROR(
  INDEX(FILTER(CFG_CODES!C:C, CFG_CODES!A:A=""MATERIAL"", UPPER(CFG_CODES!B:B)"&amp;"=UPPER(C796))),
  LEFT(UPPER(C796),3)
),
TEXT(ROW()-1,""000"")
))"),"")</f>
        <v/>
      </c>
      <c r="J796" s="64"/>
      <c r="K796" s="64"/>
      <c r="L796" s="64"/>
      <c r="M796" s="64"/>
      <c r="N796" s="64"/>
      <c r="O796" s="64" t="s">
        <v>1333</v>
      </c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</row>
    <row r="797" ht="15.0" customHeight="1">
      <c r="A797" s="64"/>
      <c r="B797" s="64"/>
      <c r="C797" s="64"/>
      <c r="D797" s="64"/>
      <c r="E797" s="64"/>
      <c r="F797" s="64"/>
      <c r="G797" s="64"/>
      <c r="H797" s="64"/>
      <c r="I797" s="27" t="str">
        <f>IFERROR(__xludf.DUMMYFUNCTION("IF(A797="""","""",
TEXTJOIN(""-"",TRUE,
IFERROR(
  INDEX(FILTER(CFG_CODES!C:C, CFG_CODES!A:A=""CATEGORY"", UPPER(CFG_CODES!B:B)=UPPER(B797))),
  LEFT(UPPER(B797),3)
),
IFERROR(
  INDEX(FILTER(CFG_CODES!C:C, CFG_CODES!A:A=""MATERIAL"", UPPER(CFG_CODES!B:B)"&amp;"=UPPER(C797))),
  LEFT(UPPER(C797),3)
),
TEXT(ROW()-1,""000"")
))"),"")</f>
        <v/>
      </c>
      <c r="J797" s="64"/>
      <c r="K797" s="64"/>
      <c r="L797" s="64"/>
      <c r="M797" s="64"/>
      <c r="N797" s="64"/>
      <c r="O797" s="64" t="s">
        <v>1333</v>
      </c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</row>
    <row r="798" ht="15.0" customHeight="1">
      <c r="A798" s="64"/>
      <c r="B798" s="64"/>
      <c r="C798" s="64"/>
      <c r="D798" s="64"/>
      <c r="E798" s="64"/>
      <c r="F798" s="64"/>
      <c r="G798" s="64"/>
      <c r="H798" s="64"/>
      <c r="I798" s="27" t="str">
        <f>IFERROR(__xludf.DUMMYFUNCTION("IF(A798="""","""",
TEXTJOIN(""-"",TRUE,
IFERROR(
  INDEX(FILTER(CFG_CODES!C:C, CFG_CODES!A:A=""CATEGORY"", UPPER(CFG_CODES!B:B)=UPPER(B798))),
  LEFT(UPPER(B798),3)
),
IFERROR(
  INDEX(FILTER(CFG_CODES!C:C, CFG_CODES!A:A=""MATERIAL"", UPPER(CFG_CODES!B:B)"&amp;"=UPPER(C798))),
  LEFT(UPPER(C798),3)
),
TEXT(ROW()-1,""000"")
))"),"")</f>
        <v/>
      </c>
      <c r="J798" s="64"/>
      <c r="K798" s="64"/>
      <c r="L798" s="64"/>
      <c r="M798" s="64"/>
      <c r="N798" s="64"/>
      <c r="O798" s="64" t="s">
        <v>1333</v>
      </c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</row>
    <row r="799" ht="15.0" customHeight="1">
      <c r="A799" s="64"/>
      <c r="B799" s="64"/>
      <c r="C799" s="64"/>
      <c r="D799" s="64"/>
      <c r="E799" s="64"/>
      <c r="F799" s="64"/>
      <c r="G799" s="64"/>
      <c r="H799" s="64"/>
      <c r="I799" s="27" t="str">
        <f>IFERROR(__xludf.DUMMYFUNCTION("IF(A799="""","""",
TEXTJOIN(""-"",TRUE,
IFERROR(
  INDEX(FILTER(CFG_CODES!C:C, CFG_CODES!A:A=""CATEGORY"", UPPER(CFG_CODES!B:B)=UPPER(B799))),
  LEFT(UPPER(B799),3)
),
IFERROR(
  INDEX(FILTER(CFG_CODES!C:C, CFG_CODES!A:A=""MATERIAL"", UPPER(CFG_CODES!B:B)"&amp;"=UPPER(C799))),
  LEFT(UPPER(C799),3)
),
TEXT(ROW()-1,""000"")
))"),"")</f>
        <v/>
      </c>
      <c r="J799" s="64"/>
      <c r="K799" s="64"/>
      <c r="L799" s="64"/>
      <c r="M799" s="64"/>
      <c r="N799" s="64"/>
      <c r="O799" s="64" t="s">
        <v>1333</v>
      </c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</row>
    <row r="800" ht="15.0" customHeight="1">
      <c r="A800" s="64"/>
      <c r="B800" s="64"/>
      <c r="C800" s="64"/>
      <c r="D800" s="64"/>
      <c r="E800" s="64"/>
      <c r="F800" s="64"/>
      <c r="G800" s="64"/>
      <c r="H800" s="64"/>
      <c r="I800" s="27" t="str">
        <f>IFERROR(__xludf.DUMMYFUNCTION("IF(A800="""","""",
TEXTJOIN(""-"",TRUE,
IFERROR(
  INDEX(FILTER(CFG_CODES!C:C, CFG_CODES!A:A=""CATEGORY"", UPPER(CFG_CODES!B:B)=UPPER(B800))),
  LEFT(UPPER(B800),3)
),
IFERROR(
  INDEX(FILTER(CFG_CODES!C:C, CFG_CODES!A:A=""MATERIAL"", UPPER(CFG_CODES!B:B)"&amp;"=UPPER(C800))),
  LEFT(UPPER(C800),3)
),
TEXT(ROW()-1,""000"")
))"),"")</f>
        <v/>
      </c>
      <c r="J800" s="64"/>
      <c r="K800" s="64"/>
      <c r="L800" s="64"/>
      <c r="M800" s="64"/>
      <c r="N800" s="64"/>
      <c r="O800" s="64" t="s">
        <v>1333</v>
      </c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</row>
    <row r="801" ht="15.0" customHeight="1">
      <c r="A801" s="64"/>
      <c r="B801" s="64"/>
      <c r="C801" s="64"/>
      <c r="D801" s="64"/>
      <c r="E801" s="64"/>
      <c r="F801" s="64"/>
      <c r="G801" s="64"/>
      <c r="H801" s="64"/>
      <c r="I801" s="27" t="str">
        <f>IFERROR(__xludf.DUMMYFUNCTION("IF(A801="""","""",
TEXTJOIN(""-"",TRUE,
IFERROR(
  INDEX(FILTER(CFG_CODES!C:C, CFG_CODES!A:A=""CATEGORY"", UPPER(CFG_CODES!B:B)=UPPER(B801))),
  LEFT(UPPER(B801),3)
),
IFERROR(
  INDEX(FILTER(CFG_CODES!C:C, CFG_CODES!A:A=""MATERIAL"", UPPER(CFG_CODES!B:B)"&amp;"=UPPER(C801))),
  LEFT(UPPER(C801),3)
),
TEXT(ROW()-1,""000"")
))"),"")</f>
        <v/>
      </c>
      <c r="J801" s="64"/>
      <c r="K801" s="64"/>
      <c r="L801" s="64"/>
      <c r="M801" s="64"/>
      <c r="N801" s="64"/>
      <c r="O801" s="64" t="s">
        <v>1333</v>
      </c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</row>
    <row r="802" ht="15.0" customHeight="1">
      <c r="A802" s="64"/>
      <c r="B802" s="64"/>
      <c r="C802" s="64"/>
      <c r="D802" s="64"/>
      <c r="E802" s="64"/>
      <c r="F802" s="64"/>
      <c r="G802" s="64"/>
      <c r="H802" s="64"/>
      <c r="I802" s="27" t="str">
        <f>IFERROR(__xludf.DUMMYFUNCTION("IF(A802="""","""",
TEXTJOIN(""-"",TRUE,
IFERROR(
  INDEX(FILTER(CFG_CODES!C:C, CFG_CODES!A:A=""CATEGORY"", UPPER(CFG_CODES!B:B)=UPPER(B802))),
  LEFT(UPPER(B802),3)
),
IFERROR(
  INDEX(FILTER(CFG_CODES!C:C, CFG_CODES!A:A=""MATERIAL"", UPPER(CFG_CODES!B:B)"&amp;"=UPPER(C802))),
  LEFT(UPPER(C802),3)
),
TEXT(ROW()-1,""000"")
))"),"")</f>
        <v/>
      </c>
      <c r="J802" s="64"/>
      <c r="K802" s="64"/>
      <c r="L802" s="64"/>
      <c r="M802" s="64"/>
      <c r="N802" s="64"/>
      <c r="O802" s="64" t="s">
        <v>1333</v>
      </c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</row>
    <row r="803" ht="15.0" customHeight="1">
      <c r="A803" s="64"/>
      <c r="B803" s="64"/>
      <c r="C803" s="64"/>
      <c r="D803" s="64"/>
      <c r="E803" s="64"/>
      <c r="F803" s="64"/>
      <c r="G803" s="64"/>
      <c r="H803" s="64"/>
      <c r="I803" s="27" t="str">
        <f>IFERROR(__xludf.DUMMYFUNCTION("IF(A803="""","""",
TEXTJOIN(""-"",TRUE,
IFERROR(
  INDEX(FILTER(CFG_CODES!C:C, CFG_CODES!A:A=""CATEGORY"", UPPER(CFG_CODES!B:B)=UPPER(B803))),
  LEFT(UPPER(B803),3)
),
IFERROR(
  INDEX(FILTER(CFG_CODES!C:C, CFG_CODES!A:A=""MATERIAL"", UPPER(CFG_CODES!B:B)"&amp;"=UPPER(C803))),
  LEFT(UPPER(C803),3)
),
TEXT(ROW()-1,""000"")
))"),"")</f>
        <v/>
      </c>
      <c r="J803" s="64"/>
      <c r="K803" s="64"/>
      <c r="L803" s="64"/>
      <c r="M803" s="64"/>
      <c r="N803" s="64"/>
      <c r="O803" s="64" t="s">
        <v>1333</v>
      </c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</row>
    <row r="804" ht="15.0" customHeight="1">
      <c r="A804" s="64"/>
      <c r="B804" s="64"/>
      <c r="C804" s="64"/>
      <c r="D804" s="64"/>
      <c r="E804" s="64"/>
      <c r="F804" s="64"/>
      <c r="G804" s="64"/>
      <c r="H804" s="64"/>
      <c r="I804" s="27" t="str">
        <f>IFERROR(__xludf.DUMMYFUNCTION("IF(A804="""","""",
TEXTJOIN(""-"",TRUE,
IFERROR(
  INDEX(FILTER(CFG_CODES!C:C, CFG_CODES!A:A=""CATEGORY"", UPPER(CFG_CODES!B:B)=UPPER(B804))),
  LEFT(UPPER(B804),3)
),
IFERROR(
  INDEX(FILTER(CFG_CODES!C:C, CFG_CODES!A:A=""MATERIAL"", UPPER(CFG_CODES!B:B)"&amp;"=UPPER(C804))),
  LEFT(UPPER(C804),3)
),
TEXT(ROW()-1,""000"")
))"),"")</f>
        <v/>
      </c>
      <c r="J804" s="64"/>
      <c r="K804" s="64"/>
      <c r="L804" s="64"/>
      <c r="M804" s="64"/>
      <c r="N804" s="64"/>
      <c r="O804" s="64" t="s">
        <v>1333</v>
      </c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</row>
    <row r="805" ht="15.0" customHeight="1">
      <c r="A805" s="64"/>
      <c r="B805" s="64"/>
      <c r="C805" s="64"/>
      <c r="D805" s="64"/>
      <c r="E805" s="64"/>
      <c r="F805" s="64"/>
      <c r="G805" s="64"/>
      <c r="H805" s="64"/>
      <c r="I805" s="27" t="str">
        <f>IFERROR(__xludf.DUMMYFUNCTION("IF(A805="""","""",
TEXTJOIN(""-"",TRUE,
IFERROR(
  INDEX(FILTER(CFG_CODES!C:C, CFG_CODES!A:A=""CATEGORY"", UPPER(CFG_CODES!B:B)=UPPER(B805))),
  LEFT(UPPER(B805),3)
),
IFERROR(
  INDEX(FILTER(CFG_CODES!C:C, CFG_CODES!A:A=""MATERIAL"", UPPER(CFG_CODES!B:B)"&amp;"=UPPER(C805))),
  LEFT(UPPER(C805),3)
),
TEXT(ROW()-1,""000"")
))"),"")</f>
        <v/>
      </c>
      <c r="J805" s="64"/>
      <c r="K805" s="64"/>
      <c r="L805" s="64"/>
      <c r="M805" s="64"/>
      <c r="N805" s="64"/>
      <c r="O805" s="64" t="s">
        <v>1333</v>
      </c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</row>
    <row r="806" ht="15.0" customHeight="1">
      <c r="A806" s="64"/>
      <c r="B806" s="64"/>
      <c r="C806" s="64"/>
      <c r="D806" s="64"/>
      <c r="E806" s="64"/>
      <c r="F806" s="64"/>
      <c r="G806" s="64"/>
      <c r="H806" s="64"/>
      <c r="I806" s="27" t="str">
        <f>IFERROR(__xludf.DUMMYFUNCTION("IF(A806="""","""",
TEXTJOIN(""-"",TRUE,
IFERROR(
  INDEX(FILTER(CFG_CODES!C:C, CFG_CODES!A:A=""CATEGORY"", UPPER(CFG_CODES!B:B)=UPPER(B806))),
  LEFT(UPPER(B806),3)
),
IFERROR(
  INDEX(FILTER(CFG_CODES!C:C, CFG_CODES!A:A=""MATERIAL"", UPPER(CFG_CODES!B:B)"&amp;"=UPPER(C806))),
  LEFT(UPPER(C806),3)
),
TEXT(ROW()-1,""000"")
))"),"")</f>
        <v/>
      </c>
      <c r="J806" s="64"/>
      <c r="K806" s="64"/>
      <c r="L806" s="64"/>
      <c r="M806" s="64"/>
      <c r="N806" s="64"/>
      <c r="O806" s="64" t="s">
        <v>1333</v>
      </c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</row>
    <row r="807" ht="15.0" customHeight="1">
      <c r="A807" s="64"/>
      <c r="B807" s="64"/>
      <c r="C807" s="64"/>
      <c r="D807" s="64"/>
      <c r="E807" s="64"/>
      <c r="F807" s="64"/>
      <c r="G807" s="64"/>
      <c r="H807" s="64"/>
      <c r="I807" s="27" t="str">
        <f>IFERROR(__xludf.DUMMYFUNCTION("IF(A807="""","""",
TEXTJOIN(""-"",TRUE,
IFERROR(
  INDEX(FILTER(CFG_CODES!C:C, CFG_CODES!A:A=""CATEGORY"", UPPER(CFG_CODES!B:B)=UPPER(B807))),
  LEFT(UPPER(B807),3)
),
IFERROR(
  INDEX(FILTER(CFG_CODES!C:C, CFG_CODES!A:A=""MATERIAL"", UPPER(CFG_CODES!B:B)"&amp;"=UPPER(C807))),
  LEFT(UPPER(C807),3)
),
TEXT(ROW()-1,""000"")
))"),"")</f>
        <v/>
      </c>
      <c r="J807" s="64"/>
      <c r="K807" s="64"/>
      <c r="L807" s="64"/>
      <c r="M807" s="64"/>
      <c r="N807" s="64"/>
      <c r="O807" s="64" t="s">
        <v>1333</v>
      </c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</row>
    <row r="808" ht="15.0" customHeight="1">
      <c r="A808" s="64"/>
      <c r="B808" s="64"/>
      <c r="C808" s="64"/>
      <c r="D808" s="64"/>
      <c r="E808" s="64"/>
      <c r="F808" s="64"/>
      <c r="G808" s="64"/>
      <c r="H808" s="64"/>
      <c r="I808" s="27" t="str">
        <f>IFERROR(__xludf.DUMMYFUNCTION("IF(A808="""","""",
TEXTJOIN(""-"",TRUE,
IFERROR(
  INDEX(FILTER(CFG_CODES!C:C, CFG_CODES!A:A=""CATEGORY"", UPPER(CFG_CODES!B:B)=UPPER(B808))),
  LEFT(UPPER(B808),3)
),
IFERROR(
  INDEX(FILTER(CFG_CODES!C:C, CFG_CODES!A:A=""MATERIAL"", UPPER(CFG_CODES!B:B)"&amp;"=UPPER(C808))),
  LEFT(UPPER(C808),3)
),
TEXT(ROW()-1,""000"")
))"),"")</f>
        <v/>
      </c>
      <c r="J808" s="64"/>
      <c r="K808" s="64"/>
      <c r="L808" s="64"/>
      <c r="M808" s="64"/>
      <c r="N808" s="64"/>
      <c r="O808" s="64" t="s">
        <v>1333</v>
      </c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</row>
    <row r="809" ht="15.0" customHeight="1">
      <c r="A809" s="64"/>
      <c r="B809" s="64"/>
      <c r="C809" s="64"/>
      <c r="D809" s="64"/>
      <c r="E809" s="64"/>
      <c r="F809" s="64"/>
      <c r="G809" s="64"/>
      <c r="H809" s="64"/>
      <c r="I809" s="27" t="str">
        <f>IFERROR(__xludf.DUMMYFUNCTION("IF(A809="""","""",
TEXTJOIN(""-"",TRUE,
IFERROR(
  INDEX(FILTER(CFG_CODES!C:C, CFG_CODES!A:A=""CATEGORY"", UPPER(CFG_CODES!B:B)=UPPER(B809))),
  LEFT(UPPER(B809),3)
),
IFERROR(
  INDEX(FILTER(CFG_CODES!C:C, CFG_CODES!A:A=""MATERIAL"", UPPER(CFG_CODES!B:B)"&amp;"=UPPER(C809))),
  LEFT(UPPER(C809),3)
),
TEXT(ROW()-1,""000"")
))"),"")</f>
        <v/>
      </c>
      <c r="J809" s="64"/>
      <c r="K809" s="64"/>
      <c r="L809" s="64"/>
      <c r="M809" s="64"/>
      <c r="N809" s="64"/>
      <c r="O809" s="64" t="s">
        <v>1333</v>
      </c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</row>
    <row r="810" ht="15.0" customHeight="1">
      <c r="A810" s="64"/>
      <c r="B810" s="64"/>
      <c r="C810" s="64"/>
      <c r="D810" s="64"/>
      <c r="E810" s="64"/>
      <c r="F810" s="64"/>
      <c r="G810" s="64"/>
      <c r="H810" s="64"/>
      <c r="I810" s="27" t="str">
        <f>IFERROR(__xludf.DUMMYFUNCTION("IF(A810="""","""",
TEXTJOIN(""-"",TRUE,
IFERROR(
  INDEX(FILTER(CFG_CODES!C:C, CFG_CODES!A:A=""CATEGORY"", UPPER(CFG_CODES!B:B)=UPPER(B810))),
  LEFT(UPPER(B810),3)
),
IFERROR(
  INDEX(FILTER(CFG_CODES!C:C, CFG_CODES!A:A=""MATERIAL"", UPPER(CFG_CODES!B:B)"&amp;"=UPPER(C810))),
  LEFT(UPPER(C810),3)
),
TEXT(ROW()-1,""000"")
))"),"")</f>
        <v/>
      </c>
      <c r="J810" s="64"/>
      <c r="K810" s="64"/>
      <c r="L810" s="64"/>
      <c r="M810" s="64"/>
      <c r="N810" s="64"/>
      <c r="O810" s="64" t="s">
        <v>1333</v>
      </c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</row>
    <row r="811" ht="15.0" customHeight="1">
      <c r="A811" s="64"/>
      <c r="B811" s="64"/>
      <c r="C811" s="64"/>
      <c r="D811" s="64"/>
      <c r="E811" s="64"/>
      <c r="F811" s="64"/>
      <c r="G811" s="64"/>
      <c r="H811" s="64"/>
      <c r="I811" s="27" t="str">
        <f>IFERROR(__xludf.DUMMYFUNCTION("IF(A811="""","""",
TEXTJOIN(""-"",TRUE,
IFERROR(
  INDEX(FILTER(CFG_CODES!C:C, CFG_CODES!A:A=""CATEGORY"", UPPER(CFG_CODES!B:B)=UPPER(B811))),
  LEFT(UPPER(B811),3)
),
IFERROR(
  INDEX(FILTER(CFG_CODES!C:C, CFG_CODES!A:A=""MATERIAL"", UPPER(CFG_CODES!B:B)"&amp;"=UPPER(C811))),
  LEFT(UPPER(C811),3)
),
TEXT(ROW()-1,""000"")
))"),"")</f>
        <v/>
      </c>
      <c r="J811" s="64"/>
      <c r="K811" s="64"/>
      <c r="L811" s="64"/>
      <c r="M811" s="64"/>
      <c r="N811" s="64"/>
      <c r="O811" s="64" t="s">
        <v>1333</v>
      </c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</row>
    <row r="812" ht="15.0" customHeight="1">
      <c r="A812" s="64"/>
      <c r="B812" s="64"/>
      <c r="C812" s="64"/>
      <c r="D812" s="64"/>
      <c r="E812" s="64"/>
      <c r="F812" s="64"/>
      <c r="G812" s="64"/>
      <c r="H812" s="64"/>
      <c r="I812" s="27" t="str">
        <f>IFERROR(__xludf.DUMMYFUNCTION("IF(A812="""","""",
TEXTJOIN(""-"",TRUE,
IFERROR(
  INDEX(FILTER(CFG_CODES!C:C, CFG_CODES!A:A=""CATEGORY"", UPPER(CFG_CODES!B:B)=UPPER(B812))),
  LEFT(UPPER(B812),3)
),
IFERROR(
  INDEX(FILTER(CFG_CODES!C:C, CFG_CODES!A:A=""MATERIAL"", UPPER(CFG_CODES!B:B)"&amp;"=UPPER(C812))),
  LEFT(UPPER(C812),3)
),
TEXT(ROW()-1,""000"")
))"),"")</f>
        <v/>
      </c>
      <c r="J812" s="64"/>
      <c r="K812" s="64"/>
      <c r="L812" s="64"/>
      <c r="M812" s="64"/>
      <c r="N812" s="64"/>
      <c r="O812" s="64" t="s">
        <v>1333</v>
      </c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</row>
    <row r="813" ht="15.0" customHeight="1">
      <c r="A813" s="64"/>
      <c r="B813" s="64"/>
      <c r="C813" s="64"/>
      <c r="D813" s="64"/>
      <c r="E813" s="64"/>
      <c r="F813" s="64"/>
      <c r="G813" s="64"/>
      <c r="H813" s="64"/>
      <c r="I813" s="27" t="str">
        <f>IFERROR(__xludf.DUMMYFUNCTION("IF(A813="""","""",
TEXTJOIN(""-"",TRUE,
IFERROR(
  INDEX(FILTER(CFG_CODES!C:C, CFG_CODES!A:A=""CATEGORY"", UPPER(CFG_CODES!B:B)=UPPER(B813))),
  LEFT(UPPER(B813),3)
),
IFERROR(
  INDEX(FILTER(CFG_CODES!C:C, CFG_CODES!A:A=""MATERIAL"", UPPER(CFG_CODES!B:B)"&amp;"=UPPER(C813))),
  LEFT(UPPER(C813),3)
),
TEXT(ROW()-1,""000"")
))"),"")</f>
        <v/>
      </c>
      <c r="J813" s="64"/>
      <c r="K813" s="64"/>
      <c r="L813" s="64"/>
      <c r="M813" s="64"/>
      <c r="N813" s="64"/>
      <c r="O813" s="64" t="s">
        <v>1333</v>
      </c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</row>
    <row r="814" ht="15.0" customHeight="1">
      <c r="A814" s="64"/>
      <c r="B814" s="64"/>
      <c r="C814" s="64"/>
      <c r="D814" s="64"/>
      <c r="E814" s="64"/>
      <c r="F814" s="64"/>
      <c r="G814" s="64"/>
      <c r="H814" s="64"/>
      <c r="I814" s="27" t="str">
        <f>IFERROR(__xludf.DUMMYFUNCTION("IF(A814="""","""",
TEXTJOIN(""-"",TRUE,
IFERROR(
  INDEX(FILTER(CFG_CODES!C:C, CFG_CODES!A:A=""CATEGORY"", UPPER(CFG_CODES!B:B)=UPPER(B814))),
  LEFT(UPPER(B814),3)
),
IFERROR(
  INDEX(FILTER(CFG_CODES!C:C, CFG_CODES!A:A=""MATERIAL"", UPPER(CFG_CODES!B:B)"&amp;"=UPPER(C814))),
  LEFT(UPPER(C814),3)
),
TEXT(ROW()-1,""000"")
))"),"")</f>
        <v/>
      </c>
      <c r="J814" s="64"/>
      <c r="K814" s="64"/>
      <c r="L814" s="64"/>
      <c r="M814" s="64"/>
      <c r="N814" s="64"/>
      <c r="O814" s="64" t="s">
        <v>1333</v>
      </c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</row>
    <row r="815" ht="15.0" customHeight="1">
      <c r="A815" s="64"/>
      <c r="B815" s="64"/>
      <c r="C815" s="64"/>
      <c r="D815" s="64"/>
      <c r="E815" s="64"/>
      <c r="F815" s="64"/>
      <c r="G815" s="64"/>
      <c r="H815" s="64"/>
      <c r="I815" s="27" t="str">
        <f>IFERROR(__xludf.DUMMYFUNCTION("IF(A815="""","""",
TEXTJOIN(""-"",TRUE,
IFERROR(
  INDEX(FILTER(CFG_CODES!C:C, CFG_CODES!A:A=""CATEGORY"", UPPER(CFG_CODES!B:B)=UPPER(B815))),
  LEFT(UPPER(B815),3)
),
IFERROR(
  INDEX(FILTER(CFG_CODES!C:C, CFG_CODES!A:A=""MATERIAL"", UPPER(CFG_CODES!B:B)"&amp;"=UPPER(C815))),
  LEFT(UPPER(C815),3)
),
TEXT(ROW()-1,""000"")
))"),"")</f>
        <v/>
      </c>
      <c r="J815" s="64"/>
      <c r="K815" s="64"/>
      <c r="L815" s="64"/>
      <c r="M815" s="64"/>
      <c r="N815" s="64"/>
      <c r="O815" s="64" t="s">
        <v>1333</v>
      </c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</row>
    <row r="816" ht="15.0" customHeight="1">
      <c r="A816" s="64"/>
      <c r="B816" s="64"/>
      <c r="C816" s="64"/>
      <c r="D816" s="64"/>
      <c r="E816" s="64"/>
      <c r="F816" s="64"/>
      <c r="G816" s="64"/>
      <c r="H816" s="64"/>
      <c r="I816" s="27" t="str">
        <f>IFERROR(__xludf.DUMMYFUNCTION("IF(A816="""","""",
TEXTJOIN(""-"",TRUE,
IFERROR(
  INDEX(FILTER(CFG_CODES!C:C, CFG_CODES!A:A=""CATEGORY"", UPPER(CFG_CODES!B:B)=UPPER(B816))),
  LEFT(UPPER(B816),3)
),
IFERROR(
  INDEX(FILTER(CFG_CODES!C:C, CFG_CODES!A:A=""MATERIAL"", UPPER(CFG_CODES!B:B)"&amp;"=UPPER(C816))),
  LEFT(UPPER(C816),3)
),
TEXT(ROW()-1,""000"")
))"),"")</f>
        <v/>
      </c>
      <c r="J816" s="64"/>
      <c r="K816" s="64"/>
      <c r="L816" s="64"/>
      <c r="M816" s="64"/>
      <c r="N816" s="64"/>
      <c r="O816" s="64" t="s">
        <v>1333</v>
      </c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</row>
    <row r="817" ht="15.0" customHeight="1">
      <c r="A817" s="64"/>
      <c r="B817" s="64"/>
      <c r="C817" s="64"/>
      <c r="D817" s="64"/>
      <c r="E817" s="64"/>
      <c r="F817" s="64"/>
      <c r="G817" s="64"/>
      <c r="H817" s="64"/>
      <c r="I817" s="27" t="str">
        <f>IFERROR(__xludf.DUMMYFUNCTION("IF(A817="""","""",
TEXTJOIN(""-"",TRUE,
IFERROR(
  INDEX(FILTER(CFG_CODES!C:C, CFG_CODES!A:A=""CATEGORY"", UPPER(CFG_CODES!B:B)=UPPER(B817))),
  LEFT(UPPER(B817),3)
),
IFERROR(
  INDEX(FILTER(CFG_CODES!C:C, CFG_CODES!A:A=""MATERIAL"", UPPER(CFG_CODES!B:B)"&amp;"=UPPER(C817))),
  LEFT(UPPER(C817),3)
),
TEXT(ROW()-1,""000"")
))"),"")</f>
        <v/>
      </c>
      <c r="J817" s="64"/>
      <c r="K817" s="64"/>
      <c r="L817" s="64"/>
      <c r="M817" s="64"/>
      <c r="N817" s="64"/>
      <c r="O817" s="64" t="s">
        <v>1333</v>
      </c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</row>
    <row r="818" ht="15.0" customHeight="1">
      <c r="A818" s="64"/>
      <c r="B818" s="64"/>
      <c r="C818" s="64"/>
      <c r="D818" s="64"/>
      <c r="E818" s="64"/>
      <c r="F818" s="64"/>
      <c r="G818" s="64"/>
      <c r="H818" s="64"/>
      <c r="I818" s="27" t="str">
        <f>IFERROR(__xludf.DUMMYFUNCTION("IF(A818="""","""",
TEXTJOIN(""-"",TRUE,
IFERROR(
  INDEX(FILTER(CFG_CODES!C:C, CFG_CODES!A:A=""CATEGORY"", UPPER(CFG_CODES!B:B)=UPPER(B818))),
  LEFT(UPPER(B818),3)
),
IFERROR(
  INDEX(FILTER(CFG_CODES!C:C, CFG_CODES!A:A=""MATERIAL"", UPPER(CFG_CODES!B:B)"&amp;"=UPPER(C818))),
  LEFT(UPPER(C818),3)
),
TEXT(ROW()-1,""000"")
))"),"")</f>
        <v/>
      </c>
      <c r="J818" s="64"/>
      <c r="K818" s="64"/>
      <c r="L818" s="64"/>
      <c r="M818" s="64"/>
      <c r="N818" s="64"/>
      <c r="O818" s="64" t="s">
        <v>1333</v>
      </c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</row>
    <row r="819" ht="15.0" customHeight="1">
      <c r="A819" s="64"/>
      <c r="B819" s="64"/>
      <c r="C819" s="64"/>
      <c r="D819" s="64"/>
      <c r="E819" s="64"/>
      <c r="F819" s="64"/>
      <c r="G819" s="64"/>
      <c r="H819" s="64"/>
      <c r="I819" s="27" t="str">
        <f>IFERROR(__xludf.DUMMYFUNCTION("IF(A819="""","""",
TEXTJOIN(""-"",TRUE,
IFERROR(
  INDEX(FILTER(CFG_CODES!C:C, CFG_CODES!A:A=""CATEGORY"", UPPER(CFG_CODES!B:B)=UPPER(B819))),
  LEFT(UPPER(B819),3)
),
IFERROR(
  INDEX(FILTER(CFG_CODES!C:C, CFG_CODES!A:A=""MATERIAL"", UPPER(CFG_CODES!B:B)"&amp;"=UPPER(C819))),
  LEFT(UPPER(C819),3)
),
TEXT(ROW()-1,""000"")
))"),"")</f>
        <v/>
      </c>
      <c r="J819" s="64"/>
      <c r="K819" s="64"/>
      <c r="L819" s="64"/>
      <c r="M819" s="64"/>
      <c r="N819" s="64"/>
      <c r="O819" s="64" t="s">
        <v>1333</v>
      </c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</row>
    <row r="820" ht="15.0" customHeight="1">
      <c r="A820" s="64"/>
      <c r="B820" s="64"/>
      <c r="C820" s="64"/>
      <c r="D820" s="64"/>
      <c r="E820" s="64"/>
      <c r="F820" s="64"/>
      <c r="G820" s="64"/>
      <c r="H820" s="64"/>
      <c r="I820" s="27" t="str">
        <f>IFERROR(__xludf.DUMMYFUNCTION("IF(A820="""","""",
TEXTJOIN(""-"",TRUE,
IFERROR(
  INDEX(FILTER(CFG_CODES!C:C, CFG_CODES!A:A=""CATEGORY"", UPPER(CFG_CODES!B:B)=UPPER(B820))),
  LEFT(UPPER(B820),3)
),
IFERROR(
  INDEX(FILTER(CFG_CODES!C:C, CFG_CODES!A:A=""MATERIAL"", UPPER(CFG_CODES!B:B)"&amp;"=UPPER(C820))),
  LEFT(UPPER(C820),3)
),
TEXT(ROW()-1,""000"")
))"),"")</f>
        <v/>
      </c>
      <c r="J820" s="64"/>
      <c r="K820" s="64"/>
      <c r="L820" s="64"/>
      <c r="M820" s="64"/>
      <c r="N820" s="64"/>
      <c r="O820" s="64" t="s">
        <v>1333</v>
      </c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</row>
    <row r="821" ht="15.0" customHeight="1">
      <c r="A821" s="64"/>
      <c r="B821" s="64"/>
      <c r="C821" s="64"/>
      <c r="D821" s="64"/>
      <c r="E821" s="64"/>
      <c r="F821" s="64"/>
      <c r="G821" s="64"/>
      <c r="H821" s="64"/>
      <c r="I821" s="27" t="str">
        <f>IFERROR(__xludf.DUMMYFUNCTION("IF(A821="""","""",
TEXTJOIN(""-"",TRUE,
IFERROR(
  INDEX(FILTER(CFG_CODES!C:C, CFG_CODES!A:A=""CATEGORY"", UPPER(CFG_CODES!B:B)=UPPER(B821))),
  LEFT(UPPER(B821),3)
),
IFERROR(
  INDEX(FILTER(CFG_CODES!C:C, CFG_CODES!A:A=""MATERIAL"", UPPER(CFG_CODES!B:B)"&amp;"=UPPER(C821))),
  LEFT(UPPER(C821),3)
),
TEXT(ROW()-1,""000"")
))"),"")</f>
        <v/>
      </c>
      <c r="J821" s="64"/>
      <c r="K821" s="64"/>
      <c r="L821" s="64"/>
      <c r="M821" s="64"/>
      <c r="N821" s="64"/>
      <c r="O821" s="64" t="s">
        <v>1333</v>
      </c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</row>
    <row r="822" ht="15.0" customHeight="1">
      <c r="A822" s="64"/>
      <c r="B822" s="64"/>
      <c r="C822" s="64"/>
      <c r="D822" s="64"/>
      <c r="E822" s="64"/>
      <c r="F822" s="64"/>
      <c r="G822" s="64"/>
      <c r="H822" s="64"/>
      <c r="I822" s="27" t="str">
        <f>IFERROR(__xludf.DUMMYFUNCTION("IF(A822="""","""",
TEXTJOIN(""-"",TRUE,
IFERROR(
  INDEX(FILTER(CFG_CODES!C:C, CFG_CODES!A:A=""CATEGORY"", UPPER(CFG_CODES!B:B)=UPPER(B822))),
  LEFT(UPPER(B822),3)
),
IFERROR(
  INDEX(FILTER(CFG_CODES!C:C, CFG_CODES!A:A=""MATERIAL"", UPPER(CFG_CODES!B:B)"&amp;"=UPPER(C822))),
  LEFT(UPPER(C822),3)
),
TEXT(ROW()-1,""000"")
))"),"")</f>
        <v/>
      </c>
      <c r="J822" s="64"/>
      <c r="K822" s="64"/>
      <c r="L822" s="64"/>
      <c r="M822" s="64"/>
      <c r="N822" s="64"/>
      <c r="O822" s="64" t="s">
        <v>1333</v>
      </c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</row>
    <row r="823" ht="15.0" customHeight="1">
      <c r="A823" s="64"/>
      <c r="B823" s="64"/>
      <c r="C823" s="64"/>
      <c r="D823" s="64"/>
      <c r="E823" s="64"/>
      <c r="F823" s="64"/>
      <c r="G823" s="64"/>
      <c r="H823" s="64"/>
      <c r="I823" s="27" t="str">
        <f>IFERROR(__xludf.DUMMYFUNCTION("IF(A823="""","""",
TEXTJOIN(""-"",TRUE,
IFERROR(
  INDEX(FILTER(CFG_CODES!C:C, CFG_CODES!A:A=""CATEGORY"", UPPER(CFG_CODES!B:B)=UPPER(B823))),
  LEFT(UPPER(B823),3)
),
IFERROR(
  INDEX(FILTER(CFG_CODES!C:C, CFG_CODES!A:A=""MATERIAL"", UPPER(CFG_CODES!B:B)"&amp;"=UPPER(C823))),
  LEFT(UPPER(C823),3)
),
TEXT(ROW()-1,""000"")
))"),"")</f>
        <v/>
      </c>
      <c r="J823" s="64"/>
      <c r="K823" s="64"/>
      <c r="L823" s="64"/>
      <c r="M823" s="64"/>
      <c r="N823" s="64"/>
      <c r="O823" s="64" t="s">
        <v>1333</v>
      </c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</row>
    <row r="824" ht="15.0" customHeight="1">
      <c r="A824" s="64"/>
      <c r="B824" s="64"/>
      <c r="C824" s="64"/>
      <c r="D824" s="64"/>
      <c r="E824" s="64"/>
      <c r="F824" s="64"/>
      <c r="G824" s="64"/>
      <c r="H824" s="64"/>
      <c r="I824" s="27" t="str">
        <f>IFERROR(__xludf.DUMMYFUNCTION("IF(A824="""","""",
TEXTJOIN(""-"",TRUE,
IFERROR(
  INDEX(FILTER(CFG_CODES!C:C, CFG_CODES!A:A=""CATEGORY"", UPPER(CFG_CODES!B:B)=UPPER(B824))),
  LEFT(UPPER(B824),3)
),
IFERROR(
  INDEX(FILTER(CFG_CODES!C:C, CFG_CODES!A:A=""MATERIAL"", UPPER(CFG_CODES!B:B)"&amp;"=UPPER(C824))),
  LEFT(UPPER(C824),3)
),
TEXT(ROW()-1,""000"")
))"),"")</f>
        <v/>
      </c>
      <c r="J824" s="64"/>
      <c r="K824" s="64"/>
      <c r="L824" s="64"/>
      <c r="M824" s="64"/>
      <c r="N824" s="64"/>
      <c r="O824" s="64" t="s">
        <v>1333</v>
      </c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</row>
    <row r="825" ht="15.0" customHeight="1">
      <c r="A825" s="64"/>
      <c r="B825" s="64"/>
      <c r="C825" s="64"/>
      <c r="D825" s="64"/>
      <c r="E825" s="64"/>
      <c r="F825" s="64"/>
      <c r="G825" s="64"/>
      <c r="H825" s="64"/>
      <c r="I825" s="27" t="str">
        <f>IFERROR(__xludf.DUMMYFUNCTION("IF(A825="""","""",
TEXTJOIN(""-"",TRUE,
IFERROR(
  INDEX(FILTER(CFG_CODES!C:C, CFG_CODES!A:A=""CATEGORY"", UPPER(CFG_CODES!B:B)=UPPER(B825))),
  LEFT(UPPER(B825),3)
),
IFERROR(
  INDEX(FILTER(CFG_CODES!C:C, CFG_CODES!A:A=""MATERIAL"", UPPER(CFG_CODES!B:B)"&amp;"=UPPER(C825))),
  LEFT(UPPER(C825),3)
),
TEXT(ROW()-1,""000"")
))"),"")</f>
        <v/>
      </c>
      <c r="J825" s="64"/>
      <c r="K825" s="64"/>
      <c r="L825" s="64"/>
      <c r="M825" s="64"/>
      <c r="N825" s="64"/>
      <c r="O825" s="64" t="s">
        <v>1333</v>
      </c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</row>
    <row r="826" ht="15.0" customHeight="1">
      <c r="A826" s="64"/>
      <c r="B826" s="64"/>
      <c r="C826" s="64"/>
      <c r="D826" s="64"/>
      <c r="E826" s="64"/>
      <c r="F826" s="64"/>
      <c r="G826" s="64"/>
      <c r="H826" s="64"/>
      <c r="I826" s="27" t="str">
        <f>IFERROR(__xludf.DUMMYFUNCTION("IF(A826="""","""",
TEXTJOIN(""-"",TRUE,
IFERROR(
  INDEX(FILTER(CFG_CODES!C:C, CFG_CODES!A:A=""CATEGORY"", UPPER(CFG_CODES!B:B)=UPPER(B826))),
  LEFT(UPPER(B826),3)
),
IFERROR(
  INDEX(FILTER(CFG_CODES!C:C, CFG_CODES!A:A=""MATERIAL"", UPPER(CFG_CODES!B:B)"&amp;"=UPPER(C826))),
  LEFT(UPPER(C826),3)
),
TEXT(ROW()-1,""000"")
))"),"")</f>
        <v/>
      </c>
      <c r="J826" s="64"/>
      <c r="K826" s="64"/>
      <c r="L826" s="64"/>
      <c r="M826" s="64"/>
      <c r="N826" s="64"/>
      <c r="O826" s="64" t="s">
        <v>1333</v>
      </c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</row>
    <row r="827" ht="15.0" customHeight="1">
      <c r="A827" s="64"/>
      <c r="B827" s="64"/>
      <c r="C827" s="64"/>
      <c r="D827" s="64"/>
      <c r="E827" s="64"/>
      <c r="F827" s="64"/>
      <c r="G827" s="64"/>
      <c r="H827" s="64"/>
      <c r="I827" s="27" t="str">
        <f>IFERROR(__xludf.DUMMYFUNCTION("IF(A827="""","""",
TEXTJOIN(""-"",TRUE,
IFERROR(
  INDEX(FILTER(CFG_CODES!C:C, CFG_CODES!A:A=""CATEGORY"", UPPER(CFG_CODES!B:B)=UPPER(B827))),
  LEFT(UPPER(B827),3)
),
IFERROR(
  INDEX(FILTER(CFG_CODES!C:C, CFG_CODES!A:A=""MATERIAL"", UPPER(CFG_CODES!B:B)"&amp;"=UPPER(C827))),
  LEFT(UPPER(C827),3)
),
TEXT(ROW()-1,""000"")
))"),"")</f>
        <v/>
      </c>
      <c r="J827" s="64"/>
      <c r="K827" s="64"/>
      <c r="L827" s="64"/>
      <c r="M827" s="64"/>
      <c r="N827" s="64"/>
      <c r="O827" s="64" t="s">
        <v>1333</v>
      </c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</row>
    <row r="828" ht="15.0" customHeight="1">
      <c r="A828" s="64"/>
      <c r="B828" s="64"/>
      <c r="C828" s="64"/>
      <c r="D828" s="64"/>
      <c r="E828" s="64"/>
      <c r="F828" s="64"/>
      <c r="G828" s="64"/>
      <c r="H828" s="64"/>
      <c r="I828" s="27" t="str">
        <f>IFERROR(__xludf.DUMMYFUNCTION("IF(A828="""","""",
TEXTJOIN(""-"",TRUE,
IFERROR(
  INDEX(FILTER(CFG_CODES!C:C, CFG_CODES!A:A=""CATEGORY"", UPPER(CFG_CODES!B:B)=UPPER(B828))),
  LEFT(UPPER(B828),3)
),
IFERROR(
  INDEX(FILTER(CFG_CODES!C:C, CFG_CODES!A:A=""MATERIAL"", UPPER(CFG_CODES!B:B)"&amp;"=UPPER(C828))),
  LEFT(UPPER(C828),3)
),
TEXT(ROW()-1,""000"")
))"),"")</f>
        <v/>
      </c>
      <c r="J828" s="64"/>
      <c r="K828" s="64"/>
      <c r="L828" s="64"/>
      <c r="M828" s="64"/>
      <c r="N828" s="64"/>
      <c r="O828" s="64" t="s">
        <v>1333</v>
      </c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</row>
    <row r="829" ht="15.0" customHeight="1">
      <c r="A829" s="64"/>
      <c r="B829" s="64"/>
      <c r="C829" s="64"/>
      <c r="D829" s="64"/>
      <c r="E829" s="64"/>
      <c r="F829" s="64"/>
      <c r="G829" s="64"/>
      <c r="H829" s="64"/>
      <c r="I829" s="27" t="str">
        <f>IFERROR(__xludf.DUMMYFUNCTION("IF(A829="""","""",
TEXTJOIN(""-"",TRUE,
IFERROR(
  INDEX(FILTER(CFG_CODES!C:C, CFG_CODES!A:A=""CATEGORY"", UPPER(CFG_CODES!B:B)=UPPER(B829))),
  LEFT(UPPER(B829),3)
),
IFERROR(
  INDEX(FILTER(CFG_CODES!C:C, CFG_CODES!A:A=""MATERIAL"", UPPER(CFG_CODES!B:B)"&amp;"=UPPER(C829))),
  LEFT(UPPER(C829),3)
),
TEXT(ROW()-1,""000"")
))"),"")</f>
        <v/>
      </c>
      <c r="J829" s="64"/>
      <c r="K829" s="64"/>
      <c r="L829" s="64"/>
      <c r="M829" s="64"/>
      <c r="N829" s="64"/>
      <c r="O829" s="64" t="s">
        <v>1333</v>
      </c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</row>
    <row r="830" ht="15.0" customHeight="1">
      <c r="A830" s="64"/>
      <c r="B830" s="64"/>
      <c r="C830" s="64"/>
      <c r="D830" s="64"/>
      <c r="E830" s="64"/>
      <c r="F830" s="64"/>
      <c r="G830" s="64"/>
      <c r="H830" s="64"/>
      <c r="I830" s="27" t="str">
        <f>IFERROR(__xludf.DUMMYFUNCTION("IF(A830="""","""",
TEXTJOIN(""-"",TRUE,
IFERROR(
  INDEX(FILTER(CFG_CODES!C:C, CFG_CODES!A:A=""CATEGORY"", UPPER(CFG_CODES!B:B)=UPPER(B830))),
  LEFT(UPPER(B830),3)
),
IFERROR(
  INDEX(FILTER(CFG_CODES!C:C, CFG_CODES!A:A=""MATERIAL"", UPPER(CFG_CODES!B:B)"&amp;"=UPPER(C830))),
  LEFT(UPPER(C830),3)
),
TEXT(ROW()-1,""000"")
))"),"")</f>
        <v/>
      </c>
      <c r="J830" s="64"/>
      <c r="K830" s="64"/>
      <c r="L830" s="64"/>
      <c r="M830" s="64"/>
      <c r="N830" s="64"/>
      <c r="O830" s="64" t="s">
        <v>1333</v>
      </c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</row>
    <row r="831" ht="15.0" customHeight="1">
      <c r="A831" s="64"/>
      <c r="B831" s="64"/>
      <c r="C831" s="64"/>
      <c r="D831" s="64"/>
      <c r="E831" s="64"/>
      <c r="F831" s="64"/>
      <c r="G831" s="64"/>
      <c r="H831" s="64"/>
      <c r="I831" s="27" t="str">
        <f>IFERROR(__xludf.DUMMYFUNCTION("IF(A831="""","""",
TEXTJOIN(""-"",TRUE,
IFERROR(
  INDEX(FILTER(CFG_CODES!C:C, CFG_CODES!A:A=""CATEGORY"", UPPER(CFG_CODES!B:B)=UPPER(B831))),
  LEFT(UPPER(B831),3)
),
IFERROR(
  INDEX(FILTER(CFG_CODES!C:C, CFG_CODES!A:A=""MATERIAL"", UPPER(CFG_CODES!B:B)"&amp;"=UPPER(C831))),
  LEFT(UPPER(C831),3)
),
TEXT(ROW()-1,""000"")
))"),"")</f>
        <v/>
      </c>
      <c r="J831" s="64"/>
      <c r="K831" s="64"/>
      <c r="L831" s="64"/>
      <c r="M831" s="64"/>
      <c r="N831" s="64"/>
      <c r="O831" s="64" t="s">
        <v>1333</v>
      </c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</row>
    <row r="832" ht="15.0" customHeight="1">
      <c r="A832" s="64"/>
      <c r="B832" s="64"/>
      <c r="C832" s="64"/>
      <c r="D832" s="64"/>
      <c r="E832" s="64"/>
      <c r="F832" s="64"/>
      <c r="G832" s="64"/>
      <c r="H832" s="64"/>
      <c r="I832" s="27" t="str">
        <f>IFERROR(__xludf.DUMMYFUNCTION("IF(A832="""","""",
TEXTJOIN(""-"",TRUE,
IFERROR(
  INDEX(FILTER(CFG_CODES!C:C, CFG_CODES!A:A=""CATEGORY"", UPPER(CFG_CODES!B:B)=UPPER(B832))),
  LEFT(UPPER(B832),3)
),
IFERROR(
  INDEX(FILTER(CFG_CODES!C:C, CFG_CODES!A:A=""MATERIAL"", UPPER(CFG_CODES!B:B)"&amp;"=UPPER(C832))),
  LEFT(UPPER(C832),3)
),
TEXT(ROW()-1,""000"")
))"),"")</f>
        <v/>
      </c>
      <c r="J832" s="64"/>
      <c r="K832" s="64"/>
      <c r="L832" s="64"/>
      <c r="M832" s="64"/>
      <c r="N832" s="64"/>
      <c r="O832" s="64" t="s">
        <v>1333</v>
      </c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</row>
    <row r="833" ht="15.0" customHeight="1">
      <c r="A833" s="64"/>
      <c r="B833" s="64"/>
      <c r="C833" s="64"/>
      <c r="D833" s="64"/>
      <c r="E833" s="64"/>
      <c r="F833" s="64"/>
      <c r="G833" s="64"/>
      <c r="H833" s="64"/>
      <c r="I833" s="27" t="str">
        <f>IFERROR(__xludf.DUMMYFUNCTION("IF(A833="""","""",
TEXTJOIN(""-"",TRUE,
IFERROR(
  INDEX(FILTER(CFG_CODES!C:C, CFG_CODES!A:A=""CATEGORY"", UPPER(CFG_CODES!B:B)=UPPER(B833))),
  LEFT(UPPER(B833),3)
),
IFERROR(
  INDEX(FILTER(CFG_CODES!C:C, CFG_CODES!A:A=""MATERIAL"", UPPER(CFG_CODES!B:B)"&amp;"=UPPER(C833))),
  LEFT(UPPER(C833),3)
),
TEXT(ROW()-1,""000"")
))"),"")</f>
        <v/>
      </c>
      <c r="J833" s="64"/>
      <c r="K833" s="64"/>
      <c r="L833" s="64"/>
      <c r="M833" s="64"/>
      <c r="N833" s="64"/>
      <c r="O833" s="64" t="s">
        <v>1333</v>
      </c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</row>
    <row r="834" ht="15.0" customHeight="1">
      <c r="A834" s="64"/>
      <c r="B834" s="64"/>
      <c r="C834" s="64"/>
      <c r="D834" s="64"/>
      <c r="E834" s="64"/>
      <c r="F834" s="64"/>
      <c r="G834" s="64"/>
      <c r="H834" s="64"/>
      <c r="I834" s="27" t="str">
        <f>IFERROR(__xludf.DUMMYFUNCTION("IF(A834="""","""",
TEXTJOIN(""-"",TRUE,
IFERROR(
  INDEX(FILTER(CFG_CODES!C:C, CFG_CODES!A:A=""CATEGORY"", UPPER(CFG_CODES!B:B)=UPPER(B834))),
  LEFT(UPPER(B834),3)
),
IFERROR(
  INDEX(FILTER(CFG_CODES!C:C, CFG_CODES!A:A=""MATERIAL"", UPPER(CFG_CODES!B:B)"&amp;"=UPPER(C834))),
  LEFT(UPPER(C834),3)
),
TEXT(ROW()-1,""000"")
))"),"")</f>
        <v/>
      </c>
      <c r="J834" s="64"/>
      <c r="K834" s="64"/>
      <c r="L834" s="64"/>
      <c r="M834" s="64"/>
      <c r="N834" s="64"/>
      <c r="O834" s="64" t="s">
        <v>1333</v>
      </c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</row>
    <row r="835" ht="15.0" customHeight="1">
      <c r="A835" s="64"/>
      <c r="B835" s="64"/>
      <c r="C835" s="64"/>
      <c r="D835" s="64"/>
      <c r="E835" s="64"/>
      <c r="F835" s="64"/>
      <c r="G835" s="64"/>
      <c r="H835" s="64"/>
      <c r="I835" s="27" t="str">
        <f>IFERROR(__xludf.DUMMYFUNCTION("IF(A835="""","""",
TEXTJOIN(""-"",TRUE,
IFERROR(
  INDEX(FILTER(CFG_CODES!C:C, CFG_CODES!A:A=""CATEGORY"", UPPER(CFG_CODES!B:B)=UPPER(B835))),
  LEFT(UPPER(B835),3)
),
IFERROR(
  INDEX(FILTER(CFG_CODES!C:C, CFG_CODES!A:A=""MATERIAL"", UPPER(CFG_CODES!B:B)"&amp;"=UPPER(C835))),
  LEFT(UPPER(C835),3)
),
TEXT(ROW()-1,""000"")
))"),"")</f>
        <v/>
      </c>
      <c r="J835" s="64"/>
      <c r="K835" s="64"/>
      <c r="L835" s="64"/>
      <c r="M835" s="64"/>
      <c r="N835" s="64"/>
      <c r="O835" s="64" t="s">
        <v>1333</v>
      </c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</row>
    <row r="836" ht="15.0" customHeight="1">
      <c r="A836" s="64"/>
      <c r="B836" s="64"/>
      <c r="C836" s="64"/>
      <c r="D836" s="64"/>
      <c r="E836" s="64"/>
      <c r="F836" s="64"/>
      <c r="G836" s="64"/>
      <c r="H836" s="64"/>
      <c r="I836" s="27" t="str">
        <f>IFERROR(__xludf.DUMMYFUNCTION("IF(A836="""","""",
TEXTJOIN(""-"",TRUE,
IFERROR(
  INDEX(FILTER(CFG_CODES!C:C, CFG_CODES!A:A=""CATEGORY"", UPPER(CFG_CODES!B:B)=UPPER(B836))),
  LEFT(UPPER(B836),3)
),
IFERROR(
  INDEX(FILTER(CFG_CODES!C:C, CFG_CODES!A:A=""MATERIAL"", UPPER(CFG_CODES!B:B)"&amp;"=UPPER(C836))),
  LEFT(UPPER(C836),3)
),
TEXT(ROW()-1,""000"")
))"),"")</f>
        <v/>
      </c>
      <c r="J836" s="64"/>
      <c r="K836" s="64"/>
      <c r="L836" s="64"/>
      <c r="M836" s="64"/>
      <c r="N836" s="64"/>
      <c r="O836" s="64" t="s">
        <v>1333</v>
      </c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</row>
    <row r="837" ht="15.0" customHeight="1">
      <c r="A837" s="64"/>
      <c r="B837" s="64"/>
      <c r="C837" s="64"/>
      <c r="D837" s="64"/>
      <c r="E837" s="64"/>
      <c r="F837" s="64"/>
      <c r="G837" s="64"/>
      <c r="H837" s="64"/>
      <c r="I837" s="27" t="str">
        <f>IFERROR(__xludf.DUMMYFUNCTION("IF(A837="""","""",
TEXTJOIN(""-"",TRUE,
IFERROR(
  INDEX(FILTER(CFG_CODES!C:C, CFG_CODES!A:A=""CATEGORY"", UPPER(CFG_CODES!B:B)=UPPER(B837))),
  LEFT(UPPER(B837),3)
),
IFERROR(
  INDEX(FILTER(CFG_CODES!C:C, CFG_CODES!A:A=""MATERIAL"", UPPER(CFG_CODES!B:B)"&amp;"=UPPER(C837))),
  LEFT(UPPER(C837),3)
),
TEXT(ROW()-1,""000"")
))"),"")</f>
        <v/>
      </c>
      <c r="J837" s="64"/>
      <c r="K837" s="64"/>
      <c r="L837" s="64"/>
      <c r="M837" s="64"/>
      <c r="N837" s="64"/>
      <c r="O837" s="64" t="s">
        <v>1333</v>
      </c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</row>
    <row r="838" ht="15.0" customHeight="1">
      <c r="A838" s="64"/>
      <c r="B838" s="64"/>
      <c r="C838" s="64"/>
      <c r="D838" s="64"/>
      <c r="E838" s="64"/>
      <c r="F838" s="64"/>
      <c r="G838" s="64"/>
      <c r="H838" s="64"/>
      <c r="I838" s="27" t="str">
        <f>IFERROR(__xludf.DUMMYFUNCTION("IF(A838="""","""",
TEXTJOIN(""-"",TRUE,
IFERROR(
  INDEX(FILTER(CFG_CODES!C:C, CFG_CODES!A:A=""CATEGORY"", UPPER(CFG_CODES!B:B)=UPPER(B838))),
  LEFT(UPPER(B838),3)
),
IFERROR(
  INDEX(FILTER(CFG_CODES!C:C, CFG_CODES!A:A=""MATERIAL"", UPPER(CFG_CODES!B:B)"&amp;"=UPPER(C838))),
  LEFT(UPPER(C838),3)
),
TEXT(ROW()-1,""000"")
))"),"")</f>
        <v/>
      </c>
      <c r="J838" s="64"/>
      <c r="K838" s="64"/>
      <c r="L838" s="64"/>
      <c r="M838" s="64"/>
      <c r="N838" s="64"/>
      <c r="O838" s="64" t="s">
        <v>1333</v>
      </c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</row>
    <row r="839" ht="15.0" customHeight="1">
      <c r="A839" s="64"/>
      <c r="B839" s="64"/>
      <c r="C839" s="64"/>
      <c r="D839" s="64"/>
      <c r="E839" s="64"/>
      <c r="F839" s="64"/>
      <c r="G839" s="64"/>
      <c r="H839" s="64"/>
      <c r="I839" s="27" t="str">
        <f>IFERROR(__xludf.DUMMYFUNCTION("IF(A839="""","""",
TEXTJOIN(""-"",TRUE,
IFERROR(
  INDEX(FILTER(CFG_CODES!C:C, CFG_CODES!A:A=""CATEGORY"", UPPER(CFG_CODES!B:B)=UPPER(B839))),
  LEFT(UPPER(B839),3)
),
IFERROR(
  INDEX(FILTER(CFG_CODES!C:C, CFG_CODES!A:A=""MATERIAL"", UPPER(CFG_CODES!B:B)"&amp;"=UPPER(C839))),
  LEFT(UPPER(C839),3)
),
TEXT(ROW()-1,""000"")
))"),"")</f>
        <v/>
      </c>
      <c r="J839" s="64"/>
      <c r="K839" s="64"/>
      <c r="L839" s="64"/>
      <c r="M839" s="64"/>
      <c r="N839" s="64"/>
      <c r="O839" s="64" t="s">
        <v>1333</v>
      </c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</row>
    <row r="840" ht="15.0" customHeight="1">
      <c r="A840" s="64"/>
      <c r="B840" s="64"/>
      <c r="C840" s="64"/>
      <c r="D840" s="64"/>
      <c r="E840" s="64"/>
      <c r="F840" s="64"/>
      <c r="G840" s="64"/>
      <c r="H840" s="64"/>
      <c r="I840" s="27" t="str">
        <f>IFERROR(__xludf.DUMMYFUNCTION("IF(A840="""","""",
TEXTJOIN(""-"",TRUE,
IFERROR(
  INDEX(FILTER(CFG_CODES!C:C, CFG_CODES!A:A=""CATEGORY"", UPPER(CFG_CODES!B:B)=UPPER(B840))),
  LEFT(UPPER(B840),3)
),
IFERROR(
  INDEX(FILTER(CFG_CODES!C:C, CFG_CODES!A:A=""MATERIAL"", UPPER(CFG_CODES!B:B)"&amp;"=UPPER(C840))),
  LEFT(UPPER(C840),3)
),
TEXT(ROW()-1,""000"")
))"),"")</f>
        <v/>
      </c>
      <c r="J840" s="64"/>
      <c r="K840" s="64"/>
      <c r="L840" s="64"/>
      <c r="M840" s="64"/>
      <c r="N840" s="64"/>
      <c r="O840" s="64" t="s">
        <v>1333</v>
      </c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</row>
    <row r="841" ht="15.0" customHeight="1">
      <c r="A841" s="64"/>
      <c r="B841" s="64"/>
      <c r="C841" s="64"/>
      <c r="D841" s="64"/>
      <c r="E841" s="64"/>
      <c r="F841" s="64"/>
      <c r="G841" s="64"/>
      <c r="H841" s="64"/>
      <c r="I841" s="27" t="str">
        <f>IFERROR(__xludf.DUMMYFUNCTION("IF(A841="""","""",
TEXTJOIN(""-"",TRUE,
IFERROR(
  INDEX(FILTER(CFG_CODES!C:C, CFG_CODES!A:A=""CATEGORY"", UPPER(CFG_CODES!B:B)=UPPER(B841))),
  LEFT(UPPER(B841),3)
),
IFERROR(
  INDEX(FILTER(CFG_CODES!C:C, CFG_CODES!A:A=""MATERIAL"", UPPER(CFG_CODES!B:B)"&amp;"=UPPER(C841))),
  LEFT(UPPER(C841),3)
),
TEXT(ROW()-1,""000"")
))"),"")</f>
        <v/>
      </c>
      <c r="J841" s="64"/>
      <c r="K841" s="64"/>
      <c r="L841" s="64"/>
      <c r="M841" s="64"/>
      <c r="N841" s="64"/>
      <c r="O841" s="64" t="s">
        <v>1333</v>
      </c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</row>
    <row r="842" ht="15.0" customHeight="1">
      <c r="A842" s="64"/>
      <c r="B842" s="64"/>
      <c r="C842" s="64"/>
      <c r="D842" s="64"/>
      <c r="E842" s="64"/>
      <c r="F842" s="64"/>
      <c r="G842" s="64"/>
      <c r="H842" s="64"/>
      <c r="I842" s="27" t="str">
        <f>IFERROR(__xludf.DUMMYFUNCTION("IF(A842="""","""",
TEXTJOIN(""-"",TRUE,
IFERROR(
  INDEX(FILTER(CFG_CODES!C:C, CFG_CODES!A:A=""CATEGORY"", UPPER(CFG_CODES!B:B)=UPPER(B842))),
  LEFT(UPPER(B842),3)
),
IFERROR(
  INDEX(FILTER(CFG_CODES!C:C, CFG_CODES!A:A=""MATERIAL"", UPPER(CFG_CODES!B:B)"&amp;"=UPPER(C842))),
  LEFT(UPPER(C842),3)
),
TEXT(ROW()-1,""000"")
))"),"")</f>
        <v/>
      </c>
      <c r="J842" s="64"/>
      <c r="K842" s="64"/>
      <c r="L842" s="64"/>
      <c r="M842" s="64"/>
      <c r="N842" s="64"/>
      <c r="O842" s="64" t="s">
        <v>1333</v>
      </c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</row>
    <row r="843" ht="15.0" customHeight="1">
      <c r="A843" s="64"/>
      <c r="B843" s="64"/>
      <c r="C843" s="64"/>
      <c r="D843" s="64"/>
      <c r="E843" s="64"/>
      <c r="F843" s="64"/>
      <c r="G843" s="64"/>
      <c r="H843" s="64"/>
      <c r="I843" s="27" t="str">
        <f>IFERROR(__xludf.DUMMYFUNCTION("IF(A843="""","""",
TEXTJOIN(""-"",TRUE,
IFERROR(
  INDEX(FILTER(CFG_CODES!C:C, CFG_CODES!A:A=""CATEGORY"", UPPER(CFG_CODES!B:B)=UPPER(B843))),
  LEFT(UPPER(B843),3)
),
IFERROR(
  INDEX(FILTER(CFG_CODES!C:C, CFG_CODES!A:A=""MATERIAL"", UPPER(CFG_CODES!B:B)"&amp;"=UPPER(C843))),
  LEFT(UPPER(C843),3)
),
TEXT(ROW()-1,""000"")
))"),"")</f>
        <v/>
      </c>
      <c r="J843" s="64"/>
      <c r="K843" s="64"/>
      <c r="L843" s="64"/>
      <c r="M843" s="64"/>
      <c r="N843" s="64"/>
      <c r="O843" s="64" t="s">
        <v>1333</v>
      </c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</row>
    <row r="844" ht="15.0" customHeight="1">
      <c r="A844" s="64"/>
      <c r="B844" s="64"/>
      <c r="C844" s="64"/>
      <c r="D844" s="64"/>
      <c r="E844" s="64"/>
      <c r="F844" s="64"/>
      <c r="G844" s="64"/>
      <c r="H844" s="64"/>
      <c r="I844" s="27" t="str">
        <f>IFERROR(__xludf.DUMMYFUNCTION("IF(A844="""","""",
TEXTJOIN(""-"",TRUE,
IFERROR(
  INDEX(FILTER(CFG_CODES!C:C, CFG_CODES!A:A=""CATEGORY"", UPPER(CFG_CODES!B:B)=UPPER(B844))),
  LEFT(UPPER(B844),3)
),
IFERROR(
  INDEX(FILTER(CFG_CODES!C:C, CFG_CODES!A:A=""MATERIAL"", UPPER(CFG_CODES!B:B)"&amp;"=UPPER(C844))),
  LEFT(UPPER(C844),3)
),
TEXT(ROW()-1,""000"")
))"),"")</f>
        <v/>
      </c>
      <c r="J844" s="64"/>
      <c r="K844" s="64"/>
      <c r="L844" s="64"/>
      <c r="M844" s="64"/>
      <c r="N844" s="64"/>
      <c r="O844" s="64" t="s">
        <v>1333</v>
      </c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</row>
    <row r="845" ht="15.0" customHeight="1">
      <c r="A845" s="64"/>
      <c r="B845" s="64"/>
      <c r="C845" s="64"/>
      <c r="D845" s="64"/>
      <c r="E845" s="64"/>
      <c r="F845" s="64"/>
      <c r="G845" s="64"/>
      <c r="H845" s="64"/>
      <c r="I845" s="27" t="str">
        <f>IFERROR(__xludf.DUMMYFUNCTION("IF(A845="""","""",
TEXTJOIN(""-"",TRUE,
IFERROR(
  INDEX(FILTER(CFG_CODES!C:C, CFG_CODES!A:A=""CATEGORY"", UPPER(CFG_CODES!B:B)=UPPER(B845))),
  LEFT(UPPER(B845),3)
),
IFERROR(
  INDEX(FILTER(CFG_CODES!C:C, CFG_CODES!A:A=""MATERIAL"", UPPER(CFG_CODES!B:B)"&amp;"=UPPER(C845))),
  LEFT(UPPER(C845),3)
),
TEXT(ROW()-1,""000"")
))"),"")</f>
        <v/>
      </c>
      <c r="J845" s="64"/>
      <c r="K845" s="64"/>
      <c r="L845" s="64"/>
      <c r="M845" s="64"/>
      <c r="N845" s="64"/>
      <c r="O845" s="64" t="s">
        <v>1333</v>
      </c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</row>
    <row r="846" ht="15.0" customHeight="1">
      <c r="A846" s="64"/>
      <c r="B846" s="64"/>
      <c r="C846" s="64"/>
      <c r="D846" s="64"/>
      <c r="E846" s="64"/>
      <c r="F846" s="64"/>
      <c r="G846" s="64"/>
      <c r="H846" s="64"/>
      <c r="I846" s="27" t="str">
        <f>IFERROR(__xludf.DUMMYFUNCTION("IF(A846="""","""",
TEXTJOIN(""-"",TRUE,
IFERROR(
  INDEX(FILTER(CFG_CODES!C:C, CFG_CODES!A:A=""CATEGORY"", UPPER(CFG_CODES!B:B)=UPPER(B846))),
  LEFT(UPPER(B846),3)
),
IFERROR(
  INDEX(FILTER(CFG_CODES!C:C, CFG_CODES!A:A=""MATERIAL"", UPPER(CFG_CODES!B:B)"&amp;"=UPPER(C846))),
  LEFT(UPPER(C846),3)
),
TEXT(ROW()-1,""000"")
))"),"")</f>
        <v/>
      </c>
      <c r="J846" s="64"/>
      <c r="K846" s="64"/>
      <c r="L846" s="64"/>
      <c r="M846" s="64"/>
      <c r="N846" s="64"/>
      <c r="O846" s="64" t="s">
        <v>1333</v>
      </c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</row>
    <row r="847" ht="15.0" customHeight="1">
      <c r="A847" s="64"/>
      <c r="B847" s="64"/>
      <c r="C847" s="64"/>
      <c r="D847" s="64"/>
      <c r="E847" s="64"/>
      <c r="F847" s="64"/>
      <c r="G847" s="64"/>
      <c r="H847" s="64"/>
      <c r="I847" s="27" t="str">
        <f>IFERROR(__xludf.DUMMYFUNCTION("IF(A847="""","""",
TEXTJOIN(""-"",TRUE,
IFERROR(
  INDEX(FILTER(CFG_CODES!C:C, CFG_CODES!A:A=""CATEGORY"", UPPER(CFG_CODES!B:B)=UPPER(B847))),
  LEFT(UPPER(B847),3)
),
IFERROR(
  INDEX(FILTER(CFG_CODES!C:C, CFG_CODES!A:A=""MATERIAL"", UPPER(CFG_CODES!B:B)"&amp;"=UPPER(C847))),
  LEFT(UPPER(C847),3)
),
TEXT(ROW()-1,""000"")
))"),"")</f>
        <v/>
      </c>
      <c r="J847" s="64"/>
      <c r="K847" s="64"/>
      <c r="L847" s="64"/>
      <c r="M847" s="64"/>
      <c r="N847" s="64"/>
      <c r="O847" s="64" t="s">
        <v>1333</v>
      </c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</row>
    <row r="848" ht="15.0" customHeight="1">
      <c r="A848" s="64"/>
      <c r="B848" s="64"/>
      <c r="C848" s="64"/>
      <c r="D848" s="64"/>
      <c r="E848" s="64"/>
      <c r="F848" s="64"/>
      <c r="G848" s="64"/>
      <c r="H848" s="64"/>
      <c r="I848" s="27" t="str">
        <f>IFERROR(__xludf.DUMMYFUNCTION("IF(A848="""","""",
TEXTJOIN(""-"",TRUE,
IFERROR(
  INDEX(FILTER(CFG_CODES!C:C, CFG_CODES!A:A=""CATEGORY"", UPPER(CFG_CODES!B:B)=UPPER(B848))),
  LEFT(UPPER(B848),3)
),
IFERROR(
  INDEX(FILTER(CFG_CODES!C:C, CFG_CODES!A:A=""MATERIAL"", UPPER(CFG_CODES!B:B)"&amp;"=UPPER(C848))),
  LEFT(UPPER(C848),3)
),
TEXT(ROW()-1,""000"")
))"),"")</f>
        <v/>
      </c>
      <c r="J848" s="64"/>
      <c r="K848" s="64"/>
      <c r="L848" s="64"/>
      <c r="M848" s="64"/>
      <c r="N848" s="64"/>
      <c r="O848" s="64" t="s">
        <v>1333</v>
      </c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</row>
    <row r="849" ht="15.0" customHeight="1">
      <c r="A849" s="64"/>
      <c r="B849" s="64"/>
      <c r="C849" s="64"/>
      <c r="D849" s="64"/>
      <c r="E849" s="64"/>
      <c r="F849" s="64"/>
      <c r="G849" s="64"/>
      <c r="H849" s="64"/>
      <c r="I849" s="27" t="str">
        <f>IFERROR(__xludf.DUMMYFUNCTION("IF(A849="""","""",
TEXTJOIN(""-"",TRUE,
IFERROR(
  INDEX(FILTER(CFG_CODES!C:C, CFG_CODES!A:A=""CATEGORY"", UPPER(CFG_CODES!B:B)=UPPER(B849))),
  LEFT(UPPER(B849),3)
),
IFERROR(
  INDEX(FILTER(CFG_CODES!C:C, CFG_CODES!A:A=""MATERIAL"", UPPER(CFG_CODES!B:B)"&amp;"=UPPER(C849))),
  LEFT(UPPER(C849),3)
),
TEXT(ROW()-1,""000"")
))"),"")</f>
        <v/>
      </c>
      <c r="J849" s="64"/>
      <c r="K849" s="64"/>
      <c r="L849" s="64"/>
      <c r="M849" s="64"/>
      <c r="N849" s="64"/>
      <c r="O849" s="64" t="s">
        <v>1333</v>
      </c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</row>
    <row r="850" ht="15.0" customHeight="1">
      <c r="A850" s="64"/>
      <c r="B850" s="64"/>
      <c r="C850" s="64"/>
      <c r="D850" s="64"/>
      <c r="E850" s="64"/>
      <c r="F850" s="64"/>
      <c r="G850" s="64"/>
      <c r="H850" s="64"/>
      <c r="I850" s="27" t="str">
        <f>IFERROR(__xludf.DUMMYFUNCTION("IF(A850="""","""",
TEXTJOIN(""-"",TRUE,
IFERROR(
  INDEX(FILTER(CFG_CODES!C:C, CFG_CODES!A:A=""CATEGORY"", UPPER(CFG_CODES!B:B)=UPPER(B850))),
  LEFT(UPPER(B850),3)
),
IFERROR(
  INDEX(FILTER(CFG_CODES!C:C, CFG_CODES!A:A=""MATERIAL"", UPPER(CFG_CODES!B:B)"&amp;"=UPPER(C850))),
  LEFT(UPPER(C850),3)
),
TEXT(ROW()-1,""000"")
))"),"")</f>
        <v/>
      </c>
      <c r="J850" s="64"/>
      <c r="K850" s="64"/>
      <c r="L850" s="64"/>
      <c r="M850" s="64"/>
      <c r="N850" s="64"/>
      <c r="O850" s="64" t="s">
        <v>1333</v>
      </c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</row>
    <row r="851" ht="15.0" customHeight="1">
      <c r="A851" s="64"/>
      <c r="B851" s="64"/>
      <c r="C851" s="64"/>
      <c r="D851" s="64"/>
      <c r="E851" s="64"/>
      <c r="F851" s="64"/>
      <c r="G851" s="64"/>
      <c r="H851" s="64"/>
      <c r="I851" s="27" t="str">
        <f>IFERROR(__xludf.DUMMYFUNCTION("IF(A851="""","""",
TEXTJOIN(""-"",TRUE,
IFERROR(
  INDEX(FILTER(CFG_CODES!C:C, CFG_CODES!A:A=""CATEGORY"", UPPER(CFG_CODES!B:B)=UPPER(B851))),
  LEFT(UPPER(B851),3)
),
IFERROR(
  INDEX(FILTER(CFG_CODES!C:C, CFG_CODES!A:A=""MATERIAL"", UPPER(CFG_CODES!B:B)"&amp;"=UPPER(C851))),
  LEFT(UPPER(C851),3)
),
TEXT(ROW()-1,""000"")
))"),"")</f>
        <v/>
      </c>
      <c r="J851" s="64"/>
      <c r="K851" s="64"/>
      <c r="L851" s="64"/>
      <c r="M851" s="64"/>
      <c r="N851" s="64"/>
      <c r="O851" s="64" t="s">
        <v>1333</v>
      </c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</row>
    <row r="852" ht="15.0" customHeight="1">
      <c r="A852" s="64"/>
      <c r="B852" s="64"/>
      <c r="C852" s="64"/>
      <c r="D852" s="64"/>
      <c r="E852" s="64"/>
      <c r="F852" s="64"/>
      <c r="G852" s="64"/>
      <c r="H852" s="64"/>
      <c r="I852" s="27" t="str">
        <f>IFERROR(__xludf.DUMMYFUNCTION("IF(A852="""","""",
TEXTJOIN(""-"",TRUE,
IFERROR(
  INDEX(FILTER(CFG_CODES!C:C, CFG_CODES!A:A=""CATEGORY"", UPPER(CFG_CODES!B:B)=UPPER(B852))),
  LEFT(UPPER(B852),3)
),
IFERROR(
  INDEX(FILTER(CFG_CODES!C:C, CFG_CODES!A:A=""MATERIAL"", UPPER(CFG_CODES!B:B)"&amp;"=UPPER(C852))),
  LEFT(UPPER(C852),3)
),
TEXT(ROW()-1,""000"")
))"),"")</f>
        <v/>
      </c>
      <c r="J852" s="64"/>
      <c r="K852" s="64"/>
      <c r="L852" s="64"/>
      <c r="M852" s="64"/>
      <c r="N852" s="64"/>
      <c r="O852" s="64" t="s">
        <v>1333</v>
      </c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</row>
    <row r="853" ht="15.0" customHeight="1">
      <c r="A853" s="64"/>
      <c r="B853" s="64"/>
      <c r="C853" s="64"/>
      <c r="D853" s="64"/>
      <c r="E853" s="64"/>
      <c r="F853" s="64"/>
      <c r="G853" s="64"/>
      <c r="H853" s="64"/>
      <c r="I853" s="27" t="str">
        <f>IFERROR(__xludf.DUMMYFUNCTION("IF(A853="""","""",
TEXTJOIN(""-"",TRUE,
IFERROR(
  INDEX(FILTER(CFG_CODES!C:C, CFG_CODES!A:A=""CATEGORY"", UPPER(CFG_CODES!B:B)=UPPER(B853))),
  LEFT(UPPER(B853),3)
),
IFERROR(
  INDEX(FILTER(CFG_CODES!C:C, CFG_CODES!A:A=""MATERIAL"", UPPER(CFG_CODES!B:B)"&amp;"=UPPER(C853))),
  LEFT(UPPER(C853),3)
),
TEXT(ROW()-1,""000"")
))"),"")</f>
        <v/>
      </c>
      <c r="J853" s="64"/>
      <c r="K853" s="64"/>
      <c r="L853" s="64"/>
      <c r="M853" s="64"/>
      <c r="N853" s="64"/>
      <c r="O853" s="64" t="s">
        <v>1333</v>
      </c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</row>
    <row r="854" ht="15.0" customHeight="1">
      <c r="A854" s="64"/>
      <c r="B854" s="64"/>
      <c r="C854" s="64"/>
      <c r="D854" s="64"/>
      <c r="E854" s="64"/>
      <c r="F854" s="64"/>
      <c r="G854" s="64"/>
      <c r="H854" s="64"/>
      <c r="I854" s="27" t="str">
        <f>IFERROR(__xludf.DUMMYFUNCTION("IF(A854="""","""",
TEXTJOIN(""-"",TRUE,
IFERROR(
  INDEX(FILTER(CFG_CODES!C:C, CFG_CODES!A:A=""CATEGORY"", UPPER(CFG_CODES!B:B)=UPPER(B854))),
  LEFT(UPPER(B854),3)
),
IFERROR(
  INDEX(FILTER(CFG_CODES!C:C, CFG_CODES!A:A=""MATERIAL"", UPPER(CFG_CODES!B:B)"&amp;"=UPPER(C854))),
  LEFT(UPPER(C854),3)
),
TEXT(ROW()-1,""000"")
))"),"")</f>
        <v/>
      </c>
      <c r="J854" s="64"/>
      <c r="K854" s="64"/>
      <c r="L854" s="64"/>
      <c r="M854" s="64"/>
      <c r="N854" s="64"/>
      <c r="O854" s="64" t="s">
        <v>1333</v>
      </c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</row>
    <row r="855" ht="15.0" customHeight="1">
      <c r="A855" s="64"/>
      <c r="B855" s="64"/>
      <c r="C855" s="64"/>
      <c r="D855" s="64"/>
      <c r="E855" s="64"/>
      <c r="F855" s="64"/>
      <c r="G855" s="64"/>
      <c r="H855" s="64"/>
      <c r="I855" s="27" t="str">
        <f>IFERROR(__xludf.DUMMYFUNCTION("IF(A855="""","""",
TEXTJOIN(""-"",TRUE,
IFERROR(
  INDEX(FILTER(CFG_CODES!C:C, CFG_CODES!A:A=""CATEGORY"", UPPER(CFG_CODES!B:B)=UPPER(B855))),
  LEFT(UPPER(B855),3)
),
IFERROR(
  INDEX(FILTER(CFG_CODES!C:C, CFG_CODES!A:A=""MATERIAL"", UPPER(CFG_CODES!B:B)"&amp;"=UPPER(C855))),
  LEFT(UPPER(C855),3)
),
TEXT(ROW()-1,""000"")
))"),"")</f>
        <v/>
      </c>
      <c r="J855" s="64"/>
      <c r="K855" s="64"/>
      <c r="L855" s="64"/>
      <c r="M855" s="64"/>
      <c r="N855" s="64"/>
      <c r="O855" s="64" t="s">
        <v>1333</v>
      </c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</row>
    <row r="856" ht="15.0" customHeight="1">
      <c r="A856" s="64"/>
      <c r="B856" s="64"/>
      <c r="C856" s="64"/>
      <c r="D856" s="64"/>
      <c r="E856" s="64"/>
      <c r="F856" s="64"/>
      <c r="G856" s="64"/>
      <c r="H856" s="64"/>
      <c r="I856" s="27" t="str">
        <f>IFERROR(__xludf.DUMMYFUNCTION("IF(A856="""","""",
TEXTJOIN(""-"",TRUE,
IFERROR(
  INDEX(FILTER(CFG_CODES!C:C, CFG_CODES!A:A=""CATEGORY"", UPPER(CFG_CODES!B:B)=UPPER(B856))),
  LEFT(UPPER(B856),3)
),
IFERROR(
  INDEX(FILTER(CFG_CODES!C:C, CFG_CODES!A:A=""MATERIAL"", UPPER(CFG_CODES!B:B)"&amp;"=UPPER(C856))),
  LEFT(UPPER(C856),3)
),
TEXT(ROW()-1,""000"")
))"),"")</f>
        <v/>
      </c>
      <c r="J856" s="64"/>
      <c r="K856" s="64"/>
      <c r="L856" s="64"/>
      <c r="M856" s="64"/>
      <c r="N856" s="64"/>
      <c r="O856" s="64" t="s">
        <v>1333</v>
      </c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</row>
    <row r="857" ht="15.0" customHeight="1">
      <c r="A857" s="64"/>
      <c r="B857" s="64"/>
      <c r="C857" s="64"/>
      <c r="D857" s="64"/>
      <c r="E857" s="64"/>
      <c r="F857" s="64"/>
      <c r="G857" s="64"/>
      <c r="H857" s="64"/>
      <c r="I857" s="27" t="str">
        <f>IFERROR(__xludf.DUMMYFUNCTION("IF(A857="""","""",
TEXTJOIN(""-"",TRUE,
IFERROR(
  INDEX(FILTER(CFG_CODES!C:C, CFG_CODES!A:A=""CATEGORY"", UPPER(CFG_CODES!B:B)=UPPER(B857))),
  LEFT(UPPER(B857),3)
),
IFERROR(
  INDEX(FILTER(CFG_CODES!C:C, CFG_CODES!A:A=""MATERIAL"", UPPER(CFG_CODES!B:B)"&amp;"=UPPER(C857))),
  LEFT(UPPER(C857),3)
),
TEXT(ROW()-1,""000"")
))"),"")</f>
        <v/>
      </c>
      <c r="J857" s="64"/>
      <c r="K857" s="64"/>
      <c r="L857" s="64"/>
      <c r="M857" s="64"/>
      <c r="N857" s="64"/>
      <c r="O857" s="64" t="s">
        <v>1333</v>
      </c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</row>
    <row r="858" ht="15.0" customHeight="1">
      <c r="A858" s="64"/>
      <c r="B858" s="64"/>
      <c r="C858" s="64"/>
      <c r="D858" s="64"/>
      <c r="E858" s="64"/>
      <c r="F858" s="64"/>
      <c r="G858" s="64"/>
      <c r="H858" s="64"/>
      <c r="I858" s="27" t="str">
        <f>IFERROR(__xludf.DUMMYFUNCTION("IF(A858="""","""",
TEXTJOIN(""-"",TRUE,
IFERROR(
  INDEX(FILTER(CFG_CODES!C:C, CFG_CODES!A:A=""CATEGORY"", UPPER(CFG_CODES!B:B)=UPPER(B858))),
  LEFT(UPPER(B858),3)
),
IFERROR(
  INDEX(FILTER(CFG_CODES!C:C, CFG_CODES!A:A=""MATERIAL"", UPPER(CFG_CODES!B:B)"&amp;"=UPPER(C858))),
  LEFT(UPPER(C858),3)
),
TEXT(ROW()-1,""000"")
))"),"")</f>
        <v/>
      </c>
      <c r="J858" s="64"/>
      <c r="K858" s="64"/>
      <c r="L858" s="64"/>
      <c r="M858" s="64"/>
      <c r="N858" s="64"/>
      <c r="O858" s="64" t="s">
        <v>1333</v>
      </c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</row>
    <row r="859" ht="15.0" customHeight="1">
      <c r="A859" s="64"/>
      <c r="B859" s="64"/>
      <c r="C859" s="64"/>
      <c r="D859" s="64"/>
      <c r="E859" s="64"/>
      <c r="F859" s="64"/>
      <c r="G859" s="64"/>
      <c r="H859" s="64"/>
      <c r="I859" s="27" t="str">
        <f>IFERROR(__xludf.DUMMYFUNCTION("IF(A859="""","""",
TEXTJOIN(""-"",TRUE,
IFERROR(
  INDEX(FILTER(CFG_CODES!C:C, CFG_CODES!A:A=""CATEGORY"", UPPER(CFG_CODES!B:B)=UPPER(B859))),
  LEFT(UPPER(B859),3)
),
IFERROR(
  INDEX(FILTER(CFG_CODES!C:C, CFG_CODES!A:A=""MATERIAL"", UPPER(CFG_CODES!B:B)"&amp;"=UPPER(C859))),
  LEFT(UPPER(C859),3)
),
TEXT(ROW()-1,""000"")
))"),"")</f>
        <v/>
      </c>
      <c r="J859" s="64"/>
      <c r="K859" s="64"/>
      <c r="L859" s="64"/>
      <c r="M859" s="64"/>
      <c r="N859" s="64"/>
      <c r="O859" s="64" t="s">
        <v>1333</v>
      </c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</row>
    <row r="860" ht="15.0" customHeight="1">
      <c r="A860" s="64"/>
      <c r="B860" s="64"/>
      <c r="C860" s="64"/>
      <c r="D860" s="64"/>
      <c r="E860" s="64"/>
      <c r="F860" s="64"/>
      <c r="G860" s="64"/>
      <c r="H860" s="64"/>
      <c r="I860" s="27" t="str">
        <f>IFERROR(__xludf.DUMMYFUNCTION("IF(A860="""","""",
TEXTJOIN(""-"",TRUE,
IFERROR(
  INDEX(FILTER(CFG_CODES!C:C, CFG_CODES!A:A=""CATEGORY"", UPPER(CFG_CODES!B:B)=UPPER(B860))),
  LEFT(UPPER(B860),3)
),
IFERROR(
  INDEX(FILTER(CFG_CODES!C:C, CFG_CODES!A:A=""MATERIAL"", UPPER(CFG_CODES!B:B)"&amp;"=UPPER(C860))),
  LEFT(UPPER(C860),3)
),
TEXT(ROW()-1,""000"")
))"),"")</f>
        <v/>
      </c>
      <c r="J860" s="64"/>
      <c r="K860" s="64"/>
      <c r="L860" s="64"/>
      <c r="M860" s="64"/>
      <c r="N860" s="64"/>
      <c r="O860" s="64" t="s">
        <v>1333</v>
      </c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</row>
    <row r="861" ht="15.0" customHeight="1">
      <c r="A861" s="64"/>
      <c r="B861" s="64"/>
      <c r="C861" s="64"/>
      <c r="D861" s="64"/>
      <c r="E861" s="64"/>
      <c r="F861" s="64"/>
      <c r="G861" s="64"/>
      <c r="H861" s="64"/>
      <c r="I861" s="27" t="str">
        <f>IFERROR(__xludf.DUMMYFUNCTION("IF(A861="""","""",
TEXTJOIN(""-"",TRUE,
IFERROR(
  INDEX(FILTER(CFG_CODES!C:C, CFG_CODES!A:A=""CATEGORY"", UPPER(CFG_CODES!B:B)=UPPER(B861))),
  LEFT(UPPER(B861),3)
),
IFERROR(
  INDEX(FILTER(CFG_CODES!C:C, CFG_CODES!A:A=""MATERIAL"", UPPER(CFG_CODES!B:B)"&amp;"=UPPER(C861))),
  LEFT(UPPER(C861),3)
),
TEXT(ROW()-1,""000"")
))"),"")</f>
        <v/>
      </c>
      <c r="J861" s="64"/>
      <c r="K861" s="64"/>
      <c r="L861" s="64"/>
      <c r="M861" s="64"/>
      <c r="N861" s="64"/>
      <c r="O861" s="64" t="s">
        <v>1333</v>
      </c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</row>
    <row r="862" ht="15.0" customHeight="1">
      <c r="A862" s="64"/>
      <c r="B862" s="64"/>
      <c r="C862" s="64"/>
      <c r="D862" s="64"/>
      <c r="E862" s="64"/>
      <c r="F862" s="64"/>
      <c r="G862" s="64"/>
      <c r="H862" s="64"/>
      <c r="I862" s="27" t="str">
        <f>IFERROR(__xludf.DUMMYFUNCTION("IF(A862="""","""",
TEXTJOIN(""-"",TRUE,
IFERROR(
  INDEX(FILTER(CFG_CODES!C:C, CFG_CODES!A:A=""CATEGORY"", UPPER(CFG_CODES!B:B)=UPPER(B862))),
  LEFT(UPPER(B862),3)
),
IFERROR(
  INDEX(FILTER(CFG_CODES!C:C, CFG_CODES!A:A=""MATERIAL"", UPPER(CFG_CODES!B:B)"&amp;"=UPPER(C862))),
  LEFT(UPPER(C862),3)
),
TEXT(ROW()-1,""000"")
))"),"")</f>
        <v/>
      </c>
      <c r="J862" s="64"/>
      <c r="K862" s="64"/>
      <c r="L862" s="64"/>
      <c r="M862" s="64"/>
      <c r="N862" s="64"/>
      <c r="O862" s="64" t="s">
        <v>1333</v>
      </c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</row>
    <row r="863" ht="15.0" customHeight="1">
      <c r="A863" s="64"/>
      <c r="B863" s="64"/>
      <c r="C863" s="64"/>
      <c r="D863" s="64"/>
      <c r="E863" s="64"/>
      <c r="F863" s="64"/>
      <c r="G863" s="64"/>
      <c r="H863" s="64"/>
      <c r="I863" s="27" t="str">
        <f>IFERROR(__xludf.DUMMYFUNCTION("IF(A863="""","""",
TEXTJOIN(""-"",TRUE,
IFERROR(
  INDEX(FILTER(CFG_CODES!C:C, CFG_CODES!A:A=""CATEGORY"", UPPER(CFG_CODES!B:B)=UPPER(B863))),
  LEFT(UPPER(B863),3)
),
IFERROR(
  INDEX(FILTER(CFG_CODES!C:C, CFG_CODES!A:A=""MATERIAL"", UPPER(CFG_CODES!B:B)"&amp;"=UPPER(C863))),
  LEFT(UPPER(C863),3)
),
TEXT(ROW()-1,""000"")
))"),"")</f>
        <v/>
      </c>
      <c r="J863" s="64"/>
      <c r="K863" s="64"/>
      <c r="L863" s="64"/>
      <c r="M863" s="64"/>
      <c r="N863" s="64"/>
      <c r="O863" s="64" t="s">
        <v>1333</v>
      </c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</row>
    <row r="864" ht="15.0" customHeight="1">
      <c r="A864" s="64"/>
      <c r="B864" s="64"/>
      <c r="C864" s="64"/>
      <c r="D864" s="64"/>
      <c r="E864" s="64"/>
      <c r="F864" s="64"/>
      <c r="G864" s="64"/>
      <c r="H864" s="64"/>
      <c r="I864" s="27" t="str">
        <f>IFERROR(__xludf.DUMMYFUNCTION("IF(A864="""","""",
TEXTJOIN(""-"",TRUE,
IFERROR(
  INDEX(FILTER(CFG_CODES!C:C, CFG_CODES!A:A=""CATEGORY"", UPPER(CFG_CODES!B:B)=UPPER(B864))),
  LEFT(UPPER(B864),3)
),
IFERROR(
  INDEX(FILTER(CFG_CODES!C:C, CFG_CODES!A:A=""MATERIAL"", UPPER(CFG_CODES!B:B)"&amp;"=UPPER(C864))),
  LEFT(UPPER(C864),3)
),
TEXT(ROW()-1,""000"")
))"),"")</f>
        <v/>
      </c>
      <c r="J864" s="64"/>
      <c r="K864" s="64"/>
      <c r="L864" s="64"/>
      <c r="M864" s="64"/>
      <c r="N864" s="64"/>
      <c r="O864" s="64" t="s">
        <v>1333</v>
      </c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</row>
    <row r="865" ht="15.0" customHeight="1">
      <c r="A865" s="64"/>
      <c r="B865" s="64"/>
      <c r="C865" s="64"/>
      <c r="D865" s="64"/>
      <c r="E865" s="64"/>
      <c r="F865" s="64"/>
      <c r="G865" s="64"/>
      <c r="H865" s="64"/>
      <c r="I865" s="27" t="str">
        <f>IFERROR(__xludf.DUMMYFUNCTION("IF(A865="""","""",
TEXTJOIN(""-"",TRUE,
IFERROR(
  INDEX(FILTER(CFG_CODES!C:C, CFG_CODES!A:A=""CATEGORY"", UPPER(CFG_CODES!B:B)=UPPER(B865))),
  LEFT(UPPER(B865),3)
),
IFERROR(
  INDEX(FILTER(CFG_CODES!C:C, CFG_CODES!A:A=""MATERIAL"", UPPER(CFG_CODES!B:B)"&amp;"=UPPER(C865))),
  LEFT(UPPER(C865),3)
),
TEXT(ROW()-1,""000"")
))"),"")</f>
        <v/>
      </c>
      <c r="J865" s="64"/>
      <c r="K865" s="64"/>
      <c r="L865" s="64"/>
      <c r="M865" s="64"/>
      <c r="N865" s="64"/>
      <c r="O865" s="64" t="s">
        <v>1333</v>
      </c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</row>
    <row r="866" ht="15.0" customHeight="1">
      <c r="A866" s="64"/>
      <c r="B866" s="64"/>
      <c r="C866" s="64"/>
      <c r="D866" s="64"/>
      <c r="E866" s="64"/>
      <c r="F866" s="64"/>
      <c r="G866" s="64"/>
      <c r="H866" s="64"/>
      <c r="I866" s="27" t="str">
        <f>IFERROR(__xludf.DUMMYFUNCTION("IF(A866="""","""",
TEXTJOIN(""-"",TRUE,
IFERROR(
  INDEX(FILTER(CFG_CODES!C:C, CFG_CODES!A:A=""CATEGORY"", UPPER(CFG_CODES!B:B)=UPPER(B866))),
  LEFT(UPPER(B866),3)
),
IFERROR(
  INDEX(FILTER(CFG_CODES!C:C, CFG_CODES!A:A=""MATERIAL"", UPPER(CFG_CODES!B:B)"&amp;"=UPPER(C866))),
  LEFT(UPPER(C866),3)
),
TEXT(ROW()-1,""000"")
))"),"")</f>
        <v/>
      </c>
      <c r="J866" s="64"/>
      <c r="K866" s="64"/>
      <c r="L866" s="64"/>
      <c r="M866" s="64"/>
      <c r="N866" s="64"/>
      <c r="O866" s="64" t="s">
        <v>1333</v>
      </c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</row>
    <row r="867" ht="15.0" customHeight="1">
      <c r="A867" s="64"/>
      <c r="B867" s="64"/>
      <c r="C867" s="64"/>
      <c r="D867" s="64"/>
      <c r="E867" s="64"/>
      <c r="F867" s="64"/>
      <c r="G867" s="64"/>
      <c r="H867" s="64"/>
      <c r="I867" s="27" t="str">
        <f>IFERROR(__xludf.DUMMYFUNCTION("IF(A867="""","""",
TEXTJOIN(""-"",TRUE,
IFERROR(
  INDEX(FILTER(CFG_CODES!C:C, CFG_CODES!A:A=""CATEGORY"", UPPER(CFG_CODES!B:B)=UPPER(B867))),
  LEFT(UPPER(B867),3)
),
IFERROR(
  INDEX(FILTER(CFG_CODES!C:C, CFG_CODES!A:A=""MATERIAL"", UPPER(CFG_CODES!B:B)"&amp;"=UPPER(C867))),
  LEFT(UPPER(C867),3)
),
TEXT(ROW()-1,""000"")
))"),"")</f>
        <v/>
      </c>
      <c r="J867" s="64"/>
      <c r="K867" s="64"/>
      <c r="L867" s="64"/>
      <c r="M867" s="64"/>
      <c r="N867" s="64"/>
      <c r="O867" s="64" t="s">
        <v>1333</v>
      </c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</row>
    <row r="868" ht="15.0" customHeight="1">
      <c r="A868" s="64"/>
      <c r="B868" s="64"/>
      <c r="C868" s="64"/>
      <c r="D868" s="64"/>
      <c r="E868" s="64"/>
      <c r="F868" s="64"/>
      <c r="G868" s="64"/>
      <c r="H868" s="64"/>
      <c r="I868" s="27" t="str">
        <f>IFERROR(__xludf.DUMMYFUNCTION("IF(A868="""","""",
TEXTJOIN(""-"",TRUE,
IFERROR(
  INDEX(FILTER(CFG_CODES!C:C, CFG_CODES!A:A=""CATEGORY"", UPPER(CFG_CODES!B:B)=UPPER(B868))),
  LEFT(UPPER(B868),3)
),
IFERROR(
  INDEX(FILTER(CFG_CODES!C:C, CFG_CODES!A:A=""MATERIAL"", UPPER(CFG_CODES!B:B)"&amp;"=UPPER(C868))),
  LEFT(UPPER(C868),3)
),
TEXT(ROW()-1,""000"")
))"),"")</f>
        <v/>
      </c>
      <c r="J868" s="64"/>
      <c r="K868" s="64"/>
      <c r="L868" s="64"/>
      <c r="M868" s="64"/>
      <c r="N868" s="64"/>
      <c r="O868" s="64" t="s">
        <v>1333</v>
      </c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</row>
    <row r="869" ht="15.0" customHeight="1">
      <c r="A869" s="64"/>
      <c r="B869" s="64"/>
      <c r="C869" s="64"/>
      <c r="D869" s="64"/>
      <c r="E869" s="64"/>
      <c r="F869" s="64"/>
      <c r="G869" s="64"/>
      <c r="H869" s="64"/>
      <c r="I869" s="27" t="str">
        <f>IFERROR(__xludf.DUMMYFUNCTION("IF(A869="""","""",
TEXTJOIN(""-"",TRUE,
IFERROR(
  INDEX(FILTER(CFG_CODES!C:C, CFG_CODES!A:A=""CATEGORY"", UPPER(CFG_CODES!B:B)=UPPER(B869))),
  LEFT(UPPER(B869),3)
),
IFERROR(
  INDEX(FILTER(CFG_CODES!C:C, CFG_CODES!A:A=""MATERIAL"", UPPER(CFG_CODES!B:B)"&amp;"=UPPER(C869))),
  LEFT(UPPER(C869),3)
),
TEXT(ROW()-1,""000"")
))"),"")</f>
        <v/>
      </c>
      <c r="J869" s="64"/>
      <c r="K869" s="64"/>
      <c r="L869" s="64"/>
      <c r="M869" s="64"/>
      <c r="N869" s="64"/>
      <c r="O869" s="64" t="s">
        <v>1333</v>
      </c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</row>
    <row r="870" ht="15.0" customHeight="1">
      <c r="A870" s="64"/>
      <c r="B870" s="64"/>
      <c r="C870" s="64"/>
      <c r="D870" s="64"/>
      <c r="E870" s="64"/>
      <c r="F870" s="64"/>
      <c r="G870" s="64"/>
      <c r="H870" s="64"/>
      <c r="I870" s="27" t="str">
        <f>IFERROR(__xludf.DUMMYFUNCTION("IF(A870="""","""",
TEXTJOIN(""-"",TRUE,
IFERROR(
  INDEX(FILTER(CFG_CODES!C:C, CFG_CODES!A:A=""CATEGORY"", UPPER(CFG_CODES!B:B)=UPPER(B870))),
  LEFT(UPPER(B870),3)
),
IFERROR(
  INDEX(FILTER(CFG_CODES!C:C, CFG_CODES!A:A=""MATERIAL"", UPPER(CFG_CODES!B:B)"&amp;"=UPPER(C870))),
  LEFT(UPPER(C870),3)
),
TEXT(ROW()-1,""000"")
))"),"")</f>
        <v/>
      </c>
      <c r="J870" s="64"/>
      <c r="K870" s="64"/>
      <c r="L870" s="64"/>
      <c r="M870" s="64"/>
      <c r="N870" s="64"/>
      <c r="O870" s="64" t="s">
        <v>1333</v>
      </c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</row>
    <row r="871" ht="15.0" customHeight="1">
      <c r="A871" s="64"/>
      <c r="B871" s="64"/>
      <c r="C871" s="64"/>
      <c r="D871" s="64"/>
      <c r="E871" s="64"/>
      <c r="F871" s="64"/>
      <c r="G871" s="64"/>
      <c r="H871" s="64"/>
      <c r="I871" s="27" t="str">
        <f>IFERROR(__xludf.DUMMYFUNCTION("IF(A871="""","""",
TEXTJOIN(""-"",TRUE,
IFERROR(
  INDEX(FILTER(CFG_CODES!C:C, CFG_CODES!A:A=""CATEGORY"", UPPER(CFG_CODES!B:B)=UPPER(B871))),
  LEFT(UPPER(B871),3)
),
IFERROR(
  INDEX(FILTER(CFG_CODES!C:C, CFG_CODES!A:A=""MATERIAL"", UPPER(CFG_CODES!B:B)"&amp;"=UPPER(C871))),
  LEFT(UPPER(C871),3)
),
TEXT(ROW()-1,""000"")
))"),"")</f>
        <v/>
      </c>
      <c r="J871" s="64"/>
      <c r="K871" s="64"/>
      <c r="L871" s="64"/>
      <c r="M871" s="64"/>
      <c r="N871" s="64"/>
      <c r="O871" s="64" t="s">
        <v>1333</v>
      </c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</row>
    <row r="872" ht="15.0" customHeight="1">
      <c r="A872" s="64"/>
      <c r="B872" s="64"/>
      <c r="C872" s="64"/>
      <c r="D872" s="64"/>
      <c r="E872" s="64"/>
      <c r="F872" s="64"/>
      <c r="G872" s="64"/>
      <c r="H872" s="64"/>
      <c r="I872" s="27" t="str">
        <f>IFERROR(__xludf.DUMMYFUNCTION("IF(A872="""","""",
TEXTJOIN(""-"",TRUE,
IFERROR(
  INDEX(FILTER(CFG_CODES!C:C, CFG_CODES!A:A=""CATEGORY"", UPPER(CFG_CODES!B:B)=UPPER(B872))),
  LEFT(UPPER(B872),3)
),
IFERROR(
  INDEX(FILTER(CFG_CODES!C:C, CFG_CODES!A:A=""MATERIAL"", UPPER(CFG_CODES!B:B)"&amp;"=UPPER(C872))),
  LEFT(UPPER(C872),3)
),
TEXT(ROW()-1,""000"")
))"),"")</f>
        <v/>
      </c>
      <c r="J872" s="64"/>
      <c r="K872" s="64"/>
      <c r="L872" s="64"/>
      <c r="M872" s="64"/>
      <c r="N872" s="64"/>
      <c r="O872" s="64" t="s">
        <v>1333</v>
      </c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</row>
    <row r="873" ht="15.0" customHeight="1">
      <c r="A873" s="64"/>
      <c r="B873" s="64"/>
      <c r="C873" s="64"/>
      <c r="D873" s="64"/>
      <c r="E873" s="64"/>
      <c r="F873" s="64"/>
      <c r="G873" s="64"/>
      <c r="H873" s="64"/>
      <c r="I873" s="27" t="str">
        <f>IFERROR(__xludf.DUMMYFUNCTION("IF(A873="""","""",
TEXTJOIN(""-"",TRUE,
IFERROR(
  INDEX(FILTER(CFG_CODES!C:C, CFG_CODES!A:A=""CATEGORY"", UPPER(CFG_CODES!B:B)=UPPER(B873))),
  LEFT(UPPER(B873),3)
),
IFERROR(
  INDEX(FILTER(CFG_CODES!C:C, CFG_CODES!A:A=""MATERIAL"", UPPER(CFG_CODES!B:B)"&amp;"=UPPER(C873))),
  LEFT(UPPER(C873),3)
),
TEXT(ROW()-1,""000"")
))"),"")</f>
        <v/>
      </c>
      <c r="J873" s="64"/>
      <c r="K873" s="64"/>
      <c r="L873" s="64"/>
      <c r="M873" s="64"/>
      <c r="N873" s="64"/>
      <c r="O873" s="64" t="s">
        <v>1333</v>
      </c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</row>
    <row r="874" ht="15.0" customHeight="1">
      <c r="A874" s="64"/>
      <c r="B874" s="64"/>
      <c r="C874" s="64"/>
      <c r="D874" s="64"/>
      <c r="E874" s="64"/>
      <c r="F874" s="64"/>
      <c r="G874" s="64"/>
      <c r="H874" s="64"/>
      <c r="I874" s="27" t="str">
        <f>IFERROR(__xludf.DUMMYFUNCTION("IF(A874="""","""",
TEXTJOIN(""-"",TRUE,
IFERROR(
  INDEX(FILTER(CFG_CODES!C:C, CFG_CODES!A:A=""CATEGORY"", UPPER(CFG_CODES!B:B)=UPPER(B874))),
  LEFT(UPPER(B874),3)
),
IFERROR(
  INDEX(FILTER(CFG_CODES!C:C, CFG_CODES!A:A=""MATERIAL"", UPPER(CFG_CODES!B:B)"&amp;"=UPPER(C874))),
  LEFT(UPPER(C874),3)
),
TEXT(ROW()-1,""000"")
))"),"")</f>
        <v/>
      </c>
      <c r="J874" s="64"/>
      <c r="K874" s="64"/>
      <c r="L874" s="64"/>
      <c r="M874" s="64"/>
      <c r="N874" s="64"/>
      <c r="O874" s="64" t="s">
        <v>1333</v>
      </c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</row>
    <row r="875" ht="15.0" customHeight="1">
      <c r="A875" s="64"/>
      <c r="B875" s="64"/>
      <c r="C875" s="64"/>
      <c r="D875" s="64"/>
      <c r="E875" s="64"/>
      <c r="F875" s="64"/>
      <c r="G875" s="64"/>
      <c r="H875" s="64"/>
      <c r="I875" s="27" t="str">
        <f>IFERROR(__xludf.DUMMYFUNCTION("IF(A875="""","""",
TEXTJOIN(""-"",TRUE,
IFERROR(
  INDEX(FILTER(CFG_CODES!C:C, CFG_CODES!A:A=""CATEGORY"", UPPER(CFG_CODES!B:B)=UPPER(B875))),
  LEFT(UPPER(B875),3)
),
IFERROR(
  INDEX(FILTER(CFG_CODES!C:C, CFG_CODES!A:A=""MATERIAL"", UPPER(CFG_CODES!B:B)"&amp;"=UPPER(C875))),
  LEFT(UPPER(C875),3)
),
TEXT(ROW()-1,""000"")
))"),"")</f>
        <v/>
      </c>
      <c r="J875" s="64"/>
      <c r="K875" s="64"/>
      <c r="L875" s="64"/>
      <c r="M875" s="64"/>
      <c r="N875" s="64"/>
      <c r="O875" s="64" t="s">
        <v>1333</v>
      </c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</row>
    <row r="876" ht="15.0" customHeight="1">
      <c r="A876" s="64"/>
      <c r="B876" s="64"/>
      <c r="C876" s="64"/>
      <c r="D876" s="64"/>
      <c r="E876" s="64"/>
      <c r="F876" s="64"/>
      <c r="G876" s="64"/>
      <c r="H876" s="64"/>
      <c r="I876" s="27" t="str">
        <f>IFERROR(__xludf.DUMMYFUNCTION("IF(A876="""","""",
TEXTJOIN(""-"",TRUE,
IFERROR(
  INDEX(FILTER(CFG_CODES!C:C, CFG_CODES!A:A=""CATEGORY"", UPPER(CFG_CODES!B:B)=UPPER(B876))),
  LEFT(UPPER(B876),3)
),
IFERROR(
  INDEX(FILTER(CFG_CODES!C:C, CFG_CODES!A:A=""MATERIAL"", UPPER(CFG_CODES!B:B)"&amp;"=UPPER(C876))),
  LEFT(UPPER(C876),3)
),
TEXT(ROW()-1,""000"")
))"),"")</f>
        <v/>
      </c>
      <c r="J876" s="64"/>
      <c r="K876" s="64"/>
      <c r="L876" s="64"/>
      <c r="M876" s="64"/>
      <c r="N876" s="64"/>
      <c r="O876" s="64" t="s">
        <v>1333</v>
      </c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</row>
    <row r="877" ht="15.0" customHeight="1">
      <c r="A877" s="64"/>
      <c r="B877" s="64"/>
      <c r="C877" s="64"/>
      <c r="D877" s="64"/>
      <c r="E877" s="64"/>
      <c r="F877" s="64"/>
      <c r="G877" s="64"/>
      <c r="H877" s="64"/>
      <c r="I877" s="27" t="str">
        <f>IFERROR(__xludf.DUMMYFUNCTION("IF(A877="""","""",
TEXTJOIN(""-"",TRUE,
IFERROR(
  INDEX(FILTER(CFG_CODES!C:C, CFG_CODES!A:A=""CATEGORY"", UPPER(CFG_CODES!B:B)=UPPER(B877))),
  LEFT(UPPER(B877),3)
),
IFERROR(
  INDEX(FILTER(CFG_CODES!C:C, CFG_CODES!A:A=""MATERIAL"", UPPER(CFG_CODES!B:B)"&amp;"=UPPER(C877))),
  LEFT(UPPER(C877),3)
),
TEXT(ROW()-1,""000"")
))"),"")</f>
        <v/>
      </c>
      <c r="J877" s="64"/>
      <c r="K877" s="64"/>
      <c r="L877" s="64"/>
      <c r="M877" s="64"/>
      <c r="N877" s="64"/>
      <c r="O877" s="64" t="s">
        <v>1333</v>
      </c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</row>
    <row r="878" ht="15.0" customHeight="1">
      <c r="A878" s="64"/>
      <c r="B878" s="64"/>
      <c r="C878" s="64"/>
      <c r="D878" s="64"/>
      <c r="E878" s="64"/>
      <c r="F878" s="64"/>
      <c r="G878" s="64"/>
      <c r="H878" s="64"/>
      <c r="I878" s="27" t="str">
        <f>IFERROR(__xludf.DUMMYFUNCTION("IF(A878="""","""",
TEXTJOIN(""-"",TRUE,
IFERROR(
  INDEX(FILTER(CFG_CODES!C:C, CFG_CODES!A:A=""CATEGORY"", UPPER(CFG_CODES!B:B)=UPPER(B878))),
  LEFT(UPPER(B878),3)
),
IFERROR(
  INDEX(FILTER(CFG_CODES!C:C, CFG_CODES!A:A=""MATERIAL"", UPPER(CFG_CODES!B:B)"&amp;"=UPPER(C878))),
  LEFT(UPPER(C878),3)
),
TEXT(ROW()-1,""000"")
))"),"")</f>
        <v/>
      </c>
      <c r="J878" s="64"/>
      <c r="K878" s="64"/>
      <c r="L878" s="64"/>
      <c r="M878" s="64"/>
      <c r="N878" s="64"/>
      <c r="O878" s="64" t="s">
        <v>1333</v>
      </c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</row>
    <row r="879" ht="15.0" customHeight="1">
      <c r="A879" s="64"/>
      <c r="B879" s="64"/>
      <c r="C879" s="64"/>
      <c r="D879" s="64"/>
      <c r="E879" s="64"/>
      <c r="F879" s="64"/>
      <c r="G879" s="64"/>
      <c r="H879" s="64"/>
      <c r="I879" s="27" t="str">
        <f>IFERROR(__xludf.DUMMYFUNCTION("IF(A879="""","""",
TEXTJOIN(""-"",TRUE,
IFERROR(
  INDEX(FILTER(CFG_CODES!C:C, CFG_CODES!A:A=""CATEGORY"", UPPER(CFG_CODES!B:B)=UPPER(B879))),
  LEFT(UPPER(B879),3)
),
IFERROR(
  INDEX(FILTER(CFG_CODES!C:C, CFG_CODES!A:A=""MATERIAL"", UPPER(CFG_CODES!B:B)"&amp;"=UPPER(C879))),
  LEFT(UPPER(C879),3)
),
TEXT(ROW()-1,""000"")
))"),"")</f>
        <v/>
      </c>
      <c r="J879" s="64"/>
      <c r="K879" s="64"/>
      <c r="L879" s="64"/>
      <c r="M879" s="64"/>
      <c r="N879" s="64"/>
      <c r="O879" s="64" t="s">
        <v>1333</v>
      </c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</row>
    <row r="880" ht="15.0" customHeight="1">
      <c r="A880" s="64"/>
      <c r="B880" s="64"/>
      <c r="C880" s="64"/>
      <c r="D880" s="64"/>
      <c r="E880" s="64"/>
      <c r="F880" s="64"/>
      <c r="G880" s="64"/>
      <c r="H880" s="64"/>
      <c r="I880" s="27" t="str">
        <f>IFERROR(__xludf.DUMMYFUNCTION("IF(A880="""","""",
TEXTJOIN(""-"",TRUE,
IFERROR(
  INDEX(FILTER(CFG_CODES!C:C, CFG_CODES!A:A=""CATEGORY"", UPPER(CFG_CODES!B:B)=UPPER(B880))),
  LEFT(UPPER(B880),3)
),
IFERROR(
  INDEX(FILTER(CFG_CODES!C:C, CFG_CODES!A:A=""MATERIAL"", UPPER(CFG_CODES!B:B)"&amp;"=UPPER(C880))),
  LEFT(UPPER(C880),3)
),
TEXT(ROW()-1,""000"")
))"),"")</f>
        <v/>
      </c>
      <c r="J880" s="64"/>
      <c r="K880" s="64"/>
      <c r="L880" s="64"/>
      <c r="M880" s="64"/>
      <c r="N880" s="64"/>
      <c r="O880" s="64" t="s">
        <v>1333</v>
      </c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</row>
    <row r="881" ht="15.0" customHeight="1">
      <c r="A881" s="64"/>
      <c r="B881" s="64"/>
      <c r="C881" s="64"/>
      <c r="D881" s="64"/>
      <c r="E881" s="64"/>
      <c r="F881" s="64"/>
      <c r="G881" s="64"/>
      <c r="H881" s="64"/>
      <c r="I881" s="27" t="str">
        <f>IFERROR(__xludf.DUMMYFUNCTION("IF(A881="""","""",
TEXTJOIN(""-"",TRUE,
IFERROR(
  INDEX(FILTER(CFG_CODES!C:C, CFG_CODES!A:A=""CATEGORY"", UPPER(CFG_CODES!B:B)=UPPER(B881))),
  LEFT(UPPER(B881),3)
),
IFERROR(
  INDEX(FILTER(CFG_CODES!C:C, CFG_CODES!A:A=""MATERIAL"", UPPER(CFG_CODES!B:B)"&amp;"=UPPER(C881))),
  LEFT(UPPER(C881),3)
),
TEXT(ROW()-1,""000"")
))"),"")</f>
        <v/>
      </c>
      <c r="J881" s="64"/>
      <c r="K881" s="64"/>
      <c r="L881" s="64"/>
      <c r="M881" s="64"/>
      <c r="N881" s="64"/>
      <c r="O881" s="64" t="s">
        <v>1333</v>
      </c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</row>
    <row r="882" ht="15.0" customHeight="1">
      <c r="A882" s="64"/>
      <c r="B882" s="64"/>
      <c r="C882" s="64"/>
      <c r="D882" s="64"/>
      <c r="E882" s="64"/>
      <c r="F882" s="64"/>
      <c r="G882" s="64"/>
      <c r="H882" s="64"/>
      <c r="I882" s="27" t="str">
        <f>IFERROR(__xludf.DUMMYFUNCTION("IF(A882="""","""",
TEXTJOIN(""-"",TRUE,
IFERROR(
  INDEX(FILTER(CFG_CODES!C:C, CFG_CODES!A:A=""CATEGORY"", UPPER(CFG_CODES!B:B)=UPPER(B882))),
  LEFT(UPPER(B882),3)
),
IFERROR(
  INDEX(FILTER(CFG_CODES!C:C, CFG_CODES!A:A=""MATERIAL"", UPPER(CFG_CODES!B:B)"&amp;"=UPPER(C882))),
  LEFT(UPPER(C882),3)
),
TEXT(ROW()-1,""000"")
))"),"")</f>
        <v/>
      </c>
      <c r="J882" s="64"/>
      <c r="K882" s="64"/>
      <c r="L882" s="64"/>
      <c r="M882" s="64"/>
      <c r="N882" s="64"/>
      <c r="O882" s="64" t="s">
        <v>1333</v>
      </c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</row>
    <row r="883" ht="15.0" customHeight="1">
      <c r="A883" s="64"/>
      <c r="B883" s="64"/>
      <c r="C883" s="64"/>
      <c r="D883" s="64"/>
      <c r="E883" s="64"/>
      <c r="F883" s="64"/>
      <c r="G883" s="64"/>
      <c r="H883" s="64"/>
      <c r="I883" s="27" t="str">
        <f>IFERROR(__xludf.DUMMYFUNCTION("IF(A883="""","""",
TEXTJOIN(""-"",TRUE,
IFERROR(
  INDEX(FILTER(CFG_CODES!C:C, CFG_CODES!A:A=""CATEGORY"", UPPER(CFG_CODES!B:B)=UPPER(B883))),
  LEFT(UPPER(B883),3)
),
IFERROR(
  INDEX(FILTER(CFG_CODES!C:C, CFG_CODES!A:A=""MATERIAL"", UPPER(CFG_CODES!B:B)"&amp;"=UPPER(C883))),
  LEFT(UPPER(C883),3)
),
TEXT(ROW()-1,""000"")
))"),"")</f>
        <v/>
      </c>
      <c r="J883" s="64"/>
      <c r="K883" s="64"/>
      <c r="L883" s="64"/>
      <c r="M883" s="64"/>
      <c r="N883" s="64"/>
      <c r="O883" s="64" t="s">
        <v>1333</v>
      </c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</row>
    <row r="884" ht="15.0" customHeight="1">
      <c r="A884" s="64"/>
      <c r="B884" s="64"/>
      <c r="C884" s="64"/>
      <c r="D884" s="64"/>
      <c r="E884" s="64"/>
      <c r="F884" s="64"/>
      <c r="G884" s="64"/>
      <c r="H884" s="64"/>
      <c r="I884" s="27" t="str">
        <f>IFERROR(__xludf.DUMMYFUNCTION("IF(A884="""","""",
TEXTJOIN(""-"",TRUE,
IFERROR(
  INDEX(FILTER(CFG_CODES!C:C, CFG_CODES!A:A=""CATEGORY"", UPPER(CFG_CODES!B:B)=UPPER(B884))),
  LEFT(UPPER(B884),3)
),
IFERROR(
  INDEX(FILTER(CFG_CODES!C:C, CFG_CODES!A:A=""MATERIAL"", UPPER(CFG_CODES!B:B)"&amp;"=UPPER(C884))),
  LEFT(UPPER(C884),3)
),
TEXT(ROW()-1,""000"")
))"),"")</f>
        <v/>
      </c>
      <c r="J884" s="64"/>
      <c r="K884" s="64"/>
      <c r="L884" s="64"/>
      <c r="M884" s="64"/>
      <c r="N884" s="64"/>
      <c r="O884" s="64" t="s">
        <v>1333</v>
      </c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</row>
    <row r="885" ht="15.0" customHeight="1">
      <c r="A885" s="64"/>
      <c r="B885" s="64"/>
      <c r="C885" s="64"/>
      <c r="D885" s="64"/>
      <c r="E885" s="64"/>
      <c r="F885" s="64"/>
      <c r="G885" s="64"/>
      <c r="H885" s="64"/>
      <c r="I885" s="27" t="str">
        <f>IFERROR(__xludf.DUMMYFUNCTION("IF(A885="""","""",
TEXTJOIN(""-"",TRUE,
IFERROR(
  INDEX(FILTER(CFG_CODES!C:C, CFG_CODES!A:A=""CATEGORY"", UPPER(CFG_CODES!B:B)=UPPER(B885))),
  LEFT(UPPER(B885),3)
),
IFERROR(
  INDEX(FILTER(CFG_CODES!C:C, CFG_CODES!A:A=""MATERIAL"", UPPER(CFG_CODES!B:B)"&amp;"=UPPER(C885))),
  LEFT(UPPER(C885),3)
),
TEXT(ROW()-1,""000"")
))"),"")</f>
        <v/>
      </c>
      <c r="J885" s="64"/>
      <c r="K885" s="64"/>
      <c r="L885" s="64"/>
      <c r="M885" s="64"/>
      <c r="N885" s="64"/>
      <c r="O885" s="64" t="s">
        <v>1333</v>
      </c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</row>
    <row r="886" ht="15.0" customHeight="1">
      <c r="A886" s="64"/>
      <c r="B886" s="64"/>
      <c r="C886" s="64"/>
      <c r="D886" s="64"/>
      <c r="E886" s="64"/>
      <c r="F886" s="64"/>
      <c r="G886" s="64"/>
      <c r="H886" s="64"/>
      <c r="I886" s="27" t="str">
        <f>IFERROR(__xludf.DUMMYFUNCTION("IF(A886="""","""",
TEXTJOIN(""-"",TRUE,
IFERROR(
  INDEX(FILTER(CFG_CODES!C:C, CFG_CODES!A:A=""CATEGORY"", UPPER(CFG_CODES!B:B)=UPPER(B886))),
  LEFT(UPPER(B886),3)
),
IFERROR(
  INDEX(FILTER(CFG_CODES!C:C, CFG_CODES!A:A=""MATERIAL"", UPPER(CFG_CODES!B:B)"&amp;"=UPPER(C886))),
  LEFT(UPPER(C886),3)
),
TEXT(ROW()-1,""000"")
))"),"")</f>
        <v/>
      </c>
      <c r="J886" s="64"/>
      <c r="K886" s="64"/>
      <c r="L886" s="64"/>
      <c r="M886" s="64"/>
      <c r="N886" s="64"/>
      <c r="O886" s="64" t="s">
        <v>1333</v>
      </c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</row>
    <row r="887" ht="15.0" customHeight="1">
      <c r="A887" s="64"/>
      <c r="B887" s="64"/>
      <c r="C887" s="64"/>
      <c r="D887" s="64"/>
      <c r="E887" s="64"/>
      <c r="F887" s="64"/>
      <c r="G887" s="64"/>
      <c r="H887" s="64"/>
      <c r="I887" s="27" t="str">
        <f>IFERROR(__xludf.DUMMYFUNCTION("IF(A887="""","""",
TEXTJOIN(""-"",TRUE,
IFERROR(
  INDEX(FILTER(CFG_CODES!C:C, CFG_CODES!A:A=""CATEGORY"", UPPER(CFG_CODES!B:B)=UPPER(B887))),
  LEFT(UPPER(B887),3)
),
IFERROR(
  INDEX(FILTER(CFG_CODES!C:C, CFG_CODES!A:A=""MATERIAL"", UPPER(CFG_CODES!B:B)"&amp;"=UPPER(C887))),
  LEFT(UPPER(C887),3)
),
TEXT(ROW()-1,""000"")
))"),"")</f>
        <v/>
      </c>
      <c r="J887" s="64"/>
      <c r="K887" s="64"/>
      <c r="L887" s="64"/>
      <c r="M887" s="64"/>
      <c r="N887" s="64"/>
      <c r="O887" s="64" t="s">
        <v>1333</v>
      </c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</row>
    <row r="888" ht="15.0" customHeight="1">
      <c r="A888" s="64"/>
      <c r="B888" s="64"/>
      <c r="C888" s="64"/>
      <c r="D888" s="64"/>
      <c r="E888" s="64"/>
      <c r="F888" s="64"/>
      <c r="G888" s="64"/>
      <c r="H888" s="64"/>
      <c r="I888" s="27" t="str">
        <f>IFERROR(__xludf.DUMMYFUNCTION("IF(A888="""","""",
TEXTJOIN(""-"",TRUE,
IFERROR(
  INDEX(FILTER(CFG_CODES!C:C, CFG_CODES!A:A=""CATEGORY"", UPPER(CFG_CODES!B:B)=UPPER(B888))),
  LEFT(UPPER(B888),3)
),
IFERROR(
  INDEX(FILTER(CFG_CODES!C:C, CFG_CODES!A:A=""MATERIAL"", UPPER(CFG_CODES!B:B)"&amp;"=UPPER(C888))),
  LEFT(UPPER(C888),3)
),
TEXT(ROW()-1,""000"")
))"),"")</f>
        <v/>
      </c>
      <c r="J888" s="64"/>
      <c r="K888" s="64"/>
      <c r="L888" s="64"/>
      <c r="M888" s="64"/>
      <c r="N888" s="64"/>
      <c r="O888" s="64" t="s">
        <v>1333</v>
      </c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</row>
    <row r="889" ht="15.0" customHeight="1">
      <c r="A889" s="64"/>
      <c r="B889" s="64"/>
      <c r="C889" s="64"/>
      <c r="D889" s="64"/>
      <c r="E889" s="64"/>
      <c r="F889" s="64"/>
      <c r="G889" s="64"/>
      <c r="H889" s="64"/>
      <c r="I889" s="27" t="str">
        <f>IFERROR(__xludf.DUMMYFUNCTION("IF(A889="""","""",
TEXTJOIN(""-"",TRUE,
IFERROR(
  INDEX(FILTER(CFG_CODES!C:C, CFG_CODES!A:A=""CATEGORY"", UPPER(CFG_CODES!B:B)=UPPER(B889))),
  LEFT(UPPER(B889),3)
),
IFERROR(
  INDEX(FILTER(CFG_CODES!C:C, CFG_CODES!A:A=""MATERIAL"", UPPER(CFG_CODES!B:B)"&amp;"=UPPER(C889))),
  LEFT(UPPER(C889),3)
),
TEXT(ROW()-1,""000"")
))"),"")</f>
        <v/>
      </c>
      <c r="J889" s="64"/>
      <c r="K889" s="64"/>
      <c r="L889" s="64"/>
      <c r="M889" s="64"/>
      <c r="N889" s="64"/>
      <c r="O889" s="64" t="s">
        <v>1333</v>
      </c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</row>
    <row r="890" ht="15.0" customHeight="1">
      <c r="A890" s="64"/>
      <c r="B890" s="64"/>
      <c r="C890" s="64"/>
      <c r="D890" s="64"/>
      <c r="E890" s="64"/>
      <c r="F890" s="64"/>
      <c r="G890" s="64"/>
      <c r="H890" s="64"/>
      <c r="I890" s="27" t="str">
        <f>IFERROR(__xludf.DUMMYFUNCTION("IF(A890="""","""",
TEXTJOIN(""-"",TRUE,
IFERROR(
  INDEX(FILTER(CFG_CODES!C:C, CFG_CODES!A:A=""CATEGORY"", UPPER(CFG_CODES!B:B)=UPPER(B890))),
  LEFT(UPPER(B890),3)
),
IFERROR(
  INDEX(FILTER(CFG_CODES!C:C, CFG_CODES!A:A=""MATERIAL"", UPPER(CFG_CODES!B:B)"&amp;"=UPPER(C890))),
  LEFT(UPPER(C890),3)
),
TEXT(ROW()-1,""000"")
))"),"")</f>
        <v/>
      </c>
      <c r="J890" s="64"/>
      <c r="K890" s="64"/>
      <c r="L890" s="64"/>
      <c r="M890" s="64"/>
      <c r="N890" s="64"/>
      <c r="O890" s="64" t="s">
        <v>1333</v>
      </c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</row>
    <row r="891" ht="15.0" customHeight="1">
      <c r="A891" s="64"/>
      <c r="B891" s="64"/>
      <c r="C891" s="64"/>
      <c r="D891" s="64"/>
      <c r="E891" s="64"/>
      <c r="F891" s="64"/>
      <c r="G891" s="64"/>
      <c r="H891" s="64"/>
      <c r="I891" s="27" t="str">
        <f>IFERROR(__xludf.DUMMYFUNCTION("IF(A891="""","""",
TEXTJOIN(""-"",TRUE,
IFERROR(
  INDEX(FILTER(CFG_CODES!C:C, CFG_CODES!A:A=""CATEGORY"", UPPER(CFG_CODES!B:B)=UPPER(B891))),
  LEFT(UPPER(B891),3)
),
IFERROR(
  INDEX(FILTER(CFG_CODES!C:C, CFG_CODES!A:A=""MATERIAL"", UPPER(CFG_CODES!B:B)"&amp;"=UPPER(C891))),
  LEFT(UPPER(C891),3)
),
TEXT(ROW()-1,""000"")
))"),"")</f>
        <v/>
      </c>
      <c r="J891" s="64"/>
      <c r="K891" s="64"/>
      <c r="L891" s="64"/>
      <c r="M891" s="64"/>
      <c r="N891" s="64"/>
      <c r="O891" s="64" t="s">
        <v>1333</v>
      </c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</row>
    <row r="892" ht="15.0" customHeight="1">
      <c r="A892" s="64"/>
      <c r="B892" s="64"/>
      <c r="C892" s="64"/>
      <c r="D892" s="64"/>
      <c r="E892" s="64"/>
      <c r="F892" s="64"/>
      <c r="G892" s="64"/>
      <c r="H892" s="64"/>
      <c r="I892" s="27" t="str">
        <f>IFERROR(__xludf.DUMMYFUNCTION("IF(A892="""","""",
TEXTJOIN(""-"",TRUE,
IFERROR(
  INDEX(FILTER(CFG_CODES!C:C, CFG_CODES!A:A=""CATEGORY"", UPPER(CFG_CODES!B:B)=UPPER(B892))),
  LEFT(UPPER(B892),3)
),
IFERROR(
  INDEX(FILTER(CFG_CODES!C:C, CFG_CODES!A:A=""MATERIAL"", UPPER(CFG_CODES!B:B)"&amp;"=UPPER(C892))),
  LEFT(UPPER(C892),3)
),
TEXT(ROW()-1,""000"")
))"),"")</f>
        <v/>
      </c>
      <c r="J892" s="64"/>
      <c r="K892" s="64"/>
      <c r="L892" s="64"/>
      <c r="M892" s="64"/>
      <c r="N892" s="64"/>
      <c r="O892" s="64" t="s">
        <v>1333</v>
      </c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</row>
    <row r="893" ht="15.0" customHeight="1">
      <c r="A893" s="64"/>
      <c r="B893" s="64"/>
      <c r="C893" s="64"/>
      <c r="D893" s="64"/>
      <c r="E893" s="64"/>
      <c r="F893" s="64"/>
      <c r="G893" s="64"/>
      <c r="H893" s="64"/>
      <c r="I893" s="27" t="str">
        <f>IFERROR(__xludf.DUMMYFUNCTION("IF(A893="""","""",
TEXTJOIN(""-"",TRUE,
IFERROR(
  INDEX(FILTER(CFG_CODES!C:C, CFG_CODES!A:A=""CATEGORY"", UPPER(CFG_CODES!B:B)=UPPER(B893))),
  LEFT(UPPER(B893),3)
),
IFERROR(
  INDEX(FILTER(CFG_CODES!C:C, CFG_CODES!A:A=""MATERIAL"", UPPER(CFG_CODES!B:B)"&amp;"=UPPER(C893))),
  LEFT(UPPER(C893),3)
),
TEXT(ROW()-1,""000"")
))"),"")</f>
        <v/>
      </c>
      <c r="J893" s="64"/>
      <c r="K893" s="64"/>
      <c r="L893" s="64"/>
      <c r="M893" s="64"/>
      <c r="N893" s="64"/>
      <c r="O893" s="64" t="s">
        <v>1333</v>
      </c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</row>
    <row r="894" ht="15.0" customHeight="1">
      <c r="A894" s="64"/>
      <c r="B894" s="64"/>
      <c r="C894" s="64"/>
      <c r="D894" s="64"/>
      <c r="E894" s="64"/>
      <c r="F894" s="64"/>
      <c r="G894" s="64"/>
      <c r="H894" s="64"/>
      <c r="I894" s="27" t="str">
        <f>IFERROR(__xludf.DUMMYFUNCTION("IF(A894="""","""",
TEXTJOIN(""-"",TRUE,
IFERROR(
  INDEX(FILTER(CFG_CODES!C:C, CFG_CODES!A:A=""CATEGORY"", UPPER(CFG_CODES!B:B)=UPPER(B894))),
  LEFT(UPPER(B894),3)
),
IFERROR(
  INDEX(FILTER(CFG_CODES!C:C, CFG_CODES!A:A=""MATERIAL"", UPPER(CFG_CODES!B:B)"&amp;"=UPPER(C894))),
  LEFT(UPPER(C894),3)
),
TEXT(ROW()-1,""000"")
))"),"")</f>
        <v/>
      </c>
      <c r="J894" s="64"/>
      <c r="K894" s="64"/>
      <c r="L894" s="64"/>
      <c r="M894" s="64"/>
      <c r="N894" s="64"/>
      <c r="O894" s="64" t="s">
        <v>1333</v>
      </c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</row>
    <row r="895" ht="15.0" customHeight="1">
      <c r="A895" s="64"/>
      <c r="B895" s="64"/>
      <c r="C895" s="64"/>
      <c r="D895" s="64"/>
      <c r="E895" s="64"/>
      <c r="F895" s="64"/>
      <c r="G895" s="64"/>
      <c r="H895" s="64"/>
      <c r="I895" s="27" t="str">
        <f>IFERROR(__xludf.DUMMYFUNCTION("IF(A895="""","""",
TEXTJOIN(""-"",TRUE,
IFERROR(
  INDEX(FILTER(CFG_CODES!C:C, CFG_CODES!A:A=""CATEGORY"", UPPER(CFG_CODES!B:B)=UPPER(B895))),
  LEFT(UPPER(B895),3)
),
IFERROR(
  INDEX(FILTER(CFG_CODES!C:C, CFG_CODES!A:A=""MATERIAL"", UPPER(CFG_CODES!B:B)"&amp;"=UPPER(C895))),
  LEFT(UPPER(C895),3)
),
TEXT(ROW()-1,""000"")
))"),"")</f>
        <v/>
      </c>
      <c r="J895" s="64"/>
      <c r="K895" s="64"/>
      <c r="L895" s="64"/>
      <c r="M895" s="64"/>
      <c r="N895" s="64"/>
      <c r="O895" s="64" t="s">
        <v>1333</v>
      </c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</row>
    <row r="896" ht="15.0" customHeight="1">
      <c r="A896" s="64"/>
      <c r="B896" s="64"/>
      <c r="C896" s="64"/>
      <c r="D896" s="64"/>
      <c r="E896" s="64"/>
      <c r="F896" s="64"/>
      <c r="G896" s="64"/>
      <c r="H896" s="64"/>
      <c r="I896" s="27" t="str">
        <f>IFERROR(__xludf.DUMMYFUNCTION("IF(A896="""","""",
TEXTJOIN(""-"",TRUE,
IFERROR(
  INDEX(FILTER(CFG_CODES!C:C, CFG_CODES!A:A=""CATEGORY"", UPPER(CFG_CODES!B:B)=UPPER(B896))),
  LEFT(UPPER(B896),3)
),
IFERROR(
  INDEX(FILTER(CFG_CODES!C:C, CFG_CODES!A:A=""MATERIAL"", UPPER(CFG_CODES!B:B)"&amp;"=UPPER(C896))),
  LEFT(UPPER(C896),3)
),
TEXT(ROW()-1,""000"")
))"),"")</f>
        <v/>
      </c>
      <c r="J896" s="64"/>
      <c r="K896" s="64"/>
      <c r="L896" s="64"/>
      <c r="M896" s="64"/>
      <c r="N896" s="64"/>
      <c r="O896" s="64" t="s">
        <v>1333</v>
      </c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</row>
    <row r="897" ht="15.0" customHeight="1">
      <c r="A897" s="64"/>
      <c r="B897" s="64"/>
      <c r="C897" s="64"/>
      <c r="D897" s="64"/>
      <c r="E897" s="64"/>
      <c r="F897" s="64"/>
      <c r="G897" s="64"/>
      <c r="H897" s="64"/>
      <c r="I897" s="27" t="str">
        <f>IFERROR(__xludf.DUMMYFUNCTION("IF(A897="""","""",
TEXTJOIN(""-"",TRUE,
IFERROR(
  INDEX(FILTER(CFG_CODES!C:C, CFG_CODES!A:A=""CATEGORY"", UPPER(CFG_CODES!B:B)=UPPER(B897))),
  LEFT(UPPER(B897),3)
),
IFERROR(
  INDEX(FILTER(CFG_CODES!C:C, CFG_CODES!A:A=""MATERIAL"", UPPER(CFG_CODES!B:B)"&amp;"=UPPER(C897))),
  LEFT(UPPER(C897),3)
),
TEXT(ROW()-1,""000"")
))"),"")</f>
        <v/>
      </c>
      <c r="J897" s="64"/>
      <c r="K897" s="64"/>
      <c r="L897" s="64"/>
      <c r="M897" s="64"/>
      <c r="N897" s="64"/>
      <c r="O897" s="64" t="s">
        <v>1333</v>
      </c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</row>
    <row r="898" ht="15.0" customHeight="1">
      <c r="A898" s="64"/>
      <c r="B898" s="64"/>
      <c r="C898" s="64"/>
      <c r="D898" s="64"/>
      <c r="E898" s="64"/>
      <c r="F898" s="64"/>
      <c r="G898" s="64"/>
      <c r="H898" s="64"/>
      <c r="I898" s="27" t="str">
        <f>IFERROR(__xludf.DUMMYFUNCTION("IF(A898="""","""",
TEXTJOIN(""-"",TRUE,
IFERROR(
  INDEX(FILTER(CFG_CODES!C:C, CFG_CODES!A:A=""CATEGORY"", UPPER(CFG_CODES!B:B)=UPPER(B898))),
  LEFT(UPPER(B898),3)
),
IFERROR(
  INDEX(FILTER(CFG_CODES!C:C, CFG_CODES!A:A=""MATERIAL"", UPPER(CFG_CODES!B:B)"&amp;"=UPPER(C898))),
  LEFT(UPPER(C898),3)
),
TEXT(ROW()-1,""000"")
))"),"")</f>
        <v/>
      </c>
      <c r="J898" s="64"/>
      <c r="K898" s="64"/>
      <c r="L898" s="64"/>
      <c r="M898" s="64"/>
      <c r="N898" s="64"/>
      <c r="O898" s="64" t="s">
        <v>1333</v>
      </c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</row>
    <row r="899" ht="15.0" customHeight="1">
      <c r="A899" s="64"/>
      <c r="B899" s="64"/>
      <c r="C899" s="64"/>
      <c r="D899" s="64"/>
      <c r="E899" s="64"/>
      <c r="F899" s="64"/>
      <c r="G899" s="64"/>
      <c r="H899" s="64"/>
      <c r="I899" s="27" t="str">
        <f>IFERROR(__xludf.DUMMYFUNCTION("IF(A899="""","""",
TEXTJOIN(""-"",TRUE,
IFERROR(
  INDEX(FILTER(CFG_CODES!C:C, CFG_CODES!A:A=""CATEGORY"", UPPER(CFG_CODES!B:B)=UPPER(B899))),
  LEFT(UPPER(B899),3)
),
IFERROR(
  INDEX(FILTER(CFG_CODES!C:C, CFG_CODES!A:A=""MATERIAL"", UPPER(CFG_CODES!B:B)"&amp;"=UPPER(C899))),
  LEFT(UPPER(C899),3)
),
TEXT(ROW()-1,""000"")
))"),"")</f>
        <v/>
      </c>
      <c r="J899" s="64"/>
      <c r="K899" s="64"/>
      <c r="L899" s="64"/>
      <c r="M899" s="64"/>
      <c r="N899" s="64"/>
      <c r="O899" s="64" t="s">
        <v>1333</v>
      </c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</row>
    <row r="900" ht="15.0" customHeight="1">
      <c r="A900" s="64"/>
      <c r="B900" s="64"/>
      <c r="C900" s="64"/>
      <c r="D900" s="64"/>
      <c r="E900" s="64"/>
      <c r="F900" s="64"/>
      <c r="G900" s="64"/>
      <c r="H900" s="64"/>
      <c r="I900" s="27" t="str">
        <f>IFERROR(__xludf.DUMMYFUNCTION("IF(A900="""","""",
TEXTJOIN(""-"",TRUE,
IFERROR(
  INDEX(FILTER(CFG_CODES!C:C, CFG_CODES!A:A=""CATEGORY"", UPPER(CFG_CODES!B:B)=UPPER(B900))),
  LEFT(UPPER(B900),3)
),
IFERROR(
  INDEX(FILTER(CFG_CODES!C:C, CFG_CODES!A:A=""MATERIAL"", UPPER(CFG_CODES!B:B)"&amp;"=UPPER(C900))),
  LEFT(UPPER(C900),3)
),
TEXT(ROW()-1,""000"")
))"),"")</f>
        <v/>
      </c>
      <c r="J900" s="64"/>
      <c r="K900" s="64"/>
      <c r="L900" s="64"/>
      <c r="M900" s="64"/>
      <c r="N900" s="64"/>
      <c r="O900" s="64" t="s">
        <v>1333</v>
      </c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</row>
    <row r="901" ht="15.0" customHeight="1">
      <c r="A901" s="64"/>
      <c r="B901" s="64"/>
      <c r="C901" s="64"/>
      <c r="D901" s="64"/>
      <c r="E901" s="64"/>
      <c r="F901" s="64"/>
      <c r="G901" s="64"/>
      <c r="H901" s="64"/>
      <c r="I901" s="27" t="str">
        <f>IFERROR(__xludf.DUMMYFUNCTION("IF(A901="""","""",
TEXTJOIN(""-"",TRUE,
IFERROR(
  INDEX(FILTER(CFG_CODES!C:C, CFG_CODES!A:A=""CATEGORY"", UPPER(CFG_CODES!B:B)=UPPER(B901))),
  LEFT(UPPER(B901),3)
),
IFERROR(
  INDEX(FILTER(CFG_CODES!C:C, CFG_CODES!A:A=""MATERIAL"", UPPER(CFG_CODES!B:B)"&amp;"=UPPER(C901))),
  LEFT(UPPER(C901),3)
),
TEXT(ROW()-1,""000"")
))"),"")</f>
        <v/>
      </c>
      <c r="J901" s="64"/>
      <c r="K901" s="64"/>
      <c r="L901" s="64"/>
      <c r="M901" s="64"/>
      <c r="N901" s="64"/>
      <c r="O901" s="64" t="s">
        <v>1333</v>
      </c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</row>
    <row r="902" ht="15.0" customHeight="1">
      <c r="A902" s="64"/>
      <c r="B902" s="64"/>
      <c r="C902" s="64"/>
      <c r="D902" s="64"/>
      <c r="E902" s="64"/>
      <c r="F902" s="64"/>
      <c r="G902" s="64"/>
      <c r="H902" s="64"/>
      <c r="I902" s="27" t="str">
        <f>IFERROR(__xludf.DUMMYFUNCTION("IF(A902="""","""",
TEXTJOIN(""-"",TRUE,
IFERROR(
  INDEX(FILTER(CFG_CODES!C:C, CFG_CODES!A:A=""CATEGORY"", UPPER(CFG_CODES!B:B)=UPPER(B902))),
  LEFT(UPPER(B902),3)
),
IFERROR(
  INDEX(FILTER(CFG_CODES!C:C, CFG_CODES!A:A=""MATERIAL"", UPPER(CFG_CODES!B:B)"&amp;"=UPPER(C902))),
  LEFT(UPPER(C902),3)
),
TEXT(ROW()-1,""000"")
))"),"")</f>
        <v/>
      </c>
      <c r="J902" s="64"/>
      <c r="K902" s="64"/>
      <c r="L902" s="64"/>
      <c r="M902" s="64"/>
      <c r="N902" s="64"/>
      <c r="O902" s="64" t="s">
        <v>1333</v>
      </c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</row>
    <row r="903" ht="15.0" customHeight="1">
      <c r="A903" s="64"/>
      <c r="B903" s="64"/>
      <c r="C903" s="64"/>
      <c r="D903" s="64"/>
      <c r="E903" s="64"/>
      <c r="F903" s="64"/>
      <c r="G903" s="64"/>
      <c r="H903" s="64"/>
      <c r="I903" s="27" t="str">
        <f>IFERROR(__xludf.DUMMYFUNCTION("IF(A903="""","""",
TEXTJOIN(""-"",TRUE,
IFERROR(
  INDEX(FILTER(CFG_CODES!C:C, CFG_CODES!A:A=""CATEGORY"", UPPER(CFG_CODES!B:B)=UPPER(B903))),
  LEFT(UPPER(B903),3)
),
IFERROR(
  INDEX(FILTER(CFG_CODES!C:C, CFG_CODES!A:A=""MATERIAL"", UPPER(CFG_CODES!B:B)"&amp;"=UPPER(C903))),
  LEFT(UPPER(C903),3)
),
TEXT(ROW()-1,""000"")
))"),"")</f>
        <v/>
      </c>
      <c r="J903" s="64"/>
      <c r="K903" s="64"/>
      <c r="L903" s="64"/>
      <c r="M903" s="64"/>
      <c r="N903" s="64"/>
      <c r="O903" s="64" t="s">
        <v>1333</v>
      </c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</row>
    <row r="904" ht="15.0" customHeight="1">
      <c r="A904" s="64"/>
      <c r="B904" s="64"/>
      <c r="C904" s="64"/>
      <c r="D904" s="64"/>
      <c r="E904" s="64"/>
      <c r="F904" s="64"/>
      <c r="G904" s="64"/>
      <c r="H904" s="64"/>
      <c r="I904" s="27" t="str">
        <f>IFERROR(__xludf.DUMMYFUNCTION("IF(A904="""","""",
TEXTJOIN(""-"",TRUE,
IFERROR(
  INDEX(FILTER(CFG_CODES!C:C, CFG_CODES!A:A=""CATEGORY"", UPPER(CFG_CODES!B:B)=UPPER(B904))),
  LEFT(UPPER(B904),3)
),
IFERROR(
  INDEX(FILTER(CFG_CODES!C:C, CFG_CODES!A:A=""MATERIAL"", UPPER(CFG_CODES!B:B)"&amp;"=UPPER(C904))),
  LEFT(UPPER(C904),3)
),
TEXT(ROW()-1,""000"")
))"),"")</f>
        <v/>
      </c>
      <c r="J904" s="64"/>
      <c r="K904" s="64"/>
      <c r="L904" s="64"/>
      <c r="M904" s="64"/>
      <c r="N904" s="64"/>
      <c r="O904" s="64" t="s">
        <v>1333</v>
      </c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</row>
    <row r="905" ht="15.0" customHeight="1">
      <c r="A905" s="64"/>
      <c r="B905" s="64"/>
      <c r="C905" s="64"/>
      <c r="D905" s="64"/>
      <c r="E905" s="64"/>
      <c r="F905" s="64"/>
      <c r="G905" s="64"/>
      <c r="H905" s="64"/>
      <c r="I905" s="27" t="str">
        <f>IFERROR(__xludf.DUMMYFUNCTION("IF(A905="""","""",
TEXTJOIN(""-"",TRUE,
IFERROR(
  INDEX(FILTER(CFG_CODES!C:C, CFG_CODES!A:A=""CATEGORY"", UPPER(CFG_CODES!B:B)=UPPER(B905))),
  LEFT(UPPER(B905),3)
),
IFERROR(
  INDEX(FILTER(CFG_CODES!C:C, CFG_CODES!A:A=""MATERIAL"", UPPER(CFG_CODES!B:B)"&amp;"=UPPER(C905))),
  LEFT(UPPER(C905),3)
),
TEXT(ROW()-1,""000"")
))"),"")</f>
        <v/>
      </c>
      <c r="J905" s="64"/>
      <c r="K905" s="64"/>
      <c r="L905" s="64"/>
      <c r="M905" s="64"/>
      <c r="N905" s="64"/>
      <c r="O905" s="64" t="s">
        <v>1333</v>
      </c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</row>
    <row r="906" ht="15.0" customHeight="1">
      <c r="A906" s="64"/>
      <c r="B906" s="64"/>
      <c r="C906" s="64"/>
      <c r="D906" s="64"/>
      <c r="E906" s="64"/>
      <c r="F906" s="64"/>
      <c r="G906" s="64"/>
      <c r="H906" s="64"/>
      <c r="I906" s="27" t="str">
        <f>IFERROR(__xludf.DUMMYFUNCTION("IF(A906="""","""",
TEXTJOIN(""-"",TRUE,
IFERROR(
  INDEX(FILTER(CFG_CODES!C:C, CFG_CODES!A:A=""CATEGORY"", UPPER(CFG_CODES!B:B)=UPPER(B906))),
  LEFT(UPPER(B906),3)
),
IFERROR(
  INDEX(FILTER(CFG_CODES!C:C, CFG_CODES!A:A=""MATERIAL"", UPPER(CFG_CODES!B:B)"&amp;"=UPPER(C906))),
  LEFT(UPPER(C906),3)
),
TEXT(ROW()-1,""000"")
))"),"")</f>
        <v/>
      </c>
      <c r="J906" s="64"/>
      <c r="K906" s="64"/>
      <c r="L906" s="64"/>
      <c r="M906" s="64"/>
      <c r="N906" s="64"/>
      <c r="O906" s="64" t="s">
        <v>1333</v>
      </c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</row>
    <row r="907" ht="15.0" customHeight="1">
      <c r="A907" s="64"/>
      <c r="B907" s="64"/>
      <c r="C907" s="64"/>
      <c r="D907" s="64"/>
      <c r="E907" s="64"/>
      <c r="F907" s="64"/>
      <c r="G907" s="64"/>
      <c r="H907" s="64"/>
      <c r="I907" s="27" t="str">
        <f>IFERROR(__xludf.DUMMYFUNCTION("IF(A907="""","""",
TEXTJOIN(""-"",TRUE,
IFERROR(
  INDEX(FILTER(CFG_CODES!C:C, CFG_CODES!A:A=""CATEGORY"", UPPER(CFG_CODES!B:B)=UPPER(B907))),
  LEFT(UPPER(B907),3)
),
IFERROR(
  INDEX(FILTER(CFG_CODES!C:C, CFG_CODES!A:A=""MATERIAL"", UPPER(CFG_CODES!B:B)"&amp;"=UPPER(C907))),
  LEFT(UPPER(C907),3)
),
TEXT(ROW()-1,""000"")
))"),"")</f>
        <v/>
      </c>
      <c r="J907" s="64"/>
      <c r="K907" s="64"/>
      <c r="L907" s="64"/>
      <c r="M907" s="64"/>
      <c r="N907" s="64"/>
      <c r="O907" s="64" t="s">
        <v>1333</v>
      </c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</row>
    <row r="908" ht="15.0" customHeight="1">
      <c r="A908" s="64"/>
      <c r="B908" s="64"/>
      <c r="C908" s="64"/>
      <c r="D908" s="64"/>
      <c r="E908" s="64"/>
      <c r="F908" s="64"/>
      <c r="G908" s="64"/>
      <c r="H908" s="64"/>
      <c r="I908" s="27" t="str">
        <f>IFERROR(__xludf.DUMMYFUNCTION("IF(A908="""","""",
TEXTJOIN(""-"",TRUE,
IFERROR(
  INDEX(FILTER(CFG_CODES!C:C, CFG_CODES!A:A=""CATEGORY"", UPPER(CFG_CODES!B:B)=UPPER(B908))),
  LEFT(UPPER(B908),3)
),
IFERROR(
  INDEX(FILTER(CFG_CODES!C:C, CFG_CODES!A:A=""MATERIAL"", UPPER(CFG_CODES!B:B)"&amp;"=UPPER(C908))),
  LEFT(UPPER(C908),3)
),
TEXT(ROW()-1,""000"")
))"),"")</f>
        <v/>
      </c>
      <c r="J908" s="64"/>
      <c r="K908" s="64"/>
      <c r="L908" s="64"/>
      <c r="M908" s="64"/>
      <c r="N908" s="64"/>
      <c r="O908" s="64" t="s">
        <v>1333</v>
      </c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</row>
    <row r="909" ht="15.0" customHeight="1">
      <c r="A909" s="64"/>
      <c r="B909" s="64"/>
      <c r="C909" s="64"/>
      <c r="D909" s="64"/>
      <c r="E909" s="64"/>
      <c r="F909" s="64"/>
      <c r="G909" s="64"/>
      <c r="H909" s="64"/>
      <c r="I909" s="27" t="str">
        <f>IFERROR(__xludf.DUMMYFUNCTION("IF(A909="""","""",
TEXTJOIN(""-"",TRUE,
IFERROR(
  INDEX(FILTER(CFG_CODES!C:C, CFG_CODES!A:A=""CATEGORY"", UPPER(CFG_CODES!B:B)=UPPER(B909))),
  LEFT(UPPER(B909),3)
),
IFERROR(
  INDEX(FILTER(CFG_CODES!C:C, CFG_CODES!A:A=""MATERIAL"", UPPER(CFG_CODES!B:B)"&amp;"=UPPER(C909))),
  LEFT(UPPER(C909),3)
),
TEXT(ROW()-1,""000"")
))"),"")</f>
        <v/>
      </c>
      <c r="J909" s="64"/>
      <c r="K909" s="64"/>
      <c r="L909" s="64"/>
      <c r="M909" s="64"/>
      <c r="N909" s="64"/>
      <c r="O909" s="64" t="s">
        <v>1333</v>
      </c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</row>
    <row r="910" ht="15.0" customHeight="1">
      <c r="A910" s="64"/>
      <c r="B910" s="64"/>
      <c r="C910" s="64"/>
      <c r="D910" s="64"/>
      <c r="E910" s="64"/>
      <c r="F910" s="64"/>
      <c r="G910" s="64"/>
      <c r="H910" s="64"/>
      <c r="I910" s="27" t="str">
        <f>IFERROR(__xludf.DUMMYFUNCTION("IF(A910="""","""",
TEXTJOIN(""-"",TRUE,
IFERROR(
  INDEX(FILTER(CFG_CODES!C:C, CFG_CODES!A:A=""CATEGORY"", UPPER(CFG_CODES!B:B)=UPPER(B910))),
  LEFT(UPPER(B910),3)
),
IFERROR(
  INDEX(FILTER(CFG_CODES!C:C, CFG_CODES!A:A=""MATERIAL"", UPPER(CFG_CODES!B:B)"&amp;"=UPPER(C910))),
  LEFT(UPPER(C910),3)
),
TEXT(ROW()-1,""000"")
))"),"")</f>
        <v/>
      </c>
      <c r="J910" s="64"/>
      <c r="K910" s="64"/>
      <c r="L910" s="64"/>
      <c r="M910" s="64"/>
      <c r="N910" s="64"/>
      <c r="O910" s="64" t="s">
        <v>1333</v>
      </c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</row>
    <row r="911" ht="15.0" customHeight="1">
      <c r="A911" s="64"/>
      <c r="B911" s="64"/>
      <c r="C911" s="64"/>
      <c r="D911" s="64"/>
      <c r="E911" s="64"/>
      <c r="F911" s="64"/>
      <c r="G911" s="64"/>
      <c r="H911" s="64"/>
      <c r="I911" s="27" t="str">
        <f>IFERROR(__xludf.DUMMYFUNCTION("IF(A911="""","""",
TEXTJOIN(""-"",TRUE,
IFERROR(
  INDEX(FILTER(CFG_CODES!C:C, CFG_CODES!A:A=""CATEGORY"", UPPER(CFG_CODES!B:B)=UPPER(B911))),
  LEFT(UPPER(B911),3)
),
IFERROR(
  INDEX(FILTER(CFG_CODES!C:C, CFG_CODES!A:A=""MATERIAL"", UPPER(CFG_CODES!B:B)"&amp;"=UPPER(C911))),
  LEFT(UPPER(C911),3)
),
TEXT(ROW()-1,""000"")
))"),"")</f>
        <v/>
      </c>
      <c r="J911" s="64"/>
      <c r="K911" s="64"/>
      <c r="L911" s="64"/>
      <c r="M911" s="64"/>
      <c r="N911" s="64"/>
      <c r="O911" s="64" t="s">
        <v>1333</v>
      </c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</row>
    <row r="912" ht="15.0" customHeight="1">
      <c r="A912" s="64"/>
      <c r="B912" s="64"/>
      <c r="C912" s="64"/>
      <c r="D912" s="64"/>
      <c r="E912" s="64"/>
      <c r="F912" s="64"/>
      <c r="G912" s="64"/>
      <c r="H912" s="64"/>
      <c r="I912" s="27" t="str">
        <f>IFERROR(__xludf.DUMMYFUNCTION("IF(A912="""","""",
TEXTJOIN(""-"",TRUE,
IFERROR(
  INDEX(FILTER(CFG_CODES!C:C, CFG_CODES!A:A=""CATEGORY"", UPPER(CFG_CODES!B:B)=UPPER(B912))),
  LEFT(UPPER(B912),3)
),
IFERROR(
  INDEX(FILTER(CFG_CODES!C:C, CFG_CODES!A:A=""MATERIAL"", UPPER(CFG_CODES!B:B)"&amp;"=UPPER(C912))),
  LEFT(UPPER(C912),3)
),
TEXT(ROW()-1,""000"")
))"),"")</f>
        <v/>
      </c>
      <c r="J912" s="64"/>
      <c r="K912" s="64"/>
      <c r="L912" s="64"/>
      <c r="M912" s="64"/>
      <c r="N912" s="64"/>
      <c r="O912" s="64" t="s">
        <v>1333</v>
      </c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</row>
    <row r="913" ht="15.0" customHeight="1">
      <c r="A913" s="64"/>
      <c r="B913" s="64"/>
      <c r="C913" s="64"/>
      <c r="D913" s="64"/>
      <c r="E913" s="64"/>
      <c r="F913" s="64"/>
      <c r="G913" s="64"/>
      <c r="H913" s="64"/>
      <c r="I913" s="27" t="str">
        <f>IFERROR(__xludf.DUMMYFUNCTION("IF(A913="""","""",
TEXTJOIN(""-"",TRUE,
IFERROR(
  INDEX(FILTER(CFG_CODES!C:C, CFG_CODES!A:A=""CATEGORY"", UPPER(CFG_CODES!B:B)=UPPER(B913))),
  LEFT(UPPER(B913),3)
),
IFERROR(
  INDEX(FILTER(CFG_CODES!C:C, CFG_CODES!A:A=""MATERIAL"", UPPER(CFG_CODES!B:B)"&amp;"=UPPER(C913))),
  LEFT(UPPER(C913),3)
),
TEXT(ROW()-1,""000"")
))"),"")</f>
        <v/>
      </c>
      <c r="J913" s="64"/>
      <c r="K913" s="64"/>
      <c r="L913" s="64"/>
      <c r="M913" s="64"/>
      <c r="N913" s="64"/>
      <c r="O913" s="64" t="s">
        <v>1333</v>
      </c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</row>
    <row r="914" ht="15.0" customHeight="1">
      <c r="A914" s="64"/>
      <c r="B914" s="64"/>
      <c r="C914" s="64"/>
      <c r="D914" s="64"/>
      <c r="E914" s="64"/>
      <c r="F914" s="64"/>
      <c r="G914" s="64"/>
      <c r="H914" s="64"/>
      <c r="I914" s="27" t="str">
        <f>IFERROR(__xludf.DUMMYFUNCTION("IF(A914="""","""",
TEXTJOIN(""-"",TRUE,
IFERROR(
  INDEX(FILTER(CFG_CODES!C:C, CFG_CODES!A:A=""CATEGORY"", UPPER(CFG_CODES!B:B)=UPPER(B914))),
  LEFT(UPPER(B914),3)
),
IFERROR(
  INDEX(FILTER(CFG_CODES!C:C, CFG_CODES!A:A=""MATERIAL"", UPPER(CFG_CODES!B:B)"&amp;"=UPPER(C914))),
  LEFT(UPPER(C914),3)
),
TEXT(ROW()-1,""000"")
))"),"")</f>
        <v/>
      </c>
      <c r="J914" s="64"/>
      <c r="K914" s="64"/>
      <c r="L914" s="64"/>
      <c r="M914" s="64"/>
      <c r="N914" s="64"/>
      <c r="O914" s="64" t="s">
        <v>1333</v>
      </c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</row>
    <row r="915" ht="15.0" customHeight="1">
      <c r="A915" s="64"/>
      <c r="B915" s="64"/>
      <c r="C915" s="64"/>
      <c r="D915" s="64"/>
      <c r="E915" s="64"/>
      <c r="F915" s="64"/>
      <c r="G915" s="64"/>
      <c r="H915" s="64"/>
      <c r="I915" s="27" t="str">
        <f>IFERROR(__xludf.DUMMYFUNCTION("IF(A915="""","""",
TEXTJOIN(""-"",TRUE,
IFERROR(
  INDEX(FILTER(CFG_CODES!C:C, CFG_CODES!A:A=""CATEGORY"", UPPER(CFG_CODES!B:B)=UPPER(B915))),
  LEFT(UPPER(B915),3)
),
IFERROR(
  INDEX(FILTER(CFG_CODES!C:C, CFG_CODES!A:A=""MATERIAL"", UPPER(CFG_CODES!B:B)"&amp;"=UPPER(C915))),
  LEFT(UPPER(C915),3)
),
TEXT(ROW()-1,""000"")
))"),"")</f>
        <v/>
      </c>
      <c r="J915" s="64"/>
      <c r="K915" s="64"/>
      <c r="L915" s="64"/>
      <c r="M915" s="64"/>
      <c r="N915" s="64"/>
      <c r="O915" s="64" t="s">
        <v>1333</v>
      </c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</row>
    <row r="916" ht="15.0" customHeight="1">
      <c r="A916" s="64"/>
      <c r="B916" s="64"/>
      <c r="C916" s="64"/>
      <c r="D916" s="64"/>
      <c r="E916" s="64"/>
      <c r="F916" s="64"/>
      <c r="G916" s="64"/>
      <c r="H916" s="64"/>
      <c r="I916" s="27" t="str">
        <f>IFERROR(__xludf.DUMMYFUNCTION("IF(A916="""","""",
TEXTJOIN(""-"",TRUE,
IFERROR(
  INDEX(FILTER(CFG_CODES!C:C, CFG_CODES!A:A=""CATEGORY"", UPPER(CFG_CODES!B:B)=UPPER(B916))),
  LEFT(UPPER(B916),3)
),
IFERROR(
  INDEX(FILTER(CFG_CODES!C:C, CFG_CODES!A:A=""MATERIAL"", UPPER(CFG_CODES!B:B)"&amp;"=UPPER(C916))),
  LEFT(UPPER(C916),3)
),
TEXT(ROW()-1,""000"")
))"),"")</f>
        <v/>
      </c>
      <c r="J916" s="64"/>
      <c r="K916" s="64"/>
      <c r="L916" s="64"/>
      <c r="M916" s="64"/>
      <c r="N916" s="64"/>
      <c r="O916" s="64" t="s">
        <v>1333</v>
      </c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</row>
    <row r="917" ht="15.0" customHeight="1">
      <c r="A917" s="64"/>
      <c r="B917" s="64"/>
      <c r="C917" s="64"/>
      <c r="D917" s="64"/>
      <c r="E917" s="64"/>
      <c r="F917" s="64"/>
      <c r="G917" s="64"/>
      <c r="H917" s="64"/>
      <c r="I917" s="27" t="str">
        <f>IFERROR(__xludf.DUMMYFUNCTION("IF(A917="""","""",
TEXTJOIN(""-"",TRUE,
IFERROR(
  INDEX(FILTER(CFG_CODES!C:C, CFG_CODES!A:A=""CATEGORY"", UPPER(CFG_CODES!B:B)=UPPER(B917))),
  LEFT(UPPER(B917),3)
),
IFERROR(
  INDEX(FILTER(CFG_CODES!C:C, CFG_CODES!A:A=""MATERIAL"", UPPER(CFG_CODES!B:B)"&amp;"=UPPER(C917))),
  LEFT(UPPER(C917),3)
),
TEXT(ROW()-1,""000"")
))"),"")</f>
        <v/>
      </c>
      <c r="J917" s="64"/>
      <c r="K917" s="64"/>
      <c r="L917" s="64"/>
      <c r="M917" s="64"/>
      <c r="N917" s="64"/>
      <c r="O917" s="64" t="s">
        <v>1333</v>
      </c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</row>
    <row r="918" ht="15.0" customHeight="1">
      <c r="A918" s="64"/>
      <c r="B918" s="64"/>
      <c r="C918" s="64"/>
      <c r="D918" s="64"/>
      <c r="E918" s="64"/>
      <c r="F918" s="64"/>
      <c r="G918" s="64"/>
      <c r="H918" s="64"/>
      <c r="I918" s="27" t="str">
        <f>IFERROR(__xludf.DUMMYFUNCTION("IF(A918="""","""",
TEXTJOIN(""-"",TRUE,
IFERROR(
  INDEX(FILTER(CFG_CODES!C:C, CFG_CODES!A:A=""CATEGORY"", UPPER(CFG_CODES!B:B)=UPPER(B918))),
  LEFT(UPPER(B918),3)
),
IFERROR(
  INDEX(FILTER(CFG_CODES!C:C, CFG_CODES!A:A=""MATERIAL"", UPPER(CFG_CODES!B:B)"&amp;"=UPPER(C918))),
  LEFT(UPPER(C918),3)
),
TEXT(ROW()-1,""000"")
))"),"")</f>
        <v/>
      </c>
      <c r="J918" s="64"/>
      <c r="K918" s="64"/>
      <c r="L918" s="64"/>
      <c r="M918" s="64"/>
      <c r="N918" s="64"/>
      <c r="O918" s="64" t="s">
        <v>1333</v>
      </c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</row>
    <row r="919" ht="15.0" customHeight="1">
      <c r="A919" s="64"/>
      <c r="B919" s="64"/>
      <c r="C919" s="64"/>
      <c r="D919" s="64"/>
      <c r="E919" s="64"/>
      <c r="F919" s="64"/>
      <c r="G919" s="64"/>
      <c r="H919" s="64"/>
      <c r="I919" s="27" t="str">
        <f>IFERROR(__xludf.DUMMYFUNCTION("IF(A919="""","""",
TEXTJOIN(""-"",TRUE,
IFERROR(
  INDEX(FILTER(CFG_CODES!C:C, CFG_CODES!A:A=""CATEGORY"", UPPER(CFG_CODES!B:B)=UPPER(B919))),
  LEFT(UPPER(B919),3)
),
IFERROR(
  INDEX(FILTER(CFG_CODES!C:C, CFG_CODES!A:A=""MATERIAL"", UPPER(CFG_CODES!B:B)"&amp;"=UPPER(C919))),
  LEFT(UPPER(C919),3)
),
TEXT(ROW()-1,""000"")
))"),"")</f>
        <v/>
      </c>
      <c r="J919" s="64"/>
      <c r="K919" s="64"/>
      <c r="L919" s="64"/>
      <c r="M919" s="64"/>
      <c r="N919" s="64"/>
      <c r="O919" s="64" t="s">
        <v>1333</v>
      </c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</row>
    <row r="920" ht="15.0" customHeight="1">
      <c r="A920" s="64"/>
      <c r="B920" s="64"/>
      <c r="C920" s="64"/>
      <c r="D920" s="64"/>
      <c r="E920" s="64"/>
      <c r="F920" s="64"/>
      <c r="G920" s="64"/>
      <c r="H920" s="64"/>
      <c r="I920" s="27" t="str">
        <f>IFERROR(__xludf.DUMMYFUNCTION("IF(A920="""","""",
TEXTJOIN(""-"",TRUE,
IFERROR(
  INDEX(FILTER(CFG_CODES!C:C, CFG_CODES!A:A=""CATEGORY"", UPPER(CFG_CODES!B:B)=UPPER(B920))),
  LEFT(UPPER(B920),3)
),
IFERROR(
  INDEX(FILTER(CFG_CODES!C:C, CFG_CODES!A:A=""MATERIAL"", UPPER(CFG_CODES!B:B)"&amp;"=UPPER(C920))),
  LEFT(UPPER(C920),3)
),
TEXT(ROW()-1,""000"")
))"),"")</f>
        <v/>
      </c>
      <c r="J920" s="64"/>
      <c r="K920" s="64"/>
      <c r="L920" s="64"/>
      <c r="M920" s="64"/>
      <c r="N920" s="64"/>
      <c r="O920" s="64" t="s">
        <v>1333</v>
      </c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</row>
    <row r="921" ht="15.0" customHeight="1">
      <c r="A921" s="64"/>
      <c r="B921" s="64"/>
      <c r="C921" s="64"/>
      <c r="D921" s="64"/>
      <c r="E921" s="64"/>
      <c r="F921" s="64"/>
      <c r="G921" s="64"/>
      <c r="H921" s="64"/>
      <c r="I921" s="27" t="str">
        <f>IFERROR(__xludf.DUMMYFUNCTION("IF(A921="""","""",
TEXTJOIN(""-"",TRUE,
IFERROR(
  INDEX(FILTER(CFG_CODES!C:C, CFG_CODES!A:A=""CATEGORY"", UPPER(CFG_CODES!B:B)=UPPER(B921))),
  LEFT(UPPER(B921),3)
),
IFERROR(
  INDEX(FILTER(CFG_CODES!C:C, CFG_CODES!A:A=""MATERIAL"", UPPER(CFG_CODES!B:B)"&amp;"=UPPER(C921))),
  LEFT(UPPER(C921),3)
),
TEXT(ROW()-1,""000"")
))"),"")</f>
        <v/>
      </c>
      <c r="J921" s="64"/>
      <c r="K921" s="64"/>
      <c r="L921" s="64"/>
      <c r="M921" s="64"/>
      <c r="N921" s="64"/>
      <c r="O921" s="64" t="s">
        <v>1333</v>
      </c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</row>
    <row r="922" ht="15.0" customHeight="1">
      <c r="A922" s="64"/>
      <c r="B922" s="64"/>
      <c r="C922" s="64"/>
      <c r="D922" s="64"/>
      <c r="E922" s="64"/>
      <c r="F922" s="64"/>
      <c r="G922" s="64"/>
      <c r="H922" s="64"/>
      <c r="I922" s="27" t="str">
        <f>IFERROR(__xludf.DUMMYFUNCTION("IF(A922="""","""",
TEXTJOIN(""-"",TRUE,
IFERROR(
  INDEX(FILTER(CFG_CODES!C:C, CFG_CODES!A:A=""CATEGORY"", UPPER(CFG_CODES!B:B)=UPPER(B922))),
  LEFT(UPPER(B922),3)
),
IFERROR(
  INDEX(FILTER(CFG_CODES!C:C, CFG_CODES!A:A=""MATERIAL"", UPPER(CFG_CODES!B:B)"&amp;"=UPPER(C922))),
  LEFT(UPPER(C922),3)
),
TEXT(ROW()-1,""000"")
))"),"")</f>
        <v/>
      </c>
      <c r="J922" s="64"/>
      <c r="K922" s="64"/>
      <c r="L922" s="64"/>
      <c r="M922" s="64"/>
      <c r="N922" s="64"/>
      <c r="O922" s="64" t="s">
        <v>1333</v>
      </c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</row>
    <row r="923" ht="15.0" customHeight="1">
      <c r="A923" s="64"/>
      <c r="B923" s="64"/>
      <c r="C923" s="64"/>
      <c r="D923" s="64"/>
      <c r="E923" s="64"/>
      <c r="F923" s="64"/>
      <c r="G923" s="64"/>
      <c r="H923" s="64"/>
      <c r="I923" s="27" t="str">
        <f>IFERROR(__xludf.DUMMYFUNCTION("IF(A923="""","""",
TEXTJOIN(""-"",TRUE,
IFERROR(
  INDEX(FILTER(CFG_CODES!C:C, CFG_CODES!A:A=""CATEGORY"", UPPER(CFG_CODES!B:B)=UPPER(B923))),
  LEFT(UPPER(B923),3)
),
IFERROR(
  INDEX(FILTER(CFG_CODES!C:C, CFG_CODES!A:A=""MATERIAL"", UPPER(CFG_CODES!B:B)"&amp;"=UPPER(C923))),
  LEFT(UPPER(C923),3)
),
TEXT(ROW()-1,""000"")
))"),"")</f>
        <v/>
      </c>
      <c r="J923" s="64"/>
      <c r="K923" s="64"/>
      <c r="L923" s="64"/>
      <c r="M923" s="64"/>
      <c r="N923" s="64"/>
      <c r="O923" s="64" t="s">
        <v>1333</v>
      </c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</row>
    <row r="924" ht="15.0" customHeight="1">
      <c r="A924" s="64"/>
      <c r="B924" s="64"/>
      <c r="C924" s="64"/>
      <c r="D924" s="64"/>
      <c r="E924" s="64"/>
      <c r="F924" s="64"/>
      <c r="G924" s="64"/>
      <c r="H924" s="64"/>
      <c r="I924" s="27" t="str">
        <f>IFERROR(__xludf.DUMMYFUNCTION("IF(A924="""","""",
TEXTJOIN(""-"",TRUE,
IFERROR(
  INDEX(FILTER(CFG_CODES!C:C, CFG_CODES!A:A=""CATEGORY"", UPPER(CFG_CODES!B:B)=UPPER(B924))),
  LEFT(UPPER(B924),3)
),
IFERROR(
  INDEX(FILTER(CFG_CODES!C:C, CFG_CODES!A:A=""MATERIAL"", UPPER(CFG_CODES!B:B)"&amp;"=UPPER(C924))),
  LEFT(UPPER(C924),3)
),
TEXT(ROW()-1,""000"")
))"),"")</f>
        <v/>
      </c>
      <c r="J924" s="64"/>
      <c r="K924" s="64"/>
      <c r="L924" s="64"/>
      <c r="M924" s="64"/>
      <c r="N924" s="64"/>
      <c r="O924" s="64" t="s">
        <v>1333</v>
      </c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</row>
    <row r="925" ht="15.0" customHeight="1">
      <c r="A925" s="64"/>
      <c r="B925" s="64"/>
      <c r="C925" s="64"/>
      <c r="D925" s="64"/>
      <c r="E925" s="64"/>
      <c r="F925" s="64"/>
      <c r="G925" s="64"/>
      <c r="H925" s="64"/>
      <c r="I925" s="27" t="str">
        <f>IFERROR(__xludf.DUMMYFUNCTION("IF(A925="""","""",
TEXTJOIN(""-"",TRUE,
IFERROR(
  INDEX(FILTER(CFG_CODES!C:C, CFG_CODES!A:A=""CATEGORY"", UPPER(CFG_CODES!B:B)=UPPER(B925))),
  LEFT(UPPER(B925),3)
),
IFERROR(
  INDEX(FILTER(CFG_CODES!C:C, CFG_CODES!A:A=""MATERIAL"", UPPER(CFG_CODES!B:B)"&amp;"=UPPER(C925))),
  LEFT(UPPER(C925),3)
),
TEXT(ROW()-1,""000"")
))"),"")</f>
        <v/>
      </c>
      <c r="J925" s="64"/>
      <c r="K925" s="64"/>
      <c r="L925" s="64"/>
      <c r="M925" s="64"/>
      <c r="N925" s="64"/>
      <c r="O925" s="64" t="s">
        <v>1333</v>
      </c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</row>
    <row r="926" ht="15.0" customHeight="1">
      <c r="A926" s="64"/>
      <c r="B926" s="64"/>
      <c r="C926" s="64"/>
      <c r="D926" s="64"/>
      <c r="E926" s="64"/>
      <c r="F926" s="64"/>
      <c r="G926" s="64"/>
      <c r="H926" s="64"/>
      <c r="I926" s="27" t="str">
        <f>IFERROR(__xludf.DUMMYFUNCTION("IF(A926="""","""",
TEXTJOIN(""-"",TRUE,
IFERROR(
  INDEX(FILTER(CFG_CODES!C:C, CFG_CODES!A:A=""CATEGORY"", UPPER(CFG_CODES!B:B)=UPPER(B926))),
  LEFT(UPPER(B926),3)
),
IFERROR(
  INDEX(FILTER(CFG_CODES!C:C, CFG_CODES!A:A=""MATERIAL"", UPPER(CFG_CODES!B:B)"&amp;"=UPPER(C926))),
  LEFT(UPPER(C926),3)
),
TEXT(ROW()-1,""000"")
))"),"")</f>
        <v/>
      </c>
      <c r="J926" s="64"/>
      <c r="K926" s="64"/>
      <c r="L926" s="64"/>
      <c r="M926" s="64"/>
      <c r="N926" s="64"/>
      <c r="O926" s="64" t="s">
        <v>1333</v>
      </c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</row>
    <row r="927" ht="15.0" customHeight="1">
      <c r="A927" s="64"/>
      <c r="B927" s="64"/>
      <c r="C927" s="64"/>
      <c r="D927" s="64"/>
      <c r="E927" s="64"/>
      <c r="F927" s="64"/>
      <c r="G927" s="64"/>
      <c r="H927" s="64"/>
      <c r="I927" s="27" t="str">
        <f>IFERROR(__xludf.DUMMYFUNCTION("IF(A927="""","""",
TEXTJOIN(""-"",TRUE,
IFERROR(
  INDEX(FILTER(CFG_CODES!C:C, CFG_CODES!A:A=""CATEGORY"", UPPER(CFG_CODES!B:B)=UPPER(B927))),
  LEFT(UPPER(B927),3)
),
IFERROR(
  INDEX(FILTER(CFG_CODES!C:C, CFG_CODES!A:A=""MATERIAL"", UPPER(CFG_CODES!B:B)"&amp;"=UPPER(C927))),
  LEFT(UPPER(C927),3)
),
TEXT(ROW()-1,""000"")
))"),"")</f>
        <v/>
      </c>
      <c r="J927" s="64"/>
      <c r="K927" s="64"/>
      <c r="L927" s="64"/>
      <c r="M927" s="64"/>
      <c r="N927" s="64"/>
      <c r="O927" s="64" t="s">
        <v>1333</v>
      </c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</row>
    <row r="928" ht="15.0" customHeight="1">
      <c r="A928" s="64"/>
      <c r="B928" s="64"/>
      <c r="C928" s="64"/>
      <c r="D928" s="64"/>
      <c r="E928" s="64"/>
      <c r="F928" s="64"/>
      <c r="G928" s="64"/>
      <c r="H928" s="64"/>
      <c r="I928" s="27" t="str">
        <f>IFERROR(__xludf.DUMMYFUNCTION("IF(A928="""","""",
TEXTJOIN(""-"",TRUE,
IFERROR(
  INDEX(FILTER(CFG_CODES!C:C, CFG_CODES!A:A=""CATEGORY"", UPPER(CFG_CODES!B:B)=UPPER(B928))),
  LEFT(UPPER(B928),3)
),
IFERROR(
  INDEX(FILTER(CFG_CODES!C:C, CFG_CODES!A:A=""MATERIAL"", UPPER(CFG_CODES!B:B)"&amp;"=UPPER(C928))),
  LEFT(UPPER(C928),3)
),
TEXT(ROW()-1,""000"")
))"),"")</f>
        <v/>
      </c>
      <c r="J928" s="64"/>
      <c r="K928" s="64"/>
      <c r="L928" s="64"/>
      <c r="M928" s="64"/>
      <c r="N928" s="64"/>
      <c r="O928" s="64" t="s">
        <v>1333</v>
      </c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</row>
    <row r="929" ht="15.0" customHeight="1">
      <c r="A929" s="64"/>
      <c r="B929" s="64"/>
      <c r="C929" s="64"/>
      <c r="D929" s="64"/>
      <c r="E929" s="64"/>
      <c r="F929" s="64"/>
      <c r="G929" s="64"/>
      <c r="H929" s="64"/>
      <c r="I929" s="27" t="str">
        <f>IFERROR(__xludf.DUMMYFUNCTION("IF(A929="""","""",
TEXTJOIN(""-"",TRUE,
IFERROR(
  INDEX(FILTER(CFG_CODES!C:C, CFG_CODES!A:A=""CATEGORY"", UPPER(CFG_CODES!B:B)=UPPER(B929))),
  LEFT(UPPER(B929),3)
),
IFERROR(
  INDEX(FILTER(CFG_CODES!C:C, CFG_CODES!A:A=""MATERIAL"", UPPER(CFG_CODES!B:B)"&amp;"=UPPER(C929))),
  LEFT(UPPER(C929),3)
),
TEXT(ROW()-1,""000"")
))"),"")</f>
        <v/>
      </c>
      <c r="J929" s="64"/>
      <c r="K929" s="64"/>
      <c r="L929" s="64"/>
      <c r="M929" s="64"/>
      <c r="N929" s="64"/>
      <c r="O929" s="64" t="s">
        <v>1333</v>
      </c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</row>
    <row r="930" ht="15.0" customHeight="1">
      <c r="A930" s="64"/>
      <c r="B930" s="64"/>
      <c r="C930" s="64"/>
      <c r="D930" s="64"/>
      <c r="E930" s="64"/>
      <c r="F930" s="64"/>
      <c r="G930" s="64"/>
      <c r="H930" s="64"/>
      <c r="I930" s="27" t="str">
        <f>IFERROR(__xludf.DUMMYFUNCTION("IF(A930="""","""",
TEXTJOIN(""-"",TRUE,
IFERROR(
  INDEX(FILTER(CFG_CODES!C:C, CFG_CODES!A:A=""CATEGORY"", UPPER(CFG_CODES!B:B)=UPPER(B930))),
  LEFT(UPPER(B930),3)
),
IFERROR(
  INDEX(FILTER(CFG_CODES!C:C, CFG_CODES!A:A=""MATERIAL"", UPPER(CFG_CODES!B:B)"&amp;"=UPPER(C930))),
  LEFT(UPPER(C930),3)
),
TEXT(ROW()-1,""000"")
))"),"")</f>
        <v/>
      </c>
      <c r="J930" s="64"/>
      <c r="K930" s="64"/>
      <c r="L930" s="64"/>
      <c r="M930" s="64"/>
      <c r="N930" s="64"/>
      <c r="O930" s="64" t="s">
        <v>1333</v>
      </c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</row>
    <row r="931" ht="15.0" customHeight="1">
      <c r="A931" s="64"/>
      <c r="B931" s="64"/>
      <c r="C931" s="64"/>
      <c r="D931" s="64"/>
      <c r="E931" s="64"/>
      <c r="F931" s="64"/>
      <c r="G931" s="64"/>
      <c r="H931" s="64"/>
      <c r="I931" s="27" t="str">
        <f>IFERROR(__xludf.DUMMYFUNCTION("IF(A931="""","""",
TEXTJOIN(""-"",TRUE,
IFERROR(
  INDEX(FILTER(CFG_CODES!C:C, CFG_CODES!A:A=""CATEGORY"", UPPER(CFG_CODES!B:B)=UPPER(B931))),
  LEFT(UPPER(B931),3)
),
IFERROR(
  INDEX(FILTER(CFG_CODES!C:C, CFG_CODES!A:A=""MATERIAL"", UPPER(CFG_CODES!B:B)"&amp;"=UPPER(C931))),
  LEFT(UPPER(C931),3)
),
TEXT(ROW()-1,""000"")
))"),"")</f>
        <v/>
      </c>
      <c r="J931" s="64"/>
      <c r="K931" s="64"/>
      <c r="L931" s="64"/>
      <c r="M931" s="64"/>
      <c r="N931" s="64"/>
      <c r="O931" s="64" t="s">
        <v>1333</v>
      </c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</row>
    <row r="932" ht="15.0" customHeight="1">
      <c r="A932" s="64"/>
      <c r="B932" s="64"/>
      <c r="C932" s="64"/>
      <c r="D932" s="64"/>
      <c r="E932" s="64"/>
      <c r="F932" s="64"/>
      <c r="G932" s="64"/>
      <c r="H932" s="64"/>
      <c r="I932" s="27" t="str">
        <f>IFERROR(__xludf.DUMMYFUNCTION("IF(A932="""","""",
TEXTJOIN(""-"",TRUE,
IFERROR(
  INDEX(FILTER(CFG_CODES!C:C, CFG_CODES!A:A=""CATEGORY"", UPPER(CFG_CODES!B:B)=UPPER(B932))),
  LEFT(UPPER(B932),3)
),
IFERROR(
  INDEX(FILTER(CFG_CODES!C:C, CFG_CODES!A:A=""MATERIAL"", UPPER(CFG_CODES!B:B)"&amp;"=UPPER(C932))),
  LEFT(UPPER(C932),3)
),
TEXT(ROW()-1,""000"")
))"),"")</f>
        <v/>
      </c>
      <c r="J932" s="64"/>
      <c r="K932" s="64"/>
      <c r="L932" s="64"/>
      <c r="M932" s="64"/>
      <c r="N932" s="64"/>
      <c r="O932" s="64" t="s">
        <v>1333</v>
      </c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</row>
    <row r="933" ht="15.0" customHeight="1">
      <c r="A933" s="64"/>
      <c r="B933" s="64"/>
      <c r="C933" s="64"/>
      <c r="D933" s="64"/>
      <c r="E933" s="64"/>
      <c r="F933" s="64"/>
      <c r="G933" s="64"/>
      <c r="H933" s="64"/>
      <c r="I933" s="27" t="str">
        <f>IFERROR(__xludf.DUMMYFUNCTION("IF(A933="""","""",
TEXTJOIN(""-"",TRUE,
IFERROR(
  INDEX(FILTER(CFG_CODES!C:C, CFG_CODES!A:A=""CATEGORY"", UPPER(CFG_CODES!B:B)=UPPER(B933))),
  LEFT(UPPER(B933),3)
),
IFERROR(
  INDEX(FILTER(CFG_CODES!C:C, CFG_CODES!A:A=""MATERIAL"", UPPER(CFG_CODES!B:B)"&amp;"=UPPER(C933))),
  LEFT(UPPER(C933),3)
),
TEXT(ROW()-1,""000"")
))"),"")</f>
        <v/>
      </c>
      <c r="J933" s="64"/>
      <c r="K933" s="64"/>
      <c r="L933" s="64"/>
      <c r="M933" s="64"/>
      <c r="N933" s="64"/>
      <c r="O933" s="64" t="s">
        <v>1333</v>
      </c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</row>
    <row r="934" ht="15.0" customHeight="1">
      <c r="A934" s="64"/>
      <c r="B934" s="64"/>
      <c r="C934" s="64"/>
      <c r="D934" s="64"/>
      <c r="E934" s="64"/>
      <c r="F934" s="64"/>
      <c r="G934" s="64"/>
      <c r="H934" s="64"/>
      <c r="I934" s="27" t="str">
        <f>IFERROR(__xludf.DUMMYFUNCTION("IF(A934="""","""",
TEXTJOIN(""-"",TRUE,
IFERROR(
  INDEX(FILTER(CFG_CODES!C:C, CFG_CODES!A:A=""CATEGORY"", UPPER(CFG_CODES!B:B)=UPPER(B934))),
  LEFT(UPPER(B934),3)
),
IFERROR(
  INDEX(FILTER(CFG_CODES!C:C, CFG_CODES!A:A=""MATERIAL"", UPPER(CFG_CODES!B:B)"&amp;"=UPPER(C934))),
  LEFT(UPPER(C934),3)
),
TEXT(ROW()-1,""000"")
))"),"")</f>
        <v/>
      </c>
      <c r="J934" s="64"/>
      <c r="K934" s="64"/>
      <c r="L934" s="64"/>
      <c r="M934" s="64"/>
      <c r="N934" s="64"/>
      <c r="O934" s="64" t="s">
        <v>1333</v>
      </c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</row>
    <row r="935" ht="15.0" customHeight="1">
      <c r="A935" s="64"/>
      <c r="B935" s="64"/>
      <c r="C935" s="64"/>
      <c r="D935" s="64"/>
      <c r="E935" s="64"/>
      <c r="F935" s="64"/>
      <c r="G935" s="64"/>
      <c r="H935" s="64"/>
      <c r="I935" s="27" t="str">
        <f>IFERROR(__xludf.DUMMYFUNCTION("IF(A935="""","""",
TEXTJOIN(""-"",TRUE,
IFERROR(
  INDEX(FILTER(CFG_CODES!C:C, CFG_CODES!A:A=""CATEGORY"", UPPER(CFG_CODES!B:B)=UPPER(B935))),
  LEFT(UPPER(B935),3)
),
IFERROR(
  INDEX(FILTER(CFG_CODES!C:C, CFG_CODES!A:A=""MATERIAL"", UPPER(CFG_CODES!B:B)"&amp;"=UPPER(C935))),
  LEFT(UPPER(C935),3)
),
TEXT(ROW()-1,""000"")
))"),"")</f>
        <v/>
      </c>
      <c r="J935" s="64"/>
      <c r="K935" s="64"/>
      <c r="L935" s="64"/>
      <c r="M935" s="64"/>
      <c r="N935" s="64"/>
      <c r="O935" s="64" t="s">
        <v>1333</v>
      </c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</row>
    <row r="936" ht="15.0" customHeight="1">
      <c r="A936" s="64"/>
      <c r="B936" s="64"/>
      <c r="C936" s="64"/>
      <c r="D936" s="64"/>
      <c r="E936" s="64"/>
      <c r="F936" s="64"/>
      <c r="G936" s="64"/>
      <c r="H936" s="64"/>
      <c r="I936" s="27" t="str">
        <f>IFERROR(__xludf.DUMMYFUNCTION("IF(A936="""","""",
TEXTJOIN(""-"",TRUE,
IFERROR(
  INDEX(FILTER(CFG_CODES!C:C, CFG_CODES!A:A=""CATEGORY"", UPPER(CFG_CODES!B:B)=UPPER(B936))),
  LEFT(UPPER(B936),3)
),
IFERROR(
  INDEX(FILTER(CFG_CODES!C:C, CFG_CODES!A:A=""MATERIAL"", UPPER(CFG_CODES!B:B)"&amp;"=UPPER(C936))),
  LEFT(UPPER(C936),3)
),
TEXT(ROW()-1,""000"")
))"),"")</f>
        <v/>
      </c>
      <c r="J936" s="64"/>
      <c r="K936" s="64"/>
      <c r="L936" s="64"/>
      <c r="M936" s="64"/>
      <c r="N936" s="64"/>
      <c r="O936" s="64" t="s">
        <v>1333</v>
      </c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</row>
    <row r="937" ht="15.0" customHeight="1">
      <c r="A937" s="64"/>
      <c r="B937" s="64"/>
      <c r="C937" s="64"/>
      <c r="D937" s="64"/>
      <c r="E937" s="64"/>
      <c r="F937" s="64"/>
      <c r="G937" s="64"/>
      <c r="H937" s="64"/>
      <c r="I937" s="27" t="str">
        <f>IFERROR(__xludf.DUMMYFUNCTION("IF(A937="""","""",
TEXTJOIN(""-"",TRUE,
IFERROR(
  INDEX(FILTER(CFG_CODES!C:C, CFG_CODES!A:A=""CATEGORY"", UPPER(CFG_CODES!B:B)=UPPER(B937))),
  LEFT(UPPER(B937),3)
),
IFERROR(
  INDEX(FILTER(CFG_CODES!C:C, CFG_CODES!A:A=""MATERIAL"", UPPER(CFG_CODES!B:B)"&amp;"=UPPER(C937))),
  LEFT(UPPER(C937),3)
),
TEXT(ROW()-1,""000"")
))"),"")</f>
        <v/>
      </c>
      <c r="J937" s="64"/>
      <c r="K937" s="64"/>
      <c r="L937" s="64"/>
      <c r="M937" s="64"/>
      <c r="N937" s="64"/>
      <c r="O937" s="64" t="s">
        <v>1333</v>
      </c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</row>
    <row r="938" ht="15.0" customHeight="1">
      <c r="A938" s="64"/>
      <c r="B938" s="64"/>
      <c r="C938" s="64"/>
      <c r="D938" s="64"/>
      <c r="E938" s="64"/>
      <c r="F938" s="64"/>
      <c r="G938" s="64"/>
      <c r="H938" s="64"/>
      <c r="I938" s="27" t="str">
        <f>IFERROR(__xludf.DUMMYFUNCTION("IF(A938="""","""",
TEXTJOIN(""-"",TRUE,
IFERROR(
  INDEX(FILTER(CFG_CODES!C:C, CFG_CODES!A:A=""CATEGORY"", UPPER(CFG_CODES!B:B)=UPPER(B938))),
  LEFT(UPPER(B938),3)
),
IFERROR(
  INDEX(FILTER(CFG_CODES!C:C, CFG_CODES!A:A=""MATERIAL"", UPPER(CFG_CODES!B:B)"&amp;"=UPPER(C938))),
  LEFT(UPPER(C938),3)
),
TEXT(ROW()-1,""000"")
))"),"")</f>
        <v/>
      </c>
      <c r="J938" s="64"/>
      <c r="K938" s="64"/>
      <c r="L938" s="64"/>
      <c r="M938" s="64"/>
      <c r="N938" s="64"/>
      <c r="O938" s="64" t="s">
        <v>1333</v>
      </c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</row>
    <row r="939" ht="15.0" customHeight="1">
      <c r="A939" s="64"/>
      <c r="B939" s="64"/>
      <c r="C939" s="64"/>
      <c r="D939" s="64"/>
      <c r="E939" s="64"/>
      <c r="F939" s="64"/>
      <c r="G939" s="64"/>
      <c r="H939" s="64"/>
      <c r="I939" s="27" t="str">
        <f>IFERROR(__xludf.DUMMYFUNCTION("IF(A939="""","""",
TEXTJOIN(""-"",TRUE,
IFERROR(
  INDEX(FILTER(CFG_CODES!C:C, CFG_CODES!A:A=""CATEGORY"", UPPER(CFG_CODES!B:B)=UPPER(B939))),
  LEFT(UPPER(B939),3)
),
IFERROR(
  INDEX(FILTER(CFG_CODES!C:C, CFG_CODES!A:A=""MATERIAL"", UPPER(CFG_CODES!B:B)"&amp;"=UPPER(C939))),
  LEFT(UPPER(C939),3)
),
TEXT(ROW()-1,""000"")
))"),"")</f>
        <v/>
      </c>
      <c r="J939" s="64"/>
      <c r="K939" s="64"/>
      <c r="L939" s="64"/>
      <c r="M939" s="64"/>
      <c r="N939" s="64"/>
      <c r="O939" s="64" t="s">
        <v>1333</v>
      </c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</row>
    <row r="940" ht="15.0" customHeight="1">
      <c r="A940" s="64"/>
      <c r="B940" s="64"/>
      <c r="C940" s="64"/>
      <c r="D940" s="64"/>
      <c r="E940" s="64"/>
      <c r="F940" s="64"/>
      <c r="G940" s="64"/>
      <c r="H940" s="64"/>
      <c r="I940" s="27" t="str">
        <f>IFERROR(__xludf.DUMMYFUNCTION("IF(A940="""","""",
TEXTJOIN(""-"",TRUE,
IFERROR(
  INDEX(FILTER(CFG_CODES!C:C, CFG_CODES!A:A=""CATEGORY"", UPPER(CFG_CODES!B:B)=UPPER(B940))),
  LEFT(UPPER(B940),3)
),
IFERROR(
  INDEX(FILTER(CFG_CODES!C:C, CFG_CODES!A:A=""MATERIAL"", UPPER(CFG_CODES!B:B)"&amp;"=UPPER(C940))),
  LEFT(UPPER(C940),3)
),
TEXT(ROW()-1,""000"")
))"),"")</f>
        <v/>
      </c>
      <c r="J940" s="64"/>
      <c r="K940" s="64"/>
      <c r="L940" s="64"/>
      <c r="M940" s="64"/>
      <c r="N940" s="64"/>
      <c r="O940" s="64" t="s">
        <v>1333</v>
      </c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</row>
    <row r="941" ht="15.0" customHeight="1">
      <c r="A941" s="64"/>
      <c r="B941" s="64"/>
      <c r="C941" s="64"/>
      <c r="D941" s="64"/>
      <c r="E941" s="64"/>
      <c r="F941" s="64"/>
      <c r="G941" s="64"/>
      <c r="H941" s="64"/>
      <c r="I941" s="27" t="str">
        <f>IFERROR(__xludf.DUMMYFUNCTION("IF(A941="""","""",
TEXTJOIN(""-"",TRUE,
IFERROR(
  INDEX(FILTER(CFG_CODES!C:C, CFG_CODES!A:A=""CATEGORY"", UPPER(CFG_CODES!B:B)=UPPER(B941))),
  LEFT(UPPER(B941),3)
),
IFERROR(
  INDEX(FILTER(CFG_CODES!C:C, CFG_CODES!A:A=""MATERIAL"", UPPER(CFG_CODES!B:B)"&amp;"=UPPER(C941))),
  LEFT(UPPER(C941),3)
),
TEXT(ROW()-1,""000"")
))"),"")</f>
        <v/>
      </c>
      <c r="J941" s="64"/>
      <c r="K941" s="64"/>
      <c r="L941" s="64"/>
      <c r="M941" s="64"/>
      <c r="N941" s="64"/>
      <c r="O941" s="64" t="s">
        <v>1333</v>
      </c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</row>
    <row r="942" ht="15.0" customHeight="1">
      <c r="A942" s="64"/>
      <c r="B942" s="64"/>
      <c r="C942" s="64"/>
      <c r="D942" s="64"/>
      <c r="E942" s="64"/>
      <c r="F942" s="64"/>
      <c r="G942" s="64"/>
      <c r="H942" s="64"/>
      <c r="I942" s="27" t="str">
        <f>IFERROR(__xludf.DUMMYFUNCTION("IF(A942="""","""",
TEXTJOIN(""-"",TRUE,
IFERROR(
  INDEX(FILTER(CFG_CODES!C:C, CFG_CODES!A:A=""CATEGORY"", UPPER(CFG_CODES!B:B)=UPPER(B942))),
  LEFT(UPPER(B942),3)
),
IFERROR(
  INDEX(FILTER(CFG_CODES!C:C, CFG_CODES!A:A=""MATERIAL"", UPPER(CFG_CODES!B:B)"&amp;"=UPPER(C942))),
  LEFT(UPPER(C942),3)
),
TEXT(ROW()-1,""000"")
))"),"")</f>
        <v/>
      </c>
      <c r="J942" s="64"/>
      <c r="K942" s="64"/>
      <c r="L942" s="64"/>
      <c r="M942" s="64"/>
      <c r="N942" s="64"/>
      <c r="O942" s="64" t="s">
        <v>1333</v>
      </c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</row>
    <row r="943" ht="15.0" customHeight="1">
      <c r="A943" s="64"/>
      <c r="B943" s="64"/>
      <c r="C943" s="64"/>
      <c r="D943" s="64"/>
      <c r="E943" s="64"/>
      <c r="F943" s="64"/>
      <c r="G943" s="64"/>
      <c r="H943" s="64"/>
      <c r="I943" s="27" t="str">
        <f>IFERROR(__xludf.DUMMYFUNCTION("IF(A943="""","""",
TEXTJOIN(""-"",TRUE,
IFERROR(
  INDEX(FILTER(CFG_CODES!C:C, CFG_CODES!A:A=""CATEGORY"", UPPER(CFG_CODES!B:B)=UPPER(B943))),
  LEFT(UPPER(B943),3)
),
IFERROR(
  INDEX(FILTER(CFG_CODES!C:C, CFG_CODES!A:A=""MATERIAL"", UPPER(CFG_CODES!B:B)"&amp;"=UPPER(C943))),
  LEFT(UPPER(C943),3)
),
TEXT(ROW()-1,""000"")
))"),"")</f>
        <v/>
      </c>
      <c r="J943" s="64"/>
      <c r="K943" s="64"/>
      <c r="L943" s="64"/>
      <c r="M943" s="64"/>
      <c r="N943" s="64"/>
      <c r="O943" s="64" t="s">
        <v>1333</v>
      </c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</row>
    <row r="944" ht="15.0" customHeight="1">
      <c r="A944" s="64"/>
      <c r="B944" s="64"/>
      <c r="C944" s="64"/>
      <c r="D944" s="64"/>
      <c r="E944" s="64"/>
      <c r="F944" s="64"/>
      <c r="G944" s="64"/>
      <c r="H944" s="64"/>
      <c r="I944" s="27" t="str">
        <f>IFERROR(__xludf.DUMMYFUNCTION("IF(A944="""","""",
TEXTJOIN(""-"",TRUE,
IFERROR(
  INDEX(FILTER(CFG_CODES!C:C, CFG_CODES!A:A=""CATEGORY"", UPPER(CFG_CODES!B:B)=UPPER(B944))),
  LEFT(UPPER(B944),3)
),
IFERROR(
  INDEX(FILTER(CFG_CODES!C:C, CFG_CODES!A:A=""MATERIAL"", UPPER(CFG_CODES!B:B)"&amp;"=UPPER(C944))),
  LEFT(UPPER(C944),3)
),
TEXT(ROW()-1,""000"")
))"),"")</f>
        <v/>
      </c>
      <c r="J944" s="64"/>
      <c r="K944" s="64"/>
      <c r="L944" s="64"/>
      <c r="M944" s="64"/>
      <c r="N944" s="64"/>
      <c r="O944" s="64" t="s">
        <v>1333</v>
      </c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</row>
    <row r="945" ht="15.0" customHeight="1">
      <c r="A945" s="64"/>
      <c r="B945" s="64"/>
      <c r="C945" s="64"/>
      <c r="D945" s="64"/>
      <c r="E945" s="64"/>
      <c r="F945" s="64"/>
      <c r="G945" s="64"/>
      <c r="H945" s="64"/>
      <c r="I945" s="27" t="str">
        <f>IFERROR(__xludf.DUMMYFUNCTION("IF(A945="""","""",
TEXTJOIN(""-"",TRUE,
IFERROR(
  INDEX(FILTER(CFG_CODES!C:C, CFG_CODES!A:A=""CATEGORY"", UPPER(CFG_CODES!B:B)=UPPER(B945))),
  LEFT(UPPER(B945),3)
),
IFERROR(
  INDEX(FILTER(CFG_CODES!C:C, CFG_CODES!A:A=""MATERIAL"", UPPER(CFG_CODES!B:B)"&amp;"=UPPER(C945))),
  LEFT(UPPER(C945),3)
),
TEXT(ROW()-1,""000"")
))"),"")</f>
        <v/>
      </c>
      <c r="J945" s="64"/>
      <c r="K945" s="64"/>
      <c r="L945" s="64"/>
      <c r="M945" s="64"/>
      <c r="N945" s="64"/>
      <c r="O945" s="64" t="s">
        <v>1333</v>
      </c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</row>
    <row r="946" ht="15.0" customHeight="1">
      <c r="A946" s="64"/>
      <c r="B946" s="64"/>
      <c r="C946" s="64"/>
      <c r="D946" s="64"/>
      <c r="E946" s="64"/>
      <c r="F946" s="64"/>
      <c r="G946" s="64"/>
      <c r="H946" s="64"/>
      <c r="I946" s="27" t="str">
        <f>IFERROR(__xludf.DUMMYFUNCTION("IF(A946="""","""",
TEXTJOIN(""-"",TRUE,
IFERROR(
  INDEX(FILTER(CFG_CODES!C:C, CFG_CODES!A:A=""CATEGORY"", UPPER(CFG_CODES!B:B)=UPPER(B946))),
  LEFT(UPPER(B946),3)
),
IFERROR(
  INDEX(FILTER(CFG_CODES!C:C, CFG_CODES!A:A=""MATERIAL"", UPPER(CFG_CODES!B:B)"&amp;"=UPPER(C946))),
  LEFT(UPPER(C946),3)
),
TEXT(ROW()-1,""000"")
))"),"")</f>
        <v/>
      </c>
      <c r="J946" s="64"/>
      <c r="K946" s="64"/>
      <c r="L946" s="64"/>
      <c r="M946" s="64"/>
      <c r="N946" s="64"/>
      <c r="O946" s="64" t="s">
        <v>1333</v>
      </c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</row>
    <row r="947" ht="15.0" customHeight="1">
      <c r="A947" s="64"/>
      <c r="B947" s="64"/>
      <c r="C947" s="64"/>
      <c r="D947" s="64"/>
      <c r="E947" s="64"/>
      <c r="F947" s="64"/>
      <c r="G947" s="64"/>
      <c r="H947" s="64"/>
      <c r="I947" s="27" t="str">
        <f>IFERROR(__xludf.DUMMYFUNCTION("IF(A947="""","""",
TEXTJOIN(""-"",TRUE,
IFERROR(
  INDEX(FILTER(CFG_CODES!C:C, CFG_CODES!A:A=""CATEGORY"", UPPER(CFG_CODES!B:B)=UPPER(B947))),
  LEFT(UPPER(B947),3)
),
IFERROR(
  INDEX(FILTER(CFG_CODES!C:C, CFG_CODES!A:A=""MATERIAL"", UPPER(CFG_CODES!B:B)"&amp;"=UPPER(C947))),
  LEFT(UPPER(C947),3)
),
TEXT(ROW()-1,""000"")
))"),"")</f>
        <v/>
      </c>
      <c r="J947" s="64"/>
      <c r="K947" s="64"/>
      <c r="L947" s="64"/>
      <c r="M947" s="64"/>
      <c r="N947" s="64"/>
      <c r="O947" s="64" t="s">
        <v>1333</v>
      </c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</row>
    <row r="948" ht="15.0" customHeight="1">
      <c r="A948" s="64"/>
      <c r="B948" s="64"/>
      <c r="C948" s="64"/>
      <c r="D948" s="64"/>
      <c r="E948" s="64"/>
      <c r="F948" s="64"/>
      <c r="G948" s="64"/>
      <c r="H948" s="64"/>
      <c r="I948" s="27" t="str">
        <f>IFERROR(__xludf.DUMMYFUNCTION("IF(A948="""","""",
TEXTJOIN(""-"",TRUE,
IFERROR(
  INDEX(FILTER(CFG_CODES!C:C, CFG_CODES!A:A=""CATEGORY"", UPPER(CFG_CODES!B:B)=UPPER(B948))),
  LEFT(UPPER(B948),3)
),
IFERROR(
  INDEX(FILTER(CFG_CODES!C:C, CFG_CODES!A:A=""MATERIAL"", UPPER(CFG_CODES!B:B)"&amp;"=UPPER(C948))),
  LEFT(UPPER(C948),3)
),
TEXT(ROW()-1,""000"")
))"),"")</f>
        <v/>
      </c>
      <c r="J948" s="64"/>
      <c r="K948" s="64"/>
      <c r="L948" s="64"/>
      <c r="M948" s="64"/>
      <c r="N948" s="64"/>
      <c r="O948" s="64" t="s">
        <v>1333</v>
      </c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</row>
    <row r="949" ht="15.0" customHeight="1">
      <c r="A949" s="64"/>
      <c r="B949" s="64"/>
      <c r="C949" s="64"/>
      <c r="D949" s="64"/>
      <c r="E949" s="64"/>
      <c r="F949" s="64"/>
      <c r="G949" s="64"/>
      <c r="H949" s="64"/>
      <c r="I949" s="27" t="str">
        <f>IFERROR(__xludf.DUMMYFUNCTION("IF(A949="""","""",
TEXTJOIN(""-"",TRUE,
IFERROR(
  INDEX(FILTER(CFG_CODES!C:C, CFG_CODES!A:A=""CATEGORY"", UPPER(CFG_CODES!B:B)=UPPER(B949))),
  LEFT(UPPER(B949),3)
),
IFERROR(
  INDEX(FILTER(CFG_CODES!C:C, CFG_CODES!A:A=""MATERIAL"", UPPER(CFG_CODES!B:B)"&amp;"=UPPER(C949))),
  LEFT(UPPER(C949),3)
),
TEXT(ROW()-1,""000"")
))"),"")</f>
        <v/>
      </c>
      <c r="J949" s="64"/>
      <c r="K949" s="64"/>
      <c r="L949" s="64"/>
      <c r="M949" s="64"/>
      <c r="N949" s="64"/>
      <c r="O949" s="64" t="s">
        <v>1333</v>
      </c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</row>
    <row r="950" ht="15.0" customHeight="1">
      <c r="A950" s="64"/>
      <c r="B950" s="64"/>
      <c r="C950" s="64"/>
      <c r="D950" s="64"/>
      <c r="E950" s="64"/>
      <c r="F950" s="64"/>
      <c r="G950" s="64"/>
      <c r="H950" s="64"/>
      <c r="I950" s="27" t="str">
        <f>IFERROR(__xludf.DUMMYFUNCTION("IF(A950="""","""",
TEXTJOIN(""-"",TRUE,
IFERROR(
  INDEX(FILTER(CFG_CODES!C:C, CFG_CODES!A:A=""CATEGORY"", UPPER(CFG_CODES!B:B)=UPPER(B950))),
  LEFT(UPPER(B950),3)
),
IFERROR(
  INDEX(FILTER(CFG_CODES!C:C, CFG_CODES!A:A=""MATERIAL"", UPPER(CFG_CODES!B:B)"&amp;"=UPPER(C950))),
  LEFT(UPPER(C950),3)
),
TEXT(ROW()-1,""000"")
))"),"")</f>
        <v/>
      </c>
      <c r="J950" s="64"/>
      <c r="K950" s="64"/>
      <c r="L950" s="64"/>
      <c r="M950" s="64"/>
      <c r="N950" s="64"/>
      <c r="O950" s="64" t="s">
        <v>1333</v>
      </c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</row>
    <row r="951" ht="15.0" customHeight="1">
      <c r="A951" s="64"/>
      <c r="B951" s="64"/>
      <c r="C951" s="64"/>
      <c r="D951" s="64"/>
      <c r="E951" s="64"/>
      <c r="F951" s="64"/>
      <c r="G951" s="64"/>
      <c r="H951" s="64"/>
      <c r="I951" s="27" t="str">
        <f>IFERROR(__xludf.DUMMYFUNCTION("IF(A951="""","""",
TEXTJOIN(""-"",TRUE,
IFERROR(
  INDEX(FILTER(CFG_CODES!C:C, CFG_CODES!A:A=""CATEGORY"", UPPER(CFG_CODES!B:B)=UPPER(B951))),
  LEFT(UPPER(B951),3)
),
IFERROR(
  INDEX(FILTER(CFG_CODES!C:C, CFG_CODES!A:A=""MATERIAL"", UPPER(CFG_CODES!B:B)"&amp;"=UPPER(C951))),
  LEFT(UPPER(C951),3)
),
TEXT(ROW()-1,""000"")
))"),"")</f>
        <v/>
      </c>
      <c r="J951" s="64"/>
      <c r="K951" s="64"/>
      <c r="L951" s="64"/>
      <c r="M951" s="64"/>
      <c r="N951" s="64"/>
      <c r="O951" s="64" t="s">
        <v>1333</v>
      </c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</row>
    <row r="952" ht="15.0" customHeight="1">
      <c r="A952" s="64"/>
      <c r="B952" s="64"/>
      <c r="C952" s="64"/>
      <c r="D952" s="64"/>
      <c r="E952" s="64"/>
      <c r="F952" s="64"/>
      <c r="G952" s="64"/>
      <c r="H952" s="64"/>
      <c r="I952" s="27" t="str">
        <f>IFERROR(__xludf.DUMMYFUNCTION("IF(A952="""","""",
TEXTJOIN(""-"",TRUE,
IFERROR(
  INDEX(FILTER(CFG_CODES!C:C, CFG_CODES!A:A=""CATEGORY"", UPPER(CFG_CODES!B:B)=UPPER(B952))),
  LEFT(UPPER(B952),3)
),
IFERROR(
  INDEX(FILTER(CFG_CODES!C:C, CFG_CODES!A:A=""MATERIAL"", UPPER(CFG_CODES!B:B)"&amp;"=UPPER(C952))),
  LEFT(UPPER(C952),3)
),
TEXT(ROW()-1,""000"")
))"),"")</f>
        <v/>
      </c>
      <c r="J952" s="64"/>
      <c r="K952" s="64"/>
      <c r="L952" s="64"/>
      <c r="M952" s="64"/>
      <c r="N952" s="64"/>
      <c r="O952" s="64" t="s">
        <v>1333</v>
      </c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</row>
    <row r="953" ht="15.0" customHeight="1">
      <c r="A953" s="64"/>
      <c r="B953" s="64"/>
      <c r="C953" s="64"/>
      <c r="D953" s="64"/>
      <c r="E953" s="64"/>
      <c r="F953" s="64"/>
      <c r="G953" s="64"/>
      <c r="H953" s="64"/>
      <c r="I953" s="27" t="str">
        <f>IFERROR(__xludf.DUMMYFUNCTION("IF(A953="""","""",
TEXTJOIN(""-"",TRUE,
IFERROR(
  INDEX(FILTER(CFG_CODES!C:C, CFG_CODES!A:A=""CATEGORY"", UPPER(CFG_CODES!B:B)=UPPER(B953))),
  LEFT(UPPER(B953),3)
),
IFERROR(
  INDEX(FILTER(CFG_CODES!C:C, CFG_CODES!A:A=""MATERIAL"", UPPER(CFG_CODES!B:B)"&amp;"=UPPER(C953))),
  LEFT(UPPER(C953),3)
),
TEXT(ROW()-1,""000"")
))"),"")</f>
        <v/>
      </c>
      <c r="J953" s="64"/>
      <c r="K953" s="64"/>
      <c r="L953" s="64"/>
      <c r="M953" s="64"/>
      <c r="N953" s="64"/>
      <c r="O953" s="64" t="s">
        <v>1333</v>
      </c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</row>
    <row r="954" ht="15.0" customHeight="1">
      <c r="A954" s="64"/>
      <c r="B954" s="64"/>
      <c r="C954" s="64"/>
      <c r="D954" s="64"/>
      <c r="E954" s="64"/>
      <c r="F954" s="64"/>
      <c r="G954" s="64"/>
      <c r="H954" s="64"/>
      <c r="I954" s="27" t="str">
        <f>IFERROR(__xludf.DUMMYFUNCTION("IF(A954="""","""",
TEXTJOIN(""-"",TRUE,
IFERROR(
  INDEX(FILTER(CFG_CODES!C:C, CFG_CODES!A:A=""CATEGORY"", UPPER(CFG_CODES!B:B)=UPPER(B954))),
  LEFT(UPPER(B954),3)
),
IFERROR(
  INDEX(FILTER(CFG_CODES!C:C, CFG_CODES!A:A=""MATERIAL"", UPPER(CFG_CODES!B:B)"&amp;"=UPPER(C954))),
  LEFT(UPPER(C954),3)
),
TEXT(ROW()-1,""000"")
))"),"")</f>
        <v/>
      </c>
      <c r="J954" s="64"/>
      <c r="K954" s="64"/>
      <c r="L954" s="64"/>
      <c r="M954" s="64"/>
      <c r="N954" s="64"/>
      <c r="O954" s="64" t="s">
        <v>1333</v>
      </c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</row>
    <row r="955" ht="15.0" customHeight="1">
      <c r="A955" s="64"/>
      <c r="B955" s="64"/>
      <c r="C955" s="64"/>
      <c r="D955" s="64"/>
      <c r="E955" s="64"/>
      <c r="F955" s="64"/>
      <c r="G955" s="64"/>
      <c r="H955" s="64"/>
      <c r="I955" s="27" t="str">
        <f>IFERROR(__xludf.DUMMYFUNCTION("IF(A955="""","""",
TEXTJOIN(""-"",TRUE,
IFERROR(
  INDEX(FILTER(CFG_CODES!C:C, CFG_CODES!A:A=""CATEGORY"", UPPER(CFG_CODES!B:B)=UPPER(B955))),
  LEFT(UPPER(B955),3)
),
IFERROR(
  INDEX(FILTER(CFG_CODES!C:C, CFG_CODES!A:A=""MATERIAL"", UPPER(CFG_CODES!B:B)"&amp;"=UPPER(C955))),
  LEFT(UPPER(C955),3)
),
TEXT(ROW()-1,""000"")
))"),"")</f>
        <v/>
      </c>
      <c r="J955" s="64"/>
      <c r="K955" s="64"/>
      <c r="L955" s="64"/>
      <c r="M955" s="64"/>
      <c r="N955" s="64"/>
      <c r="O955" s="64" t="s">
        <v>1333</v>
      </c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</row>
    <row r="956" ht="15.0" customHeight="1">
      <c r="A956" s="64"/>
      <c r="B956" s="64"/>
      <c r="C956" s="64"/>
      <c r="D956" s="64"/>
      <c r="E956" s="64"/>
      <c r="F956" s="64"/>
      <c r="G956" s="64"/>
      <c r="H956" s="64"/>
      <c r="I956" s="27" t="str">
        <f>IFERROR(__xludf.DUMMYFUNCTION("IF(A956="""","""",
TEXTJOIN(""-"",TRUE,
IFERROR(
  INDEX(FILTER(CFG_CODES!C:C, CFG_CODES!A:A=""CATEGORY"", UPPER(CFG_CODES!B:B)=UPPER(B956))),
  LEFT(UPPER(B956),3)
),
IFERROR(
  INDEX(FILTER(CFG_CODES!C:C, CFG_CODES!A:A=""MATERIAL"", UPPER(CFG_CODES!B:B)"&amp;"=UPPER(C956))),
  LEFT(UPPER(C956),3)
),
TEXT(ROW()-1,""000"")
))"),"")</f>
        <v/>
      </c>
      <c r="J956" s="64"/>
      <c r="K956" s="64"/>
      <c r="L956" s="64"/>
      <c r="M956" s="64"/>
      <c r="N956" s="64"/>
      <c r="O956" s="64" t="s">
        <v>1333</v>
      </c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</row>
    <row r="957" ht="15.0" customHeight="1">
      <c r="A957" s="64"/>
      <c r="B957" s="64"/>
      <c r="C957" s="64"/>
      <c r="D957" s="64"/>
      <c r="E957" s="64"/>
      <c r="F957" s="64"/>
      <c r="G957" s="64"/>
      <c r="H957" s="64"/>
      <c r="I957" s="27" t="str">
        <f>IFERROR(__xludf.DUMMYFUNCTION("IF(A957="""","""",
TEXTJOIN(""-"",TRUE,
IFERROR(
  INDEX(FILTER(CFG_CODES!C:C, CFG_CODES!A:A=""CATEGORY"", UPPER(CFG_CODES!B:B)=UPPER(B957))),
  LEFT(UPPER(B957),3)
),
IFERROR(
  INDEX(FILTER(CFG_CODES!C:C, CFG_CODES!A:A=""MATERIAL"", UPPER(CFG_CODES!B:B)"&amp;"=UPPER(C957))),
  LEFT(UPPER(C957),3)
),
TEXT(ROW()-1,""000"")
))"),"")</f>
        <v/>
      </c>
      <c r="J957" s="64"/>
      <c r="K957" s="64"/>
      <c r="L957" s="64"/>
      <c r="M957" s="64"/>
      <c r="N957" s="64"/>
      <c r="O957" s="64" t="s">
        <v>1333</v>
      </c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</row>
    <row r="958" ht="15.0" customHeight="1">
      <c r="A958" s="64"/>
      <c r="B958" s="64"/>
      <c r="C958" s="64"/>
      <c r="D958" s="64"/>
      <c r="E958" s="64"/>
      <c r="F958" s="64"/>
      <c r="G958" s="64"/>
      <c r="H958" s="64"/>
      <c r="I958" s="27" t="str">
        <f>IFERROR(__xludf.DUMMYFUNCTION("IF(A958="""","""",
TEXTJOIN(""-"",TRUE,
IFERROR(
  INDEX(FILTER(CFG_CODES!C:C, CFG_CODES!A:A=""CATEGORY"", UPPER(CFG_CODES!B:B)=UPPER(B958))),
  LEFT(UPPER(B958),3)
),
IFERROR(
  INDEX(FILTER(CFG_CODES!C:C, CFG_CODES!A:A=""MATERIAL"", UPPER(CFG_CODES!B:B)"&amp;"=UPPER(C958))),
  LEFT(UPPER(C958),3)
),
TEXT(ROW()-1,""000"")
))"),"")</f>
        <v/>
      </c>
      <c r="J958" s="64"/>
      <c r="K958" s="64"/>
      <c r="L958" s="64"/>
      <c r="M958" s="64"/>
      <c r="N958" s="64"/>
      <c r="O958" s="64" t="s">
        <v>1333</v>
      </c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</row>
    <row r="959" ht="15.0" customHeight="1">
      <c r="A959" s="64"/>
      <c r="B959" s="64"/>
      <c r="C959" s="64"/>
      <c r="D959" s="64"/>
      <c r="E959" s="64"/>
      <c r="F959" s="64"/>
      <c r="G959" s="64"/>
      <c r="H959" s="64"/>
      <c r="I959" s="27" t="str">
        <f>IFERROR(__xludf.DUMMYFUNCTION("IF(A959="""","""",
TEXTJOIN(""-"",TRUE,
IFERROR(
  INDEX(FILTER(CFG_CODES!C:C, CFG_CODES!A:A=""CATEGORY"", UPPER(CFG_CODES!B:B)=UPPER(B959))),
  LEFT(UPPER(B959),3)
),
IFERROR(
  INDEX(FILTER(CFG_CODES!C:C, CFG_CODES!A:A=""MATERIAL"", UPPER(CFG_CODES!B:B)"&amp;"=UPPER(C959))),
  LEFT(UPPER(C959),3)
),
TEXT(ROW()-1,""000"")
))"),"")</f>
        <v/>
      </c>
      <c r="J959" s="64"/>
      <c r="K959" s="64"/>
      <c r="L959" s="64"/>
      <c r="M959" s="64"/>
      <c r="N959" s="64"/>
      <c r="O959" s="64" t="s">
        <v>1333</v>
      </c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</row>
    <row r="960" ht="15.0" customHeight="1">
      <c r="A960" s="64"/>
      <c r="B960" s="64"/>
      <c r="C960" s="64"/>
      <c r="D960" s="64"/>
      <c r="E960" s="64"/>
      <c r="F960" s="64"/>
      <c r="G960" s="64"/>
      <c r="H960" s="64"/>
      <c r="I960" s="27" t="str">
        <f>IFERROR(__xludf.DUMMYFUNCTION("IF(A960="""","""",
TEXTJOIN(""-"",TRUE,
IFERROR(
  INDEX(FILTER(CFG_CODES!C:C, CFG_CODES!A:A=""CATEGORY"", UPPER(CFG_CODES!B:B)=UPPER(B960))),
  LEFT(UPPER(B960),3)
),
IFERROR(
  INDEX(FILTER(CFG_CODES!C:C, CFG_CODES!A:A=""MATERIAL"", UPPER(CFG_CODES!B:B)"&amp;"=UPPER(C960))),
  LEFT(UPPER(C960),3)
),
TEXT(ROW()-1,""000"")
))"),"")</f>
        <v/>
      </c>
      <c r="J960" s="64"/>
      <c r="K960" s="64"/>
      <c r="L960" s="64"/>
      <c r="M960" s="64"/>
      <c r="N960" s="64"/>
      <c r="O960" s="64" t="s">
        <v>1333</v>
      </c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</row>
    <row r="961" ht="15.0" customHeight="1">
      <c r="A961" s="64"/>
      <c r="B961" s="64"/>
      <c r="C961" s="64"/>
      <c r="D961" s="64"/>
      <c r="E961" s="64"/>
      <c r="F961" s="64"/>
      <c r="G961" s="64"/>
      <c r="H961" s="64"/>
      <c r="I961" s="27" t="str">
        <f>IFERROR(__xludf.DUMMYFUNCTION("IF(A961="""","""",
TEXTJOIN(""-"",TRUE,
IFERROR(
  INDEX(FILTER(CFG_CODES!C:C, CFG_CODES!A:A=""CATEGORY"", UPPER(CFG_CODES!B:B)=UPPER(B961))),
  LEFT(UPPER(B961),3)
),
IFERROR(
  INDEX(FILTER(CFG_CODES!C:C, CFG_CODES!A:A=""MATERIAL"", UPPER(CFG_CODES!B:B)"&amp;"=UPPER(C961))),
  LEFT(UPPER(C961),3)
),
TEXT(ROW()-1,""000"")
))"),"")</f>
        <v/>
      </c>
      <c r="J961" s="64"/>
      <c r="K961" s="64"/>
      <c r="L961" s="64"/>
      <c r="M961" s="64"/>
      <c r="N961" s="64"/>
      <c r="O961" s="64" t="s">
        <v>1333</v>
      </c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</row>
    <row r="962" ht="15.0" customHeight="1">
      <c r="A962" s="64"/>
      <c r="B962" s="64"/>
      <c r="C962" s="64"/>
      <c r="D962" s="64"/>
      <c r="E962" s="64"/>
      <c r="F962" s="64"/>
      <c r="G962" s="64"/>
      <c r="H962" s="64"/>
      <c r="I962" s="27" t="str">
        <f>IFERROR(__xludf.DUMMYFUNCTION("IF(A962="""","""",
TEXTJOIN(""-"",TRUE,
IFERROR(
  INDEX(FILTER(CFG_CODES!C:C, CFG_CODES!A:A=""CATEGORY"", UPPER(CFG_CODES!B:B)=UPPER(B962))),
  LEFT(UPPER(B962),3)
),
IFERROR(
  INDEX(FILTER(CFG_CODES!C:C, CFG_CODES!A:A=""MATERIAL"", UPPER(CFG_CODES!B:B)"&amp;"=UPPER(C962))),
  LEFT(UPPER(C962),3)
),
TEXT(ROW()-1,""000"")
))"),"")</f>
        <v/>
      </c>
      <c r="J962" s="64"/>
      <c r="K962" s="64"/>
      <c r="L962" s="64"/>
      <c r="M962" s="64"/>
      <c r="N962" s="64"/>
      <c r="O962" s="64" t="s">
        <v>1333</v>
      </c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</row>
    <row r="963" ht="15.0" customHeight="1">
      <c r="A963" s="64"/>
      <c r="B963" s="64"/>
      <c r="C963" s="64"/>
      <c r="D963" s="64"/>
      <c r="E963" s="64"/>
      <c r="F963" s="64"/>
      <c r="G963" s="64"/>
      <c r="H963" s="64"/>
      <c r="I963" s="27" t="str">
        <f>IFERROR(__xludf.DUMMYFUNCTION("IF(A963="""","""",
TEXTJOIN(""-"",TRUE,
IFERROR(
  INDEX(FILTER(CFG_CODES!C:C, CFG_CODES!A:A=""CATEGORY"", UPPER(CFG_CODES!B:B)=UPPER(B963))),
  LEFT(UPPER(B963),3)
),
IFERROR(
  INDEX(FILTER(CFG_CODES!C:C, CFG_CODES!A:A=""MATERIAL"", UPPER(CFG_CODES!B:B)"&amp;"=UPPER(C963))),
  LEFT(UPPER(C963),3)
),
TEXT(ROW()-1,""000"")
))"),"")</f>
        <v/>
      </c>
      <c r="J963" s="64"/>
      <c r="K963" s="64"/>
      <c r="L963" s="64"/>
      <c r="M963" s="64"/>
      <c r="N963" s="64"/>
      <c r="O963" s="64" t="s">
        <v>1333</v>
      </c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</row>
    <row r="964" ht="15.0" customHeight="1">
      <c r="A964" s="64"/>
      <c r="B964" s="64"/>
      <c r="C964" s="64"/>
      <c r="D964" s="64"/>
      <c r="E964" s="64"/>
      <c r="F964" s="64"/>
      <c r="G964" s="64"/>
      <c r="H964" s="64"/>
      <c r="I964" s="27" t="str">
        <f>IFERROR(__xludf.DUMMYFUNCTION("IF(A964="""","""",
TEXTJOIN(""-"",TRUE,
IFERROR(
  INDEX(FILTER(CFG_CODES!C:C, CFG_CODES!A:A=""CATEGORY"", UPPER(CFG_CODES!B:B)=UPPER(B964))),
  LEFT(UPPER(B964),3)
),
IFERROR(
  INDEX(FILTER(CFG_CODES!C:C, CFG_CODES!A:A=""MATERIAL"", UPPER(CFG_CODES!B:B)"&amp;"=UPPER(C964))),
  LEFT(UPPER(C964),3)
),
TEXT(ROW()-1,""000"")
))"),"")</f>
        <v/>
      </c>
      <c r="J964" s="64"/>
      <c r="K964" s="64"/>
      <c r="L964" s="64"/>
      <c r="M964" s="64"/>
      <c r="N964" s="64"/>
      <c r="O964" s="64" t="s">
        <v>1333</v>
      </c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</row>
    <row r="965" ht="15.0" customHeight="1">
      <c r="A965" s="64"/>
      <c r="B965" s="64"/>
      <c r="C965" s="64"/>
      <c r="D965" s="64"/>
      <c r="E965" s="64"/>
      <c r="F965" s="64"/>
      <c r="G965" s="64"/>
      <c r="H965" s="64"/>
      <c r="I965" s="27" t="str">
        <f>IFERROR(__xludf.DUMMYFUNCTION("IF(A965="""","""",
TEXTJOIN(""-"",TRUE,
IFERROR(
  INDEX(FILTER(CFG_CODES!C:C, CFG_CODES!A:A=""CATEGORY"", UPPER(CFG_CODES!B:B)=UPPER(B965))),
  LEFT(UPPER(B965),3)
),
IFERROR(
  INDEX(FILTER(CFG_CODES!C:C, CFG_CODES!A:A=""MATERIAL"", UPPER(CFG_CODES!B:B)"&amp;"=UPPER(C965))),
  LEFT(UPPER(C965),3)
),
TEXT(ROW()-1,""000"")
))"),"")</f>
        <v/>
      </c>
      <c r="J965" s="64"/>
      <c r="K965" s="64"/>
      <c r="L965" s="64"/>
      <c r="M965" s="64"/>
      <c r="N965" s="64"/>
      <c r="O965" s="64" t="s">
        <v>1333</v>
      </c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</row>
    <row r="966" ht="15.0" customHeight="1">
      <c r="A966" s="64"/>
      <c r="B966" s="64"/>
      <c r="C966" s="64"/>
      <c r="D966" s="64"/>
      <c r="E966" s="64"/>
      <c r="F966" s="64"/>
      <c r="G966" s="64"/>
      <c r="H966" s="64"/>
      <c r="I966" s="27" t="str">
        <f>IFERROR(__xludf.DUMMYFUNCTION("IF(A966="""","""",
TEXTJOIN(""-"",TRUE,
IFERROR(
  INDEX(FILTER(CFG_CODES!C:C, CFG_CODES!A:A=""CATEGORY"", UPPER(CFG_CODES!B:B)=UPPER(B966))),
  LEFT(UPPER(B966),3)
),
IFERROR(
  INDEX(FILTER(CFG_CODES!C:C, CFG_CODES!A:A=""MATERIAL"", UPPER(CFG_CODES!B:B)"&amp;"=UPPER(C966))),
  LEFT(UPPER(C966),3)
),
TEXT(ROW()-1,""000"")
))"),"")</f>
        <v/>
      </c>
      <c r="J966" s="64"/>
      <c r="K966" s="64"/>
      <c r="L966" s="64"/>
      <c r="M966" s="64"/>
      <c r="N966" s="64"/>
      <c r="O966" s="64" t="s">
        <v>1333</v>
      </c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</row>
    <row r="967" ht="15.0" customHeight="1">
      <c r="A967" s="64"/>
      <c r="B967" s="64"/>
      <c r="C967" s="64"/>
      <c r="D967" s="64"/>
      <c r="E967" s="64"/>
      <c r="F967" s="64"/>
      <c r="G967" s="64"/>
      <c r="H967" s="64"/>
      <c r="I967" s="27" t="str">
        <f>IFERROR(__xludf.DUMMYFUNCTION("IF(A967="""","""",
TEXTJOIN(""-"",TRUE,
IFERROR(
  INDEX(FILTER(CFG_CODES!C:C, CFG_CODES!A:A=""CATEGORY"", UPPER(CFG_CODES!B:B)=UPPER(B967))),
  LEFT(UPPER(B967),3)
),
IFERROR(
  INDEX(FILTER(CFG_CODES!C:C, CFG_CODES!A:A=""MATERIAL"", UPPER(CFG_CODES!B:B)"&amp;"=UPPER(C967))),
  LEFT(UPPER(C967),3)
),
TEXT(ROW()-1,""000"")
))"),"")</f>
        <v/>
      </c>
      <c r="J967" s="64"/>
      <c r="K967" s="64"/>
      <c r="L967" s="64"/>
      <c r="M967" s="64"/>
      <c r="N967" s="64"/>
      <c r="O967" s="64" t="s">
        <v>1333</v>
      </c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</row>
    <row r="968" ht="15.0" customHeight="1">
      <c r="A968" s="64"/>
      <c r="B968" s="64"/>
      <c r="C968" s="64"/>
      <c r="D968" s="64"/>
      <c r="E968" s="64"/>
      <c r="F968" s="64"/>
      <c r="G968" s="64"/>
      <c r="H968" s="64"/>
      <c r="I968" s="27" t="str">
        <f>IFERROR(__xludf.DUMMYFUNCTION("IF(A968="""","""",
TEXTJOIN(""-"",TRUE,
IFERROR(
  INDEX(FILTER(CFG_CODES!C:C, CFG_CODES!A:A=""CATEGORY"", UPPER(CFG_CODES!B:B)=UPPER(B968))),
  LEFT(UPPER(B968),3)
),
IFERROR(
  INDEX(FILTER(CFG_CODES!C:C, CFG_CODES!A:A=""MATERIAL"", UPPER(CFG_CODES!B:B)"&amp;"=UPPER(C968))),
  LEFT(UPPER(C968),3)
),
TEXT(ROW()-1,""000"")
))"),"")</f>
        <v/>
      </c>
      <c r="J968" s="64"/>
      <c r="K968" s="64"/>
      <c r="L968" s="64"/>
      <c r="M968" s="64"/>
      <c r="N968" s="64"/>
      <c r="O968" s="64" t="s">
        <v>1333</v>
      </c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</row>
    <row r="969" ht="15.0" customHeight="1">
      <c r="A969" s="64"/>
      <c r="B969" s="64"/>
      <c r="C969" s="64"/>
      <c r="D969" s="64"/>
      <c r="E969" s="64"/>
      <c r="F969" s="64"/>
      <c r="G969" s="64"/>
      <c r="H969" s="64"/>
      <c r="I969" s="27" t="str">
        <f>IFERROR(__xludf.DUMMYFUNCTION("IF(A969="""","""",
TEXTJOIN(""-"",TRUE,
IFERROR(
  INDEX(FILTER(CFG_CODES!C:C, CFG_CODES!A:A=""CATEGORY"", UPPER(CFG_CODES!B:B)=UPPER(B969))),
  LEFT(UPPER(B969),3)
),
IFERROR(
  INDEX(FILTER(CFG_CODES!C:C, CFG_CODES!A:A=""MATERIAL"", UPPER(CFG_CODES!B:B)"&amp;"=UPPER(C969))),
  LEFT(UPPER(C969),3)
),
TEXT(ROW()-1,""000"")
))"),"")</f>
        <v/>
      </c>
      <c r="J969" s="64"/>
      <c r="K969" s="64"/>
      <c r="L969" s="64"/>
      <c r="M969" s="64"/>
      <c r="N969" s="64"/>
      <c r="O969" s="64" t="s">
        <v>1333</v>
      </c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</row>
    <row r="970" ht="15.0" customHeight="1">
      <c r="A970" s="64"/>
      <c r="B970" s="64"/>
      <c r="C970" s="64"/>
      <c r="D970" s="64"/>
      <c r="E970" s="64"/>
      <c r="F970" s="64"/>
      <c r="G970" s="64"/>
      <c r="H970" s="64"/>
      <c r="I970" s="27" t="str">
        <f>IFERROR(__xludf.DUMMYFUNCTION("IF(A970="""","""",
TEXTJOIN(""-"",TRUE,
IFERROR(
  INDEX(FILTER(CFG_CODES!C:C, CFG_CODES!A:A=""CATEGORY"", UPPER(CFG_CODES!B:B)=UPPER(B970))),
  LEFT(UPPER(B970),3)
),
IFERROR(
  INDEX(FILTER(CFG_CODES!C:C, CFG_CODES!A:A=""MATERIAL"", UPPER(CFG_CODES!B:B)"&amp;"=UPPER(C970))),
  LEFT(UPPER(C970),3)
),
TEXT(ROW()-1,""000"")
))"),"")</f>
        <v/>
      </c>
      <c r="J970" s="64"/>
      <c r="K970" s="64"/>
      <c r="L970" s="64"/>
      <c r="M970" s="64"/>
      <c r="N970" s="64"/>
      <c r="O970" s="64" t="s">
        <v>1333</v>
      </c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</row>
    <row r="971" ht="15.0" customHeight="1">
      <c r="A971" s="64"/>
      <c r="B971" s="64"/>
      <c r="C971" s="64"/>
      <c r="D971" s="64"/>
      <c r="E971" s="64"/>
      <c r="F971" s="64"/>
      <c r="G971" s="64"/>
      <c r="H971" s="64"/>
      <c r="I971" s="27" t="str">
        <f>IFERROR(__xludf.DUMMYFUNCTION("IF(A971="""","""",
TEXTJOIN(""-"",TRUE,
IFERROR(
  INDEX(FILTER(CFG_CODES!C:C, CFG_CODES!A:A=""CATEGORY"", UPPER(CFG_CODES!B:B)=UPPER(B971))),
  LEFT(UPPER(B971),3)
),
IFERROR(
  INDEX(FILTER(CFG_CODES!C:C, CFG_CODES!A:A=""MATERIAL"", UPPER(CFG_CODES!B:B)"&amp;"=UPPER(C971))),
  LEFT(UPPER(C971),3)
),
TEXT(ROW()-1,""000"")
))"),"")</f>
        <v/>
      </c>
      <c r="J971" s="64"/>
      <c r="K971" s="64"/>
      <c r="L971" s="64"/>
      <c r="M971" s="64"/>
      <c r="N971" s="64"/>
      <c r="O971" s="64" t="s">
        <v>1333</v>
      </c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</row>
    <row r="972" ht="15.0" customHeight="1">
      <c r="A972" s="64"/>
      <c r="B972" s="64"/>
      <c r="C972" s="64"/>
      <c r="D972" s="64"/>
      <c r="E972" s="64"/>
      <c r="F972" s="64"/>
      <c r="G972" s="64"/>
      <c r="H972" s="64"/>
      <c r="I972" s="27" t="str">
        <f>IFERROR(__xludf.DUMMYFUNCTION("IF(A972="""","""",
TEXTJOIN(""-"",TRUE,
IFERROR(
  INDEX(FILTER(CFG_CODES!C:C, CFG_CODES!A:A=""CATEGORY"", UPPER(CFG_CODES!B:B)=UPPER(B972))),
  LEFT(UPPER(B972),3)
),
IFERROR(
  INDEX(FILTER(CFG_CODES!C:C, CFG_CODES!A:A=""MATERIAL"", UPPER(CFG_CODES!B:B)"&amp;"=UPPER(C972))),
  LEFT(UPPER(C972),3)
),
TEXT(ROW()-1,""000"")
))"),"")</f>
        <v/>
      </c>
      <c r="J972" s="64"/>
      <c r="K972" s="64"/>
      <c r="L972" s="64"/>
      <c r="M972" s="64"/>
      <c r="N972" s="64"/>
      <c r="O972" s="64" t="s">
        <v>1333</v>
      </c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  <c r="AG972" s="64"/>
    </row>
    <row r="973" ht="15.0" customHeight="1">
      <c r="A973" s="64"/>
      <c r="B973" s="64"/>
      <c r="C973" s="64"/>
      <c r="D973" s="64"/>
      <c r="E973" s="64"/>
      <c r="F973" s="64"/>
      <c r="G973" s="64"/>
      <c r="H973" s="64"/>
      <c r="I973" s="27" t="str">
        <f>IFERROR(__xludf.DUMMYFUNCTION("IF(A973="""","""",
TEXTJOIN(""-"",TRUE,
IFERROR(
  INDEX(FILTER(CFG_CODES!C:C, CFG_CODES!A:A=""CATEGORY"", UPPER(CFG_CODES!B:B)=UPPER(B973))),
  LEFT(UPPER(B973),3)
),
IFERROR(
  INDEX(FILTER(CFG_CODES!C:C, CFG_CODES!A:A=""MATERIAL"", UPPER(CFG_CODES!B:B)"&amp;"=UPPER(C973))),
  LEFT(UPPER(C973),3)
),
TEXT(ROW()-1,""000"")
))"),"")</f>
        <v/>
      </c>
      <c r="J973" s="64"/>
      <c r="K973" s="64"/>
      <c r="L973" s="64"/>
      <c r="M973" s="64"/>
      <c r="N973" s="64"/>
      <c r="O973" s="64" t="s">
        <v>1333</v>
      </c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  <c r="AG973" s="64"/>
    </row>
    <row r="974" ht="15.0" customHeight="1">
      <c r="A974" s="64"/>
      <c r="B974" s="64"/>
      <c r="C974" s="64"/>
      <c r="D974" s="64"/>
      <c r="E974" s="64"/>
      <c r="F974" s="64"/>
      <c r="G974" s="64"/>
      <c r="H974" s="64"/>
      <c r="I974" s="27" t="str">
        <f>IFERROR(__xludf.DUMMYFUNCTION("IF(A974="""","""",
TEXTJOIN(""-"",TRUE,
IFERROR(
  INDEX(FILTER(CFG_CODES!C:C, CFG_CODES!A:A=""CATEGORY"", UPPER(CFG_CODES!B:B)=UPPER(B974))),
  LEFT(UPPER(B974),3)
),
IFERROR(
  INDEX(FILTER(CFG_CODES!C:C, CFG_CODES!A:A=""MATERIAL"", UPPER(CFG_CODES!B:B)"&amp;"=UPPER(C974))),
  LEFT(UPPER(C974),3)
),
TEXT(ROW()-1,""000"")
))"),"")</f>
        <v/>
      </c>
      <c r="J974" s="64"/>
      <c r="K974" s="64"/>
      <c r="L974" s="64"/>
      <c r="M974" s="64"/>
      <c r="N974" s="64"/>
      <c r="O974" s="64" t="s">
        <v>1333</v>
      </c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  <c r="AG974" s="64"/>
    </row>
    <row r="975" ht="15.0" customHeight="1">
      <c r="A975" s="64"/>
      <c r="B975" s="64"/>
      <c r="C975" s="64"/>
      <c r="D975" s="64"/>
      <c r="E975" s="64"/>
      <c r="F975" s="64"/>
      <c r="G975" s="64"/>
      <c r="H975" s="64"/>
      <c r="I975" s="27" t="str">
        <f>IFERROR(__xludf.DUMMYFUNCTION("IF(A975="""","""",
TEXTJOIN(""-"",TRUE,
IFERROR(
  INDEX(FILTER(CFG_CODES!C:C, CFG_CODES!A:A=""CATEGORY"", UPPER(CFG_CODES!B:B)=UPPER(B975))),
  LEFT(UPPER(B975),3)
),
IFERROR(
  INDEX(FILTER(CFG_CODES!C:C, CFG_CODES!A:A=""MATERIAL"", UPPER(CFG_CODES!B:B)"&amp;"=UPPER(C975))),
  LEFT(UPPER(C975),3)
),
TEXT(ROW()-1,""000"")
))"),"")</f>
        <v/>
      </c>
      <c r="J975" s="64"/>
      <c r="K975" s="64"/>
      <c r="L975" s="64"/>
      <c r="M975" s="64"/>
      <c r="N975" s="64"/>
      <c r="O975" s="64" t="s">
        <v>1333</v>
      </c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  <c r="AG975" s="64"/>
    </row>
    <row r="976" ht="15.0" customHeight="1">
      <c r="A976" s="64"/>
      <c r="B976" s="64"/>
      <c r="C976" s="64"/>
      <c r="D976" s="64"/>
      <c r="E976" s="64"/>
      <c r="F976" s="64"/>
      <c r="G976" s="64"/>
      <c r="H976" s="64"/>
      <c r="I976" s="27" t="str">
        <f>IFERROR(__xludf.DUMMYFUNCTION("IF(A976="""","""",
TEXTJOIN(""-"",TRUE,
IFERROR(
  INDEX(FILTER(CFG_CODES!C:C, CFG_CODES!A:A=""CATEGORY"", UPPER(CFG_CODES!B:B)=UPPER(B976))),
  LEFT(UPPER(B976),3)
),
IFERROR(
  INDEX(FILTER(CFG_CODES!C:C, CFG_CODES!A:A=""MATERIAL"", UPPER(CFG_CODES!B:B)"&amp;"=UPPER(C976))),
  LEFT(UPPER(C976),3)
),
TEXT(ROW()-1,""000"")
))"),"")</f>
        <v/>
      </c>
      <c r="J976" s="64"/>
      <c r="K976" s="64"/>
      <c r="L976" s="64"/>
      <c r="M976" s="64"/>
      <c r="N976" s="64"/>
      <c r="O976" s="64" t="s">
        <v>1333</v>
      </c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  <c r="AG976" s="64"/>
    </row>
    <row r="977" ht="15.0" customHeight="1">
      <c r="A977" s="64"/>
      <c r="B977" s="64"/>
      <c r="C977" s="64"/>
      <c r="D977" s="64"/>
      <c r="E977" s="64"/>
      <c r="F977" s="64"/>
      <c r="G977" s="64"/>
      <c r="H977" s="64"/>
      <c r="I977" s="27" t="str">
        <f>IFERROR(__xludf.DUMMYFUNCTION("IF(A977="""","""",
TEXTJOIN(""-"",TRUE,
IFERROR(
  INDEX(FILTER(CFG_CODES!C:C, CFG_CODES!A:A=""CATEGORY"", UPPER(CFG_CODES!B:B)=UPPER(B977))),
  LEFT(UPPER(B977),3)
),
IFERROR(
  INDEX(FILTER(CFG_CODES!C:C, CFG_CODES!A:A=""MATERIAL"", UPPER(CFG_CODES!B:B)"&amp;"=UPPER(C977))),
  LEFT(UPPER(C977),3)
),
TEXT(ROW()-1,""000"")
))"),"")</f>
        <v/>
      </c>
      <c r="J977" s="64"/>
      <c r="K977" s="64"/>
      <c r="L977" s="64"/>
      <c r="M977" s="64"/>
      <c r="N977" s="64"/>
      <c r="O977" s="64" t="s">
        <v>1333</v>
      </c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  <c r="AG977" s="64"/>
    </row>
    <row r="978" ht="15.0" customHeight="1">
      <c r="A978" s="64"/>
      <c r="B978" s="64"/>
      <c r="C978" s="64"/>
      <c r="D978" s="64"/>
      <c r="E978" s="64"/>
      <c r="F978" s="64"/>
      <c r="G978" s="64"/>
      <c r="H978" s="64"/>
      <c r="I978" s="27" t="str">
        <f>IFERROR(__xludf.DUMMYFUNCTION("IF(A978="""","""",
TEXTJOIN(""-"",TRUE,
IFERROR(
  INDEX(FILTER(CFG_CODES!C:C, CFG_CODES!A:A=""CATEGORY"", UPPER(CFG_CODES!B:B)=UPPER(B978))),
  LEFT(UPPER(B978),3)
),
IFERROR(
  INDEX(FILTER(CFG_CODES!C:C, CFG_CODES!A:A=""MATERIAL"", UPPER(CFG_CODES!B:B)"&amp;"=UPPER(C978))),
  LEFT(UPPER(C978),3)
),
TEXT(ROW()-1,""000"")
))"),"")</f>
        <v/>
      </c>
      <c r="J978" s="64"/>
      <c r="K978" s="64"/>
      <c r="L978" s="64"/>
      <c r="M978" s="64"/>
      <c r="N978" s="64"/>
      <c r="O978" s="64" t="s">
        <v>1333</v>
      </c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  <c r="AG978" s="64"/>
    </row>
    <row r="979" ht="15.0" customHeight="1">
      <c r="A979" s="64"/>
      <c r="B979" s="64"/>
      <c r="C979" s="64"/>
      <c r="D979" s="64"/>
      <c r="E979" s="64"/>
      <c r="F979" s="64"/>
      <c r="G979" s="64"/>
      <c r="H979" s="64"/>
      <c r="I979" s="27" t="str">
        <f>IFERROR(__xludf.DUMMYFUNCTION("IF(A979="""","""",
TEXTJOIN(""-"",TRUE,
IFERROR(
  INDEX(FILTER(CFG_CODES!C:C, CFG_CODES!A:A=""CATEGORY"", UPPER(CFG_CODES!B:B)=UPPER(B979))),
  LEFT(UPPER(B979),3)
),
IFERROR(
  INDEX(FILTER(CFG_CODES!C:C, CFG_CODES!A:A=""MATERIAL"", UPPER(CFG_CODES!B:B)"&amp;"=UPPER(C979))),
  LEFT(UPPER(C979),3)
),
TEXT(ROW()-1,""000"")
))"),"")</f>
        <v/>
      </c>
      <c r="J979" s="64"/>
      <c r="K979" s="64"/>
      <c r="L979" s="64"/>
      <c r="M979" s="64"/>
      <c r="N979" s="64"/>
      <c r="O979" s="64" t="s">
        <v>1333</v>
      </c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  <c r="AG979" s="64"/>
    </row>
    <row r="980" ht="15.0" customHeight="1">
      <c r="A980" s="64"/>
      <c r="B980" s="64"/>
      <c r="C980" s="64"/>
      <c r="D980" s="64"/>
      <c r="E980" s="64"/>
      <c r="F980" s="64"/>
      <c r="G980" s="64"/>
      <c r="H980" s="64"/>
      <c r="I980" s="27" t="str">
        <f>IFERROR(__xludf.DUMMYFUNCTION("IF(A980="""","""",
TEXTJOIN(""-"",TRUE,
IFERROR(
  INDEX(FILTER(CFG_CODES!C:C, CFG_CODES!A:A=""CATEGORY"", UPPER(CFG_CODES!B:B)=UPPER(B980))),
  LEFT(UPPER(B980),3)
),
IFERROR(
  INDEX(FILTER(CFG_CODES!C:C, CFG_CODES!A:A=""MATERIAL"", UPPER(CFG_CODES!B:B)"&amp;"=UPPER(C980))),
  LEFT(UPPER(C980),3)
),
TEXT(ROW()-1,""000"")
))"),"")</f>
        <v/>
      </c>
      <c r="J980" s="64"/>
      <c r="K980" s="64"/>
      <c r="L980" s="64"/>
      <c r="M980" s="64"/>
      <c r="N980" s="64"/>
      <c r="O980" s="64" t="s">
        <v>1333</v>
      </c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  <c r="AG980" s="64"/>
    </row>
    <row r="981" ht="15.0" customHeight="1">
      <c r="A981" s="64"/>
      <c r="B981" s="64"/>
      <c r="C981" s="64"/>
      <c r="D981" s="64"/>
      <c r="E981" s="64"/>
      <c r="F981" s="64"/>
      <c r="G981" s="64"/>
      <c r="H981" s="64"/>
      <c r="I981" s="27" t="str">
        <f>IFERROR(__xludf.DUMMYFUNCTION("IF(A981="""","""",
TEXTJOIN(""-"",TRUE,
IFERROR(
  INDEX(FILTER(CFG_CODES!C:C, CFG_CODES!A:A=""CATEGORY"", UPPER(CFG_CODES!B:B)=UPPER(B981))),
  LEFT(UPPER(B981),3)
),
IFERROR(
  INDEX(FILTER(CFG_CODES!C:C, CFG_CODES!A:A=""MATERIAL"", UPPER(CFG_CODES!B:B)"&amp;"=UPPER(C981))),
  LEFT(UPPER(C981),3)
),
TEXT(ROW()-1,""000"")
))"),"")</f>
        <v/>
      </c>
      <c r="J981" s="64"/>
      <c r="K981" s="64"/>
      <c r="L981" s="64"/>
      <c r="M981" s="64"/>
      <c r="N981" s="64"/>
      <c r="O981" s="64" t="s">
        <v>1333</v>
      </c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</row>
    <row r="982" ht="15.0" customHeight="1">
      <c r="A982" s="64"/>
      <c r="B982" s="64"/>
      <c r="C982" s="64"/>
      <c r="D982" s="64"/>
      <c r="E982" s="64"/>
      <c r="F982" s="64"/>
      <c r="G982" s="64"/>
      <c r="H982" s="64"/>
      <c r="I982" s="27" t="str">
        <f>IFERROR(__xludf.DUMMYFUNCTION("IF(A982="""","""",
TEXTJOIN(""-"",TRUE,
IFERROR(
  INDEX(FILTER(CFG_CODES!C:C, CFG_CODES!A:A=""CATEGORY"", UPPER(CFG_CODES!B:B)=UPPER(B982))),
  LEFT(UPPER(B982),3)
),
IFERROR(
  INDEX(FILTER(CFG_CODES!C:C, CFG_CODES!A:A=""MATERIAL"", UPPER(CFG_CODES!B:B)"&amp;"=UPPER(C982))),
  LEFT(UPPER(C982),3)
),
TEXT(ROW()-1,""000"")
))"),"")</f>
        <v/>
      </c>
      <c r="J982" s="64"/>
      <c r="K982" s="64"/>
      <c r="L982" s="64"/>
      <c r="M982" s="64"/>
      <c r="N982" s="64"/>
      <c r="O982" s="64" t="s">
        <v>1333</v>
      </c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  <c r="AG982" s="64"/>
    </row>
    <row r="983" ht="15.0" customHeight="1">
      <c r="A983" s="64"/>
      <c r="B983" s="64"/>
      <c r="C983" s="64"/>
      <c r="D983" s="64"/>
      <c r="E983" s="64"/>
      <c r="F983" s="64"/>
      <c r="G983" s="64"/>
      <c r="H983" s="64"/>
      <c r="I983" s="27" t="str">
        <f>IFERROR(__xludf.DUMMYFUNCTION("IF(A983="""","""",
TEXTJOIN(""-"",TRUE,
IFERROR(
  INDEX(FILTER(CFG_CODES!C:C, CFG_CODES!A:A=""CATEGORY"", UPPER(CFG_CODES!B:B)=UPPER(B983))),
  LEFT(UPPER(B983),3)
),
IFERROR(
  INDEX(FILTER(CFG_CODES!C:C, CFG_CODES!A:A=""MATERIAL"", UPPER(CFG_CODES!B:B)"&amp;"=UPPER(C983))),
  LEFT(UPPER(C983),3)
),
TEXT(ROW()-1,""000"")
))"),"")</f>
        <v/>
      </c>
      <c r="J983" s="64"/>
      <c r="K983" s="64"/>
      <c r="L983" s="64"/>
      <c r="M983" s="64"/>
      <c r="N983" s="64"/>
      <c r="O983" s="64" t="s">
        <v>1333</v>
      </c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</row>
    <row r="984" ht="15.0" customHeight="1">
      <c r="A984" s="64"/>
      <c r="B984" s="64"/>
      <c r="C984" s="64"/>
      <c r="D984" s="64"/>
      <c r="E984" s="64"/>
      <c r="F984" s="64"/>
      <c r="G984" s="64"/>
      <c r="H984" s="64"/>
      <c r="I984" s="27" t="str">
        <f>IFERROR(__xludf.DUMMYFUNCTION("IF(A984="""","""",
TEXTJOIN(""-"",TRUE,
IFERROR(
  INDEX(FILTER(CFG_CODES!C:C, CFG_CODES!A:A=""CATEGORY"", UPPER(CFG_CODES!B:B)=UPPER(B984))),
  LEFT(UPPER(B984),3)
),
IFERROR(
  INDEX(FILTER(CFG_CODES!C:C, CFG_CODES!A:A=""MATERIAL"", UPPER(CFG_CODES!B:B)"&amp;"=UPPER(C984))),
  LEFT(UPPER(C984),3)
),
TEXT(ROW()-1,""000"")
))"),"")</f>
        <v/>
      </c>
      <c r="J984" s="64"/>
      <c r="K984" s="64"/>
      <c r="L984" s="64"/>
      <c r="M984" s="64"/>
      <c r="N984" s="64"/>
      <c r="O984" s="64" t="s">
        <v>1333</v>
      </c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</row>
    <row r="985" ht="15.0" customHeight="1">
      <c r="A985" s="64"/>
      <c r="B985" s="64"/>
      <c r="C985" s="64"/>
      <c r="D985" s="64"/>
      <c r="E985" s="64"/>
      <c r="F985" s="64"/>
      <c r="G985" s="64"/>
      <c r="H985" s="64"/>
      <c r="I985" s="27" t="str">
        <f>IFERROR(__xludf.DUMMYFUNCTION("IF(A985="""","""",
TEXTJOIN(""-"",TRUE,
IFERROR(
  INDEX(FILTER(CFG_CODES!C:C, CFG_CODES!A:A=""CATEGORY"", UPPER(CFG_CODES!B:B)=UPPER(B985))),
  LEFT(UPPER(B985),3)
),
IFERROR(
  INDEX(FILTER(CFG_CODES!C:C, CFG_CODES!A:A=""MATERIAL"", UPPER(CFG_CODES!B:B)"&amp;"=UPPER(C985))),
  LEFT(UPPER(C985),3)
),
TEXT(ROW()-1,""000"")
))"),"")</f>
        <v/>
      </c>
      <c r="J985" s="64"/>
      <c r="K985" s="64"/>
      <c r="L985" s="64"/>
      <c r="M985" s="64"/>
      <c r="N985" s="64"/>
      <c r="O985" s="64" t="s">
        <v>1333</v>
      </c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  <c r="AG985" s="64"/>
    </row>
    <row r="986" ht="15.0" customHeight="1">
      <c r="A986" s="64"/>
      <c r="B986" s="64"/>
      <c r="C986" s="64"/>
      <c r="D986" s="64"/>
      <c r="E986" s="64"/>
      <c r="F986" s="64"/>
      <c r="G986" s="64"/>
      <c r="H986" s="64"/>
      <c r="I986" s="27" t="str">
        <f>IFERROR(__xludf.DUMMYFUNCTION("IF(A986="""","""",
TEXTJOIN(""-"",TRUE,
IFERROR(
  INDEX(FILTER(CFG_CODES!C:C, CFG_CODES!A:A=""CATEGORY"", UPPER(CFG_CODES!B:B)=UPPER(B986))),
  LEFT(UPPER(B986),3)
),
IFERROR(
  INDEX(FILTER(CFG_CODES!C:C, CFG_CODES!A:A=""MATERIAL"", UPPER(CFG_CODES!B:B)"&amp;"=UPPER(C986))),
  LEFT(UPPER(C986),3)
),
TEXT(ROW()-1,""000"")
))"),"")</f>
        <v/>
      </c>
      <c r="J986" s="64"/>
      <c r="K986" s="64"/>
      <c r="L986" s="64"/>
      <c r="M986" s="64"/>
      <c r="N986" s="64"/>
      <c r="O986" s="64" t="s">
        <v>1333</v>
      </c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  <c r="AG986" s="64"/>
    </row>
    <row r="987" ht="15.0" customHeight="1">
      <c r="A987" s="64"/>
      <c r="B987" s="64"/>
      <c r="C987" s="64"/>
      <c r="D987" s="64"/>
      <c r="E987" s="64"/>
      <c r="F987" s="64"/>
      <c r="G987" s="64"/>
      <c r="H987" s="64"/>
      <c r="I987" s="27" t="str">
        <f>IFERROR(__xludf.DUMMYFUNCTION("IF(A987="""","""",
TEXTJOIN(""-"",TRUE,
IFERROR(
  INDEX(FILTER(CFG_CODES!C:C, CFG_CODES!A:A=""CATEGORY"", UPPER(CFG_CODES!B:B)=UPPER(B987))),
  LEFT(UPPER(B987),3)
),
IFERROR(
  INDEX(FILTER(CFG_CODES!C:C, CFG_CODES!A:A=""MATERIAL"", UPPER(CFG_CODES!B:B)"&amp;"=UPPER(C987))),
  LEFT(UPPER(C987),3)
),
TEXT(ROW()-1,""000"")
))"),"")</f>
        <v/>
      </c>
      <c r="J987" s="64"/>
      <c r="K987" s="64"/>
      <c r="L987" s="64"/>
      <c r="M987" s="64"/>
      <c r="N987" s="64"/>
      <c r="O987" s="64" t="s">
        <v>1333</v>
      </c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  <c r="AG987" s="64"/>
    </row>
    <row r="988" ht="15.0" customHeight="1">
      <c r="A988" s="64"/>
      <c r="B988" s="64"/>
      <c r="C988" s="64"/>
      <c r="D988" s="64"/>
      <c r="E988" s="64"/>
      <c r="F988" s="64"/>
      <c r="G988" s="64"/>
      <c r="H988" s="64"/>
      <c r="I988" s="27" t="str">
        <f>IFERROR(__xludf.DUMMYFUNCTION("IF(A988="""","""",
TEXTJOIN(""-"",TRUE,
IFERROR(
  INDEX(FILTER(CFG_CODES!C:C, CFG_CODES!A:A=""CATEGORY"", UPPER(CFG_CODES!B:B)=UPPER(B988))),
  LEFT(UPPER(B988),3)
),
IFERROR(
  INDEX(FILTER(CFG_CODES!C:C, CFG_CODES!A:A=""MATERIAL"", UPPER(CFG_CODES!B:B)"&amp;"=UPPER(C988))),
  LEFT(UPPER(C988),3)
),
TEXT(ROW()-1,""000"")
))"),"")</f>
        <v/>
      </c>
      <c r="J988" s="64"/>
      <c r="K988" s="64"/>
      <c r="L988" s="64"/>
      <c r="M988" s="64"/>
      <c r="N988" s="64"/>
      <c r="O988" s="64" t="s">
        <v>1333</v>
      </c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  <c r="AG988" s="64"/>
    </row>
    <row r="989" ht="15.0" customHeight="1">
      <c r="A989" s="64"/>
      <c r="B989" s="64"/>
      <c r="C989" s="64"/>
      <c r="D989" s="64"/>
      <c r="E989" s="64"/>
      <c r="F989" s="64"/>
      <c r="G989" s="64"/>
      <c r="H989" s="64"/>
      <c r="I989" s="27" t="str">
        <f>IFERROR(__xludf.DUMMYFUNCTION("IF(A989="""","""",
TEXTJOIN(""-"",TRUE,
IFERROR(
  INDEX(FILTER(CFG_CODES!C:C, CFG_CODES!A:A=""CATEGORY"", UPPER(CFG_CODES!B:B)=UPPER(B989))),
  LEFT(UPPER(B989),3)
),
IFERROR(
  INDEX(FILTER(CFG_CODES!C:C, CFG_CODES!A:A=""MATERIAL"", UPPER(CFG_CODES!B:B)"&amp;"=UPPER(C989))),
  LEFT(UPPER(C989),3)
),
TEXT(ROW()-1,""000"")
))"),"")</f>
        <v/>
      </c>
      <c r="J989" s="64"/>
      <c r="K989" s="64"/>
      <c r="L989" s="64"/>
      <c r="M989" s="64"/>
      <c r="N989" s="64"/>
      <c r="O989" s="64" t="s">
        <v>1333</v>
      </c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</row>
    <row r="990" ht="15.0" customHeight="1">
      <c r="A990" s="64"/>
      <c r="B990" s="64"/>
      <c r="C990" s="64"/>
      <c r="D990" s="64"/>
      <c r="E990" s="64"/>
      <c r="F990" s="64"/>
      <c r="G990" s="64"/>
      <c r="H990" s="64"/>
      <c r="I990" s="27" t="str">
        <f>IFERROR(__xludf.DUMMYFUNCTION("IF(A990="""","""",
TEXTJOIN(""-"",TRUE,
IFERROR(
  INDEX(FILTER(CFG_CODES!C:C, CFG_CODES!A:A=""CATEGORY"", UPPER(CFG_CODES!B:B)=UPPER(B990))),
  LEFT(UPPER(B990),3)
),
IFERROR(
  INDEX(FILTER(CFG_CODES!C:C, CFG_CODES!A:A=""MATERIAL"", UPPER(CFG_CODES!B:B)"&amp;"=UPPER(C990))),
  LEFT(UPPER(C990),3)
),
TEXT(ROW()-1,""000"")
))"),"")</f>
        <v/>
      </c>
      <c r="J990" s="64"/>
      <c r="K990" s="64"/>
      <c r="L990" s="64"/>
      <c r="M990" s="64"/>
      <c r="N990" s="64"/>
      <c r="O990" s="64" t="s">
        <v>1333</v>
      </c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  <c r="AG990" s="64"/>
    </row>
    <row r="991" ht="15.0" customHeight="1">
      <c r="A991" s="64"/>
      <c r="B991" s="64"/>
      <c r="C991" s="64"/>
      <c r="D991" s="64"/>
      <c r="E991" s="64"/>
      <c r="F991" s="64"/>
      <c r="G991" s="64"/>
      <c r="H991" s="64"/>
      <c r="I991" s="27" t="str">
        <f>IFERROR(__xludf.DUMMYFUNCTION("IF(A991="""","""",
TEXTJOIN(""-"",TRUE,
IFERROR(
  INDEX(FILTER(CFG_CODES!C:C, CFG_CODES!A:A=""CATEGORY"", UPPER(CFG_CODES!B:B)=UPPER(B991))),
  LEFT(UPPER(B991),3)
),
IFERROR(
  INDEX(FILTER(CFG_CODES!C:C, CFG_CODES!A:A=""MATERIAL"", UPPER(CFG_CODES!B:B)"&amp;"=UPPER(C991))),
  LEFT(UPPER(C991),3)
),
TEXT(ROW()-1,""000"")
))"),"")</f>
        <v/>
      </c>
      <c r="J991" s="64"/>
      <c r="K991" s="64"/>
      <c r="L991" s="64"/>
      <c r="M991" s="64"/>
      <c r="N991" s="64"/>
      <c r="O991" s="64" t="s">
        <v>1333</v>
      </c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  <c r="AG991" s="64"/>
    </row>
    <row r="992" ht="15.0" customHeight="1">
      <c r="A992" s="64"/>
      <c r="B992" s="64"/>
      <c r="C992" s="64"/>
      <c r="D992" s="64"/>
      <c r="E992" s="64"/>
      <c r="F992" s="64"/>
      <c r="G992" s="64"/>
      <c r="H992" s="64"/>
      <c r="I992" s="27" t="str">
        <f>IFERROR(__xludf.DUMMYFUNCTION("IF(A992="""","""",
TEXTJOIN(""-"",TRUE,
IFERROR(
  INDEX(FILTER(CFG_CODES!C:C, CFG_CODES!A:A=""CATEGORY"", UPPER(CFG_CODES!B:B)=UPPER(B992))),
  LEFT(UPPER(B992),3)
),
IFERROR(
  INDEX(FILTER(CFG_CODES!C:C, CFG_CODES!A:A=""MATERIAL"", UPPER(CFG_CODES!B:B)"&amp;"=UPPER(C992))),
  LEFT(UPPER(C992),3)
),
TEXT(ROW()-1,""000"")
))"),"")</f>
        <v/>
      </c>
      <c r="J992" s="64"/>
      <c r="K992" s="64"/>
      <c r="L992" s="64"/>
      <c r="M992" s="64"/>
      <c r="N992" s="64"/>
      <c r="O992" s="64" t="s">
        <v>1333</v>
      </c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  <c r="AG992" s="64"/>
    </row>
    <row r="993" ht="15.0" customHeight="1">
      <c r="A993" s="64"/>
      <c r="B993" s="64"/>
      <c r="C993" s="64"/>
      <c r="D993" s="64"/>
      <c r="E993" s="64"/>
      <c r="F993" s="64"/>
      <c r="G993" s="64"/>
      <c r="H993" s="64"/>
      <c r="I993" s="27" t="str">
        <f>IFERROR(__xludf.DUMMYFUNCTION("IF(A993="""","""",
TEXTJOIN(""-"",TRUE,
IFERROR(
  INDEX(FILTER(CFG_CODES!C:C, CFG_CODES!A:A=""CATEGORY"", UPPER(CFG_CODES!B:B)=UPPER(B993))),
  LEFT(UPPER(B993),3)
),
IFERROR(
  INDEX(FILTER(CFG_CODES!C:C, CFG_CODES!A:A=""MATERIAL"", UPPER(CFG_CODES!B:B)"&amp;"=UPPER(C993))),
  LEFT(UPPER(C993),3)
),
TEXT(ROW()-1,""000"")
))"),"")</f>
        <v/>
      </c>
      <c r="J993" s="64"/>
      <c r="K993" s="64"/>
      <c r="L993" s="64"/>
      <c r="M993" s="64"/>
      <c r="N993" s="64"/>
      <c r="O993" s="64" t="s">
        <v>1333</v>
      </c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  <c r="AG993" s="64"/>
    </row>
    <row r="994" ht="15.0" customHeight="1">
      <c r="A994" s="64"/>
      <c r="B994" s="64"/>
      <c r="C994" s="64"/>
      <c r="D994" s="64"/>
      <c r="E994" s="64"/>
      <c r="F994" s="64"/>
      <c r="G994" s="64"/>
      <c r="H994" s="64"/>
      <c r="I994" s="27" t="str">
        <f>IFERROR(__xludf.DUMMYFUNCTION("IF(A994="""","""",
TEXTJOIN(""-"",TRUE,
IFERROR(
  INDEX(FILTER(CFG_CODES!C:C, CFG_CODES!A:A=""CATEGORY"", UPPER(CFG_CODES!B:B)=UPPER(B994))),
  LEFT(UPPER(B994),3)
),
IFERROR(
  INDEX(FILTER(CFG_CODES!C:C, CFG_CODES!A:A=""MATERIAL"", UPPER(CFG_CODES!B:B)"&amp;"=UPPER(C994))),
  LEFT(UPPER(C994),3)
),
TEXT(ROW()-1,""000"")
))"),"")</f>
        <v/>
      </c>
      <c r="J994" s="64"/>
      <c r="K994" s="64"/>
      <c r="L994" s="64"/>
      <c r="M994" s="64"/>
      <c r="N994" s="64"/>
      <c r="O994" s="64" t="s">
        <v>1333</v>
      </c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  <c r="AG994" s="64"/>
    </row>
    <row r="995" ht="15.0" customHeight="1">
      <c r="A995" s="64"/>
      <c r="B995" s="64"/>
      <c r="C995" s="64"/>
      <c r="D995" s="64"/>
      <c r="E995" s="64"/>
      <c r="F995" s="64"/>
      <c r="G995" s="64"/>
      <c r="H995" s="64"/>
      <c r="I995" s="27" t="str">
        <f>IFERROR(__xludf.DUMMYFUNCTION("IF(A995="""","""",
TEXTJOIN(""-"",TRUE,
IFERROR(
  INDEX(FILTER(CFG_CODES!C:C, CFG_CODES!A:A=""CATEGORY"", UPPER(CFG_CODES!B:B)=UPPER(B995))),
  LEFT(UPPER(B995),3)
),
IFERROR(
  INDEX(FILTER(CFG_CODES!C:C, CFG_CODES!A:A=""MATERIAL"", UPPER(CFG_CODES!B:B)"&amp;"=UPPER(C995))),
  LEFT(UPPER(C995),3)
),
TEXT(ROW()-1,""000"")
))"),"")</f>
        <v/>
      </c>
      <c r="J995" s="64"/>
      <c r="K995" s="64"/>
      <c r="L995" s="64"/>
      <c r="M995" s="64"/>
      <c r="N995" s="64"/>
      <c r="O995" s="64" t="s">
        <v>1333</v>
      </c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</row>
    <row r="996">
      <c r="O996" s="25" t="s">
        <v>1333</v>
      </c>
    </row>
    <row r="997">
      <c r="O997" s="25" t="s">
        <v>1333</v>
      </c>
    </row>
    <row r="998">
      <c r="O998" s="25" t="s">
        <v>1333</v>
      </c>
    </row>
  </sheetData>
  <autoFilter ref="$A$1:$I$995"/>
  <dataValidations>
    <dataValidation type="list" allowBlank="1" showErrorMessage="1" sqref="H2:H995">
      <formula1>Unit[Unit]</formula1>
    </dataValidation>
    <dataValidation type="list" allowBlank="1" showErrorMessage="1" sqref="R2:R393">
      <formula1>"Yes,Interval,No"</formula1>
    </dataValidation>
    <dataValidation type="list" allowBlank="1" showErrorMessage="1" sqref="J2:J995">
      <formula1>Status[Status]</formula1>
    </dataValidation>
    <dataValidation type="list" allowBlank="1" showErrorMessage="1" sqref="B2:B995">
      <formula1>Catagory[Category]</formula1>
    </dataValidation>
    <dataValidation type="list" allowBlank="1" showErrorMessage="1" sqref="C2:C995">
      <formula1>Material[Material]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5.13"/>
    <col customWidth="1" min="3" max="3" width="13.88"/>
    <col customWidth="1" min="4" max="26" width="41.63"/>
  </cols>
  <sheetData>
    <row r="1">
      <c r="A1" s="67" t="s">
        <v>1679</v>
      </c>
    </row>
    <row r="3">
      <c r="A3" s="68" t="s">
        <v>1681</v>
      </c>
    </row>
    <row r="4">
      <c r="A4" s="70" t="s">
        <v>1562</v>
      </c>
    </row>
    <row r="5">
      <c r="A5" s="72" t="s">
        <v>4</v>
      </c>
      <c r="B5" s="72" t="s">
        <v>5</v>
      </c>
      <c r="C5" s="72" t="s">
        <v>1558</v>
      </c>
    </row>
    <row r="6">
      <c r="A6" s="73" t="s">
        <v>1559</v>
      </c>
      <c r="B6" s="73" t="s">
        <v>1672</v>
      </c>
      <c r="C6" s="74">
        <v>0.0</v>
      </c>
    </row>
    <row r="7">
      <c r="A7" s="73" t="s">
        <v>1569</v>
      </c>
      <c r="B7" s="73" t="s">
        <v>1570</v>
      </c>
      <c r="C7" s="74">
        <v>0.0</v>
      </c>
    </row>
    <row r="8">
      <c r="A8" s="75" t="s">
        <v>18</v>
      </c>
      <c r="B8" s="75" t="s">
        <v>20</v>
      </c>
      <c r="C8" s="76">
        <v>400.0</v>
      </c>
    </row>
    <row r="9">
      <c r="A9" s="73" t="s">
        <v>201</v>
      </c>
      <c r="B9" s="73" t="s">
        <v>202</v>
      </c>
      <c r="C9" s="74">
        <v>0.0</v>
      </c>
    </row>
    <row r="10">
      <c r="A10" s="75" t="s">
        <v>33</v>
      </c>
      <c r="B10" s="75" t="s">
        <v>35</v>
      </c>
      <c r="C10" s="76">
        <v>3500.0</v>
      </c>
    </row>
    <row r="11">
      <c r="A11" s="73" t="s">
        <v>1522</v>
      </c>
      <c r="B11" s="73" t="s">
        <v>1523</v>
      </c>
      <c r="C11" s="74">
        <v>0.0</v>
      </c>
    </row>
    <row r="12">
      <c r="A12" s="75" t="s">
        <v>41</v>
      </c>
      <c r="B12" s="75" t="s">
        <v>42</v>
      </c>
      <c r="C12" s="76">
        <v>1800.0</v>
      </c>
    </row>
    <row r="13">
      <c r="A13" s="73" t="s">
        <v>1577</v>
      </c>
      <c r="B13" s="73" t="s">
        <v>1579</v>
      </c>
      <c r="C13" s="74">
        <v>0.0</v>
      </c>
    </row>
    <row r="14">
      <c r="A14" s="75" t="s">
        <v>48</v>
      </c>
      <c r="B14" s="75" t="s">
        <v>49</v>
      </c>
      <c r="C14" s="76">
        <v>30.0</v>
      </c>
    </row>
    <row r="15">
      <c r="A15" s="77" t="s">
        <v>57</v>
      </c>
      <c r="B15" s="77" t="s">
        <v>58</v>
      </c>
      <c r="C15" s="78">
        <v>400.0</v>
      </c>
    </row>
    <row r="16">
      <c r="A16" s="73" t="s">
        <v>573</v>
      </c>
      <c r="B16" s="73" t="s">
        <v>575</v>
      </c>
      <c r="C16" s="74">
        <v>0.0</v>
      </c>
    </row>
    <row r="17">
      <c r="A17" s="77" t="s">
        <v>65</v>
      </c>
      <c r="B17" s="77" t="s">
        <v>67</v>
      </c>
      <c r="C17" s="78">
        <v>1000.0</v>
      </c>
    </row>
    <row r="18">
      <c r="A18" s="73" t="s">
        <v>347</v>
      </c>
      <c r="B18" s="73" t="s">
        <v>349</v>
      </c>
      <c r="C18" s="74">
        <v>0.0</v>
      </c>
    </row>
    <row r="19">
      <c r="A19" s="73" t="s">
        <v>1592</v>
      </c>
      <c r="B19" s="73" t="s">
        <v>1594</v>
      </c>
      <c r="C19" s="74">
        <v>0.0</v>
      </c>
    </row>
    <row r="20">
      <c r="A20" s="75" t="s">
        <v>74</v>
      </c>
      <c r="B20" s="75" t="s">
        <v>75</v>
      </c>
      <c r="C20" s="76">
        <v>150.0</v>
      </c>
    </row>
    <row r="21">
      <c r="A21" s="77" t="s">
        <v>83</v>
      </c>
      <c r="B21" s="77" t="s">
        <v>84</v>
      </c>
      <c r="C21" s="78">
        <v>2000.0</v>
      </c>
    </row>
    <row r="22">
      <c r="A22" s="73" t="s">
        <v>1601</v>
      </c>
      <c r="B22" s="73" t="s">
        <v>1602</v>
      </c>
      <c r="C22" s="74">
        <v>0.0</v>
      </c>
    </row>
    <row r="23">
      <c r="A23" s="77" t="s">
        <v>91</v>
      </c>
      <c r="B23" s="77" t="s">
        <v>92</v>
      </c>
      <c r="C23" s="78">
        <v>2000.0</v>
      </c>
    </row>
    <row r="24">
      <c r="A24" s="75" t="s">
        <v>98</v>
      </c>
      <c r="B24" s="75" t="s">
        <v>99</v>
      </c>
      <c r="C24" s="76">
        <v>600.0</v>
      </c>
    </row>
    <row r="25">
      <c r="A25" s="77" t="s">
        <v>104</v>
      </c>
      <c r="B25" s="77" t="s">
        <v>106</v>
      </c>
      <c r="C25" s="78">
        <v>2600.0</v>
      </c>
    </row>
    <row r="26">
      <c r="A26" s="75" t="s">
        <v>113</v>
      </c>
      <c r="B26" s="75" t="s">
        <v>115</v>
      </c>
      <c r="C26" s="76">
        <v>600.0</v>
      </c>
    </row>
    <row r="27">
      <c r="A27" s="73" t="s">
        <v>1610</v>
      </c>
      <c r="B27" s="73" t="s">
        <v>1612</v>
      </c>
      <c r="C27" s="74">
        <v>0.0</v>
      </c>
    </row>
    <row r="28">
      <c r="A28" s="75" t="s">
        <v>120</v>
      </c>
      <c r="B28" s="75" t="s">
        <v>121</v>
      </c>
      <c r="C28" s="76">
        <v>200.0</v>
      </c>
    </row>
    <row r="29">
      <c r="A29" s="77" t="s">
        <v>128</v>
      </c>
      <c r="B29" s="77" t="s">
        <v>130</v>
      </c>
      <c r="C29" s="78">
        <v>500.0</v>
      </c>
    </row>
    <row r="30">
      <c r="A30" s="75" t="s">
        <v>135</v>
      </c>
      <c r="B30" s="75" t="s">
        <v>136</v>
      </c>
      <c r="C30" s="76">
        <v>600.0</v>
      </c>
    </row>
    <row r="31">
      <c r="A31" s="77" t="s">
        <v>143</v>
      </c>
      <c r="B31" s="77" t="s">
        <v>144</v>
      </c>
      <c r="C31" s="78">
        <v>1600.0</v>
      </c>
    </row>
    <row r="32">
      <c r="A32" s="73" t="s">
        <v>546</v>
      </c>
      <c r="B32" s="73" t="s">
        <v>547</v>
      </c>
      <c r="C32" s="74">
        <v>0.0</v>
      </c>
    </row>
    <row r="33">
      <c r="A33" s="73" t="s">
        <v>1611</v>
      </c>
      <c r="B33" s="73" t="s">
        <v>1620</v>
      </c>
      <c r="C33" s="74">
        <v>0.0</v>
      </c>
    </row>
    <row r="34">
      <c r="A34" s="73" t="s">
        <v>1623</v>
      </c>
      <c r="B34" s="73" t="s">
        <v>1624</v>
      </c>
      <c r="C34" s="74">
        <v>0.0</v>
      </c>
    </row>
    <row r="35">
      <c r="A35" s="77" t="s">
        <v>152</v>
      </c>
      <c r="B35" s="77" t="s">
        <v>154</v>
      </c>
      <c r="C35" s="78">
        <v>2500.0</v>
      </c>
    </row>
    <row r="36">
      <c r="A36" s="75" t="s">
        <v>159</v>
      </c>
      <c r="B36" s="75" t="s">
        <v>161</v>
      </c>
      <c r="C36" s="76">
        <v>700.0</v>
      </c>
    </row>
    <row r="37">
      <c r="A37" s="73" t="s">
        <v>1605</v>
      </c>
      <c r="B37" s="73" t="s">
        <v>1630</v>
      </c>
      <c r="C37" s="74">
        <v>0.0</v>
      </c>
    </row>
    <row r="38">
      <c r="A38" s="75" t="s">
        <v>167</v>
      </c>
      <c r="B38" s="75" t="s">
        <v>168</v>
      </c>
      <c r="C38" s="76">
        <v>1900.0</v>
      </c>
    </row>
    <row r="39">
      <c r="A39" s="77" t="s">
        <v>175</v>
      </c>
      <c r="B39" s="77" t="s">
        <v>176</v>
      </c>
      <c r="C39" s="78">
        <v>7700.0</v>
      </c>
    </row>
    <row r="40">
      <c r="A40" s="73" t="s">
        <v>1635</v>
      </c>
      <c r="B40" s="73" t="s">
        <v>1636</v>
      </c>
      <c r="C40" s="74">
        <v>0.0</v>
      </c>
    </row>
    <row r="41">
      <c r="A41" s="77" t="s">
        <v>183</v>
      </c>
      <c r="B41" s="77" t="s">
        <v>184</v>
      </c>
      <c r="C41" s="78">
        <v>200.0</v>
      </c>
    </row>
    <row r="42">
      <c r="A42" s="73" t="s">
        <v>105</v>
      </c>
      <c r="B42" s="73" t="s">
        <v>107</v>
      </c>
      <c r="C42" s="74">
        <v>0.0</v>
      </c>
    </row>
    <row r="43">
      <c r="A43" s="77" t="s">
        <v>197</v>
      </c>
      <c r="B43" s="77" t="s">
        <v>198</v>
      </c>
      <c r="C43" s="78">
        <v>500.0</v>
      </c>
    </row>
    <row r="44">
      <c r="A44" s="75" t="s">
        <v>274</v>
      </c>
      <c r="B44" s="75" t="s">
        <v>276</v>
      </c>
      <c r="C44" s="76">
        <v>600.0</v>
      </c>
    </row>
    <row r="45">
      <c r="A45" s="77" t="s">
        <v>283</v>
      </c>
      <c r="B45" s="77" t="s">
        <v>284</v>
      </c>
      <c r="C45" s="78">
        <v>200.0</v>
      </c>
    </row>
    <row r="46">
      <c r="A46" s="75" t="s">
        <v>932</v>
      </c>
      <c r="B46" s="75" t="s">
        <v>933</v>
      </c>
      <c r="C46" s="76">
        <v>400.0</v>
      </c>
    </row>
    <row r="47">
      <c r="A47" s="73" t="s">
        <v>913</v>
      </c>
      <c r="B47" s="73" t="s">
        <v>915</v>
      </c>
      <c r="C47" s="74">
        <v>0.0</v>
      </c>
    </row>
    <row r="48">
      <c r="A48" s="73" t="s">
        <v>1585</v>
      </c>
      <c r="B48" s="73" t="s">
        <v>1694</v>
      </c>
      <c r="C48" s="74">
        <v>0.0</v>
      </c>
    </row>
    <row r="49">
      <c r="A49" s="73" t="s">
        <v>1589</v>
      </c>
      <c r="B49" s="73" t="s">
        <v>1695</v>
      </c>
      <c r="C49" s="74">
        <v>0.0</v>
      </c>
    </row>
    <row r="50">
      <c r="A50" s="75" t="s">
        <v>942</v>
      </c>
      <c r="B50" s="75" t="s">
        <v>943</v>
      </c>
      <c r="C50" s="76">
        <v>2700.0</v>
      </c>
    </row>
    <row r="51">
      <c r="A51" s="77" t="s">
        <v>951</v>
      </c>
      <c r="B51" s="77" t="s">
        <v>953</v>
      </c>
      <c r="C51" s="78">
        <v>990.0</v>
      </c>
    </row>
    <row r="52">
      <c r="A52" s="73" t="s">
        <v>1516</v>
      </c>
      <c r="B52" s="73" t="s">
        <v>1517</v>
      </c>
      <c r="C52" s="74">
        <v>0.0</v>
      </c>
    </row>
    <row r="53">
      <c r="A53" s="73" t="s">
        <v>341</v>
      </c>
      <c r="B53" s="73" t="s">
        <v>342</v>
      </c>
      <c r="C53" s="74">
        <v>0.0</v>
      </c>
    </row>
    <row r="54">
      <c r="A54" s="73" t="s">
        <v>139</v>
      </c>
      <c r="B54" s="73" t="s">
        <v>140</v>
      </c>
      <c r="C54" s="74">
        <v>0.0</v>
      </c>
    </row>
    <row r="55">
      <c r="A55" s="77" t="s">
        <v>1008</v>
      </c>
      <c r="B55" s="77" t="s">
        <v>1009</v>
      </c>
      <c r="C55" s="78">
        <v>200.0</v>
      </c>
    </row>
    <row r="56">
      <c r="A56" s="75" t="s">
        <v>1011</v>
      </c>
      <c r="B56" s="75" t="s">
        <v>1012</v>
      </c>
      <c r="C56" s="76">
        <v>100.0</v>
      </c>
    </row>
    <row r="57">
      <c r="A57" s="73" t="s">
        <v>1699</v>
      </c>
      <c r="B57" s="73" t="s">
        <v>1700</v>
      </c>
      <c r="C57" s="74">
        <v>0.0</v>
      </c>
    </row>
    <row r="58">
      <c r="A58" s="73" t="s">
        <v>1701</v>
      </c>
      <c r="B58" s="73" t="s">
        <v>1702</v>
      </c>
      <c r="C58" s="74">
        <v>0.0</v>
      </c>
    </row>
    <row r="59">
      <c r="A59" s="77" t="s">
        <v>1014</v>
      </c>
      <c r="B59" s="77" t="s">
        <v>1015</v>
      </c>
      <c r="C59" s="78">
        <v>835.0</v>
      </c>
    </row>
    <row r="60">
      <c r="A60" s="73" t="s">
        <v>1703</v>
      </c>
      <c r="B60" s="73" t="s">
        <v>1704</v>
      </c>
      <c r="C60" s="74">
        <v>0.0</v>
      </c>
    </row>
    <row r="61">
      <c r="A61" s="77" t="s">
        <v>147</v>
      </c>
      <c r="B61" s="77" t="s">
        <v>148</v>
      </c>
      <c r="C61" s="78">
        <v>150.0</v>
      </c>
    </row>
    <row r="62">
      <c r="A62" s="73" t="s">
        <v>1706</v>
      </c>
      <c r="B62" s="73" t="s">
        <v>1707</v>
      </c>
      <c r="C62" s="74">
        <v>0.0</v>
      </c>
    </row>
    <row r="63">
      <c r="A63" s="77" t="s">
        <v>1045</v>
      </c>
      <c r="B63" s="77" t="s">
        <v>1046</v>
      </c>
      <c r="C63" s="78">
        <v>950.0</v>
      </c>
    </row>
    <row r="64">
      <c r="A64" s="73" t="s">
        <v>1708</v>
      </c>
      <c r="B64" s="73" t="s">
        <v>1709</v>
      </c>
      <c r="C64" s="74">
        <v>0.0</v>
      </c>
    </row>
    <row r="65">
      <c r="A65" s="73" t="s">
        <v>1710</v>
      </c>
      <c r="B65" s="73" t="s">
        <v>1711</v>
      </c>
      <c r="C65" s="74">
        <v>0.0</v>
      </c>
    </row>
    <row r="66">
      <c r="A66" s="75" t="s">
        <v>1055</v>
      </c>
      <c r="B66" s="75" t="s">
        <v>1056</v>
      </c>
      <c r="C66" s="76">
        <v>300.0</v>
      </c>
    </row>
    <row r="67">
      <c r="A67" s="73" t="s">
        <v>1713</v>
      </c>
      <c r="B67" s="73" t="s">
        <v>1714</v>
      </c>
      <c r="C67" s="74">
        <v>0.0</v>
      </c>
    </row>
    <row r="68">
      <c r="A68" s="75" t="s">
        <v>1064</v>
      </c>
      <c r="B68" s="75" t="s">
        <v>1065</v>
      </c>
      <c r="C68" s="76">
        <v>1500.0</v>
      </c>
    </row>
    <row r="69">
      <c r="A69" s="73" t="s">
        <v>1715</v>
      </c>
      <c r="B69" s="73" t="s">
        <v>1716</v>
      </c>
      <c r="C69" s="74">
        <v>0.0</v>
      </c>
    </row>
    <row r="70">
      <c r="A70" s="75" t="s">
        <v>1074</v>
      </c>
      <c r="B70" s="75" t="s">
        <v>1075</v>
      </c>
      <c r="C70" s="76">
        <v>300.0</v>
      </c>
    </row>
    <row r="71">
      <c r="A71" s="73" t="s">
        <v>1717</v>
      </c>
      <c r="B71" s="73" t="s">
        <v>1718</v>
      </c>
      <c r="C71" s="74">
        <v>0.0</v>
      </c>
    </row>
    <row r="72">
      <c r="A72" s="75" t="s">
        <v>1085</v>
      </c>
      <c r="B72" s="75" t="s">
        <v>1086</v>
      </c>
      <c r="C72" s="76">
        <v>15800.0</v>
      </c>
    </row>
    <row r="73">
      <c r="A73" s="73" t="s">
        <v>1719</v>
      </c>
      <c r="B73" s="73" t="s">
        <v>1720</v>
      </c>
      <c r="C73" s="74">
        <v>0.0</v>
      </c>
    </row>
    <row r="74">
      <c r="A74" s="75" t="s">
        <v>1088</v>
      </c>
      <c r="B74" s="75" t="s">
        <v>1089</v>
      </c>
      <c r="C74" s="76">
        <v>200.0</v>
      </c>
    </row>
    <row r="75">
      <c r="A75" s="77" t="s">
        <v>95</v>
      </c>
      <c r="B75" s="77" t="s">
        <v>97</v>
      </c>
      <c r="C75" s="78">
        <v>500.0</v>
      </c>
    </row>
    <row r="76">
      <c r="A76" s="75" t="s">
        <v>1098</v>
      </c>
      <c r="B76" s="75" t="s">
        <v>1099</v>
      </c>
      <c r="C76" s="76">
        <v>600.0</v>
      </c>
    </row>
    <row r="77">
      <c r="A77" s="73" t="s">
        <v>593</v>
      </c>
      <c r="B77" s="73" t="s">
        <v>594</v>
      </c>
      <c r="C77" s="85">
        <v>0.0</v>
      </c>
    </row>
    <row r="78">
      <c r="A78" s="73" t="s">
        <v>1722</v>
      </c>
      <c r="B78" s="73" t="s">
        <v>1723</v>
      </c>
      <c r="C78" s="85">
        <v>0.0</v>
      </c>
    </row>
    <row r="79">
      <c r="A79" s="73" t="s">
        <v>1724</v>
      </c>
      <c r="B79" s="73" t="s">
        <v>1725</v>
      </c>
      <c r="C79" s="85">
        <v>0.0</v>
      </c>
    </row>
    <row r="80">
      <c r="A80" s="73" t="s">
        <v>1726</v>
      </c>
      <c r="B80" s="73" t="s">
        <v>1727</v>
      </c>
      <c r="C80" s="74">
        <v>0.0</v>
      </c>
    </row>
    <row r="81">
      <c r="A81" s="73" t="s">
        <v>215</v>
      </c>
      <c r="B81" s="73" t="s">
        <v>216</v>
      </c>
      <c r="C81" s="74">
        <v>0.0</v>
      </c>
    </row>
    <row r="82">
      <c r="A82" s="75" t="s">
        <v>1114</v>
      </c>
      <c r="B82" s="75" t="s">
        <v>1115</v>
      </c>
      <c r="C82" s="76">
        <v>600.0</v>
      </c>
    </row>
    <row r="83">
      <c r="A83" s="77" t="s">
        <v>308</v>
      </c>
      <c r="B83" s="77" t="s">
        <v>309</v>
      </c>
      <c r="C83" s="78">
        <v>1800.0</v>
      </c>
    </row>
    <row r="84">
      <c r="A84" s="73" t="s">
        <v>1728</v>
      </c>
      <c r="B84" s="73" t="s">
        <v>1729</v>
      </c>
      <c r="C84" s="85">
        <v>0.0</v>
      </c>
    </row>
    <row r="85">
      <c r="A85" s="77" t="s">
        <v>1158</v>
      </c>
      <c r="B85" s="77" t="s">
        <v>1159</v>
      </c>
      <c r="C85" s="86">
        <v>300.0</v>
      </c>
    </row>
    <row r="86">
      <c r="A86" s="73" t="s">
        <v>734</v>
      </c>
      <c r="B86" s="73" t="s">
        <v>736</v>
      </c>
      <c r="C86" s="74">
        <v>0.0</v>
      </c>
    </row>
    <row r="87">
      <c r="A87" s="77" t="s">
        <v>1163</v>
      </c>
      <c r="B87" s="77" t="s">
        <v>1164</v>
      </c>
      <c r="C87" s="86">
        <v>75.0</v>
      </c>
    </row>
    <row r="88">
      <c r="A88" s="75" t="s">
        <v>1170</v>
      </c>
      <c r="B88" s="75" t="s">
        <v>1172</v>
      </c>
      <c r="C88" s="87">
        <v>2060.0</v>
      </c>
    </row>
    <row r="89">
      <c r="A89" s="77" t="s">
        <v>1180</v>
      </c>
      <c r="B89" s="77" t="s">
        <v>1181</v>
      </c>
      <c r="C89" s="86">
        <v>300.0</v>
      </c>
    </row>
    <row r="90">
      <c r="A90" s="75" t="s">
        <v>1183</v>
      </c>
      <c r="B90" s="75" t="s">
        <v>1184</v>
      </c>
      <c r="C90" s="76">
        <v>100.0</v>
      </c>
    </row>
    <row r="91">
      <c r="A91" s="73" t="s">
        <v>1732</v>
      </c>
      <c r="B91" s="73" t="s">
        <v>1733</v>
      </c>
      <c r="C91" s="74">
        <v>0.0</v>
      </c>
    </row>
    <row r="92">
      <c r="A92" s="75" t="s">
        <v>123</v>
      </c>
      <c r="B92" s="75" t="s">
        <v>124</v>
      </c>
      <c r="C92" s="76">
        <v>2000.0</v>
      </c>
    </row>
    <row r="93">
      <c r="A93" s="77" t="s">
        <v>61</v>
      </c>
      <c r="B93" s="77" t="s">
        <v>62</v>
      </c>
      <c r="C93" s="78">
        <v>1000.0</v>
      </c>
    </row>
    <row r="94">
      <c r="A94" s="75" t="s">
        <v>760</v>
      </c>
      <c r="B94" s="75" t="s">
        <v>762</v>
      </c>
      <c r="C94" s="87">
        <v>2500.0</v>
      </c>
    </row>
    <row r="95">
      <c r="A95" s="77" t="s">
        <v>1224</v>
      </c>
      <c r="B95" s="77" t="s">
        <v>1226</v>
      </c>
      <c r="C95" s="86">
        <v>4700.0</v>
      </c>
    </row>
    <row r="96">
      <c r="A96" s="75" t="s">
        <v>854</v>
      </c>
      <c r="B96" s="75" t="s">
        <v>855</v>
      </c>
      <c r="C96" s="87">
        <v>300.0</v>
      </c>
    </row>
    <row r="97">
      <c r="A97" s="77" t="s">
        <v>79</v>
      </c>
      <c r="B97" s="77" t="s">
        <v>80</v>
      </c>
      <c r="C97" s="86">
        <v>6300.0</v>
      </c>
    </row>
    <row r="98">
      <c r="A98" s="75" t="s">
        <v>1240</v>
      </c>
      <c r="B98" s="75" t="s">
        <v>1241</v>
      </c>
      <c r="C98" s="87">
        <v>100.0</v>
      </c>
    </row>
    <row r="99">
      <c r="A99" s="77" t="s">
        <v>163</v>
      </c>
      <c r="B99" s="77" t="s">
        <v>1737</v>
      </c>
      <c r="C99" s="86">
        <v>4000.0</v>
      </c>
    </row>
    <row r="100">
      <c r="A100" s="75" t="s">
        <v>1250</v>
      </c>
      <c r="B100" s="75" t="s">
        <v>1251</v>
      </c>
      <c r="C100" s="76">
        <v>100.0</v>
      </c>
    </row>
    <row r="101">
      <c r="A101" s="73" t="s">
        <v>1739</v>
      </c>
      <c r="B101" s="73" t="s">
        <v>1740</v>
      </c>
      <c r="C101" s="74">
        <v>0.0</v>
      </c>
    </row>
    <row r="102">
      <c r="A102" s="73" t="s">
        <v>1741</v>
      </c>
      <c r="B102" s="73" t="s">
        <v>1742</v>
      </c>
      <c r="C102" s="74">
        <v>0.0</v>
      </c>
    </row>
    <row r="103">
      <c r="A103" s="73" t="s">
        <v>1743</v>
      </c>
      <c r="B103" s="73" t="s">
        <v>1744</v>
      </c>
      <c r="C103" s="74">
        <v>0.0</v>
      </c>
    </row>
    <row r="104">
      <c r="A104" s="73" t="s">
        <v>1746</v>
      </c>
      <c r="B104" s="73" t="s">
        <v>1747</v>
      </c>
      <c r="C104" s="85">
        <v>0.0</v>
      </c>
    </row>
    <row r="105">
      <c r="A105" s="77" t="s">
        <v>1272</v>
      </c>
      <c r="B105" s="77" t="s">
        <v>1273</v>
      </c>
      <c r="C105" s="86">
        <v>3887.0</v>
      </c>
    </row>
    <row r="106">
      <c r="A106" s="75" t="s">
        <v>1275</v>
      </c>
      <c r="B106" s="75" t="s">
        <v>1276</v>
      </c>
      <c r="C106" s="87">
        <v>700.0</v>
      </c>
    </row>
    <row r="107">
      <c r="A107" s="73" t="s">
        <v>1749</v>
      </c>
      <c r="B107" s="73" t="s">
        <v>1751</v>
      </c>
      <c r="C107" s="85">
        <v>0.0</v>
      </c>
    </row>
    <row r="108">
      <c r="A108" s="75" t="s">
        <v>1278</v>
      </c>
      <c r="B108" s="75" t="s">
        <v>1279</v>
      </c>
      <c r="C108" s="76">
        <v>400.0</v>
      </c>
    </row>
    <row r="109">
      <c r="A109" s="73" t="s">
        <v>1752</v>
      </c>
      <c r="B109" s="73" t="s">
        <v>1753</v>
      </c>
      <c r="C109" s="74">
        <v>0.0</v>
      </c>
    </row>
    <row r="110">
      <c r="A110" s="73" t="s">
        <v>1754</v>
      </c>
      <c r="B110" s="73" t="s">
        <v>1755</v>
      </c>
      <c r="C110" s="85">
        <v>0.0</v>
      </c>
    </row>
    <row r="111">
      <c r="A111" s="77" t="s">
        <v>1314</v>
      </c>
      <c r="B111" s="77" t="s">
        <v>1315</v>
      </c>
      <c r="C111" s="86">
        <v>500.0</v>
      </c>
    </row>
    <row r="112">
      <c r="A112" s="73" t="s">
        <v>70</v>
      </c>
      <c r="B112" s="73" t="s">
        <v>71</v>
      </c>
      <c r="C112" s="85">
        <v>0.0</v>
      </c>
    </row>
    <row r="113">
      <c r="A113" s="77" t="s">
        <v>87</v>
      </c>
      <c r="B113" s="77" t="s">
        <v>88</v>
      </c>
      <c r="C113" s="86">
        <v>2900.0</v>
      </c>
    </row>
    <row r="114">
      <c r="A114" s="73" t="s">
        <v>1762</v>
      </c>
      <c r="B114" s="73" t="s">
        <v>1763</v>
      </c>
      <c r="C114" s="74">
        <v>0.0</v>
      </c>
    </row>
    <row r="115">
      <c r="A115" s="73" t="s">
        <v>1764</v>
      </c>
      <c r="B115" s="73" t="s">
        <v>1765</v>
      </c>
      <c r="C115" s="74">
        <v>0.0</v>
      </c>
    </row>
    <row r="116">
      <c r="A116" s="75" t="s">
        <v>1317</v>
      </c>
      <c r="B116" s="75" t="s">
        <v>1318</v>
      </c>
      <c r="C116" s="76">
        <v>1600.0</v>
      </c>
    </row>
    <row r="117">
      <c r="A117" s="73" t="s">
        <v>1766</v>
      </c>
      <c r="B117" s="73" t="s">
        <v>1767</v>
      </c>
      <c r="C117" s="85">
        <v>0.0</v>
      </c>
    </row>
    <row r="118">
      <c r="A118" s="73" t="s">
        <v>53</v>
      </c>
      <c r="B118" s="73" t="s">
        <v>54</v>
      </c>
      <c r="C118" s="85">
        <v>0.0</v>
      </c>
    </row>
    <row r="119">
      <c r="A119" s="77" t="s">
        <v>223</v>
      </c>
      <c r="B119" s="77" t="s">
        <v>224</v>
      </c>
      <c r="C119" s="86">
        <v>300.0</v>
      </c>
    </row>
    <row r="120">
      <c r="A120" s="75" t="s">
        <v>1770</v>
      </c>
      <c r="B120" s="75" t="s">
        <v>1771</v>
      </c>
      <c r="C120" s="87">
        <v>10500.0</v>
      </c>
    </row>
    <row r="121">
      <c r="A121" s="77" t="s">
        <v>1773</v>
      </c>
      <c r="B121" s="77" t="s">
        <v>1774</v>
      </c>
      <c r="C121" s="86">
        <v>8000.0</v>
      </c>
    </row>
    <row r="122">
      <c r="A122" s="73" t="s">
        <v>1775</v>
      </c>
      <c r="B122" s="73" t="s">
        <v>1776</v>
      </c>
      <c r="C122" s="74">
        <v>0.0</v>
      </c>
    </row>
    <row r="123">
      <c r="A123" s="73" t="s">
        <v>317</v>
      </c>
      <c r="B123" s="73" t="s">
        <v>318</v>
      </c>
      <c r="C123" s="74">
        <v>0.0</v>
      </c>
    </row>
    <row r="124">
      <c r="A124" s="73" t="s">
        <v>356</v>
      </c>
      <c r="B124" s="73" t="s">
        <v>358</v>
      </c>
      <c r="C124" s="74">
        <v>0.0</v>
      </c>
    </row>
    <row r="125">
      <c r="A125" s="77" t="s">
        <v>328</v>
      </c>
      <c r="B125" s="77" t="s">
        <v>329</v>
      </c>
      <c r="C125" s="78">
        <v>1500.0</v>
      </c>
    </row>
    <row r="126">
      <c r="A126" s="89" t="s">
        <v>1779</v>
      </c>
      <c r="C126" s="89">
        <v>114327.0</v>
      </c>
    </row>
    <row r="127">
      <c r="A127" s="70" t="s">
        <v>1640</v>
      </c>
    </row>
    <row r="128">
      <c r="A128" s="72" t="s">
        <v>4</v>
      </c>
      <c r="B128" s="72" t="s">
        <v>5</v>
      </c>
      <c r="C128" s="72" t="s">
        <v>1558</v>
      </c>
    </row>
    <row r="129">
      <c r="A129" s="73" t="s">
        <v>1638</v>
      </c>
      <c r="B129" s="73" t="s">
        <v>1639</v>
      </c>
      <c r="C129" s="74">
        <v>0.0</v>
      </c>
    </row>
    <row r="130">
      <c r="A130" s="77" t="s">
        <v>191</v>
      </c>
      <c r="B130" s="77" t="s">
        <v>192</v>
      </c>
      <c r="C130" s="78">
        <v>500.0</v>
      </c>
    </row>
    <row r="131">
      <c r="A131" s="73" t="s">
        <v>1649</v>
      </c>
      <c r="B131" s="73" t="s">
        <v>1650</v>
      </c>
      <c r="C131" s="74">
        <v>0.0</v>
      </c>
    </row>
    <row r="132">
      <c r="A132" s="73" t="s">
        <v>1782</v>
      </c>
      <c r="B132" s="73" t="s">
        <v>1783</v>
      </c>
      <c r="C132" s="85">
        <v>0.0</v>
      </c>
    </row>
    <row r="133">
      <c r="A133" s="73" t="s">
        <v>1588</v>
      </c>
      <c r="B133" s="73" t="s">
        <v>1784</v>
      </c>
      <c r="C133" s="85">
        <v>0.0</v>
      </c>
    </row>
    <row r="134">
      <c r="A134" s="77" t="s">
        <v>1031</v>
      </c>
      <c r="B134" s="77" t="s">
        <v>1032</v>
      </c>
      <c r="C134" s="86">
        <v>2100.0</v>
      </c>
    </row>
    <row r="135">
      <c r="A135" s="73" t="s">
        <v>1786</v>
      </c>
      <c r="B135" s="73" t="s">
        <v>1787</v>
      </c>
      <c r="C135" s="85">
        <v>0.0</v>
      </c>
    </row>
    <row r="136">
      <c r="A136" s="77" t="s">
        <v>1408</v>
      </c>
      <c r="B136" s="77" t="s">
        <v>1409</v>
      </c>
      <c r="C136" s="78">
        <v>500.0</v>
      </c>
    </row>
    <row r="137">
      <c r="A137" s="89" t="s">
        <v>1789</v>
      </c>
      <c r="C137" s="89">
        <v>3100.0</v>
      </c>
    </row>
    <row r="138">
      <c r="A138" s="70" t="s">
        <v>1642</v>
      </c>
    </row>
    <row r="139">
      <c r="A139" s="72" t="s">
        <v>4</v>
      </c>
      <c r="B139" s="72" t="s">
        <v>5</v>
      </c>
      <c r="C139" s="72" t="s">
        <v>1558</v>
      </c>
    </row>
    <row r="140">
      <c r="A140" s="75" t="s">
        <v>205</v>
      </c>
      <c r="B140" s="75" t="s">
        <v>206</v>
      </c>
      <c r="C140" s="76">
        <v>600.0</v>
      </c>
    </row>
    <row r="141">
      <c r="A141" s="73" t="s">
        <v>1614</v>
      </c>
      <c r="B141" s="73" t="s">
        <v>1792</v>
      </c>
      <c r="C141" s="74">
        <v>0.0</v>
      </c>
    </row>
    <row r="142">
      <c r="A142" s="73" t="s">
        <v>1793</v>
      </c>
      <c r="B142" s="73" t="s">
        <v>1794</v>
      </c>
      <c r="C142" s="74">
        <v>0.0</v>
      </c>
    </row>
    <row r="143">
      <c r="A143" s="2" t="s">
        <v>1795</v>
      </c>
      <c r="B143" s="2" t="s">
        <v>1796</v>
      </c>
      <c r="C143" s="91">
        <v>0.0</v>
      </c>
    </row>
    <row r="144">
      <c r="A144" s="92"/>
      <c r="B144" s="92"/>
      <c r="C144" s="92"/>
    </row>
    <row r="145">
      <c r="A145" s="92"/>
      <c r="B145" s="92"/>
      <c r="C145" s="92"/>
    </row>
    <row r="146">
      <c r="A146" s="92"/>
      <c r="B146" s="92"/>
      <c r="C146" s="92"/>
    </row>
    <row r="147">
      <c r="A147" s="92"/>
      <c r="B147" s="92"/>
      <c r="C147" s="92"/>
    </row>
    <row r="148">
      <c r="A148" s="92"/>
      <c r="B148" s="92"/>
      <c r="C148" s="92"/>
    </row>
    <row r="149">
      <c r="A149" s="92"/>
      <c r="B149" s="92"/>
    </row>
    <row r="150">
      <c r="A150" s="92"/>
      <c r="B150" s="92"/>
      <c r="C150" s="92"/>
    </row>
    <row r="151">
      <c r="A151" s="92"/>
      <c r="B151" s="92"/>
      <c r="C151" s="92"/>
    </row>
    <row r="152">
      <c r="A152" s="92"/>
      <c r="B152" s="92"/>
      <c r="C152" s="92"/>
    </row>
    <row r="153">
      <c r="A153" s="92"/>
      <c r="B153" s="92"/>
    </row>
    <row r="154">
      <c r="A154" s="92"/>
      <c r="B154" s="92"/>
    </row>
    <row r="155">
      <c r="A155" s="92"/>
      <c r="B155" s="92"/>
      <c r="C155" s="92"/>
    </row>
    <row r="156">
      <c r="A156" s="92"/>
      <c r="B156" s="92"/>
      <c r="C156" s="92"/>
    </row>
    <row r="157">
      <c r="A157" s="92"/>
      <c r="B157" s="92"/>
    </row>
    <row r="158">
      <c r="A158" s="92"/>
      <c r="B158" s="92"/>
      <c r="C158" s="92"/>
    </row>
    <row r="159">
      <c r="A159" s="92"/>
      <c r="B159" s="92"/>
      <c r="C159" s="92"/>
    </row>
    <row r="160">
      <c r="A160" s="92"/>
      <c r="B160" s="92"/>
      <c r="C160" s="92"/>
    </row>
    <row r="161">
      <c r="A161" s="92"/>
      <c r="B161" s="92"/>
      <c r="C161" s="92"/>
    </row>
    <row r="162">
      <c r="A162" s="92"/>
      <c r="B162" s="92"/>
      <c r="C162" s="92"/>
    </row>
    <row r="163">
      <c r="A163" s="92"/>
      <c r="B163" s="92"/>
      <c r="C163" s="92"/>
    </row>
    <row r="164">
      <c r="A164" s="92"/>
      <c r="B164" s="92"/>
      <c r="C164" s="92"/>
    </row>
    <row r="165">
      <c r="A165" s="92"/>
      <c r="B165" s="92"/>
    </row>
    <row r="166">
      <c r="A166" s="92"/>
      <c r="B166" s="92"/>
    </row>
    <row r="167">
      <c r="A167" s="92"/>
      <c r="B167" s="92"/>
    </row>
    <row r="168">
      <c r="A168" s="92"/>
      <c r="B168" s="92"/>
    </row>
    <row r="169">
      <c r="A169" s="92"/>
      <c r="B169" s="92"/>
    </row>
    <row r="170">
      <c r="A170" s="92"/>
      <c r="B170" s="92"/>
      <c r="C170" s="92"/>
    </row>
    <row r="171">
      <c r="A171" s="92"/>
      <c r="B171" s="92"/>
      <c r="C171" s="92"/>
    </row>
    <row r="172">
      <c r="A172" s="92"/>
      <c r="B172" s="92"/>
    </row>
    <row r="173">
      <c r="A173" s="92"/>
      <c r="B173" s="92"/>
      <c r="C173" s="92"/>
    </row>
    <row r="174">
      <c r="A174" s="92"/>
      <c r="B174" s="92"/>
      <c r="C174" s="92"/>
    </row>
    <row r="175">
      <c r="A175" s="92"/>
      <c r="B175" s="92"/>
    </row>
    <row r="176">
      <c r="A176" s="92"/>
      <c r="B176" s="92"/>
    </row>
    <row r="177">
      <c r="A177" s="92"/>
      <c r="B177" s="92"/>
    </row>
    <row r="178">
      <c r="A178" s="92"/>
      <c r="B178" s="92"/>
      <c r="C178" s="92"/>
    </row>
    <row r="179">
      <c r="A179" s="92"/>
      <c r="B179" s="92"/>
      <c r="C179" s="92"/>
    </row>
    <row r="180">
      <c r="A180" s="92"/>
      <c r="B180" s="92"/>
    </row>
    <row r="181">
      <c r="A181" s="92"/>
      <c r="B181" s="92"/>
    </row>
    <row r="182">
      <c r="A182" s="92"/>
      <c r="B182" s="92"/>
    </row>
    <row r="183">
      <c r="A183" s="92"/>
      <c r="B183" s="92"/>
      <c r="C183" s="92"/>
    </row>
    <row r="184">
      <c r="A184" s="92"/>
      <c r="B184" s="92"/>
      <c r="C184" s="92"/>
    </row>
    <row r="185">
      <c r="A185" s="92"/>
      <c r="B185" s="92"/>
      <c r="C185" s="92"/>
    </row>
    <row r="186">
      <c r="A186" s="92"/>
      <c r="B186" s="92"/>
    </row>
    <row r="187">
      <c r="A187" s="92"/>
      <c r="B187" s="92"/>
    </row>
    <row r="188">
      <c r="A188" s="92"/>
      <c r="B188" s="92"/>
    </row>
    <row r="189">
      <c r="A189" s="92"/>
      <c r="B189" s="92"/>
    </row>
    <row r="190">
      <c r="A190" s="92"/>
      <c r="B190" s="92"/>
    </row>
    <row r="191">
      <c r="A191" s="92"/>
      <c r="B191" s="92"/>
      <c r="C191" s="92"/>
    </row>
    <row r="192">
      <c r="A192" s="92"/>
      <c r="B192" s="92"/>
      <c r="C192" s="92"/>
    </row>
    <row r="193">
      <c r="A193" s="92"/>
      <c r="B193" s="92"/>
    </row>
    <row r="194">
      <c r="A194" s="92"/>
      <c r="B194" s="92"/>
    </row>
    <row r="195">
      <c r="A195" s="92"/>
      <c r="B195" s="92"/>
    </row>
    <row r="196">
      <c r="A196" s="92"/>
      <c r="B196" s="92"/>
      <c r="C196" s="92"/>
    </row>
    <row r="197">
      <c r="A197" s="92"/>
      <c r="B197" s="92"/>
      <c r="C197" s="92"/>
    </row>
    <row r="198">
      <c r="A198" s="92"/>
      <c r="B198" s="92"/>
    </row>
    <row r="199">
      <c r="A199" s="92"/>
      <c r="B199" s="92"/>
      <c r="C199" s="92"/>
    </row>
    <row r="200">
      <c r="A200" s="92"/>
      <c r="B200" s="92"/>
      <c r="C200" s="92"/>
    </row>
    <row r="201">
      <c r="A201" s="92"/>
      <c r="B201" s="92"/>
    </row>
    <row r="202">
      <c r="A202" s="92"/>
      <c r="B202" s="92"/>
    </row>
    <row r="203">
      <c r="A203" s="92"/>
      <c r="B203" s="92"/>
    </row>
    <row r="204">
      <c r="A204" s="92"/>
      <c r="B204" s="92"/>
      <c r="C204" s="92"/>
    </row>
    <row r="205">
      <c r="A205" s="92"/>
      <c r="B205" s="92"/>
      <c r="C205" s="92"/>
    </row>
    <row r="206">
      <c r="A206" s="92"/>
      <c r="B206" s="92"/>
      <c r="C206" s="92"/>
    </row>
    <row r="207">
      <c r="A207" s="92"/>
      <c r="B207" s="92"/>
    </row>
    <row r="208">
      <c r="A208" s="92"/>
      <c r="B208" s="92"/>
    </row>
    <row r="209">
      <c r="A209" s="92"/>
      <c r="B209" s="92"/>
    </row>
    <row r="210">
      <c r="A210" s="92"/>
      <c r="B210" s="92"/>
    </row>
    <row r="211">
      <c r="A211" s="92"/>
      <c r="B211" s="92"/>
    </row>
    <row r="212">
      <c r="A212" s="92"/>
      <c r="B212" s="92"/>
    </row>
    <row r="213">
      <c r="A213" s="92"/>
      <c r="B213" s="92"/>
      <c r="C213" s="92"/>
    </row>
    <row r="214">
      <c r="A214" s="92"/>
      <c r="B214" s="92"/>
      <c r="C214" s="92"/>
    </row>
    <row r="215">
      <c r="A215" s="92"/>
      <c r="B215" s="92"/>
      <c r="C215" s="92"/>
    </row>
    <row r="216">
      <c r="A216" s="92"/>
      <c r="B216" s="92"/>
      <c r="C216" s="92"/>
    </row>
    <row r="217">
      <c r="A217" s="92"/>
      <c r="B217" s="92"/>
      <c r="C217" s="92"/>
    </row>
    <row r="218">
      <c r="A218" s="92"/>
      <c r="B218" s="92"/>
      <c r="C218" s="92"/>
    </row>
    <row r="219">
      <c r="A219" s="92"/>
      <c r="B219" s="92"/>
      <c r="C219" s="92"/>
    </row>
    <row r="220">
      <c r="A220" s="92"/>
      <c r="B220" s="92"/>
      <c r="C220" s="92"/>
    </row>
    <row r="221">
      <c r="A221" s="92"/>
      <c r="B221" s="92"/>
    </row>
    <row r="222">
      <c r="A222" s="92"/>
      <c r="B222" s="92"/>
    </row>
    <row r="223">
      <c r="A223" s="92"/>
      <c r="B223" s="92"/>
      <c r="C223" s="92"/>
    </row>
    <row r="224">
      <c r="A224" s="92"/>
      <c r="B224" s="92"/>
      <c r="C224" s="92"/>
    </row>
    <row r="225">
      <c r="A225" s="92"/>
      <c r="B225" s="92"/>
      <c r="C225" s="92"/>
    </row>
    <row r="226">
      <c r="A226" s="92"/>
      <c r="B226" s="92"/>
    </row>
    <row r="227">
      <c r="A227" s="92"/>
      <c r="B227" s="92"/>
      <c r="C227" s="92"/>
    </row>
    <row r="228">
      <c r="A228" s="92"/>
      <c r="B228" s="92"/>
      <c r="C228" s="92"/>
    </row>
    <row r="229">
      <c r="A229" s="92"/>
      <c r="B229" s="92"/>
      <c r="C229" s="92"/>
    </row>
    <row r="230">
      <c r="A230" s="92"/>
      <c r="B230" s="92"/>
    </row>
    <row r="231">
      <c r="A231" s="92"/>
      <c r="B231" s="92"/>
    </row>
    <row r="232">
      <c r="A232" s="92"/>
      <c r="B232" s="92"/>
    </row>
    <row r="233">
      <c r="A233" s="92"/>
      <c r="B233" s="92"/>
    </row>
    <row r="234">
      <c r="A234" s="92"/>
      <c r="B234" s="92"/>
      <c r="C234" s="92"/>
    </row>
    <row r="235">
      <c r="A235" s="92"/>
      <c r="B235" s="92"/>
      <c r="C235" s="92"/>
    </row>
    <row r="236">
      <c r="A236" s="92"/>
      <c r="B236" s="92"/>
      <c r="C236" s="92"/>
    </row>
    <row r="237">
      <c r="A237" s="92"/>
      <c r="B237" s="92"/>
      <c r="C237" s="92"/>
    </row>
    <row r="238">
      <c r="A238" s="92"/>
      <c r="B238" s="92"/>
      <c r="C238" s="92"/>
    </row>
    <row r="239">
      <c r="A239" s="92"/>
      <c r="B239" s="92"/>
      <c r="C239" s="92"/>
    </row>
    <row r="240">
      <c r="A240" s="92"/>
      <c r="B240" s="92"/>
    </row>
    <row r="241">
      <c r="A241" s="92"/>
      <c r="B241" s="92"/>
    </row>
    <row r="242">
      <c r="A242" s="92"/>
      <c r="B242" s="92"/>
    </row>
    <row r="243">
      <c r="A243" s="92"/>
      <c r="B243" s="92"/>
    </row>
    <row r="244">
      <c r="A244" s="92"/>
      <c r="B244" s="92"/>
    </row>
    <row r="245">
      <c r="A245" s="92"/>
      <c r="B245" s="92"/>
    </row>
    <row r="246">
      <c r="A246" s="92"/>
      <c r="B246" s="92"/>
      <c r="C246" s="92"/>
    </row>
    <row r="247">
      <c r="A247" s="92"/>
      <c r="B247" s="92"/>
      <c r="C247" s="92"/>
    </row>
    <row r="248">
      <c r="A248" s="92"/>
      <c r="B248" s="92"/>
      <c r="C248" s="92"/>
    </row>
    <row r="249">
      <c r="A249" s="92"/>
      <c r="B249" s="92"/>
    </row>
    <row r="250">
      <c r="A250" s="92"/>
      <c r="B250" s="92"/>
      <c r="C250" s="92"/>
    </row>
    <row r="251">
      <c r="A251" s="92"/>
      <c r="B251" s="92"/>
      <c r="C251" s="92"/>
    </row>
    <row r="252">
      <c r="A252" s="92"/>
      <c r="B252" s="92"/>
      <c r="C252" s="92"/>
    </row>
    <row r="253">
      <c r="A253" s="92"/>
      <c r="B253" s="92"/>
      <c r="C253" s="92"/>
    </row>
    <row r="254">
      <c r="A254" s="92"/>
      <c r="B254" s="92"/>
    </row>
    <row r="255">
      <c r="A255" s="92"/>
      <c r="B255" s="92"/>
      <c r="C255" s="92"/>
    </row>
    <row r="256">
      <c r="A256" s="92"/>
      <c r="B256" s="92"/>
      <c r="C256" s="92"/>
    </row>
    <row r="257">
      <c r="A257" s="92"/>
      <c r="B257" s="92"/>
    </row>
    <row r="258">
      <c r="A258" s="92"/>
      <c r="B258" s="92"/>
    </row>
    <row r="259">
      <c r="A259" s="92"/>
      <c r="B259" s="92"/>
      <c r="C259" s="92"/>
    </row>
    <row r="260">
      <c r="A260" s="92"/>
      <c r="B260" s="92"/>
      <c r="C260" s="92"/>
    </row>
    <row r="261">
      <c r="A261" s="92"/>
      <c r="B261" s="92"/>
    </row>
    <row r="262">
      <c r="A262" s="92"/>
      <c r="B262" s="92"/>
    </row>
    <row r="263">
      <c r="A263" s="92"/>
      <c r="B263" s="92"/>
      <c r="C263" s="92"/>
    </row>
    <row r="264">
      <c r="A264" s="92"/>
      <c r="B264" s="92"/>
      <c r="C264" s="92"/>
    </row>
    <row r="265">
      <c r="A265" s="92"/>
      <c r="B265" s="92"/>
      <c r="C265" s="92"/>
    </row>
    <row r="266">
      <c r="A266" s="92"/>
      <c r="B266" s="92"/>
    </row>
    <row r="267">
      <c r="A267" s="92"/>
      <c r="B267" s="92"/>
      <c r="C267" s="92"/>
    </row>
    <row r="268">
      <c r="A268" s="92"/>
      <c r="B268" s="92"/>
      <c r="C268" s="92"/>
    </row>
    <row r="269">
      <c r="A269" s="92"/>
      <c r="B269" s="92"/>
      <c r="C269" s="92"/>
    </row>
    <row r="270">
      <c r="A270" s="92"/>
      <c r="B270" s="92"/>
      <c r="C270" s="92"/>
    </row>
    <row r="271">
      <c r="A271" s="92"/>
      <c r="B271" s="92"/>
    </row>
    <row r="272">
      <c r="A272" s="92"/>
      <c r="B272" s="92"/>
      <c r="C272" s="92"/>
    </row>
    <row r="273">
      <c r="A273" s="92"/>
      <c r="B273" s="92"/>
      <c r="C273" s="92"/>
    </row>
    <row r="274">
      <c r="A274" s="92"/>
      <c r="B274" s="92"/>
      <c r="C274" s="92"/>
    </row>
    <row r="275">
      <c r="A275" s="92"/>
      <c r="B275" s="92"/>
      <c r="C275" s="92"/>
    </row>
    <row r="276">
      <c r="A276" s="92"/>
      <c r="B276" s="92"/>
      <c r="C276" s="92"/>
    </row>
    <row r="277">
      <c r="A277" s="92"/>
      <c r="B277" s="92"/>
      <c r="C277" s="92"/>
    </row>
    <row r="278">
      <c r="A278" s="92"/>
      <c r="B278" s="92"/>
      <c r="C278" s="92"/>
    </row>
    <row r="279">
      <c r="A279" s="92"/>
      <c r="B279" s="92"/>
      <c r="C279" s="92"/>
    </row>
    <row r="280">
      <c r="A280" s="92"/>
      <c r="B280" s="92"/>
      <c r="C280" s="92"/>
    </row>
    <row r="281">
      <c r="A281" s="92"/>
      <c r="B281" s="92"/>
      <c r="C281" s="92"/>
    </row>
    <row r="282">
      <c r="A282" s="92"/>
      <c r="B282" s="92"/>
      <c r="C282" s="92"/>
    </row>
    <row r="283">
      <c r="A283" s="92"/>
      <c r="B283" s="92"/>
    </row>
    <row r="284">
      <c r="A284" s="92"/>
      <c r="B284" s="92"/>
    </row>
    <row r="285">
      <c r="A285" s="92"/>
      <c r="B285" s="92"/>
    </row>
    <row r="286">
      <c r="A286" s="92"/>
      <c r="B286" s="92"/>
      <c r="C286" s="92"/>
    </row>
    <row r="287">
      <c r="A287" s="92"/>
      <c r="B287" s="92"/>
      <c r="C287" s="92"/>
    </row>
    <row r="288">
      <c r="A288" s="92"/>
      <c r="B288" s="92"/>
      <c r="C288" s="92"/>
    </row>
    <row r="289">
      <c r="A289" s="92"/>
      <c r="B289" s="92"/>
    </row>
    <row r="290">
      <c r="A290" s="92"/>
      <c r="B290" s="92"/>
    </row>
    <row r="291">
      <c r="A291" s="92"/>
      <c r="B291" s="92"/>
    </row>
    <row r="292">
      <c r="A292" s="92"/>
      <c r="B292" s="92"/>
      <c r="C292" s="92"/>
    </row>
    <row r="293">
      <c r="A293" s="92"/>
      <c r="B293" s="92"/>
      <c r="C293" s="92"/>
    </row>
    <row r="294">
      <c r="A294" s="92"/>
      <c r="B294" s="92"/>
    </row>
    <row r="295">
      <c r="A295" s="92"/>
      <c r="B295" s="92"/>
      <c r="C295" s="92"/>
    </row>
    <row r="296">
      <c r="A296" s="92"/>
      <c r="B296" s="92"/>
      <c r="C296" s="92"/>
    </row>
    <row r="297">
      <c r="A297" s="92"/>
      <c r="B297" s="92"/>
      <c r="C297" s="92"/>
    </row>
    <row r="298">
      <c r="A298" s="92"/>
      <c r="B298" s="92"/>
      <c r="C298" s="92"/>
    </row>
    <row r="299">
      <c r="A299" s="92"/>
      <c r="B299" s="92"/>
      <c r="C299" s="92"/>
    </row>
    <row r="300">
      <c r="A300" s="92"/>
      <c r="B300" s="92"/>
      <c r="C300" s="92"/>
    </row>
    <row r="301">
      <c r="A301" s="92"/>
      <c r="B301" s="92"/>
      <c r="C301" s="92"/>
    </row>
    <row r="302">
      <c r="A302" s="92"/>
      <c r="B302" s="92"/>
      <c r="C302" s="92"/>
    </row>
    <row r="303">
      <c r="A303" s="92"/>
      <c r="B303" s="92"/>
      <c r="C303" s="92"/>
    </row>
    <row r="304">
      <c r="A304" s="92"/>
      <c r="B304" s="92"/>
      <c r="C304" s="92"/>
    </row>
    <row r="305">
      <c r="A305" s="92"/>
      <c r="B305" s="92"/>
      <c r="C305" s="92"/>
    </row>
    <row r="306">
      <c r="A306" s="92"/>
      <c r="B306" s="92"/>
      <c r="C306" s="92"/>
    </row>
    <row r="307">
      <c r="A307" s="92"/>
      <c r="B307" s="92"/>
      <c r="C307" s="92"/>
    </row>
    <row r="308">
      <c r="A308" s="92"/>
      <c r="B308" s="92"/>
      <c r="C308" s="92"/>
    </row>
    <row r="309">
      <c r="A309" s="92"/>
      <c r="B309" s="92"/>
      <c r="C309" s="92"/>
    </row>
    <row r="310">
      <c r="A310" s="92"/>
      <c r="B310" s="92"/>
      <c r="C310" s="92"/>
    </row>
    <row r="311">
      <c r="A311" s="92"/>
      <c r="B311" s="92"/>
      <c r="C311" s="92"/>
    </row>
    <row r="312">
      <c r="A312" s="92"/>
      <c r="B312" s="92"/>
      <c r="C312" s="92"/>
    </row>
    <row r="313">
      <c r="A313" s="92"/>
      <c r="B313" s="92"/>
      <c r="C313" s="92"/>
    </row>
    <row r="314">
      <c r="A314" s="92"/>
      <c r="B314" s="92"/>
      <c r="C314" s="92"/>
    </row>
    <row r="315">
      <c r="A315" s="92"/>
      <c r="B315" s="92"/>
      <c r="C315" s="92"/>
    </row>
    <row r="316">
      <c r="A316" s="92"/>
      <c r="B316" s="92"/>
      <c r="C316" s="92"/>
    </row>
    <row r="317">
      <c r="A317" s="92"/>
      <c r="B317" s="92"/>
      <c r="C317" s="92"/>
    </row>
    <row r="318">
      <c r="A318" s="92"/>
      <c r="B318" s="92"/>
      <c r="C318" s="92"/>
    </row>
    <row r="319">
      <c r="A319" s="92"/>
      <c r="B319" s="92"/>
      <c r="C319" s="92"/>
    </row>
    <row r="320">
      <c r="A320" s="92"/>
      <c r="B320" s="92"/>
      <c r="C320" s="92"/>
    </row>
    <row r="321">
      <c r="A321" s="92"/>
      <c r="B321" s="92"/>
      <c r="C321" s="92"/>
    </row>
    <row r="322">
      <c r="A322" s="92"/>
      <c r="B322" s="92"/>
      <c r="C322" s="92"/>
    </row>
    <row r="323">
      <c r="A323" s="92"/>
      <c r="B323" s="92"/>
      <c r="C323" s="92"/>
    </row>
    <row r="324">
      <c r="A324" s="92"/>
      <c r="B324" s="92"/>
      <c r="C324" s="92"/>
    </row>
    <row r="325">
      <c r="A325" s="92"/>
      <c r="B325" s="92"/>
      <c r="C325" s="92"/>
    </row>
    <row r="326">
      <c r="A326" s="92"/>
      <c r="B326" s="92"/>
      <c r="C326" s="92"/>
    </row>
    <row r="327">
      <c r="A327" s="92"/>
      <c r="B327" s="92"/>
      <c r="C327" s="92"/>
    </row>
    <row r="328">
      <c r="A328" s="92"/>
      <c r="B328" s="92"/>
      <c r="C328" s="92"/>
    </row>
    <row r="329">
      <c r="A329" s="92"/>
      <c r="B329" s="92"/>
      <c r="C329" s="92"/>
    </row>
    <row r="330">
      <c r="A330" s="92"/>
      <c r="B330" s="92"/>
      <c r="C330" s="92"/>
    </row>
    <row r="331">
      <c r="A331" s="92"/>
      <c r="B331" s="92"/>
      <c r="C331" s="92"/>
    </row>
    <row r="332">
      <c r="A332" s="92"/>
      <c r="B332" s="92"/>
      <c r="C332" s="92"/>
    </row>
    <row r="333">
      <c r="A333" s="92"/>
      <c r="B333" s="92"/>
      <c r="C333" s="92"/>
    </row>
    <row r="334">
      <c r="A334" s="92"/>
      <c r="B334" s="92"/>
      <c r="C334" s="92"/>
    </row>
    <row r="335">
      <c r="A335" s="92"/>
      <c r="B335" s="92"/>
      <c r="C335" s="92"/>
    </row>
    <row r="336">
      <c r="A336" s="92"/>
      <c r="B336" s="92"/>
      <c r="C336" s="92"/>
    </row>
    <row r="337">
      <c r="A337" s="92"/>
      <c r="B337" s="92"/>
      <c r="C337" s="92"/>
    </row>
    <row r="338">
      <c r="A338" s="92"/>
      <c r="B338" s="92"/>
      <c r="C338" s="92"/>
    </row>
    <row r="339">
      <c r="A339" s="92"/>
      <c r="B339" s="92"/>
      <c r="C339" s="92"/>
    </row>
    <row r="340">
      <c r="A340" s="92"/>
      <c r="B340" s="92"/>
      <c r="C340" s="92"/>
    </row>
    <row r="341">
      <c r="A341" s="92"/>
      <c r="B341" s="92"/>
      <c r="C341" s="92"/>
    </row>
    <row r="342">
      <c r="A342" s="92"/>
      <c r="B342" s="92"/>
      <c r="C342" s="92"/>
    </row>
    <row r="343">
      <c r="A343" s="92"/>
      <c r="B343" s="92"/>
      <c r="C343" s="92"/>
    </row>
    <row r="344">
      <c r="A344" s="92"/>
      <c r="B344" s="92"/>
      <c r="C344" s="92"/>
    </row>
    <row r="345">
      <c r="A345" s="92"/>
      <c r="B345" s="92"/>
      <c r="C345" s="92"/>
    </row>
    <row r="346">
      <c r="A346" s="92"/>
      <c r="B346" s="92"/>
      <c r="C346" s="92"/>
    </row>
    <row r="347">
      <c r="A347" s="92"/>
      <c r="B347" s="92"/>
      <c r="C347" s="92"/>
    </row>
    <row r="348">
      <c r="A348" s="92"/>
      <c r="B348" s="92"/>
      <c r="C348" s="92"/>
    </row>
    <row r="349">
      <c r="A349" s="92"/>
      <c r="B349" s="92"/>
      <c r="C349" s="92"/>
    </row>
    <row r="350">
      <c r="A350" s="92"/>
      <c r="B350" s="92"/>
      <c r="C350" s="92"/>
    </row>
    <row r="351">
      <c r="A351" s="92"/>
      <c r="B351" s="92"/>
      <c r="C351" s="92"/>
    </row>
    <row r="352">
      <c r="A352" s="92"/>
      <c r="B352" s="92"/>
      <c r="C352" s="92"/>
    </row>
    <row r="353">
      <c r="A353" s="92"/>
      <c r="B353" s="92"/>
      <c r="C353" s="92"/>
    </row>
    <row r="354">
      <c r="A354" s="92"/>
      <c r="B354" s="92"/>
      <c r="C354" s="92"/>
    </row>
    <row r="355">
      <c r="A355" s="92"/>
      <c r="B355" s="92"/>
      <c r="C355" s="92"/>
    </row>
    <row r="356">
      <c r="A356" s="92"/>
      <c r="B356" s="92"/>
      <c r="C356" s="92"/>
    </row>
    <row r="357">
      <c r="A357" s="92"/>
      <c r="B357" s="92"/>
      <c r="C357" s="92"/>
    </row>
    <row r="358">
      <c r="A358" s="92"/>
      <c r="B358" s="92"/>
      <c r="C358" s="92"/>
    </row>
    <row r="359">
      <c r="A359" s="92"/>
      <c r="B359" s="92"/>
      <c r="C359" s="92"/>
    </row>
    <row r="360">
      <c r="A360" s="92"/>
      <c r="B360" s="92"/>
      <c r="C360" s="92"/>
    </row>
    <row r="361">
      <c r="A361" s="92"/>
      <c r="B361" s="92"/>
      <c r="C361" s="92"/>
    </row>
    <row r="362">
      <c r="A362" s="92"/>
      <c r="B362" s="92"/>
      <c r="C362" s="92"/>
    </row>
    <row r="363">
      <c r="A363" s="92"/>
      <c r="B363" s="92"/>
      <c r="C363" s="92"/>
    </row>
    <row r="364">
      <c r="A364" s="92"/>
      <c r="B364" s="92"/>
      <c r="C364" s="92"/>
    </row>
    <row r="365">
      <c r="A365" s="92"/>
      <c r="B365" s="92"/>
    </row>
    <row r="366">
      <c r="A366" s="92"/>
      <c r="B366" s="92"/>
      <c r="C366" s="92"/>
    </row>
    <row r="367">
      <c r="A367" s="92"/>
      <c r="B367" s="92"/>
      <c r="C367" s="92"/>
    </row>
    <row r="368">
      <c r="A368" s="92"/>
      <c r="B368" s="92"/>
      <c r="C368" s="92"/>
    </row>
    <row r="369">
      <c r="A369" s="92"/>
      <c r="B369" s="92"/>
      <c r="C369" s="92"/>
    </row>
    <row r="370">
      <c r="A370" s="92"/>
      <c r="B370" s="92"/>
      <c r="C370" s="92"/>
    </row>
    <row r="371">
      <c r="A371" s="92"/>
      <c r="B371" s="92"/>
      <c r="C371" s="92"/>
    </row>
    <row r="372">
      <c r="A372" s="92"/>
      <c r="B372" s="92"/>
      <c r="C372" s="92"/>
    </row>
    <row r="373">
      <c r="A373" s="92"/>
      <c r="B373" s="92"/>
      <c r="C373" s="92"/>
    </row>
    <row r="374">
      <c r="A374" s="92"/>
      <c r="B374" s="92"/>
      <c r="C374" s="92"/>
    </row>
    <row r="375">
      <c r="A375" s="92"/>
      <c r="B375" s="92"/>
      <c r="C375" s="92"/>
    </row>
    <row r="376">
      <c r="A376" s="92"/>
      <c r="B376" s="92"/>
      <c r="C376" s="92"/>
    </row>
    <row r="377">
      <c r="A377" s="92"/>
      <c r="B377" s="92"/>
      <c r="C377" s="92"/>
    </row>
    <row r="378">
      <c r="A378" s="92"/>
      <c r="B378" s="92"/>
      <c r="C378" s="92"/>
    </row>
    <row r="379">
      <c r="A379" s="92"/>
      <c r="B379" s="92"/>
      <c r="C379" s="92"/>
    </row>
    <row r="380">
      <c r="A380" s="92"/>
      <c r="B380" s="92"/>
    </row>
    <row r="381">
      <c r="A381" s="92"/>
      <c r="B381" s="92"/>
      <c r="C381" s="92"/>
    </row>
    <row r="382">
      <c r="A382" s="92"/>
      <c r="B382" s="92"/>
      <c r="C382" s="92"/>
    </row>
    <row r="383">
      <c r="A383" s="92"/>
      <c r="B383" s="92"/>
      <c r="C383" s="92"/>
    </row>
    <row r="384">
      <c r="A384" s="92"/>
      <c r="B384" s="92"/>
      <c r="C384" s="92"/>
    </row>
    <row r="385">
      <c r="A385" s="92"/>
      <c r="B385" s="92"/>
      <c r="C385" s="92"/>
    </row>
    <row r="386">
      <c r="A386" s="92"/>
      <c r="B386" s="92"/>
      <c r="C386" s="92"/>
    </row>
    <row r="387">
      <c r="A387" s="92"/>
      <c r="B387" s="92"/>
      <c r="C387" s="92"/>
    </row>
    <row r="388">
      <c r="A388" s="92"/>
      <c r="B388" s="92"/>
      <c r="C388" s="92"/>
    </row>
    <row r="389">
      <c r="A389" s="92"/>
      <c r="B389" s="92"/>
      <c r="C389" s="92"/>
    </row>
    <row r="390">
      <c r="A390" s="92"/>
      <c r="B390" s="92"/>
      <c r="C390" s="92"/>
    </row>
    <row r="391">
      <c r="A391" s="92"/>
      <c r="B391" s="92"/>
      <c r="C391" s="92"/>
    </row>
    <row r="392">
      <c r="A392" s="92"/>
      <c r="B392" s="92"/>
      <c r="C392" s="92"/>
    </row>
    <row r="393">
      <c r="A393" s="92"/>
      <c r="B393" s="92"/>
      <c r="C393" s="92"/>
    </row>
    <row r="394">
      <c r="A394" s="92"/>
      <c r="B394" s="92"/>
      <c r="C394" s="92"/>
    </row>
    <row r="395">
      <c r="A395" s="92"/>
      <c r="B395" s="92"/>
      <c r="C395" s="92"/>
    </row>
    <row r="396">
      <c r="A396" s="92"/>
      <c r="B396" s="92"/>
    </row>
    <row r="397">
      <c r="A397" s="92"/>
      <c r="B397" s="92"/>
    </row>
    <row r="398">
      <c r="A398" s="92"/>
      <c r="B398" s="92"/>
      <c r="C398" s="92"/>
    </row>
    <row r="399">
      <c r="A399" s="92"/>
      <c r="B399" s="92"/>
      <c r="C399" s="92"/>
    </row>
    <row r="400">
      <c r="A400" s="92"/>
      <c r="B400" s="92"/>
      <c r="C400" s="92"/>
    </row>
    <row r="401">
      <c r="A401" s="92"/>
      <c r="B401" s="92"/>
      <c r="C401" s="92"/>
    </row>
    <row r="402">
      <c r="A402" s="92"/>
      <c r="B402" s="92"/>
      <c r="C402" s="92"/>
    </row>
    <row r="403">
      <c r="A403" s="92"/>
      <c r="B403" s="92"/>
      <c r="C403" s="92"/>
    </row>
    <row r="404">
      <c r="A404" s="92"/>
      <c r="B404" s="92"/>
      <c r="C404" s="92"/>
    </row>
    <row r="405">
      <c r="A405" s="92"/>
      <c r="B405" s="92"/>
      <c r="C405" s="92"/>
    </row>
    <row r="406">
      <c r="A406" s="92"/>
      <c r="B406" s="92"/>
      <c r="C406" s="92"/>
    </row>
    <row r="407">
      <c r="A407" s="92"/>
      <c r="B407" s="92"/>
      <c r="C407" s="92"/>
    </row>
    <row r="408">
      <c r="A408" s="92"/>
      <c r="B408" s="92"/>
    </row>
    <row r="409">
      <c r="A409" s="92"/>
      <c r="B409" s="92"/>
    </row>
    <row r="410">
      <c r="A410" s="92"/>
      <c r="B410" s="92"/>
    </row>
    <row r="411">
      <c r="A411" s="92"/>
      <c r="B411" s="92"/>
    </row>
    <row r="412">
      <c r="A412" s="92"/>
      <c r="B412" s="92"/>
      <c r="C412" s="92"/>
    </row>
    <row r="413">
      <c r="A413" s="92"/>
      <c r="B413" s="92"/>
      <c r="C413" s="92"/>
    </row>
    <row r="414">
      <c r="A414" s="92"/>
      <c r="B414" s="92"/>
    </row>
    <row r="415">
      <c r="A415" s="92"/>
      <c r="B415" s="92"/>
    </row>
    <row r="416">
      <c r="A416" s="92"/>
      <c r="B416" s="92"/>
      <c r="C416" s="92"/>
    </row>
    <row r="417">
      <c r="A417" s="92"/>
      <c r="B417" s="92"/>
      <c r="C417" s="92"/>
    </row>
    <row r="418">
      <c r="A418" s="92"/>
      <c r="B418" s="92"/>
      <c r="C418" s="92"/>
    </row>
    <row r="419">
      <c r="A419" s="92"/>
      <c r="B419" s="92"/>
      <c r="C419" s="92"/>
    </row>
    <row r="420">
      <c r="A420" s="92"/>
      <c r="B420" s="92"/>
      <c r="C420" s="92"/>
    </row>
    <row r="421">
      <c r="A421" s="92"/>
      <c r="B421" s="92"/>
      <c r="C421" s="92"/>
    </row>
    <row r="422">
      <c r="A422" s="92"/>
      <c r="B422" s="92"/>
    </row>
    <row r="423">
      <c r="A423" s="92"/>
      <c r="B423" s="92"/>
      <c r="C423" s="92"/>
    </row>
    <row r="424">
      <c r="A424" s="92"/>
      <c r="B424" s="92"/>
      <c r="C424" s="92"/>
    </row>
    <row r="425">
      <c r="A425" s="92"/>
      <c r="B425" s="92"/>
    </row>
    <row r="426">
      <c r="A426" s="92"/>
      <c r="B426" s="92"/>
    </row>
    <row r="427">
      <c r="A427" s="92"/>
      <c r="B427" s="92"/>
      <c r="C427" s="92"/>
    </row>
    <row r="428">
      <c r="A428" s="92"/>
      <c r="B428" s="92"/>
      <c r="C428" s="92"/>
    </row>
    <row r="429">
      <c r="A429" s="92"/>
      <c r="B429" s="92"/>
    </row>
    <row r="430">
      <c r="A430" s="92"/>
      <c r="B430" s="92"/>
    </row>
    <row r="431">
      <c r="A431" s="92"/>
      <c r="B431" s="92"/>
    </row>
    <row r="432">
      <c r="A432" s="92"/>
      <c r="B432" s="92"/>
    </row>
    <row r="433">
      <c r="A433" s="92"/>
      <c r="B433" s="92"/>
      <c r="C433" s="92"/>
    </row>
    <row r="434">
      <c r="A434" s="92"/>
      <c r="B434" s="92"/>
      <c r="C434" s="92"/>
    </row>
    <row r="435">
      <c r="A435" s="92"/>
      <c r="B435" s="92"/>
      <c r="C435" s="92"/>
    </row>
    <row r="436">
      <c r="A436" s="92"/>
      <c r="B436" s="92"/>
    </row>
    <row r="437">
      <c r="A437" s="92"/>
      <c r="B437" s="92"/>
    </row>
    <row r="438">
      <c r="A438" s="92"/>
      <c r="B438" s="92"/>
      <c r="C438" s="92"/>
    </row>
    <row r="439">
      <c r="A439" s="92"/>
      <c r="B439" s="92"/>
      <c r="C439" s="92"/>
    </row>
    <row r="440">
      <c r="A440" s="92"/>
      <c r="B440" s="92"/>
      <c r="C440" s="92"/>
    </row>
    <row r="441">
      <c r="A441" s="92"/>
      <c r="B441" s="92"/>
    </row>
    <row r="442">
      <c r="A442" s="92"/>
      <c r="B442" s="92"/>
    </row>
    <row r="443">
      <c r="A443" s="92"/>
      <c r="B443" s="92"/>
    </row>
    <row r="444">
      <c r="A444" s="92"/>
      <c r="B444" s="92"/>
    </row>
    <row r="445">
      <c r="A445" s="92"/>
      <c r="B445" s="92"/>
    </row>
    <row r="446">
      <c r="A446" s="92"/>
      <c r="B446" s="92"/>
    </row>
    <row r="447">
      <c r="A447" s="92"/>
      <c r="B447" s="92"/>
    </row>
    <row r="448">
      <c r="A448" s="92"/>
      <c r="B448" s="92"/>
      <c r="C448" s="92"/>
    </row>
    <row r="449">
      <c r="A449" s="92"/>
      <c r="B449" s="92"/>
      <c r="C449" s="92"/>
    </row>
    <row r="450">
      <c r="A450" s="92"/>
      <c r="B450" s="92"/>
    </row>
    <row r="451">
      <c r="A451" s="92"/>
      <c r="B451" s="92"/>
    </row>
    <row r="452">
      <c r="A452" s="92"/>
      <c r="B452" s="92"/>
    </row>
    <row r="453">
      <c r="A453" s="92"/>
      <c r="B453" s="92"/>
      <c r="C453" s="92"/>
    </row>
    <row r="454">
      <c r="A454" s="92"/>
      <c r="B454" s="92"/>
      <c r="C454" s="92"/>
    </row>
    <row r="455">
      <c r="A455" s="92"/>
      <c r="B455" s="92"/>
    </row>
    <row r="456">
      <c r="A456" s="92"/>
      <c r="B456" s="92"/>
    </row>
    <row r="457">
      <c r="A457" s="92"/>
      <c r="B457" s="92"/>
      <c r="C457" s="92"/>
    </row>
    <row r="458">
      <c r="A458" s="92"/>
      <c r="B458" s="92"/>
      <c r="C458" s="92"/>
    </row>
    <row r="459">
      <c r="A459" s="92"/>
      <c r="B459" s="92"/>
    </row>
    <row r="460">
      <c r="A460" s="92"/>
      <c r="B460" s="92"/>
    </row>
    <row r="461">
      <c r="A461" s="92"/>
      <c r="B461" s="92"/>
    </row>
    <row r="462">
      <c r="A462" s="92"/>
      <c r="B462" s="92"/>
    </row>
    <row r="463">
      <c r="A463" s="92"/>
      <c r="B463" s="92"/>
    </row>
    <row r="464">
      <c r="A464" s="92"/>
      <c r="B464" s="92"/>
    </row>
    <row r="465">
      <c r="A465" s="92"/>
      <c r="B465" s="92"/>
    </row>
    <row r="466">
      <c r="A466" s="92"/>
      <c r="B466" s="92"/>
    </row>
    <row r="467">
      <c r="A467" s="92"/>
      <c r="B467" s="92"/>
    </row>
    <row r="468">
      <c r="A468" s="92"/>
      <c r="B468" s="92"/>
    </row>
    <row r="470">
      <c r="A470" s="92"/>
      <c r="B470" s="92"/>
      <c r="C470" s="92"/>
    </row>
    <row r="471">
      <c r="A471" s="92"/>
      <c r="B471" s="92"/>
      <c r="C471" s="92"/>
    </row>
    <row r="472">
      <c r="A472" s="92"/>
      <c r="B472" s="92"/>
      <c r="C472" s="92"/>
    </row>
    <row r="473">
      <c r="A473" s="92"/>
      <c r="B473" s="92"/>
    </row>
    <row r="474">
      <c r="A474" s="92"/>
      <c r="B474" s="92"/>
    </row>
    <row r="475">
      <c r="A475" s="92"/>
      <c r="B475" s="92"/>
    </row>
    <row r="476">
      <c r="A476" s="92"/>
      <c r="B476" s="92"/>
    </row>
    <row r="477">
      <c r="A477" s="92"/>
      <c r="B477" s="92"/>
    </row>
  </sheetData>
  <mergeCells count="7">
    <mergeCell ref="A1:C1"/>
    <mergeCell ref="A3:C3"/>
    <mergeCell ref="A4:C4"/>
    <mergeCell ref="A126:B126"/>
    <mergeCell ref="A127:C127"/>
    <mergeCell ref="A137:B137"/>
    <mergeCell ref="A138:C138"/>
  </mergeCells>
  <printOptions gridLines="1" horizontalCentered="1"/>
  <pageMargins bottom="0.15997340701805415" footer="0.0" header="0.0" left="0.610807554068934" right="0.39993351754513545" top="0.23996011052708124"/>
  <pageSetup fitToHeight="0"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41.25"/>
    <col customWidth="1" min="3" max="3" width="13.5"/>
    <col customWidth="1" min="4" max="4" width="10.25"/>
    <col customWidth="1" min="5" max="5" width="15.25"/>
    <col customWidth="1" min="6" max="6" width="13.5"/>
    <col customWidth="1" min="7" max="7" width="19.88"/>
    <col customWidth="1" min="8" max="8" width="18.63"/>
    <col customWidth="1" min="9" max="9" width="12.75"/>
    <col customWidth="1" min="10" max="10" width="14.0"/>
    <col customWidth="1" min="11" max="11" width="9.13"/>
    <col customWidth="1" min="12" max="12" width="11.88"/>
  </cols>
  <sheetData>
    <row r="1">
      <c r="A1" s="97" t="s">
        <v>4</v>
      </c>
      <c r="B1" s="97" t="s">
        <v>5</v>
      </c>
      <c r="C1" s="97" t="s">
        <v>1558</v>
      </c>
      <c r="D1" s="97" t="s">
        <v>1851</v>
      </c>
      <c r="E1" s="97" t="s">
        <v>1852</v>
      </c>
      <c r="F1" s="97" t="s">
        <v>1853</v>
      </c>
      <c r="G1" s="98" t="s">
        <v>1854</v>
      </c>
      <c r="H1" s="97" t="s">
        <v>1856</v>
      </c>
      <c r="I1" s="97" t="s">
        <v>1857</v>
      </c>
      <c r="J1" s="99" t="s">
        <v>1859</v>
      </c>
      <c r="K1" s="99" t="s">
        <v>13</v>
      </c>
      <c r="L1" s="99" t="s">
        <v>1861</v>
      </c>
    </row>
    <row r="2">
      <c r="A2" s="33" t="s">
        <v>1559</v>
      </c>
      <c r="B2" s="33" t="s">
        <v>1672</v>
      </c>
      <c r="C2" s="100">
        <v>0.0</v>
      </c>
      <c r="D2" s="100">
        <v>0.0</v>
      </c>
      <c r="E2" s="33" t="s">
        <v>1863</v>
      </c>
      <c r="F2" s="101" t="s">
        <v>1863</v>
      </c>
      <c r="G2" s="55" t="s">
        <v>1863</v>
      </c>
      <c r="H2" s="33" t="s">
        <v>1863</v>
      </c>
      <c r="I2" s="33" t="s">
        <v>1866</v>
      </c>
      <c r="J2" s="34"/>
      <c r="K2" s="34"/>
      <c r="L2" s="34"/>
    </row>
    <row r="3">
      <c r="A3" s="33" t="s">
        <v>1569</v>
      </c>
      <c r="B3" s="33" t="s">
        <v>1570</v>
      </c>
      <c r="C3" s="100">
        <v>0.0</v>
      </c>
      <c r="D3" s="100">
        <v>0.0</v>
      </c>
      <c r="E3" s="33" t="s">
        <v>1863</v>
      </c>
      <c r="F3" s="101" t="s">
        <v>1863</v>
      </c>
      <c r="G3" s="55" t="s">
        <v>1863</v>
      </c>
      <c r="H3" s="33" t="s">
        <v>1863</v>
      </c>
      <c r="I3" s="33" t="s">
        <v>1866</v>
      </c>
      <c r="J3" s="34"/>
      <c r="K3" s="34"/>
      <c r="L3" s="34"/>
    </row>
    <row r="4">
      <c r="A4" s="33" t="s">
        <v>18</v>
      </c>
      <c r="B4" s="33" t="s">
        <v>20</v>
      </c>
      <c r="C4" s="100">
        <v>400.0</v>
      </c>
      <c r="D4" s="100">
        <v>0.0</v>
      </c>
      <c r="E4" s="33" t="s">
        <v>1863</v>
      </c>
      <c r="F4" s="101" t="s">
        <v>1863</v>
      </c>
      <c r="G4" s="55" t="s">
        <v>1863</v>
      </c>
      <c r="H4" s="33" t="s">
        <v>1863</v>
      </c>
      <c r="I4" s="33" t="s">
        <v>1866</v>
      </c>
      <c r="J4" s="34"/>
      <c r="K4" s="34"/>
      <c r="L4" s="34"/>
    </row>
    <row r="5">
      <c r="A5" s="33" t="s">
        <v>201</v>
      </c>
      <c r="B5" s="33" t="s">
        <v>202</v>
      </c>
      <c r="C5" s="100">
        <v>600.0</v>
      </c>
      <c r="D5" s="100">
        <v>0.0</v>
      </c>
      <c r="E5" s="33" t="s">
        <v>1863</v>
      </c>
      <c r="F5" s="101" t="s">
        <v>1863</v>
      </c>
      <c r="G5" s="55" t="s">
        <v>1863</v>
      </c>
      <c r="H5" s="33" t="s">
        <v>1863</v>
      </c>
      <c r="I5" s="33" t="s">
        <v>1866</v>
      </c>
      <c r="J5" s="34"/>
      <c r="K5" s="34"/>
      <c r="L5" s="34"/>
    </row>
    <row r="6">
      <c r="A6" s="33" t="s">
        <v>33</v>
      </c>
      <c r="B6" s="33" t="s">
        <v>35</v>
      </c>
      <c r="C6" s="100">
        <v>2600.0</v>
      </c>
      <c r="D6" s="100">
        <v>0.0</v>
      </c>
      <c r="E6" s="33" t="s">
        <v>1863</v>
      </c>
      <c r="F6" s="101" t="s">
        <v>1863</v>
      </c>
      <c r="G6" s="55" t="s">
        <v>1863</v>
      </c>
      <c r="H6" s="33" t="s">
        <v>1863</v>
      </c>
      <c r="I6" s="33" t="s">
        <v>1866</v>
      </c>
      <c r="J6" s="34"/>
      <c r="K6" s="34"/>
      <c r="L6" s="34"/>
    </row>
    <row r="7">
      <c r="A7" s="33" t="s">
        <v>1522</v>
      </c>
      <c r="B7" s="33" t="s">
        <v>1523</v>
      </c>
      <c r="C7" s="100">
        <v>800.0</v>
      </c>
      <c r="D7" s="100">
        <v>0.0</v>
      </c>
      <c r="E7" s="33" t="s">
        <v>1863</v>
      </c>
      <c r="F7" s="101" t="s">
        <v>1863</v>
      </c>
      <c r="G7" s="55" t="s">
        <v>1863</v>
      </c>
      <c r="H7" s="33" t="s">
        <v>1863</v>
      </c>
      <c r="I7" s="33" t="s">
        <v>1866</v>
      </c>
      <c r="J7" s="34"/>
      <c r="K7" s="34"/>
      <c r="L7" s="34"/>
    </row>
    <row r="8">
      <c r="A8" s="33" t="s">
        <v>41</v>
      </c>
      <c r="B8" s="33" t="s">
        <v>42</v>
      </c>
      <c r="C8" s="100">
        <v>200.0</v>
      </c>
      <c r="D8" s="100">
        <v>0.0</v>
      </c>
      <c r="E8" s="33" t="s">
        <v>1863</v>
      </c>
      <c r="F8" s="101" t="s">
        <v>1863</v>
      </c>
      <c r="G8" s="55" t="s">
        <v>1863</v>
      </c>
      <c r="H8" s="33" t="s">
        <v>1863</v>
      </c>
      <c r="I8" s="33" t="s">
        <v>1866</v>
      </c>
      <c r="J8" s="34"/>
      <c r="K8" s="34"/>
      <c r="L8" s="34"/>
    </row>
    <row r="9">
      <c r="A9" s="33" t="s">
        <v>1577</v>
      </c>
      <c r="B9" s="33" t="s">
        <v>1579</v>
      </c>
      <c r="C9" s="100">
        <v>0.0</v>
      </c>
      <c r="D9" s="100">
        <v>0.0</v>
      </c>
      <c r="E9" s="33" t="s">
        <v>1863</v>
      </c>
      <c r="F9" s="101" t="s">
        <v>1863</v>
      </c>
      <c r="G9" s="55" t="s">
        <v>1863</v>
      </c>
      <c r="H9" s="33" t="s">
        <v>1863</v>
      </c>
      <c r="I9" s="33" t="s">
        <v>1866</v>
      </c>
      <c r="J9" s="34"/>
      <c r="K9" s="34"/>
      <c r="L9" s="34"/>
    </row>
    <row r="10" hidden="1">
      <c r="A10" s="2" t="s">
        <v>48</v>
      </c>
      <c r="B10" s="2" t="s">
        <v>49</v>
      </c>
      <c r="C10" s="4">
        <v>30.0</v>
      </c>
      <c r="D10" s="4">
        <v>0.0</v>
      </c>
      <c r="E10" s="2" t="s">
        <v>1863</v>
      </c>
      <c r="F10" s="2" t="s">
        <v>1863</v>
      </c>
      <c r="G10" s="2" t="s">
        <v>1863</v>
      </c>
      <c r="H10" s="2" t="s">
        <v>1863</v>
      </c>
      <c r="I10" s="2" t="s">
        <v>1866</v>
      </c>
    </row>
    <row r="11" hidden="1">
      <c r="A11" s="2" t="s">
        <v>57</v>
      </c>
      <c r="B11" s="2" t="s">
        <v>58</v>
      </c>
      <c r="C11" s="4">
        <v>400.0</v>
      </c>
      <c r="D11" s="4">
        <v>0.0</v>
      </c>
      <c r="E11" s="2" t="s">
        <v>1863</v>
      </c>
      <c r="F11" s="2" t="s">
        <v>1863</v>
      </c>
      <c r="G11" s="2" t="s">
        <v>1863</v>
      </c>
      <c r="H11" s="2" t="s">
        <v>1863</v>
      </c>
      <c r="I11" s="2" t="s">
        <v>1866</v>
      </c>
    </row>
    <row r="12">
      <c r="A12" s="33" t="s">
        <v>573</v>
      </c>
      <c r="B12" s="33" t="s">
        <v>575</v>
      </c>
      <c r="C12" s="100">
        <v>0.0</v>
      </c>
      <c r="D12" s="100">
        <v>0.0</v>
      </c>
      <c r="E12" s="33" t="s">
        <v>1863</v>
      </c>
      <c r="F12" s="101" t="s">
        <v>1863</v>
      </c>
      <c r="G12" s="55" t="s">
        <v>1863</v>
      </c>
      <c r="H12" s="33" t="s">
        <v>1863</v>
      </c>
      <c r="I12" s="33" t="s">
        <v>1866</v>
      </c>
      <c r="J12" s="34"/>
      <c r="K12" s="34"/>
      <c r="L12" s="34"/>
    </row>
    <row r="13">
      <c r="A13" s="33" t="s">
        <v>65</v>
      </c>
      <c r="B13" s="33" t="s">
        <v>67</v>
      </c>
      <c r="C13" s="100">
        <v>1000.0</v>
      </c>
      <c r="D13" s="100">
        <v>0.0</v>
      </c>
      <c r="E13" s="33" t="s">
        <v>1863</v>
      </c>
      <c r="F13" s="101" t="s">
        <v>1863</v>
      </c>
      <c r="G13" s="55" t="s">
        <v>1863</v>
      </c>
      <c r="H13" s="33" t="s">
        <v>1863</v>
      </c>
      <c r="I13" s="33" t="s">
        <v>1866</v>
      </c>
      <c r="J13" s="34"/>
      <c r="K13" s="34"/>
      <c r="L13" s="34"/>
    </row>
    <row r="14">
      <c r="A14" s="33" t="s">
        <v>347</v>
      </c>
      <c r="B14" s="33" t="s">
        <v>349</v>
      </c>
      <c r="C14" s="100">
        <v>1800.0</v>
      </c>
      <c r="D14" s="100">
        <v>0.0</v>
      </c>
      <c r="E14" s="33" t="s">
        <v>1863</v>
      </c>
      <c r="F14" s="101" t="s">
        <v>1863</v>
      </c>
      <c r="G14" s="55" t="s">
        <v>1863</v>
      </c>
      <c r="H14" s="33" t="s">
        <v>1863</v>
      </c>
      <c r="I14" s="33" t="s">
        <v>1866</v>
      </c>
      <c r="J14" s="34"/>
      <c r="K14" s="34"/>
      <c r="L14" s="34"/>
    </row>
    <row r="15">
      <c r="A15" s="33" t="s">
        <v>1592</v>
      </c>
      <c r="B15" s="33" t="s">
        <v>1594</v>
      </c>
      <c r="C15" s="100">
        <v>0.0</v>
      </c>
      <c r="D15" s="100">
        <v>0.0</v>
      </c>
      <c r="E15" s="33" t="s">
        <v>1863</v>
      </c>
      <c r="F15" s="101" t="s">
        <v>1863</v>
      </c>
      <c r="G15" s="55" t="s">
        <v>1863</v>
      </c>
      <c r="H15" s="33" t="s">
        <v>1863</v>
      </c>
      <c r="I15" s="33" t="s">
        <v>1866</v>
      </c>
      <c r="J15" s="34"/>
      <c r="K15" s="34"/>
      <c r="L15" s="34"/>
    </row>
    <row r="16" hidden="1">
      <c r="A16" s="2" t="s">
        <v>74</v>
      </c>
      <c r="B16" s="2" t="s">
        <v>75</v>
      </c>
      <c r="C16" s="4">
        <v>0.0</v>
      </c>
      <c r="D16" s="4">
        <v>0.0</v>
      </c>
      <c r="E16" s="2" t="s">
        <v>1863</v>
      </c>
      <c r="F16" s="2" t="s">
        <v>1863</v>
      </c>
      <c r="G16" s="2" t="s">
        <v>1863</v>
      </c>
      <c r="H16" s="2" t="s">
        <v>1863</v>
      </c>
      <c r="I16" s="2" t="s">
        <v>1866</v>
      </c>
    </row>
    <row r="17" hidden="1">
      <c r="A17" s="2" t="s">
        <v>83</v>
      </c>
      <c r="B17" s="2" t="s">
        <v>84</v>
      </c>
      <c r="C17" s="4">
        <v>2000.0</v>
      </c>
      <c r="D17" s="4">
        <v>0.0</v>
      </c>
      <c r="E17" s="2" t="s">
        <v>1863</v>
      </c>
      <c r="F17" s="2" t="s">
        <v>1863</v>
      </c>
      <c r="G17" s="2" t="s">
        <v>1863</v>
      </c>
      <c r="H17" s="2" t="s">
        <v>1863</v>
      </c>
      <c r="I17" s="2" t="s">
        <v>1866</v>
      </c>
    </row>
    <row r="18">
      <c r="A18" s="33" t="s">
        <v>1601</v>
      </c>
      <c r="B18" s="33" t="s">
        <v>1602</v>
      </c>
      <c r="C18" s="100">
        <v>0.0</v>
      </c>
      <c r="D18" s="100">
        <v>0.0</v>
      </c>
      <c r="E18" s="33" t="s">
        <v>1863</v>
      </c>
      <c r="F18" s="101" t="s">
        <v>1863</v>
      </c>
      <c r="G18" s="55" t="s">
        <v>1863</v>
      </c>
      <c r="H18" s="33" t="s">
        <v>1863</v>
      </c>
      <c r="I18" s="33" t="s">
        <v>1866</v>
      </c>
      <c r="J18" s="34"/>
      <c r="K18" s="34"/>
      <c r="L18" s="34"/>
    </row>
    <row r="19" hidden="1">
      <c r="A19" s="2" t="s">
        <v>91</v>
      </c>
      <c r="B19" s="2" t="s">
        <v>92</v>
      </c>
      <c r="C19" s="4">
        <v>1400.0</v>
      </c>
      <c r="D19" s="4">
        <v>0.0</v>
      </c>
      <c r="E19" s="2" t="s">
        <v>1863</v>
      </c>
      <c r="F19" s="2" t="s">
        <v>1863</v>
      </c>
      <c r="G19" s="2" t="s">
        <v>1863</v>
      </c>
      <c r="H19" s="2" t="s">
        <v>1863</v>
      </c>
      <c r="I19" s="2" t="s">
        <v>1866</v>
      </c>
    </row>
    <row r="20" hidden="1">
      <c r="A20" s="2" t="s">
        <v>98</v>
      </c>
      <c r="B20" s="2" t="s">
        <v>99</v>
      </c>
      <c r="C20" s="4">
        <v>600.0</v>
      </c>
      <c r="D20" s="4">
        <v>0.0</v>
      </c>
      <c r="E20" s="2" t="s">
        <v>1863</v>
      </c>
      <c r="F20" s="2" t="s">
        <v>1863</v>
      </c>
      <c r="G20" s="2" t="s">
        <v>1863</v>
      </c>
      <c r="H20" s="2" t="s">
        <v>1863</v>
      </c>
      <c r="I20" s="2" t="s">
        <v>1866</v>
      </c>
    </row>
    <row r="21">
      <c r="A21" s="33" t="s">
        <v>104</v>
      </c>
      <c r="B21" s="33" t="s">
        <v>106</v>
      </c>
      <c r="C21" s="100">
        <v>1000.0</v>
      </c>
      <c r="D21" s="100">
        <v>0.0</v>
      </c>
      <c r="E21" s="33" t="s">
        <v>1863</v>
      </c>
      <c r="F21" s="101" t="s">
        <v>1863</v>
      </c>
      <c r="G21" s="55" t="s">
        <v>1863</v>
      </c>
      <c r="H21" s="33" t="s">
        <v>1863</v>
      </c>
      <c r="I21" s="33" t="s">
        <v>1866</v>
      </c>
      <c r="J21" s="34"/>
      <c r="K21" s="34"/>
      <c r="L21" s="34"/>
    </row>
    <row r="22" hidden="1">
      <c r="A22" s="2" t="s">
        <v>113</v>
      </c>
      <c r="B22" s="2" t="s">
        <v>115</v>
      </c>
      <c r="C22" s="4">
        <v>600.0</v>
      </c>
      <c r="D22" s="4">
        <v>0.0</v>
      </c>
      <c r="E22" s="2" t="s">
        <v>1863</v>
      </c>
      <c r="F22" s="2" t="s">
        <v>1863</v>
      </c>
      <c r="G22" s="2" t="s">
        <v>1863</v>
      </c>
      <c r="H22" s="2" t="s">
        <v>1863</v>
      </c>
      <c r="I22" s="2" t="s">
        <v>1866</v>
      </c>
    </row>
    <row r="23">
      <c r="A23" s="33" t="s">
        <v>1610</v>
      </c>
      <c r="B23" s="33" t="s">
        <v>1612</v>
      </c>
      <c r="C23" s="100">
        <v>0.0</v>
      </c>
      <c r="D23" s="100">
        <v>0.0</v>
      </c>
      <c r="E23" s="33" t="s">
        <v>1863</v>
      </c>
      <c r="F23" s="101" t="s">
        <v>1863</v>
      </c>
      <c r="G23" s="55" t="s">
        <v>1863</v>
      </c>
      <c r="H23" s="33" t="s">
        <v>1863</v>
      </c>
      <c r="I23" s="33" t="s">
        <v>1866</v>
      </c>
      <c r="J23" s="34"/>
      <c r="K23" s="34"/>
      <c r="L23" s="34"/>
    </row>
    <row r="24" hidden="1">
      <c r="A24" s="2" t="s">
        <v>120</v>
      </c>
      <c r="B24" s="2" t="s">
        <v>121</v>
      </c>
      <c r="C24" s="4">
        <v>200.0</v>
      </c>
      <c r="D24" s="4">
        <v>0.0</v>
      </c>
      <c r="E24" s="2" t="s">
        <v>1863</v>
      </c>
      <c r="F24" s="2" t="s">
        <v>1863</v>
      </c>
      <c r="G24" s="2" t="s">
        <v>1863</v>
      </c>
      <c r="H24" s="2" t="s">
        <v>1863</v>
      </c>
      <c r="I24" s="2" t="s">
        <v>1866</v>
      </c>
    </row>
    <row r="25" hidden="1">
      <c r="A25" s="2" t="s">
        <v>128</v>
      </c>
      <c r="B25" s="2" t="s">
        <v>130</v>
      </c>
      <c r="C25" s="4">
        <v>500.0</v>
      </c>
      <c r="D25" s="4">
        <v>0.0</v>
      </c>
      <c r="E25" s="2" t="s">
        <v>1863</v>
      </c>
      <c r="F25" s="2" t="s">
        <v>1863</v>
      </c>
      <c r="G25" s="2" t="s">
        <v>1863</v>
      </c>
      <c r="H25" s="2" t="s">
        <v>1863</v>
      </c>
      <c r="I25" s="2" t="s">
        <v>1866</v>
      </c>
    </row>
    <row r="26" hidden="1">
      <c r="A26" s="2" t="s">
        <v>135</v>
      </c>
      <c r="B26" s="2" t="s">
        <v>136</v>
      </c>
      <c r="C26" s="4">
        <v>600.0</v>
      </c>
      <c r="D26" s="4">
        <v>0.0</v>
      </c>
      <c r="E26" s="2" t="s">
        <v>1863</v>
      </c>
      <c r="F26" s="2" t="s">
        <v>1863</v>
      </c>
      <c r="G26" s="2" t="s">
        <v>1863</v>
      </c>
      <c r="H26" s="2" t="s">
        <v>1863</v>
      </c>
      <c r="I26" s="2" t="s">
        <v>1866</v>
      </c>
    </row>
    <row r="27" hidden="1">
      <c r="A27" s="2" t="s">
        <v>143</v>
      </c>
      <c r="B27" s="2" t="s">
        <v>144</v>
      </c>
      <c r="C27" s="4">
        <v>1600.0</v>
      </c>
      <c r="D27" s="4">
        <v>0.0</v>
      </c>
      <c r="E27" s="2" t="s">
        <v>1863</v>
      </c>
      <c r="F27" s="2" t="s">
        <v>1863</v>
      </c>
      <c r="G27" s="2" t="s">
        <v>1863</v>
      </c>
      <c r="H27" s="2" t="s">
        <v>1863</v>
      </c>
      <c r="I27" s="2" t="s">
        <v>1866</v>
      </c>
    </row>
    <row r="28">
      <c r="A28" s="33" t="s">
        <v>546</v>
      </c>
      <c r="B28" s="33" t="s">
        <v>547</v>
      </c>
      <c r="C28" s="100">
        <v>2400.0</v>
      </c>
      <c r="D28" s="100">
        <v>0.0</v>
      </c>
      <c r="E28" s="33" t="s">
        <v>1863</v>
      </c>
      <c r="F28" s="101" t="s">
        <v>1863</v>
      </c>
      <c r="G28" s="55" t="s">
        <v>1863</v>
      </c>
      <c r="H28" s="33" t="s">
        <v>1863</v>
      </c>
      <c r="I28" s="33" t="s">
        <v>1866</v>
      </c>
      <c r="J28" s="34"/>
      <c r="K28" s="34"/>
      <c r="L28" s="34"/>
    </row>
    <row r="29">
      <c r="A29" s="33" t="s">
        <v>1611</v>
      </c>
      <c r="B29" s="33" t="s">
        <v>1620</v>
      </c>
      <c r="C29" s="100">
        <v>0.0</v>
      </c>
      <c r="D29" s="100">
        <v>0.0</v>
      </c>
      <c r="E29" s="33" t="s">
        <v>1863</v>
      </c>
      <c r="F29" s="101" t="s">
        <v>1863</v>
      </c>
      <c r="G29" s="55" t="s">
        <v>1863</v>
      </c>
      <c r="H29" s="33" t="s">
        <v>1863</v>
      </c>
      <c r="I29" s="33" t="s">
        <v>1866</v>
      </c>
      <c r="J29" s="34"/>
      <c r="K29" s="34"/>
      <c r="L29" s="34"/>
    </row>
    <row r="30">
      <c r="A30" s="33" t="s">
        <v>1623</v>
      </c>
      <c r="B30" s="33" t="s">
        <v>1624</v>
      </c>
      <c r="C30" s="100">
        <v>0.0</v>
      </c>
      <c r="D30" s="100">
        <v>0.0</v>
      </c>
      <c r="E30" s="33" t="s">
        <v>1863</v>
      </c>
      <c r="F30" s="101" t="s">
        <v>1863</v>
      </c>
      <c r="G30" s="55" t="s">
        <v>1863</v>
      </c>
      <c r="H30" s="33" t="s">
        <v>1863</v>
      </c>
      <c r="I30" s="33" t="s">
        <v>1866</v>
      </c>
      <c r="J30" s="34"/>
      <c r="K30" s="34"/>
      <c r="L30" s="34"/>
    </row>
    <row r="31" hidden="1">
      <c r="A31" s="2" t="s">
        <v>152</v>
      </c>
      <c r="B31" s="2" t="s">
        <v>154</v>
      </c>
      <c r="C31" s="4">
        <v>2500.0</v>
      </c>
      <c r="D31" s="4">
        <v>0.0</v>
      </c>
      <c r="E31" s="2" t="s">
        <v>1863</v>
      </c>
      <c r="F31" s="2" t="s">
        <v>1863</v>
      </c>
      <c r="G31" s="2" t="s">
        <v>1863</v>
      </c>
      <c r="H31" s="2" t="s">
        <v>1863</v>
      </c>
      <c r="I31" s="2" t="s">
        <v>1866</v>
      </c>
    </row>
    <row r="32" hidden="1">
      <c r="A32" s="2" t="s">
        <v>159</v>
      </c>
      <c r="B32" s="2" t="s">
        <v>161</v>
      </c>
      <c r="C32" s="4">
        <v>700.0</v>
      </c>
      <c r="D32" s="4">
        <v>0.0</v>
      </c>
      <c r="E32" s="2" t="s">
        <v>1863</v>
      </c>
      <c r="F32" s="2" t="s">
        <v>1863</v>
      </c>
      <c r="G32" s="2" t="s">
        <v>1863</v>
      </c>
      <c r="H32" s="2" t="s">
        <v>1863</v>
      </c>
      <c r="I32" s="2" t="s">
        <v>1866</v>
      </c>
    </row>
    <row r="33">
      <c r="A33" s="33" t="s">
        <v>1605</v>
      </c>
      <c r="B33" s="33" t="s">
        <v>1630</v>
      </c>
      <c r="C33" s="100">
        <v>0.0</v>
      </c>
      <c r="D33" s="100">
        <v>0.0</v>
      </c>
      <c r="E33" s="33" t="s">
        <v>1863</v>
      </c>
      <c r="F33" s="101" t="s">
        <v>1863</v>
      </c>
      <c r="G33" s="55" t="s">
        <v>1863</v>
      </c>
      <c r="H33" s="33" t="s">
        <v>1863</v>
      </c>
      <c r="I33" s="33" t="s">
        <v>1866</v>
      </c>
      <c r="J33" s="34"/>
      <c r="K33" s="34"/>
      <c r="L33" s="34"/>
    </row>
    <row r="34" hidden="1">
      <c r="A34" s="2" t="s">
        <v>167</v>
      </c>
      <c r="B34" s="2" t="s">
        <v>168</v>
      </c>
      <c r="C34" s="4">
        <v>1900.0</v>
      </c>
      <c r="D34" s="4">
        <v>0.0</v>
      </c>
      <c r="E34" s="2" t="s">
        <v>1863</v>
      </c>
      <c r="F34" s="2" t="s">
        <v>1863</v>
      </c>
      <c r="G34" s="2" t="s">
        <v>1863</v>
      </c>
      <c r="H34" s="2" t="s">
        <v>1863</v>
      </c>
      <c r="I34" s="2" t="s">
        <v>1866</v>
      </c>
    </row>
    <row r="35" hidden="1">
      <c r="A35" s="2" t="s">
        <v>175</v>
      </c>
      <c r="B35" s="2" t="s">
        <v>176</v>
      </c>
      <c r="C35" s="4">
        <v>2100.0</v>
      </c>
      <c r="D35" s="4">
        <v>0.0</v>
      </c>
      <c r="E35" s="2" t="s">
        <v>1863</v>
      </c>
      <c r="F35" s="2" t="s">
        <v>1863</v>
      </c>
      <c r="G35" s="2" t="s">
        <v>1863</v>
      </c>
      <c r="H35" s="2" t="s">
        <v>1863</v>
      </c>
      <c r="I35" s="2" t="s">
        <v>1866</v>
      </c>
    </row>
    <row r="36">
      <c r="A36" s="33" t="s">
        <v>1635</v>
      </c>
      <c r="B36" s="33" t="s">
        <v>1636</v>
      </c>
      <c r="C36" s="100">
        <v>0.0</v>
      </c>
      <c r="D36" s="100">
        <v>0.0</v>
      </c>
      <c r="E36" s="33" t="s">
        <v>1863</v>
      </c>
      <c r="F36" s="101" t="s">
        <v>1863</v>
      </c>
      <c r="G36" s="55" t="s">
        <v>1863</v>
      </c>
      <c r="H36" s="33" t="s">
        <v>1863</v>
      </c>
      <c r="I36" s="33" t="s">
        <v>1866</v>
      </c>
      <c r="J36" s="34"/>
      <c r="K36" s="34"/>
      <c r="L36" s="34"/>
    </row>
    <row r="37" hidden="1">
      <c r="A37" s="2" t="s">
        <v>183</v>
      </c>
      <c r="B37" s="2" t="s">
        <v>184</v>
      </c>
      <c r="C37" s="4">
        <v>200.0</v>
      </c>
      <c r="D37" s="4">
        <v>0.0</v>
      </c>
      <c r="E37" s="2" t="s">
        <v>1863</v>
      </c>
      <c r="F37" s="2" t="s">
        <v>1863</v>
      </c>
      <c r="G37" s="2" t="s">
        <v>1863</v>
      </c>
      <c r="H37" s="2" t="s">
        <v>1863</v>
      </c>
      <c r="I37" s="2" t="s">
        <v>1866</v>
      </c>
    </row>
    <row r="38">
      <c r="A38" s="33" t="s">
        <v>105</v>
      </c>
      <c r="B38" s="33" t="s">
        <v>107</v>
      </c>
      <c r="C38" s="100">
        <v>1200.0</v>
      </c>
      <c r="D38" s="100">
        <v>0.0</v>
      </c>
      <c r="E38" s="33" t="s">
        <v>1863</v>
      </c>
      <c r="F38" s="101" t="s">
        <v>1863</v>
      </c>
      <c r="G38" s="55" t="s">
        <v>1863</v>
      </c>
      <c r="H38" s="33" t="s">
        <v>1863</v>
      </c>
      <c r="I38" s="33" t="s">
        <v>1866</v>
      </c>
      <c r="J38" s="34"/>
      <c r="K38" s="34"/>
      <c r="L38" s="34"/>
    </row>
    <row r="39">
      <c r="A39" s="33" t="s">
        <v>1638</v>
      </c>
      <c r="B39" s="33" t="s">
        <v>1639</v>
      </c>
      <c r="C39" s="100">
        <v>0.0</v>
      </c>
      <c r="D39" s="100">
        <v>0.0</v>
      </c>
      <c r="E39" s="33" t="s">
        <v>1863</v>
      </c>
      <c r="F39" s="101" t="s">
        <v>1863</v>
      </c>
      <c r="G39" s="55" t="s">
        <v>1863</v>
      </c>
      <c r="H39" s="33" t="s">
        <v>1863</v>
      </c>
      <c r="I39" s="33" t="s">
        <v>1866</v>
      </c>
      <c r="J39" s="34"/>
      <c r="K39" s="34"/>
      <c r="L39" s="34"/>
    </row>
    <row r="40" hidden="1">
      <c r="A40" s="2" t="s">
        <v>191</v>
      </c>
      <c r="B40" s="2" t="s">
        <v>192</v>
      </c>
      <c r="C40" s="4">
        <v>500.0</v>
      </c>
      <c r="D40" s="4">
        <v>0.0</v>
      </c>
      <c r="E40" s="2" t="s">
        <v>1863</v>
      </c>
      <c r="F40" s="2" t="s">
        <v>1863</v>
      </c>
      <c r="G40" s="2" t="s">
        <v>1863</v>
      </c>
      <c r="H40" s="2" t="s">
        <v>1863</v>
      </c>
      <c r="I40" s="2" t="s">
        <v>1866</v>
      </c>
    </row>
    <row r="41" hidden="1">
      <c r="A41" s="2" t="s">
        <v>197</v>
      </c>
      <c r="B41" s="2" t="s">
        <v>198</v>
      </c>
      <c r="C41" s="4">
        <v>500.0</v>
      </c>
      <c r="D41" s="4">
        <v>0.0</v>
      </c>
      <c r="E41" s="2" t="s">
        <v>1863</v>
      </c>
      <c r="F41" s="2" t="s">
        <v>1863</v>
      </c>
      <c r="G41" s="2" t="s">
        <v>1863</v>
      </c>
      <c r="H41" s="2" t="s">
        <v>1863</v>
      </c>
      <c r="I41" s="2" t="s">
        <v>1866</v>
      </c>
    </row>
    <row r="42" hidden="1">
      <c r="A42" s="2" t="s">
        <v>205</v>
      </c>
      <c r="B42" s="2" t="s">
        <v>206</v>
      </c>
      <c r="C42" s="4">
        <v>600.0</v>
      </c>
      <c r="D42" s="4">
        <v>0.0</v>
      </c>
      <c r="E42" s="2" t="s">
        <v>1863</v>
      </c>
      <c r="F42" s="2" t="s">
        <v>1863</v>
      </c>
      <c r="G42" s="2" t="s">
        <v>1863</v>
      </c>
      <c r="H42" s="2" t="s">
        <v>1863</v>
      </c>
      <c r="I42" s="2" t="s">
        <v>1866</v>
      </c>
    </row>
    <row r="43" hidden="1">
      <c r="A43" s="2" t="s">
        <v>211</v>
      </c>
      <c r="B43" s="2" t="s">
        <v>212</v>
      </c>
      <c r="C43" s="4">
        <v>450.0</v>
      </c>
      <c r="D43" s="4">
        <v>0.0</v>
      </c>
      <c r="E43" s="2" t="s">
        <v>1863</v>
      </c>
      <c r="F43" s="2" t="s">
        <v>1863</v>
      </c>
      <c r="G43" s="2" t="s">
        <v>1863</v>
      </c>
      <c r="H43" s="2" t="s">
        <v>1863</v>
      </c>
      <c r="I43" s="2" t="s">
        <v>1866</v>
      </c>
    </row>
    <row r="44" hidden="1">
      <c r="A44" s="2" t="s">
        <v>218</v>
      </c>
      <c r="B44" s="2" t="s">
        <v>219</v>
      </c>
      <c r="C44" s="4">
        <v>1300.0</v>
      </c>
      <c r="D44" s="4">
        <v>0.0</v>
      </c>
      <c r="E44" s="2" t="s">
        <v>1863</v>
      </c>
      <c r="F44" s="2" t="s">
        <v>1863</v>
      </c>
      <c r="G44" s="2" t="s">
        <v>1863</v>
      </c>
      <c r="H44" s="2" t="s">
        <v>1863</v>
      </c>
      <c r="I44" s="2" t="s">
        <v>1866</v>
      </c>
    </row>
    <row r="45">
      <c r="A45" s="33" t="s">
        <v>1649</v>
      </c>
      <c r="B45" s="33" t="s">
        <v>1650</v>
      </c>
      <c r="C45" s="100">
        <v>0.0</v>
      </c>
      <c r="D45" s="100">
        <v>0.0</v>
      </c>
      <c r="E45" s="33" t="s">
        <v>1863</v>
      </c>
      <c r="F45" s="101" t="s">
        <v>1863</v>
      </c>
      <c r="G45" s="55" t="s">
        <v>1863</v>
      </c>
      <c r="H45" s="33" t="s">
        <v>1863</v>
      </c>
      <c r="I45" s="33" t="s">
        <v>1866</v>
      </c>
      <c r="J45" s="34"/>
      <c r="K45" s="34"/>
      <c r="L45" s="34"/>
    </row>
    <row r="46" hidden="1">
      <c r="A46" s="2" t="s">
        <v>227</v>
      </c>
      <c r="B46" s="2" t="s">
        <v>228</v>
      </c>
      <c r="C46" s="4">
        <v>45.0</v>
      </c>
      <c r="D46" s="4">
        <v>0.0</v>
      </c>
      <c r="E46" s="2" t="s">
        <v>1863</v>
      </c>
      <c r="F46" s="2" t="s">
        <v>1863</v>
      </c>
      <c r="G46" s="2" t="s">
        <v>1863</v>
      </c>
      <c r="H46" s="2" t="s">
        <v>1863</v>
      </c>
      <c r="I46" s="2" t="s">
        <v>1866</v>
      </c>
    </row>
    <row r="47" hidden="1">
      <c r="A47" s="2" t="s">
        <v>234</v>
      </c>
      <c r="B47" s="2" t="s">
        <v>235</v>
      </c>
      <c r="C47" s="4">
        <v>1008.0</v>
      </c>
      <c r="D47" s="4">
        <v>0.0</v>
      </c>
      <c r="E47" s="2" t="s">
        <v>1863</v>
      </c>
      <c r="F47" s="2" t="s">
        <v>1863</v>
      </c>
      <c r="G47" s="2" t="s">
        <v>1863</v>
      </c>
      <c r="H47" s="2" t="s">
        <v>1863</v>
      </c>
      <c r="I47" s="2" t="s">
        <v>1866</v>
      </c>
    </row>
    <row r="48" hidden="1">
      <c r="A48" s="2" t="s">
        <v>240</v>
      </c>
      <c r="B48" s="2" t="s">
        <v>241</v>
      </c>
      <c r="C48" s="4">
        <v>1008.0</v>
      </c>
      <c r="D48" s="4">
        <v>0.0</v>
      </c>
      <c r="E48" s="2" t="s">
        <v>1863</v>
      </c>
      <c r="F48" s="2" t="s">
        <v>1863</v>
      </c>
      <c r="G48" s="2" t="s">
        <v>1863</v>
      </c>
      <c r="H48" s="2" t="s">
        <v>1863</v>
      </c>
      <c r="I48" s="2" t="s">
        <v>1866</v>
      </c>
    </row>
    <row r="49">
      <c r="A49" s="33" t="s">
        <v>1609</v>
      </c>
      <c r="B49" s="33" t="s">
        <v>1655</v>
      </c>
      <c r="C49" s="100">
        <v>0.0</v>
      </c>
      <c r="D49" s="100">
        <v>0.0</v>
      </c>
      <c r="E49" s="33" t="s">
        <v>1863</v>
      </c>
      <c r="F49" s="101" t="s">
        <v>1863</v>
      </c>
      <c r="G49" s="55" t="s">
        <v>1863</v>
      </c>
      <c r="H49" s="33" t="s">
        <v>1863</v>
      </c>
      <c r="I49" s="33" t="s">
        <v>1866</v>
      </c>
      <c r="J49" s="34"/>
      <c r="K49" s="34"/>
      <c r="L49" s="34"/>
    </row>
    <row r="50" hidden="1">
      <c r="A50" s="2" t="s">
        <v>245</v>
      </c>
      <c r="B50" s="2" t="s">
        <v>246</v>
      </c>
      <c r="C50" s="4">
        <v>648.0</v>
      </c>
      <c r="D50" s="4">
        <v>0.0</v>
      </c>
      <c r="E50" s="2" t="s">
        <v>1863</v>
      </c>
      <c r="F50" s="2" t="s">
        <v>1863</v>
      </c>
      <c r="G50" s="2" t="s">
        <v>1863</v>
      </c>
      <c r="H50" s="2" t="s">
        <v>1863</v>
      </c>
      <c r="I50" s="2" t="s">
        <v>1866</v>
      </c>
    </row>
    <row r="51" hidden="1">
      <c r="A51" s="2" t="s">
        <v>250</v>
      </c>
      <c r="B51" s="2" t="s">
        <v>252</v>
      </c>
      <c r="C51" s="4">
        <v>432.0</v>
      </c>
      <c r="D51" s="4">
        <v>0.0</v>
      </c>
      <c r="E51" s="2" t="s">
        <v>1863</v>
      </c>
      <c r="F51" s="2" t="s">
        <v>1863</v>
      </c>
      <c r="G51" s="2" t="s">
        <v>1863</v>
      </c>
      <c r="H51" s="2" t="s">
        <v>1863</v>
      </c>
      <c r="I51" s="2" t="s">
        <v>1866</v>
      </c>
    </row>
    <row r="52" hidden="1">
      <c r="A52" s="2" t="s">
        <v>256</v>
      </c>
      <c r="B52" s="2" t="s">
        <v>257</v>
      </c>
      <c r="C52" s="4">
        <v>576.0</v>
      </c>
      <c r="D52" s="4">
        <v>0.0</v>
      </c>
      <c r="E52" s="2" t="s">
        <v>1863</v>
      </c>
      <c r="F52" s="2" t="s">
        <v>1863</v>
      </c>
      <c r="G52" s="2" t="s">
        <v>1863</v>
      </c>
      <c r="H52" s="2" t="s">
        <v>1863</v>
      </c>
      <c r="I52" s="2" t="s">
        <v>1866</v>
      </c>
    </row>
    <row r="53">
      <c r="A53" s="33" t="s">
        <v>365</v>
      </c>
      <c r="B53" s="33" t="s">
        <v>367</v>
      </c>
      <c r="C53" s="100">
        <v>0.0</v>
      </c>
      <c r="D53" s="100">
        <v>0.0</v>
      </c>
      <c r="E53" s="33" t="s">
        <v>1863</v>
      </c>
      <c r="F53" s="101" t="s">
        <v>1863</v>
      </c>
      <c r="G53" s="55" t="s">
        <v>1863</v>
      </c>
      <c r="H53" s="33" t="s">
        <v>1863</v>
      </c>
      <c r="I53" s="33" t="s">
        <v>1866</v>
      </c>
      <c r="J53" s="34"/>
      <c r="K53" s="34"/>
      <c r="L53" s="34"/>
    </row>
    <row r="54">
      <c r="A54" s="33" t="s">
        <v>179</v>
      </c>
      <c r="B54" s="33" t="s">
        <v>180</v>
      </c>
      <c r="C54" s="100">
        <v>0.0</v>
      </c>
      <c r="D54" s="100">
        <v>0.0</v>
      </c>
      <c r="E54" s="33" t="s">
        <v>1863</v>
      </c>
      <c r="F54" s="101" t="s">
        <v>1863</v>
      </c>
      <c r="G54" s="55" t="s">
        <v>1863</v>
      </c>
      <c r="H54" s="33" t="s">
        <v>1863</v>
      </c>
      <c r="I54" s="33" t="s">
        <v>1866</v>
      </c>
      <c r="J54" s="34"/>
      <c r="K54" s="34"/>
      <c r="L54" s="34"/>
    </row>
    <row r="55" hidden="1">
      <c r="A55" s="2" t="s">
        <v>261</v>
      </c>
      <c r="B55" s="2" t="s">
        <v>262</v>
      </c>
      <c r="C55" s="4">
        <v>1296.0</v>
      </c>
      <c r="D55" s="4">
        <v>0.0</v>
      </c>
      <c r="E55" s="2" t="s">
        <v>1863</v>
      </c>
      <c r="F55" s="2" t="s">
        <v>1863</v>
      </c>
      <c r="G55" s="2" t="s">
        <v>1863</v>
      </c>
      <c r="H55" s="2" t="s">
        <v>1863</v>
      </c>
      <c r="I55" s="2" t="s">
        <v>1866</v>
      </c>
    </row>
    <row r="56" hidden="1">
      <c r="A56" s="2" t="s">
        <v>266</v>
      </c>
      <c r="B56" s="2" t="s">
        <v>268</v>
      </c>
      <c r="C56" s="4">
        <v>432.0</v>
      </c>
      <c r="D56" s="4">
        <v>0.0</v>
      </c>
      <c r="E56" s="2" t="s">
        <v>1863</v>
      </c>
      <c r="F56" s="2" t="s">
        <v>1863</v>
      </c>
      <c r="G56" s="2" t="s">
        <v>1863</v>
      </c>
      <c r="H56" s="2" t="s">
        <v>1863</v>
      </c>
      <c r="I56" s="2" t="s">
        <v>1866</v>
      </c>
    </row>
    <row r="57" hidden="1">
      <c r="A57" s="2" t="s">
        <v>274</v>
      </c>
      <c r="B57" s="2" t="s">
        <v>276</v>
      </c>
      <c r="C57" s="4">
        <v>600.0</v>
      </c>
      <c r="D57" s="4">
        <v>0.0</v>
      </c>
      <c r="E57" s="2" t="s">
        <v>1863</v>
      </c>
      <c r="F57" s="2" t="s">
        <v>1863</v>
      </c>
      <c r="G57" s="2" t="s">
        <v>1863</v>
      </c>
      <c r="H57" s="2" t="s">
        <v>1863</v>
      </c>
      <c r="I57" s="2" t="s">
        <v>1866</v>
      </c>
    </row>
    <row r="58" hidden="1">
      <c r="A58" s="2" t="s">
        <v>1664</v>
      </c>
      <c r="B58" s="2" t="s">
        <v>1665</v>
      </c>
      <c r="C58" s="4">
        <v>0.0</v>
      </c>
      <c r="D58" s="4">
        <v>0.0</v>
      </c>
      <c r="E58" s="2" t="s">
        <v>1863</v>
      </c>
      <c r="F58" s="2" t="s">
        <v>1863</v>
      </c>
      <c r="G58" s="2" t="s">
        <v>1863</v>
      </c>
      <c r="H58" s="2" t="s">
        <v>1863</v>
      </c>
      <c r="I58" s="2" t="s">
        <v>1866</v>
      </c>
    </row>
    <row r="59" hidden="1">
      <c r="A59" s="2" t="s">
        <v>283</v>
      </c>
      <c r="B59" s="2" t="s">
        <v>284</v>
      </c>
      <c r="C59" s="4">
        <v>200.0</v>
      </c>
      <c r="D59" s="4">
        <v>0.0</v>
      </c>
      <c r="E59" s="2" t="s">
        <v>1863</v>
      </c>
      <c r="F59" s="2" t="s">
        <v>1863</v>
      </c>
      <c r="G59" s="2" t="s">
        <v>1863</v>
      </c>
      <c r="H59" s="2" t="s">
        <v>1863</v>
      </c>
      <c r="I59" s="2" t="s">
        <v>1866</v>
      </c>
    </row>
    <row r="60" hidden="1">
      <c r="A60" s="2" t="s">
        <v>287</v>
      </c>
      <c r="B60" s="2" t="s">
        <v>288</v>
      </c>
      <c r="C60" s="4">
        <v>16.0</v>
      </c>
      <c r="D60" s="4">
        <v>0.0</v>
      </c>
      <c r="E60" s="2">
        <v>78.0</v>
      </c>
      <c r="F60" s="112"/>
      <c r="G60" s="92"/>
      <c r="H60" s="2">
        <v>0.0</v>
      </c>
      <c r="I60" s="2" t="s">
        <v>1895</v>
      </c>
    </row>
    <row r="61" hidden="1">
      <c r="A61" s="2" t="s">
        <v>292</v>
      </c>
      <c r="B61" s="2" t="s">
        <v>294</v>
      </c>
      <c r="C61" s="4">
        <v>10.0</v>
      </c>
      <c r="D61" s="4">
        <v>0.0</v>
      </c>
      <c r="E61" s="2">
        <v>54.0</v>
      </c>
      <c r="F61" s="112"/>
      <c r="G61" s="92"/>
      <c r="H61" s="2">
        <v>0.0</v>
      </c>
      <c r="I61" s="2" t="s">
        <v>1895</v>
      </c>
    </row>
    <row r="62" hidden="1">
      <c r="A62" s="2" t="s">
        <v>297</v>
      </c>
      <c r="B62" s="2" t="s">
        <v>298</v>
      </c>
      <c r="C62" s="4">
        <v>10.0</v>
      </c>
      <c r="D62" s="4">
        <v>0.0</v>
      </c>
      <c r="E62" s="4">
        <v>35.0</v>
      </c>
      <c r="F62" s="112"/>
      <c r="H62" s="2">
        <v>0.0</v>
      </c>
      <c r="I62" s="2" t="s">
        <v>1895</v>
      </c>
    </row>
    <row r="63" hidden="1">
      <c r="A63" s="2" t="s">
        <v>304</v>
      </c>
      <c r="B63" s="2" t="s">
        <v>306</v>
      </c>
      <c r="C63" s="4">
        <v>6.0</v>
      </c>
      <c r="D63" s="4">
        <v>0.0</v>
      </c>
      <c r="E63" s="4">
        <v>16.0</v>
      </c>
      <c r="F63" s="112"/>
      <c r="H63" s="2">
        <v>0.0</v>
      </c>
      <c r="I63" s="2" t="s">
        <v>1895</v>
      </c>
    </row>
    <row r="64" hidden="1">
      <c r="A64" s="2" t="s">
        <v>373</v>
      </c>
      <c r="B64" s="2" t="s">
        <v>375</v>
      </c>
      <c r="C64" s="4">
        <v>2.0</v>
      </c>
      <c r="D64" s="4">
        <v>0.0</v>
      </c>
      <c r="E64" s="2" t="s">
        <v>1863</v>
      </c>
      <c r="F64" s="2" t="s">
        <v>1863</v>
      </c>
      <c r="G64" s="2" t="s">
        <v>1863</v>
      </c>
      <c r="H64" s="2" t="s">
        <v>1863</v>
      </c>
      <c r="I64" s="2" t="s">
        <v>1866</v>
      </c>
    </row>
    <row r="65" hidden="1">
      <c r="A65" s="2" t="s">
        <v>381</v>
      </c>
      <c r="B65" s="2" t="s">
        <v>382</v>
      </c>
      <c r="C65" s="4">
        <v>1.0</v>
      </c>
      <c r="D65" s="4">
        <v>0.0</v>
      </c>
      <c r="E65" s="2" t="s">
        <v>1863</v>
      </c>
      <c r="F65" s="2" t="s">
        <v>1863</v>
      </c>
      <c r="G65" s="2" t="s">
        <v>1863</v>
      </c>
      <c r="H65" s="2" t="s">
        <v>1863</v>
      </c>
      <c r="I65" s="2" t="s">
        <v>1866</v>
      </c>
    </row>
    <row r="66" hidden="1">
      <c r="A66" s="2" t="s">
        <v>387</v>
      </c>
      <c r="B66" s="2" t="s">
        <v>388</v>
      </c>
      <c r="C66" s="4">
        <v>8.0</v>
      </c>
      <c r="D66" s="4">
        <v>0.0</v>
      </c>
      <c r="E66" s="2" t="s">
        <v>1863</v>
      </c>
      <c r="F66" s="2" t="s">
        <v>1863</v>
      </c>
      <c r="G66" s="2" t="s">
        <v>1863</v>
      </c>
      <c r="H66" s="2" t="s">
        <v>1863</v>
      </c>
      <c r="I66" s="2" t="s">
        <v>1866</v>
      </c>
    </row>
    <row r="67" hidden="1">
      <c r="A67" s="2" t="s">
        <v>390</v>
      </c>
      <c r="B67" s="2" t="s">
        <v>391</v>
      </c>
      <c r="C67" s="4">
        <v>1.0</v>
      </c>
      <c r="D67" s="4">
        <v>0.0</v>
      </c>
      <c r="E67" s="2" t="s">
        <v>1863</v>
      </c>
      <c r="F67" s="2" t="s">
        <v>1863</v>
      </c>
      <c r="G67" s="2" t="s">
        <v>1863</v>
      </c>
      <c r="H67" s="2" t="s">
        <v>1863</v>
      </c>
      <c r="I67" s="2" t="s">
        <v>1866</v>
      </c>
    </row>
    <row r="68" hidden="1">
      <c r="A68" s="2" t="s">
        <v>396</v>
      </c>
      <c r="B68" s="2" t="s">
        <v>398</v>
      </c>
      <c r="C68" s="4">
        <v>1.0</v>
      </c>
      <c r="D68" s="4">
        <v>0.0</v>
      </c>
      <c r="E68" s="2" t="s">
        <v>1863</v>
      </c>
      <c r="F68" s="2" t="s">
        <v>1863</v>
      </c>
      <c r="G68" s="2" t="s">
        <v>1863</v>
      </c>
      <c r="H68" s="2" t="s">
        <v>1863</v>
      </c>
      <c r="I68" s="2" t="s">
        <v>1866</v>
      </c>
    </row>
    <row r="69" hidden="1">
      <c r="A69" s="2" t="s">
        <v>402</v>
      </c>
      <c r="B69" s="2" t="s">
        <v>404</v>
      </c>
      <c r="C69" s="4">
        <v>1.0</v>
      </c>
      <c r="D69" s="4">
        <v>0.0</v>
      </c>
      <c r="E69" s="2" t="s">
        <v>1863</v>
      </c>
      <c r="F69" s="2" t="s">
        <v>1863</v>
      </c>
      <c r="G69" s="2" t="s">
        <v>1863</v>
      </c>
      <c r="H69" s="2" t="s">
        <v>1863</v>
      </c>
      <c r="I69" s="2" t="s">
        <v>1866</v>
      </c>
    </row>
    <row r="70" hidden="1">
      <c r="A70" s="2" t="s">
        <v>419</v>
      </c>
      <c r="B70" s="2" t="s">
        <v>421</v>
      </c>
      <c r="C70" s="4">
        <v>2.0</v>
      </c>
      <c r="D70" s="4">
        <v>0.0</v>
      </c>
      <c r="E70" s="2" t="s">
        <v>1863</v>
      </c>
      <c r="F70" s="2" t="s">
        <v>1863</v>
      </c>
      <c r="G70" s="2" t="s">
        <v>1863</v>
      </c>
      <c r="H70" s="2" t="s">
        <v>1863</v>
      </c>
      <c r="I70" s="2" t="s">
        <v>1866</v>
      </c>
    </row>
    <row r="71" hidden="1">
      <c r="A71" s="2" t="s">
        <v>428</v>
      </c>
      <c r="B71" s="2" t="s">
        <v>430</v>
      </c>
      <c r="C71" s="4">
        <v>2.0</v>
      </c>
      <c r="D71" s="4">
        <v>0.0</v>
      </c>
      <c r="E71" s="2" t="s">
        <v>1863</v>
      </c>
      <c r="F71" s="2" t="s">
        <v>1863</v>
      </c>
      <c r="G71" s="2" t="s">
        <v>1863</v>
      </c>
      <c r="H71" s="2" t="s">
        <v>1863</v>
      </c>
      <c r="I71" s="2" t="s">
        <v>1866</v>
      </c>
    </row>
    <row r="72" hidden="1">
      <c r="A72" s="2" t="s">
        <v>433</v>
      </c>
      <c r="B72" s="2" t="s">
        <v>434</v>
      </c>
      <c r="C72" s="4">
        <v>1.0</v>
      </c>
      <c r="D72" s="4">
        <v>0.0</v>
      </c>
      <c r="E72" s="2" t="s">
        <v>1863</v>
      </c>
      <c r="F72" s="2" t="s">
        <v>1863</v>
      </c>
      <c r="G72" s="2" t="s">
        <v>1863</v>
      </c>
      <c r="H72" s="2" t="s">
        <v>1863</v>
      </c>
      <c r="I72" s="2" t="s">
        <v>1866</v>
      </c>
    </row>
    <row r="73" hidden="1">
      <c r="A73" s="2" t="s">
        <v>437</v>
      </c>
      <c r="B73" s="2" t="s">
        <v>438</v>
      </c>
      <c r="C73" s="4">
        <v>5.0</v>
      </c>
      <c r="D73" s="4">
        <v>0.0</v>
      </c>
      <c r="E73" s="2" t="s">
        <v>1863</v>
      </c>
      <c r="F73" s="2" t="s">
        <v>1863</v>
      </c>
      <c r="G73" s="2" t="s">
        <v>1863</v>
      </c>
      <c r="H73" s="2" t="s">
        <v>1863</v>
      </c>
      <c r="I73" s="2" t="s">
        <v>1866</v>
      </c>
    </row>
    <row r="74" hidden="1">
      <c r="A74" s="2" t="s">
        <v>441</v>
      </c>
      <c r="B74" s="2" t="s">
        <v>688</v>
      </c>
      <c r="C74" s="4">
        <v>0.0</v>
      </c>
      <c r="D74" s="4">
        <v>0.0</v>
      </c>
      <c r="E74" s="2" t="s">
        <v>1863</v>
      </c>
      <c r="F74" s="2" t="s">
        <v>1863</v>
      </c>
      <c r="G74" s="2" t="s">
        <v>1863</v>
      </c>
      <c r="H74" s="2" t="s">
        <v>1863</v>
      </c>
      <c r="I74" s="2" t="s">
        <v>1866</v>
      </c>
    </row>
    <row r="75" hidden="1">
      <c r="A75" s="2" t="s">
        <v>449</v>
      </c>
      <c r="B75" s="2" t="s">
        <v>450</v>
      </c>
      <c r="C75" s="4">
        <v>3.0</v>
      </c>
      <c r="D75" s="4">
        <v>0.0</v>
      </c>
      <c r="E75" s="2" t="s">
        <v>1863</v>
      </c>
      <c r="F75" s="2" t="s">
        <v>1863</v>
      </c>
      <c r="G75" s="2" t="s">
        <v>1863</v>
      </c>
      <c r="H75" s="2" t="s">
        <v>1863</v>
      </c>
      <c r="I75" s="2" t="s">
        <v>1866</v>
      </c>
    </row>
    <row r="76" hidden="1">
      <c r="A76" s="2" t="s">
        <v>456</v>
      </c>
      <c r="B76" s="2" t="s">
        <v>457</v>
      </c>
      <c r="C76" s="4">
        <v>1.0</v>
      </c>
      <c r="D76" s="4">
        <v>0.0</v>
      </c>
      <c r="E76" s="2" t="s">
        <v>1863</v>
      </c>
      <c r="F76" s="2" t="s">
        <v>1863</v>
      </c>
      <c r="G76" s="2" t="s">
        <v>1863</v>
      </c>
      <c r="H76" s="2" t="s">
        <v>1863</v>
      </c>
      <c r="I76" s="2" t="s">
        <v>1866</v>
      </c>
    </row>
    <row r="77" hidden="1">
      <c r="A77" s="2" t="s">
        <v>461</v>
      </c>
      <c r="B77" s="2" t="s">
        <v>462</v>
      </c>
      <c r="C77" s="4">
        <v>1.0</v>
      </c>
      <c r="D77" s="4">
        <v>0.0</v>
      </c>
      <c r="E77" s="2" t="s">
        <v>1863</v>
      </c>
      <c r="F77" s="2" t="s">
        <v>1863</v>
      </c>
      <c r="G77" s="2" t="s">
        <v>1863</v>
      </c>
      <c r="H77" s="2" t="s">
        <v>1863</v>
      </c>
      <c r="I77" s="2" t="s">
        <v>1866</v>
      </c>
    </row>
    <row r="78" hidden="1">
      <c r="A78" s="2" t="s">
        <v>467</v>
      </c>
      <c r="B78" s="2" t="s">
        <v>421</v>
      </c>
      <c r="C78" s="4">
        <v>1.0</v>
      </c>
      <c r="D78" s="4">
        <v>0.0</v>
      </c>
      <c r="E78" s="2" t="s">
        <v>1863</v>
      </c>
      <c r="F78" s="2" t="s">
        <v>1863</v>
      </c>
      <c r="G78" s="2" t="s">
        <v>1863</v>
      </c>
      <c r="H78" s="2" t="s">
        <v>1863</v>
      </c>
      <c r="I78" s="2" t="s">
        <v>1866</v>
      </c>
    </row>
    <row r="79" hidden="1">
      <c r="A79" s="2" t="s">
        <v>473</v>
      </c>
      <c r="B79" s="2" t="s">
        <v>474</v>
      </c>
      <c r="C79" s="4">
        <v>1.0</v>
      </c>
      <c r="D79" s="4">
        <v>0.0</v>
      </c>
      <c r="E79" s="2" t="s">
        <v>1863</v>
      </c>
      <c r="F79" s="2" t="s">
        <v>1863</v>
      </c>
      <c r="G79" s="2" t="s">
        <v>1863</v>
      </c>
      <c r="H79" s="2" t="s">
        <v>1863</v>
      </c>
      <c r="I79" s="2" t="s">
        <v>1866</v>
      </c>
    </row>
    <row r="80" hidden="1">
      <c r="A80" s="2" t="s">
        <v>480</v>
      </c>
      <c r="B80" s="2" t="s">
        <v>482</v>
      </c>
      <c r="C80" s="4">
        <v>1.0</v>
      </c>
      <c r="D80" s="4">
        <v>0.0</v>
      </c>
      <c r="E80" s="2" t="s">
        <v>1863</v>
      </c>
      <c r="F80" s="2" t="s">
        <v>1863</v>
      </c>
      <c r="G80" s="2" t="s">
        <v>1863</v>
      </c>
      <c r="H80" s="2" t="s">
        <v>1863</v>
      </c>
      <c r="I80" s="2" t="s">
        <v>1866</v>
      </c>
    </row>
    <row r="81" hidden="1">
      <c r="A81" s="2" t="s">
        <v>488</v>
      </c>
      <c r="B81" s="2" t="s">
        <v>490</v>
      </c>
      <c r="C81" s="4">
        <v>1.0</v>
      </c>
      <c r="D81" s="4">
        <v>0.0</v>
      </c>
      <c r="E81" s="2" t="s">
        <v>1863</v>
      </c>
      <c r="F81" s="2" t="s">
        <v>1863</v>
      </c>
      <c r="G81" s="2" t="s">
        <v>1863</v>
      </c>
      <c r="H81" s="2" t="s">
        <v>1863</v>
      </c>
      <c r="I81" s="2" t="s">
        <v>1866</v>
      </c>
    </row>
    <row r="82" hidden="1">
      <c r="A82" s="2" t="s">
        <v>497</v>
      </c>
      <c r="B82" s="2" t="s">
        <v>499</v>
      </c>
      <c r="C82" s="4">
        <v>2.0</v>
      </c>
      <c r="D82" s="4">
        <v>0.0</v>
      </c>
      <c r="E82" s="2" t="s">
        <v>1863</v>
      </c>
      <c r="F82" s="2" t="s">
        <v>1863</v>
      </c>
      <c r="G82" s="2" t="s">
        <v>1863</v>
      </c>
      <c r="H82" s="2" t="s">
        <v>1863</v>
      </c>
      <c r="I82" s="2" t="s">
        <v>1866</v>
      </c>
    </row>
    <row r="83" hidden="1">
      <c r="A83" s="2" t="s">
        <v>505</v>
      </c>
      <c r="B83" s="2" t="s">
        <v>506</v>
      </c>
      <c r="C83" s="4">
        <v>6.0</v>
      </c>
      <c r="D83" s="4">
        <v>0.0</v>
      </c>
      <c r="E83" s="2" t="s">
        <v>1863</v>
      </c>
      <c r="F83" s="2" t="s">
        <v>1863</v>
      </c>
      <c r="G83" s="2" t="s">
        <v>1863</v>
      </c>
      <c r="H83" s="2" t="s">
        <v>1863</v>
      </c>
      <c r="I83" s="2" t="s">
        <v>1866</v>
      </c>
    </row>
    <row r="84">
      <c r="A84" s="33" t="s">
        <v>1758</v>
      </c>
      <c r="B84" s="33" t="s">
        <v>1759</v>
      </c>
      <c r="C84" s="100">
        <v>0.0</v>
      </c>
      <c r="D84" s="100">
        <v>0.0</v>
      </c>
      <c r="E84" s="33" t="s">
        <v>1863</v>
      </c>
      <c r="F84" s="101" t="s">
        <v>1863</v>
      </c>
      <c r="G84" s="55" t="s">
        <v>1863</v>
      </c>
      <c r="H84" s="33" t="s">
        <v>1863</v>
      </c>
      <c r="I84" s="33" t="s">
        <v>1866</v>
      </c>
      <c r="J84" s="34"/>
      <c r="K84" s="34"/>
      <c r="L84" s="34"/>
    </row>
    <row r="85" hidden="1">
      <c r="A85" s="2" t="s">
        <v>509</v>
      </c>
      <c r="B85" s="2" t="s">
        <v>510</v>
      </c>
      <c r="C85" s="4">
        <v>1.0</v>
      </c>
      <c r="D85" s="4">
        <v>0.0</v>
      </c>
      <c r="E85" s="2" t="s">
        <v>1863</v>
      </c>
      <c r="F85" s="2" t="s">
        <v>1863</v>
      </c>
      <c r="G85" s="2" t="s">
        <v>1863</v>
      </c>
      <c r="H85" s="2" t="s">
        <v>1863</v>
      </c>
      <c r="I85" s="2" t="s">
        <v>1866</v>
      </c>
    </row>
    <row r="86">
      <c r="A86" s="33" t="s">
        <v>1772</v>
      </c>
      <c r="B86" s="33" t="s">
        <v>1777</v>
      </c>
      <c r="C86" s="100">
        <v>0.0</v>
      </c>
      <c r="D86" s="100">
        <v>0.0</v>
      </c>
      <c r="E86" s="33" t="s">
        <v>1863</v>
      </c>
      <c r="F86" s="101" t="s">
        <v>1863</v>
      </c>
      <c r="G86" s="55" t="s">
        <v>1863</v>
      </c>
      <c r="H86" s="33" t="s">
        <v>1863</v>
      </c>
      <c r="I86" s="33" t="s">
        <v>1866</v>
      </c>
      <c r="J86" s="34"/>
      <c r="K86" s="34"/>
      <c r="L86" s="34"/>
    </row>
    <row r="87" hidden="1">
      <c r="A87" s="2" t="s">
        <v>513</v>
      </c>
      <c r="B87" s="2" t="s">
        <v>515</v>
      </c>
      <c r="C87" s="4">
        <v>2.0</v>
      </c>
      <c r="D87" s="4">
        <v>0.0</v>
      </c>
      <c r="E87" s="2" t="s">
        <v>1863</v>
      </c>
      <c r="F87" s="2" t="s">
        <v>1863</v>
      </c>
      <c r="G87" s="2" t="s">
        <v>1863</v>
      </c>
      <c r="H87" s="2" t="s">
        <v>1863</v>
      </c>
      <c r="I87" s="2" t="s">
        <v>1866</v>
      </c>
    </row>
    <row r="88" hidden="1">
      <c r="A88" s="2" t="s">
        <v>520</v>
      </c>
      <c r="B88" s="2" t="s">
        <v>521</v>
      </c>
      <c r="C88" s="4">
        <v>2.0</v>
      </c>
      <c r="D88" s="4">
        <v>0.0</v>
      </c>
      <c r="E88" s="2" t="s">
        <v>1863</v>
      </c>
      <c r="F88" s="2" t="s">
        <v>1863</v>
      </c>
      <c r="G88" s="2" t="s">
        <v>1863</v>
      </c>
      <c r="H88" s="2" t="s">
        <v>1863</v>
      </c>
      <c r="I88" s="2" t="s">
        <v>1866</v>
      </c>
    </row>
    <row r="89">
      <c r="A89" s="33" t="s">
        <v>1788</v>
      </c>
      <c r="B89" s="33" t="s">
        <v>1790</v>
      </c>
      <c r="C89" s="100">
        <v>0.0</v>
      </c>
      <c r="D89" s="100">
        <v>0.0</v>
      </c>
      <c r="E89" s="33" t="s">
        <v>1863</v>
      </c>
      <c r="F89" s="101" t="s">
        <v>1863</v>
      </c>
      <c r="G89" s="55" t="s">
        <v>1863</v>
      </c>
      <c r="H89" s="33" t="s">
        <v>1863</v>
      </c>
      <c r="I89" s="33" t="s">
        <v>1866</v>
      </c>
      <c r="J89" s="34"/>
      <c r="K89" s="34"/>
      <c r="L89" s="34"/>
    </row>
    <row r="90" hidden="1">
      <c r="A90" s="2" t="s">
        <v>526</v>
      </c>
      <c r="B90" s="2" t="s">
        <v>527</v>
      </c>
      <c r="C90" s="4">
        <v>4.0</v>
      </c>
      <c r="D90" s="4">
        <v>0.0</v>
      </c>
      <c r="E90" s="2" t="s">
        <v>1863</v>
      </c>
      <c r="F90" s="2" t="s">
        <v>1863</v>
      </c>
      <c r="G90" s="2" t="s">
        <v>1863</v>
      </c>
      <c r="H90" s="2" t="s">
        <v>1863</v>
      </c>
      <c r="I90" s="2" t="s">
        <v>1866</v>
      </c>
    </row>
    <row r="91" hidden="1">
      <c r="A91" s="2" t="s">
        <v>534</v>
      </c>
      <c r="B91" s="2" t="s">
        <v>535</v>
      </c>
      <c r="C91" s="4">
        <v>1.0</v>
      </c>
      <c r="D91" s="4">
        <v>0.0</v>
      </c>
      <c r="E91" s="2" t="s">
        <v>1863</v>
      </c>
      <c r="F91" s="2" t="s">
        <v>1863</v>
      </c>
      <c r="G91" s="2" t="s">
        <v>1863</v>
      </c>
      <c r="H91" s="2" t="s">
        <v>1863</v>
      </c>
      <c r="I91" s="2" t="s">
        <v>1866</v>
      </c>
    </row>
    <row r="92" hidden="1">
      <c r="A92" s="2" t="s">
        <v>542</v>
      </c>
      <c r="B92" s="2" t="s">
        <v>543</v>
      </c>
      <c r="C92" s="4">
        <v>1.0</v>
      </c>
      <c r="D92" s="4">
        <v>0.0</v>
      </c>
      <c r="E92" s="2" t="s">
        <v>1863</v>
      </c>
      <c r="F92" s="2" t="s">
        <v>1863</v>
      </c>
      <c r="G92" s="2" t="s">
        <v>1863</v>
      </c>
      <c r="H92" s="2" t="s">
        <v>1863</v>
      </c>
      <c r="I92" s="2" t="s">
        <v>1866</v>
      </c>
    </row>
    <row r="93" hidden="1">
      <c r="A93" s="2" t="s">
        <v>550</v>
      </c>
      <c r="B93" s="2" t="s">
        <v>551</v>
      </c>
      <c r="C93" s="4">
        <v>1.0</v>
      </c>
      <c r="D93" s="4">
        <v>0.0</v>
      </c>
      <c r="E93" s="2" t="s">
        <v>1863</v>
      </c>
      <c r="F93" s="2" t="s">
        <v>1863</v>
      </c>
      <c r="G93" s="2" t="s">
        <v>1863</v>
      </c>
      <c r="H93" s="2" t="s">
        <v>1863</v>
      </c>
      <c r="I93" s="2" t="s">
        <v>1866</v>
      </c>
    </row>
    <row r="94" hidden="1">
      <c r="A94" s="2" t="s">
        <v>555</v>
      </c>
      <c r="B94" s="2" t="s">
        <v>556</v>
      </c>
      <c r="C94" s="4">
        <v>1.0</v>
      </c>
      <c r="D94" s="4">
        <v>0.0</v>
      </c>
      <c r="E94" s="2" t="s">
        <v>1863</v>
      </c>
      <c r="F94" s="2" t="s">
        <v>1863</v>
      </c>
      <c r="G94" s="2" t="s">
        <v>1863</v>
      </c>
      <c r="H94" s="2" t="s">
        <v>1863</v>
      </c>
      <c r="I94" s="2" t="s">
        <v>1866</v>
      </c>
    </row>
    <row r="95" hidden="1">
      <c r="A95" s="2" t="s">
        <v>560</v>
      </c>
      <c r="B95" s="2" t="s">
        <v>561</v>
      </c>
      <c r="C95" s="4">
        <v>1.0</v>
      </c>
      <c r="D95" s="4">
        <v>0.0</v>
      </c>
      <c r="E95" s="2" t="s">
        <v>1863</v>
      </c>
      <c r="F95" s="2" t="s">
        <v>1863</v>
      </c>
      <c r="G95" s="2" t="s">
        <v>1863</v>
      </c>
      <c r="H95" s="2" t="s">
        <v>1863</v>
      </c>
      <c r="I95" s="2" t="s">
        <v>1866</v>
      </c>
    </row>
    <row r="96" hidden="1">
      <c r="A96" s="2" t="s">
        <v>568</v>
      </c>
      <c r="B96" s="2" t="s">
        <v>569</v>
      </c>
      <c r="C96" s="4">
        <v>2.0</v>
      </c>
      <c r="D96" s="4">
        <v>0.0</v>
      </c>
      <c r="E96" s="2" t="s">
        <v>1863</v>
      </c>
      <c r="F96" s="2" t="s">
        <v>1863</v>
      </c>
      <c r="G96" s="92"/>
      <c r="H96" s="2" t="s">
        <v>1863</v>
      </c>
      <c r="I96" s="2" t="s">
        <v>1904</v>
      </c>
    </row>
    <row r="97" hidden="1">
      <c r="A97" s="2" t="s">
        <v>576</v>
      </c>
      <c r="B97" s="2" t="s">
        <v>577</v>
      </c>
      <c r="C97" s="4">
        <v>1.0</v>
      </c>
      <c r="D97" s="4">
        <v>0.0</v>
      </c>
      <c r="E97" s="2" t="s">
        <v>1863</v>
      </c>
      <c r="F97" s="2" t="s">
        <v>1863</v>
      </c>
      <c r="G97" s="92"/>
      <c r="H97" s="2" t="s">
        <v>1863</v>
      </c>
      <c r="I97" s="2" t="s">
        <v>1904</v>
      </c>
    </row>
    <row r="98" hidden="1">
      <c r="A98" s="2" t="s">
        <v>580</v>
      </c>
      <c r="B98" s="2" t="s">
        <v>582</v>
      </c>
      <c r="C98" s="4">
        <v>20.0</v>
      </c>
      <c r="D98" s="4">
        <v>0.0</v>
      </c>
      <c r="E98" s="2" t="s">
        <v>1863</v>
      </c>
      <c r="F98" s="2" t="s">
        <v>1863</v>
      </c>
      <c r="G98" s="92"/>
      <c r="H98" s="2" t="s">
        <v>1863</v>
      </c>
      <c r="I98" s="2" t="s">
        <v>1904</v>
      </c>
    </row>
    <row r="99" hidden="1">
      <c r="A99" s="2" t="s">
        <v>588</v>
      </c>
      <c r="B99" s="2" t="s">
        <v>589</v>
      </c>
      <c r="C99" s="4">
        <v>1.0</v>
      </c>
      <c r="D99" s="4">
        <v>0.0</v>
      </c>
      <c r="E99" s="2" t="s">
        <v>1863</v>
      </c>
      <c r="F99" s="2" t="s">
        <v>1863</v>
      </c>
      <c r="G99" s="92"/>
      <c r="H99" s="2" t="s">
        <v>1863</v>
      </c>
      <c r="I99" s="2" t="s">
        <v>1904</v>
      </c>
    </row>
    <row r="100" hidden="1">
      <c r="A100" s="2" t="s">
        <v>32</v>
      </c>
      <c r="B100" s="2" t="s">
        <v>34</v>
      </c>
      <c r="C100" s="4">
        <v>7.0</v>
      </c>
      <c r="D100" s="4">
        <v>0.0</v>
      </c>
      <c r="E100" s="2">
        <v>30.0</v>
      </c>
      <c r="F100" s="112"/>
      <c r="G100" s="92"/>
      <c r="H100" s="2">
        <v>0.0</v>
      </c>
      <c r="I100" s="2" t="s">
        <v>1895</v>
      </c>
    </row>
    <row r="101" hidden="1">
      <c r="A101" s="2" t="s">
        <v>601</v>
      </c>
      <c r="B101" s="2" t="s">
        <v>602</v>
      </c>
      <c r="C101" s="4">
        <v>2.0</v>
      </c>
      <c r="D101" s="4">
        <v>0.0</v>
      </c>
      <c r="E101" s="2" t="s">
        <v>1863</v>
      </c>
      <c r="F101" s="2" t="s">
        <v>1863</v>
      </c>
      <c r="G101" s="92"/>
      <c r="H101" s="2" t="s">
        <v>1863</v>
      </c>
      <c r="I101" s="2" t="s">
        <v>1904</v>
      </c>
    </row>
    <row r="102" hidden="1">
      <c r="A102" s="2" t="s">
        <v>607</v>
      </c>
      <c r="B102" s="2" t="s">
        <v>608</v>
      </c>
      <c r="C102" s="4">
        <v>3.0</v>
      </c>
      <c r="D102" s="4">
        <v>0.0</v>
      </c>
      <c r="E102" s="2" t="s">
        <v>1863</v>
      </c>
      <c r="F102" s="2" t="s">
        <v>1863</v>
      </c>
      <c r="G102" s="92"/>
      <c r="H102" s="2" t="s">
        <v>1863</v>
      </c>
      <c r="I102" s="2" t="s">
        <v>1904</v>
      </c>
    </row>
    <row r="103" hidden="1">
      <c r="A103" s="2" t="s">
        <v>614</v>
      </c>
      <c r="B103" s="2" t="s">
        <v>615</v>
      </c>
      <c r="C103" s="4">
        <v>5.0</v>
      </c>
      <c r="D103" s="4">
        <v>0.0</v>
      </c>
      <c r="E103" s="2" t="s">
        <v>1863</v>
      </c>
      <c r="F103" s="2" t="s">
        <v>1863</v>
      </c>
      <c r="G103" s="2" t="s">
        <v>1863</v>
      </c>
      <c r="H103" s="2">
        <v>2.0</v>
      </c>
      <c r="I103" s="2" t="s">
        <v>1895</v>
      </c>
    </row>
    <row r="104" hidden="1">
      <c r="A104" s="2" t="s">
        <v>622</v>
      </c>
      <c r="B104" s="2" t="s">
        <v>623</v>
      </c>
      <c r="C104" s="4">
        <v>20.0</v>
      </c>
      <c r="D104" s="4">
        <v>0.0</v>
      </c>
      <c r="E104" s="2">
        <v>13.0</v>
      </c>
      <c r="F104" s="112"/>
      <c r="G104" s="2">
        <v>-32.0</v>
      </c>
      <c r="H104" s="2">
        <v>0.0</v>
      </c>
      <c r="I104" s="2" t="s">
        <v>1895</v>
      </c>
    </row>
    <row r="105" hidden="1">
      <c r="A105" s="2" t="s">
        <v>21</v>
      </c>
      <c r="B105" s="2" t="s">
        <v>23</v>
      </c>
      <c r="C105" s="4">
        <v>20.0</v>
      </c>
      <c r="D105" s="4">
        <v>0.0</v>
      </c>
      <c r="E105" s="2">
        <v>9.0</v>
      </c>
      <c r="F105" s="112"/>
      <c r="G105" s="2">
        <v>3.5999999999999996</v>
      </c>
      <c r="H105" s="2">
        <v>0.0</v>
      </c>
      <c r="I105" s="2" t="s">
        <v>1895</v>
      </c>
    </row>
    <row r="106" hidden="1">
      <c r="A106" s="2" t="s">
        <v>640</v>
      </c>
      <c r="B106" s="2" t="s">
        <v>641</v>
      </c>
      <c r="C106" s="4">
        <v>3.0</v>
      </c>
      <c r="D106" s="4">
        <v>0.0</v>
      </c>
      <c r="E106" s="2">
        <v>49.0</v>
      </c>
      <c r="F106" s="112"/>
      <c r="G106" s="92"/>
      <c r="H106" s="2">
        <v>0.0</v>
      </c>
      <c r="I106" s="2" t="s">
        <v>1895</v>
      </c>
    </row>
    <row r="107" hidden="1">
      <c r="A107" s="2" t="s">
        <v>647</v>
      </c>
      <c r="B107" s="2" t="s">
        <v>648</v>
      </c>
      <c r="C107" s="4">
        <v>2.0</v>
      </c>
      <c r="D107" s="4">
        <v>0.0</v>
      </c>
      <c r="E107" s="4">
        <v>49.0</v>
      </c>
      <c r="F107" s="112"/>
      <c r="H107" s="2">
        <v>0.0</v>
      </c>
      <c r="I107" s="2" t="s">
        <v>1895</v>
      </c>
    </row>
    <row r="108" hidden="1">
      <c r="A108" s="2" t="s">
        <v>658</v>
      </c>
      <c r="B108" s="2" t="s">
        <v>659</v>
      </c>
      <c r="C108" s="4">
        <v>6.0</v>
      </c>
      <c r="D108" s="4">
        <v>0.0</v>
      </c>
      <c r="E108" s="2" t="s">
        <v>1863</v>
      </c>
      <c r="F108" s="2" t="s">
        <v>1863</v>
      </c>
      <c r="G108" s="2" t="s">
        <v>1863</v>
      </c>
      <c r="H108" s="2" t="s">
        <v>1863</v>
      </c>
      <c r="I108" s="2" t="s">
        <v>1866</v>
      </c>
    </row>
    <row r="109" hidden="1">
      <c r="A109" s="2" t="s">
        <v>667</v>
      </c>
      <c r="B109" s="2" t="s">
        <v>668</v>
      </c>
      <c r="C109" s="4">
        <v>8.0</v>
      </c>
      <c r="D109" s="4">
        <v>0.0</v>
      </c>
      <c r="E109" s="2" t="s">
        <v>1863</v>
      </c>
      <c r="F109" s="2" t="s">
        <v>1863</v>
      </c>
      <c r="G109" s="2" t="s">
        <v>1863</v>
      </c>
      <c r="H109" s="2" t="s">
        <v>1863</v>
      </c>
      <c r="I109" s="2" t="s">
        <v>1866</v>
      </c>
    </row>
    <row r="110" hidden="1">
      <c r="A110" s="2" t="s">
        <v>675</v>
      </c>
      <c r="B110" s="2" t="s">
        <v>676</v>
      </c>
      <c r="C110" s="4">
        <v>30.0</v>
      </c>
      <c r="D110" s="4">
        <v>0.0</v>
      </c>
      <c r="E110" s="2" t="s">
        <v>1863</v>
      </c>
      <c r="F110" s="2" t="s">
        <v>1863</v>
      </c>
      <c r="G110" s="2" t="s">
        <v>1863</v>
      </c>
      <c r="H110" s="2" t="s">
        <v>1863</v>
      </c>
      <c r="I110" s="2" t="s">
        <v>1866</v>
      </c>
    </row>
    <row r="111" hidden="1">
      <c r="A111" s="2" t="s">
        <v>681</v>
      </c>
      <c r="B111" s="2" t="s">
        <v>683</v>
      </c>
      <c r="C111" s="4">
        <v>8.0</v>
      </c>
      <c r="D111" s="4">
        <v>0.0</v>
      </c>
      <c r="E111" s="2" t="s">
        <v>1863</v>
      </c>
      <c r="F111" s="2" t="s">
        <v>1863</v>
      </c>
      <c r="G111" s="2" t="s">
        <v>1863</v>
      </c>
      <c r="H111" s="2" t="s">
        <v>1863</v>
      </c>
      <c r="I111" s="2" t="s">
        <v>1866</v>
      </c>
    </row>
    <row r="112" hidden="1">
      <c r="A112" s="2" t="s">
        <v>692</v>
      </c>
      <c r="B112" s="2" t="s">
        <v>693</v>
      </c>
      <c r="C112" s="4">
        <v>1.0</v>
      </c>
      <c r="D112" s="4">
        <v>0.0</v>
      </c>
      <c r="E112" s="2" t="s">
        <v>1863</v>
      </c>
      <c r="F112" s="2" t="s">
        <v>1863</v>
      </c>
      <c r="G112" s="2" t="s">
        <v>1863</v>
      </c>
      <c r="H112" s="2" t="s">
        <v>1863</v>
      </c>
      <c r="I112" s="2" t="s">
        <v>1866</v>
      </c>
    </row>
    <row r="113">
      <c r="A113" s="116" t="s">
        <v>654</v>
      </c>
      <c r="B113" s="116" t="s">
        <v>655</v>
      </c>
      <c r="C113" s="117">
        <v>5.0</v>
      </c>
      <c r="D113" s="117">
        <v>0.0</v>
      </c>
      <c r="E113" s="116">
        <v>73.0</v>
      </c>
      <c r="F113" s="118">
        <v>46355.0</v>
      </c>
      <c r="G113" s="119">
        <v>24.0</v>
      </c>
      <c r="H113" s="116">
        <v>0.0</v>
      </c>
      <c r="I113" s="116" t="s">
        <v>1895</v>
      </c>
      <c r="J113" s="120"/>
      <c r="K113" s="120"/>
      <c r="L113" s="120"/>
    </row>
    <row r="114" hidden="1">
      <c r="A114" s="2" t="s">
        <v>271</v>
      </c>
      <c r="B114" s="2" t="s">
        <v>277</v>
      </c>
      <c r="C114" s="4">
        <v>45.0</v>
      </c>
      <c r="D114" s="4">
        <v>0.0</v>
      </c>
      <c r="E114" s="2">
        <v>182.0</v>
      </c>
      <c r="F114" s="112"/>
      <c r="G114" s="92"/>
      <c r="H114" s="2">
        <v>0.0</v>
      </c>
      <c r="I114" s="2" t="s">
        <v>1895</v>
      </c>
    </row>
    <row r="115" hidden="1">
      <c r="A115" s="2" t="s">
        <v>710</v>
      </c>
      <c r="B115" s="2" t="s">
        <v>711</v>
      </c>
      <c r="C115" s="4">
        <v>50.0</v>
      </c>
      <c r="D115" s="4">
        <v>0.0</v>
      </c>
      <c r="E115" s="4">
        <v>16.0</v>
      </c>
      <c r="F115" s="112"/>
      <c r="G115" s="4">
        <v>-100.7</v>
      </c>
      <c r="H115" s="2">
        <v>0.0</v>
      </c>
      <c r="I115" s="2" t="s">
        <v>1895</v>
      </c>
    </row>
    <row r="116">
      <c r="A116" s="116" t="s">
        <v>716</v>
      </c>
      <c r="B116" s="116" t="s">
        <v>718</v>
      </c>
      <c r="C116" s="117">
        <v>50.0</v>
      </c>
      <c r="D116" s="117">
        <v>0.0</v>
      </c>
      <c r="E116" s="116">
        <v>97.0</v>
      </c>
      <c r="F116" s="118">
        <v>46379.0</v>
      </c>
      <c r="G116" s="55" t="s">
        <v>1863</v>
      </c>
      <c r="H116" s="116">
        <v>0.0</v>
      </c>
      <c r="I116" s="116" t="s">
        <v>1895</v>
      </c>
      <c r="J116" s="120"/>
      <c r="K116" s="120"/>
      <c r="L116" s="120"/>
    </row>
    <row r="117" hidden="1">
      <c r="A117" s="2" t="s">
        <v>222</v>
      </c>
      <c r="B117" s="2" t="s">
        <v>230</v>
      </c>
      <c r="C117" s="4">
        <v>60.0</v>
      </c>
      <c r="D117" s="4">
        <v>0.0</v>
      </c>
      <c r="E117" s="2">
        <v>42.0</v>
      </c>
      <c r="F117" s="112"/>
      <c r="G117" s="92"/>
      <c r="H117" s="2">
        <v>0.0</v>
      </c>
      <c r="I117" s="2" t="s">
        <v>1895</v>
      </c>
    </row>
    <row r="118" hidden="1">
      <c r="A118" s="2" t="s">
        <v>312</v>
      </c>
      <c r="B118" s="2" t="s">
        <v>319</v>
      </c>
      <c r="C118" s="4">
        <v>17.0</v>
      </c>
      <c r="D118" s="4">
        <v>0.0</v>
      </c>
      <c r="E118" s="2">
        <v>66.0</v>
      </c>
      <c r="F118" s="112"/>
      <c r="G118" s="92"/>
      <c r="H118" s="2">
        <v>0.0</v>
      </c>
      <c r="I118" s="2" t="s">
        <v>1895</v>
      </c>
    </row>
    <row r="119" hidden="1">
      <c r="A119" s="2" t="s">
        <v>359</v>
      </c>
      <c r="B119" s="2" t="s">
        <v>370</v>
      </c>
      <c r="C119" s="4">
        <v>100.0</v>
      </c>
      <c r="D119" s="4">
        <v>0.0</v>
      </c>
      <c r="E119" s="2">
        <v>56.0</v>
      </c>
      <c r="F119" s="112"/>
      <c r="G119" s="92"/>
      <c r="H119" s="2">
        <v>0.0</v>
      </c>
      <c r="I119" s="2" t="s">
        <v>1895</v>
      </c>
    </row>
    <row r="120" hidden="1">
      <c r="A120" s="2" t="s">
        <v>748</v>
      </c>
      <c r="B120" s="2" t="s">
        <v>749</v>
      </c>
      <c r="C120" s="4">
        <v>1.0</v>
      </c>
      <c r="D120" s="4">
        <v>0.0</v>
      </c>
      <c r="E120" s="2">
        <v>49.0</v>
      </c>
      <c r="F120" s="112"/>
      <c r="G120" s="92"/>
      <c r="H120" s="2">
        <v>0.0</v>
      </c>
      <c r="I120" s="2" t="s">
        <v>1895</v>
      </c>
    </row>
    <row r="121" hidden="1">
      <c r="A121" s="2" t="s">
        <v>756</v>
      </c>
      <c r="B121" s="2" t="s">
        <v>757</v>
      </c>
      <c r="C121" s="4">
        <v>2.0</v>
      </c>
      <c r="D121" s="4">
        <v>0.0</v>
      </c>
      <c r="E121" s="2" t="s">
        <v>1863</v>
      </c>
      <c r="F121" s="2" t="s">
        <v>1863</v>
      </c>
      <c r="G121" s="92"/>
      <c r="H121" s="2" t="s">
        <v>1863</v>
      </c>
      <c r="I121" s="2" t="s">
        <v>1904</v>
      </c>
    </row>
    <row r="122" hidden="1">
      <c r="A122" s="2" t="s">
        <v>892</v>
      </c>
      <c r="B122" s="2" t="s">
        <v>893</v>
      </c>
      <c r="C122" s="4">
        <v>20.0</v>
      </c>
      <c r="D122" s="4">
        <v>0.0</v>
      </c>
      <c r="E122" s="2">
        <v>25.0</v>
      </c>
      <c r="F122" s="112"/>
      <c r="G122" s="2">
        <v>8.8</v>
      </c>
      <c r="H122" s="2">
        <v>0.0</v>
      </c>
      <c r="I122" s="2" t="s">
        <v>1895</v>
      </c>
    </row>
    <row r="123" hidden="1">
      <c r="A123" s="2" t="s">
        <v>406</v>
      </c>
      <c r="B123" s="2" t="s">
        <v>409</v>
      </c>
      <c r="C123" s="4">
        <v>0.0</v>
      </c>
      <c r="D123" s="4">
        <v>0.0</v>
      </c>
      <c r="E123" s="2" t="s">
        <v>1863</v>
      </c>
      <c r="F123" s="2" t="s">
        <v>1863</v>
      </c>
      <c r="G123" s="92"/>
      <c r="H123" s="2" t="s">
        <v>1863</v>
      </c>
      <c r="I123" s="2" t="s">
        <v>1904</v>
      </c>
    </row>
    <row r="124" hidden="1">
      <c r="A124" s="2" t="s">
        <v>763</v>
      </c>
      <c r="B124" s="2" t="s">
        <v>765</v>
      </c>
      <c r="C124" s="4">
        <v>10.0</v>
      </c>
      <c r="D124" s="4">
        <v>0.0</v>
      </c>
      <c r="E124" s="2" t="s">
        <v>1863</v>
      </c>
      <c r="F124" s="2" t="s">
        <v>1863</v>
      </c>
      <c r="G124" s="2" t="s">
        <v>1863</v>
      </c>
      <c r="H124" s="2">
        <v>5.0</v>
      </c>
      <c r="I124" s="2" t="s">
        <v>1895</v>
      </c>
    </row>
    <row r="125" hidden="1">
      <c r="A125" s="2" t="s">
        <v>770</v>
      </c>
      <c r="B125" s="2" t="s">
        <v>771</v>
      </c>
      <c r="C125" s="4">
        <v>0.2</v>
      </c>
      <c r="D125" s="4">
        <v>0.0</v>
      </c>
      <c r="E125" s="2" t="s">
        <v>1863</v>
      </c>
      <c r="F125" s="2" t="s">
        <v>1863</v>
      </c>
      <c r="G125" s="2" t="s">
        <v>1863</v>
      </c>
      <c r="H125" s="2">
        <v>5.0</v>
      </c>
      <c r="I125" s="2" t="s">
        <v>1895</v>
      </c>
    </row>
    <row r="126" hidden="1">
      <c r="A126" s="2" t="s">
        <v>776</v>
      </c>
      <c r="B126" s="2" t="s">
        <v>777</v>
      </c>
      <c r="C126" s="4">
        <v>1.5</v>
      </c>
      <c r="D126" s="4">
        <v>0.0</v>
      </c>
      <c r="E126" s="2" t="s">
        <v>1863</v>
      </c>
      <c r="F126" s="2" t="s">
        <v>1863</v>
      </c>
      <c r="G126" s="92"/>
      <c r="H126" s="2" t="s">
        <v>1863</v>
      </c>
      <c r="I126" s="2" t="s">
        <v>1904</v>
      </c>
    </row>
    <row r="127" hidden="1">
      <c r="A127" s="2" t="s">
        <v>443</v>
      </c>
      <c r="B127" s="2" t="s">
        <v>446</v>
      </c>
      <c r="C127" s="4">
        <v>4.0</v>
      </c>
      <c r="D127" s="4">
        <v>0.0</v>
      </c>
      <c r="E127" s="2">
        <v>194.0</v>
      </c>
      <c r="F127" s="112"/>
      <c r="G127" s="2">
        <v>-129.0</v>
      </c>
      <c r="H127" s="2">
        <v>0.0</v>
      </c>
      <c r="I127" s="2" t="s">
        <v>1895</v>
      </c>
    </row>
    <row r="128" hidden="1">
      <c r="A128" s="2" t="s">
        <v>787</v>
      </c>
      <c r="B128" s="2" t="s">
        <v>788</v>
      </c>
      <c r="C128" s="4">
        <v>0.5</v>
      </c>
      <c r="D128" s="4">
        <v>0.0</v>
      </c>
      <c r="E128" s="2">
        <v>194.0</v>
      </c>
      <c r="F128" s="92"/>
      <c r="G128" s="2" t="s">
        <v>1863</v>
      </c>
      <c r="H128" s="2">
        <v>0.0</v>
      </c>
      <c r="I128" s="2" t="s">
        <v>1895</v>
      </c>
    </row>
    <row r="129">
      <c r="A129" s="116" t="s">
        <v>484</v>
      </c>
      <c r="B129" s="116" t="s">
        <v>636</v>
      </c>
      <c r="C129" s="117">
        <v>20.0</v>
      </c>
      <c r="D129" s="117">
        <v>0.0</v>
      </c>
      <c r="E129" s="116">
        <v>97.0</v>
      </c>
      <c r="F129" s="118">
        <v>46379.0</v>
      </c>
      <c r="G129" s="55" t="s">
        <v>1863</v>
      </c>
      <c r="H129" s="116">
        <v>0.0</v>
      </c>
      <c r="I129" s="116" t="s">
        <v>1895</v>
      </c>
      <c r="J129" s="120"/>
      <c r="K129" s="120"/>
      <c r="L129" s="120"/>
    </row>
    <row r="130" hidden="1">
      <c r="A130" s="2" t="s">
        <v>523</v>
      </c>
      <c r="B130" s="2" t="s">
        <v>528</v>
      </c>
      <c r="C130" s="4">
        <v>15.0</v>
      </c>
      <c r="D130" s="4">
        <v>0.0</v>
      </c>
      <c r="E130" s="4">
        <v>57.0</v>
      </c>
      <c r="F130" s="112"/>
      <c r="G130" s="2">
        <v>15.2</v>
      </c>
      <c r="H130" s="2">
        <v>0.0</v>
      </c>
      <c r="I130" s="2" t="s">
        <v>1895</v>
      </c>
    </row>
    <row r="131" hidden="1">
      <c r="A131" s="2" t="s">
        <v>562</v>
      </c>
      <c r="B131" s="2" t="s">
        <v>567</v>
      </c>
      <c r="C131" s="4">
        <v>4.0</v>
      </c>
      <c r="D131" s="4">
        <v>0.0</v>
      </c>
      <c r="E131" s="4">
        <v>32.0</v>
      </c>
      <c r="F131" s="112"/>
      <c r="G131" s="2">
        <v>-6.699999999999999</v>
      </c>
      <c r="H131" s="2">
        <v>0.0</v>
      </c>
      <c r="I131" s="2" t="s">
        <v>1895</v>
      </c>
    </row>
    <row r="132" hidden="1">
      <c r="A132" s="2" t="s">
        <v>598</v>
      </c>
      <c r="B132" s="2" t="s">
        <v>604</v>
      </c>
      <c r="C132" s="4">
        <v>15.0</v>
      </c>
      <c r="D132" s="4">
        <v>0.0</v>
      </c>
      <c r="E132" s="4">
        <v>26.0</v>
      </c>
      <c r="F132" s="112"/>
      <c r="G132" s="2">
        <v>-5.4</v>
      </c>
      <c r="H132" s="2">
        <v>0.0</v>
      </c>
      <c r="I132" s="2" t="s">
        <v>1895</v>
      </c>
    </row>
    <row r="133" hidden="1">
      <c r="A133" s="2" t="s">
        <v>682</v>
      </c>
      <c r="B133" s="2" t="s">
        <v>690</v>
      </c>
      <c r="C133" s="4">
        <v>14.0</v>
      </c>
      <c r="D133" s="4">
        <v>0.0</v>
      </c>
      <c r="E133" s="2">
        <v>123.0</v>
      </c>
      <c r="F133" s="112"/>
      <c r="G133" s="92"/>
      <c r="H133" s="2">
        <v>0.0</v>
      </c>
      <c r="I133" s="2" t="s">
        <v>1895</v>
      </c>
    </row>
    <row r="134" hidden="1">
      <c r="A134" s="2" t="s">
        <v>812</v>
      </c>
      <c r="B134" s="2" t="s">
        <v>813</v>
      </c>
      <c r="C134" s="4">
        <v>100.0</v>
      </c>
      <c r="D134" s="4">
        <v>0.0</v>
      </c>
      <c r="E134" s="2">
        <v>61.0</v>
      </c>
      <c r="F134" s="112"/>
      <c r="G134" s="92"/>
      <c r="H134" s="2">
        <v>0.0</v>
      </c>
      <c r="I134" s="2" t="s">
        <v>1895</v>
      </c>
    </row>
    <row r="135" hidden="1">
      <c r="A135" s="2" t="s">
        <v>819</v>
      </c>
      <c r="B135" s="2" t="s">
        <v>820</v>
      </c>
      <c r="C135" s="4">
        <v>1.0</v>
      </c>
      <c r="D135" s="4">
        <v>0.0</v>
      </c>
      <c r="E135" s="2" t="s">
        <v>1863</v>
      </c>
      <c r="F135" s="2" t="s">
        <v>1863</v>
      </c>
      <c r="G135" s="2" t="s">
        <v>1863</v>
      </c>
      <c r="H135" s="2" t="s">
        <v>1863</v>
      </c>
      <c r="I135" s="2" t="s">
        <v>1866</v>
      </c>
    </row>
    <row r="136" hidden="1">
      <c r="A136" s="2" t="s">
        <v>826</v>
      </c>
      <c r="B136" s="2" t="s">
        <v>828</v>
      </c>
      <c r="C136" s="4">
        <v>1.0</v>
      </c>
      <c r="D136" s="4">
        <v>0.0</v>
      </c>
      <c r="E136" s="2" t="s">
        <v>1863</v>
      </c>
      <c r="F136" s="2" t="s">
        <v>1863</v>
      </c>
      <c r="G136" s="2" t="s">
        <v>1863</v>
      </c>
      <c r="H136" s="2" t="s">
        <v>1863</v>
      </c>
      <c r="I136" s="2" t="s">
        <v>1866</v>
      </c>
    </row>
    <row r="137" hidden="1">
      <c r="A137" s="2" t="s">
        <v>1840</v>
      </c>
      <c r="B137" s="2" t="s">
        <v>1841</v>
      </c>
      <c r="C137" s="4">
        <v>0.0</v>
      </c>
      <c r="D137" s="4">
        <v>0.0</v>
      </c>
      <c r="E137" s="2" t="s">
        <v>1863</v>
      </c>
      <c r="F137" s="2" t="s">
        <v>1863</v>
      </c>
      <c r="G137" s="2" t="s">
        <v>1863</v>
      </c>
      <c r="H137" s="2" t="s">
        <v>1863</v>
      </c>
      <c r="I137" s="2" t="s">
        <v>1906</v>
      </c>
    </row>
    <row r="138">
      <c r="A138" s="33" t="s">
        <v>1843</v>
      </c>
      <c r="B138" s="33" t="s">
        <v>1845</v>
      </c>
      <c r="C138" s="100">
        <v>0.0</v>
      </c>
      <c r="D138" s="100">
        <v>0.0</v>
      </c>
      <c r="E138" s="33" t="s">
        <v>1863</v>
      </c>
      <c r="F138" s="101" t="s">
        <v>1863</v>
      </c>
      <c r="G138" s="55" t="s">
        <v>1863</v>
      </c>
      <c r="H138" s="33" t="s">
        <v>1863</v>
      </c>
      <c r="I138" s="33" t="s">
        <v>1866</v>
      </c>
      <c r="J138" s="34"/>
      <c r="K138" s="34"/>
      <c r="L138" s="34"/>
    </row>
    <row r="139" hidden="1">
      <c r="A139" s="2" t="s">
        <v>836</v>
      </c>
      <c r="B139" s="2" t="s">
        <v>837</v>
      </c>
      <c r="C139" s="4">
        <v>1.0</v>
      </c>
      <c r="D139" s="4">
        <v>0.0</v>
      </c>
      <c r="E139" s="2" t="s">
        <v>1863</v>
      </c>
      <c r="F139" s="2" t="s">
        <v>1863</v>
      </c>
      <c r="G139" s="2" t="s">
        <v>1863</v>
      </c>
      <c r="H139" s="2" t="s">
        <v>1863</v>
      </c>
      <c r="I139" s="2" t="s">
        <v>1866</v>
      </c>
    </row>
    <row r="140" hidden="1">
      <c r="A140" s="2" t="s">
        <v>842</v>
      </c>
      <c r="B140" s="2" t="s">
        <v>843</v>
      </c>
      <c r="C140" s="4">
        <v>1.0</v>
      </c>
      <c r="D140" s="4">
        <v>0.0</v>
      </c>
      <c r="E140" s="2" t="s">
        <v>1863</v>
      </c>
      <c r="F140" s="2" t="s">
        <v>1863</v>
      </c>
      <c r="G140" s="2" t="s">
        <v>1863</v>
      </c>
      <c r="H140" s="2" t="s">
        <v>1863</v>
      </c>
      <c r="I140" s="2" t="s">
        <v>1866</v>
      </c>
    </row>
    <row r="141" hidden="1">
      <c r="A141" s="2" t="s">
        <v>1855</v>
      </c>
      <c r="B141" s="2" t="s">
        <v>1858</v>
      </c>
      <c r="C141" s="4">
        <v>0.0</v>
      </c>
      <c r="D141" s="4">
        <v>0.0</v>
      </c>
      <c r="E141" s="2" t="s">
        <v>1863</v>
      </c>
      <c r="F141" s="2" t="s">
        <v>1863</v>
      </c>
      <c r="G141" s="2" t="s">
        <v>1863</v>
      </c>
      <c r="H141" s="2" t="s">
        <v>1863</v>
      </c>
      <c r="I141" s="2" t="s">
        <v>1866</v>
      </c>
    </row>
    <row r="142" hidden="1">
      <c r="A142" s="2" t="s">
        <v>1862</v>
      </c>
      <c r="B142" s="2" t="s">
        <v>1864</v>
      </c>
      <c r="C142" s="4">
        <v>0.0</v>
      </c>
      <c r="D142" s="4">
        <v>0.0</v>
      </c>
      <c r="E142" s="2" t="s">
        <v>1863</v>
      </c>
      <c r="F142" s="2" t="s">
        <v>1863</v>
      </c>
      <c r="G142" s="2" t="s">
        <v>1863</v>
      </c>
      <c r="H142" s="2" t="s">
        <v>1863</v>
      </c>
      <c r="I142" s="2" t="s">
        <v>1866</v>
      </c>
    </row>
    <row r="143">
      <c r="A143" s="33" t="s">
        <v>1867</v>
      </c>
      <c r="B143" s="33" t="s">
        <v>1868</v>
      </c>
      <c r="C143" s="100">
        <v>0.0</v>
      </c>
      <c r="D143" s="100">
        <v>0.0</v>
      </c>
      <c r="E143" s="33" t="s">
        <v>1863</v>
      </c>
      <c r="F143" s="101" t="s">
        <v>1863</v>
      </c>
      <c r="G143" s="55" t="s">
        <v>1863</v>
      </c>
      <c r="H143" s="33" t="s">
        <v>1863</v>
      </c>
      <c r="I143" s="33" t="s">
        <v>1866</v>
      </c>
      <c r="J143" s="34"/>
      <c r="K143" s="34"/>
      <c r="L143" s="34"/>
    </row>
    <row r="144">
      <c r="A144" s="33" t="s">
        <v>847</v>
      </c>
      <c r="B144" s="33" t="s">
        <v>849</v>
      </c>
      <c r="C144" s="100">
        <v>1.0</v>
      </c>
      <c r="D144" s="100">
        <v>0.0</v>
      </c>
      <c r="E144" s="33" t="s">
        <v>1863</v>
      </c>
      <c r="F144" s="101" t="s">
        <v>1863</v>
      </c>
      <c r="G144" s="55" t="s">
        <v>1863</v>
      </c>
      <c r="H144" s="33" t="s">
        <v>1863</v>
      </c>
      <c r="I144" s="33" t="s">
        <v>1866</v>
      </c>
      <c r="J144" s="34"/>
      <c r="K144" s="34"/>
      <c r="L144" s="34"/>
    </row>
    <row r="145" hidden="1">
      <c r="A145" s="2" t="s">
        <v>857</v>
      </c>
      <c r="B145" s="2" t="s">
        <v>859</v>
      </c>
      <c r="C145" s="4">
        <v>1.0</v>
      </c>
      <c r="D145" s="4">
        <v>0.0</v>
      </c>
      <c r="E145" s="2" t="s">
        <v>1863</v>
      </c>
      <c r="F145" s="2" t="s">
        <v>1863</v>
      </c>
      <c r="G145" s="2" t="s">
        <v>1863</v>
      </c>
      <c r="H145" s="2" t="s">
        <v>1863</v>
      </c>
      <c r="I145" s="2" t="s">
        <v>1866</v>
      </c>
    </row>
    <row r="146" hidden="1">
      <c r="A146" s="2" t="s">
        <v>865</v>
      </c>
      <c r="B146" s="2" t="s">
        <v>866</v>
      </c>
      <c r="C146" s="4">
        <v>1.0</v>
      </c>
      <c r="D146" s="4">
        <v>0.0</v>
      </c>
      <c r="E146" s="2" t="s">
        <v>1863</v>
      </c>
      <c r="F146" s="2" t="s">
        <v>1863</v>
      </c>
      <c r="G146" s="2" t="s">
        <v>1863</v>
      </c>
      <c r="H146" s="2" t="s">
        <v>1863</v>
      </c>
      <c r="I146" s="2" t="s">
        <v>1866</v>
      </c>
    </row>
    <row r="147" hidden="1">
      <c r="A147" s="2" t="s">
        <v>638</v>
      </c>
      <c r="B147" s="2" t="s">
        <v>644</v>
      </c>
      <c r="C147" s="4">
        <v>9.0</v>
      </c>
      <c r="D147" s="4">
        <v>0.0</v>
      </c>
      <c r="E147" s="2">
        <v>67.0</v>
      </c>
      <c r="F147" s="92"/>
      <c r="G147" s="92"/>
      <c r="H147" s="2">
        <v>0.0</v>
      </c>
      <c r="I147" s="2" t="s">
        <v>1895</v>
      </c>
    </row>
    <row r="148" hidden="1">
      <c r="A148" s="2" t="s">
        <v>1874</v>
      </c>
      <c r="B148" s="2" t="s">
        <v>1875</v>
      </c>
      <c r="C148" s="4">
        <v>0.0</v>
      </c>
      <c r="D148" s="4">
        <v>0.0</v>
      </c>
      <c r="E148" s="2" t="s">
        <v>1863</v>
      </c>
      <c r="F148" s="2" t="s">
        <v>1863</v>
      </c>
      <c r="G148" s="2" t="s">
        <v>1863</v>
      </c>
      <c r="H148" s="2" t="s">
        <v>1863</v>
      </c>
      <c r="I148" s="2" t="s">
        <v>1866</v>
      </c>
    </row>
    <row r="149">
      <c r="A149" s="121" t="s">
        <v>1877</v>
      </c>
      <c r="B149" s="121" t="s">
        <v>1878</v>
      </c>
      <c r="C149" s="122">
        <v>0.0</v>
      </c>
      <c r="D149" s="122">
        <v>0.0</v>
      </c>
      <c r="E149" s="121" t="s">
        <v>1863</v>
      </c>
      <c r="F149" s="123" t="s">
        <v>1863</v>
      </c>
      <c r="G149" s="124"/>
      <c r="H149" s="121" t="s">
        <v>1863</v>
      </c>
      <c r="I149" s="121" t="s">
        <v>1904</v>
      </c>
      <c r="J149" s="125"/>
      <c r="K149" s="125"/>
      <c r="L149" s="125"/>
    </row>
    <row r="150">
      <c r="A150" s="116" t="s">
        <v>876</v>
      </c>
      <c r="B150" s="116" t="s">
        <v>878</v>
      </c>
      <c r="C150" s="117">
        <v>34.0</v>
      </c>
      <c r="D150" s="117">
        <v>0.0</v>
      </c>
      <c r="E150" s="116">
        <v>23.0</v>
      </c>
      <c r="F150" s="118">
        <v>46305.0</v>
      </c>
      <c r="G150" s="124"/>
      <c r="H150" s="116">
        <v>0.0</v>
      </c>
      <c r="I150" s="116" t="s">
        <v>1895</v>
      </c>
      <c r="J150" s="120"/>
      <c r="K150" s="120"/>
      <c r="L150" s="120"/>
    </row>
    <row r="151" hidden="1">
      <c r="A151" s="2" t="s">
        <v>887</v>
      </c>
      <c r="B151" s="2" t="s">
        <v>888</v>
      </c>
      <c r="C151" s="4">
        <v>6.0</v>
      </c>
      <c r="D151" s="4">
        <v>0.0</v>
      </c>
      <c r="E151" s="2" t="s">
        <v>1863</v>
      </c>
      <c r="F151" s="2" t="s">
        <v>1863</v>
      </c>
      <c r="G151" s="92"/>
      <c r="H151" s="2" t="s">
        <v>1863</v>
      </c>
      <c r="I151" s="2" t="s">
        <v>1904</v>
      </c>
    </row>
    <row r="152" hidden="1">
      <c r="A152" s="2" t="s">
        <v>301</v>
      </c>
      <c r="B152" s="2" t="s">
        <v>302</v>
      </c>
      <c r="C152" s="4">
        <v>580.0</v>
      </c>
      <c r="D152" s="4">
        <v>0.0</v>
      </c>
      <c r="E152" s="2">
        <v>27.0</v>
      </c>
      <c r="F152" s="92"/>
      <c r="G152" s="92"/>
      <c r="H152" s="2">
        <v>0.0</v>
      </c>
      <c r="I152" s="2" t="s">
        <v>1895</v>
      </c>
    </row>
    <row r="153" hidden="1">
      <c r="A153" s="2" t="s">
        <v>1880</v>
      </c>
      <c r="B153" s="2" t="s">
        <v>1881</v>
      </c>
      <c r="C153" s="4">
        <v>0.0</v>
      </c>
      <c r="D153" s="4">
        <v>0.0</v>
      </c>
      <c r="E153" s="2" t="s">
        <v>1863</v>
      </c>
      <c r="F153" s="2" t="s">
        <v>1863</v>
      </c>
      <c r="G153" s="2" t="s">
        <v>1863</v>
      </c>
      <c r="H153" s="2" t="s">
        <v>1863</v>
      </c>
      <c r="I153" s="2" t="s">
        <v>1866</v>
      </c>
    </row>
    <row r="154">
      <c r="A154" s="33" t="s">
        <v>1883</v>
      </c>
      <c r="B154" s="33" t="s">
        <v>1884</v>
      </c>
      <c r="C154" s="100">
        <v>0.0</v>
      </c>
      <c r="D154" s="100">
        <v>0.0</v>
      </c>
      <c r="E154" s="33" t="s">
        <v>1863</v>
      </c>
      <c r="F154" s="101" t="s">
        <v>1863</v>
      </c>
      <c r="G154" s="55" t="s">
        <v>1863</v>
      </c>
      <c r="H154" s="33" t="s">
        <v>1863</v>
      </c>
      <c r="I154" s="33" t="s">
        <v>1866</v>
      </c>
      <c r="J154" s="34"/>
      <c r="K154" s="34"/>
      <c r="L154" s="34"/>
    </row>
    <row r="155">
      <c r="A155" s="33" t="s">
        <v>1886</v>
      </c>
      <c r="B155" s="33" t="s">
        <v>1887</v>
      </c>
      <c r="C155" s="100">
        <v>0.0</v>
      </c>
      <c r="D155" s="100">
        <v>0.0</v>
      </c>
      <c r="E155" s="33" t="s">
        <v>1863</v>
      </c>
      <c r="F155" s="101" t="s">
        <v>1863</v>
      </c>
      <c r="G155" s="55" t="s">
        <v>1863</v>
      </c>
      <c r="H155" s="33" t="s">
        <v>1863</v>
      </c>
      <c r="I155" s="33" t="s">
        <v>1866</v>
      </c>
      <c r="J155" s="34"/>
      <c r="K155" s="34"/>
      <c r="L155" s="34"/>
    </row>
    <row r="156">
      <c r="A156" s="116" t="s">
        <v>900</v>
      </c>
      <c r="B156" s="116" t="s">
        <v>902</v>
      </c>
      <c r="C156" s="117">
        <v>9.0</v>
      </c>
      <c r="D156" s="117">
        <v>0.0</v>
      </c>
      <c r="E156" s="116">
        <v>873.0</v>
      </c>
      <c r="F156" s="118">
        <v>47155.0</v>
      </c>
      <c r="G156" s="124"/>
      <c r="H156" s="116">
        <v>0.0</v>
      </c>
      <c r="I156" s="116" t="s">
        <v>1895</v>
      </c>
      <c r="J156" s="120"/>
      <c r="K156" s="120"/>
      <c r="L156" s="120"/>
    </row>
    <row r="157" hidden="1">
      <c r="A157" s="2" t="s">
        <v>908</v>
      </c>
      <c r="B157" s="2" t="s">
        <v>910</v>
      </c>
      <c r="C157" s="4">
        <v>16.0</v>
      </c>
      <c r="D157" s="4">
        <v>0.0</v>
      </c>
      <c r="E157" s="2" t="s">
        <v>1863</v>
      </c>
      <c r="F157" s="2" t="s">
        <v>1863</v>
      </c>
      <c r="G157" s="2" t="s">
        <v>1863</v>
      </c>
      <c r="H157" s="2" t="s">
        <v>1863</v>
      </c>
      <c r="I157" s="2" t="s">
        <v>1866</v>
      </c>
    </row>
    <row r="158" hidden="1">
      <c r="A158" s="2" t="s">
        <v>916</v>
      </c>
      <c r="B158" s="2" t="s">
        <v>918</v>
      </c>
      <c r="C158" s="4">
        <v>3.0</v>
      </c>
      <c r="D158" s="4">
        <v>0.0</v>
      </c>
      <c r="E158" s="2" t="s">
        <v>1863</v>
      </c>
      <c r="F158" s="2" t="s">
        <v>1863</v>
      </c>
      <c r="G158" s="2" t="s">
        <v>1863</v>
      </c>
      <c r="H158" s="2" t="s">
        <v>1863</v>
      </c>
      <c r="I158" s="2" t="s">
        <v>1866</v>
      </c>
    </row>
    <row r="159" hidden="1">
      <c r="A159" s="2" t="s">
        <v>924</v>
      </c>
      <c r="B159" s="2" t="s">
        <v>925</v>
      </c>
      <c r="C159" s="4">
        <v>3.0</v>
      </c>
      <c r="D159" s="4">
        <v>0.0</v>
      </c>
      <c r="E159" s="2" t="s">
        <v>1863</v>
      </c>
      <c r="F159" s="2" t="s">
        <v>1863</v>
      </c>
      <c r="G159" s="92"/>
      <c r="H159" s="2" t="s">
        <v>1863</v>
      </c>
      <c r="I159" s="2" t="s">
        <v>1904</v>
      </c>
    </row>
    <row r="160" hidden="1">
      <c r="A160" s="2" t="s">
        <v>932</v>
      </c>
      <c r="B160" s="2" t="s">
        <v>933</v>
      </c>
      <c r="C160" s="4">
        <v>400.0</v>
      </c>
      <c r="D160" s="4">
        <v>0.0</v>
      </c>
      <c r="E160" s="2" t="s">
        <v>1863</v>
      </c>
      <c r="F160" s="2" t="s">
        <v>1863</v>
      </c>
      <c r="G160" s="2" t="s">
        <v>1863</v>
      </c>
      <c r="H160" s="2" t="s">
        <v>1863</v>
      </c>
      <c r="I160" s="2" t="s">
        <v>1866</v>
      </c>
    </row>
    <row r="161">
      <c r="A161" s="33" t="s">
        <v>938</v>
      </c>
      <c r="B161" s="33" t="s">
        <v>939</v>
      </c>
      <c r="C161" s="100">
        <v>35.0</v>
      </c>
      <c r="D161" s="100">
        <v>0.0</v>
      </c>
      <c r="E161" s="33" t="s">
        <v>1863</v>
      </c>
      <c r="F161" s="101" t="s">
        <v>1863</v>
      </c>
      <c r="G161" s="55" t="s">
        <v>1863</v>
      </c>
      <c r="H161" s="33" t="s">
        <v>1863</v>
      </c>
      <c r="I161" s="33" t="s">
        <v>1866</v>
      </c>
      <c r="J161" s="34"/>
      <c r="K161" s="34"/>
      <c r="L161" s="34"/>
    </row>
    <row r="162" hidden="1">
      <c r="A162" s="2" t="s">
        <v>913</v>
      </c>
      <c r="B162" s="2" t="s">
        <v>915</v>
      </c>
      <c r="C162" s="4">
        <v>0.0</v>
      </c>
      <c r="D162" s="4">
        <v>0.0</v>
      </c>
      <c r="E162" s="2" t="s">
        <v>1863</v>
      </c>
      <c r="F162" s="2" t="s">
        <v>1863</v>
      </c>
      <c r="G162" s="2" t="s">
        <v>1863</v>
      </c>
      <c r="H162" s="2" t="s">
        <v>1863</v>
      </c>
      <c r="I162" s="2" t="s">
        <v>1866</v>
      </c>
    </row>
    <row r="163" hidden="1">
      <c r="A163" s="2" t="s">
        <v>1782</v>
      </c>
      <c r="B163" s="2" t="s">
        <v>1783</v>
      </c>
      <c r="C163" s="4">
        <v>0.0</v>
      </c>
      <c r="D163" s="4">
        <v>0.0</v>
      </c>
      <c r="E163" s="2" t="s">
        <v>1863</v>
      </c>
      <c r="F163" s="2" t="s">
        <v>1863</v>
      </c>
      <c r="G163" s="2" t="s">
        <v>1863</v>
      </c>
      <c r="H163" s="2" t="s">
        <v>1863</v>
      </c>
      <c r="I163" s="2" t="s">
        <v>1866</v>
      </c>
    </row>
    <row r="164">
      <c r="A164" s="33" t="s">
        <v>1588</v>
      </c>
      <c r="B164" s="33" t="s">
        <v>1784</v>
      </c>
      <c r="C164" s="100">
        <v>0.0</v>
      </c>
      <c r="D164" s="100">
        <v>0.0</v>
      </c>
      <c r="E164" s="33" t="s">
        <v>1863</v>
      </c>
      <c r="F164" s="101" t="s">
        <v>1863</v>
      </c>
      <c r="G164" s="55" t="s">
        <v>1863</v>
      </c>
      <c r="H164" s="33" t="s">
        <v>1863</v>
      </c>
      <c r="I164" s="33" t="s">
        <v>1866</v>
      </c>
      <c r="J164" s="34"/>
      <c r="K164" s="34"/>
      <c r="L164" s="34"/>
    </row>
    <row r="165">
      <c r="A165" s="33" t="s">
        <v>1583</v>
      </c>
      <c r="B165" s="33" t="s">
        <v>1901</v>
      </c>
      <c r="C165" s="100">
        <v>0.0</v>
      </c>
      <c r="D165" s="100">
        <v>0.0</v>
      </c>
      <c r="E165" s="33" t="s">
        <v>1863</v>
      </c>
      <c r="F165" s="101" t="s">
        <v>1863</v>
      </c>
      <c r="G165" s="55" t="s">
        <v>1863</v>
      </c>
      <c r="H165" s="33" t="s">
        <v>1863</v>
      </c>
      <c r="I165" s="33" t="s">
        <v>1866</v>
      </c>
      <c r="J165" s="34"/>
      <c r="K165" s="34"/>
      <c r="L165" s="34"/>
    </row>
    <row r="166">
      <c r="A166" s="116" t="s">
        <v>945</v>
      </c>
      <c r="B166" s="116" t="s">
        <v>946</v>
      </c>
      <c r="C166" s="117">
        <v>25.0</v>
      </c>
      <c r="D166" s="117">
        <v>0.0</v>
      </c>
      <c r="E166" s="116">
        <v>19.0</v>
      </c>
      <c r="F166" s="118">
        <v>46301.0</v>
      </c>
      <c r="G166" s="128">
        <v>-6.699999999999999</v>
      </c>
      <c r="H166" s="116">
        <v>0.0</v>
      </c>
      <c r="I166" s="116" t="s">
        <v>1895</v>
      </c>
      <c r="J166" s="120"/>
      <c r="K166" s="120"/>
      <c r="L166" s="120"/>
    </row>
    <row r="167" hidden="1">
      <c r="A167" s="2" t="s">
        <v>1585</v>
      </c>
      <c r="B167" s="2" t="s">
        <v>1694</v>
      </c>
      <c r="C167" s="4">
        <v>0.0</v>
      </c>
      <c r="D167" s="4">
        <v>0.0</v>
      </c>
      <c r="E167" s="2" t="s">
        <v>1863</v>
      </c>
      <c r="F167" s="2" t="s">
        <v>1863</v>
      </c>
      <c r="G167" s="2" t="s">
        <v>1863</v>
      </c>
      <c r="H167" s="2" t="s">
        <v>1863</v>
      </c>
      <c r="I167" s="2" t="s">
        <v>1866</v>
      </c>
    </row>
    <row r="168">
      <c r="A168" s="33" t="s">
        <v>1589</v>
      </c>
      <c r="B168" s="33" t="s">
        <v>1695</v>
      </c>
      <c r="C168" s="100">
        <v>0.0</v>
      </c>
      <c r="D168" s="100">
        <v>0.0</v>
      </c>
      <c r="E168" s="33" t="s">
        <v>1863</v>
      </c>
      <c r="F168" s="101" t="s">
        <v>1863</v>
      </c>
      <c r="G168" s="55" t="s">
        <v>1863</v>
      </c>
      <c r="H168" s="33" t="s">
        <v>1863</v>
      </c>
      <c r="I168" s="33" t="s">
        <v>1866</v>
      </c>
      <c r="J168" s="34"/>
      <c r="K168" s="34"/>
      <c r="L168" s="34"/>
    </row>
    <row r="169">
      <c r="A169" s="33" t="s">
        <v>942</v>
      </c>
      <c r="B169" s="33" t="s">
        <v>943</v>
      </c>
      <c r="C169" s="100">
        <v>900.0</v>
      </c>
      <c r="D169" s="100">
        <v>0.0</v>
      </c>
      <c r="E169" s="33" t="s">
        <v>1863</v>
      </c>
      <c r="F169" s="101" t="s">
        <v>1863</v>
      </c>
      <c r="G169" s="55" t="s">
        <v>1863</v>
      </c>
      <c r="H169" s="33" t="s">
        <v>1863</v>
      </c>
      <c r="I169" s="33" t="s">
        <v>1866</v>
      </c>
      <c r="J169" s="34"/>
      <c r="K169" s="34"/>
      <c r="L169" s="34"/>
    </row>
    <row r="170" hidden="1">
      <c r="A170" s="2" t="s">
        <v>778</v>
      </c>
      <c r="B170" s="2" t="s">
        <v>779</v>
      </c>
      <c r="C170" s="4">
        <v>0.0</v>
      </c>
      <c r="D170" s="4">
        <v>0.0</v>
      </c>
      <c r="E170" s="2" t="s">
        <v>1863</v>
      </c>
      <c r="F170" s="2" t="s">
        <v>1863</v>
      </c>
      <c r="G170" s="2" t="s">
        <v>1863</v>
      </c>
      <c r="H170" s="2" t="s">
        <v>1863</v>
      </c>
      <c r="I170" s="2" t="s">
        <v>1866</v>
      </c>
    </row>
    <row r="171">
      <c r="A171" s="33" t="s">
        <v>951</v>
      </c>
      <c r="B171" s="33" t="s">
        <v>953</v>
      </c>
      <c r="C171" s="100">
        <v>990.0</v>
      </c>
      <c r="D171" s="100">
        <v>0.0</v>
      </c>
      <c r="E171" s="33" t="s">
        <v>1863</v>
      </c>
      <c r="F171" s="101" t="s">
        <v>1863</v>
      </c>
      <c r="G171" s="55" t="s">
        <v>1863</v>
      </c>
      <c r="H171" s="33" t="s">
        <v>1863</v>
      </c>
      <c r="I171" s="33" t="s">
        <v>1866</v>
      </c>
      <c r="J171" s="34"/>
      <c r="K171" s="34"/>
      <c r="L171" s="34"/>
    </row>
    <row r="172" hidden="1">
      <c r="A172" s="2" t="s">
        <v>1516</v>
      </c>
      <c r="B172" s="2" t="s">
        <v>1517</v>
      </c>
      <c r="C172" s="4">
        <v>1100.0</v>
      </c>
      <c r="D172" s="4">
        <v>0.0</v>
      </c>
      <c r="E172" s="2" t="s">
        <v>1863</v>
      </c>
      <c r="F172" s="2" t="s">
        <v>1863</v>
      </c>
      <c r="G172" s="2" t="s">
        <v>1863</v>
      </c>
      <c r="H172" s="2" t="s">
        <v>1863</v>
      </c>
      <c r="I172" s="2" t="s">
        <v>1866</v>
      </c>
    </row>
    <row r="173">
      <c r="A173" s="33" t="s">
        <v>957</v>
      </c>
      <c r="B173" s="33" t="s">
        <v>958</v>
      </c>
      <c r="C173" s="100">
        <v>65.0</v>
      </c>
      <c r="D173" s="100">
        <v>0.0</v>
      </c>
      <c r="E173" s="33" t="s">
        <v>1863</v>
      </c>
      <c r="F173" s="101" t="s">
        <v>1863</v>
      </c>
      <c r="G173" s="55" t="s">
        <v>1863</v>
      </c>
      <c r="H173" s="33" t="s">
        <v>1863</v>
      </c>
      <c r="I173" s="33" t="s">
        <v>1866</v>
      </c>
      <c r="J173" s="34"/>
      <c r="K173" s="34"/>
      <c r="L173" s="34"/>
    </row>
    <row r="174" hidden="1">
      <c r="A174" s="2" t="s">
        <v>1911</v>
      </c>
      <c r="B174" s="2" t="s">
        <v>1913</v>
      </c>
      <c r="C174" s="4">
        <v>0.0</v>
      </c>
      <c r="D174" s="4">
        <v>0.0</v>
      </c>
      <c r="E174" s="2" t="s">
        <v>1863</v>
      </c>
      <c r="F174" s="2" t="s">
        <v>1863</v>
      </c>
      <c r="G174" s="2" t="s">
        <v>1863</v>
      </c>
      <c r="H174" s="2" t="s">
        <v>1863</v>
      </c>
      <c r="I174" s="2" t="s">
        <v>1866</v>
      </c>
    </row>
    <row r="175">
      <c r="A175" s="33" t="s">
        <v>1914</v>
      </c>
      <c r="B175" s="33" t="s">
        <v>1915</v>
      </c>
      <c r="C175" s="100">
        <v>0.0</v>
      </c>
      <c r="D175" s="100">
        <v>0.0</v>
      </c>
      <c r="E175" s="33" t="s">
        <v>1863</v>
      </c>
      <c r="F175" s="101" t="s">
        <v>1863</v>
      </c>
      <c r="G175" s="55" t="s">
        <v>1863</v>
      </c>
      <c r="H175" s="33" t="s">
        <v>1863</v>
      </c>
      <c r="I175" s="33" t="s">
        <v>1866</v>
      </c>
      <c r="J175" s="34"/>
      <c r="K175" s="34"/>
      <c r="L175" s="34"/>
    </row>
    <row r="176">
      <c r="A176" s="33" t="s">
        <v>341</v>
      </c>
      <c r="B176" s="33" t="s">
        <v>342</v>
      </c>
      <c r="C176" s="100">
        <v>0.0</v>
      </c>
      <c r="D176" s="100">
        <v>0.0</v>
      </c>
      <c r="E176" s="33" t="s">
        <v>1863</v>
      </c>
      <c r="F176" s="101" t="s">
        <v>1863</v>
      </c>
      <c r="G176" s="55" t="s">
        <v>1863</v>
      </c>
      <c r="H176" s="33" t="s">
        <v>1863</v>
      </c>
      <c r="I176" s="33" t="s">
        <v>1866</v>
      </c>
      <c r="J176" s="34"/>
      <c r="K176" s="34"/>
      <c r="L176" s="34"/>
    </row>
    <row r="177">
      <c r="A177" s="33" t="s">
        <v>139</v>
      </c>
      <c r="B177" s="33" t="s">
        <v>140</v>
      </c>
      <c r="C177" s="100">
        <v>0.0</v>
      </c>
      <c r="D177" s="100">
        <v>0.0</v>
      </c>
      <c r="E177" s="33" t="s">
        <v>1863</v>
      </c>
      <c r="F177" s="101" t="s">
        <v>1863</v>
      </c>
      <c r="G177" s="55" t="s">
        <v>1863</v>
      </c>
      <c r="H177" s="33" t="s">
        <v>1863</v>
      </c>
      <c r="I177" s="33" t="s">
        <v>1866</v>
      </c>
      <c r="J177" s="34"/>
      <c r="K177" s="34"/>
      <c r="L177" s="34"/>
    </row>
    <row r="178">
      <c r="A178" s="33" t="s">
        <v>171</v>
      </c>
      <c r="B178" s="33" t="s">
        <v>172</v>
      </c>
      <c r="C178" s="100">
        <v>720.0</v>
      </c>
      <c r="D178" s="100">
        <v>0.0</v>
      </c>
      <c r="E178" s="33" t="s">
        <v>1863</v>
      </c>
      <c r="F178" s="101" t="s">
        <v>1863</v>
      </c>
      <c r="G178" s="55" t="s">
        <v>1863</v>
      </c>
      <c r="H178" s="33" t="s">
        <v>1863</v>
      </c>
      <c r="I178" s="33" t="s">
        <v>1866</v>
      </c>
      <c r="J178" s="34"/>
      <c r="K178" s="34"/>
      <c r="L178" s="34"/>
    </row>
    <row r="179" hidden="1">
      <c r="A179" s="2" t="s">
        <v>964</v>
      </c>
      <c r="B179" s="2" t="s">
        <v>965</v>
      </c>
      <c r="C179" s="4">
        <v>25.0</v>
      </c>
      <c r="D179" s="4">
        <v>0.0</v>
      </c>
      <c r="E179" s="2">
        <v>61.0</v>
      </c>
      <c r="F179" s="92"/>
      <c r="G179" s="92"/>
      <c r="H179" s="2">
        <v>0.0</v>
      </c>
      <c r="I179" s="2" t="s">
        <v>1895</v>
      </c>
    </row>
    <row r="180" hidden="1">
      <c r="A180" s="2" t="s">
        <v>968</v>
      </c>
      <c r="B180" s="2" t="s">
        <v>969</v>
      </c>
      <c r="C180" s="4">
        <v>2.0</v>
      </c>
      <c r="D180" s="4">
        <v>0.0</v>
      </c>
      <c r="E180" s="2">
        <v>39.0</v>
      </c>
      <c r="F180" s="112"/>
      <c r="G180" s="92"/>
      <c r="H180" s="2">
        <v>0.0</v>
      </c>
      <c r="I180" s="2" t="s">
        <v>1895</v>
      </c>
    </row>
    <row r="181" hidden="1">
      <c r="A181" s="2" t="s">
        <v>971</v>
      </c>
      <c r="B181" s="2" t="s">
        <v>972</v>
      </c>
      <c r="C181" s="4">
        <v>6.0</v>
      </c>
      <c r="D181" s="4">
        <v>0.0</v>
      </c>
      <c r="E181" s="2">
        <v>83.0</v>
      </c>
      <c r="F181" s="112"/>
      <c r="G181" s="92"/>
      <c r="H181" s="2">
        <v>0.0</v>
      </c>
      <c r="I181" s="2" t="s">
        <v>1895</v>
      </c>
    </row>
    <row r="182" hidden="1">
      <c r="A182" s="2" t="s">
        <v>978</v>
      </c>
      <c r="B182" s="2" t="s">
        <v>979</v>
      </c>
      <c r="C182" s="4">
        <v>15.0</v>
      </c>
      <c r="D182" s="4">
        <v>0.0</v>
      </c>
      <c r="E182" s="2">
        <v>58.0</v>
      </c>
      <c r="F182" s="112"/>
      <c r="G182" s="92"/>
      <c r="H182" s="2">
        <v>0.0</v>
      </c>
      <c r="I182" s="2" t="s">
        <v>1895</v>
      </c>
    </row>
    <row r="183" hidden="1">
      <c r="A183" s="2" t="s">
        <v>983</v>
      </c>
      <c r="B183" s="2" t="s">
        <v>984</v>
      </c>
      <c r="C183" s="4">
        <v>8.0</v>
      </c>
      <c r="D183" s="4">
        <v>0.0</v>
      </c>
      <c r="E183" s="2" t="s">
        <v>1863</v>
      </c>
      <c r="F183" s="2" t="s">
        <v>1863</v>
      </c>
      <c r="G183" s="92"/>
      <c r="H183" s="2" t="s">
        <v>1863</v>
      </c>
      <c r="I183" s="2" t="s">
        <v>1904</v>
      </c>
    </row>
    <row r="184" hidden="1">
      <c r="A184" s="2" t="s">
        <v>988</v>
      </c>
      <c r="B184" s="2" t="s">
        <v>990</v>
      </c>
      <c r="C184" s="4">
        <v>2.0</v>
      </c>
      <c r="D184" s="4">
        <v>0.0</v>
      </c>
      <c r="E184" s="2">
        <v>194.0</v>
      </c>
      <c r="F184" s="92"/>
      <c r="G184" s="92"/>
      <c r="H184" s="2">
        <v>1.0</v>
      </c>
      <c r="I184" s="2" t="s">
        <v>1895</v>
      </c>
    </row>
    <row r="185">
      <c r="A185" s="116" t="s">
        <v>753</v>
      </c>
      <c r="B185" s="116" t="s">
        <v>755</v>
      </c>
      <c r="C185" s="117">
        <v>25.0</v>
      </c>
      <c r="D185" s="117">
        <v>0.0</v>
      </c>
      <c r="E185" s="116">
        <v>57.0</v>
      </c>
      <c r="F185" s="118">
        <v>46339.0</v>
      </c>
      <c r="G185" s="119">
        <v>19.5</v>
      </c>
      <c r="H185" s="116">
        <v>20.0</v>
      </c>
      <c r="I185" s="116" t="s">
        <v>1895</v>
      </c>
      <c r="J185" s="120"/>
      <c r="K185" s="120"/>
      <c r="L185" s="120"/>
    </row>
    <row r="186">
      <c r="A186" s="116" t="s">
        <v>994</v>
      </c>
      <c r="B186" s="116" t="s">
        <v>995</v>
      </c>
      <c r="C186" s="117">
        <v>9.0</v>
      </c>
      <c r="D186" s="117">
        <v>0.0</v>
      </c>
      <c r="E186" s="116">
        <v>73.0</v>
      </c>
      <c r="F186" s="118">
        <v>46355.0</v>
      </c>
      <c r="G186" s="124"/>
      <c r="H186" s="116">
        <v>0.0</v>
      </c>
      <c r="I186" s="116" t="s">
        <v>1895</v>
      </c>
      <c r="J186" s="120"/>
      <c r="K186" s="120"/>
      <c r="L186" s="120"/>
    </row>
    <row r="187" hidden="1">
      <c r="A187" s="2" t="s">
        <v>1614</v>
      </c>
      <c r="B187" s="2" t="s">
        <v>1792</v>
      </c>
      <c r="C187" s="4">
        <v>0.0</v>
      </c>
      <c r="D187" s="4">
        <v>0.0</v>
      </c>
      <c r="E187" s="2" t="s">
        <v>1863</v>
      </c>
      <c r="F187" s="2" t="s">
        <v>1863</v>
      </c>
      <c r="G187" s="2" t="s">
        <v>1863</v>
      </c>
      <c r="H187" s="2" t="s">
        <v>1863</v>
      </c>
      <c r="I187" s="2" t="s">
        <v>1866</v>
      </c>
    </row>
    <row r="188">
      <c r="A188" s="33" t="s">
        <v>1917</v>
      </c>
      <c r="B188" s="33" t="s">
        <v>1918</v>
      </c>
      <c r="C188" s="100">
        <v>0.0</v>
      </c>
      <c r="D188" s="100">
        <v>0.0</v>
      </c>
      <c r="E188" s="33" t="s">
        <v>1863</v>
      </c>
      <c r="F188" s="101" t="s">
        <v>1863</v>
      </c>
      <c r="G188" s="55" t="s">
        <v>1863</v>
      </c>
      <c r="H188" s="33" t="s">
        <v>1863</v>
      </c>
      <c r="I188" s="33" t="s">
        <v>1866</v>
      </c>
      <c r="J188" s="34"/>
      <c r="K188" s="34"/>
      <c r="L188" s="34"/>
    </row>
    <row r="189">
      <c r="A189" s="33" t="s">
        <v>998</v>
      </c>
      <c r="B189" s="33" t="s">
        <v>999</v>
      </c>
      <c r="C189" s="100">
        <v>1.0</v>
      </c>
      <c r="D189" s="100">
        <v>0.0</v>
      </c>
      <c r="E189" s="33" t="s">
        <v>1863</v>
      </c>
      <c r="F189" s="101" t="s">
        <v>1863</v>
      </c>
      <c r="G189" s="55" t="s">
        <v>1863</v>
      </c>
      <c r="H189" s="33" t="s">
        <v>1863</v>
      </c>
      <c r="I189" s="33" t="s">
        <v>1866</v>
      </c>
      <c r="J189" s="34"/>
      <c r="K189" s="34"/>
      <c r="L189" s="34"/>
    </row>
    <row r="190" hidden="1">
      <c r="A190" s="2" t="s">
        <v>1001</v>
      </c>
      <c r="B190" s="2" t="s">
        <v>1002</v>
      </c>
      <c r="C190" s="4">
        <v>1.0</v>
      </c>
      <c r="D190" s="4">
        <v>0.0</v>
      </c>
      <c r="E190" s="2" t="s">
        <v>1863</v>
      </c>
      <c r="F190" s="2" t="s">
        <v>1863</v>
      </c>
      <c r="G190" s="2" t="s">
        <v>1863</v>
      </c>
      <c r="H190" s="2" t="s">
        <v>1863</v>
      </c>
      <c r="I190" s="2" t="s">
        <v>1866</v>
      </c>
    </row>
    <row r="191">
      <c r="A191" s="33" t="s">
        <v>1920</v>
      </c>
      <c r="B191" s="33" t="s">
        <v>1921</v>
      </c>
      <c r="C191" s="100">
        <v>0.0</v>
      </c>
      <c r="D191" s="100">
        <v>0.0</v>
      </c>
      <c r="E191" s="33" t="s">
        <v>1863</v>
      </c>
      <c r="F191" s="101" t="s">
        <v>1863</v>
      </c>
      <c r="G191" s="55" t="s">
        <v>1863</v>
      </c>
      <c r="H191" s="33" t="s">
        <v>1863</v>
      </c>
      <c r="I191" s="33" t="s">
        <v>1866</v>
      </c>
      <c r="J191" s="34"/>
      <c r="K191" s="34"/>
      <c r="L191" s="34"/>
    </row>
    <row r="192">
      <c r="A192" s="33" t="s">
        <v>1004</v>
      </c>
      <c r="B192" s="33" t="s">
        <v>1005</v>
      </c>
      <c r="C192" s="100">
        <v>5.0</v>
      </c>
      <c r="D192" s="100">
        <v>0.0</v>
      </c>
      <c r="E192" s="33" t="s">
        <v>1863</v>
      </c>
      <c r="F192" s="101" t="s">
        <v>1863</v>
      </c>
      <c r="G192" s="55" t="s">
        <v>1863</v>
      </c>
      <c r="H192" s="33" t="s">
        <v>1863</v>
      </c>
      <c r="I192" s="33" t="s">
        <v>1866</v>
      </c>
      <c r="J192" s="34"/>
      <c r="K192" s="34"/>
      <c r="L192" s="34"/>
    </row>
    <row r="193" hidden="1">
      <c r="A193" s="2" t="s">
        <v>1008</v>
      </c>
      <c r="B193" s="2" t="s">
        <v>1009</v>
      </c>
      <c r="C193" s="4">
        <v>200.0</v>
      </c>
      <c r="D193" s="4">
        <v>0.0</v>
      </c>
      <c r="E193" s="2" t="s">
        <v>1863</v>
      </c>
      <c r="F193" s="2" t="s">
        <v>1863</v>
      </c>
      <c r="G193" s="2" t="s">
        <v>1863</v>
      </c>
      <c r="H193" s="2" t="s">
        <v>1863</v>
      </c>
      <c r="I193" s="2" t="s">
        <v>1866</v>
      </c>
    </row>
    <row r="194" hidden="1">
      <c r="A194" s="2" t="s">
        <v>1011</v>
      </c>
      <c r="B194" s="2" t="s">
        <v>1012</v>
      </c>
      <c r="C194" s="4">
        <v>100.0</v>
      </c>
      <c r="D194" s="4">
        <v>0.0</v>
      </c>
      <c r="E194" s="2" t="s">
        <v>1863</v>
      </c>
      <c r="F194" s="2" t="s">
        <v>1863</v>
      </c>
      <c r="G194" s="2" t="s">
        <v>1863</v>
      </c>
      <c r="H194" s="2" t="s">
        <v>1863</v>
      </c>
      <c r="I194" s="2" t="s">
        <v>1866</v>
      </c>
    </row>
    <row r="195">
      <c r="A195" s="33" t="s">
        <v>1699</v>
      </c>
      <c r="B195" s="33" t="s">
        <v>1700</v>
      </c>
      <c r="C195" s="100">
        <v>0.0</v>
      </c>
      <c r="D195" s="100">
        <v>0.0</v>
      </c>
      <c r="E195" s="33" t="s">
        <v>1863</v>
      </c>
      <c r="F195" s="101" t="s">
        <v>1863</v>
      </c>
      <c r="G195" s="55" t="s">
        <v>1863</v>
      </c>
      <c r="H195" s="33" t="s">
        <v>1863</v>
      </c>
      <c r="I195" s="33" t="s">
        <v>1866</v>
      </c>
      <c r="J195" s="34"/>
      <c r="K195" s="34"/>
      <c r="L195" s="34"/>
    </row>
    <row r="196">
      <c r="A196" s="33" t="s">
        <v>1701</v>
      </c>
      <c r="B196" s="33" t="s">
        <v>1702</v>
      </c>
      <c r="C196" s="100">
        <v>0.0</v>
      </c>
      <c r="D196" s="100">
        <v>0.0</v>
      </c>
      <c r="E196" s="33" t="s">
        <v>1863</v>
      </c>
      <c r="F196" s="101" t="s">
        <v>1863</v>
      </c>
      <c r="G196" s="55" t="s">
        <v>1863</v>
      </c>
      <c r="H196" s="33" t="s">
        <v>1863</v>
      </c>
      <c r="I196" s="33" t="s">
        <v>1866</v>
      </c>
      <c r="J196" s="34"/>
      <c r="K196" s="34"/>
      <c r="L196" s="34"/>
    </row>
    <row r="197">
      <c r="A197" s="33" t="s">
        <v>1014</v>
      </c>
      <c r="B197" s="33" t="s">
        <v>1015</v>
      </c>
      <c r="C197" s="100">
        <v>835.0</v>
      </c>
      <c r="D197" s="100">
        <v>0.0</v>
      </c>
      <c r="E197" s="33" t="s">
        <v>1863</v>
      </c>
      <c r="F197" s="101" t="s">
        <v>1863</v>
      </c>
      <c r="G197" s="55" t="s">
        <v>1863</v>
      </c>
      <c r="H197" s="33" t="s">
        <v>1863</v>
      </c>
      <c r="I197" s="33" t="s">
        <v>1866</v>
      </c>
      <c r="J197" s="34"/>
      <c r="K197" s="34"/>
      <c r="L197" s="34"/>
    </row>
    <row r="198" hidden="1">
      <c r="A198" s="2" t="s">
        <v>948</v>
      </c>
      <c r="B198" s="2" t="s">
        <v>952</v>
      </c>
      <c r="C198" s="4">
        <v>5.0</v>
      </c>
      <c r="D198" s="4">
        <v>0.0</v>
      </c>
      <c r="E198" s="2">
        <v>19.0</v>
      </c>
      <c r="F198" s="92"/>
      <c r="G198" s="2">
        <v>-6.0</v>
      </c>
      <c r="H198" s="2">
        <v>5.0</v>
      </c>
      <c r="I198" s="2" t="s">
        <v>1895</v>
      </c>
    </row>
    <row r="199" hidden="1">
      <c r="A199" s="2" t="s">
        <v>1018</v>
      </c>
      <c r="B199" s="2" t="s">
        <v>1019</v>
      </c>
      <c r="C199" s="4">
        <v>6.0</v>
      </c>
      <c r="D199" s="4">
        <v>0.0</v>
      </c>
      <c r="E199" s="2" t="s">
        <v>1863</v>
      </c>
      <c r="F199" s="2" t="s">
        <v>1863</v>
      </c>
      <c r="G199" s="2" t="s">
        <v>1863</v>
      </c>
      <c r="H199" s="2" t="s">
        <v>1863</v>
      </c>
      <c r="I199" s="2" t="s">
        <v>1866</v>
      </c>
    </row>
    <row r="200" hidden="1">
      <c r="A200" s="2" t="s">
        <v>1923</v>
      </c>
      <c r="B200" s="2" t="s">
        <v>794</v>
      </c>
      <c r="C200" s="4">
        <v>0.0</v>
      </c>
      <c r="D200" s="4">
        <v>0.0</v>
      </c>
      <c r="E200" s="2" t="s">
        <v>1863</v>
      </c>
      <c r="F200" s="2" t="s">
        <v>1863</v>
      </c>
      <c r="G200" s="2" t="s">
        <v>1863</v>
      </c>
      <c r="H200" s="2" t="s">
        <v>1863</v>
      </c>
      <c r="I200" s="2" t="s">
        <v>1866</v>
      </c>
    </row>
    <row r="201">
      <c r="A201" s="116" t="s">
        <v>1021</v>
      </c>
      <c r="B201" s="116" t="s">
        <v>1022</v>
      </c>
      <c r="C201" s="117">
        <v>9.0</v>
      </c>
      <c r="D201" s="117">
        <v>0.0</v>
      </c>
      <c r="E201" s="116">
        <v>291.0</v>
      </c>
      <c r="F201" s="118">
        <v>46573.0</v>
      </c>
      <c r="G201" s="124"/>
      <c r="H201" s="116">
        <v>5.0</v>
      </c>
      <c r="I201" s="116" t="s">
        <v>1895</v>
      </c>
      <c r="J201" s="120"/>
      <c r="K201" s="120"/>
      <c r="L201" s="120"/>
    </row>
    <row r="202" hidden="1">
      <c r="A202" s="2" t="s">
        <v>1024</v>
      </c>
      <c r="B202" s="2" t="s">
        <v>1025</v>
      </c>
      <c r="C202" s="4">
        <v>1296.0</v>
      </c>
      <c r="D202" s="4">
        <v>0.0</v>
      </c>
      <c r="E202" s="2" t="s">
        <v>1863</v>
      </c>
      <c r="F202" s="2" t="s">
        <v>1863</v>
      </c>
      <c r="G202" s="2" t="s">
        <v>1863</v>
      </c>
      <c r="H202" s="2" t="s">
        <v>1863</v>
      </c>
      <c r="I202" s="2" t="s">
        <v>1866</v>
      </c>
    </row>
    <row r="203" hidden="1">
      <c r="A203" s="2" t="s">
        <v>1027</v>
      </c>
      <c r="B203" s="2" t="s">
        <v>1028</v>
      </c>
      <c r="C203" s="4">
        <v>1872.0</v>
      </c>
      <c r="D203" s="4">
        <v>0.0</v>
      </c>
      <c r="E203" s="2" t="s">
        <v>1863</v>
      </c>
      <c r="F203" s="2" t="s">
        <v>1863</v>
      </c>
      <c r="G203" s="2" t="s">
        <v>1863</v>
      </c>
      <c r="H203" s="2" t="s">
        <v>1863</v>
      </c>
      <c r="I203" s="2" t="s">
        <v>1866</v>
      </c>
    </row>
    <row r="204" hidden="1">
      <c r="A204" s="2" t="s">
        <v>701</v>
      </c>
      <c r="B204" s="2" t="s">
        <v>702</v>
      </c>
      <c r="C204" s="4">
        <v>0.0</v>
      </c>
      <c r="D204" s="4">
        <v>0.0</v>
      </c>
      <c r="E204" s="2" t="s">
        <v>1863</v>
      </c>
      <c r="F204" s="2" t="s">
        <v>1863</v>
      </c>
      <c r="G204" s="2" t="s">
        <v>1863</v>
      </c>
      <c r="H204" s="2" t="s">
        <v>1863</v>
      </c>
      <c r="I204" s="2" t="s">
        <v>1866</v>
      </c>
    </row>
    <row r="205">
      <c r="A205" s="33" t="s">
        <v>1703</v>
      </c>
      <c r="B205" s="33" t="s">
        <v>1704</v>
      </c>
      <c r="C205" s="100">
        <v>0.0</v>
      </c>
      <c r="D205" s="100">
        <v>0.0</v>
      </c>
      <c r="E205" s="33" t="s">
        <v>1863</v>
      </c>
      <c r="F205" s="101" t="s">
        <v>1863</v>
      </c>
      <c r="G205" s="55" t="s">
        <v>1863</v>
      </c>
      <c r="H205" s="33" t="s">
        <v>1863</v>
      </c>
      <c r="I205" s="33" t="s">
        <v>1866</v>
      </c>
      <c r="J205" s="34"/>
      <c r="K205" s="34"/>
      <c r="L205" s="34"/>
    </row>
    <row r="206">
      <c r="A206" s="33" t="s">
        <v>1031</v>
      </c>
      <c r="B206" s="33" t="s">
        <v>1032</v>
      </c>
      <c r="C206" s="100">
        <v>2100.0</v>
      </c>
      <c r="D206" s="100">
        <v>0.0</v>
      </c>
      <c r="E206" s="33" t="s">
        <v>1863</v>
      </c>
      <c r="F206" s="101" t="s">
        <v>1863</v>
      </c>
      <c r="G206" s="55" t="s">
        <v>1863</v>
      </c>
      <c r="H206" s="33" t="s">
        <v>1863</v>
      </c>
      <c r="I206" s="33" t="s">
        <v>1866</v>
      </c>
      <c r="J206" s="34"/>
      <c r="K206" s="34"/>
      <c r="L206" s="34"/>
    </row>
    <row r="207" hidden="1">
      <c r="A207" s="2" t="s">
        <v>1925</v>
      </c>
      <c r="B207" s="2" t="s">
        <v>1926</v>
      </c>
      <c r="C207" s="4">
        <v>0.0</v>
      </c>
      <c r="D207" s="4">
        <v>0.0</v>
      </c>
      <c r="E207" s="2" t="s">
        <v>1863</v>
      </c>
      <c r="F207" s="2" t="s">
        <v>1863</v>
      </c>
      <c r="G207" s="2" t="s">
        <v>1863</v>
      </c>
      <c r="H207" s="2" t="s">
        <v>1863</v>
      </c>
      <c r="I207" s="2" t="s">
        <v>1906</v>
      </c>
    </row>
    <row r="208">
      <c r="A208" s="33" t="s">
        <v>1034</v>
      </c>
      <c r="B208" s="33" t="s">
        <v>1035</v>
      </c>
      <c r="C208" s="100">
        <v>90.0</v>
      </c>
      <c r="D208" s="100">
        <v>0.0</v>
      </c>
      <c r="E208" s="33" t="s">
        <v>1863</v>
      </c>
      <c r="F208" s="101" t="s">
        <v>1863</v>
      </c>
      <c r="G208" s="55" t="s">
        <v>1863</v>
      </c>
      <c r="H208" s="33" t="s">
        <v>1863</v>
      </c>
      <c r="I208" s="33" t="s">
        <v>1866</v>
      </c>
      <c r="J208" s="34"/>
      <c r="K208" s="34"/>
      <c r="L208" s="34"/>
    </row>
    <row r="209" hidden="1">
      <c r="A209" s="2" t="s">
        <v>1928</v>
      </c>
      <c r="B209" s="2" t="s">
        <v>1929</v>
      </c>
      <c r="C209" s="4">
        <v>0.0</v>
      </c>
      <c r="D209" s="4">
        <v>0.0</v>
      </c>
      <c r="E209" s="2" t="s">
        <v>1863</v>
      </c>
      <c r="F209" s="2" t="s">
        <v>1863</v>
      </c>
      <c r="G209" s="2" t="s">
        <v>1863</v>
      </c>
      <c r="H209" s="2" t="s">
        <v>1863</v>
      </c>
      <c r="I209" s="2" t="s">
        <v>1866</v>
      </c>
    </row>
    <row r="210" hidden="1">
      <c r="A210" s="2" t="s">
        <v>1793</v>
      </c>
      <c r="B210" s="2" t="s">
        <v>1794</v>
      </c>
      <c r="C210" s="4">
        <v>0.0</v>
      </c>
      <c r="D210" s="4">
        <v>0.0</v>
      </c>
      <c r="E210" s="2" t="s">
        <v>1863</v>
      </c>
      <c r="F210" s="2" t="s">
        <v>1863</v>
      </c>
      <c r="G210" s="2" t="s">
        <v>1863</v>
      </c>
      <c r="H210" s="2" t="s">
        <v>1863</v>
      </c>
      <c r="I210" s="2" t="s">
        <v>1866</v>
      </c>
    </row>
    <row r="211">
      <c r="A211" s="116" t="s">
        <v>278</v>
      </c>
      <c r="B211" s="116" t="s">
        <v>279</v>
      </c>
      <c r="C211" s="117">
        <v>6.0</v>
      </c>
      <c r="D211" s="117">
        <v>0.0</v>
      </c>
      <c r="E211" s="116">
        <v>291.0</v>
      </c>
      <c r="F211" s="118">
        <v>46573.0</v>
      </c>
      <c r="G211" s="124"/>
      <c r="H211" s="116">
        <v>0.0</v>
      </c>
      <c r="I211" s="116" t="s">
        <v>1895</v>
      </c>
      <c r="J211" s="120"/>
      <c r="K211" s="120"/>
      <c r="L211" s="120"/>
    </row>
    <row r="212" hidden="1">
      <c r="A212" s="2" t="s">
        <v>664</v>
      </c>
      <c r="B212" s="2" t="s">
        <v>665</v>
      </c>
      <c r="C212" s="4">
        <v>2.0</v>
      </c>
      <c r="D212" s="4">
        <v>0.0</v>
      </c>
      <c r="E212" s="2">
        <v>65.0</v>
      </c>
      <c r="F212" s="112"/>
      <c r="G212" s="92"/>
      <c r="H212" s="2">
        <v>0.0</v>
      </c>
      <c r="I212" s="2" t="s">
        <v>1895</v>
      </c>
    </row>
    <row r="213" hidden="1">
      <c r="A213" s="2" t="s">
        <v>687</v>
      </c>
      <c r="B213" s="2" t="s">
        <v>689</v>
      </c>
      <c r="C213" s="4">
        <v>5.0</v>
      </c>
      <c r="D213" s="4">
        <v>0.0</v>
      </c>
      <c r="E213" s="2">
        <v>243.0</v>
      </c>
      <c r="F213" s="112"/>
      <c r="G213" s="92"/>
      <c r="H213" s="2">
        <v>0.0</v>
      </c>
      <c r="I213" s="2" t="s">
        <v>1895</v>
      </c>
    </row>
    <row r="214" hidden="1">
      <c r="A214" s="2" t="s">
        <v>269</v>
      </c>
      <c r="B214" s="2" t="s">
        <v>270</v>
      </c>
      <c r="C214" s="4">
        <v>4.0</v>
      </c>
      <c r="D214" s="4">
        <v>0.0</v>
      </c>
      <c r="E214" s="2">
        <v>129.0</v>
      </c>
      <c r="F214" s="112"/>
      <c r="G214" s="92"/>
      <c r="H214" s="2">
        <v>0.0</v>
      </c>
      <c r="I214" s="2" t="s">
        <v>1895</v>
      </c>
    </row>
    <row r="215" hidden="1">
      <c r="A215" s="2" t="s">
        <v>672</v>
      </c>
      <c r="B215" s="2" t="s">
        <v>673</v>
      </c>
      <c r="C215" s="4">
        <v>5.0</v>
      </c>
      <c r="D215" s="4">
        <v>0.0</v>
      </c>
      <c r="E215" s="2">
        <v>121.0</v>
      </c>
      <c r="F215" s="112"/>
      <c r="G215" s="92"/>
      <c r="H215" s="2">
        <v>0.0</v>
      </c>
      <c r="I215" s="2" t="s">
        <v>1895</v>
      </c>
    </row>
    <row r="216">
      <c r="A216" s="33" t="s">
        <v>147</v>
      </c>
      <c r="B216" s="33" t="s">
        <v>148</v>
      </c>
      <c r="C216" s="100">
        <v>0.0</v>
      </c>
      <c r="D216" s="100">
        <v>0.0</v>
      </c>
      <c r="E216" s="33" t="s">
        <v>1863</v>
      </c>
      <c r="F216" s="101" t="s">
        <v>1863</v>
      </c>
      <c r="G216" s="55" t="s">
        <v>1863</v>
      </c>
      <c r="H216" s="33" t="s">
        <v>1863</v>
      </c>
      <c r="I216" s="33" t="s">
        <v>1866</v>
      </c>
      <c r="J216" s="34"/>
      <c r="K216" s="34"/>
      <c r="L216" s="34"/>
    </row>
    <row r="217" hidden="1">
      <c r="A217" s="2" t="s">
        <v>1039</v>
      </c>
      <c r="B217" s="2" t="s">
        <v>1040</v>
      </c>
      <c r="C217" s="4">
        <v>6.0</v>
      </c>
      <c r="D217" s="4">
        <v>0.0</v>
      </c>
      <c r="E217" s="2">
        <v>39.0</v>
      </c>
      <c r="F217" s="92"/>
      <c r="G217" s="92"/>
      <c r="H217" s="2">
        <v>0.0</v>
      </c>
      <c r="I217" s="2" t="s">
        <v>1895</v>
      </c>
    </row>
    <row r="218" hidden="1">
      <c r="A218" s="2" t="s">
        <v>1042</v>
      </c>
      <c r="B218" s="2" t="s">
        <v>1043</v>
      </c>
      <c r="C218" s="4">
        <v>250.0</v>
      </c>
      <c r="D218" s="4">
        <v>0.0</v>
      </c>
      <c r="E218" s="2" t="s">
        <v>1863</v>
      </c>
      <c r="F218" s="2" t="s">
        <v>1863</v>
      </c>
      <c r="G218" s="2" t="s">
        <v>1863</v>
      </c>
      <c r="H218" s="2" t="s">
        <v>1863</v>
      </c>
      <c r="I218" s="2" t="s">
        <v>1866</v>
      </c>
    </row>
    <row r="219" hidden="1">
      <c r="A219" s="2" t="s">
        <v>901</v>
      </c>
      <c r="B219" s="2" t="s">
        <v>904</v>
      </c>
      <c r="C219" s="4">
        <v>20.0</v>
      </c>
      <c r="D219" s="4">
        <v>0.0</v>
      </c>
      <c r="E219" s="2">
        <v>32.0</v>
      </c>
      <c r="F219" s="92"/>
      <c r="G219" s="92"/>
      <c r="H219" s="2">
        <v>1.0</v>
      </c>
      <c r="I219" s="2" t="s">
        <v>1895</v>
      </c>
    </row>
    <row r="220" hidden="1">
      <c r="A220" s="2" t="s">
        <v>1706</v>
      </c>
      <c r="B220" s="2" t="s">
        <v>1707</v>
      </c>
      <c r="C220" s="4">
        <v>0.0</v>
      </c>
      <c r="D220" s="4">
        <v>0.0</v>
      </c>
      <c r="E220" s="2" t="s">
        <v>1863</v>
      </c>
      <c r="F220" s="2" t="s">
        <v>1863</v>
      </c>
      <c r="G220" s="2" t="s">
        <v>1863</v>
      </c>
      <c r="H220" s="2" t="s">
        <v>1863</v>
      </c>
      <c r="I220" s="2" t="s">
        <v>1866</v>
      </c>
    </row>
    <row r="221">
      <c r="A221" s="33" t="s">
        <v>1045</v>
      </c>
      <c r="B221" s="33" t="s">
        <v>1046</v>
      </c>
      <c r="C221" s="100">
        <v>950.0</v>
      </c>
      <c r="D221" s="100">
        <v>0.0</v>
      </c>
      <c r="E221" s="33" t="s">
        <v>1863</v>
      </c>
      <c r="F221" s="101" t="s">
        <v>1863</v>
      </c>
      <c r="G221" s="55" t="s">
        <v>1863</v>
      </c>
      <c r="H221" s="33" t="s">
        <v>1863</v>
      </c>
      <c r="I221" s="33" t="s">
        <v>1866</v>
      </c>
      <c r="J221" s="34"/>
      <c r="K221" s="34"/>
      <c r="L221" s="34"/>
    </row>
    <row r="222" hidden="1">
      <c r="A222" s="2" t="s">
        <v>1932</v>
      </c>
      <c r="B222" s="2" t="s">
        <v>1933</v>
      </c>
      <c r="C222" s="4">
        <v>0.0</v>
      </c>
      <c r="D222" s="4">
        <v>0.0</v>
      </c>
      <c r="E222" s="2" t="s">
        <v>1863</v>
      </c>
      <c r="F222" s="2" t="s">
        <v>1863</v>
      </c>
      <c r="G222" s="2" t="s">
        <v>1863</v>
      </c>
      <c r="H222" s="2" t="s">
        <v>1863</v>
      </c>
      <c r="I222" s="2" t="s">
        <v>1866</v>
      </c>
    </row>
    <row r="223">
      <c r="A223" s="33" t="s">
        <v>1795</v>
      </c>
      <c r="B223" s="33" t="s">
        <v>1796</v>
      </c>
      <c r="C223" s="100">
        <v>0.0</v>
      </c>
      <c r="D223" s="100">
        <v>0.0</v>
      </c>
      <c r="E223" s="33" t="s">
        <v>1863</v>
      </c>
      <c r="F223" s="101" t="s">
        <v>1863</v>
      </c>
      <c r="G223" s="55" t="s">
        <v>1863</v>
      </c>
      <c r="H223" s="33" t="s">
        <v>1863</v>
      </c>
      <c r="I223" s="33" t="s">
        <v>1866</v>
      </c>
      <c r="J223" s="34"/>
      <c r="K223" s="34"/>
      <c r="L223" s="34"/>
    </row>
    <row r="224">
      <c r="A224" s="33" t="s">
        <v>1935</v>
      </c>
      <c r="B224" s="33" t="s">
        <v>1936</v>
      </c>
      <c r="C224" s="100">
        <v>0.0</v>
      </c>
      <c r="D224" s="100">
        <v>0.0</v>
      </c>
      <c r="E224" s="33" t="s">
        <v>1863</v>
      </c>
      <c r="F224" s="101" t="s">
        <v>1863</v>
      </c>
      <c r="G224" s="55" t="s">
        <v>1863</v>
      </c>
      <c r="H224" s="33" t="s">
        <v>1863</v>
      </c>
      <c r="I224" s="33" t="s">
        <v>1866</v>
      </c>
      <c r="J224" s="34"/>
      <c r="K224" s="34"/>
      <c r="L224" s="34"/>
    </row>
    <row r="225">
      <c r="A225" s="33" t="s">
        <v>1938</v>
      </c>
      <c r="B225" s="33" t="s">
        <v>1939</v>
      </c>
      <c r="C225" s="100">
        <v>0.0</v>
      </c>
      <c r="D225" s="100">
        <v>0.0</v>
      </c>
      <c r="E225" s="33" t="s">
        <v>1863</v>
      </c>
      <c r="F225" s="101" t="s">
        <v>1863</v>
      </c>
      <c r="G225" s="55" t="s">
        <v>1863</v>
      </c>
      <c r="H225" s="33" t="s">
        <v>1863</v>
      </c>
      <c r="I225" s="33" t="s">
        <v>1866</v>
      </c>
      <c r="J225" s="34"/>
      <c r="K225" s="34"/>
      <c r="L225" s="34"/>
    </row>
    <row r="226">
      <c r="A226" s="116" t="s">
        <v>517</v>
      </c>
      <c r="B226" s="116" t="s">
        <v>518</v>
      </c>
      <c r="C226" s="117">
        <v>40.0</v>
      </c>
      <c r="D226" s="117">
        <v>0.0</v>
      </c>
      <c r="E226" s="116">
        <v>146.0</v>
      </c>
      <c r="F226" s="118">
        <v>46428.0</v>
      </c>
      <c r="G226" s="119">
        <v>49.0</v>
      </c>
      <c r="H226" s="116">
        <v>20.0</v>
      </c>
      <c r="I226" s="116" t="s">
        <v>1895</v>
      </c>
      <c r="J226" s="120"/>
      <c r="K226" s="120"/>
      <c r="L226" s="120"/>
    </row>
    <row r="227" hidden="1">
      <c r="A227" s="2" t="s">
        <v>1940</v>
      </c>
      <c r="B227" s="2" t="s">
        <v>1941</v>
      </c>
      <c r="C227" s="4">
        <v>0.0</v>
      </c>
      <c r="D227" s="4">
        <v>0.0</v>
      </c>
      <c r="E227" s="2" t="s">
        <v>1863</v>
      </c>
      <c r="F227" s="2" t="s">
        <v>1863</v>
      </c>
      <c r="G227" s="2" t="s">
        <v>1863</v>
      </c>
      <c r="H227" s="2" t="s">
        <v>1863</v>
      </c>
      <c r="I227" s="2" t="s">
        <v>1866</v>
      </c>
    </row>
    <row r="228">
      <c r="A228" s="33" t="s">
        <v>1048</v>
      </c>
      <c r="B228" s="33" t="s">
        <v>1049</v>
      </c>
      <c r="C228" s="100">
        <v>275.0</v>
      </c>
      <c r="D228" s="100">
        <v>0.0</v>
      </c>
      <c r="E228" s="33" t="s">
        <v>1863</v>
      </c>
      <c r="F228" s="101" t="s">
        <v>1863</v>
      </c>
      <c r="G228" s="55" t="s">
        <v>1863</v>
      </c>
      <c r="H228" s="33" t="s">
        <v>1863</v>
      </c>
      <c r="I228" s="33" t="s">
        <v>1866</v>
      </c>
      <c r="J228" s="34"/>
      <c r="K228" s="34"/>
      <c r="L228" s="34"/>
    </row>
    <row r="229" hidden="1">
      <c r="A229" s="2" t="s">
        <v>1786</v>
      </c>
      <c r="B229" s="2" t="s">
        <v>1787</v>
      </c>
      <c r="C229" s="4">
        <v>0.0</v>
      </c>
      <c r="D229" s="4">
        <v>0.0</v>
      </c>
      <c r="E229" s="2" t="s">
        <v>1863</v>
      </c>
      <c r="F229" s="2" t="s">
        <v>1863</v>
      </c>
      <c r="G229" s="2" t="s">
        <v>1863</v>
      </c>
      <c r="H229" s="2" t="s">
        <v>1863</v>
      </c>
      <c r="I229" s="2" t="s">
        <v>1866</v>
      </c>
    </row>
    <row r="230">
      <c r="A230" s="33" t="s">
        <v>1708</v>
      </c>
      <c r="B230" s="33" t="s">
        <v>1709</v>
      </c>
      <c r="C230" s="100">
        <v>0.0</v>
      </c>
      <c r="D230" s="100">
        <v>0.0</v>
      </c>
      <c r="E230" s="33" t="s">
        <v>1863</v>
      </c>
      <c r="F230" s="101" t="s">
        <v>1863</v>
      </c>
      <c r="G230" s="55" t="s">
        <v>1863</v>
      </c>
      <c r="H230" s="33" t="s">
        <v>1863</v>
      </c>
      <c r="I230" s="33" t="s">
        <v>1866</v>
      </c>
      <c r="J230" s="34"/>
      <c r="K230" s="34"/>
      <c r="L230" s="34"/>
    </row>
    <row r="231">
      <c r="A231" s="116" t="s">
        <v>1051</v>
      </c>
      <c r="B231" s="116" t="s">
        <v>1052</v>
      </c>
      <c r="C231" s="117">
        <v>17.0</v>
      </c>
      <c r="D231" s="117">
        <v>0.0</v>
      </c>
      <c r="E231" s="116">
        <v>330.0</v>
      </c>
      <c r="F231" s="118">
        <v>46611.0</v>
      </c>
      <c r="G231" s="124"/>
      <c r="H231" s="116">
        <v>1.0</v>
      </c>
      <c r="I231" s="116" t="s">
        <v>1895</v>
      </c>
      <c r="J231" s="120"/>
      <c r="K231" s="120"/>
      <c r="L231" s="120"/>
    </row>
    <row r="232" hidden="1">
      <c r="A232" s="2" t="s">
        <v>1944</v>
      </c>
      <c r="B232" s="2" t="s">
        <v>1945</v>
      </c>
      <c r="C232" s="4">
        <v>0.0</v>
      </c>
      <c r="D232" s="4">
        <v>0.0</v>
      </c>
      <c r="E232" s="2" t="s">
        <v>1863</v>
      </c>
      <c r="F232" s="2" t="s">
        <v>1863</v>
      </c>
      <c r="G232" s="2" t="s">
        <v>1863</v>
      </c>
      <c r="H232" s="2" t="s">
        <v>1863</v>
      </c>
      <c r="I232" s="2" t="s">
        <v>1866</v>
      </c>
    </row>
    <row r="233">
      <c r="A233" s="116" t="s">
        <v>975</v>
      </c>
      <c r="B233" s="116" t="s">
        <v>976</v>
      </c>
      <c r="C233" s="117">
        <v>80.0</v>
      </c>
      <c r="D233" s="117">
        <v>0.0</v>
      </c>
      <c r="E233" s="116">
        <v>1293.0</v>
      </c>
      <c r="F233" s="118">
        <v>47575.0</v>
      </c>
      <c r="G233" s="124"/>
      <c r="H233" s="116">
        <v>50.0</v>
      </c>
      <c r="I233" s="116" t="s">
        <v>1895</v>
      </c>
      <c r="J233" s="120"/>
      <c r="K233" s="120"/>
      <c r="L233" s="120"/>
    </row>
    <row r="234" hidden="1">
      <c r="A234" s="2" t="s">
        <v>1710</v>
      </c>
      <c r="B234" s="2" t="s">
        <v>1711</v>
      </c>
      <c r="C234" s="4">
        <v>0.0</v>
      </c>
      <c r="D234" s="4">
        <v>0.0</v>
      </c>
      <c r="E234" s="2" t="s">
        <v>1863</v>
      </c>
      <c r="F234" s="2" t="s">
        <v>1863</v>
      </c>
      <c r="G234" s="2" t="s">
        <v>1863</v>
      </c>
      <c r="H234" s="2" t="s">
        <v>1863</v>
      </c>
      <c r="I234" s="2" t="s">
        <v>1866</v>
      </c>
    </row>
    <row r="235" hidden="1">
      <c r="A235" s="2" t="s">
        <v>1055</v>
      </c>
      <c r="B235" s="2" t="s">
        <v>1056</v>
      </c>
      <c r="C235" s="4">
        <v>300.0</v>
      </c>
      <c r="D235" s="4">
        <v>0.0</v>
      </c>
      <c r="E235" s="2" t="s">
        <v>1863</v>
      </c>
      <c r="F235" s="2" t="s">
        <v>1863</v>
      </c>
      <c r="G235" s="2" t="s">
        <v>1863</v>
      </c>
      <c r="H235" s="2" t="s">
        <v>1863</v>
      </c>
      <c r="I235" s="2" t="s">
        <v>1866</v>
      </c>
    </row>
    <row r="236" hidden="1">
      <c r="A236" s="2" t="s">
        <v>1946</v>
      </c>
      <c r="B236" s="2" t="s">
        <v>1947</v>
      </c>
      <c r="C236" s="4">
        <v>0.0</v>
      </c>
      <c r="D236" s="4">
        <v>0.0</v>
      </c>
      <c r="E236" s="2" t="s">
        <v>1863</v>
      </c>
      <c r="F236" s="2" t="s">
        <v>1863</v>
      </c>
      <c r="G236" s="2" t="s">
        <v>1863</v>
      </c>
      <c r="H236" s="2" t="s">
        <v>1863</v>
      </c>
      <c r="I236" s="2" t="s">
        <v>1866</v>
      </c>
    </row>
    <row r="237">
      <c r="A237" s="33" t="s">
        <v>1713</v>
      </c>
      <c r="B237" s="33" t="s">
        <v>1714</v>
      </c>
      <c r="C237" s="100">
        <v>0.0</v>
      </c>
      <c r="D237" s="100">
        <v>0.0</v>
      </c>
      <c r="E237" s="33" t="s">
        <v>1863</v>
      </c>
      <c r="F237" s="101" t="s">
        <v>1863</v>
      </c>
      <c r="G237" s="55" t="s">
        <v>1863</v>
      </c>
      <c r="H237" s="33" t="s">
        <v>1863</v>
      </c>
      <c r="I237" s="33" t="s">
        <v>1866</v>
      </c>
      <c r="J237" s="34"/>
      <c r="K237" s="34"/>
      <c r="L237" s="34"/>
    </row>
    <row r="238">
      <c r="A238" s="33" t="s">
        <v>1948</v>
      </c>
      <c r="B238" s="33" t="s">
        <v>1949</v>
      </c>
      <c r="C238" s="100">
        <v>0.0</v>
      </c>
      <c r="D238" s="100">
        <v>0.0</v>
      </c>
      <c r="E238" s="33" t="s">
        <v>1863</v>
      </c>
      <c r="F238" s="101" t="s">
        <v>1863</v>
      </c>
      <c r="G238" s="55" t="s">
        <v>1863</v>
      </c>
      <c r="H238" s="33" t="s">
        <v>1863</v>
      </c>
      <c r="I238" s="33" t="s">
        <v>1866</v>
      </c>
      <c r="J238" s="34"/>
      <c r="K238" s="34"/>
      <c r="L238" s="34"/>
    </row>
    <row r="239">
      <c r="A239" s="33" t="s">
        <v>1950</v>
      </c>
      <c r="B239" s="33" t="s">
        <v>1951</v>
      </c>
      <c r="C239" s="100">
        <v>0.0</v>
      </c>
      <c r="D239" s="100">
        <v>0.0</v>
      </c>
      <c r="E239" s="33" t="s">
        <v>1863</v>
      </c>
      <c r="F239" s="101" t="s">
        <v>1863</v>
      </c>
      <c r="G239" s="55" t="s">
        <v>1863</v>
      </c>
      <c r="H239" s="33" t="s">
        <v>1863</v>
      </c>
      <c r="I239" s="33" t="s">
        <v>1866</v>
      </c>
      <c r="J239" s="34"/>
      <c r="K239" s="34"/>
      <c r="L239" s="34"/>
    </row>
    <row r="240">
      <c r="A240" s="33" t="s">
        <v>1058</v>
      </c>
      <c r="B240" s="33" t="s">
        <v>1059</v>
      </c>
      <c r="C240" s="100">
        <v>1.0</v>
      </c>
      <c r="D240" s="100">
        <v>0.0</v>
      </c>
      <c r="E240" s="33" t="s">
        <v>1863</v>
      </c>
      <c r="F240" s="101" t="s">
        <v>1863</v>
      </c>
      <c r="G240" s="55" t="s">
        <v>1863</v>
      </c>
      <c r="H240" s="33" t="s">
        <v>1863</v>
      </c>
      <c r="I240" s="33" t="s">
        <v>1866</v>
      </c>
      <c r="J240" s="34"/>
      <c r="K240" s="34"/>
      <c r="L240" s="34"/>
    </row>
    <row r="241" hidden="1">
      <c r="A241" s="2" t="s">
        <v>1061</v>
      </c>
      <c r="B241" s="2" t="s">
        <v>1062</v>
      </c>
      <c r="C241" s="4">
        <v>1.0</v>
      </c>
      <c r="D241" s="4">
        <v>0.0</v>
      </c>
      <c r="E241" s="2" t="s">
        <v>1863</v>
      </c>
      <c r="F241" s="2" t="s">
        <v>1863</v>
      </c>
      <c r="G241" s="2" t="s">
        <v>1863</v>
      </c>
      <c r="H241" s="2" t="s">
        <v>1863</v>
      </c>
      <c r="I241" s="2" t="s">
        <v>1866</v>
      </c>
    </row>
    <row r="242" hidden="1">
      <c r="A242" s="2" t="s">
        <v>1064</v>
      </c>
      <c r="B242" s="2" t="s">
        <v>1065</v>
      </c>
      <c r="C242" s="4">
        <v>1500.0</v>
      </c>
      <c r="D242" s="4">
        <v>0.0</v>
      </c>
      <c r="E242" s="2" t="s">
        <v>1863</v>
      </c>
      <c r="F242" s="2" t="s">
        <v>1863</v>
      </c>
      <c r="G242" s="2" t="s">
        <v>1863</v>
      </c>
      <c r="H242" s="2" t="s">
        <v>1863</v>
      </c>
      <c r="I242" s="2" t="s">
        <v>1866</v>
      </c>
    </row>
    <row r="243" hidden="1">
      <c r="A243" s="2" t="s">
        <v>989</v>
      </c>
      <c r="B243" s="2" t="s">
        <v>991</v>
      </c>
      <c r="C243" s="4">
        <v>15.0</v>
      </c>
      <c r="D243" s="4">
        <v>0.0</v>
      </c>
      <c r="E243" s="2" t="s">
        <v>1863</v>
      </c>
      <c r="F243" s="2" t="s">
        <v>1863</v>
      </c>
      <c r="G243" s="2" t="s">
        <v>1863</v>
      </c>
      <c r="H243" s="2" t="s">
        <v>1863</v>
      </c>
      <c r="I243" s="2" t="s">
        <v>1866</v>
      </c>
    </row>
    <row r="244">
      <c r="A244" s="121" t="s">
        <v>1067</v>
      </c>
      <c r="B244" s="121" t="s">
        <v>1068</v>
      </c>
      <c r="C244" s="122">
        <v>10.0</v>
      </c>
      <c r="D244" s="122">
        <v>0.0</v>
      </c>
      <c r="E244" s="121" t="s">
        <v>1863</v>
      </c>
      <c r="F244" s="123" t="s">
        <v>1863</v>
      </c>
      <c r="G244" s="124"/>
      <c r="H244" s="121" t="s">
        <v>1863</v>
      </c>
      <c r="I244" s="121" t="s">
        <v>1904</v>
      </c>
      <c r="J244" s="125"/>
      <c r="K244" s="125"/>
      <c r="L244" s="125"/>
    </row>
    <row r="245" hidden="1">
      <c r="A245" s="2" t="s">
        <v>1071</v>
      </c>
      <c r="B245" s="2" t="s">
        <v>1072</v>
      </c>
      <c r="C245" s="4">
        <v>200.0</v>
      </c>
      <c r="D245" s="4">
        <v>0.0</v>
      </c>
      <c r="E245" s="2" t="s">
        <v>1863</v>
      </c>
      <c r="F245" s="2" t="s">
        <v>1863</v>
      </c>
      <c r="G245" s="2" t="s">
        <v>1863</v>
      </c>
      <c r="H245" s="2" t="s">
        <v>1863</v>
      </c>
      <c r="I245" s="2" t="s">
        <v>1866</v>
      </c>
    </row>
    <row r="246" hidden="1">
      <c r="A246" s="2" t="s">
        <v>1952</v>
      </c>
      <c r="B246" s="2" t="s">
        <v>1953</v>
      </c>
      <c r="C246" s="4">
        <v>0.0</v>
      </c>
      <c r="D246" s="4">
        <v>0.0</v>
      </c>
      <c r="E246" s="2" t="s">
        <v>1863</v>
      </c>
      <c r="F246" s="2" t="s">
        <v>1863</v>
      </c>
      <c r="G246" s="2" t="s">
        <v>1863</v>
      </c>
      <c r="H246" s="2" t="s">
        <v>1863</v>
      </c>
      <c r="I246" s="2" t="s">
        <v>1866</v>
      </c>
    </row>
    <row r="247">
      <c r="A247" s="33" t="s">
        <v>1954</v>
      </c>
      <c r="B247" s="33" t="s">
        <v>1955</v>
      </c>
      <c r="C247" s="100">
        <v>0.0</v>
      </c>
      <c r="D247" s="100">
        <v>0.0</v>
      </c>
      <c r="E247" s="33" t="s">
        <v>1863</v>
      </c>
      <c r="F247" s="101" t="s">
        <v>1863</v>
      </c>
      <c r="G247" s="55" t="s">
        <v>1863</v>
      </c>
      <c r="H247" s="33" t="s">
        <v>1863</v>
      </c>
      <c r="I247" s="33" t="s">
        <v>1866</v>
      </c>
      <c r="J247" s="34"/>
      <c r="K247" s="34"/>
      <c r="L247" s="34"/>
    </row>
    <row r="248">
      <c r="A248" s="33" t="s">
        <v>1715</v>
      </c>
      <c r="B248" s="33" t="s">
        <v>1716</v>
      </c>
      <c r="C248" s="100">
        <v>0.0</v>
      </c>
      <c r="D248" s="100">
        <v>0.0</v>
      </c>
      <c r="E248" s="33" t="s">
        <v>1863</v>
      </c>
      <c r="F248" s="101" t="s">
        <v>1863</v>
      </c>
      <c r="G248" s="55" t="s">
        <v>1863</v>
      </c>
      <c r="H248" s="33" t="s">
        <v>1863</v>
      </c>
      <c r="I248" s="33" t="s">
        <v>1866</v>
      </c>
      <c r="J248" s="34"/>
      <c r="K248" s="34"/>
      <c r="L248" s="34"/>
    </row>
    <row r="249">
      <c r="A249" s="33" t="s">
        <v>1074</v>
      </c>
      <c r="B249" s="33" t="s">
        <v>1075</v>
      </c>
      <c r="C249" s="100">
        <v>0.0</v>
      </c>
      <c r="D249" s="100">
        <v>0.0</v>
      </c>
      <c r="E249" s="33" t="s">
        <v>1863</v>
      </c>
      <c r="F249" s="101" t="s">
        <v>1863</v>
      </c>
      <c r="G249" s="55" t="s">
        <v>1863</v>
      </c>
      <c r="H249" s="33" t="s">
        <v>1863</v>
      </c>
      <c r="I249" s="33" t="s">
        <v>1866</v>
      </c>
      <c r="J249" s="34"/>
      <c r="K249" s="34"/>
      <c r="L249" s="34"/>
    </row>
    <row r="250" hidden="1">
      <c r="A250" s="2" t="s">
        <v>1717</v>
      </c>
      <c r="B250" s="2" t="s">
        <v>1718</v>
      </c>
      <c r="C250" s="4">
        <v>0.0</v>
      </c>
      <c r="D250" s="4">
        <v>0.0</v>
      </c>
      <c r="E250" s="2" t="s">
        <v>1863</v>
      </c>
      <c r="F250" s="2" t="s">
        <v>1863</v>
      </c>
      <c r="G250" s="2" t="s">
        <v>1863</v>
      </c>
      <c r="H250" s="2" t="s">
        <v>1863</v>
      </c>
      <c r="I250" s="2" t="s">
        <v>1866</v>
      </c>
    </row>
    <row r="251">
      <c r="A251" s="33" t="s">
        <v>1077</v>
      </c>
      <c r="B251" s="33" t="s">
        <v>1078</v>
      </c>
      <c r="C251" s="100">
        <v>1080.0</v>
      </c>
      <c r="D251" s="100">
        <v>0.0</v>
      </c>
      <c r="E251" s="33" t="s">
        <v>1863</v>
      </c>
      <c r="F251" s="101" t="s">
        <v>1863</v>
      </c>
      <c r="G251" s="55" t="s">
        <v>1863</v>
      </c>
      <c r="H251" s="33" t="s">
        <v>1863</v>
      </c>
      <c r="I251" s="33" t="s">
        <v>1866</v>
      </c>
      <c r="J251" s="34"/>
      <c r="K251" s="34"/>
      <c r="L251" s="34"/>
    </row>
    <row r="252" hidden="1">
      <c r="A252" s="2" t="s">
        <v>1956</v>
      </c>
      <c r="B252" s="2" t="s">
        <v>1957</v>
      </c>
      <c r="C252" s="4">
        <v>0.0</v>
      </c>
      <c r="D252" s="4">
        <v>0.0</v>
      </c>
      <c r="E252" s="2" t="s">
        <v>1863</v>
      </c>
      <c r="F252" s="2" t="s">
        <v>1863</v>
      </c>
      <c r="G252" s="2" t="s">
        <v>1863</v>
      </c>
      <c r="H252" s="2" t="s">
        <v>1863</v>
      </c>
      <c r="I252" s="2" t="s">
        <v>1866</v>
      </c>
    </row>
    <row r="253">
      <c r="A253" s="121" t="s">
        <v>1080</v>
      </c>
      <c r="B253" s="121" t="s">
        <v>1081</v>
      </c>
      <c r="C253" s="122">
        <v>110.0</v>
      </c>
      <c r="D253" s="122">
        <v>0.0</v>
      </c>
      <c r="E253" s="121" t="s">
        <v>1863</v>
      </c>
      <c r="F253" s="123" t="s">
        <v>1863</v>
      </c>
      <c r="G253" s="124"/>
      <c r="H253" s="121" t="s">
        <v>1863</v>
      </c>
      <c r="I253" s="121" t="s">
        <v>1904</v>
      </c>
      <c r="J253" s="125"/>
      <c r="K253" s="125"/>
      <c r="L253" s="125"/>
    </row>
    <row r="254" hidden="1">
      <c r="A254" s="2" t="s">
        <v>728</v>
      </c>
      <c r="B254" s="2" t="s">
        <v>729</v>
      </c>
      <c r="C254" s="4">
        <v>10.0</v>
      </c>
      <c r="D254" s="4">
        <v>0.0</v>
      </c>
      <c r="E254" s="2">
        <v>65.0</v>
      </c>
      <c r="F254" s="92"/>
      <c r="G254" s="2">
        <v>-12.5</v>
      </c>
      <c r="H254" s="2">
        <v>5.0</v>
      </c>
      <c r="I254" s="2" t="s">
        <v>1895</v>
      </c>
    </row>
    <row r="255" hidden="1">
      <c r="A255" s="2" t="s">
        <v>733</v>
      </c>
      <c r="B255" s="2" t="s">
        <v>739</v>
      </c>
      <c r="C255" s="4">
        <v>4.0</v>
      </c>
      <c r="D255" s="4">
        <v>0.0</v>
      </c>
      <c r="E255" s="2">
        <v>194.0</v>
      </c>
      <c r="F255" s="112"/>
      <c r="G255" s="2">
        <v>-51.0</v>
      </c>
      <c r="H255" s="2">
        <v>3.0</v>
      </c>
      <c r="I255" s="2" t="s">
        <v>1895</v>
      </c>
    </row>
    <row r="256" hidden="1">
      <c r="A256" s="2" t="s">
        <v>1958</v>
      </c>
      <c r="B256" s="2" t="s">
        <v>1959</v>
      </c>
      <c r="C256" s="4">
        <v>0.0</v>
      </c>
      <c r="D256" s="4">
        <v>0.0</v>
      </c>
      <c r="E256" s="2" t="s">
        <v>1863</v>
      </c>
      <c r="F256" s="2" t="s">
        <v>1863</v>
      </c>
      <c r="G256" s="2" t="s">
        <v>1863</v>
      </c>
      <c r="H256" s="2" t="s">
        <v>1863</v>
      </c>
      <c r="I256" s="2" t="s">
        <v>1866</v>
      </c>
    </row>
    <row r="257">
      <c r="A257" s="33" t="s">
        <v>1960</v>
      </c>
      <c r="B257" s="33" t="s">
        <v>1961</v>
      </c>
      <c r="C257" s="100">
        <v>0.0</v>
      </c>
      <c r="D257" s="100">
        <v>0.0</v>
      </c>
      <c r="E257" s="33" t="s">
        <v>1863</v>
      </c>
      <c r="F257" s="101" t="s">
        <v>1863</v>
      </c>
      <c r="G257" s="55" t="s">
        <v>1863</v>
      </c>
      <c r="H257" s="33" t="s">
        <v>1863</v>
      </c>
      <c r="I257" s="33" t="s">
        <v>1866</v>
      </c>
      <c r="J257" s="34"/>
      <c r="K257" s="34"/>
      <c r="L257" s="34"/>
    </row>
    <row r="258">
      <c r="A258" s="33" t="s">
        <v>1962</v>
      </c>
      <c r="B258" s="33" t="s">
        <v>1963</v>
      </c>
      <c r="C258" s="100">
        <v>0.0</v>
      </c>
      <c r="D258" s="100">
        <v>0.0</v>
      </c>
      <c r="E258" s="33" t="s">
        <v>1863</v>
      </c>
      <c r="F258" s="101" t="s">
        <v>1863</v>
      </c>
      <c r="G258" s="55" t="s">
        <v>1863</v>
      </c>
      <c r="H258" s="33" t="s">
        <v>1863</v>
      </c>
      <c r="I258" s="33" t="s">
        <v>1866</v>
      </c>
      <c r="J258" s="34"/>
      <c r="K258" s="34"/>
      <c r="L258" s="34"/>
    </row>
    <row r="259">
      <c r="A259" s="33" t="s">
        <v>45</v>
      </c>
      <c r="B259" s="33" t="s">
        <v>47</v>
      </c>
      <c r="C259" s="100">
        <v>0.0</v>
      </c>
      <c r="D259" s="100">
        <v>0.0</v>
      </c>
      <c r="E259" s="33" t="s">
        <v>1863</v>
      </c>
      <c r="F259" s="101" t="s">
        <v>1863</v>
      </c>
      <c r="G259" s="55" t="s">
        <v>1863</v>
      </c>
      <c r="H259" s="33" t="s">
        <v>1863</v>
      </c>
      <c r="I259" s="33" t="s">
        <v>1866</v>
      </c>
      <c r="J259" s="34"/>
      <c r="K259" s="34"/>
      <c r="L259" s="34"/>
    </row>
    <row r="260" hidden="1">
      <c r="A260" s="2" t="s">
        <v>1085</v>
      </c>
      <c r="B260" s="2" t="s">
        <v>1086</v>
      </c>
      <c r="C260" s="4">
        <v>15800.0</v>
      </c>
      <c r="D260" s="4">
        <v>0.0</v>
      </c>
      <c r="E260" s="2" t="s">
        <v>1863</v>
      </c>
      <c r="F260" s="2" t="s">
        <v>1863</v>
      </c>
      <c r="G260" s="2" t="s">
        <v>1863</v>
      </c>
      <c r="H260" s="2" t="s">
        <v>1863</v>
      </c>
      <c r="I260" s="2" t="s">
        <v>1866</v>
      </c>
    </row>
    <row r="261">
      <c r="A261" s="33" t="s">
        <v>1719</v>
      </c>
      <c r="B261" s="33" t="s">
        <v>1720</v>
      </c>
      <c r="C261" s="100">
        <v>0.0</v>
      </c>
      <c r="D261" s="100">
        <v>0.0</v>
      </c>
      <c r="E261" s="33" t="s">
        <v>1863</v>
      </c>
      <c r="F261" s="101" t="s">
        <v>1863</v>
      </c>
      <c r="G261" s="55" t="s">
        <v>1863</v>
      </c>
      <c r="H261" s="33" t="s">
        <v>1863</v>
      </c>
      <c r="I261" s="33" t="s">
        <v>1866</v>
      </c>
      <c r="J261" s="34"/>
      <c r="K261" s="34"/>
      <c r="L261" s="34"/>
    </row>
    <row r="262" hidden="1">
      <c r="A262" s="2" t="s">
        <v>1088</v>
      </c>
      <c r="B262" s="2" t="s">
        <v>1089</v>
      </c>
      <c r="C262" s="4">
        <v>200.0</v>
      </c>
      <c r="D262" s="4">
        <v>0.0</v>
      </c>
      <c r="E262" s="2" t="s">
        <v>1863</v>
      </c>
      <c r="F262" s="2" t="s">
        <v>1863</v>
      </c>
      <c r="G262" s="2" t="s">
        <v>1863</v>
      </c>
      <c r="H262" s="2" t="s">
        <v>1863</v>
      </c>
      <c r="I262" s="2" t="s">
        <v>1866</v>
      </c>
    </row>
    <row r="263" hidden="1">
      <c r="A263" s="2" t="s">
        <v>95</v>
      </c>
      <c r="B263" s="2" t="s">
        <v>97</v>
      </c>
      <c r="C263" s="4">
        <v>500.0</v>
      </c>
      <c r="D263" s="4">
        <v>0.0</v>
      </c>
      <c r="E263" s="2" t="s">
        <v>1863</v>
      </c>
      <c r="F263" s="2" t="s">
        <v>1863</v>
      </c>
      <c r="G263" s="2" t="s">
        <v>1863</v>
      </c>
      <c r="H263" s="2" t="s">
        <v>1863</v>
      </c>
      <c r="I263" s="2" t="s">
        <v>1866</v>
      </c>
    </row>
    <row r="264">
      <c r="A264" s="33" t="s">
        <v>1965</v>
      </c>
      <c r="B264" s="33" t="s">
        <v>1966</v>
      </c>
      <c r="C264" s="100">
        <v>0.0</v>
      </c>
      <c r="D264" s="100">
        <v>0.0</v>
      </c>
      <c r="E264" s="33" t="s">
        <v>1863</v>
      </c>
      <c r="F264" s="101" t="s">
        <v>1863</v>
      </c>
      <c r="G264" s="55" t="s">
        <v>1863</v>
      </c>
      <c r="H264" s="33" t="s">
        <v>1863</v>
      </c>
      <c r="I264" s="33" t="s">
        <v>1866</v>
      </c>
      <c r="J264" s="34"/>
      <c r="K264" s="34"/>
      <c r="L264" s="34"/>
    </row>
    <row r="265">
      <c r="A265" s="33" t="s">
        <v>1967</v>
      </c>
      <c r="B265" s="33" t="s">
        <v>1968</v>
      </c>
      <c r="C265" s="100">
        <v>0.0</v>
      </c>
      <c r="D265" s="100">
        <v>0.0</v>
      </c>
      <c r="E265" s="33" t="s">
        <v>1863</v>
      </c>
      <c r="F265" s="101" t="s">
        <v>1863</v>
      </c>
      <c r="G265" s="55" t="s">
        <v>1863</v>
      </c>
      <c r="H265" s="33" t="s">
        <v>1863</v>
      </c>
      <c r="I265" s="33" t="s">
        <v>1866</v>
      </c>
      <c r="J265" s="34"/>
      <c r="K265" s="34"/>
      <c r="L265" s="34"/>
    </row>
    <row r="266">
      <c r="A266" s="116" t="s">
        <v>1091</v>
      </c>
      <c r="B266" s="116" t="s">
        <v>1092</v>
      </c>
      <c r="C266" s="117">
        <v>52.0</v>
      </c>
      <c r="D266" s="117">
        <v>0.0</v>
      </c>
      <c r="E266" s="116">
        <v>56.0</v>
      </c>
      <c r="F266" s="118">
        <v>46337.0</v>
      </c>
      <c r="G266" s="124"/>
      <c r="H266" s="116">
        <v>100.0</v>
      </c>
      <c r="I266" s="116" t="s">
        <v>1895</v>
      </c>
      <c r="J266" s="120"/>
      <c r="K266" s="120"/>
      <c r="L266" s="120"/>
    </row>
    <row r="267" hidden="1">
      <c r="A267" s="2" t="s">
        <v>1969</v>
      </c>
      <c r="B267" s="2" t="s">
        <v>1970</v>
      </c>
      <c r="C267" s="4">
        <v>0.0</v>
      </c>
      <c r="D267" s="4">
        <v>0.0</v>
      </c>
      <c r="E267" s="2" t="s">
        <v>1863</v>
      </c>
      <c r="F267" s="2" t="s">
        <v>1863</v>
      </c>
      <c r="G267" s="2" t="s">
        <v>1863</v>
      </c>
      <c r="H267" s="2" t="s">
        <v>1863</v>
      </c>
      <c r="I267" s="2" t="s">
        <v>1866</v>
      </c>
    </row>
    <row r="268">
      <c r="A268" s="33" t="s">
        <v>1971</v>
      </c>
      <c r="B268" s="33" t="s">
        <v>1972</v>
      </c>
      <c r="C268" s="100">
        <v>0.0</v>
      </c>
      <c r="D268" s="100">
        <v>0.0</v>
      </c>
      <c r="E268" s="33" t="s">
        <v>1863</v>
      </c>
      <c r="F268" s="101" t="s">
        <v>1863</v>
      </c>
      <c r="G268" s="55" t="s">
        <v>1863</v>
      </c>
      <c r="H268" s="33" t="s">
        <v>1863</v>
      </c>
      <c r="I268" s="33" t="s">
        <v>1866</v>
      </c>
      <c r="J268" s="34"/>
      <c r="K268" s="34"/>
      <c r="L268" s="34"/>
    </row>
    <row r="269">
      <c r="A269" s="33" t="s">
        <v>1973</v>
      </c>
      <c r="B269" s="33" t="s">
        <v>1974</v>
      </c>
      <c r="C269" s="100">
        <v>0.0</v>
      </c>
      <c r="D269" s="100">
        <v>0.0</v>
      </c>
      <c r="E269" s="33" t="s">
        <v>1863</v>
      </c>
      <c r="F269" s="101" t="s">
        <v>1863</v>
      </c>
      <c r="G269" s="55" t="s">
        <v>1863</v>
      </c>
      <c r="H269" s="33" t="s">
        <v>1863</v>
      </c>
      <c r="I269" s="33" t="s">
        <v>1866</v>
      </c>
      <c r="J269" s="34"/>
      <c r="K269" s="34"/>
      <c r="L269" s="34"/>
    </row>
    <row r="270">
      <c r="A270" s="33" t="s">
        <v>872</v>
      </c>
      <c r="B270" s="33" t="s">
        <v>873</v>
      </c>
      <c r="C270" s="100">
        <v>800.0</v>
      </c>
      <c r="D270" s="100">
        <v>0.0</v>
      </c>
      <c r="E270" s="33" t="s">
        <v>1863</v>
      </c>
      <c r="F270" s="101" t="s">
        <v>1863</v>
      </c>
      <c r="G270" s="55" t="s">
        <v>1863</v>
      </c>
      <c r="H270" s="33" t="s">
        <v>1863</v>
      </c>
      <c r="I270" s="33" t="s">
        <v>1866</v>
      </c>
      <c r="J270" s="34"/>
      <c r="K270" s="34"/>
      <c r="L270" s="34"/>
    </row>
    <row r="271" hidden="1">
      <c r="A271" s="2" t="s">
        <v>1095</v>
      </c>
      <c r="B271" s="2" t="s">
        <v>1096</v>
      </c>
      <c r="C271" s="4">
        <v>1.0</v>
      </c>
      <c r="D271" s="4">
        <v>0.0</v>
      </c>
      <c r="E271" s="2" t="s">
        <v>1863</v>
      </c>
      <c r="F271" s="2" t="s">
        <v>1863</v>
      </c>
      <c r="G271" s="2" t="s">
        <v>1863</v>
      </c>
      <c r="H271" s="2" t="s">
        <v>1863</v>
      </c>
      <c r="I271" s="2" t="s">
        <v>1866</v>
      </c>
    </row>
    <row r="272" hidden="1">
      <c r="A272" s="2" t="s">
        <v>1098</v>
      </c>
      <c r="B272" s="2" t="s">
        <v>1099</v>
      </c>
      <c r="C272" s="4">
        <v>6700.0</v>
      </c>
      <c r="D272" s="4">
        <v>0.0</v>
      </c>
      <c r="E272" s="2" t="s">
        <v>1863</v>
      </c>
      <c r="F272" s="2" t="s">
        <v>1863</v>
      </c>
      <c r="G272" s="2" t="s">
        <v>1863</v>
      </c>
      <c r="H272" s="2" t="s">
        <v>1863</v>
      </c>
      <c r="I272" s="2" t="s">
        <v>1866</v>
      </c>
    </row>
    <row r="273">
      <c r="A273" s="33" t="s">
        <v>593</v>
      </c>
      <c r="B273" s="33" t="s">
        <v>594</v>
      </c>
      <c r="C273" s="100">
        <v>0.0</v>
      </c>
      <c r="D273" s="100">
        <v>0.0</v>
      </c>
      <c r="E273" s="33" t="s">
        <v>1863</v>
      </c>
      <c r="F273" s="101" t="s">
        <v>1863</v>
      </c>
      <c r="G273" s="55" t="s">
        <v>1863</v>
      </c>
      <c r="H273" s="33" t="s">
        <v>1863</v>
      </c>
      <c r="I273" s="33" t="s">
        <v>1866</v>
      </c>
      <c r="J273" s="34"/>
      <c r="K273" s="34"/>
      <c r="L273" s="34"/>
    </row>
    <row r="274">
      <c r="A274" s="33" t="s">
        <v>1722</v>
      </c>
      <c r="B274" s="33" t="s">
        <v>1723</v>
      </c>
      <c r="C274" s="100">
        <v>0.0</v>
      </c>
      <c r="D274" s="100">
        <v>0.0</v>
      </c>
      <c r="E274" s="33" t="s">
        <v>1863</v>
      </c>
      <c r="F274" s="101" t="s">
        <v>1863</v>
      </c>
      <c r="G274" s="55" t="s">
        <v>1863</v>
      </c>
      <c r="H274" s="33" t="s">
        <v>1863</v>
      </c>
      <c r="I274" s="33" t="s">
        <v>1866</v>
      </c>
      <c r="J274" s="34"/>
      <c r="K274" s="34"/>
      <c r="L274" s="34"/>
    </row>
    <row r="275">
      <c r="A275" s="33" t="s">
        <v>1724</v>
      </c>
      <c r="B275" s="33" t="s">
        <v>1725</v>
      </c>
      <c r="C275" s="100">
        <v>0.0</v>
      </c>
      <c r="D275" s="100">
        <v>0.0</v>
      </c>
      <c r="E275" s="33" t="s">
        <v>1863</v>
      </c>
      <c r="F275" s="101" t="s">
        <v>1863</v>
      </c>
      <c r="G275" s="55" t="s">
        <v>1863</v>
      </c>
      <c r="H275" s="33" t="s">
        <v>1863</v>
      </c>
      <c r="I275" s="33" t="s">
        <v>1866</v>
      </c>
      <c r="J275" s="34"/>
      <c r="K275" s="34"/>
      <c r="L275" s="34"/>
    </row>
    <row r="276">
      <c r="A276" s="33" t="s">
        <v>1976</v>
      </c>
      <c r="B276" s="33" t="s">
        <v>1977</v>
      </c>
      <c r="C276" s="100">
        <v>0.0</v>
      </c>
      <c r="D276" s="100">
        <v>0.0</v>
      </c>
      <c r="E276" s="33" t="s">
        <v>1863</v>
      </c>
      <c r="F276" s="101" t="s">
        <v>1863</v>
      </c>
      <c r="G276" s="55" t="s">
        <v>1863</v>
      </c>
      <c r="H276" s="33" t="s">
        <v>1863</v>
      </c>
      <c r="I276" s="33" t="s">
        <v>1866</v>
      </c>
      <c r="J276" s="34"/>
      <c r="K276" s="34"/>
      <c r="L276" s="34"/>
    </row>
    <row r="277">
      <c r="A277" s="33" t="s">
        <v>1101</v>
      </c>
      <c r="B277" s="33" t="s">
        <v>1102</v>
      </c>
      <c r="C277" s="100">
        <v>864.0</v>
      </c>
      <c r="D277" s="100">
        <v>0.0</v>
      </c>
      <c r="E277" s="33" t="s">
        <v>1863</v>
      </c>
      <c r="F277" s="101" t="s">
        <v>1863</v>
      </c>
      <c r="G277" s="55" t="s">
        <v>1863</v>
      </c>
      <c r="H277" s="33" t="s">
        <v>1863</v>
      </c>
      <c r="I277" s="33" t="s">
        <v>1866</v>
      </c>
      <c r="J277" s="34"/>
      <c r="K277" s="34"/>
      <c r="L277" s="34"/>
    </row>
    <row r="278" hidden="1">
      <c r="A278" s="2" t="s">
        <v>1726</v>
      </c>
      <c r="B278" s="2" t="s">
        <v>1727</v>
      </c>
      <c r="C278" s="4">
        <v>0.0</v>
      </c>
      <c r="D278" s="4">
        <v>0.0</v>
      </c>
      <c r="E278" s="2" t="s">
        <v>1863</v>
      </c>
      <c r="F278" s="2" t="s">
        <v>1863</v>
      </c>
      <c r="G278" s="2" t="s">
        <v>1863</v>
      </c>
      <c r="H278" s="2" t="s">
        <v>1863</v>
      </c>
      <c r="I278" s="2" t="s">
        <v>1866</v>
      </c>
    </row>
    <row r="279">
      <c r="A279" s="33" t="s">
        <v>1108</v>
      </c>
      <c r="B279" s="33" t="s">
        <v>1109</v>
      </c>
      <c r="C279" s="100">
        <v>144.0</v>
      </c>
      <c r="D279" s="100">
        <v>0.0</v>
      </c>
      <c r="E279" s="33" t="s">
        <v>1863</v>
      </c>
      <c r="F279" s="101" t="s">
        <v>1863</v>
      </c>
      <c r="G279" s="55" t="s">
        <v>1863</v>
      </c>
      <c r="H279" s="33" t="s">
        <v>1863</v>
      </c>
      <c r="I279" s="33" t="s">
        <v>1866</v>
      </c>
      <c r="J279" s="34"/>
      <c r="K279" s="34"/>
      <c r="L279" s="34"/>
    </row>
    <row r="280" hidden="1">
      <c r="A280" s="2" t="s">
        <v>1111</v>
      </c>
      <c r="B280" s="2" t="s">
        <v>1112</v>
      </c>
      <c r="C280" s="4">
        <v>1152.0</v>
      </c>
      <c r="D280" s="4">
        <v>0.0</v>
      </c>
      <c r="E280" s="2" t="s">
        <v>1863</v>
      </c>
      <c r="F280" s="2" t="s">
        <v>1863</v>
      </c>
      <c r="G280" s="2" t="s">
        <v>1863</v>
      </c>
      <c r="H280" s="2" t="s">
        <v>1863</v>
      </c>
      <c r="I280" s="2" t="s">
        <v>1866</v>
      </c>
    </row>
    <row r="281" hidden="1">
      <c r="A281" s="2" t="s">
        <v>215</v>
      </c>
      <c r="B281" s="2" t="s">
        <v>216</v>
      </c>
      <c r="C281" s="4">
        <v>0.0</v>
      </c>
      <c r="D281" s="4">
        <v>0.0</v>
      </c>
      <c r="E281" s="2" t="s">
        <v>1863</v>
      </c>
      <c r="F281" s="2" t="s">
        <v>1863</v>
      </c>
      <c r="G281" s="2" t="s">
        <v>1863</v>
      </c>
      <c r="H281" s="2" t="s">
        <v>1863</v>
      </c>
      <c r="I281" s="2" t="s">
        <v>1866</v>
      </c>
    </row>
    <row r="282">
      <c r="A282" s="33" t="s">
        <v>1114</v>
      </c>
      <c r="B282" s="33" t="s">
        <v>1115</v>
      </c>
      <c r="C282" s="100">
        <v>0.0</v>
      </c>
      <c r="D282" s="100">
        <v>0.0</v>
      </c>
      <c r="E282" s="33" t="s">
        <v>1863</v>
      </c>
      <c r="F282" s="101" t="s">
        <v>1863</v>
      </c>
      <c r="G282" s="55" t="s">
        <v>1863</v>
      </c>
      <c r="H282" s="33" t="s">
        <v>1863</v>
      </c>
      <c r="I282" s="33" t="s">
        <v>1866</v>
      </c>
      <c r="J282" s="34"/>
      <c r="K282" s="34"/>
      <c r="L282" s="34"/>
    </row>
    <row r="283" hidden="1">
      <c r="A283" s="2" t="s">
        <v>1117</v>
      </c>
      <c r="B283" s="2" t="s">
        <v>1118</v>
      </c>
      <c r="C283" s="4">
        <v>800.0</v>
      </c>
      <c r="D283" s="4">
        <v>0.0</v>
      </c>
      <c r="E283" s="2" t="s">
        <v>1863</v>
      </c>
      <c r="F283" s="2" t="s">
        <v>1863</v>
      </c>
      <c r="G283" s="2" t="s">
        <v>1863</v>
      </c>
      <c r="H283" s="2" t="s">
        <v>1863</v>
      </c>
      <c r="I283" s="2" t="s">
        <v>1866</v>
      </c>
    </row>
    <row r="284">
      <c r="A284" s="33" t="s">
        <v>1120</v>
      </c>
      <c r="B284" s="33" t="s">
        <v>1121</v>
      </c>
      <c r="C284" s="100">
        <v>0.95</v>
      </c>
      <c r="D284" s="100">
        <v>0.0</v>
      </c>
      <c r="E284" s="33" t="s">
        <v>1863</v>
      </c>
      <c r="F284" s="101" t="s">
        <v>1863</v>
      </c>
      <c r="G284" s="55" t="s">
        <v>1863</v>
      </c>
      <c r="H284" s="33" t="s">
        <v>1863</v>
      </c>
      <c r="I284" s="33" t="s">
        <v>1866</v>
      </c>
      <c r="J284" s="34"/>
      <c r="K284" s="34"/>
      <c r="L284" s="34"/>
    </row>
    <row r="285" hidden="1">
      <c r="A285" s="2" t="s">
        <v>1124</v>
      </c>
      <c r="B285" s="2" t="s">
        <v>1125</v>
      </c>
      <c r="C285" s="4">
        <v>80.0</v>
      </c>
      <c r="D285" s="4">
        <v>0.0</v>
      </c>
      <c r="E285" s="2" t="s">
        <v>1863</v>
      </c>
      <c r="F285" s="2" t="s">
        <v>1863</v>
      </c>
      <c r="G285" s="2" t="s">
        <v>1863</v>
      </c>
      <c r="H285" s="2" t="s">
        <v>1863</v>
      </c>
      <c r="I285" s="2" t="s">
        <v>1866</v>
      </c>
    </row>
    <row r="286" hidden="1">
      <c r="A286" s="2" t="s">
        <v>1127</v>
      </c>
      <c r="B286" s="2" t="s">
        <v>1128</v>
      </c>
      <c r="C286" s="4">
        <v>180.0</v>
      </c>
      <c r="D286" s="4">
        <v>0.0</v>
      </c>
      <c r="E286" s="2" t="s">
        <v>1863</v>
      </c>
      <c r="F286" s="2" t="s">
        <v>1863</v>
      </c>
      <c r="G286" s="2" t="s">
        <v>1863</v>
      </c>
      <c r="H286" s="2" t="s">
        <v>1863</v>
      </c>
      <c r="I286" s="2" t="s">
        <v>1866</v>
      </c>
    </row>
    <row r="287" hidden="1">
      <c r="A287" s="2" t="s">
        <v>1130</v>
      </c>
      <c r="B287" s="2" t="s">
        <v>1131</v>
      </c>
      <c r="C287" s="4">
        <v>3.0</v>
      </c>
      <c r="D287" s="4">
        <v>0.0</v>
      </c>
      <c r="E287" s="2" t="s">
        <v>1863</v>
      </c>
      <c r="F287" s="2" t="s">
        <v>1863</v>
      </c>
      <c r="G287" s="2" t="s">
        <v>1863</v>
      </c>
      <c r="H287" s="2" t="s">
        <v>1863</v>
      </c>
      <c r="I287" s="2" t="s">
        <v>1866</v>
      </c>
    </row>
    <row r="288" hidden="1">
      <c r="A288" s="2" t="s">
        <v>1133</v>
      </c>
      <c r="B288" s="2" t="s">
        <v>1134</v>
      </c>
      <c r="C288" s="4">
        <v>2.0</v>
      </c>
      <c r="D288" s="4">
        <v>0.0</v>
      </c>
      <c r="E288" s="2" t="s">
        <v>1863</v>
      </c>
      <c r="F288" s="2" t="s">
        <v>1863</v>
      </c>
      <c r="G288" s="2" t="s">
        <v>1863</v>
      </c>
      <c r="H288" s="2" t="s">
        <v>1863</v>
      </c>
      <c r="I288" s="2" t="s">
        <v>1866</v>
      </c>
    </row>
    <row r="289">
      <c r="A289" s="33" t="s">
        <v>1979</v>
      </c>
      <c r="B289" s="33" t="s">
        <v>1980</v>
      </c>
      <c r="C289" s="100">
        <v>0.0</v>
      </c>
      <c r="D289" s="100">
        <v>0.0</v>
      </c>
      <c r="E289" s="33" t="s">
        <v>1863</v>
      </c>
      <c r="F289" s="101" t="s">
        <v>1863</v>
      </c>
      <c r="G289" s="55" t="s">
        <v>1863</v>
      </c>
      <c r="H289" s="33" t="s">
        <v>1863</v>
      </c>
      <c r="I289" s="33" t="s">
        <v>1866</v>
      </c>
      <c r="J289" s="34"/>
      <c r="K289" s="34"/>
      <c r="L289" s="34"/>
    </row>
    <row r="290">
      <c r="A290" s="33" t="s">
        <v>1136</v>
      </c>
      <c r="B290" s="33" t="s">
        <v>1137</v>
      </c>
      <c r="C290" s="100">
        <v>2.0</v>
      </c>
      <c r="D290" s="100">
        <v>0.0</v>
      </c>
      <c r="E290" s="33" t="s">
        <v>1863</v>
      </c>
      <c r="F290" s="101" t="s">
        <v>1863</v>
      </c>
      <c r="G290" s="55" t="s">
        <v>1863</v>
      </c>
      <c r="H290" s="33" t="s">
        <v>1863</v>
      </c>
      <c r="I290" s="33" t="s">
        <v>1866</v>
      </c>
      <c r="J290" s="34"/>
      <c r="K290" s="34"/>
      <c r="L290" s="34"/>
    </row>
    <row r="291" hidden="1">
      <c r="A291" s="2" t="s">
        <v>1981</v>
      </c>
      <c r="B291" s="2" t="s">
        <v>1982</v>
      </c>
      <c r="C291" s="4">
        <v>0.0</v>
      </c>
      <c r="D291" s="4">
        <v>0.0</v>
      </c>
      <c r="E291" s="2" t="s">
        <v>1863</v>
      </c>
      <c r="F291" s="2" t="s">
        <v>1863</v>
      </c>
      <c r="G291" s="2" t="s">
        <v>1863</v>
      </c>
      <c r="H291" s="2" t="s">
        <v>1863</v>
      </c>
      <c r="I291" s="2" t="s">
        <v>1866</v>
      </c>
    </row>
    <row r="292" hidden="1">
      <c r="A292" s="2" t="s">
        <v>1141</v>
      </c>
      <c r="B292" s="2" t="s">
        <v>1143</v>
      </c>
      <c r="C292" s="4">
        <v>1440.0</v>
      </c>
      <c r="D292" s="4">
        <v>0.0</v>
      </c>
      <c r="E292" s="2" t="s">
        <v>1863</v>
      </c>
      <c r="F292" s="2" t="s">
        <v>1863</v>
      </c>
      <c r="G292" s="2" t="s">
        <v>1863</v>
      </c>
      <c r="H292" s="2" t="s">
        <v>1863</v>
      </c>
      <c r="I292" s="2" t="s">
        <v>1866</v>
      </c>
    </row>
    <row r="293" hidden="1">
      <c r="A293" s="2" t="s">
        <v>1983</v>
      </c>
      <c r="B293" s="2" t="s">
        <v>1984</v>
      </c>
      <c r="C293" s="4">
        <v>0.0</v>
      </c>
      <c r="D293" s="4">
        <v>0.0</v>
      </c>
      <c r="E293" s="2" t="s">
        <v>1863</v>
      </c>
      <c r="F293" s="2" t="s">
        <v>1863</v>
      </c>
      <c r="G293" s="2" t="s">
        <v>1863</v>
      </c>
      <c r="H293" s="2" t="s">
        <v>1863</v>
      </c>
      <c r="I293" s="2" t="s">
        <v>1866</v>
      </c>
    </row>
    <row r="294">
      <c r="A294" s="33" t="s">
        <v>1985</v>
      </c>
      <c r="B294" s="33" t="s">
        <v>1986</v>
      </c>
      <c r="C294" s="100">
        <v>0.0</v>
      </c>
      <c r="D294" s="100">
        <v>0.0</v>
      </c>
      <c r="E294" s="33" t="s">
        <v>1863</v>
      </c>
      <c r="F294" s="101" t="s">
        <v>1863</v>
      </c>
      <c r="G294" s="55" t="s">
        <v>1863</v>
      </c>
      <c r="H294" s="33" t="s">
        <v>1863</v>
      </c>
      <c r="I294" s="33" t="s">
        <v>1866</v>
      </c>
      <c r="J294" s="34"/>
      <c r="K294" s="34"/>
      <c r="L294" s="34"/>
    </row>
    <row r="295">
      <c r="A295" s="33" t="s">
        <v>308</v>
      </c>
      <c r="B295" s="33" t="s">
        <v>309</v>
      </c>
      <c r="C295" s="100">
        <v>0.0</v>
      </c>
      <c r="D295" s="100">
        <v>0.0</v>
      </c>
      <c r="E295" s="33" t="s">
        <v>1863</v>
      </c>
      <c r="F295" s="101" t="s">
        <v>1863</v>
      </c>
      <c r="G295" s="55" t="s">
        <v>1863</v>
      </c>
      <c r="H295" s="33" t="s">
        <v>1863</v>
      </c>
      <c r="I295" s="33" t="s">
        <v>1866</v>
      </c>
      <c r="J295" s="34"/>
      <c r="K295" s="34"/>
      <c r="L295" s="34"/>
    </row>
    <row r="296">
      <c r="A296" s="33" t="s">
        <v>1151</v>
      </c>
      <c r="B296" s="33" t="s">
        <v>1152</v>
      </c>
      <c r="C296" s="100">
        <v>1296.0</v>
      </c>
      <c r="D296" s="100">
        <v>0.0</v>
      </c>
      <c r="E296" s="33" t="s">
        <v>1863</v>
      </c>
      <c r="F296" s="101" t="s">
        <v>1863</v>
      </c>
      <c r="G296" s="55" t="s">
        <v>1863</v>
      </c>
      <c r="H296" s="33" t="s">
        <v>1863</v>
      </c>
      <c r="I296" s="33" t="s">
        <v>1866</v>
      </c>
      <c r="J296" s="34"/>
      <c r="K296" s="34"/>
      <c r="L296" s="34"/>
    </row>
    <row r="297" hidden="1">
      <c r="A297" s="2" t="s">
        <v>1154</v>
      </c>
      <c r="B297" s="2" t="s">
        <v>1155</v>
      </c>
      <c r="C297" s="4">
        <v>1296.0</v>
      </c>
      <c r="D297" s="4">
        <v>0.0</v>
      </c>
      <c r="E297" s="2" t="s">
        <v>1863</v>
      </c>
      <c r="F297" s="2" t="s">
        <v>1863</v>
      </c>
      <c r="G297" s="2" t="s">
        <v>1863</v>
      </c>
      <c r="H297" s="2" t="s">
        <v>1863</v>
      </c>
      <c r="I297" s="2" t="s">
        <v>1866</v>
      </c>
    </row>
    <row r="298" hidden="1">
      <c r="A298" s="2" t="s">
        <v>1375</v>
      </c>
      <c r="B298" s="2" t="s">
        <v>1376</v>
      </c>
      <c r="C298" s="4">
        <v>0.0</v>
      </c>
      <c r="D298" s="4">
        <v>0.0</v>
      </c>
      <c r="E298" s="2">
        <v>0.0</v>
      </c>
      <c r="F298" s="92"/>
      <c r="G298" s="2">
        <v>-146.0</v>
      </c>
      <c r="H298" s="2">
        <v>2.0</v>
      </c>
      <c r="I298" s="2" t="s">
        <v>1987</v>
      </c>
    </row>
    <row r="299">
      <c r="A299" s="33" t="s">
        <v>1728</v>
      </c>
      <c r="B299" s="33" t="s">
        <v>1729</v>
      </c>
      <c r="C299" s="100">
        <v>0.0</v>
      </c>
      <c r="D299" s="100">
        <v>0.0</v>
      </c>
      <c r="E299" s="33" t="s">
        <v>1863</v>
      </c>
      <c r="F299" s="101" t="s">
        <v>1863</v>
      </c>
      <c r="G299" s="55" t="s">
        <v>1863</v>
      </c>
      <c r="H299" s="33" t="s">
        <v>1863</v>
      </c>
      <c r="I299" s="33" t="s">
        <v>1866</v>
      </c>
      <c r="J299" s="34"/>
      <c r="K299" s="34"/>
      <c r="L299" s="34"/>
    </row>
    <row r="300">
      <c r="A300" s="33" t="s">
        <v>1158</v>
      </c>
      <c r="B300" s="33" t="s">
        <v>1159</v>
      </c>
      <c r="C300" s="100">
        <v>300.0</v>
      </c>
      <c r="D300" s="100">
        <v>0.0</v>
      </c>
      <c r="E300" s="33" t="s">
        <v>1863</v>
      </c>
      <c r="F300" s="101" t="s">
        <v>1863</v>
      </c>
      <c r="G300" s="55" t="s">
        <v>1863</v>
      </c>
      <c r="H300" s="33" t="s">
        <v>1863</v>
      </c>
      <c r="I300" s="33" t="s">
        <v>1866</v>
      </c>
      <c r="J300" s="34"/>
      <c r="K300" s="34"/>
      <c r="L300" s="34"/>
    </row>
    <row r="301" hidden="1">
      <c r="A301" s="2" t="s">
        <v>1988</v>
      </c>
      <c r="B301" s="2" t="s">
        <v>1989</v>
      </c>
      <c r="C301" s="4">
        <v>0.0</v>
      </c>
      <c r="D301" s="4">
        <v>0.0</v>
      </c>
      <c r="E301" s="2" t="s">
        <v>1863</v>
      </c>
      <c r="F301" s="2" t="s">
        <v>1863</v>
      </c>
      <c r="G301" s="2" t="s">
        <v>1863</v>
      </c>
      <c r="H301" s="2" t="s">
        <v>1863</v>
      </c>
      <c r="I301" s="2" t="s">
        <v>1866</v>
      </c>
    </row>
    <row r="302">
      <c r="A302" s="33" t="s">
        <v>1990</v>
      </c>
      <c r="B302" s="33" t="s">
        <v>1991</v>
      </c>
      <c r="C302" s="100">
        <v>0.0</v>
      </c>
      <c r="D302" s="100">
        <v>0.0</v>
      </c>
      <c r="E302" s="33" t="s">
        <v>1863</v>
      </c>
      <c r="F302" s="101" t="s">
        <v>1863</v>
      </c>
      <c r="G302" s="55" t="s">
        <v>1863</v>
      </c>
      <c r="H302" s="33" t="s">
        <v>1863</v>
      </c>
      <c r="I302" s="33" t="s">
        <v>1866</v>
      </c>
      <c r="J302" s="34"/>
      <c r="K302" s="34"/>
      <c r="L302" s="34"/>
    </row>
    <row r="303">
      <c r="A303" s="33" t="s">
        <v>734</v>
      </c>
      <c r="B303" s="33" t="s">
        <v>736</v>
      </c>
      <c r="C303" s="100">
        <v>1000.0</v>
      </c>
      <c r="D303" s="100">
        <v>0.0</v>
      </c>
      <c r="E303" s="33" t="s">
        <v>1863</v>
      </c>
      <c r="F303" s="101" t="s">
        <v>1863</v>
      </c>
      <c r="G303" s="55" t="s">
        <v>1863</v>
      </c>
      <c r="H303" s="33" t="s">
        <v>1863</v>
      </c>
      <c r="I303" s="33" t="s">
        <v>1866</v>
      </c>
      <c r="J303" s="34"/>
      <c r="K303" s="34"/>
      <c r="L303" s="34"/>
    </row>
    <row r="304">
      <c r="A304" s="33" t="s">
        <v>1161</v>
      </c>
      <c r="B304" s="33" t="s">
        <v>1112</v>
      </c>
      <c r="C304" s="100">
        <v>1800.0</v>
      </c>
      <c r="D304" s="100">
        <v>0.0</v>
      </c>
      <c r="E304" s="33" t="s">
        <v>1863</v>
      </c>
      <c r="F304" s="101" t="s">
        <v>1863</v>
      </c>
      <c r="G304" s="55" t="s">
        <v>1863</v>
      </c>
      <c r="H304" s="33" t="s">
        <v>1863</v>
      </c>
      <c r="I304" s="33" t="s">
        <v>1866</v>
      </c>
      <c r="J304" s="34"/>
      <c r="K304" s="34"/>
      <c r="L304" s="34"/>
    </row>
    <row r="305" hidden="1">
      <c r="A305" s="2" t="s">
        <v>1992</v>
      </c>
      <c r="B305" s="2" t="s">
        <v>1993</v>
      </c>
      <c r="C305" s="4">
        <v>0.0</v>
      </c>
      <c r="D305" s="4">
        <v>0.0</v>
      </c>
      <c r="E305" s="2" t="s">
        <v>1863</v>
      </c>
      <c r="F305" s="2" t="s">
        <v>1863</v>
      </c>
      <c r="G305" s="2" t="s">
        <v>1863</v>
      </c>
      <c r="H305" s="2" t="s">
        <v>1863</v>
      </c>
      <c r="I305" s="2" t="s">
        <v>1866</v>
      </c>
    </row>
    <row r="306">
      <c r="A306" s="33" t="s">
        <v>1163</v>
      </c>
      <c r="B306" s="33" t="s">
        <v>1164</v>
      </c>
      <c r="C306" s="100">
        <v>75.0</v>
      </c>
      <c r="D306" s="100">
        <v>0.0</v>
      </c>
      <c r="E306" s="33" t="s">
        <v>1863</v>
      </c>
      <c r="F306" s="101" t="s">
        <v>1863</v>
      </c>
      <c r="G306" s="55" t="s">
        <v>1863</v>
      </c>
      <c r="H306" s="33" t="s">
        <v>1863</v>
      </c>
      <c r="I306" s="33" t="s">
        <v>1866</v>
      </c>
      <c r="J306" s="34"/>
      <c r="K306" s="34"/>
      <c r="L306" s="34"/>
    </row>
    <row r="307" hidden="1">
      <c r="A307" s="2" t="s">
        <v>1170</v>
      </c>
      <c r="B307" s="2" t="s">
        <v>1172</v>
      </c>
      <c r="C307" s="4">
        <v>2060.0</v>
      </c>
      <c r="D307" s="4">
        <v>0.0</v>
      </c>
      <c r="E307" s="2" t="s">
        <v>1863</v>
      </c>
      <c r="F307" s="2" t="s">
        <v>1863</v>
      </c>
      <c r="G307" s="2" t="s">
        <v>1863</v>
      </c>
      <c r="H307" s="2" t="s">
        <v>1863</v>
      </c>
      <c r="I307" s="2" t="s">
        <v>1866</v>
      </c>
    </row>
    <row r="308" hidden="1">
      <c r="A308" s="2" t="s">
        <v>1180</v>
      </c>
      <c r="B308" s="2" t="s">
        <v>1181</v>
      </c>
      <c r="C308" s="4">
        <v>300.0</v>
      </c>
      <c r="D308" s="4">
        <v>0.0</v>
      </c>
      <c r="E308" s="2" t="s">
        <v>1863</v>
      </c>
      <c r="F308" s="2" t="s">
        <v>1863</v>
      </c>
      <c r="G308" s="2" t="s">
        <v>1863</v>
      </c>
      <c r="H308" s="2" t="s">
        <v>1863</v>
      </c>
      <c r="I308" s="2" t="s">
        <v>1866</v>
      </c>
    </row>
    <row r="309" hidden="1">
      <c r="A309" s="2" t="s">
        <v>1183</v>
      </c>
      <c r="B309" s="2" t="s">
        <v>1184</v>
      </c>
      <c r="C309" s="4">
        <v>100.0</v>
      </c>
      <c r="D309" s="4">
        <v>0.0</v>
      </c>
      <c r="E309" s="2" t="s">
        <v>1863</v>
      </c>
      <c r="F309" s="2" t="s">
        <v>1863</v>
      </c>
      <c r="G309" s="2" t="s">
        <v>1863</v>
      </c>
      <c r="H309" s="2" t="s">
        <v>1863</v>
      </c>
      <c r="I309" s="2" t="s">
        <v>1866</v>
      </c>
    </row>
    <row r="310" hidden="1">
      <c r="A310" s="2" t="s">
        <v>1732</v>
      </c>
      <c r="B310" s="2" t="s">
        <v>1733</v>
      </c>
      <c r="C310" s="4">
        <v>0.0</v>
      </c>
      <c r="D310" s="4">
        <v>0.0</v>
      </c>
      <c r="E310" s="2" t="s">
        <v>1863</v>
      </c>
      <c r="F310" s="2" t="s">
        <v>1863</v>
      </c>
      <c r="G310" s="2" t="s">
        <v>1863</v>
      </c>
      <c r="H310" s="2" t="s">
        <v>1863</v>
      </c>
      <c r="I310" s="2" t="s">
        <v>1866</v>
      </c>
    </row>
    <row r="311">
      <c r="A311" s="33" t="s">
        <v>123</v>
      </c>
      <c r="B311" s="33" t="s">
        <v>124</v>
      </c>
      <c r="C311" s="100">
        <v>1600.0</v>
      </c>
      <c r="D311" s="100">
        <v>0.0</v>
      </c>
      <c r="E311" s="33" t="s">
        <v>1863</v>
      </c>
      <c r="F311" s="101" t="s">
        <v>1863</v>
      </c>
      <c r="G311" s="55" t="s">
        <v>1863</v>
      </c>
      <c r="H311" s="33" t="s">
        <v>1863</v>
      </c>
      <c r="I311" s="33" t="s">
        <v>1866</v>
      </c>
      <c r="J311" s="34"/>
      <c r="K311" s="34"/>
      <c r="L311" s="34"/>
    </row>
    <row r="312">
      <c r="A312" s="33" t="s">
        <v>1994</v>
      </c>
      <c r="B312" s="33" t="s">
        <v>1996</v>
      </c>
      <c r="C312" s="100">
        <v>0.0</v>
      </c>
      <c r="D312" s="100">
        <v>0.0</v>
      </c>
      <c r="E312" s="33" t="s">
        <v>1863</v>
      </c>
      <c r="F312" s="101" t="s">
        <v>1863</v>
      </c>
      <c r="G312" s="55" t="s">
        <v>1863</v>
      </c>
      <c r="H312" s="33" t="s">
        <v>1863</v>
      </c>
      <c r="I312" s="33" t="s">
        <v>1866</v>
      </c>
      <c r="J312" s="34"/>
      <c r="K312" s="34"/>
      <c r="L312" s="34"/>
    </row>
    <row r="313" hidden="1">
      <c r="A313" s="2" t="s">
        <v>1998</v>
      </c>
      <c r="B313" s="2" t="s">
        <v>1999</v>
      </c>
      <c r="C313" s="4">
        <v>0.0</v>
      </c>
      <c r="D313" s="4">
        <v>0.0</v>
      </c>
      <c r="E313" s="2" t="s">
        <v>1863</v>
      </c>
      <c r="F313" s="2" t="s">
        <v>1863</v>
      </c>
      <c r="G313" s="2" t="s">
        <v>1863</v>
      </c>
      <c r="H313" s="2" t="s">
        <v>1863</v>
      </c>
      <c r="I313" s="2" t="s">
        <v>1866</v>
      </c>
    </row>
    <row r="314" hidden="1">
      <c r="A314" s="2" t="s">
        <v>1191</v>
      </c>
      <c r="B314" s="2" t="s">
        <v>1192</v>
      </c>
      <c r="C314" s="4">
        <v>2.0</v>
      </c>
      <c r="D314" s="4">
        <v>0.0</v>
      </c>
      <c r="E314" s="2" t="s">
        <v>1863</v>
      </c>
      <c r="F314" s="2" t="s">
        <v>1863</v>
      </c>
      <c r="G314" s="2" t="s">
        <v>1863</v>
      </c>
      <c r="H314" s="2" t="s">
        <v>1863</v>
      </c>
      <c r="I314" s="2" t="s">
        <v>1866</v>
      </c>
    </row>
    <row r="315">
      <c r="A315" s="33" t="s">
        <v>61</v>
      </c>
      <c r="B315" s="33" t="s">
        <v>62</v>
      </c>
      <c r="C315" s="100">
        <v>0.0</v>
      </c>
      <c r="D315" s="100">
        <v>0.0</v>
      </c>
      <c r="E315" s="33" t="s">
        <v>1863</v>
      </c>
      <c r="F315" s="101" t="s">
        <v>1863</v>
      </c>
      <c r="G315" s="55" t="s">
        <v>1863</v>
      </c>
      <c r="H315" s="33" t="s">
        <v>1863</v>
      </c>
      <c r="I315" s="33" t="s">
        <v>1866</v>
      </c>
      <c r="J315" s="34"/>
      <c r="K315" s="34"/>
      <c r="L315" s="34"/>
    </row>
    <row r="316" hidden="1">
      <c r="A316" s="2" t="s">
        <v>2000</v>
      </c>
      <c r="B316" s="2" t="s">
        <v>2001</v>
      </c>
      <c r="C316" s="4">
        <v>0.0</v>
      </c>
      <c r="D316" s="4">
        <v>0.0</v>
      </c>
      <c r="E316" s="2" t="s">
        <v>1863</v>
      </c>
      <c r="F316" s="2" t="s">
        <v>1863</v>
      </c>
      <c r="G316" s="2" t="s">
        <v>1863</v>
      </c>
      <c r="H316" s="2" t="s">
        <v>1863</v>
      </c>
      <c r="I316" s="2" t="s">
        <v>1866</v>
      </c>
    </row>
    <row r="317">
      <c r="A317" s="33" t="s">
        <v>2002</v>
      </c>
      <c r="B317" s="33" t="s">
        <v>2004</v>
      </c>
      <c r="C317" s="100">
        <v>0.0</v>
      </c>
      <c r="D317" s="100">
        <v>0.0</v>
      </c>
      <c r="E317" s="33" t="s">
        <v>1863</v>
      </c>
      <c r="F317" s="101" t="s">
        <v>1863</v>
      </c>
      <c r="G317" s="55" t="s">
        <v>1863</v>
      </c>
      <c r="H317" s="33" t="s">
        <v>1863</v>
      </c>
      <c r="I317" s="33" t="s">
        <v>1866</v>
      </c>
      <c r="J317" s="34"/>
      <c r="K317" s="34"/>
      <c r="L317" s="34"/>
    </row>
    <row r="318" hidden="1">
      <c r="A318" s="2" t="s">
        <v>1195</v>
      </c>
      <c r="B318" s="2" t="s">
        <v>1196</v>
      </c>
      <c r="C318" s="4">
        <v>2.0</v>
      </c>
      <c r="D318" s="4">
        <v>0.0</v>
      </c>
      <c r="E318" s="2" t="s">
        <v>1863</v>
      </c>
      <c r="F318" s="2" t="s">
        <v>1863</v>
      </c>
      <c r="G318" s="2" t="s">
        <v>1863</v>
      </c>
      <c r="H318" s="2" t="s">
        <v>1863</v>
      </c>
      <c r="I318" s="2" t="s">
        <v>1866</v>
      </c>
    </row>
    <row r="319" hidden="1">
      <c r="A319" s="2" t="s">
        <v>1200</v>
      </c>
      <c r="B319" s="2" t="s">
        <v>1201</v>
      </c>
      <c r="C319" s="4">
        <v>2.0</v>
      </c>
      <c r="D319" s="4">
        <v>0.0</v>
      </c>
      <c r="E319" s="2" t="s">
        <v>1863</v>
      </c>
      <c r="F319" s="2" t="s">
        <v>1863</v>
      </c>
      <c r="G319" s="2" t="s">
        <v>1863</v>
      </c>
      <c r="H319" s="2" t="s">
        <v>1863</v>
      </c>
      <c r="I319" s="2" t="s">
        <v>1866</v>
      </c>
    </row>
    <row r="320" hidden="1">
      <c r="A320" s="2" t="s">
        <v>1208</v>
      </c>
      <c r="B320" s="2" t="s">
        <v>1210</v>
      </c>
      <c r="C320" s="4">
        <v>100.0</v>
      </c>
      <c r="D320" s="4">
        <v>0.0</v>
      </c>
      <c r="E320" s="2" t="s">
        <v>1863</v>
      </c>
      <c r="F320" s="2" t="s">
        <v>1863</v>
      </c>
      <c r="G320" s="92"/>
      <c r="H320" s="2" t="s">
        <v>1863</v>
      </c>
      <c r="I320" s="2" t="s">
        <v>1904</v>
      </c>
    </row>
    <row r="321" hidden="1">
      <c r="A321" s="2" t="s">
        <v>1212</v>
      </c>
      <c r="B321" s="2" t="s">
        <v>1213</v>
      </c>
      <c r="C321" s="4">
        <v>100.0</v>
      </c>
      <c r="D321" s="4">
        <v>0.0</v>
      </c>
      <c r="E321" s="2" t="s">
        <v>1863</v>
      </c>
      <c r="F321" s="2" t="s">
        <v>1863</v>
      </c>
      <c r="H321" s="2" t="s">
        <v>1863</v>
      </c>
      <c r="I321" s="2" t="s">
        <v>1904</v>
      </c>
    </row>
    <row r="322" hidden="1">
      <c r="A322" s="2" t="s">
        <v>760</v>
      </c>
      <c r="B322" s="2" t="s">
        <v>762</v>
      </c>
      <c r="C322" s="4">
        <v>0.0</v>
      </c>
      <c r="D322" s="4">
        <v>0.0</v>
      </c>
      <c r="E322" s="2" t="s">
        <v>1863</v>
      </c>
      <c r="F322" s="2" t="s">
        <v>1863</v>
      </c>
      <c r="G322" s="2" t="s">
        <v>1863</v>
      </c>
      <c r="H322" s="2" t="s">
        <v>1863</v>
      </c>
      <c r="I322" s="2" t="s">
        <v>1866</v>
      </c>
    </row>
    <row r="323">
      <c r="A323" s="33" t="s">
        <v>1215</v>
      </c>
      <c r="B323" s="33" t="s">
        <v>1216</v>
      </c>
      <c r="C323" s="100">
        <v>2.0</v>
      </c>
      <c r="D323" s="100">
        <v>0.0</v>
      </c>
      <c r="E323" s="33" t="s">
        <v>1863</v>
      </c>
      <c r="F323" s="101" t="s">
        <v>1863</v>
      </c>
      <c r="G323" s="55" t="s">
        <v>1863</v>
      </c>
      <c r="H323" s="33" t="s">
        <v>1863</v>
      </c>
      <c r="I323" s="33" t="s">
        <v>1866</v>
      </c>
      <c r="J323" s="34"/>
      <c r="K323" s="34"/>
      <c r="L323" s="34"/>
    </row>
    <row r="324">
      <c r="A324" s="33" t="s">
        <v>1221</v>
      </c>
      <c r="B324" s="33" t="s">
        <v>1222</v>
      </c>
      <c r="C324" s="100">
        <v>2.0</v>
      </c>
      <c r="D324" s="100">
        <v>0.0</v>
      </c>
      <c r="E324" s="33" t="s">
        <v>1863</v>
      </c>
      <c r="F324" s="101" t="s">
        <v>1863</v>
      </c>
      <c r="G324" s="55" t="s">
        <v>1863</v>
      </c>
      <c r="H324" s="33" t="s">
        <v>1863</v>
      </c>
      <c r="I324" s="33" t="s">
        <v>1866</v>
      </c>
      <c r="J324" s="34"/>
      <c r="K324" s="34"/>
      <c r="L324" s="34"/>
    </row>
    <row r="325">
      <c r="A325" s="33" t="s">
        <v>2005</v>
      </c>
      <c r="B325" s="33" t="s">
        <v>2006</v>
      </c>
      <c r="C325" s="100">
        <v>0.0</v>
      </c>
      <c r="D325" s="100">
        <v>0.0</v>
      </c>
      <c r="E325" s="33" t="s">
        <v>1863</v>
      </c>
      <c r="F325" s="101" t="s">
        <v>1863</v>
      </c>
      <c r="G325" s="55" t="s">
        <v>1863</v>
      </c>
      <c r="H325" s="33" t="s">
        <v>1863</v>
      </c>
      <c r="I325" s="33" t="s">
        <v>1866</v>
      </c>
      <c r="J325" s="34"/>
      <c r="K325" s="34"/>
      <c r="L325" s="34"/>
    </row>
    <row r="326">
      <c r="A326" s="33" t="s">
        <v>2008</v>
      </c>
      <c r="B326" s="33" t="s">
        <v>2009</v>
      </c>
      <c r="C326" s="100">
        <v>0.0</v>
      </c>
      <c r="D326" s="100">
        <v>0.0</v>
      </c>
      <c r="E326" s="33" t="s">
        <v>1863</v>
      </c>
      <c r="F326" s="101" t="s">
        <v>1863</v>
      </c>
      <c r="G326" s="55" t="s">
        <v>1863</v>
      </c>
      <c r="H326" s="33" t="s">
        <v>1863</v>
      </c>
      <c r="I326" s="33" t="s">
        <v>1866</v>
      </c>
      <c r="J326" s="34"/>
      <c r="K326" s="34"/>
      <c r="L326" s="34"/>
    </row>
    <row r="327">
      <c r="A327" s="33" t="s">
        <v>1224</v>
      </c>
      <c r="B327" s="33" t="s">
        <v>1226</v>
      </c>
      <c r="C327" s="100">
        <v>4700.0</v>
      </c>
      <c r="D327" s="100">
        <v>0.0</v>
      </c>
      <c r="E327" s="33" t="s">
        <v>1863</v>
      </c>
      <c r="F327" s="101" t="s">
        <v>1863</v>
      </c>
      <c r="G327" s="55" t="s">
        <v>1863</v>
      </c>
      <c r="H327" s="33" t="s">
        <v>1863</v>
      </c>
      <c r="I327" s="33" t="s">
        <v>1866</v>
      </c>
      <c r="J327" s="34"/>
      <c r="K327" s="34"/>
      <c r="L327" s="34"/>
    </row>
    <row r="328">
      <c r="A328" s="33" t="s">
        <v>854</v>
      </c>
      <c r="B328" s="33" t="s">
        <v>855</v>
      </c>
      <c r="C328" s="100">
        <v>1200.0</v>
      </c>
      <c r="D328" s="100">
        <v>0.0</v>
      </c>
      <c r="E328" s="33" t="s">
        <v>1863</v>
      </c>
      <c r="F328" s="101" t="s">
        <v>1863</v>
      </c>
      <c r="G328" s="55" t="s">
        <v>1863</v>
      </c>
      <c r="H328" s="33" t="s">
        <v>1863</v>
      </c>
      <c r="I328" s="33" t="s">
        <v>1866</v>
      </c>
      <c r="J328" s="34"/>
      <c r="K328" s="34"/>
      <c r="L328" s="34"/>
    </row>
    <row r="329">
      <c r="A329" s="116" t="s">
        <v>1230</v>
      </c>
      <c r="B329" s="116" t="s">
        <v>1231</v>
      </c>
      <c r="C329" s="117">
        <v>48.0</v>
      </c>
      <c r="D329" s="117">
        <v>0.0</v>
      </c>
      <c r="E329" s="116">
        <v>2328.0</v>
      </c>
      <c r="F329" s="118">
        <v>48610.0</v>
      </c>
      <c r="G329" s="124"/>
      <c r="H329" s="116">
        <v>1.0</v>
      </c>
      <c r="I329" s="116" t="s">
        <v>1895</v>
      </c>
      <c r="J329" s="120"/>
      <c r="K329" s="120"/>
      <c r="L329" s="120"/>
    </row>
    <row r="330">
      <c r="A330" s="33" t="s">
        <v>2010</v>
      </c>
      <c r="B330" s="33" t="s">
        <v>2011</v>
      </c>
      <c r="C330" s="100">
        <v>0.0</v>
      </c>
      <c r="D330" s="100">
        <v>0.0</v>
      </c>
      <c r="E330" s="33" t="s">
        <v>1863</v>
      </c>
      <c r="F330" s="101" t="s">
        <v>1863</v>
      </c>
      <c r="G330" s="55" t="s">
        <v>1863</v>
      </c>
      <c r="H330" s="33" t="s">
        <v>1863</v>
      </c>
      <c r="I330" s="33" t="s">
        <v>1866</v>
      </c>
      <c r="J330" s="34"/>
      <c r="K330" s="34"/>
      <c r="L330" s="34"/>
    </row>
    <row r="331">
      <c r="A331" s="33" t="s">
        <v>79</v>
      </c>
      <c r="B331" s="33" t="s">
        <v>80</v>
      </c>
      <c r="C331" s="100">
        <v>700.0</v>
      </c>
      <c r="D331" s="100">
        <v>0.0</v>
      </c>
      <c r="E331" s="33" t="s">
        <v>1863</v>
      </c>
      <c r="F331" s="101" t="s">
        <v>1863</v>
      </c>
      <c r="G331" s="55" t="s">
        <v>1863</v>
      </c>
      <c r="H331" s="33" t="s">
        <v>1863</v>
      </c>
      <c r="I331" s="33" t="s">
        <v>1866</v>
      </c>
      <c r="J331" s="34"/>
      <c r="K331" s="34"/>
      <c r="L331" s="34"/>
    </row>
    <row r="332">
      <c r="A332" s="33" t="s">
        <v>424</v>
      </c>
      <c r="B332" s="33" t="s">
        <v>425</v>
      </c>
      <c r="C332" s="100">
        <v>9000.0</v>
      </c>
      <c r="D332" s="100">
        <v>0.0</v>
      </c>
      <c r="E332" s="33" t="s">
        <v>1863</v>
      </c>
      <c r="F332" s="101" t="s">
        <v>1863</v>
      </c>
      <c r="G332" s="55" t="s">
        <v>1863</v>
      </c>
      <c r="H332" s="33" t="s">
        <v>1863</v>
      </c>
      <c r="I332" s="33" t="s">
        <v>1866</v>
      </c>
      <c r="J332" s="34"/>
      <c r="K332" s="34"/>
      <c r="L332" s="34"/>
    </row>
    <row r="333">
      <c r="A333" s="33" t="s">
        <v>1237</v>
      </c>
      <c r="B333" s="33" t="s">
        <v>1238</v>
      </c>
      <c r="C333" s="100">
        <v>720.0</v>
      </c>
      <c r="D333" s="100">
        <v>0.0</v>
      </c>
      <c r="E333" s="33" t="s">
        <v>1863</v>
      </c>
      <c r="F333" s="101" t="s">
        <v>1863</v>
      </c>
      <c r="G333" s="55" t="s">
        <v>1863</v>
      </c>
      <c r="H333" s="33" t="s">
        <v>1863</v>
      </c>
      <c r="I333" s="33" t="s">
        <v>1866</v>
      </c>
      <c r="J333" s="34"/>
      <c r="K333" s="34"/>
      <c r="L333" s="34"/>
    </row>
    <row r="334">
      <c r="A334" s="33" t="s">
        <v>1240</v>
      </c>
      <c r="B334" s="33" t="s">
        <v>1241</v>
      </c>
      <c r="C334" s="100">
        <v>700.0</v>
      </c>
      <c r="D334" s="100">
        <v>0.0</v>
      </c>
      <c r="E334" s="33" t="s">
        <v>1863</v>
      </c>
      <c r="F334" s="101" t="s">
        <v>1863</v>
      </c>
      <c r="G334" s="55" t="s">
        <v>1863</v>
      </c>
      <c r="H334" s="33" t="s">
        <v>1863</v>
      </c>
      <c r="I334" s="33" t="s">
        <v>1866</v>
      </c>
      <c r="J334" s="34"/>
      <c r="K334" s="34"/>
      <c r="L334" s="34"/>
    </row>
    <row r="335">
      <c r="A335" s="33" t="s">
        <v>1244</v>
      </c>
      <c r="B335" s="33" t="s">
        <v>1245</v>
      </c>
      <c r="C335" s="100">
        <v>6.0</v>
      </c>
      <c r="D335" s="100">
        <v>0.0</v>
      </c>
      <c r="E335" s="33" t="s">
        <v>1863</v>
      </c>
      <c r="F335" s="101" t="s">
        <v>1863</v>
      </c>
      <c r="G335" s="55" t="s">
        <v>1863</v>
      </c>
      <c r="H335" s="33" t="s">
        <v>1863</v>
      </c>
      <c r="I335" s="33" t="s">
        <v>1866</v>
      </c>
      <c r="J335" s="34"/>
      <c r="K335" s="34"/>
      <c r="L335" s="34"/>
    </row>
    <row r="336">
      <c r="A336" s="121" t="s">
        <v>2012</v>
      </c>
      <c r="B336" s="121" t="s">
        <v>2013</v>
      </c>
      <c r="C336" s="122">
        <v>0.0</v>
      </c>
      <c r="D336" s="122">
        <v>0.0</v>
      </c>
      <c r="E336" s="121" t="s">
        <v>1863</v>
      </c>
      <c r="F336" s="123" t="s">
        <v>1863</v>
      </c>
      <c r="G336" s="124"/>
      <c r="H336" s="121" t="s">
        <v>1863</v>
      </c>
      <c r="I336" s="121" t="s">
        <v>1904</v>
      </c>
      <c r="J336" s="125"/>
      <c r="K336" s="125"/>
      <c r="L336" s="125"/>
    </row>
    <row r="337">
      <c r="A337" s="33" t="s">
        <v>163</v>
      </c>
      <c r="B337" s="33" t="s">
        <v>1737</v>
      </c>
      <c r="C337" s="100">
        <v>4000.0</v>
      </c>
      <c r="D337" s="100">
        <v>0.0</v>
      </c>
      <c r="E337" s="33" t="s">
        <v>1863</v>
      </c>
      <c r="F337" s="101" t="s">
        <v>1863</v>
      </c>
      <c r="G337" s="55" t="s">
        <v>1863</v>
      </c>
      <c r="H337" s="33" t="s">
        <v>1863</v>
      </c>
      <c r="I337" s="33" t="s">
        <v>1866</v>
      </c>
      <c r="J337" s="34"/>
      <c r="K337" s="34"/>
      <c r="L337" s="34"/>
    </row>
    <row r="338">
      <c r="A338" s="33" t="s">
        <v>1250</v>
      </c>
      <c r="B338" s="33" t="s">
        <v>1251</v>
      </c>
      <c r="C338" s="100">
        <v>100.0</v>
      </c>
      <c r="D338" s="100">
        <v>0.0</v>
      </c>
      <c r="E338" s="33" t="s">
        <v>1863</v>
      </c>
      <c r="F338" s="101" t="s">
        <v>1863</v>
      </c>
      <c r="G338" s="55" t="s">
        <v>1863</v>
      </c>
      <c r="H338" s="33" t="s">
        <v>1863</v>
      </c>
      <c r="I338" s="33" t="s">
        <v>1866</v>
      </c>
      <c r="J338" s="34"/>
      <c r="K338" s="34"/>
      <c r="L338" s="34"/>
    </row>
    <row r="339">
      <c r="A339" s="33" t="s">
        <v>1253</v>
      </c>
      <c r="B339" s="33" t="s">
        <v>1254</v>
      </c>
      <c r="C339" s="100">
        <v>792.0</v>
      </c>
      <c r="D339" s="100">
        <v>0.0</v>
      </c>
      <c r="E339" s="33" t="s">
        <v>1863</v>
      </c>
      <c r="F339" s="101" t="s">
        <v>1863</v>
      </c>
      <c r="G339" s="55" t="s">
        <v>1863</v>
      </c>
      <c r="H339" s="33" t="s">
        <v>1863</v>
      </c>
      <c r="I339" s="33" t="s">
        <v>1866</v>
      </c>
      <c r="J339" s="34"/>
      <c r="K339" s="34"/>
      <c r="L339" s="34"/>
    </row>
    <row r="340">
      <c r="A340" s="33" t="s">
        <v>187</v>
      </c>
      <c r="B340" s="33" t="s">
        <v>188</v>
      </c>
      <c r="C340" s="100">
        <v>0.0</v>
      </c>
      <c r="D340" s="100">
        <v>0.0</v>
      </c>
      <c r="E340" s="33" t="s">
        <v>1863</v>
      </c>
      <c r="F340" s="101" t="s">
        <v>1863</v>
      </c>
      <c r="G340" s="55" t="s">
        <v>1863</v>
      </c>
      <c r="H340" s="33" t="s">
        <v>1863</v>
      </c>
      <c r="I340" s="33" t="s">
        <v>1866</v>
      </c>
      <c r="J340" s="34"/>
      <c r="K340" s="34"/>
      <c r="L340" s="34"/>
    </row>
    <row r="341">
      <c r="A341" s="33" t="s">
        <v>1256</v>
      </c>
      <c r="B341" s="33" t="s">
        <v>1257</v>
      </c>
      <c r="C341" s="100">
        <v>6.0</v>
      </c>
      <c r="D341" s="100">
        <v>0.0</v>
      </c>
      <c r="E341" s="33" t="s">
        <v>1863</v>
      </c>
      <c r="F341" s="101" t="s">
        <v>1863</v>
      </c>
      <c r="G341" s="55" t="s">
        <v>1863</v>
      </c>
      <c r="H341" s="33" t="s">
        <v>1863</v>
      </c>
      <c r="I341" s="33" t="s">
        <v>1866</v>
      </c>
      <c r="J341" s="34"/>
      <c r="K341" s="34"/>
      <c r="L341" s="34"/>
    </row>
    <row r="342">
      <c r="A342" s="33" t="s">
        <v>1260</v>
      </c>
      <c r="B342" s="33" t="s">
        <v>1261</v>
      </c>
      <c r="C342" s="100">
        <v>1.0</v>
      </c>
      <c r="D342" s="100">
        <v>0.0</v>
      </c>
      <c r="E342" s="33" t="s">
        <v>1863</v>
      </c>
      <c r="F342" s="101" t="s">
        <v>1863</v>
      </c>
      <c r="G342" s="55" t="s">
        <v>1863</v>
      </c>
      <c r="H342" s="33" t="s">
        <v>1863</v>
      </c>
      <c r="I342" s="33" t="s">
        <v>1866</v>
      </c>
      <c r="J342" s="34"/>
      <c r="K342" s="34"/>
      <c r="L342" s="34"/>
    </row>
    <row r="343">
      <c r="A343" s="33" t="s">
        <v>1265</v>
      </c>
      <c r="B343" s="33" t="s">
        <v>1266</v>
      </c>
      <c r="C343" s="100">
        <v>1.0</v>
      </c>
      <c r="D343" s="100">
        <v>0.0</v>
      </c>
      <c r="E343" s="33" t="s">
        <v>1863</v>
      </c>
      <c r="F343" s="101" t="s">
        <v>1863</v>
      </c>
      <c r="G343" s="55" t="s">
        <v>1863</v>
      </c>
      <c r="H343" s="33" t="s">
        <v>1863</v>
      </c>
      <c r="I343" s="33" t="s">
        <v>1866</v>
      </c>
      <c r="J343" s="34"/>
      <c r="K343" s="34"/>
      <c r="L343" s="34"/>
    </row>
    <row r="344">
      <c r="A344" s="33" t="s">
        <v>1739</v>
      </c>
      <c r="B344" s="33" t="s">
        <v>1740</v>
      </c>
      <c r="C344" s="100">
        <v>0.0</v>
      </c>
      <c r="D344" s="100">
        <v>0.0</v>
      </c>
      <c r="E344" s="33" t="s">
        <v>1863</v>
      </c>
      <c r="F344" s="101" t="s">
        <v>1863</v>
      </c>
      <c r="G344" s="55" t="s">
        <v>1863</v>
      </c>
      <c r="H344" s="33" t="s">
        <v>1863</v>
      </c>
      <c r="I344" s="33" t="s">
        <v>1866</v>
      </c>
      <c r="J344" s="34"/>
      <c r="K344" s="34"/>
      <c r="L344" s="34"/>
    </row>
    <row r="345">
      <c r="A345" s="33" t="s">
        <v>1269</v>
      </c>
      <c r="B345" s="33" t="s">
        <v>1270</v>
      </c>
      <c r="C345" s="100">
        <v>2.0</v>
      </c>
      <c r="D345" s="100">
        <v>0.0</v>
      </c>
      <c r="E345" s="33" t="s">
        <v>1863</v>
      </c>
      <c r="F345" s="101" t="s">
        <v>1863</v>
      </c>
      <c r="G345" s="55" t="s">
        <v>1863</v>
      </c>
      <c r="H345" s="33" t="s">
        <v>1863</v>
      </c>
      <c r="I345" s="33" t="s">
        <v>1866</v>
      </c>
      <c r="J345" s="34"/>
      <c r="K345" s="34"/>
      <c r="L345" s="34"/>
    </row>
    <row r="346">
      <c r="A346" s="33" t="s">
        <v>2016</v>
      </c>
      <c r="B346" s="33" t="s">
        <v>2017</v>
      </c>
      <c r="C346" s="100">
        <v>0.0</v>
      </c>
      <c r="D346" s="100">
        <v>0.0</v>
      </c>
      <c r="E346" s="33" t="s">
        <v>1863</v>
      </c>
      <c r="F346" s="101" t="s">
        <v>1863</v>
      </c>
      <c r="G346" s="55" t="s">
        <v>1863</v>
      </c>
      <c r="H346" s="33" t="s">
        <v>1863</v>
      </c>
      <c r="I346" s="33" t="s">
        <v>1866</v>
      </c>
      <c r="J346" s="34"/>
      <c r="K346" s="34"/>
      <c r="L346" s="34"/>
    </row>
    <row r="347">
      <c r="A347" s="33" t="s">
        <v>1741</v>
      </c>
      <c r="B347" s="33" t="s">
        <v>1742</v>
      </c>
      <c r="C347" s="100">
        <v>0.0</v>
      </c>
      <c r="D347" s="100">
        <v>0.0</v>
      </c>
      <c r="E347" s="33" t="s">
        <v>1863</v>
      </c>
      <c r="F347" s="101" t="s">
        <v>1863</v>
      </c>
      <c r="G347" s="55" t="s">
        <v>1863</v>
      </c>
      <c r="H347" s="33" t="s">
        <v>1863</v>
      </c>
      <c r="I347" s="33" t="s">
        <v>1866</v>
      </c>
      <c r="J347" s="34"/>
      <c r="K347" s="34"/>
      <c r="L347" s="34"/>
    </row>
    <row r="348">
      <c r="A348" s="33" t="s">
        <v>1743</v>
      </c>
      <c r="B348" s="33" t="s">
        <v>1744</v>
      </c>
      <c r="C348" s="100">
        <v>0.0</v>
      </c>
      <c r="D348" s="100">
        <v>0.0</v>
      </c>
      <c r="E348" s="33" t="s">
        <v>1863</v>
      </c>
      <c r="F348" s="101" t="s">
        <v>1863</v>
      </c>
      <c r="G348" s="55" t="s">
        <v>1863</v>
      </c>
      <c r="H348" s="33" t="s">
        <v>1863</v>
      </c>
      <c r="I348" s="33" t="s">
        <v>1866</v>
      </c>
      <c r="J348" s="34"/>
      <c r="K348" s="34"/>
      <c r="L348" s="34"/>
    </row>
    <row r="349">
      <c r="A349" s="33" t="s">
        <v>1746</v>
      </c>
      <c r="B349" s="33" t="s">
        <v>1747</v>
      </c>
      <c r="C349" s="100">
        <v>0.0</v>
      </c>
      <c r="D349" s="100">
        <v>0.0</v>
      </c>
      <c r="E349" s="33" t="s">
        <v>1863</v>
      </c>
      <c r="F349" s="101" t="s">
        <v>1863</v>
      </c>
      <c r="G349" s="55" t="s">
        <v>1863</v>
      </c>
      <c r="H349" s="33" t="s">
        <v>1863</v>
      </c>
      <c r="I349" s="33" t="s">
        <v>1866</v>
      </c>
      <c r="J349" s="34"/>
      <c r="K349" s="34"/>
      <c r="L349" s="34"/>
    </row>
    <row r="350">
      <c r="A350" s="33" t="s">
        <v>1272</v>
      </c>
      <c r="B350" s="33" t="s">
        <v>1273</v>
      </c>
      <c r="C350" s="100">
        <v>3887.0</v>
      </c>
      <c r="D350" s="100">
        <v>0.0</v>
      </c>
      <c r="E350" s="33" t="s">
        <v>1863</v>
      </c>
      <c r="F350" s="101" t="s">
        <v>1863</v>
      </c>
      <c r="G350" s="55" t="s">
        <v>1863</v>
      </c>
      <c r="H350" s="33" t="s">
        <v>1863</v>
      </c>
      <c r="I350" s="33" t="s">
        <v>1866</v>
      </c>
      <c r="J350" s="34"/>
      <c r="K350" s="34"/>
      <c r="L350" s="34"/>
    </row>
    <row r="351">
      <c r="A351" s="33" t="s">
        <v>1275</v>
      </c>
      <c r="B351" s="33" t="s">
        <v>1276</v>
      </c>
      <c r="C351" s="100">
        <v>700.0</v>
      </c>
      <c r="D351" s="100">
        <v>0.0</v>
      </c>
      <c r="E351" s="33" t="s">
        <v>1863</v>
      </c>
      <c r="F351" s="101" t="s">
        <v>1863</v>
      </c>
      <c r="G351" s="55" t="s">
        <v>1863</v>
      </c>
      <c r="H351" s="33" t="s">
        <v>1863</v>
      </c>
      <c r="I351" s="33" t="s">
        <v>1866</v>
      </c>
      <c r="J351" s="34"/>
      <c r="K351" s="34"/>
      <c r="L351" s="34"/>
    </row>
    <row r="352">
      <c r="A352" s="33" t="s">
        <v>1749</v>
      </c>
      <c r="B352" s="33" t="s">
        <v>1751</v>
      </c>
      <c r="C352" s="100">
        <v>0.0</v>
      </c>
      <c r="D352" s="100">
        <v>0.0</v>
      </c>
      <c r="E352" s="33" t="s">
        <v>1863</v>
      </c>
      <c r="F352" s="101" t="s">
        <v>1863</v>
      </c>
      <c r="G352" s="55" t="s">
        <v>1863</v>
      </c>
      <c r="H352" s="33" t="s">
        <v>1863</v>
      </c>
      <c r="I352" s="33" t="s">
        <v>1866</v>
      </c>
      <c r="J352" s="34"/>
      <c r="K352" s="34"/>
      <c r="L352" s="34"/>
    </row>
    <row r="353">
      <c r="A353" s="33" t="s">
        <v>1278</v>
      </c>
      <c r="B353" s="33" t="s">
        <v>1279</v>
      </c>
      <c r="C353" s="100">
        <v>400.0</v>
      </c>
      <c r="D353" s="100">
        <v>0.0</v>
      </c>
      <c r="E353" s="33" t="s">
        <v>1863</v>
      </c>
      <c r="F353" s="101" t="s">
        <v>1863</v>
      </c>
      <c r="G353" s="55" t="s">
        <v>1863</v>
      </c>
      <c r="H353" s="33" t="s">
        <v>1863</v>
      </c>
      <c r="I353" s="33" t="s">
        <v>1866</v>
      </c>
      <c r="J353" s="34"/>
      <c r="K353" s="34"/>
      <c r="L353" s="34"/>
    </row>
    <row r="354">
      <c r="A354" s="33" t="s">
        <v>1281</v>
      </c>
      <c r="B354" s="33" t="s">
        <v>1282</v>
      </c>
      <c r="C354" s="100">
        <v>1500.0</v>
      </c>
      <c r="D354" s="100">
        <v>0.0</v>
      </c>
      <c r="E354" s="33" t="s">
        <v>1863</v>
      </c>
      <c r="F354" s="101" t="s">
        <v>1863</v>
      </c>
      <c r="G354" s="55" t="s">
        <v>1863</v>
      </c>
      <c r="H354" s="33" t="s">
        <v>1863</v>
      </c>
      <c r="I354" s="33" t="s">
        <v>1866</v>
      </c>
      <c r="J354" s="34"/>
      <c r="K354" s="34"/>
      <c r="L354" s="34"/>
    </row>
    <row r="355">
      <c r="A355" s="33" t="s">
        <v>1285</v>
      </c>
      <c r="B355" s="33" t="s">
        <v>1286</v>
      </c>
      <c r="C355" s="100">
        <v>300.0</v>
      </c>
      <c r="D355" s="100">
        <v>0.0</v>
      </c>
      <c r="E355" s="33" t="s">
        <v>1863</v>
      </c>
      <c r="F355" s="101" t="s">
        <v>1863</v>
      </c>
      <c r="G355" s="55" t="s">
        <v>1863</v>
      </c>
      <c r="H355" s="33" t="s">
        <v>1863</v>
      </c>
      <c r="I355" s="33" t="s">
        <v>1866</v>
      </c>
      <c r="J355" s="34"/>
      <c r="K355" s="34"/>
      <c r="L355" s="34"/>
    </row>
    <row r="356">
      <c r="A356" s="33" t="s">
        <v>1291</v>
      </c>
      <c r="B356" s="33" t="s">
        <v>1292</v>
      </c>
      <c r="C356" s="100">
        <v>720.0</v>
      </c>
      <c r="D356" s="100">
        <v>0.0</v>
      </c>
      <c r="E356" s="33" t="s">
        <v>1863</v>
      </c>
      <c r="F356" s="101" t="s">
        <v>1863</v>
      </c>
      <c r="G356" s="55" t="s">
        <v>1863</v>
      </c>
      <c r="H356" s="33" t="s">
        <v>1863</v>
      </c>
      <c r="I356" s="33" t="s">
        <v>1866</v>
      </c>
      <c r="J356" s="34"/>
      <c r="K356" s="34"/>
      <c r="L356" s="34"/>
    </row>
    <row r="357">
      <c r="A357" s="33" t="s">
        <v>1295</v>
      </c>
      <c r="B357" s="33" t="s">
        <v>1296</v>
      </c>
      <c r="C357" s="100">
        <v>1.0</v>
      </c>
      <c r="D357" s="100">
        <v>0.0</v>
      </c>
      <c r="E357" s="33" t="s">
        <v>1863</v>
      </c>
      <c r="F357" s="101" t="s">
        <v>1863</v>
      </c>
      <c r="G357" s="55" t="s">
        <v>1863</v>
      </c>
      <c r="H357" s="33" t="s">
        <v>1863</v>
      </c>
      <c r="I357" s="33" t="s">
        <v>1866</v>
      </c>
      <c r="J357" s="34"/>
      <c r="K357" s="34"/>
      <c r="L357" s="34"/>
    </row>
    <row r="358">
      <c r="A358" s="33" t="s">
        <v>2019</v>
      </c>
      <c r="B358" s="33" t="s">
        <v>2020</v>
      </c>
      <c r="C358" s="100">
        <v>0.0</v>
      </c>
      <c r="D358" s="100">
        <v>0.0</v>
      </c>
      <c r="E358" s="33" t="s">
        <v>1863</v>
      </c>
      <c r="F358" s="101" t="s">
        <v>1863</v>
      </c>
      <c r="G358" s="55" t="s">
        <v>1863</v>
      </c>
      <c r="H358" s="33" t="s">
        <v>1863</v>
      </c>
      <c r="I358" s="33" t="s">
        <v>1866</v>
      </c>
      <c r="J358" s="34"/>
      <c r="K358" s="34"/>
      <c r="L358" s="34"/>
    </row>
    <row r="359">
      <c r="A359" s="33" t="s">
        <v>415</v>
      </c>
      <c r="B359" s="33" t="s">
        <v>416</v>
      </c>
      <c r="C359" s="100">
        <v>250.0</v>
      </c>
      <c r="D359" s="100">
        <v>0.0</v>
      </c>
      <c r="E359" s="33" t="s">
        <v>1863</v>
      </c>
      <c r="F359" s="101" t="s">
        <v>1863</v>
      </c>
      <c r="G359" s="55" t="s">
        <v>1863</v>
      </c>
      <c r="H359" s="33" t="s">
        <v>1863</v>
      </c>
      <c r="I359" s="33" t="s">
        <v>1866</v>
      </c>
      <c r="J359" s="34"/>
      <c r="K359" s="34"/>
      <c r="L359" s="34"/>
    </row>
    <row r="360">
      <c r="A360" s="33" t="s">
        <v>1752</v>
      </c>
      <c r="B360" s="33" t="s">
        <v>1753</v>
      </c>
      <c r="C360" s="100">
        <v>0.0</v>
      </c>
      <c r="D360" s="100">
        <v>0.0</v>
      </c>
      <c r="E360" s="33" t="s">
        <v>1863</v>
      </c>
      <c r="F360" s="101" t="s">
        <v>1863</v>
      </c>
      <c r="G360" s="55" t="s">
        <v>1863</v>
      </c>
      <c r="H360" s="33" t="s">
        <v>1863</v>
      </c>
      <c r="I360" s="33" t="s">
        <v>1866</v>
      </c>
      <c r="J360" s="34"/>
      <c r="K360" s="34"/>
      <c r="L360" s="34"/>
    </row>
    <row r="361">
      <c r="A361" s="33" t="s">
        <v>1754</v>
      </c>
      <c r="B361" s="33" t="s">
        <v>1755</v>
      </c>
      <c r="C361" s="100">
        <v>0.0</v>
      </c>
      <c r="D361" s="100">
        <v>0.0</v>
      </c>
      <c r="E361" s="33" t="s">
        <v>1863</v>
      </c>
      <c r="F361" s="101" t="s">
        <v>1863</v>
      </c>
      <c r="G361" s="55" t="s">
        <v>1863</v>
      </c>
      <c r="H361" s="33" t="s">
        <v>1863</v>
      </c>
      <c r="I361" s="33" t="s">
        <v>1866</v>
      </c>
      <c r="J361" s="34"/>
      <c r="K361" s="34"/>
      <c r="L361" s="34"/>
    </row>
    <row r="362">
      <c r="A362" s="33" t="s">
        <v>1299</v>
      </c>
      <c r="B362" s="33" t="s">
        <v>1300</v>
      </c>
      <c r="C362" s="100">
        <v>560.0</v>
      </c>
      <c r="D362" s="100">
        <v>0.0</v>
      </c>
      <c r="E362" s="33" t="s">
        <v>1863</v>
      </c>
      <c r="F362" s="101" t="s">
        <v>1863</v>
      </c>
      <c r="G362" s="55" t="s">
        <v>1863</v>
      </c>
      <c r="H362" s="33" t="s">
        <v>1863</v>
      </c>
      <c r="I362" s="33" t="s">
        <v>1866</v>
      </c>
      <c r="J362" s="34"/>
      <c r="K362" s="34"/>
      <c r="L362" s="34"/>
    </row>
    <row r="363">
      <c r="A363" s="33" t="s">
        <v>1302</v>
      </c>
      <c r="B363" s="33" t="s">
        <v>1303</v>
      </c>
      <c r="C363" s="100">
        <v>1000.0</v>
      </c>
      <c r="D363" s="100">
        <v>0.0</v>
      </c>
      <c r="E363" s="33" t="s">
        <v>1863</v>
      </c>
      <c r="F363" s="101" t="s">
        <v>1863</v>
      </c>
      <c r="G363" s="55" t="s">
        <v>1863</v>
      </c>
      <c r="H363" s="33" t="s">
        <v>1863</v>
      </c>
      <c r="I363" s="33" t="s">
        <v>1866</v>
      </c>
      <c r="J363" s="34"/>
      <c r="K363" s="34"/>
      <c r="L363" s="34"/>
    </row>
    <row r="364">
      <c r="A364" s="33" t="s">
        <v>2021</v>
      </c>
      <c r="B364" s="33" t="s">
        <v>2022</v>
      </c>
      <c r="C364" s="100">
        <v>0.0</v>
      </c>
      <c r="D364" s="100">
        <v>0.0</v>
      </c>
      <c r="E364" s="33" t="s">
        <v>1863</v>
      </c>
      <c r="F364" s="101" t="s">
        <v>1863</v>
      </c>
      <c r="G364" s="55" t="s">
        <v>1863</v>
      </c>
      <c r="H364" s="33" t="s">
        <v>1863</v>
      </c>
      <c r="I364" s="33" t="s">
        <v>1866</v>
      </c>
      <c r="J364" s="34"/>
      <c r="K364" s="34"/>
      <c r="L364" s="34"/>
    </row>
    <row r="365">
      <c r="A365" s="33" t="s">
        <v>1306</v>
      </c>
      <c r="B365" s="33" t="s">
        <v>1307</v>
      </c>
      <c r="C365" s="100">
        <v>1048.0</v>
      </c>
      <c r="D365" s="100">
        <v>0.0</v>
      </c>
      <c r="E365" s="33" t="s">
        <v>1863</v>
      </c>
      <c r="F365" s="101" t="s">
        <v>1863</v>
      </c>
      <c r="G365" s="55" t="s">
        <v>1863</v>
      </c>
      <c r="H365" s="33" t="s">
        <v>1863</v>
      </c>
      <c r="I365" s="33" t="s">
        <v>1866</v>
      </c>
      <c r="J365" s="34"/>
      <c r="K365" s="34"/>
      <c r="L365" s="34"/>
    </row>
    <row r="366">
      <c r="A366" s="33" t="s">
        <v>538</v>
      </c>
      <c r="B366" s="33" t="s">
        <v>539</v>
      </c>
      <c r="C366" s="100">
        <v>576.0</v>
      </c>
      <c r="D366" s="100">
        <v>0.0</v>
      </c>
      <c r="E366" s="33" t="s">
        <v>1863</v>
      </c>
      <c r="F366" s="101" t="s">
        <v>1863</v>
      </c>
      <c r="G366" s="55" t="s">
        <v>1863</v>
      </c>
      <c r="H366" s="33" t="s">
        <v>1863</v>
      </c>
      <c r="I366" s="33" t="s">
        <v>1866</v>
      </c>
      <c r="J366" s="34"/>
      <c r="K366" s="34"/>
      <c r="L366" s="34"/>
    </row>
    <row r="367">
      <c r="A367" s="33" t="s">
        <v>1310</v>
      </c>
      <c r="B367" s="33" t="s">
        <v>1311</v>
      </c>
      <c r="C367" s="100">
        <v>3225.0</v>
      </c>
      <c r="D367" s="100">
        <v>0.0</v>
      </c>
      <c r="E367" s="33" t="s">
        <v>1863</v>
      </c>
      <c r="F367" s="101" t="s">
        <v>1863</v>
      </c>
      <c r="G367" s="55" t="s">
        <v>1863</v>
      </c>
      <c r="H367" s="33" t="s">
        <v>1863</v>
      </c>
      <c r="I367" s="33" t="s">
        <v>1866</v>
      </c>
      <c r="J367" s="34"/>
      <c r="K367" s="34"/>
      <c r="L367" s="34"/>
    </row>
    <row r="368">
      <c r="A368" s="33" t="s">
        <v>2023</v>
      </c>
      <c r="B368" s="33" t="s">
        <v>2024</v>
      </c>
      <c r="C368" s="100">
        <v>0.0</v>
      </c>
      <c r="D368" s="100">
        <v>0.0</v>
      </c>
      <c r="E368" s="33" t="s">
        <v>1863</v>
      </c>
      <c r="F368" s="101" t="s">
        <v>1863</v>
      </c>
      <c r="G368" s="55" t="s">
        <v>1863</v>
      </c>
      <c r="H368" s="33" t="s">
        <v>1863</v>
      </c>
      <c r="I368" s="33" t="s">
        <v>1866</v>
      </c>
      <c r="J368" s="34"/>
      <c r="K368" s="34"/>
      <c r="L368" s="34"/>
    </row>
    <row r="369">
      <c r="A369" s="33" t="s">
        <v>1314</v>
      </c>
      <c r="B369" s="33" t="s">
        <v>1315</v>
      </c>
      <c r="C369" s="100">
        <v>0.0</v>
      </c>
      <c r="D369" s="100">
        <v>0.0</v>
      </c>
      <c r="E369" s="33" t="s">
        <v>1863</v>
      </c>
      <c r="F369" s="101" t="s">
        <v>1863</v>
      </c>
      <c r="G369" s="55" t="s">
        <v>1863</v>
      </c>
      <c r="H369" s="33" t="s">
        <v>1863</v>
      </c>
      <c r="I369" s="33" t="s">
        <v>1866</v>
      </c>
      <c r="J369" s="34"/>
      <c r="K369" s="34"/>
      <c r="L369" s="34"/>
    </row>
    <row r="370">
      <c r="A370" s="33" t="s">
        <v>70</v>
      </c>
      <c r="B370" s="33" t="s">
        <v>71</v>
      </c>
      <c r="C370" s="100">
        <v>0.0</v>
      </c>
      <c r="D370" s="100">
        <v>0.0</v>
      </c>
      <c r="E370" s="33" t="s">
        <v>1863</v>
      </c>
      <c r="F370" s="101" t="s">
        <v>1863</v>
      </c>
      <c r="G370" s="55" t="s">
        <v>1863</v>
      </c>
      <c r="H370" s="33" t="s">
        <v>1863</v>
      </c>
      <c r="I370" s="33" t="s">
        <v>1866</v>
      </c>
      <c r="J370" s="34"/>
      <c r="K370" s="34"/>
      <c r="L370" s="34"/>
    </row>
    <row r="371">
      <c r="A371" s="33" t="s">
        <v>1471</v>
      </c>
      <c r="B371" s="33" t="s">
        <v>1472</v>
      </c>
      <c r="C371" s="100">
        <v>0.0</v>
      </c>
      <c r="D371" s="100">
        <v>0.0</v>
      </c>
      <c r="E371" s="33" t="s">
        <v>1863</v>
      </c>
      <c r="F371" s="101" t="s">
        <v>1863</v>
      </c>
      <c r="G371" s="55" t="s">
        <v>1863</v>
      </c>
      <c r="H371" s="33" t="s">
        <v>1863</v>
      </c>
      <c r="I371" s="33" t="s">
        <v>1866</v>
      </c>
      <c r="J371" s="34"/>
      <c r="K371" s="34"/>
      <c r="L371" s="34"/>
    </row>
    <row r="372">
      <c r="A372" s="33" t="s">
        <v>1462</v>
      </c>
      <c r="B372" s="33" t="s">
        <v>1463</v>
      </c>
      <c r="C372" s="100">
        <v>0.0</v>
      </c>
      <c r="D372" s="100">
        <v>0.0</v>
      </c>
      <c r="E372" s="33" t="s">
        <v>1863</v>
      </c>
      <c r="F372" s="101" t="s">
        <v>1863</v>
      </c>
      <c r="G372" s="55" t="s">
        <v>1863</v>
      </c>
      <c r="H372" s="33" t="s">
        <v>1863</v>
      </c>
      <c r="I372" s="33" t="s">
        <v>1866</v>
      </c>
      <c r="J372" s="34"/>
      <c r="K372" s="34"/>
      <c r="L372" s="34"/>
    </row>
    <row r="373">
      <c r="A373" s="33" t="s">
        <v>1447</v>
      </c>
      <c r="B373" s="33" t="s">
        <v>1449</v>
      </c>
      <c r="C373" s="100">
        <v>0.0</v>
      </c>
      <c r="D373" s="100">
        <v>0.0</v>
      </c>
      <c r="E373" s="33" t="s">
        <v>1863</v>
      </c>
      <c r="F373" s="101" t="s">
        <v>1863</v>
      </c>
      <c r="G373" s="55" t="s">
        <v>1863</v>
      </c>
      <c r="H373" s="33" t="s">
        <v>1863</v>
      </c>
      <c r="I373" s="33" t="s">
        <v>1866</v>
      </c>
      <c r="J373" s="34"/>
      <c r="K373" s="34"/>
      <c r="L373" s="34"/>
    </row>
    <row r="374">
      <c r="A374" s="33" t="s">
        <v>1433</v>
      </c>
      <c r="B374" s="33" t="s">
        <v>1435</v>
      </c>
      <c r="C374" s="100">
        <v>0.0</v>
      </c>
      <c r="D374" s="100">
        <v>0.0</v>
      </c>
      <c r="E374" s="33" t="s">
        <v>1863</v>
      </c>
      <c r="F374" s="101" t="s">
        <v>1863</v>
      </c>
      <c r="G374" s="55" t="s">
        <v>1863</v>
      </c>
      <c r="H374" s="33" t="s">
        <v>1863</v>
      </c>
      <c r="I374" s="33" t="s">
        <v>1866</v>
      </c>
      <c r="J374" s="34"/>
      <c r="K374" s="34"/>
      <c r="L374" s="34"/>
    </row>
    <row r="375">
      <c r="A375" s="33" t="s">
        <v>1426</v>
      </c>
      <c r="B375" s="33" t="s">
        <v>1428</v>
      </c>
      <c r="C375" s="100">
        <v>0.0</v>
      </c>
      <c r="D375" s="100">
        <v>0.0</v>
      </c>
      <c r="E375" s="33" t="s">
        <v>1863</v>
      </c>
      <c r="F375" s="101" t="s">
        <v>1863</v>
      </c>
      <c r="G375" s="55" t="s">
        <v>1863</v>
      </c>
      <c r="H375" s="33" t="s">
        <v>1863</v>
      </c>
      <c r="I375" s="33" t="s">
        <v>1866</v>
      </c>
      <c r="J375" s="34"/>
      <c r="K375" s="34"/>
      <c r="L375" s="34"/>
    </row>
    <row r="376">
      <c r="A376" s="33" t="s">
        <v>1415</v>
      </c>
      <c r="B376" s="33" t="s">
        <v>1420</v>
      </c>
      <c r="C376" s="100">
        <v>0.0</v>
      </c>
      <c r="D376" s="100">
        <v>0.0</v>
      </c>
      <c r="E376" s="33" t="s">
        <v>1863</v>
      </c>
      <c r="F376" s="101" t="s">
        <v>1863</v>
      </c>
      <c r="G376" s="55" t="s">
        <v>1863</v>
      </c>
      <c r="H376" s="33" t="s">
        <v>1863</v>
      </c>
      <c r="I376" s="33" t="s">
        <v>1866</v>
      </c>
      <c r="J376" s="34"/>
      <c r="K376" s="34"/>
      <c r="L376" s="34"/>
    </row>
    <row r="377">
      <c r="A377" s="33" t="s">
        <v>1404</v>
      </c>
      <c r="B377" s="33" t="s">
        <v>1407</v>
      </c>
      <c r="C377" s="100">
        <v>0.0</v>
      </c>
      <c r="D377" s="100">
        <v>0.0</v>
      </c>
      <c r="E377" s="33" t="s">
        <v>1863</v>
      </c>
      <c r="F377" s="101" t="s">
        <v>1863</v>
      </c>
      <c r="G377" s="55" t="s">
        <v>1863</v>
      </c>
      <c r="H377" s="33" t="s">
        <v>1863</v>
      </c>
      <c r="I377" s="33" t="s">
        <v>1866</v>
      </c>
      <c r="J377" s="34"/>
      <c r="K377" s="34"/>
      <c r="L377" s="34"/>
    </row>
    <row r="378">
      <c r="A378" s="121" t="s">
        <v>87</v>
      </c>
      <c r="B378" s="121" t="s">
        <v>88</v>
      </c>
      <c r="C378" s="122">
        <v>800.0</v>
      </c>
      <c r="D378" s="122">
        <v>0.0</v>
      </c>
      <c r="E378" s="121" t="s">
        <v>1863</v>
      </c>
      <c r="F378" s="123" t="s">
        <v>1863</v>
      </c>
      <c r="G378" s="26"/>
      <c r="H378" s="121" t="s">
        <v>1863</v>
      </c>
      <c r="I378" s="121" t="s">
        <v>1904</v>
      </c>
      <c r="J378" s="125"/>
      <c r="K378" s="125"/>
      <c r="L378" s="125"/>
    </row>
    <row r="379">
      <c r="A379" s="121" t="s">
        <v>1762</v>
      </c>
      <c r="B379" s="121" t="s">
        <v>1763</v>
      </c>
      <c r="C379" s="122">
        <v>0.0</v>
      </c>
      <c r="D379" s="122">
        <v>0.0</v>
      </c>
      <c r="E379" s="121" t="s">
        <v>1863</v>
      </c>
      <c r="F379" s="123" t="s">
        <v>1863</v>
      </c>
      <c r="G379" s="26"/>
      <c r="H379" s="121" t="s">
        <v>1863</v>
      </c>
      <c r="I379" s="121" t="s">
        <v>1904</v>
      </c>
      <c r="J379" s="125"/>
      <c r="K379" s="125"/>
      <c r="L379" s="125"/>
    </row>
    <row r="380">
      <c r="A380" s="121" t="s">
        <v>1764</v>
      </c>
      <c r="B380" s="121" t="s">
        <v>1765</v>
      </c>
      <c r="C380" s="122">
        <v>0.0</v>
      </c>
      <c r="D380" s="122">
        <v>0.0</v>
      </c>
      <c r="E380" s="121" t="s">
        <v>1863</v>
      </c>
      <c r="F380" s="123" t="s">
        <v>1863</v>
      </c>
      <c r="G380" s="26"/>
      <c r="H380" s="121" t="s">
        <v>1863</v>
      </c>
      <c r="I380" s="121" t="s">
        <v>1904</v>
      </c>
      <c r="J380" s="125"/>
      <c r="K380" s="125"/>
      <c r="L380" s="125"/>
    </row>
    <row r="381">
      <c r="A381" s="121" t="s">
        <v>1317</v>
      </c>
      <c r="B381" s="121" t="s">
        <v>1318</v>
      </c>
      <c r="C381" s="122">
        <v>1600.0</v>
      </c>
      <c r="D381" s="122">
        <v>0.0</v>
      </c>
      <c r="E381" s="121" t="s">
        <v>1863</v>
      </c>
      <c r="F381" s="123" t="s">
        <v>1863</v>
      </c>
      <c r="G381" s="26"/>
      <c r="H381" s="121" t="s">
        <v>1863</v>
      </c>
      <c r="I381" s="121" t="s">
        <v>1904</v>
      </c>
      <c r="J381" s="125"/>
      <c r="K381" s="125"/>
      <c r="L381" s="125"/>
    </row>
    <row r="382">
      <c r="A382" s="121" t="s">
        <v>1766</v>
      </c>
      <c r="B382" s="121" t="s">
        <v>1767</v>
      </c>
      <c r="C382" s="122">
        <v>0.0</v>
      </c>
      <c r="D382" s="122">
        <v>0.0</v>
      </c>
      <c r="E382" s="121" t="s">
        <v>1863</v>
      </c>
      <c r="F382" s="123" t="s">
        <v>1863</v>
      </c>
      <c r="G382" s="26"/>
      <c r="H382" s="121" t="s">
        <v>1863</v>
      </c>
      <c r="I382" s="121" t="s">
        <v>1904</v>
      </c>
      <c r="J382" s="125"/>
      <c r="K382" s="125"/>
      <c r="L382" s="125"/>
    </row>
    <row r="383">
      <c r="A383" s="121" t="s">
        <v>1320</v>
      </c>
      <c r="B383" s="121" t="s">
        <v>1321</v>
      </c>
      <c r="C383" s="122">
        <v>4.5</v>
      </c>
      <c r="D383" s="122">
        <v>0.0</v>
      </c>
      <c r="E383" s="121" t="s">
        <v>1863</v>
      </c>
      <c r="F383" s="123" t="s">
        <v>1863</v>
      </c>
      <c r="G383" s="26"/>
      <c r="H383" s="121" t="s">
        <v>1863</v>
      </c>
      <c r="I383" s="121" t="s">
        <v>1904</v>
      </c>
      <c r="J383" s="125"/>
      <c r="K383" s="125"/>
      <c r="L383" s="125"/>
    </row>
    <row r="384">
      <c r="A384" s="121" t="s">
        <v>53</v>
      </c>
      <c r="B384" s="121" t="s">
        <v>54</v>
      </c>
      <c r="C384" s="122">
        <v>0.0</v>
      </c>
      <c r="D384" s="122">
        <v>0.0</v>
      </c>
      <c r="E384" s="121" t="s">
        <v>1863</v>
      </c>
      <c r="F384" s="123" t="s">
        <v>1863</v>
      </c>
      <c r="G384" s="26"/>
      <c r="H384" s="121" t="s">
        <v>1863</v>
      </c>
      <c r="I384" s="121" t="s">
        <v>1904</v>
      </c>
      <c r="J384" s="125"/>
      <c r="K384" s="125"/>
      <c r="L384" s="125"/>
    </row>
    <row r="385">
      <c r="A385" s="121" t="s">
        <v>223</v>
      </c>
      <c r="B385" s="121" t="s">
        <v>224</v>
      </c>
      <c r="C385" s="122">
        <v>300.0</v>
      </c>
      <c r="D385" s="122">
        <v>0.0</v>
      </c>
      <c r="E385" s="121" t="s">
        <v>1863</v>
      </c>
      <c r="F385" s="123" t="s">
        <v>1863</v>
      </c>
      <c r="G385" s="26"/>
      <c r="H385" s="121" t="s">
        <v>1863</v>
      </c>
      <c r="I385" s="121" t="s">
        <v>1904</v>
      </c>
      <c r="J385" s="125"/>
      <c r="K385" s="125"/>
      <c r="L385" s="125"/>
    </row>
    <row r="386">
      <c r="A386" s="121" t="s">
        <v>1770</v>
      </c>
      <c r="B386" s="121" t="s">
        <v>1771</v>
      </c>
      <c r="C386" s="122">
        <v>10500.0</v>
      </c>
      <c r="D386" s="122">
        <v>0.0</v>
      </c>
      <c r="E386" s="121" t="s">
        <v>1863</v>
      </c>
      <c r="F386" s="123" t="s">
        <v>1863</v>
      </c>
      <c r="G386" s="26"/>
      <c r="H386" s="121" t="s">
        <v>1863</v>
      </c>
      <c r="I386" s="121" t="s">
        <v>1904</v>
      </c>
      <c r="J386" s="125"/>
      <c r="K386" s="125"/>
      <c r="L386" s="125"/>
    </row>
    <row r="387">
      <c r="A387" s="121" t="s">
        <v>1773</v>
      </c>
      <c r="B387" s="121" t="s">
        <v>1774</v>
      </c>
      <c r="C387" s="122">
        <v>8000.0</v>
      </c>
      <c r="D387" s="122">
        <v>0.0</v>
      </c>
      <c r="E387" s="121" t="s">
        <v>1863</v>
      </c>
      <c r="F387" s="123" t="s">
        <v>1863</v>
      </c>
      <c r="G387" s="26"/>
      <c r="H387" s="121" t="s">
        <v>1863</v>
      </c>
      <c r="I387" s="121" t="s">
        <v>1904</v>
      </c>
      <c r="J387" s="125"/>
      <c r="K387" s="125"/>
      <c r="L387" s="125"/>
    </row>
    <row r="388">
      <c r="A388" s="121" t="s">
        <v>2030</v>
      </c>
      <c r="B388" s="121" t="s">
        <v>2031</v>
      </c>
      <c r="C388" s="122">
        <v>720.0</v>
      </c>
      <c r="D388" s="122">
        <v>0.0</v>
      </c>
      <c r="E388" s="121" t="s">
        <v>1863</v>
      </c>
      <c r="F388" s="123" t="s">
        <v>1863</v>
      </c>
      <c r="G388" s="26"/>
      <c r="H388" s="121" t="s">
        <v>1863</v>
      </c>
      <c r="I388" s="121" t="s">
        <v>1904</v>
      </c>
      <c r="J388" s="125"/>
      <c r="K388" s="125"/>
      <c r="L388" s="125"/>
    </row>
    <row r="389">
      <c r="A389" s="121" t="s">
        <v>1775</v>
      </c>
      <c r="B389" s="121" t="s">
        <v>1776</v>
      </c>
      <c r="C389" s="122">
        <v>0.0</v>
      </c>
      <c r="D389" s="122">
        <v>0.0</v>
      </c>
      <c r="E389" s="121" t="s">
        <v>1863</v>
      </c>
      <c r="F389" s="123" t="s">
        <v>1863</v>
      </c>
      <c r="G389" s="26"/>
      <c r="H389" s="121" t="s">
        <v>1863</v>
      </c>
      <c r="I389" s="121" t="s">
        <v>1904</v>
      </c>
      <c r="J389" s="125"/>
      <c r="K389" s="125"/>
      <c r="L389" s="125"/>
    </row>
    <row r="390">
      <c r="A390" s="121" t="s">
        <v>2033</v>
      </c>
      <c r="B390" s="121" t="s">
        <v>1348</v>
      </c>
      <c r="C390" s="122">
        <v>720.0</v>
      </c>
      <c r="D390" s="122">
        <v>0.0</v>
      </c>
      <c r="E390" s="121" t="s">
        <v>1863</v>
      </c>
      <c r="F390" s="123" t="s">
        <v>1863</v>
      </c>
      <c r="G390" s="26"/>
      <c r="H390" s="121" t="s">
        <v>1863</v>
      </c>
      <c r="I390" s="121" t="s">
        <v>1904</v>
      </c>
      <c r="J390" s="125"/>
      <c r="K390" s="125"/>
      <c r="L390" s="125"/>
    </row>
    <row r="391">
      <c r="A391" s="121" t="s">
        <v>317</v>
      </c>
      <c r="B391" s="121" t="s">
        <v>318</v>
      </c>
      <c r="C391" s="122">
        <v>0.0</v>
      </c>
      <c r="D391" s="122">
        <v>0.0</v>
      </c>
      <c r="E391" s="121" t="s">
        <v>1863</v>
      </c>
      <c r="F391" s="123" t="s">
        <v>1863</v>
      </c>
      <c r="G391" s="26"/>
      <c r="H391" s="121" t="s">
        <v>1863</v>
      </c>
      <c r="I391" s="121" t="s">
        <v>1904</v>
      </c>
      <c r="J391" s="125"/>
      <c r="K391" s="125"/>
      <c r="L391" s="125"/>
    </row>
    <row r="392">
      <c r="A392" s="121" t="s">
        <v>356</v>
      </c>
      <c r="B392" s="121" t="s">
        <v>358</v>
      </c>
      <c r="C392" s="122">
        <v>0.0</v>
      </c>
      <c r="D392" s="122">
        <v>0.0</v>
      </c>
      <c r="E392" s="121" t="s">
        <v>1863</v>
      </c>
      <c r="F392" s="123" t="s">
        <v>1863</v>
      </c>
      <c r="G392" s="26"/>
      <c r="H392" s="121" t="s">
        <v>1863</v>
      </c>
      <c r="I392" s="121" t="s">
        <v>1904</v>
      </c>
      <c r="J392" s="125"/>
      <c r="K392" s="125"/>
      <c r="L392" s="125"/>
    </row>
    <row r="393">
      <c r="A393" s="121" t="s">
        <v>328</v>
      </c>
      <c r="B393" s="121" t="s">
        <v>329</v>
      </c>
      <c r="C393" s="122">
        <v>1500.0</v>
      </c>
      <c r="D393" s="122">
        <v>0.0</v>
      </c>
      <c r="E393" s="121" t="s">
        <v>1863</v>
      </c>
      <c r="F393" s="123" t="s">
        <v>1863</v>
      </c>
      <c r="G393" s="26"/>
      <c r="H393" s="121" t="s">
        <v>1863</v>
      </c>
      <c r="I393" s="121" t="s">
        <v>1904</v>
      </c>
      <c r="J393" s="125"/>
      <c r="K393" s="125"/>
      <c r="L393" s="125"/>
    </row>
    <row r="394">
      <c r="A394" s="121" t="s">
        <v>1393</v>
      </c>
      <c r="B394" s="121" t="s">
        <v>2035</v>
      </c>
      <c r="C394" s="122">
        <v>500.0</v>
      </c>
      <c r="D394" s="122">
        <v>0.0</v>
      </c>
      <c r="E394" s="121" t="s">
        <v>1863</v>
      </c>
      <c r="F394" s="123" t="s">
        <v>1863</v>
      </c>
      <c r="G394" s="26"/>
      <c r="H394" s="121" t="s">
        <v>1863</v>
      </c>
      <c r="I394" s="121" t="s">
        <v>1904</v>
      </c>
      <c r="J394" s="125"/>
      <c r="K394" s="125"/>
      <c r="L394" s="125"/>
    </row>
    <row r="395">
      <c r="A395" s="121" t="s">
        <v>1400</v>
      </c>
      <c r="B395" s="121" t="s">
        <v>1401</v>
      </c>
      <c r="C395" s="122">
        <v>0.0</v>
      </c>
      <c r="D395" s="122">
        <v>0.0</v>
      </c>
      <c r="E395" s="121" t="s">
        <v>1863</v>
      </c>
      <c r="F395" s="123" t="s">
        <v>1863</v>
      </c>
      <c r="G395" s="26"/>
      <c r="H395" s="121" t="s">
        <v>1863</v>
      </c>
      <c r="I395" s="121" t="s">
        <v>1904</v>
      </c>
      <c r="J395" s="125"/>
      <c r="K395" s="125"/>
      <c r="L395" s="125"/>
    </row>
    <row r="396">
      <c r="A396" s="121" t="s">
        <v>1408</v>
      </c>
      <c r="B396" s="121" t="s">
        <v>1409</v>
      </c>
      <c r="C396" s="122">
        <v>500.0</v>
      </c>
      <c r="D396" s="122">
        <v>0.0</v>
      </c>
      <c r="E396" s="121" t="s">
        <v>1863</v>
      </c>
      <c r="F396" s="123" t="s">
        <v>1863</v>
      </c>
      <c r="G396" s="26"/>
      <c r="H396" s="121" t="s">
        <v>1863</v>
      </c>
      <c r="I396" s="121" t="s">
        <v>1904</v>
      </c>
      <c r="J396" s="125"/>
      <c r="K396" s="125"/>
      <c r="L396" s="125"/>
    </row>
    <row r="397">
      <c r="A397" s="121" t="s">
        <v>472</v>
      </c>
      <c r="B397" s="121" t="s">
        <v>475</v>
      </c>
      <c r="C397" s="122">
        <v>0.0</v>
      </c>
      <c r="D397" s="122">
        <v>0.0</v>
      </c>
      <c r="E397" s="121" t="s">
        <v>1863</v>
      </c>
      <c r="F397" s="123" t="s">
        <v>1863</v>
      </c>
      <c r="G397" s="26"/>
      <c r="H397" s="121" t="s">
        <v>1863</v>
      </c>
      <c r="I397" s="121" t="s">
        <v>1904</v>
      </c>
      <c r="J397" s="125"/>
      <c r="K397" s="125"/>
      <c r="L397" s="125"/>
    </row>
    <row r="398">
      <c r="A398" s="121" t="s">
        <v>2036</v>
      </c>
      <c r="B398" s="121" t="s">
        <v>2037</v>
      </c>
      <c r="C398" s="122">
        <v>0.0</v>
      </c>
      <c r="D398" s="122">
        <v>0.0</v>
      </c>
      <c r="E398" s="121" t="s">
        <v>1863</v>
      </c>
      <c r="F398" s="123" t="s">
        <v>1863</v>
      </c>
      <c r="G398" s="26"/>
      <c r="H398" s="121" t="s">
        <v>1863</v>
      </c>
      <c r="I398" s="121" t="s">
        <v>1904</v>
      </c>
      <c r="J398" s="125"/>
      <c r="K398" s="125"/>
      <c r="L398" s="125"/>
    </row>
    <row r="399">
      <c r="A399" s="121" t="s">
        <v>481</v>
      </c>
      <c r="B399" s="121" t="s">
        <v>483</v>
      </c>
      <c r="C399" s="122">
        <v>0.0</v>
      </c>
      <c r="D399" s="122">
        <v>0.0</v>
      </c>
      <c r="E399" s="121" t="s">
        <v>1863</v>
      </c>
      <c r="F399" s="123" t="s">
        <v>1863</v>
      </c>
      <c r="G399" s="26"/>
      <c r="H399" s="121" t="s">
        <v>1863</v>
      </c>
      <c r="I399" s="121" t="s">
        <v>1904</v>
      </c>
      <c r="J399" s="125"/>
      <c r="K399" s="125"/>
      <c r="L399" s="125"/>
    </row>
    <row r="400">
      <c r="A400" s="121" t="s">
        <v>492</v>
      </c>
      <c r="B400" s="121" t="s">
        <v>493</v>
      </c>
      <c r="C400" s="122">
        <v>0.0</v>
      </c>
      <c r="D400" s="122">
        <v>0.0</v>
      </c>
      <c r="E400" s="121" t="s">
        <v>1863</v>
      </c>
      <c r="F400" s="123" t="s">
        <v>1863</v>
      </c>
      <c r="G400" s="26"/>
      <c r="H400" s="121" t="s">
        <v>1863</v>
      </c>
      <c r="I400" s="121" t="s">
        <v>1904</v>
      </c>
      <c r="J400" s="125"/>
      <c r="K400" s="125"/>
      <c r="L400" s="125"/>
    </row>
    <row r="401">
      <c r="A401" s="121" t="s">
        <v>501</v>
      </c>
      <c r="B401" s="121" t="s">
        <v>502</v>
      </c>
      <c r="C401" s="122">
        <v>100.0</v>
      </c>
      <c r="D401" s="122">
        <v>0.0</v>
      </c>
      <c r="E401" s="121" t="s">
        <v>1863</v>
      </c>
      <c r="F401" s="123" t="s">
        <v>1863</v>
      </c>
      <c r="G401" s="26"/>
      <c r="H401" s="121" t="s">
        <v>1863</v>
      </c>
      <c r="I401" s="121" t="s">
        <v>1904</v>
      </c>
      <c r="J401" s="125"/>
      <c r="K401" s="125"/>
      <c r="L401" s="125"/>
    </row>
    <row r="402">
      <c r="A402" s="121" t="s">
        <v>584</v>
      </c>
      <c r="B402" s="121" t="s">
        <v>585</v>
      </c>
      <c r="C402" s="122">
        <v>0.0</v>
      </c>
      <c r="D402" s="122">
        <v>0.0</v>
      </c>
      <c r="E402" s="121" t="s">
        <v>1863</v>
      </c>
      <c r="F402" s="123" t="s">
        <v>1863</v>
      </c>
      <c r="G402" s="26"/>
      <c r="H402" s="121" t="s">
        <v>1863</v>
      </c>
      <c r="I402" s="121" t="s">
        <v>1904</v>
      </c>
      <c r="J402" s="125"/>
      <c r="K402" s="125"/>
      <c r="L402" s="125"/>
    </row>
    <row r="403">
      <c r="A403" s="121" t="s">
        <v>1445</v>
      </c>
      <c r="B403" s="121" t="s">
        <v>1446</v>
      </c>
      <c r="C403" s="122">
        <v>60000.0</v>
      </c>
      <c r="D403" s="122">
        <v>0.0</v>
      </c>
      <c r="E403" s="121" t="s">
        <v>1863</v>
      </c>
      <c r="F403" s="123" t="s">
        <v>1863</v>
      </c>
      <c r="G403" s="26"/>
      <c r="H403" s="121" t="s">
        <v>1863</v>
      </c>
      <c r="I403" s="121" t="s">
        <v>1904</v>
      </c>
      <c r="J403" s="125"/>
      <c r="K403" s="125"/>
      <c r="L403" s="125"/>
    </row>
    <row r="404">
      <c r="A404" s="121" t="s">
        <v>799</v>
      </c>
      <c r="B404" s="121" t="s">
        <v>800</v>
      </c>
      <c r="C404" s="122">
        <v>0.0</v>
      </c>
      <c r="D404" s="122">
        <v>0.0</v>
      </c>
      <c r="E404" s="121" t="s">
        <v>1863</v>
      </c>
      <c r="F404" s="123" t="s">
        <v>1863</v>
      </c>
      <c r="G404" s="26"/>
      <c r="H404" s="121" t="s">
        <v>1863</v>
      </c>
      <c r="I404" s="121" t="s">
        <v>1904</v>
      </c>
      <c r="J404" s="125"/>
      <c r="K404" s="125"/>
      <c r="L404" s="125"/>
    </row>
    <row r="405">
      <c r="A405" s="121" t="s">
        <v>814</v>
      </c>
      <c r="B405" s="121" t="s">
        <v>815</v>
      </c>
      <c r="C405" s="122">
        <v>2.0</v>
      </c>
      <c r="D405" s="122">
        <v>0.0</v>
      </c>
      <c r="E405" s="121" t="s">
        <v>1863</v>
      </c>
      <c r="F405" s="123" t="s">
        <v>1863</v>
      </c>
      <c r="G405" s="26"/>
      <c r="H405" s="121" t="s">
        <v>1863</v>
      </c>
      <c r="I405" s="121" t="s">
        <v>1904</v>
      </c>
      <c r="J405" s="125"/>
      <c r="K405" s="125"/>
      <c r="L405" s="125"/>
    </row>
    <row r="406">
      <c r="A406" s="121" t="s">
        <v>823</v>
      </c>
      <c r="B406" s="121" t="s">
        <v>824</v>
      </c>
      <c r="C406" s="122">
        <v>0.0</v>
      </c>
      <c r="D406" s="122">
        <v>0.0</v>
      </c>
      <c r="E406" s="121" t="s">
        <v>1863</v>
      </c>
      <c r="F406" s="123" t="s">
        <v>1863</v>
      </c>
      <c r="G406" s="26"/>
      <c r="H406" s="121" t="s">
        <v>1863</v>
      </c>
      <c r="I406" s="121" t="s">
        <v>1904</v>
      </c>
      <c r="J406" s="125"/>
      <c r="K406" s="125"/>
      <c r="L406" s="125"/>
    </row>
    <row r="407">
      <c r="A407" s="121" t="s">
        <v>883</v>
      </c>
      <c r="B407" s="121" t="s">
        <v>884</v>
      </c>
      <c r="C407" s="122">
        <v>0.0</v>
      </c>
      <c r="D407" s="122">
        <v>0.0</v>
      </c>
      <c r="E407" s="121" t="s">
        <v>1863</v>
      </c>
      <c r="F407" s="123" t="s">
        <v>1863</v>
      </c>
      <c r="G407" s="26"/>
      <c r="H407" s="121" t="s">
        <v>1863</v>
      </c>
      <c r="I407" s="121" t="s">
        <v>1904</v>
      </c>
      <c r="J407" s="125"/>
      <c r="K407" s="125"/>
      <c r="L407" s="125"/>
    </row>
    <row r="408">
      <c r="A408" s="121" t="s">
        <v>1505</v>
      </c>
      <c r="B408" s="121" t="s">
        <v>1506</v>
      </c>
      <c r="C408" s="122">
        <v>1.0</v>
      </c>
      <c r="D408" s="122">
        <v>0.0</v>
      </c>
      <c r="E408" s="121" t="s">
        <v>1863</v>
      </c>
      <c r="F408" s="123" t="s">
        <v>1863</v>
      </c>
      <c r="G408" s="26"/>
      <c r="H408" s="121" t="s">
        <v>1863</v>
      </c>
      <c r="I408" s="121" t="s">
        <v>1904</v>
      </c>
      <c r="J408" s="125"/>
      <c r="K408" s="125"/>
      <c r="L408" s="125"/>
    </row>
    <row r="409">
      <c r="A409" s="121" t="s">
        <v>1509</v>
      </c>
      <c r="B409" s="121" t="s">
        <v>1510</v>
      </c>
      <c r="C409" s="122">
        <v>1.0</v>
      </c>
      <c r="D409" s="122">
        <v>0.0</v>
      </c>
      <c r="E409" s="121" t="s">
        <v>1863</v>
      </c>
      <c r="F409" s="123" t="s">
        <v>1863</v>
      </c>
      <c r="G409" s="26"/>
      <c r="H409" s="121" t="s">
        <v>1863</v>
      </c>
      <c r="I409" s="121" t="s">
        <v>1904</v>
      </c>
      <c r="J409" s="125"/>
      <c r="K409" s="125"/>
      <c r="L409" s="125"/>
    </row>
  </sheetData>
  <autoFilter ref="$A$1:$L$409">
    <filterColumn colId="2">
      <filters>
        <filter val="48"/>
        <filter val="792"/>
        <filter val="6700"/>
        <filter val="835"/>
        <filter val="52"/>
        <filter val="2000"/>
        <filter val="560"/>
        <filter val="0"/>
        <filter val="7"/>
        <filter val="1100"/>
        <filter val="60000"/>
        <filter val="60"/>
        <filter val="3887"/>
        <filter val="10500"/>
        <filter val="1000"/>
        <filter val="9000"/>
        <filter val="2600"/>
        <filter val="2400"/>
        <filter val="1872"/>
        <filter val="4700"/>
        <filter val="15800"/>
        <filter val="34"/>
        <filter val="8000"/>
        <filter val="4000"/>
        <filter val="580"/>
        <filter val="2060"/>
        <filter val="1400"/>
        <filter val="1048"/>
        <filter val="3225"/>
        <filter val="0.5"/>
        <filter val="900"/>
        <filter val="4.5"/>
      </filters>
    </filterColumn>
  </autoFil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25.13"/>
    <col customWidth="1" min="3" max="3" width="11.0"/>
    <col customWidth="1" min="4" max="4" width="7.75"/>
    <col customWidth="1" min="5" max="5" width="12.75"/>
    <col customWidth="1" min="6" max="6" width="11.0"/>
    <col customWidth="1" min="7" max="7" width="11.63"/>
    <col customWidth="1" min="8" max="8" width="16.63"/>
  </cols>
  <sheetData>
    <row r="1" ht="41.25" customHeight="1">
      <c r="A1" s="151" t="s">
        <v>2050</v>
      </c>
      <c r="I1" s="92"/>
      <c r="J1" s="92"/>
      <c r="K1" s="92"/>
    </row>
    <row r="2">
      <c r="A2" s="97" t="s">
        <v>4</v>
      </c>
      <c r="B2" s="97" t="s">
        <v>5</v>
      </c>
      <c r="C2" s="97" t="s">
        <v>1558</v>
      </c>
      <c r="D2" s="97" t="s">
        <v>1851</v>
      </c>
      <c r="E2" s="97" t="s">
        <v>1852</v>
      </c>
      <c r="F2" s="97" t="s">
        <v>1853</v>
      </c>
      <c r="G2" s="97" t="s">
        <v>2051</v>
      </c>
      <c r="H2" s="97" t="s">
        <v>12</v>
      </c>
      <c r="I2" s="152"/>
    </row>
    <row r="3">
      <c r="A3" s="153" t="s">
        <v>1375</v>
      </c>
      <c r="B3" s="153" t="s">
        <v>1376</v>
      </c>
      <c r="C3" s="154">
        <v>0.0</v>
      </c>
      <c r="D3" s="154">
        <v>0.0</v>
      </c>
      <c r="E3" s="154">
        <v>0.0</v>
      </c>
      <c r="F3" s="155">
        <v>46284.0</v>
      </c>
      <c r="G3" s="154">
        <v>2.0</v>
      </c>
      <c r="H3" s="153" t="s">
        <v>1987</v>
      </c>
      <c r="I3" s="152"/>
    </row>
    <row r="4">
      <c r="A4" s="156"/>
      <c r="B4" s="156"/>
      <c r="C4" s="157"/>
      <c r="D4" s="157"/>
      <c r="E4" s="157"/>
      <c r="F4" s="112"/>
      <c r="G4" s="157"/>
      <c r="H4" s="156"/>
      <c r="I4" s="152"/>
    </row>
    <row r="5">
      <c r="A5" s="156"/>
      <c r="B5" s="156"/>
      <c r="C5" s="157"/>
      <c r="D5" s="157"/>
      <c r="E5" s="157"/>
      <c r="F5" s="112"/>
      <c r="G5" s="157"/>
      <c r="H5" s="156"/>
    </row>
    <row r="6">
      <c r="A6" s="156"/>
      <c r="B6" s="156"/>
      <c r="C6" s="157"/>
      <c r="D6" s="157"/>
      <c r="E6" s="157"/>
      <c r="F6" s="112"/>
      <c r="G6" s="157"/>
      <c r="H6" s="156"/>
      <c r="I6" s="152"/>
    </row>
    <row r="7">
      <c r="A7" s="158" t="s">
        <v>2052</v>
      </c>
      <c r="I7" s="152"/>
    </row>
    <row r="8">
      <c r="A8" s="97" t="s">
        <v>4</v>
      </c>
      <c r="B8" s="97" t="s">
        <v>5</v>
      </c>
      <c r="C8" s="97" t="s">
        <v>1558</v>
      </c>
      <c r="D8" s="97" t="s">
        <v>1851</v>
      </c>
      <c r="E8" s="97" t="s">
        <v>2051</v>
      </c>
      <c r="F8" s="97" t="s">
        <v>2053</v>
      </c>
      <c r="G8" s="97" t="s">
        <v>2054</v>
      </c>
      <c r="H8" s="97" t="s">
        <v>13</v>
      </c>
      <c r="I8" s="152"/>
    </row>
    <row r="9">
      <c r="A9" s="159" t="s">
        <v>1375</v>
      </c>
      <c r="B9" s="159" t="s">
        <v>1376</v>
      </c>
      <c r="C9" s="160">
        <v>0.0</v>
      </c>
      <c r="D9" s="160">
        <v>0.0</v>
      </c>
      <c r="E9" s="160">
        <v>2.0</v>
      </c>
      <c r="F9" s="159" t="s">
        <v>2056</v>
      </c>
      <c r="G9" s="161">
        <v>146.0</v>
      </c>
      <c r="H9" s="162"/>
      <c r="I9" s="152"/>
    </row>
    <row r="10">
      <c r="A10" s="159" t="s">
        <v>443</v>
      </c>
      <c r="B10" s="159" t="s">
        <v>446</v>
      </c>
      <c r="C10" s="160">
        <v>4.0</v>
      </c>
      <c r="D10" s="160">
        <v>0.0</v>
      </c>
      <c r="E10" s="160">
        <v>0.0</v>
      </c>
      <c r="F10" s="159" t="s">
        <v>2058</v>
      </c>
      <c r="G10" s="161">
        <v>129.0</v>
      </c>
      <c r="H10" s="162"/>
      <c r="I10" s="152"/>
    </row>
    <row r="11">
      <c r="A11" s="159" t="s">
        <v>710</v>
      </c>
      <c r="B11" s="159" t="s">
        <v>711</v>
      </c>
      <c r="C11" s="160">
        <v>50.0</v>
      </c>
      <c r="D11" s="160">
        <v>0.0</v>
      </c>
      <c r="E11" s="160">
        <v>0.0</v>
      </c>
      <c r="F11" s="159" t="s">
        <v>2059</v>
      </c>
      <c r="G11" s="161">
        <v>100.7</v>
      </c>
      <c r="H11" s="162"/>
      <c r="I11" s="152"/>
    </row>
    <row r="12">
      <c r="A12" s="159" t="s">
        <v>733</v>
      </c>
      <c r="B12" s="159" t="s">
        <v>739</v>
      </c>
      <c r="C12" s="160">
        <v>4.0</v>
      </c>
      <c r="D12" s="160">
        <v>0.0</v>
      </c>
      <c r="E12" s="160">
        <v>3.0</v>
      </c>
      <c r="F12" s="159" t="s">
        <v>2061</v>
      </c>
      <c r="G12" s="161">
        <v>51.0</v>
      </c>
      <c r="H12" s="162"/>
      <c r="I12" s="152"/>
    </row>
    <row r="13">
      <c r="A13" s="159" t="s">
        <v>622</v>
      </c>
      <c r="B13" s="159" t="s">
        <v>623</v>
      </c>
      <c r="C13" s="160">
        <v>20.0</v>
      </c>
      <c r="D13" s="160">
        <v>0.0</v>
      </c>
      <c r="E13" s="160">
        <v>0.0</v>
      </c>
      <c r="F13" s="159" t="s">
        <v>2063</v>
      </c>
      <c r="G13" s="161">
        <v>32.0</v>
      </c>
      <c r="H13" s="162"/>
      <c r="I13" s="152"/>
    </row>
    <row r="14">
      <c r="A14" s="159" t="s">
        <v>728</v>
      </c>
      <c r="B14" s="159" t="s">
        <v>729</v>
      </c>
      <c r="C14" s="160">
        <v>10.0</v>
      </c>
      <c r="D14" s="160">
        <v>0.0</v>
      </c>
      <c r="E14" s="160">
        <v>5.0</v>
      </c>
      <c r="F14" s="159" t="s">
        <v>2064</v>
      </c>
      <c r="G14" s="161">
        <v>12.5</v>
      </c>
      <c r="H14" s="162"/>
      <c r="I14" s="152"/>
    </row>
    <row r="15">
      <c r="A15" s="159" t="s">
        <v>562</v>
      </c>
      <c r="B15" s="159" t="s">
        <v>567</v>
      </c>
      <c r="C15" s="160">
        <v>4.0</v>
      </c>
      <c r="D15" s="160">
        <v>0.0</v>
      </c>
      <c r="E15" s="160">
        <v>0.0</v>
      </c>
      <c r="F15" s="159" t="s">
        <v>2065</v>
      </c>
      <c r="G15" s="161">
        <v>6.699999999999999</v>
      </c>
      <c r="H15" s="162"/>
      <c r="I15" s="152"/>
    </row>
    <row r="16">
      <c r="A16" s="159" t="s">
        <v>945</v>
      </c>
      <c r="B16" s="159" t="s">
        <v>946</v>
      </c>
      <c r="C16" s="160">
        <v>25.0</v>
      </c>
      <c r="D16" s="160">
        <v>0.0</v>
      </c>
      <c r="E16" s="160">
        <v>0.0</v>
      </c>
      <c r="F16" s="159" t="s">
        <v>2064</v>
      </c>
      <c r="G16" s="161">
        <v>6.699999999999999</v>
      </c>
      <c r="H16" s="162"/>
      <c r="I16" s="152"/>
    </row>
    <row r="17">
      <c r="A17" s="159" t="s">
        <v>948</v>
      </c>
      <c r="B17" s="159" t="s">
        <v>952</v>
      </c>
      <c r="C17" s="160">
        <v>5.0</v>
      </c>
      <c r="D17" s="160">
        <v>0.0</v>
      </c>
      <c r="E17" s="160">
        <v>5.0</v>
      </c>
      <c r="F17" s="159" t="s">
        <v>2064</v>
      </c>
      <c r="G17" s="161">
        <v>6.0</v>
      </c>
      <c r="H17" s="162"/>
      <c r="I17" s="152"/>
    </row>
    <row r="18">
      <c r="A18" s="159" t="s">
        <v>598</v>
      </c>
      <c r="B18" s="159" t="s">
        <v>604</v>
      </c>
      <c r="C18" s="160">
        <v>15.0</v>
      </c>
      <c r="D18" s="160">
        <v>0.0</v>
      </c>
      <c r="E18" s="160">
        <v>0.0</v>
      </c>
      <c r="F18" s="159" t="s">
        <v>2066</v>
      </c>
      <c r="G18" s="161">
        <v>5.4</v>
      </c>
      <c r="H18" s="162"/>
      <c r="I18" s="152"/>
    </row>
    <row r="19">
      <c r="A19" s="156"/>
      <c r="B19" s="156"/>
      <c r="C19" s="157"/>
      <c r="D19" s="157"/>
      <c r="E19" s="157"/>
      <c r="F19" s="156"/>
      <c r="G19" s="157"/>
      <c r="H19" s="156"/>
      <c r="I19" s="152"/>
    </row>
    <row r="20">
      <c r="A20" s="156"/>
      <c r="B20" s="156"/>
      <c r="C20" s="157"/>
      <c r="D20" s="157"/>
      <c r="E20" s="157"/>
      <c r="F20" s="156"/>
      <c r="G20" s="157"/>
      <c r="H20" s="156"/>
      <c r="I20" s="152"/>
    </row>
    <row r="21">
      <c r="A21" s="156"/>
      <c r="B21" s="156"/>
      <c r="C21" s="157"/>
      <c r="D21" s="157"/>
      <c r="E21" s="157"/>
      <c r="F21" s="156"/>
      <c r="G21" s="157"/>
      <c r="H21" s="156"/>
      <c r="I21" s="152"/>
    </row>
    <row r="22">
      <c r="A22" s="156"/>
      <c r="B22" s="156"/>
      <c r="C22" s="157"/>
      <c r="D22" s="157"/>
      <c r="E22" s="157"/>
      <c r="F22" s="156"/>
      <c r="G22" s="157"/>
      <c r="H22" s="156"/>
      <c r="I22" s="152"/>
    </row>
    <row r="23">
      <c r="A23" s="156"/>
      <c r="B23" s="156"/>
      <c r="C23" s="157"/>
      <c r="D23" s="157"/>
      <c r="E23" s="157"/>
      <c r="F23" s="156"/>
      <c r="G23" s="157"/>
      <c r="H23" s="156"/>
      <c r="I23" s="152"/>
    </row>
    <row r="24">
      <c r="A24" s="156"/>
      <c r="B24" s="156"/>
      <c r="C24" s="157"/>
      <c r="D24" s="157"/>
      <c r="E24" s="157"/>
      <c r="F24" s="156"/>
      <c r="G24" s="157"/>
      <c r="H24" s="156"/>
      <c r="I24" s="152"/>
    </row>
    <row r="25">
      <c r="A25" s="156"/>
      <c r="B25" s="156"/>
      <c r="C25" s="157"/>
      <c r="D25" s="157"/>
      <c r="E25" s="157"/>
      <c r="F25" s="156"/>
      <c r="G25" s="157"/>
      <c r="H25" s="156"/>
      <c r="I25" s="152"/>
    </row>
    <row r="26">
      <c r="A26" s="156"/>
      <c r="B26" s="156"/>
      <c r="C26" s="157"/>
      <c r="D26" s="157"/>
      <c r="E26" s="157"/>
      <c r="F26" s="156"/>
      <c r="G26" s="157"/>
      <c r="H26" s="156"/>
      <c r="I26" s="152"/>
    </row>
    <row r="27">
      <c r="A27" s="156"/>
      <c r="B27" s="156"/>
      <c r="C27" s="157"/>
      <c r="D27" s="157"/>
      <c r="E27" s="157"/>
      <c r="F27" s="156"/>
      <c r="G27" s="157"/>
      <c r="H27" s="156"/>
      <c r="I27" s="152"/>
    </row>
    <row r="28">
      <c r="A28" s="156"/>
      <c r="B28" s="156"/>
      <c r="C28" s="157"/>
      <c r="D28" s="157"/>
      <c r="E28" s="157"/>
      <c r="F28" s="156"/>
      <c r="G28" s="157"/>
      <c r="H28" s="156"/>
      <c r="I28" s="152"/>
    </row>
    <row r="29">
      <c r="A29" s="156"/>
      <c r="B29" s="156"/>
      <c r="C29" s="157"/>
      <c r="D29" s="157"/>
      <c r="E29" s="157"/>
      <c r="F29" s="156"/>
      <c r="G29" s="157"/>
      <c r="H29" s="156"/>
      <c r="I29" s="152"/>
    </row>
    <row r="30">
      <c r="A30" s="92"/>
      <c r="B30" s="92"/>
      <c r="G30" s="92"/>
      <c r="H30" s="92"/>
      <c r="I30" s="152"/>
    </row>
    <row r="31">
      <c r="A31" s="92"/>
      <c r="B31" s="92"/>
      <c r="G31" s="92"/>
      <c r="H31" s="92"/>
      <c r="I31" s="152"/>
    </row>
    <row r="32">
      <c r="A32" s="92"/>
      <c r="B32" s="92"/>
      <c r="G32" s="92"/>
      <c r="H32" s="92"/>
      <c r="I32" s="152"/>
    </row>
    <row r="33">
      <c r="A33" s="92"/>
      <c r="B33" s="92"/>
      <c r="G33" s="92"/>
      <c r="H33" s="92"/>
    </row>
    <row r="34">
      <c r="A34" s="92"/>
      <c r="B34" s="92"/>
      <c r="G34" s="92"/>
    </row>
    <row r="35">
      <c r="A35" s="92"/>
      <c r="B35" s="92"/>
      <c r="G35" s="92"/>
    </row>
    <row r="36">
      <c r="A36" s="92"/>
      <c r="B36" s="92"/>
      <c r="G36" s="92"/>
    </row>
    <row r="37">
      <c r="A37" s="92"/>
      <c r="B37" s="92"/>
      <c r="G37" s="92"/>
    </row>
    <row r="38">
      <c r="A38" s="92"/>
      <c r="B38" s="92"/>
      <c r="G38" s="92"/>
    </row>
    <row r="39">
      <c r="A39" s="92"/>
      <c r="B39" s="92"/>
      <c r="G39" s="92"/>
    </row>
    <row r="40">
      <c r="A40" s="92"/>
      <c r="B40" s="92"/>
      <c r="G40" s="92"/>
    </row>
    <row r="41">
      <c r="A41" s="92"/>
      <c r="B41" s="92"/>
      <c r="G41" s="92"/>
    </row>
    <row r="42">
      <c r="A42" s="92"/>
      <c r="B42" s="92"/>
      <c r="G42" s="92"/>
    </row>
    <row r="43">
      <c r="A43" s="92"/>
      <c r="B43" s="92"/>
      <c r="G43" s="92"/>
    </row>
    <row r="44">
      <c r="A44" s="92"/>
      <c r="B44" s="92"/>
      <c r="G44" s="92"/>
    </row>
    <row r="45">
      <c r="A45" s="92"/>
      <c r="B45" s="92"/>
      <c r="G45" s="92"/>
    </row>
    <row r="46">
      <c r="A46" s="92"/>
      <c r="B46" s="92"/>
      <c r="G46" s="92"/>
    </row>
    <row r="47">
      <c r="A47" s="92"/>
      <c r="B47" s="92"/>
      <c r="G47" s="92"/>
    </row>
    <row r="48">
      <c r="A48" s="92"/>
      <c r="B48" s="92"/>
      <c r="G48" s="92"/>
    </row>
    <row r="49">
      <c r="A49" s="92"/>
      <c r="B49" s="92"/>
      <c r="G49" s="92"/>
    </row>
    <row r="50">
      <c r="A50" s="92"/>
      <c r="B50" s="92"/>
      <c r="G50" s="92"/>
    </row>
    <row r="51">
      <c r="G51" s="92"/>
    </row>
    <row r="52">
      <c r="G52" s="92"/>
    </row>
    <row r="53">
      <c r="G53" s="92"/>
    </row>
    <row r="54">
      <c r="G54" s="92"/>
    </row>
    <row r="55">
      <c r="G55" s="92"/>
    </row>
    <row r="56">
      <c r="G56" s="92"/>
    </row>
    <row r="57">
      <c r="G57" s="92"/>
    </row>
    <row r="58">
      <c r="G58" s="92"/>
    </row>
    <row r="59">
      <c r="G59" s="92"/>
    </row>
    <row r="60">
      <c r="G60" s="92"/>
    </row>
    <row r="61">
      <c r="G61" s="92"/>
    </row>
    <row r="62">
      <c r="G62" s="92"/>
    </row>
    <row r="63">
      <c r="G63" s="92"/>
    </row>
    <row r="64">
      <c r="G64" s="92"/>
    </row>
    <row r="65">
      <c r="G65" s="92"/>
    </row>
    <row r="66">
      <c r="G66" s="92"/>
    </row>
    <row r="67">
      <c r="G67" s="92"/>
    </row>
    <row r="68">
      <c r="G68" s="92"/>
    </row>
    <row r="69">
      <c r="G69" s="92"/>
    </row>
    <row r="70">
      <c r="G70" s="92"/>
    </row>
    <row r="71">
      <c r="G71" s="92"/>
    </row>
    <row r="72">
      <c r="G72" s="92"/>
    </row>
    <row r="73">
      <c r="G73" s="92"/>
    </row>
    <row r="74">
      <c r="G74" s="92"/>
    </row>
    <row r="75">
      <c r="G75" s="92"/>
    </row>
    <row r="76">
      <c r="G76" s="92"/>
    </row>
    <row r="77">
      <c r="G77" s="92"/>
    </row>
    <row r="78">
      <c r="G78" s="92"/>
    </row>
    <row r="79">
      <c r="G79" s="92"/>
    </row>
    <row r="80">
      <c r="G80" s="92"/>
    </row>
    <row r="81">
      <c r="G81" s="92"/>
    </row>
    <row r="82">
      <c r="G82" s="92"/>
    </row>
    <row r="83">
      <c r="G83" s="92"/>
    </row>
    <row r="84">
      <c r="G84" s="92"/>
    </row>
    <row r="85">
      <c r="G85" s="92"/>
    </row>
    <row r="86">
      <c r="G86" s="92"/>
    </row>
    <row r="87">
      <c r="G87" s="92"/>
    </row>
    <row r="88">
      <c r="G88" s="92"/>
    </row>
    <row r="89">
      <c r="G89" s="92"/>
    </row>
    <row r="90">
      <c r="G90" s="92"/>
    </row>
    <row r="91">
      <c r="G91" s="92"/>
    </row>
    <row r="92">
      <c r="G92" s="92"/>
    </row>
    <row r="93">
      <c r="G93" s="92"/>
    </row>
    <row r="94">
      <c r="G94" s="92"/>
    </row>
    <row r="95">
      <c r="G95" s="92"/>
    </row>
    <row r="96">
      <c r="G96" s="92"/>
    </row>
    <row r="97">
      <c r="G97" s="92"/>
    </row>
    <row r="98">
      <c r="G98" s="92"/>
    </row>
    <row r="99">
      <c r="G99" s="92"/>
    </row>
    <row r="100">
      <c r="G100" s="92"/>
    </row>
    <row r="101">
      <c r="G101" s="92"/>
    </row>
    <row r="102">
      <c r="G102" s="92"/>
    </row>
    <row r="103">
      <c r="G103" s="92"/>
    </row>
    <row r="104">
      <c r="G104" s="92"/>
    </row>
    <row r="105">
      <c r="G105" s="92"/>
    </row>
    <row r="106">
      <c r="G106" s="92"/>
    </row>
    <row r="107">
      <c r="G107" s="92"/>
    </row>
    <row r="108">
      <c r="G108" s="92"/>
    </row>
    <row r="109">
      <c r="G109" s="92"/>
    </row>
    <row r="110">
      <c r="G110" s="92"/>
    </row>
    <row r="111">
      <c r="G111" s="92"/>
    </row>
    <row r="112">
      <c r="G112" s="92"/>
    </row>
    <row r="113">
      <c r="G113" s="92"/>
    </row>
    <row r="114">
      <c r="G114" s="92"/>
    </row>
    <row r="115">
      <c r="G115" s="92"/>
    </row>
    <row r="116">
      <c r="G116" s="92"/>
    </row>
    <row r="117">
      <c r="G117" s="92"/>
    </row>
    <row r="118">
      <c r="G118" s="92"/>
    </row>
    <row r="119">
      <c r="G119" s="92"/>
    </row>
    <row r="120">
      <c r="G120" s="92"/>
    </row>
    <row r="121">
      <c r="G121" s="92"/>
    </row>
    <row r="122">
      <c r="G122" s="92"/>
    </row>
    <row r="123">
      <c r="G123" s="92"/>
    </row>
    <row r="124">
      <c r="G124" s="92"/>
    </row>
    <row r="125">
      <c r="G125" s="92"/>
    </row>
    <row r="126">
      <c r="G126" s="92"/>
    </row>
    <row r="127">
      <c r="G127" s="92"/>
    </row>
    <row r="128">
      <c r="G128" s="92"/>
    </row>
    <row r="129">
      <c r="G129" s="92"/>
    </row>
    <row r="130">
      <c r="G130" s="92"/>
    </row>
    <row r="131">
      <c r="G131" s="92"/>
    </row>
    <row r="132">
      <c r="G132" s="92"/>
    </row>
    <row r="133">
      <c r="G133" s="92"/>
    </row>
    <row r="134">
      <c r="G134" s="92"/>
    </row>
    <row r="135">
      <c r="G135" s="92"/>
    </row>
    <row r="136">
      <c r="G136" s="92"/>
    </row>
    <row r="137">
      <c r="G137" s="92"/>
    </row>
    <row r="138">
      <c r="G138" s="92"/>
    </row>
    <row r="139">
      <c r="G139" s="92"/>
    </row>
    <row r="140">
      <c r="G140" s="92"/>
    </row>
    <row r="141">
      <c r="G141" s="92"/>
    </row>
    <row r="142">
      <c r="G142" s="92"/>
    </row>
    <row r="143">
      <c r="G143" s="92"/>
    </row>
    <row r="144">
      <c r="G144" s="92"/>
    </row>
    <row r="145">
      <c r="G145" s="92"/>
    </row>
    <row r="146">
      <c r="G146" s="92"/>
    </row>
    <row r="147">
      <c r="G147" s="92"/>
    </row>
    <row r="148">
      <c r="G148" s="92"/>
    </row>
    <row r="149">
      <c r="G149" s="92"/>
    </row>
    <row r="150">
      <c r="G150" s="92"/>
    </row>
    <row r="151">
      <c r="G151" s="92"/>
    </row>
    <row r="152">
      <c r="G152" s="92"/>
    </row>
    <row r="153">
      <c r="G153" s="92"/>
    </row>
    <row r="154">
      <c r="G154" s="92"/>
    </row>
    <row r="155">
      <c r="G155" s="92"/>
    </row>
    <row r="156">
      <c r="G156" s="92"/>
    </row>
    <row r="157">
      <c r="G157" s="92"/>
    </row>
    <row r="158">
      <c r="G158" s="92"/>
    </row>
    <row r="159">
      <c r="G159" s="92"/>
    </row>
    <row r="160">
      <c r="G160" s="92"/>
    </row>
    <row r="161">
      <c r="G161" s="92"/>
    </row>
    <row r="162">
      <c r="G162" s="92"/>
    </row>
    <row r="163">
      <c r="G163" s="92"/>
    </row>
    <row r="164">
      <c r="G164" s="92"/>
    </row>
    <row r="165">
      <c r="G165" s="92"/>
    </row>
    <row r="166">
      <c r="G166" s="92"/>
    </row>
    <row r="167">
      <c r="G167" s="92"/>
    </row>
    <row r="168">
      <c r="G168" s="92"/>
    </row>
    <row r="169">
      <c r="G169" s="92"/>
    </row>
    <row r="170">
      <c r="G170" s="92"/>
    </row>
    <row r="171">
      <c r="G171" s="92"/>
    </row>
    <row r="172">
      <c r="G172" s="92"/>
    </row>
    <row r="173">
      <c r="G173" s="92"/>
    </row>
    <row r="174">
      <c r="G174" s="92"/>
    </row>
    <row r="175">
      <c r="G175" s="92"/>
    </row>
    <row r="176">
      <c r="G176" s="92"/>
    </row>
    <row r="177">
      <c r="G177" s="92"/>
    </row>
    <row r="178">
      <c r="G178" s="92"/>
    </row>
    <row r="179">
      <c r="G179" s="92"/>
    </row>
    <row r="180">
      <c r="G180" s="92"/>
    </row>
    <row r="181">
      <c r="G181" s="92"/>
    </row>
    <row r="182">
      <c r="G182" s="92"/>
    </row>
    <row r="183">
      <c r="G183" s="92"/>
    </row>
    <row r="184">
      <c r="G184" s="92"/>
    </row>
    <row r="185">
      <c r="G185" s="92"/>
    </row>
    <row r="186">
      <c r="G186" s="92"/>
    </row>
    <row r="187">
      <c r="G187" s="92"/>
    </row>
    <row r="188">
      <c r="G188" s="92"/>
    </row>
    <row r="189">
      <c r="G189" s="92"/>
    </row>
    <row r="190">
      <c r="G190" s="92"/>
    </row>
    <row r="191">
      <c r="G191" s="92"/>
    </row>
    <row r="192">
      <c r="G192" s="92"/>
    </row>
    <row r="193">
      <c r="G193" s="92"/>
    </row>
    <row r="194">
      <c r="G194" s="92"/>
    </row>
    <row r="195">
      <c r="G195" s="92"/>
    </row>
    <row r="196">
      <c r="G196" s="92"/>
    </row>
    <row r="197">
      <c r="G197" s="92"/>
    </row>
    <row r="198">
      <c r="G198" s="92"/>
    </row>
    <row r="199">
      <c r="G199" s="92"/>
    </row>
    <row r="200">
      <c r="G200" s="92"/>
    </row>
    <row r="201">
      <c r="G201" s="92"/>
    </row>
    <row r="202">
      <c r="G202" s="92"/>
    </row>
    <row r="203">
      <c r="G203" s="92"/>
    </row>
    <row r="204">
      <c r="G204" s="92"/>
    </row>
    <row r="205">
      <c r="G205" s="92"/>
    </row>
    <row r="206">
      <c r="G206" s="92"/>
    </row>
    <row r="207">
      <c r="G207" s="92"/>
    </row>
    <row r="208">
      <c r="G208" s="92"/>
    </row>
    <row r="209">
      <c r="G209" s="92"/>
    </row>
    <row r="210">
      <c r="G210" s="92"/>
    </row>
    <row r="211">
      <c r="G211" s="92"/>
    </row>
    <row r="212">
      <c r="G212" s="92"/>
    </row>
    <row r="213">
      <c r="G213" s="92"/>
    </row>
    <row r="214">
      <c r="G214" s="92"/>
    </row>
    <row r="215">
      <c r="G215" s="92"/>
    </row>
    <row r="216">
      <c r="G216" s="92"/>
    </row>
    <row r="217">
      <c r="G217" s="92"/>
    </row>
    <row r="218">
      <c r="G218" s="92"/>
    </row>
    <row r="219">
      <c r="G219" s="92"/>
    </row>
    <row r="220">
      <c r="G220" s="92"/>
    </row>
    <row r="221">
      <c r="G221" s="92"/>
    </row>
    <row r="222">
      <c r="G222" s="92"/>
    </row>
    <row r="223">
      <c r="G223" s="92"/>
    </row>
    <row r="224">
      <c r="G224" s="92"/>
    </row>
    <row r="225">
      <c r="G225" s="92"/>
    </row>
    <row r="226">
      <c r="G226" s="92"/>
    </row>
    <row r="227">
      <c r="G227" s="92"/>
    </row>
    <row r="228">
      <c r="G228" s="92"/>
    </row>
    <row r="229">
      <c r="G229" s="92"/>
    </row>
    <row r="230">
      <c r="G230" s="92"/>
    </row>
    <row r="231">
      <c r="G231" s="92"/>
    </row>
    <row r="232">
      <c r="G232" s="92"/>
    </row>
    <row r="233">
      <c r="G233" s="92"/>
    </row>
    <row r="234">
      <c r="G234" s="92"/>
    </row>
    <row r="235">
      <c r="G235" s="92"/>
    </row>
    <row r="236">
      <c r="G236" s="92"/>
    </row>
    <row r="237">
      <c r="G237" s="92"/>
    </row>
    <row r="238">
      <c r="G238" s="92"/>
    </row>
    <row r="239">
      <c r="G239" s="92"/>
    </row>
    <row r="240">
      <c r="G240" s="92"/>
    </row>
    <row r="241">
      <c r="G241" s="92"/>
    </row>
    <row r="242">
      <c r="G242" s="92"/>
    </row>
    <row r="243">
      <c r="G243" s="92"/>
    </row>
    <row r="244">
      <c r="G244" s="92"/>
    </row>
    <row r="245">
      <c r="G245" s="92"/>
    </row>
    <row r="246">
      <c r="G246" s="92"/>
    </row>
    <row r="247">
      <c r="G247" s="92"/>
    </row>
    <row r="248">
      <c r="G248" s="92"/>
    </row>
    <row r="249">
      <c r="G249" s="92"/>
    </row>
    <row r="250">
      <c r="G250" s="92"/>
    </row>
    <row r="251">
      <c r="G251" s="92"/>
    </row>
    <row r="252">
      <c r="G252" s="92"/>
    </row>
    <row r="253">
      <c r="G253" s="92"/>
    </row>
    <row r="254">
      <c r="G254" s="92"/>
    </row>
    <row r="255">
      <c r="G255" s="92"/>
    </row>
    <row r="256">
      <c r="G256" s="92"/>
    </row>
    <row r="257">
      <c r="G257" s="92"/>
    </row>
    <row r="258">
      <c r="G258" s="92"/>
    </row>
    <row r="259">
      <c r="G259" s="92"/>
    </row>
    <row r="260">
      <c r="G260" s="92"/>
    </row>
    <row r="261">
      <c r="G261" s="92"/>
    </row>
    <row r="262">
      <c r="G262" s="92"/>
    </row>
    <row r="263">
      <c r="G263" s="92"/>
    </row>
    <row r="264">
      <c r="G264" s="92"/>
    </row>
    <row r="265">
      <c r="G265" s="92"/>
    </row>
    <row r="266">
      <c r="G266" s="92"/>
    </row>
    <row r="267">
      <c r="G267" s="92"/>
    </row>
    <row r="268">
      <c r="G268" s="92"/>
    </row>
    <row r="269">
      <c r="G269" s="92"/>
    </row>
    <row r="270">
      <c r="G270" s="92"/>
    </row>
    <row r="271">
      <c r="G271" s="92"/>
    </row>
    <row r="272">
      <c r="G272" s="92"/>
    </row>
    <row r="273">
      <c r="G273" s="92"/>
    </row>
    <row r="274">
      <c r="G274" s="92"/>
    </row>
    <row r="275">
      <c r="G275" s="92"/>
    </row>
    <row r="276">
      <c r="G276" s="92"/>
    </row>
    <row r="277">
      <c r="G277" s="92"/>
    </row>
    <row r="278">
      <c r="G278" s="92"/>
    </row>
    <row r="279">
      <c r="G279" s="92"/>
    </row>
    <row r="280">
      <c r="G280" s="92"/>
    </row>
    <row r="281">
      <c r="G281" s="92"/>
    </row>
    <row r="282">
      <c r="G282" s="92"/>
    </row>
    <row r="283">
      <c r="G283" s="92"/>
    </row>
    <row r="284">
      <c r="G284" s="92"/>
    </row>
    <row r="285">
      <c r="G285" s="92"/>
    </row>
    <row r="286">
      <c r="G286" s="92"/>
    </row>
    <row r="287">
      <c r="G287" s="92"/>
    </row>
    <row r="288">
      <c r="G288" s="92"/>
    </row>
    <row r="289">
      <c r="G289" s="92"/>
    </row>
    <row r="290">
      <c r="G290" s="92"/>
    </row>
    <row r="291">
      <c r="G291" s="92"/>
    </row>
    <row r="292">
      <c r="G292" s="92"/>
    </row>
    <row r="293">
      <c r="G293" s="92"/>
    </row>
    <row r="294">
      <c r="G294" s="92"/>
    </row>
    <row r="295">
      <c r="G295" s="92"/>
    </row>
    <row r="296">
      <c r="G296" s="92"/>
    </row>
    <row r="297">
      <c r="G297" s="92"/>
    </row>
    <row r="298">
      <c r="G298" s="92"/>
    </row>
    <row r="299">
      <c r="G299" s="92"/>
    </row>
    <row r="300">
      <c r="G300" s="92"/>
    </row>
    <row r="301">
      <c r="G301" s="92"/>
    </row>
    <row r="302">
      <c r="G302" s="92"/>
    </row>
    <row r="303">
      <c r="G303" s="92"/>
    </row>
    <row r="304">
      <c r="G304" s="92"/>
    </row>
    <row r="305">
      <c r="G305" s="92"/>
    </row>
    <row r="306">
      <c r="G306" s="92"/>
    </row>
    <row r="307">
      <c r="G307" s="92"/>
    </row>
    <row r="308">
      <c r="G308" s="92"/>
    </row>
    <row r="309">
      <c r="G309" s="92"/>
    </row>
    <row r="310">
      <c r="G310" s="92"/>
    </row>
    <row r="311">
      <c r="G311" s="92"/>
    </row>
    <row r="312">
      <c r="G312" s="92"/>
    </row>
    <row r="313">
      <c r="G313" s="92"/>
    </row>
    <row r="314">
      <c r="G314" s="92"/>
    </row>
    <row r="315">
      <c r="G315" s="92"/>
    </row>
    <row r="316">
      <c r="G316" s="92"/>
    </row>
    <row r="317">
      <c r="G317" s="92"/>
    </row>
    <row r="318">
      <c r="G318" s="92"/>
    </row>
    <row r="319">
      <c r="G319" s="92"/>
    </row>
    <row r="320">
      <c r="G320" s="92"/>
    </row>
    <row r="321">
      <c r="G321" s="92"/>
    </row>
    <row r="322">
      <c r="G322" s="92"/>
    </row>
    <row r="323">
      <c r="G323" s="92"/>
    </row>
    <row r="324">
      <c r="G324" s="92"/>
    </row>
    <row r="325">
      <c r="G325" s="92"/>
    </row>
    <row r="326">
      <c r="G326" s="92"/>
    </row>
    <row r="327">
      <c r="G327" s="92"/>
    </row>
    <row r="328">
      <c r="G328" s="92"/>
    </row>
    <row r="329">
      <c r="G329" s="92"/>
    </row>
    <row r="330">
      <c r="G330" s="92"/>
    </row>
    <row r="331">
      <c r="G331" s="92"/>
    </row>
    <row r="332">
      <c r="G332" s="92"/>
    </row>
    <row r="333">
      <c r="G333" s="92"/>
    </row>
    <row r="334">
      <c r="G334" s="92"/>
    </row>
    <row r="335">
      <c r="G335" s="92"/>
    </row>
    <row r="336">
      <c r="G336" s="92"/>
    </row>
    <row r="337">
      <c r="G337" s="92"/>
    </row>
    <row r="338">
      <c r="G338" s="92"/>
    </row>
    <row r="339">
      <c r="G339" s="92"/>
    </row>
    <row r="340">
      <c r="G340" s="92"/>
    </row>
    <row r="341">
      <c r="G341" s="92"/>
    </row>
    <row r="342">
      <c r="G342" s="92"/>
    </row>
    <row r="343">
      <c r="G343" s="92"/>
    </row>
    <row r="344">
      <c r="G344" s="92"/>
    </row>
    <row r="345">
      <c r="G345" s="92"/>
    </row>
    <row r="346">
      <c r="G346" s="92"/>
    </row>
    <row r="347">
      <c r="G347" s="92"/>
    </row>
    <row r="348">
      <c r="G348" s="92"/>
    </row>
    <row r="349">
      <c r="G349" s="92"/>
    </row>
    <row r="350">
      <c r="G350" s="92"/>
    </row>
    <row r="351">
      <c r="G351" s="92"/>
    </row>
    <row r="352">
      <c r="G352" s="92"/>
    </row>
    <row r="353">
      <c r="G353" s="92"/>
    </row>
    <row r="354">
      <c r="G354" s="92"/>
    </row>
    <row r="355">
      <c r="G355" s="92"/>
    </row>
    <row r="356">
      <c r="G356" s="92"/>
    </row>
    <row r="357">
      <c r="G357" s="92"/>
    </row>
    <row r="358">
      <c r="G358" s="92"/>
    </row>
    <row r="359">
      <c r="G359" s="92"/>
    </row>
    <row r="360">
      <c r="G360" s="92"/>
    </row>
    <row r="361">
      <c r="G361" s="92"/>
    </row>
    <row r="362">
      <c r="G362" s="92"/>
    </row>
    <row r="363">
      <c r="G363" s="92"/>
    </row>
    <row r="364">
      <c r="G364" s="92"/>
    </row>
    <row r="365">
      <c r="G365" s="92"/>
    </row>
    <row r="366">
      <c r="G366" s="92"/>
    </row>
    <row r="367">
      <c r="G367" s="92"/>
    </row>
    <row r="368">
      <c r="G368" s="92"/>
    </row>
    <row r="369">
      <c r="G369" s="92"/>
    </row>
    <row r="370">
      <c r="G370" s="92"/>
    </row>
    <row r="371">
      <c r="G371" s="92"/>
    </row>
    <row r="372">
      <c r="G372" s="92"/>
    </row>
    <row r="373">
      <c r="G373" s="92"/>
    </row>
    <row r="374">
      <c r="G374" s="92"/>
    </row>
    <row r="375">
      <c r="G375" s="92"/>
    </row>
    <row r="376">
      <c r="G376" s="92"/>
    </row>
    <row r="377">
      <c r="G377" s="92"/>
    </row>
    <row r="378">
      <c r="G378" s="92"/>
    </row>
    <row r="379">
      <c r="G379" s="92"/>
    </row>
    <row r="380">
      <c r="G380" s="92"/>
    </row>
    <row r="381">
      <c r="G381" s="92"/>
    </row>
    <row r="382">
      <c r="G382" s="92"/>
    </row>
    <row r="383">
      <c r="G383" s="92"/>
    </row>
    <row r="384">
      <c r="G384" s="92"/>
    </row>
    <row r="385">
      <c r="G385" s="92"/>
    </row>
    <row r="386">
      <c r="G386" s="92"/>
    </row>
    <row r="387">
      <c r="G387" s="92"/>
    </row>
    <row r="388">
      <c r="G388" s="92"/>
    </row>
    <row r="389">
      <c r="G389" s="92"/>
    </row>
    <row r="390">
      <c r="G390" s="92"/>
    </row>
    <row r="391">
      <c r="G391" s="92"/>
    </row>
    <row r="392">
      <c r="G392" s="92"/>
    </row>
    <row r="393">
      <c r="G393" s="92"/>
    </row>
    <row r="394">
      <c r="G394" s="92"/>
    </row>
    <row r="395">
      <c r="G395" s="92"/>
    </row>
    <row r="396">
      <c r="G396" s="92"/>
    </row>
    <row r="397">
      <c r="G397" s="92"/>
    </row>
    <row r="398">
      <c r="G398" s="92"/>
    </row>
    <row r="399">
      <c r="G399" s="92"/>
    </row>
    <row r="400">
      <c r="G400" s="92"/>
    </row>
    <row r="401">
      <c r="G401" s="92"/>
    </row>
    <row r="402">
      <c r="G402" s="92"/>
    </row>
    <row r="403">
      <c r="G403" s="92"/>
    </row>
    <row r="404">
      <c r="G404" s="92"/>
    </row>
    <row r="405">
      <c r="G405" s="92"/>
    </row>
    <row r="406">
      <c r="G406" s="92"/>
    </row>
    <row r="407">
      <c r="G407" s="92"/>
    </row>
    <row r="408">
      <c r="G408" s="92"/>
    </row>
    <row r="409">
      <c r="G409" s="92"/>
    </row>
    <row r="410">
      <c r="G410" s="92"/>
    </row>
    <row r="411">
      <c r="G411" s="92"/>
    </row>
    <row r="412">
      <c r="G412" s="92"/>
    </row>
    <row r="413">
      <c r="G413" s="92"/>
    </row>
    <row r="414">
      <c r="G414" s="92"/>
    </row>
    <row r="415">
      <c r="G415" s="92"/>
    </row>
    <row r="416">
      <c r="G416" s="92"/>
    </row>
    <row r="417">
      <c r="G417" s="92"/>
    </row>
    <row r="418">
      <c r="G418" s="92"/>
    </row>
    <row r="419">
      <c r="G419" s="92"/>
    </row>
    <row r="420">
      <c r="G420" s="92"/>
    </row>
    <row r="421">
      <c r="G421" s="92"/>
    </row>
    <row r="422">
      <c r="G422" s="92"/>
    </row>
    <row r="423">
      <c r="G423" s="92"/>
    </row>
    <row r="424">
      <c r="G424" s="92"/>
    </row>
    <row r="425">
      <c r="G425" s="92"/>
    </row>
    <row r="426">
      <c r="G426" s="92"/>
    </row>
    <row r="427">
      <c r="G427" s="92"/>
    </row>
    <row r="428">
      <c r="G428" s="92"/>
    </row>
    <row r="429">
      <c r="G429" s="92"/>
    </row>
    <row r="430">
      <c r="G430" s="92"/>
    </row>
    <row r="431">
      <c r="G431" s="92"/>
    </row>
    <row r="432">
      <c r="G432" s="92"/>
    </row>
    <row r="433">
      <c r="G433" s="92"/>
    </row>
    <row r="434">
      <c r="G434" s="92"/>
    </row>
    <row r="435">
      <c r="G435" s="92"/>
    </row>
    <row r="436">
      <c r="G436" s="92"/>
    </row>
    <row r="437">
      <c r="G437" s="92"/>
    </row>
    <row r="438">
      <c r="G438" s="92"/>
    </row>
    <row r="439">
      <c r="G439" s="92"/>
    </row>
    <row r="440">
      <c r="G440" s="92"/>
    </row>
    <row r="441">
      <c r="G441" s="92"/>
    </row>
    <row r="442">
      <c r="G442" s="92"/>
    </row>
    <row r="443">
      <c r="G443" s="92"/>
    </row>
    <row r="444">
      <c r="G444" s="92"/>
    </row>
    <row r="445">
      <c r="G445" s="92"/>
    </row>
    <row r="446">
      <c r="G446" s="92"/>
    </row>
    <row r="447">
      <c r="G447" s="92"/>
    </row>
    <row r="448">
      <c r="G448" s="92"/>
    </row>
    <row r="449">
      <c r="G449" s="92"/>
    </row>
    <row r="450">
      <c r="G450" s="92"/>
    </row>
    <row r="451">
      <c r="G451" s="92"/>
    </row>
    <row r="452">
      <c r="G452" s="92"/>
    </row>
    <row r="453">
      <c r="G453" s="92"/>
    </row>
    <row r="454">
      <c r="G454" s="92"/>
    </row>
    <row r="455">
      <c r="G455" s="92"/>
    </row>
    <row r="456">
      <c r="G456" s="92"/>
    </row>
    <row r="457">
      <c r="G457" s="92"/>
    </row>
    <row r="458">
      <c r="G458" s="92"/>
    </row>
    <row r="459">
      <c r="G459" s="92"/>
    </row>
    <row r="460">
      <c r="G460" s="92"/>
    </row>
    <row r="461">
      <c r="G461" s="92"/>
    </row>
    <row r="462">
      <c r="G462" s="92"/>
    </row>
    <row r="463">
      <c r="G463" s="92"/>
    </row>
    <row r="464">
      <c r="G464" s="92"/>
    </row>
    <row r="465">
      <c r="G465" s="92"/>
    </row>
    <row r="466">
      <c r="G466" s="92"/>
    </row>
    <row r="467">
      <c r="G467" s="92"/>
    </row>
    <row r="468">
      <c r="G468" s="92"/>
    </row>
    <row r="469">
      <c r="G469" s="92"/>
    </row>
    <row r="470">
      <c r="G470" s="92"/>
    </row>
    <row r="471">
      <c r="G471" s="92"/>
    </row>
    <row r="472">
      <c r="G472" s="92"/>
    </row>
    <row r="473">
      <c r="G473" s="92"/>
    </row>
    <row r="474">
      <c r="G474" s="92"/>
    </row>
    <row r="475">
      <c r="G475" s="92"/>
    </row>
    <row r="476">
      <c r="G476" s="92"/>
    </row>
    <row r="477">
      <c r="G477" s="92"/>
    </row>
    <row r="478">
      <c r="G478" s="92"/>
    </row>
    <row r="479">
      <c r="G479" s="92"/>
    </row>
    <row r="480">
      <c r="G480" s="92"/>
    </row>
    <row r="481">
      <c r="G481" s="92"/>
    </row>
    <row r="482">
      <c r="G482" s="92"/>
    </row>
    <row r="483">
      <c r="G483" s="92"/>
    </row>
    <row r="484">
      <c r="G484" s="92"/>
    </row>
    <row r="485">
      <c r="G485" s="92"/>
    </row>
    <row r="486">
      <c r="G486" s="92"/>
    </row>
    <row r="487">
      <c r="G487" s="92"/>
    </row>
    <row r="488">
      <c r="G488" s="92"/>
    </row>
    <row r="489">
      <c r="G489" s="92"/>
    </row>
    <row r="490">
      <c r="G490" s="92"/>
    </row>
    <row r="491">
      <c r="G491" s="92"/>
    </row>
    <row r="492">
      <c r="G492" s="92"/>
    </row>
    <row r="493">
      <c r="G493" s="92"/>
    </row>
    <row r="494">
      <c r="G494" s="92"/>
    </row>
    <row r="495">
      <c r="G495" s="92"/>
    </row>
    <row r="496">
      <c r="G496" s="92"/>
    </row>
    <row r="497">
      <c r="G497" s="92"/>
    </row>
    <row r="498">
      <c r="G498" s="92"/>
    </row>
    <row r="499">
      <c r="G499" s="92"/>
    </row>
    <row r="500">
      <c r="G500" s="92"/>
    </row>
    <row r="501">
      <c r="G501" s="92"/>
    </row>
    <row r="502">
      <c r="G502" s="92"/>
    </row>
    <row r="503">
      <c r="G503" s="92"/>
    </row>
    <row r="504">
      <c r="G504" s="92"/>
    </row>
    <row r="505">
      <c r="G505" s="92"/>
    </row>
    <row r="506">
      <c r="G506" s="92"/>
    </row>
    <row r="507">
      <c r="G507" s="92"/>
    </row>
    <row r="508">
      <c r="G508" s="92"/>
    </row>
    <row r="509">
      <c r="G509" s="92"/>
    </row>
    <row r="510">
      <c r="G510" s="92"/>
    </row>
    <row r="511">
      <c r="G511" s="92"/>
    </row>
    <row r="512">
      <c r="G512" s="92"/>
    </row>
    <row r="513">
      <c r="G513" s="92"/>
    </row>
    <row r="514">
      <c r="G514" s="92"/>
    </row>
    <row r="515">
      <c r="G515" s="92"/>
    </row>
    <row r="516">
      <c r="G516" s="92"/>
    </row>
    <row r="517">
      <c r="G517" s="92"/>
    </row>
    <row r="518">
      <c r="G518" s="92"/>
    </row>
    <row r="519">
      <c r="G519" s="92"/>
    </row>
    <row r="520">
      <c r="G520" s="92"/>
    </row>
    <row r="521">
      <c r="G521" s="92"/>
    </row>
    <row r="522">
      <c r="G522" s="92"/>
    </row>
    <row r="523">
      <c r="G523" s="92"/>
    </row>
    <row r="524">
      <c r="G524" s="92"/>
    </row>
    <row r="525">
      <c r="G525" s="92"/>
    </row>
    <row r="526">
      <c r="G526" s="92"/>
    </row>
    <row r="527">
      <c r="G527" s="92"/>
    </row>
    <row r="528">
      <c r="G528" s="92"/>
    </row>
    <row r="529">
      <c r="G529" s="92"/>
    </row>
    <row r="530">
      <c r="G530" s="92"/>
    </row>
    <row r="531">
      <c r="G531" s="92"/>
    </row>
    <row r="532">
      <c r="G532" s="92"/>
    </row>
    <row r="533">
      <c r="G533" s="92"/>
    </row>
    <row r="534">
      <c r="G534" s="92"/>
    </row>
    <row r="535">
      <c r="G535" s="92"/>
    </row>
    <row r="536">
      <c r="G536" s="92"/>
    </row>
    <row r="537">
      <c r="G537" s="92"/>
    </row>
    <row r="538">
      <c r="G538" s="92"/>
    </row>
    <row r="539">
      <c r="G539" s="92"/>
    </row>
    <row r="540">
      <c r="G540" s="92"/>
    </row>
    <row r="541">
      <c r="G541" s="92"/>
    </row>
    <row r="542">
      <c r="G542" s="92"/>
    </row>
    <row r="543">
      <c r="G543" s="92"/>
    </row>
    <row r="544">
      <c r="G544" s="92"/>
    </row>
    <row r="545">
      <c r="G545" s="92"/>
    </row>
    <row r="546">
      <c r="G546" s="92"/>
    </row>
    <row r="547">
      <c r="G547" s="92"/>
    </row>
    <row r="548">
      <c r="G548" s="92"/>
    </row>
    <row r="549">
      <c r="G549" s="92"/>
    </row>
    <row r="550">
      <c r="G550" s="92"/>
    </row>
    <row r="551">
      <c r="G551" s="92"/>
    </row>
    <row r="552">
      <c r="G552" s="92"/>
    </row>
    <row r="553">
      <c r="G553" s="92"/>
    </row>
    <row r="554">
      <c r="G554" s="92"/>
    </row>
    <row r="555">
      <c r="G555" s="92"/>
    </row>
    <row r="556">
      <c r="G556" s="92"/>
    </row>
    <row r="557">
      <c r="G557" s="92"/>
    </row>
    <row r="558">
      <c r="G558" s="92"/>
    </row>
    <row r="559">
      <c r="G559" s="92"/>
    </row>
    <row r="560">
      <c r="G560" s="92"/>
    </row>
    <row r="561">
      <c r="G561" s="92"/>
    </row>
    <row r="562">
      <c r="G562" s="92"/>
    </row>
    <row r="563">
      <c r="G563" s="92"/>
    </row>
    <row r="564">
      <c r="G564" s="92"/>
    </row>
    <row r="565">
      <c r="G565" s="92"/>
    </row>
    <row r="566">
      <c r="G566" s="92"/>
    </row>
    <row r="567">
      <c r="G567" s="92"/>
    </row>
    <row r="568">
      <c r="G568" s="92"/>
    </row>
    <row r="569">
      <c r="G569" s="92"/>
    </row>
    <row r="570">
      <c r="G570" s="92"/>
    </row>
    <row r="571">
      <c r="G571" s="92"/>
    </row>
    <row r="572">
      <c r="G572" s="92"/>
    </row>
    <row r="573">
      <c r="G573" s="92"/>
    </row>
    <row r="574">
      <c r="G574" s="92"/>
    </row>
    <row r="575">
      <c r="G575" s="92"/>
    </row>
    <row r="576">
      <c r="G576" s="92"/>
    </row>
    <row r="577">
      <c r="G577" s="92"/>
    </row>
    <row r="578">
      <c r="G578" s="92"/>
    </row>
    <row r="579">
      <c r="G579" s="92"/>
    </row>
    <row r="580">
      <c r="G580" s="92"/>
    </row>
    <row r="581">
      <c r="G581" s="92"/>
    </row>
    <row r="582">
      <c r="G582" s="92"/>
    </row>
    <row r="583">
      <c r="G583" s="92"/>
    </row>
    <row r="584">
      <c r="G584" s="92"/>
    </row>
    <row r="585">
      <c r="G585" s="92"/>
    </row>
    <row r="586">
      <c r="G586" s="92"/>
    </row>
    <row r="587">
      <c r="G587" s="92"/>
    </row>
    <row r="588">
      <c r="G588" s="92"/>
    </row>
    <row r="589">
      <c r="G589" s="92"/>
    </row>
    <row r="590">
      <c r="G590" s="92"/>
    </row>
    <row r="591">
      <c r="G591" s="92"/>
    </row>
    <row r="592">
      <c r="G592" s="92"/>
    </row>
    <row r="593">
      <c r="G593" s="92"/>
    </row>
    <row r="594">
      <c r="G594" s="92"/>
    </row>
    <row r="595">
      <c r="G595" s="92"/>
    </row>
    <row r="596">
      <c r="G596" s="92"/>
    </row>
    <row r="597">
      <c r="G597" s="92"/>
    </row>
    <row r="598">
      <c r="G598" s="92"/>
    </row>
    <row r="599">
      <c r="G599" s="92"/>
    </row>
    <row r="600">
      <c r="G600" s="92"/>
    </row>
    <row r="601">
      <c r="G601" s="92"/>
    </row>
    <row r="602">
      <c r="G602" s="92"/>
    </row>
    <row r="603">
      <c r="G603" s="92"/>
    </row>
    <row r="604">
      <c r="G604" s="92"/>
    </row>
    <row r="605">
      <c r="G605" s="92"/>
    </row>
    <row r="606">
      <c r="G606" s="92"/>
    </row>
    <row r="607">
      <c r="G607" s="92"/>
    </row>
    <row r="608">
      <c r="G608" s="92"/>
    </row>
    <row r="609">
      <c r="G609" s="92"/>
    </row>
    <row r="610">
      <c r="G610" s="92"/>
    </row>
    <row r="611">
      <c r="G611" s="92"/>
    </row>
    <row r="612">
      <c r="G612" s="92"/>
    </row>
    <row r="613">
      <c r="G613" s="92"/>
    </row>
    <row r="614">
      <c r="G614" s="92"/>
    </row>
    <row r="615">
      <c r="G615" s="92"/>
    </row>
    <row r="616">
      <c r="G616" s="92"/>
    </row>
    <row r="617">
      <c r="G617" s="92"/>
    </row>
    <row r="618">
      <c r="G618" s="92"/>
    </row>
    <row r="619">
      <c r="G619" s="92"/>
    </row>
    <row r="620">
      <c r="G620" s="92"/>
    </row>
    <row r="621">
      <c r="G621" s="92"/>
    </row>
    <row r="622">
      <c r="G622" s="92"/>
    </row>
    <row r="623">
      <c r="G623" s="92"/>
    </row>
    <row r="624">
      <c r="G624" s="92"/>
    </row>
    <row r="625">
      <c r="G625" s="92"/>
    </row>
    <row r="626">
      <c r="G626" s="92"/>
    </row>
    <row r="627">
      <c r="G627" s="92"/>
    </row>
    <row r="628">
      <c r="G628" s="92"/>
    </row>
    <row r="629">
      <c r="G629" s="92"/>
    </row>
    <row r="630">
      <c r="G630" s="92"/>
    </row>
    <row r="631">
      <c r="G631" s="92"/>
    </row>
    <row r="632">
      <c r="G632" s="92"/>
    </row>
    <row r="633">
      <c r="G633" s="92"/>
    </row>
    <row r="634">
      <c r="G634" s="92"/>
    </row>
    <row r="635">
      <c r="G635" s="92"/>
    </row>
    <row r="636">
      <c r="G636" s="92"/>
    </row>
    <row r="637">
      <c r="G637" s="92"/>
    </row>
    <row r="638">
      <c r="G638" s="92"/>
    </row>
    <row r="639">
      <c r="G639" s="92"/>
    </row>
    <row r="640">
      <c r="G640" s="92"/>
    </row>
    <row r="641">
      <c r="G641" s="92"/>
    </row>
    <row r="642">
      <c r="G642" s="92"/>
    </row>
    <row r="643">
      <c r="G643" s="92"/>
    </row>
    <row r="644">
      <c r="G644" s="92"/>
    </row>
    <row r="645">
      <c r="G645" s="92"/>
    </row>
    <row r="646">
      <c r="G646" s="92"/>
    </row>
    <row r="647">
      <c r="G647" s="92"/>
    </row>
    <row r="648">
      <c r="G648" s="92"/>
    </row>
    <row r="649">
      <c r="G649" s="92"/>
    </row>
    <row r="650">
      <c r="G650" s="92"/>
    </row>
    <row r="651">
      <c r="G651" s="92"/>
    </row>
    <row r="652">
      <c r="G652" s="92"/>
    </row>
    <row r="653">
      <c r="G653" s="92"/>
    </row>
    <row r="654">
      <c r="G654" s="92"/>
    </row>
    <row r="655">
      <c r="G655" s="92"/>
    </row>
    <row r="656">
      <c r="G656" s="92"/>
    </row>
    <row r="657">
      <c r="G657" s="92"/>
    </row>
    <row r="658">
      <c r="G658" s="92"/>
    </row>
    <row r="659">
      <c r="G659" s="92"/>
    </row>
    <row r="660">
      <c r="G660" s="92"/>
    </row>
    <row r="661">
      <c r="G661" s="92"/>
    </row>
    <row r="662">
      <c r="G662" s="92"/>
    </row>
    <row r="663">
      <c r="G663" s="92"/>
    </row>
    <row r="664">
      <c r="G664" s="92"/>
    </row>
    <row r="665">
      <c r="G665" s="92"/>
    </row>
    <row r="666">
      <c r="G666" s="92"/>
    </row>
    <row r="667">
      <c r="G667" s="92"/>
    </row>
    <row r="668">
      <c r="G668" s="92"/>
    </row>
    <row r="669">
      <c r="G669" s="92"/>
    </row>
    <row r="670">
      <c r="G670" s="92"/>
    </row>
    <row r="671">
      <c r="G671" s="92"/>
    </row>
    <row r="672">
      <c r="G672" s="92"/>
    </row>
    <row r="673">
      <c r="G673" s="92"/>
    </row>
    <row r="674">
      <c r="G674" s="92"/>
    </row>
    <row r="675">
      <c r="G675" s="92"/>
    </row>
    <row r="676">
      <c r="G676" s="92"/>
    </row>
    <row r="677">
      <c r="G677" s="92"/>
    </row>
    <row r="678">
      <c r="G678" s="92"/>
    </row>
    <row r="679">
      <c r="G679" s="92"/>
    </row>
    <row r="680">
      <c r="G680" s="92"/>
    </row>
    <row r="681">
      <c r="G681" s="92"/>
    </row>
    <row r="682">
      <c r="G682" s="92"/>
    </row>
    <row r="683">
      <c r="G683" s="92"/>
    </row>
    <row r="684">
      <c r="G684" s="92"/>
    </row>
    <row r="685">
      <c r="G685" s="92"/>
    </row>
    <row r="686">
      <c r="G686" s="92"/>
    </row>
    <row r="687">
      <c r="G687" s="92"/>
    </row>
    <row r="688">
      <c r="G688" s="92"/>
    </row>
    <row r="689">
      <c r="G689" s="92"/>
    </row>
    <row r="690">
      <c r="G690" s="92"/>
    </row>
    <row r="691">
      <c r="G691" s="92"/>
    </row>
    <row r="692">
      <c r="G692" s="92"/>
    </row>
    <row r="693">
      <c r="G693" s="92"/>
    </row>
    <row r="694">
      <c r="G694" s="92"/>
    </row>
    <row r="695">
      <c r="G695" s="92"/>
    </row>
    <row r="696">
      <c r="G696" s="92"/>
    </row>
    <row r="697">
      <c r="G697" s="92"/>
    </row>
    <row r="698">
      <c r="G698" s="92"/>
    </row>
    <row r="699">
      <c r="G699" s="92"/>
    </row>
    <row r="700">
      <c r="G700" s="92"/>
    </row>
    <row r="701">
      <c r="G701" s="92"/>
    </row>
    <row r="702">
      <c r="G702" s="92"/>
    </row>
    <row r="703">
      <c r="G703" s="92"/>
    </row>
    <row r="704">
      <c r="G704" s="92"/>
    </row>
    <row r="705">
      <c r="G705" s="92"/>
    </row>
    <row r="706">
      <c r="G706" s="92"/>
    </row>
    <row r="707">
      <c r="G707" s="92"/>
    </row>
    <row r="708">
      <c r="G708" s="92"/>
    </row>
    <row r="709">
      <c r="G709" s="92"/>
    </row>
    <row r="710">
      <c r="G710" s="92"/>
    </row>
    <row r="711">
      <c r="G711" s="92"/>
    </row>
    <row r="712">
      <c r="G712" s="92"/>
    </row>
    <row r="713">
      <c r="G713" s="92"/>
    </row>
    <row r="714">
      <c r="G714" s="92"/>
    </row>
    <row r="715">
      <c r="G715" s="92"/>
    </row>
    <row r="716">
      <c r="G716" s="92"/>
    </row>
    <row r="717">
      <c r="G717" s="92"/>
    </row>
    <row r="718">
      <c r="G718" s="92"/>
    </row>
    <row r="719">
      <c r="G719" s="92"/>
    </row>
    <row r="720">
      <c r="G720" s="92"/>
    </row>
    <row r="721">
      <c r="G721" s="92"/>
    </row>
    <row r="722">
      <c r="G722" s="92"/>
    </row>
    <row r="723">
      <c r="G723" s="92"/>
    </row>
    <row r="724">
      <c r="G724" s="92"/>
    </row>
    <row r="725">
      <c r="G725" s="92"/>
    </row>
    <row r="726">
      <c r="G726" s="92"/>
    </row>
    <row r="727">
      <c r="G727" s="92"/>
    </row>
    <row r="728">
      <c r="G728" s="92"/>
    </row>
    <row r="729">
      <c r="G729" s="92"/>
    </row>
    <row r="730">
      <c r="G730" s="92"/>
    </row>
    <row r="731">
      <c r="G731" s="92"/>
    </row>
    <row r="732">
      <c r="G732" s="92"/>
    </row>
    <row r="733">
      <c r="G733" s="92"/>
    </row>
    <row r="734">
      <c r="G734" s="92"/>
    </row>
    <row r="735">
      <c r="G735" s="92"/>
    </row>
    <row r="736">
      <c r="G736" s="92"/>
    </row>
    <row r="737">
      <c r="G737" s="92"/>
    </row>
    <row r="738">
      <c r="G738" s="92"/>
    </row>
    <row r="739">
      <c r="G739" s="92"/>
    </row>
    <row r="740">
      <c r="G740" s="92"/>
    </row>
    <row r="741">
      <c r="G741" s="92"/>
    </row>
    <row r="742">
      <c r="G742" s="92"/>
    </row>
    <row r="743">
      <c r="G743" s="92"/>
    </row>
    <row r="744">
      <c r="G744" s="92"/>
    </row>
    <row r="745">
      <c r="G745" s="92"/>
    </row>
    <row r="746">
      <c r="G746" s="92"/>
    </row>
    <row r="747">
      <c r="G747" s="92"/>
    </row>
    <row r="748">
      <c r="G748" s="92"/>
    </row>
    <row r="749">
      <c r="G749" s="92"/>
    </row>
    <row r="750">
      <c r="G750" s="92"/>
    </row>
    <row r="751">
      <c r="G751" s="92"/>
    </row>
    <row r="752">
      <c r="G752" s="92"/>
    </row>
    <row r="753">
      <c r="G753" s="92"/>
    </row>
    <row r="754">
      <c r="G754" s="92"/>
    </row>
    <row r="755">
      <c r="G755" s="92"/>
    </row>
    <row r="756">
      <c r="G756" s="92"/>
    </row>
    <row r="757">
      <c r="G757" s="92"/>
    </row>
    <row r="758">
      <c r="G758" s="92"/>
    </row>
    <row r="759">
      <c r="G759" s="92"/>
    </row>
    <row r="760">
      <c r="G760" s="92"/>
    </row>
    <row r="761">
      <c r="G761" s="92"/>
    </row>
    <row r="762">
      <c r="G762" s="92"/>
    </row>
    <row r="763">
      <c r="G763" s="92"/>
    </row>
    <row r="764">
      <c r="G764" s="92"/>
    </row>
    <row r="765">
      <c r="G765" s="92"/>
    </row>
    <row r="766">
      <c r="G766" s="92"/>
    </row>
    <row r="767">
      <c r="G767" s="92"/>
    </row>
    <row r="768">
      <c r="G768" s="92"/>
    </row>
    <row r="769">
      <c r="G769" s="92"/>
    </row>
    <row r="770">
      <c r="G770" s="92"/>
    </row>
    <row r="771">
      <c r="G771" s="92"/>
    </row>
    <row r="772">
      <c r="G772" s="92"/>
    </row>
    <row r="773">
      <c r="G773" s="92"/>
    </row>
    <row r="774">
      <c r="G774" s="92"/>
    </row>
    <row r="775">
      <c r="G775" s="92"/>
    </row>
    <row r="776">
      <c r="G776" s="92"/>
    </row>
    <row r="777">
      <c r="G777" s="92"/>
    </row>
    <row r="778">
      <c r="G778" s="92"/>
    </row>
    <row r="779">
      <c r="G779" s="92"/>
    </row>
    <row r="780">
      <c r="G780" s="92"/>
    </row>
    <row r="781">
      <c r="G781" s="92"/>
    </row>
    <row r="782">
      <c r="G782" s="92"/>
    </row>
    <row r="783">
      <c r="G783" s="92"/>
    </row>
    <row r="784">
      <c r="G784" s="92"/>
    </row>
    <row r="785">
      <c r="G785" s="92"/>
    </row>
    <row r="786">
      <c r="G786" s="92"/>
    </row>
    <row r="787">
      <c r="G787" s="92"/>
    </row>
    <row r="788">
      <c r="G788" s="92"/>
    </row>
    <row r="789">
      <c r="G789" s="92"/>
    </row>
    <row r="790">
      <c r="G790" s="92"/>
    </row>
    <row r="791">
      <c r="G791" s="92"/>
    </row>
    <row r="792">
      <c r="G792" s="92"/>
    </row>
    <row r="793">
      <c r="G793" s="92"/>
    </row>
    <row r="794">
      <c r="G794" s="92"/>
    </row>
    <row r="795">
      <c r="G795" s="92"/>
    </row>
    <row r="796">
      <c r="G796" s="92"/>
    </row>
    <row r="797">
      <c r="G797" s="92"/>
    </row>
    <row r="798">
      <c r="G798" s="92"/>
    </row>
    <row r="799">
      <c r="G799" s="92"/>
    </row>
    <row r="800">
      <c r="G800" s="92"/>
    </row>
    <row r="801">
      <c r="G801" s="92"/>
    </row>
    <row r="802">
      <c r="G802" s="92"/>
    </row>
    <row r="803">
      <c r="G803" s="92"/>
    </row>
    <row r="804">
      <c r="G804" s="92"/>
    </row>
    <row r="805">
      <c r="G805" s="92"/>
    </row>
    <row r="806">
      <c r="G806" s="92"/>
    </row>
    <row r="807">
      <c r="G807" s="92"/>
    </row>
    <row r="808">
      <c r="G808" s="92"/>
    </row>
    <row r="809">
      <c r="G809" s="92"/>
    </row>
    <row r="810">
      <c r="G810" s="92"/>
    </row>
    <row r="811">
      <c r="G811" s="92"/>
    </row>
    <row r="812">
      <c r="G812" s="92"/>
    </row>
    <row r="813">
      <c r="G813" s="92"/>
    </row>
    <row r="814">
      <c r="G814" s="92"/>
    </row>
    <row r="815">
      <c r="G815" s="92"/>
    </row>
    <row r="816">
      <c r="G816" s="92"/>
    </row>
    <row r="817">
      <c r="G817" s="92"/>
    </row>
    <row r="818">
      <c r="G818" s="92"/>
    </row>
    <row r="819">
      <c r="G819" s="92"/>
    </row>
    <row r="820">
      <c r="G820" s="92"/>
    </row>
    <row r="821">
      <c r="G821" s="92"/>
    </row>
    <row r="822">
      <c r="G822" s="92"/>
    </row>
    <row r="823">
      <c r="G823" s="92"/>
    </row>
    <row r="824">
      <c r="G824" s="92"/>
    </row>
    <row r="825">
      <c r="G825" s="92"/>
    </row>
    <row r="826">
      <c r="G826" s="92"/>
    </row>
    <row r="827">
      <c r="G827" s="92"/>
    </row>
    <row r="828">
      <c r="G828" s="92"/>
    </row>
    <row r="829">
      <c r="G829" s="92"/>
    </row>
    <row r="830">
      <c r="G830" s="92"/>
    </row>
    <row r="831">
      <c r="G831" s="92"/>
    </row>
    <row r="832">
      <c r="G832" s="92"/>
    </row>
    <row r="833">
      <c r="G833" s="92"/>
    </row>
    <row r="834">
      <c r="G834" s="92"/>
    </row>
    <row r="835">
      <c r="G835" s="92"/>
    </row>
    <row r="836">
      <c r="G836" s="92"/>
    </row>
    <row r="837">
      <c r="G837" s="92"/>
    </row>
    <row r="838">
      <c r="G838" s="92"/>
    </row>
    <row r="839">
      <c r="G839" s="92"/>
    </row>
    <row r="840">
      <c r="G840" s="92"/>
    </row>
    <row r="841">
      <c r="G841" s="92"/>
    </row>
    <row r="842">
      <c r="G842" s="92"/>
    </row>
    <row r="843">
      <c r="G843" s="92"/>
    </row>
    <row r="844">
      <c r="G844" s="92"/>
    </row>
    <row r="845">
      <c r="G845" s="92"/>
    </row>
    <row r="846">
      <c r="G846" s="92"/>
    </row>
    <row r="847">
      <c r="G847" s="92"/>
    </row>
    <row r="848">
      <c r="G848" s="92"/>
    </row>
    <row r="849">
      <c r="G849" s="92"/>
    </row>
    <row r="850">
      <c r="G850" s="92"/>
    </row>
    <row r="851">
      <c r="G851" s="92"/>
    </row>
    <row r="852">
      <c r="G852" s="92"/>
    </row>
    <row r="853">
      <c r="G853" s="92"/>
    </row>
    <row r="854">
      <c r="G854" s="92"/>
    </row>
    <row r="855">
      <c r="G855" s="92"/>
    </row>
    <row r="856">
      <c r="G856" s="92"/>
    </row>
    <row r="857">
      <c r="G857" s="92"/>
    </row>
    <row r="858">
      <c r="G858" s="92"/>
    </row>
    <row r="859">
      <c r="G859" s="92"/>
    </row>
    <row r="860">
      <c r="G860" s="92"/>
    </row>
    <row r="861">
      <c r="G861" s="92"/>
    </row>
    <row r="862">
      <c r="G862" s="92"/>
    </row>
    <row r="863">
      <c r="G863" s="92"/>
    </row>
    <row r="864">
      <c r="G864" s="92"/>
    </row>
    <row r="865">
      <c r="G865" s="92"/>
    </row>
    <row r="866">
      <c r="G866" s="92"/>
    </row>
    <row r="867">
      <c r="G867" s="92"/>
    </row>
    <row r="868">
      <c r="G868" s="92"/>
    </row>
    <row r="869">
      <c r="G869" s="92"/>
    </row>
    <row r="870">
      <c r="G870" s="92"/>
    </row>
    <row r="871">
      <c r="G871" s="92"/>
    </row>
    <row r="872">
      <c r="G872" s="92"/>
    </row>
    <row r="873">
      <c r="G873" s="92"/>
    </row>
    <row r="874">
      <c r="G874" s="92"/>
    </row>
    <row r="875">
      <c r="G875" s="92"/>
    </row>
    <row r="876">
      <c r="G876" s="92"/>
    </row>
    <row r="877">
      <c r="G877" s="92"/>
    </row>
    <row r="878">
      <c r="G878" s="92"/>
    </row>
    <row r="879">
      <c r="G879" s="92"/>
    </row>
    <row r="880">
      <c r="G880" s="92"/>
    </row>
    <row r="881">
      <c r="G881" s="92"/>
    </row>
    <row r="882">
      <c r="G882" s="92"/>
    </row>
    <row r="883">
      <c r="G883" s="92"/>
    </row>
    <row r="884">
      <c r="G884" s="92"/>
    </row>
    <row r="885">
      <c r="G885" s="92"/>
    </row>
    <row r="886">
      <c r="G886" s="92"/>
    </row>
    <row r="887">
      <c r="G887" s="92"/>
    </row>
    <row r="888">
      <c r="G888" s="92"/>
    </row>
    <row r="889">
      <c r="G889" s="92"/>
    </row>
    <row r="890">
      <c r="G890" s="92"/>
    </row>
    <row r="891">
      <c r="G891" s="92"/>
    </row>
    <row r="892">
      <c r="G892" s="92"/>
    </row>
    <row r="893">
      <c r="G893" s="92"/>
    </row>
    <row r="894">
      <c r="G894" s="92"/>
    </row>
    <row r="895">
      <c r="G895" s="92"/>
    </row>
    <row r="896">
      <c r="G896" s="92"/>
    </row>
    <row r="897">
      <c r="G897" s="92"/>
    </row>
    <row r="898">
      <c r="G898" s="92"/>
    </row>
    <row r="899">
      <c r="G899" s="92"/>
    </row>
    <row r="900">
      <c r="G900" s="92"/>
    </row>
    <row r="901">
      <c r="G901" s="92"/>
    </row>
    <row r="902">
      <c r="G902" s="92"/>
    </row>
    <row r="903">
      <c r="G903" s="92"/>
    </row>
    <row r="904">
      <c r="G904" s="92"/>
    </row>
    <row r="905">
      <c r="G905" s="92"/>
    </row>
    <row r="906">
      <c r="G906" s="92"/>
    </row>
    <row r="907">
      <c r="G907" s="92"/>
    </row>
    <row r="908">
      <c r="G908" s="92"/>
    </row>
    <row r="909">
      <c r="G909" s="92"/>
    </row>
    <row r="910">
      <c r="G910" s="92"/>
    </row>
    <row r="911">
      <c r="G911" s="92"/>
    </row>
    <row r="912">
      <c r="G912" s="92"/>
    </row>
    <row r="913">
      <c r="G913" s="92"/>
    </row>
    <row r="914">
      <c r="G914" s="92"/>
    </row>
    <row r="915">
      <c r="G915" s="92"/>
    </row>
    <row r="916">
      <c r="G916" s="92"/>
    </row>
    <row r="917">
      <c r="G917" s="92"/>
    </row>
    <row r="918">
      <c r="G918" s="92"/>
    </row>
    <row r="919">
      <c r="G919" s="92"/>
    </row>
    <row r="920">
      <c r="G920" s="92"/>
    </row>
    <row r="921">
      <c r="G921" s="92"/>
    </row>
    <row r="922">
      <c r="G922" s="92"/>
    </row>
    <row r="923">
      <c r="G923" s="92"/>
    </row>
    <row r="924">
      <c r="G924" s="92"/>
    </row>
    <row r="925">
      <c r="G925" s="92"/>
    </row>
    <row r="926">
      <c r="G926" s="92"/>
    </row>
    <row r="927">
      <c r="G927" s="92"/>
    </row>
    <row r="928">
      <c r="G928" s="92"/>
    </row>
    <row r="929">
      <c r="G929" s="92"/>
    </row>
    <row r="930">
      <c r="G930" s="92"/>
    </row>
    <row r="931">
      <c r="G931" s="92"/>
    </row>
    <row r="932">
      <c r="G932" s="92"/>
    </row>
    <row r="933">
      <c r="G933" s="92"/>
    </row>
    <row r="934">
      <c r="G934" s="92"/>
    </row>
    <row r="935">
      <c r="G935" s="92"/>
    </row>
    <row r="936">
      <c r="G936" s="92"/>
    </row>
    <row r="937">
      <c r="G937" s="92"/>
    </row>
    <row r="938">
      <c r="G938" s="92"/>
    </row>
    <row r="939">
      <c r="G939" s="92"/>
    </row>
    <row r="940">
      <c r="G940" s="92"/>
    </row>
    <row r="941">
      <c r="G941" s="92"/>
    </row>
    <row r="942">
      <c r="G942" s="92"/>
    </row>
    <row r="943">
      <c r="G943" s="92"/>
    </row>
    <row r="944">
      <c r="G944" s="92"/>
    </row>
    <row r="945">
      <c r="G945" s="92"/>
    </row>
    <row r="946">
      <c r="G946" s="92"/>
    </row>
    <row r="947">
      <c r="G947" s="92"/>
    </row>
    <row r="948">
      <c r="G948" s="92"/>
    </row>
    <row r="949">
      <c r="G949" s="92"/>
    </row>
    <row r="950">
      <c r="G950" s="92"/>
    </row>
    <row r="951">
      <c r="G951" s="92"/>
    </row>
    <row r="952">
      <c r="G952" s="92"/>
    </row>
    <row r="953">
      <c r="G953" s="92"/>
    </row>
    <row r="954">
      <c r="G954" s="92"/>
    </row>
    <row r="955">
      <c r="G955" s="92"/>
    </row>
    <row r="956">
      <c r="G956" s="92"/>
    </row>
    <row r="957">
      <c r="G957" s="92"/>
    </row>
    <row r="958">
      <c r="G958" s="92"/>
    </row>
    <row r="959">
      <c r="G959" s="92"/>
    </row>
    <row r="960">
      <c r="G960" s="92"/>
    </row>
    <row r="961">
      <c r="G961" s="92"/>
    </row>
    <row r="962">
      <c r="G962" s="92"/>
    </row>
    <row r="963">
      <c r="G963" s="92"/>
    </row>
    <row r="964">
      <c r="G964" s="92"/>
    </row>
    <row r="965">
      <c r="G965" s="92"/>
    </row>
    <row r="966">
      <c r="G966" s="92"/>
    </row>
    <row r="967">
      <c r="G967" s="92"/>
    </row>
    <row r="968">
      <c r="G968" s="92"/>
    </row>
    <row r="969">
      <c r="G969" s="92"/>
    </row>
    <row r="970">
      <c r="G970" s="92"/>
    </row>
    <row r="971">
      <c r="G971" s="92"/>
    </row>
    <row r="972">
      <c r="G972" s="92"/>
    </row>
    <row r="973">
      <c r="G973" s="92"/>
    </row>
    <row r="974">
      <c r="G974" s="92"/>
    </row>
    <row r="975">
      <c r="G975" s="92"/>
    </row>
    <row r="976">
      <c r="G976" s="92"/>
    </row>
    <row r="977">
      <c r="G977" s="92"/>
    </row>
    <row r="978">
      <c r="G978" s="92"/>
    </row>
    <row r="979">
      <c r="G979" s="92"/>
    </row>
    <row r="980">
      <c r="G980" s="92"/>
    </row>
    <row r="981">
      <c r="G981" s="92"/>
    </row>
    <row r="982">
      <c r="G982" s="92"/>
    </row>
    <row r="983">
      <c r="G983" s="92"/>
    </row>
    <row r="984">
      <c r="G984" s="92"/>
    </row>
    <row r="985">
      <c r="G985" s="92"/>
    </row>
    <row r="986">
      <c r="G986" s="92"/>
    </row>
    <row r="987">
      <c r="G987" s="92"/>
    </row>
    <row r="988">
      <c r="G988" s="92"/>
    </row>
    <row r="989">
      <c r="G989" s="92"/>
    </row>
    <row r="990">
      <c r="G990" s="92"/>
    </row>
    <row r="991">
      <c r="G991" s="92"/>
    </row>
    <row r="992">
      <c r="G992" s="92"/>
    </row>
    <row r="993">
      <c r="G993" s="92"/>
    </row>
    <row r="994">
      <c r="G994" s="92"/>
    </row>
    <row r="995">
      <c r="G995" s="92"/>
    </row>
    <row r="996">
      <c r="G996" s="92"/>
    </row>
    <row r="997">
      <c r="G997" s="92"/>
    </row>
    <row r="998">
      <c r="G998" s="92"/>
    </row>
    <row r="999">
      <c r="G999" s="92"/>
    </row>
    <row r="1000">
      <c r="G1000" s="92"/>
    </row>
  </sheetData>
  <mergeCells count="2">
    <mergeCell ref="A1:H1"/>
    <mergeCell ref="A7:H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6.38"/>
    <col customWidth="1" min="11" max="11" width="21.63"/>
  </cols>
  <sheetData>
    <row r="1">
      <c r="A1" s="16" t="s">
        <v>1185</v>
      </c>
      <c r="B1" s="17" t="s">
        <v>1194</v>
      </c>
      <c r="C1" s="255" t="s">
        <v>1198</v>
      </c>
      <c r="D1" s="17" t="s">
        <v>1202</v>
      </c>
      <c r="E1" s="17" t="s">
        <v>1203</v>
      </c>
      <c r="F1" s="17" t="s">
        <v>1204</v>
      </c>
      <c r="G1" s="17" t="s">
        <v>1205</v>
      </c>
      <c r="H1" s="17" t="s">
        <v>2552</v>
      </c>
      <c r="I1" s="17" t="s">
        <v>2553</v>
      </c>
      <c r="J1" s="17" t="s">
        <v>1554</v>
      </c>
    </row>
    <row r="2">
      <c r="A2" s="19"/>
      <c r="B2" s="2" t="s">
        <v>1812</v>
      </c>
      <c r="C2" s="20"/>
      <c r="F2" s="2"/>
      <c r="H2" s="256">
        <v>46062.0</v>
      </c>
      <c r="J2" s="2" t="s">
        <v>1892</v>
      </c>
    </row>
    <row r="3">
      <c r="A3" s="21"/>
      <c r="C3" s="257"/>
    </row>
    <row r="4">
      <c r="C4" s="257"/>
    </row>
    <row r="5">
      <c r="A5" s="22" t="str">
        <f>IFERROR(__xludf.DUMMYFUNCTION("IFERROR(
  QUERY(
    'InOut (Manual)'!A:Q,
    ""select B, C, D, E, H, I, J, K, L, M, N, O, P where 1=1""
    &amp; IF(B2&lt;&gt;"""","" and J = '""&amp;B2&amp;""'"","""")
    &amp; IF(C2&lt;&gt;"""","" and K = '""&amp;C2&amp;""'"","""")
    &amp; IF(D2&lt;&gt;"""","" and L = '""&amp;D2&amp;""'"","""")
    "&amp;"&amp; IF(E2&lt;&gt;"""","" and M = '""&amp;E2&amp;""'"","""")
    &amp; IF(F2&lt;&gt;"""","" and N = '""&amp;F2&amp;""'"","""")
    &amp; IF(G2&lt;&gt;"""","" and O = '""&amp;G2&amp;""'"","""")
    &amp; IF(H2&lt;&gt;"""","" and D &gt;= date '""&amp;TEXT(H2,""yyyy-MM-dd"")&amp;""'"","""")
    &amp; IF(I2&lt;&gt;"""","" and D &lt;= date '""&amp;T"&amp;"EXT(I2,""yyyy-MM-dd"")&amp;""'"","""")
    &amp; IF(J2&lt;&gt;"""","" and C = '""&amp;J2&amp;""'"","""")
  ,1),
""❌ No matching record found""
)"),"SKU CODE")</f>
        <v>SKU CODE</v>
      </c>
      <c r="B5" s="22" t="str">
        <f>IFERROR(__xludf.DUMMYFUNCTION("""COMPUTED_VALUE"""),"In/Out")</f>
        <v>In/Out</v>
      </c>
      <c r="C5" s="260" t="str">
        <f>IFERROR(__xludf.DUMMYFUNCTION("""COMPUTED_VALUE"""),"Date")</f>
        <v>Date</v>
      </c>
      <c r="D5" s="22" t="str">
        <f>IFERROR(__xludf.DUMMYFUNCTION("""COMPUTED_VALUE"""),"Quantity")</f>
        <v>Quantity</v>
      </c>
      <c r="E5" s="22" t="str">
        <f>IFERROR(__xludf.DUMMYFUNCTION("""COMPUTED_VALUE"""),"Job Name")</f>
        <v>Job Name</v>
      </c>
      <c r="F5" s="22" t="str">
        <f>IFERROR(__xludf.DUMMYFUNCTION("""COMPUTED_VALUE"""),"Item Name ")</f>
        <v>Item Name </v>
      </c>
      <c r="G5" s="22" t="str">
        <f>IFERROR(__xludf.DUMMYFUNCTION("""COMPUTED_VALUE"""),"Category")</f>
        <v>Category</v>
      </c>
      <c r="H5" s="22" t="str">
        <f>IFERROR(__xludf.DUMMYFUNCTION("""COMPUTED_VALUE"""),"Material")</f>
        <v>Material</v>
      </c>
      <c r="I5" s="22" t="str">
        <f>IFERROR(__xludf.DUMMYFUNCTION("""COMPUTED_VALUE"""),"Size")</f>
        <v>Size</v>
      </c>
      <c r="J5" s="22" t="str">
        <f>IFERROR(__xludf.DUMMYFUNCTION("""COMPUTED_VALUE"""),"Gsm/Mic")</f>
        <v>Gsm/Mic</v>
      </c>
      <c r="K5" s="22" t="str">
        <f>IFERROR(__xludf.DUMMYFUNCTION("""COMPUTED_VALUE"""),"Color")</f>
        <v>Color</v>
      </c>
      <c r="L5" s="22" t="str">
        <f>IFERROR(__xludf.DUMMYFUNCTION("""COMPUTED_VALUE"""),"Finish/Extra")</f>
        <v>Finish/Extra</v>
      </c>
      <c r="M5" s="22" t="str">
        <f>IFERROR(__xludf.DUMMYFUNCTION("""COMPUTED_VALUE"""),"Unit")</f>
        <v>Unit</v>
      </c>
    </row>
    <row r="6">
      <c r="A6" s="25" t="str">
        <f>IFERROR(__xludf.DUMMYFUNCTION("""COMPUTED_VALUE"""),"CH-SOL-118")</f>
        <v>CH-SOL-118</v>
      </c>
      <c r="B6" s="25" t="str">
        <f>IFERROR(__xludf.DUMMYFUNCTION("""COMPUTED_VALUE"""),"Out")</f>
        <v>Out</v>
      </c>
      <c r="C6" s="257">
        <f>IFERROR(__xludf.DUMMYFUNCTION("""COMPUTED_VALUE"""),46062.0)</f>
        <v>46062</v>
      </c>
      <c r="D6" s="25">
        <f>IFERROR(__xludf.DUMMYFUNCTION("""COMPUTED_VALUE"""),1.0)</f>
        <v>1</v>
      </c>
      <c r="E6" s="25"/>
      <c r="F6" s="25" t="str">
        <f>IFERROR(__xludf.DUMMYFUNCTION("""COMPUTED_VALUE"""),"Anti Set off spray")</f>
        <v>Anti Set off spray</v>
      </c>
      <c r="G6" s="25" t="str">
        <f>IFERROR(__xludf.DUMMYFUNCTION("""COMPUTED_VALUE"""),"Chemical")</f>
        <v>Chemical</v>
      </c>
      <c r="H6" s="25" t="str">
        <f>IFERROR(__xludf.DUMMYFUNCTION("""COMPUTED_VALUE"""),"Solution")</f>
        <v>Solution</v>
      </c>
      <c r="I6" s="25" t="str">
        <f>IFERROR(__xludf.DUMMYFUNCTION("""COMPUTED_VALUE"""),"–")</f>
        <v>–</v>
      </c>
      <c r="J6" s="25" t="str">
        <f>IFERROR(__xludf.DUMMYFUNCTION("""COMPUTED_VALUE"""),"–")</f>
        <v>–</v>
      </c>
      <c r="K6" s="25" t="str">
        <f>IFERROR(__xludf.DUMMYFUNCTION("""COMPUTED_VALUE"""),"–")</f>
        <v>–</v>
      </c>
      <c r="L6" s="25" t="str">
        <f>IFERROR(__xludf.DUMMYFUNCTION("""COMPUTED_VALUE"""),"–")</f>
        <v>–</v>
      </c>
      <c r="M6" s="25" t="str">
        <f>IFERROR(__xludf.DUMMYFUNCTION("""COMPUTED_VALUE"""),"Pkt")</f>
        <v>Pkt</v>
      </c>
    </row>
    <row r="7">
      <c r="A7" s="25" t="str">
        <f>IFERROR(__xludf.DUMMYFUNCTION("""COMPUTED_VALUE"""),"CH-SOL-143")</f>
        <v>CH-SOL-143</v>
      </c>
      <c r="B7" s="25" t="str">
        <f>IFERROR(__xludf.DUMMYFUNCTION("""COMPUTED_VALUE"""),"Out")</f>
        <v>Out</v>
      </c>
      <c r="C7" s="257">
        <f>IFERROR(__xludf.DUMMYFUNCTION("""COMPUTED_VALUE"""),46062.0)</f>
        <v>46062</v>
      </c>
      <c r="D7" s="25">
        <f>IFERROR(__xludf.DUMMYFUNCTION("""COMPUTED_VALUE"""),1.0)</f>
        <v>1</v>
      </c>
      <c r="E7" s="25"/>
      <c r="F7" s="25" t="str">
        <f>IFERROR(__xludf.DUMMYFUNCTION("""COMPUTED_VALUE"""),"Plate Cleaner UV")</f>
        <v>Plate Cleaner UV</v>
      </c>
      <c r="G7" s="25" t="str">
        <f>IFERROR(__xludf.DUMMYFUNCTION("""COMPUTED_VALUE"""),"Chemical")</f>
        <v>Chemical</v>
      </c>
      <c r="H7" s="25" t="str">
        <f>IFERROR(__xludf.DUMMYFUNCTION("""COMPUTED_VALUE"""),"Solution")</f>
        <v>Solution</v>
      </c>
      <c r="I7" s="25" t="str">
        <f>IFERROR(__xludf.DUMMYFUNCTION("""COMPUTED_VALUE"""),"–")</f>
        <v>–</v>
      </c>
      <c r="J7" s="25" t="str">
        <f>IFERROR(__xludf.DUMMYFUNCTION("""COMPUTED_VALUE"""),"–")</f>
        <v>–</v>
      </c>
      <c r="K7" s="25" t="str">
        <f>IFERROR(__xludf.DUMMYFUNCTION("""COMPUTED_VALUE"""),"–")</f>
        <v>–</v>
      </c>
      <c r="L7" s="25" t="str">
        <f>IFERROR(__xludf.DUMMYFUNCTION("""COMPUTED_VALUE"""),"Hard Gp")</f>
        <v>Hard Gp</v>
      </c>
      <c r="M7" s="25" t="str">
        <f>IFERROR(__xludf.DUMMYFUNCTION("""COMPUTED_VALUE"""),"Ltr")</f>
        <v>Ltr</v>
      </c>
    </row>
    <row r="8">
      <c r="A8" s="25" t="str">
        <f>IFERROR(__xludf.DUMMYFUNCTION("""COMPUTED_VALUE"""),"CH-SOL-116")</f>
        <v>CH-SOL-116</v>
      </c>
      <c r="B8" s="25" t="str">
        <f>IFERROR(__xludf.DUMMYFUNCTION("""COMPUTED_VALUE"""),"Out")</f>
        <v>Out</v>
      </c>
      <c r="C8" s="257">
        <f>IFERROR(__xludf.DUMMYFUNCTION("""COMPUTED_VALUE"""),46063.0)</f>
        <v>46063</v>
      </c>
      <c r="D8" s="25">
        <f>IFERROR(__xludf.DUMMYFUNCTION("""COMPUTED_VALUE"""),20.0)</f>
        <v>20</v>
      </c>
      <c r="E8" s="25"/>
      <c r="F8" s="25" t="str">
        <f>IFERROR(__xludf.DUMMYFUNCTION("""COMPUTED_VALUE"""),"Nova Nol Xtra")</f>
        <v>Nova Nol Xtra</v>
      </c>
      <c r="G8" s="25" t="str">
        <f>IFERROR(__xludf.DUMMYFUNCTION("""COMPUTED_VALUE"""),"Chemical")</f>
        <v>Chemical</v>
      </c>
      <c r="H8" s="25" t="str">
        <f>IFERROR(__xludf.DUMMYFUNCTION("""COMPUTED_VALUE"""),"Solution")</f>
        <v>Solution</v>
      </c>
      <c r="I8" s="25" t="str">
        <f>IFERROR(__xludf.DUMMYFUNCTION("""COMPUTED_VALUE"""),"–")</f>
        <v>–</v>
      </c>
      <c r="J8" s="25" t="str">
        <f>IFERROR(__xludf.DUMMYFUNCTION("""COMPUTED_VALUE"""),"–")</f>
        <v>–</v>
      </c>
      <c r="K8" s="25" t="str">
        <f>IFERROR(__xludf.DUMMYFUNCTION("""COMPUTED_VALUE"""),"–")</f>
        <v>–</v>
      </c>
      <c r="L8" s="25" t="str">
        <f>IFERROR(__xludf.DUMMYFUNCTION("""COMPUTED_VALUE"""),"Alcohol")</f>
        <v>Alcohol</v>
      </c>
      <c r="M8" s="25" t="str">
        <f>IFERROR(__xludf.DUMMYFUNCTION("""COMPUTED_VALUE"""),"Ltr")</f>
        <v>Ltr</v>
      </c>
    </row>
    <row r="9">
      <c r="A9" s="25" t="str">
        <f>IFERROR(__xludf.DUMMYFUNCTION("""COMPUTED_VALUE"""),"CH-SOL-143")</f>
        <v>CH-SOL-143</v>
      </c>
      <c r="B9" s="25" t="str">
        <f>IFERROR(__xludf.DUMMYFUNCTION("""COMPUTED_VALUE"""),"Out")</f>
        <v>Out</v>
      </c>
      <c r="C9" s="257">
        <f>IFERROR(__xludf.DUMMYFUNCTION("""COMPUTED_VALUE"""),46063.0)</f>
        <v>46063</v>
      </c>
      <c r="D9" s="25">
        <f>IFERROR(__xludf.DUMMYFUNCTION("""COMPUTED_VALUE"""),2.0)</f>
        <v>2</v>
      </c>
      <c r="E9" s="25"/>
      <c r="F9" s="25" t="str">
        <f>IFERROR(__xludf.DUMMYFUNCTION("""COMPUTED_VALUE"""),"Plate Cleaner UV")</f>
        <v>Plate Cleaner UV</v>
      </c>
      <c r="G9" s="25" t="str">
        <f>IFERROR(__xludf.DUMMYFUNCTION("""COMPUTED_VALUE"""),"Chemical")</f>
        <v>Chemical</v>
      </c>
      <c r="H9" s="25" t="str">
        <f>IFERROR(__xludf.DUMMYFUNCTION("""COMPUTED_VALUE"""),"Solution")</f>
        <v>Solution</v>
      </c>
      <c r="I9" s="25" t="str">
        <f>IFERROR(__xludf.DUMMYFUNCTION("""COMPUTED_VALUE"""),"–")</f>
        <v>–</v>
      </c>
      <c r="J9" s="25" t="str">
        <f>IFERROR(__xludf.DUMMYFUNCTION("""COMPUTED_VALUE"""),"–")</f>
        <v>–</v>
      </c>
      <c r="K9" s="25" t="str">
        <f>IFERROR(__xludf.DUMMYFUNCTION("""COMPUTED_VALUE"""),"–")</f>
        <v>–</v>
      </c>
      <c r="L9" s="25" t="str">
        <f>IFERROR(__xludf.DUMMYFUNCTION("""COMPUTED_VALUE"""),"Hard Gp")</f>
        <v>Hard Gp</v>
      </c>
      <c r="M9" s="25" t="str">
        <f>IFERROR(__xludf.DUMMYFUNCTION("""COMPUTED_VALUE"""),"Ltr")</f>
        <v>Ltr</v>
      </c>
    </row>
    <row r="10">
      <c r="A10" s="25" t="str">
        <f>IFERROR(__xludf.DUMMYFUNCTION("""COMPUTED_VALUE"""),"CH-SOL-143")</f>
        <v>CH-SOL-143</v>
      </c>
      <c r="B10" s="25" t="str">
        <f>IFERROR(__xludf.DUMMYFUNCTION("""COMPUTED_VALUE"""),"Out")</f>
        <v>Out</v>
      </c>
      <c r="C10" s="257">
        <f>IFERROR(__xludf.DUMMYFUNCTION("""COMPUTED_VALUE"""),46064.0)</f>
        <v>46064</v>
      </c>
      <c r="D10" s="25">
        <f>IFERROR(__xludf.DUMMYFUNCTION("""COMPUTED_VALUE"""),1.0)</f>
        <v>1</v>
      </c>
      <c r="E10" s="25"/>
      <c r="F10" s="25" t="str">
        <f>IFERROR(__xludf.DUMMYFUNCTION("""COMPUTED_VALUE"""),"Plate Cleaner UV")</f>
        <v>Plate Cleaner UV</v>
      </c>
      <c r="G10" s="25" t="str">
        <f>IFERROR(__xludf.DUMMYFUNCTION("""COMPUTED_VALUE"""),"Chemical")</f>
        <v>Chemical</v>
      </c>
      <c r="H10" s="25" t="str">
        <f>IFERROR(__xludf.DUMMYFUNCTION("""COMPUTED_VALUE"""),"Solution")</f>
        <v>Solution</v>
      </c>
      <c r="I10" s="25" t="str">
        <f>IFERROR(__xludf.DUMMYFUNCTION("""COMPUTED_VALUE"""),"–")</f>
        <v>–</v>
      </c>
      <c r="J10" s="25" t="str">
        <f>IFERROR(__xludf.DUMMYFUNCTION("""COMPUTED_VALUE"""),"–")</f>
        <v>–</v>
      </c>
      <c r="K10" s="25" t="str">
        <f>IFERROR(__xludf.DUMMYFUNCTION("""COMPUTED_VALUE"""),"–")</f>
        <v>–</v>
      </c>
      <c r="L10" s="25" t="str">
        <f>IFERROR(__xludf.DUMMYFUNCTION("""COMPUTED_VALUE"""),"Hard Gp")</f>
        <v>Hard Gp</v>
      </c>
      <c r="M10" s="25" t="str">
        <f>IFERROR(__xludf.DUMMYFUNCTION("""COMPUTED_VALUE"""),"Ltr")</f>
        <v>Ltr</v>
      </c>
    </row>
    <row r="11">
      <c r="A11" s="25" t="str">
        <f>IFERROR(__xludf.DUMMYFUNCTION("""COMPUTED_VALUE"""),"CH-SOL-116")</f>
        <v>CH-SOL-116</v>
      </c>
      <c r="B11" s="25" t="str">
        <f>IFERROR(__xludf.DUMMYFUNCTION("""COMPUTED_VALUE"""),"Out")</f>
        <v>Out</v>
      </c>
      <c r="C11" s="257">
        <f>IFERROR(__xludf.DUMMYFUNCTION("""COMPUTED_VALUE"""),46066.0)</f>
        <v>46066</v>
      </c>
      <c r="D11" s="25">
        <f>IFERROR(__xludf.DUMMYFUNCTION("""COMPUTED_VALUE"""),20.0)</f>
        <v>20</v>
      </c>
      <c r="E11" s="25"/>
      <c r="F11" s="25" t="str">
        <f>IFERROR(__xludf.DUMMYFUNCTION("""COMPUTED_VALUE"""),"Nova Nol Xtra")</f>
        <v>Nova Nol Xtra</v>
      </c>
      <c r="G11" s="25" t="str">
        <f>IFERROR(__xludf.DUMMYFUNCTION("""COMPUTED_VALUE"""),"Chemical")</f>
        <v>Chemical</v>
      </c>
      <c r="H11" s="25" t="str">
        <f>IFERROR(__xludf.DUMMYFUNCTION("""COMPUTED_VALUE"""),"Solution")</f>
        <v>Solution</v>
      </c>
      <c r="I11" s="25" t="str">
        <f>IFERROR(__xludf.DUMMYFUNCTION("""COMPUTED_VALUE"""),"–")</f>
        <v>–</v>
      </c>
      <c r="J11" s="25" t="str">
        <f>IFERROR(__xludf.DUMMYFUNCTION("""COMPUTED_VALUE"""),"–")</f>
        <v>–</v>
      </c>
      <c r="K11" s="25" t="str">
        <f>IFERROR(__xludf.DUMMYFUNCTION("""COMPUTED_VALUE"""),"–")</f>
        <v>–</v>
      </c>
      <c r="L11" s="25" t="str">
        <f>IFERROR(__xludf.DUMMYFUNCTION("""COMPUTED_VALUE"""),"Alcohol")</f>
        <v>Alcohol</v>
      </c>
      <c r="M11" s="25" t="str">
        <f>IFERROR(__xludf.DUMMYFUNCTION("""COMPUTED_VALUE"""),"Ltr")</f>
        <v>Ltr</v>
      </c>
    </row>
    <row r="12">
      <c r="A12" s="25" t="str">
        <f>IFERROR(__xludf.DUMMYFUNCTION("""COMPUTED_VALUE"""),"CH-SOL-142")</f>
        <v>CH-SOL-142</v>
      </c>
      <c r="B12" s="25" t="str">
        <f>IFERROR(__xludf.DUMMYFUNCTION("""COMPUTED_VALUE"""),"Out")</f>
        <v>Out</v>
      </c>
      <c r="C12" s="257">
        <f>IFERROR(__xludf.DUMMYFUNCTION("""COMPUTED_VALUE"""),46067.0)</f>
        <v>46067</v>
      </c>
      <c r="D12" s="25">
        <f>IFERROR(__xludf.DUMMYFUNCTION("""COMPUTED_VALUE"""),5.0)</f>
        <v>5</v>
      </c>
      <c r="E12" s="25"/>
      <c r="F12" s="25" t="str">
        <f>IFERROR(__xludf.DUMMYFUNCTION("""COMPUTED_VALUE"""),"Plate Cleaner Normal")</f>
        <v>Plate Cleaner Normal</v>
      </c>
      <c r="G12" s="25" t="str">
        <f>IFERROR(__xludf.DUMMYFUNCTION("""COMPUTED_VALUE"""),"Chemical")</f>
        <v>Chemical</v>
      </c>
      <c r="H12" s="25" t="str">
        <f>IFERROR(__xludf.DUMMYFUNCTION("""COMPUTED_VALUE"""),"Solution")</f>
        <v>Solution</v>
      </c>
      <c r="I12" s="25" t="str">
        <f>IFERROR(__xludf.DUMMYFUNCTION("""COMPUTED_VALUE"""),"–")</f>
        <v>–</v>
      </c>
      <c r="J12" s="25" t="str">
        <f>IFERROR(__xludf.DUMMYFUNCTION("""COMPUTED_VALUE"""),"–")</f>
        <v>–</v>
      </c>
      <c r="K12" s="25" t="str">
        <f>IFERROR(__xludf.DUMMYFUNCTION("""COMPUTED_VALUE"""),"–")</f>
        <v>–</v>
      </c>
      <c r="L12" s="25" t="str">
        <f>IFERROR(__xludf.DUMMYFUNCTION("""COMPUTED_VALUE"""),"Normal Gp")</f>
        <v>Normal Gp</v>
      </c>
      <c r="M12" s="25" t="str">
        <f>IFERROR(__xludf.DUMMYFUNCTION("""COMPUTED_VALUE"""),"Ltr")</f>
        <v>Ltr</v>
      </c>
    </row>
    <row r="13">
      <c r="A13" s="25" t="str">
        <f>IFERROR(__xludf.DUMMYFUNCTION("""COMPUTED_VALUE"""),"CH-SOL-199")</f>
        <v>CH-SOL-199</v>
      </c>
      <c r="B13" s="25" t="str">
        <f>IFERROR(__xludf.DUMMYFUNCTION("""COMPUTED_VALUE"""),"Out")</f>
        <v>Out</v>
      </c>
      <c r="C13" s="257">
        <f>IFERROR(__xludf.DUMMYFUNCTION("""COMPUTED_VALUE"""),46069.0)</f>
        <v>46069</v>
      </c>
      <c r="D13" s="25">
        <f>IFERROR(__xludf.DUMMYFUNCTION("""COMPUTED_VALUE"""),20.0)</f>
        <v>20</v>
      </c>
      <c r="E13" s="25"/>
      <c r="F13" s="25" t="str">
        <f>IFERROR(__xludf.DUMMYFUNCTION("""COMPUTED_VALUE"""),"TK 3400 Wb Board Primer")</f>
        <v>TK 3400 Wb Board Primer</v>
      </c>
      <c r="G13" s="25" t="str">
        <f>IFERROR(__xludf.DUMMYFUNCTION("""COMPUTED_VALUE"""),"Chemical")</f>
        <v>Chemical</v>
      </c>
      <c r="H13" s="25" t="str">
        <f>IFERROR(__xludf.DUMMYFUNCTION("""COMPUTED_VALUE"""),"Solution")</f>
        <v>Solution</v>
      </c>
      <c r="I13" s="25" t="str">
        <f>IFERROR(__xludf.DUMMYFUNCTION("""COMPUTED_VALUE"""),"–")</f>
        <v>–</v>
      </c>
      <c r="J13" s="25" t="str">
        <f>IFERROR(__xludf.DUMMYFUNCTION("""COMPUTED_VALUE"""),"–")</f>
        <v>–</v>
      </c>
      <c r="K13" s="25" t="str">
        <f>IFERROR(__xludf.DUMMYFUNCTION("""COMPUTED_VALUE"""),"–")</f>
        <v>–</v>
      </c>
      <c r="L13" s="25" t="str">
        <f>IFERROR(__xludf.DUMMYFUNCTION("""COMPUTED_VALUE"""),"Primer")</f>
        <v>Primer</v>
      </c>
      <c r="M13" s="25" t="str">
        <f>IFERROR(__xludf.DUMMYFUNCTION("""COMPUTED_VALUE"""),"Kg")</f>
        <v>Kg</v>
      </c>
    </row>
    <row r="14">
      <c r="A14" s="25" t="str">
        <f>IFERROR(__xludf.DUMMYFUNCTION("""COMPUTED_VALUE"""),"CH-ADH-139")</f>
        <v>CH-ADH-139</v>
      </c>
      <c r="B14" s="25" t="str">
        <f>IFERROR(__xludf.DUMMYFUNCTION("""COMPUTED_VALUE"""),"Out")</f>
        <v>Out</v>
      </c>
      <c r="C14" s="257">
        <f>IFERROR(__xludf.DUMMYFUNCTION("""COMPUTED_VALUE"""),46069.0)</f>
        <v>46069</v>
      </c>
      <c r="D14" s="25">
        <f>IFERROR(__xludf.DUMMYFUNCTION("""COMPUTED_VALUE"""),1.0)</f>
        <v>1</v>
      </c>
      <c r="E14" s="25"/>
      <c r="F14" s="25" t="str">
        <f>IFERROR(__xludf.DUMMYFUNCTION("""COMPUTED_VALUE"""),"Roller Paste-Glazekeen Hydromac")</f>
        <v>Roller Paste-Glazekeen Hydromac</v>
      </c>
      <c r="G14" s="25" t="str">
        <f>IFERROR(__xludf.DUMMYFUNCTION("""COMPUTED_VALUE"""),"Chemical")</f>
        <v>Chemical</v>
      </c>
      <c r="H14" s="25" t="str">
        <f>IFERROR(__xludf.DUMMYFUNCTION("""COMPUTED_VALUE"""),"Adhesive")</f>
        <v>Adhesive</v>
      </c>
      <c r="I14" s="25" t="str">
        <f>IFERROR(__xludf.DUMMYFUNCTION("""COMPUTED_VALUE"""),"–")</f>
        <v>–</v>
      </c>
      <c r="J14" s="25" t="str">
        <f>IFERROR(__xludf.DUMMYFUNCTION("""COMPUTED_VALUE"""),"–")</f>
        <v>–</v>
      </c>
      <c r="K14" s="25" t="str">
        <f>IFERROR(__xludf.DUMMYFUNCTION("""COMPUTED_VALUE"""),"–")</f>
        <v>–</v>
      </c>
      <c r="L14" s="25" t="str">
        <f>IFERROR(__xludf.DUMMYFUNCTION("""COMPUTED_VALUE"""),"Deglazing and Maintenance paste")</f>
        <v>Deglazing and Maintenance paste</v>
      </c>
      <c r="M14" s="25" t="str">
        <f>IFERROR(__xludf.DUMMYFUNCTION("""COMPUTED_VALUE"""),"Pc")</f>
        <v>Pc</v>
      </c>
    </row>
    <row r="15">
      <c r="A15" s="25" t="str">
        <f>IFERROR(__xludf.DUMMYFUNCTION("""COMPUTED_VALUE"""),"CH-SOL-142")</f>
        <v>CH-SOL-142</v>
      </c>
      <c r="B15" s="25" t="str">
        <f>IFERROR(__xludf.DUMMYFUNCTION("""COMPUTED_VALUE"""),"Out")</f>
        <v>Out</v>
      </c>
      <c r="C15" s="257">
        <f>IFERROR(__xludf.DUMMYFUNCTION("""COMPUTED_VALUE"""),46070.0)</f>
        <v>46070</v>
      </c>
      <c r="D15" s="25">
        <f>IFERROR(__xludf.DUMMYFUNCTION("""COMPUTED_VALUE"""),5.0)</f>
        <v>5</v>
      </c>
      <c r="E15" s="25"/>
      <c r="F15" s="25" t="str">
        <f>IFERROR(__xludf.DUMMYFUNCTION("""COMPUTED_VALUE"""),"Plate Cleaner Normal")</f>
        <v>Plate Cleaner Normal</v>
      </c>
      <c r="G15" s="25" t="str">
        <f>IFERROR(__xludf.DUMMYFUNCTION("""COMPUTED_VALUE"""),"Chemical")</f>
        <v>Chemical</v>
      </c>
      <c r="H15" s="25" t="str">
        <f>IFERROR(__xludf.DUMMYFUNCTION("""COMPUTED_VALUE"""),"Solution")</f>
        <v>Solution</v>
      </c>
      <c r="I15" s="25" t="str">
        <f>IFERROR(__xludf.DUMMYFUNCTION("""COMPUTED_VALUE"""),"–")</f>
        <v>–</v>
      </c>
      <c r="J15" s="25" t="str">
        <f>IFERROR(__xludf.DUMMYFUNCTION("""COMPUTED_VALUE"""),"–")</f>
        <v>–</v>
      </c>
      <c r="K15" s="25" t="str">
        <f>IFERROR(__xludf.DUMMYFUNCTION("""COMPUTED_VALUE"""),"–")</f>
        <v>–</v>
      </c>
      <c r="L15" s="25" t="str">
        <f>IFERROR(__xludf.DUMMYFUNCTION("""COMPUTED_VALUE"""),"Normal Gp")</f>
        <v>Normal Gp</v>
      </c>
      <c r="M15" s="25" t="str">
        <f>IFERROR(__xludf.DUMMYFUNCTION("""COMPUTED_VALUE"""),"Ltr")</f>
        <v>Ltr</v>
      </c>
    </row>
    <row r="16">
      <c r="A16" s="25" t="str">
        <f>IFERROR(__xludf.DUMMYFUNCTION("""COMPUTED_VALUE"""),"CH-SOL-144")</f>
        <v>CH-SOL-144</v>
      </c>
      <c r="B16" s="25" t="str">
        <f>IFERROR(__xludf.DUMMYFUNCTION("""COMPUTED_VALUE"""),"Out")</f>
        <v>Out</v>
      </c>
      <c r="C16" s="257">
        <f>IFERROR(__xludf.DUMMYFUNCTION("""COMPUTED_VALUE"""),46070.0)</f>
        <v>46070</v>
      </c>
      <c r="D16" s="25">
        <f>IFERROR(__xludf.DUMMYFUNCTION("""COMPUTED_VALUE"""),5.0)</f>
        <v>5</v>
      </c>
      <c r="E16" s="25"/>
      <c r="F16" s="25" t="str">
        <f>IFERROR(__xludf.DUMMYFUNCTION("""COMPUTED_VALUE"""),"Benzene")</f>
        <v>Benzene</v>
      </c>
      <c r="G16" s="25" t="str">
        <f>IFERROR(__xludf.DUMMYFUNCTION("""COMPUTED_VALUE"""),"Chemical")</f>
        <v>Chemical</v>
      </c>
      <c r="H16" s="25" t="str">
        <f>IFERROR(__xludf.DUMMYFUNCTION("""COMPUTED_VALUE"""),"Solution")</f>
        <v>Solution</v>
      </c>
      <c r="I16" s="25" t="str">
        <f>IFERROR(__xludf.DUMMYFUNCTION("""COMPUTED_VALUE"""),"–")</f>
        <v>–</v>
      </c>
      <c r="J16" s="25" t="str">
        <f>IFERROR(__xludf.DUMMYFUNCTION("""COMPUTED_VALUE"""),"–")</f>
        <v>–</v>
      </c>
      <c r="K16" s="25" t="str">
        <f>IFERROR(__xludf.DUMMYFUNCTION("""COMPUTED_VALUE"""),"–")</f>
        <v>–</v>
      </c>
      <c r="L16" s="25" t="str">
        <f>IFERROR(__xludf.DUMMYFUNCTION("""COMPUTED_VALUE"""),"Chemical")</f>
        <v>Chemical</v>
      </c>
      <c r="M16" s="25" t="str">
        <f>IFERROR(__xludf.DUMMYFUNCTION("""COMPUTED_VALUE"""),"Ltr")</f>
        <v>Ltr</v>
      </c>
    </row>
    <row r="17">
      <c r="A17" s="25" t="str">
        <f>IFERROR(__xludf.DUMMYFUNCTION("""COMPUTED_VALUE"""),"CH-SOL-212")</f>
        <v>CH-SOL-212</v>
      </c>
      <c r="B17" s="25" t="str">
        <f>IFERROR(__xludf.DUMMYFUNCTION("""COMPUTED_VALUE"""),"Out")</f>
        <v>Out</v>
      </c>
      <c r="C17" s="257">
        <f>IFERROR(__xludf.DUMMYFUNCTION("""COMPUTED_VALUE"""),46071.0)</f>
        <v>46071</v>
      </c>
      <c r="D17" s="25">
        <f>IFERROR(__xludf.DUMMYFUNCTION("""COMPUTED_VALUE"""),5.0)</f>
        <v>5</v>
      </c>
      <c r="E17" s="25"/>
      <c r="F17" s="25" t="str">
        <f>IFERROR(__xludf.DUMMYFUNCTION("""COMPUTED_VALUE"""),"New V Screen Trans ink")</f>
        <v>New V Screen Trans ink</v>
      </c>
      <c r="G17" s="25" t="str">
        <f>IFERROR(__xludf.DUMMYFUNCTION("""COMPUTED_VALUE"""),"Chemical")</f>
        <v>Chemical</v>
      </c>
      <c r="H17" s="25" t="str">
        <f>IFERROR(__xludf.DUMMYFUNCTION("""COMPUTED_VALUE"""),"Solution")</f>
        <v>Solution</v>
      </c>
      <c r="I17" s="25" t="str">
        <f>IFERROR(__xludf.DUMMYFUNCTION("""COMPUTED_VALUE"""),"–")</f>
        <v>–</v>
      </c>
      <c r="J17" s="25" t="str">
        <f>IFERROR(__xludf.DUMMYFUNCTION("""COMPUTED_VALUE"""),"–")</f>
        <v>–</v>
      </c>
      <c r="K17" s="25" t="str">
        <f>IFERROR(__xludf.DUMMYFUNCTION("""COMPUTED_VALUE"""),"–")</f>
        <v>–</v>
      </c>
      <c r="L17" s="25" t="str">
        <f>IFERROR(__xludf.DUMMYFUNCTION("""COMPUTED_VALUE"""),"UV Screen Gloss-SPOT UV")</f>
        <v>UV Screen Gloss-SPOT UV</v>
      </c>
      <c r="M17" s="25" t="str">
        <f>IFERROR(__xludf.DUMMYFUNCTION("""COMPUTED_VALUE"""),"Ltr")</f>
        <v>Ltr</v>
      </c>
    </row>
    <row r="18">
      <c r="A18" s="25" t="str">
        <f>IFERROR(__xludf.DUMMYFUNCTION("""COMPUTED_VALUE"""),"CH-SOL-116")</f>
        <v>CH-SOL-116</v>
      </c>
      <c r="B18" s="25" t="str">
        <f>IFERROR(__xludf.DUMMYFUNCTION("""COMPUTED_VALUE"""),"Out")</f>
        <v>Out</v>
      </c>
      <c r="C18" s="257">
        <f>IFERROR(__xludf.DUMMYFUNCTION("""COMPUTED_VALUE"""),46073.0)</f>
        <v>46073</v>
      </c>
      <c r="D18" s="25">
        <f>IFERROR(__xludf.DUMMYFUNCTION("""COMPUTED_VALUE"""),20.0)</f>
        <v>20</v>
      </c>
      <c r="E18" s="25"/>
      <c r="F18" s="25" t="str">
        <f>IFERROR(__xludf.DUMMYFUNCTION("""COMPUTED_VALUE"""),"Nova Nol Xtra")</f>
        <v>Nova Nol Xtra</v>
      </c>
      <c r="G18" s="25" t="str">
        <f>IFERROR(__xludf.DUMMYFUNCTION("""COMPUTED_VALUE"""),"Chemical")</f>
        <v>Chemical</v>
      </c>
      <c r="H18" s="25" t="str">
        <f>IFERROR(__xludf.DUMMYFUNCTION("""COMPUTED_VALUE"""),"Solution")</f>
        <v>Solution</v>
      </c>
      <c r="I18" s="25" t="str">
        <f>IFERROR(__xludf.DUMMYFUNCTION("""COMPUTED_VALUE"""),"–")</f>
        <v>–</v>
      </c>
      <c r="J18" s="25" t="str">
        <f>IFERROR(__xludf.DUMMYFUNCTION("""COMPUTED_VALUE"""),"–")</f>
        <v>–</v>
      </c>
      <c r="K18" s="25" t="str">
        <f>IFERROR(__xludf.DUMMYFUNCTION("""COMPUTED_VALUE"""),"–")</f>
        <v>–</v>
      </c>
      <c r="L18" s="25" t="str">
        <f>IFERROR(__xludf.DUMMYFUNCTION("""COMPUTED_VALUE"""),"Alcohol")</f>
        <v>Alcohol</v>
      </c>
      <c r="M18" s="25" t="str">
        <f>IFERROR(__xludf.DUMMYFUNCTION("""COMPUTED_VALUE"""),"Ltr")</f>
        <v>Ltr</v>
      </c>
    </row>
    <row r="19">
      <c r="A19" s="25" t="str">
        <f>IFERROR(__xludf.DUMMYFUNCTION("""COMPUTED_VALUE"""),"CH-SOL-221")</f>
        <v>CH-SOL-221</v>
      </c>
      <c r="B19" s="25" t="str">
        <f>IFERROR(__xludf.DUMMYFUNCTION("""COMPUTED_VALUE"""),"Out")</f>
        <v>Out</v>
      </c>
      <c r="C19" s="257">
        <f>IFERROR(__xludf.DUMMYFUNCTION("""COMPUTED_VALUE"""),46074.0)</f>
        <v>46074</v>
      </c>
      <c r="D19" s="25">
        <f>IFERROR(__xludf.DUMMYFUNCTION("""COMPUTED_VALUE"""),5.0)</f>
        <v>5</v>
      </c>
      <c r="E19" s="25"/>
      <c r="F19" s="25" t="str">
        <f>IFERROR(__xludf.DUMMYFUNCTION("""COMPUTED_VALUE"""),"Standard Screen Cleaner ")</f>
        <v>Standard Screen Cleaner </v>
      </c>
      <c r="G19" s="25" t="str">
        <f>IFERROR(__xludf.DUMMYFUNCTION("""COMPUTED_VALUE"""),"Chemical")</f>
        <v>Chemical</v>
      </c>
      <c r="H19" s="25" t="str">
        <f>IFERROR(__xludf.DUMMYFUNCTION("""COMPUTED_VALUE"""),"Solution")</f>
        <v>Solution</v>
      </c>
      <c r="I19" s="25" t="str">
        <f>IFERROR(__xludf.DUMMYFUNCTION("""COMPUTED_VALUE"""),"–")</f>
        <v>–</v>
      </c>
      <c r="J19" s="25" t="str">
        <f>IFERROR(__xludf.DUMMYFUNCTION("""COMPUTED_VALUE"""),"–")</f>
        <v>–</v>
      </c>
      <c r="K19" s="25" t="str">
        <f>IFERROR(__xludf.DUMMYFUNCTION("""COMPUTED_VALUE"""),"–")</f>
        <v>–</v>
      </c>
      <c r="L19" s="25" t="str">
        <f>IFERROR(__xludf.DUMMYFUNCTION("""COMPUTED_VALUE"""),"Cleaner")</f>
        <v>Cleaner</v>
      </c>
      <c r="M19" s="25" t="str">
        <f>IFERROR(__xludf.DUMMYFUNCTION("""COMPUTED_VALUE"""),"Kg")</f>
        <v>Kg</v>
      </c>
    </row>
    <row r="20">
      <c r="A20" s="25" t="str">
        <f>IFERROR(__xludf.DUMMYFUNCTION("""COMPUTED_VALUE"""),"CH-SOL-223")</f>
        <v>CH-SOL-223</v>
      </c>
      <c r="B20" s="25" t="str">
        <f>IFERROR(__xludf.DUMMYFUNCTION("""COMPUTED_VALUE"""),"Out")</f>
        <v>Out</v>
      </c>
      <c r="C20" s="257">
        <f>IFERROR(__xludf.DUMMYFUNCTION("""COMPUTED_VALUE"""),46077.0)</f>
        <v>46077</v>
      </c>
      <c r="D20" s="25">
        <f>IFERROR(__xludf.DUMMYFUNCTION("""COMPUTED_VALUE"""),20.0)</f>
        <v>20</v>
      </c>
      <c r="E20" s="25"/>
      <c r="F20" s="25" t="str">
        <f>IFERROR(__xludf.DUMMYFUNCTION("""COMPUTED_VALUE"""),"Castrol Alpha SP 150")</f>
        <v>Castrol Alpha SP 150</v>
      </c>
      <c r="G20" s="25" t="str">
        <f>IFERROR(__xludf.DUMMYFUNCTION("""COMPUTED_VALUE"""),"Chemical")</f>
        <v>Chemical</v>
      </c>
      <c r="H20" s="25" t="str">
        <f>IFERROR(__xludf.DUMMYFUNCTION("""COMPUTED_VALUE"""),"Solution")</f>
        <v>Solution</v>
      </c>
      <c r="I20" s="25" t="str">
        <f>IFERROR(__xludf.DUMMYFUNCTION("""COMPUTED_VALUE"""),"–")</f>
        <v>–</v>
      </c>
      <c r="J20" s="25" t="str">
        <f>IFERROR(__xludf.DUMMYFUNCTION("""COMPUTED_VALUE"""),"–")</f>
        <v>–</v>
      </c>
      <c r="K20" s="25" t="str">
        <f>IFERROR(__xludf.DUMMYFUNCTION("""COMPUTED_VALUE"""),"–")</f>
        <v>–</v>
      </c>
      <c r="L20" s="25" t="str">
        <f>IFERROR(__xludf.DUMMYFUNCTION("""COMPUTED_VALUE"""),"Mobi oil")</f>
        <v>Mobi oil</v>
      </c>
      <c r="M20" s="25" t="str">
        <f>IFERROR(__xludf.DUMMYFUNCTION("""COMPUTED_VALUE"""),"Ltr")</f>
        <v>Ltr</v>
      </c>
    </row>
    <row r="21">
      <c r="A21" s="25" t="str">
        <f>IFERROR(__xludf.DUMMYFUNCTION("""COMPUTED_VALUE"""),"CH-SOL-190")</f>
        <v>CH-SOL-190</v>
      </c>
      <c r="B21" s="25" t="str">
        <f>IFERROR(__xludf.DUMMYFUNCTION("""COMPUTED_VALUE"""),"Out")</f>
        <v>Out</v>
      </c>
      <c r="C21" s="257">
        <f>IFERROR(__xludf.DUMMYFUNCTION("""COMPUTED_VALUE"""),46065.0)</f>
        <v>46065</v>
      </c>
      <c r="D21" s="25">
        <f>IFERROR(__xludf.DUMMYFUNCTION("""COMPUTED_VALUE"""),40.0)</f>
        <v>40</v>
      </c>
      <c r="E21" s="25"/>
      <c r="F21" s="25" t="str">
        <f>IFERROR(__xludf.DUMMYFUNCTION("""COMPUTED_VALUE"""),"UV Hybrid Gloss Duct")</f>
        <v>UV Hybrid Gloss Duct</v>
      </c>
      <c r="G21" s="25" t="str">
        <f>IFERROR(__xludf.DUMMYFUNCTION("""COMPUTED_VALUE"""),"Chemical")</f>
        <v>Chemical</v>
      </c>
      <c r="H21" s="25" t="str">
        <f>IFERROR(__xludf.DUMMYFUNCTION("""COMPUTED_VALUE"""),"Solution")</f>
        <v>Solution</v>
      </c>
      <c r="I21" s="25" t="str">
        <f>IFERROR(__xludf.DUMMYFUNCTION("""COMPUTED_VALUE"""),"–")</f>
        <v>–</v>
      </c>
      <c r="J21" s="25" t="str">
        <f>IFERROR(__xludf.DUMMYFUNCTION("""COMPUTED_VALUE"""),"–")</f>
        <v>–</v>
      </c>
      <c r="K21" s="25" t="str">
        <f>IFERROR(__xludf.DUMMYFUNCTION("""COMPUTED_VALUE"""),"–")</f>
        <v>–</v>
      </c>
      <c r="L21" s="25" t="str">
        <f>IFERROR(__xludf.DUMMYFUNCTION("""COMPUTED_VALUE"""),"Hybrid Gloss")</f>
        <v>Hybrid Gloss</v>
      </c>
      <c r="M21" s="25" t="str">
        <f>IFERROR(__xludf.DUMMYFUNCTION("""COMPUTED_VALUE"""),"Ltr")</f>
        <v>Ltr</v>
      </c>
    </row>
    <row r="22">
      <c r="A22" s="25" t="str">
        <f>IFERROR(__xludf.DUMMYFUNCTION("""COMPUTED_VALUE"""),"CH-SOL-150")</f>
        <v>CH-SOL-150</v>
      </c>
      <c r="B22" s="25" t="str">
        <f>IFERROR(__xludf.DUMMYFUNCTION("""COMPUTED_VALUE"""),"Out")</f>
        <v>Out</v>
      </c>
      <c r="C22" s="257">
        <f>IFERROR(__xludf.DUMMYFUNCTION("""COMPUTED_VALUE"""),46065.0)</f>
        <v>46065</v>
      </c>
      <c r="D22" s="25">
        <f>IFERROR(__xludf.DUMMYFUNCTION("""COMPUTED_VALUE"""),25.0)</f>
        <v>25</v>
      </c>
      <c r="E22" s="25"/>
      <c r="F22" s="25" t="str">
        <f>IFERROR(__xludf.DUMMYFUNCTION("""COMPUTED_VALUE"""),"Uv Fd ink wash")</f>
        <v>Uv Fd ink wash</v>
      </c>
      <c r="G22" s="25" t="str">
        <f>IFERROR(__xludf.DUMMYFUNCTION("""COMPUTED_VALUE"""),"Chemical")</f>
        <v>Chemical</v>
      </c>
      <c r="H22" s="25" t="str">
        <f>IFERROR(__xludf.DUMMYFUNCTION("""COMPUTED_VALUE"""),"Solution")</f>
        <v>Solution</v>
      </c>
      <c r="I22" s="25" t="str">
        <f>IFERROR(__xludf.DUMMYFUNCTION("""COMPUTED_VALUE"""),"–")</f>
        <v>–</v>
      </c>
      <c r="J22" s="25" t="str">
        <f>IFERROR(__xludf.DUMMYFUNCTION("""COMPUTED_VALUE"""),"–")</f>
        <v>–</v>
      </c>
      <c r="K22" s="25" t="str">
        <f>IFERROR(__xludf.DUMMYFUNCTION("""COMPUTED_VALUE"""),"–")</f>
        <v>–</v>
      </c>
      <c r="L22" s="25" t="str">
        <f>IFERROR(__xludf.DUMMYFUNCTION("""COMPUTED_VALUE"""),"Wash")</f>
        <v>Wash</v>
      </c>
      <c r="M22" s="25" t="str">
        <f>IFERROR(__xludf.DUMMYFUNCTION("""COMPUTED_VALUE"""),"Ltr")</f>
        <v>Ltr</v>
      </c>
    </row>
    <row r="23">
      <c r="A23" s="25" t="str">
        <f>IFERROR(__xludf.DUMMYFUNCTION("""COMPUTED_VALUE"""),"CH-SOL-179")</f>
        <v>CH-SOL-179</v>
      </c>
      <c r="B23" s="25" t="str">
        <f>IFERROR(__xludf.DUMMYFUNCTION("""COMPUTED_VALUE"""),"Out")</f>
        <v>Out</v>
      </c>
      <c r="C23" s="257">
        <f>IFERROR(__xludf.DUMMYFUNCTION("""COMPUTED_VALUE"""),46065.0)</f>
        <v>46065</v>
      </c>
      <c r="D23" s="25">
        <f>IFERROR(__xludf.DUMMYFUNCTION("""COMPUTED_VALUE"""),25.0)</f>
        <v>25</v>
      </c>
      <c r="E23" s="25"/>
      <c r="F23" s="25" t="str">
        <f>IFERROR(__xludf.DUMMYFUNCTION("""COMPUTED_VALUE"""),"New V FD Wash(Hard Wash)-HPC-0237/25D21")</f>
        <v>New V FD Wash(Hard Wash)-HPC-0237/25D21</v>
      </c>
      <c r="G23" s="25" t="str">
        <f>IFERROR(__xludf.DUMMYFUNCTION("""COMPUTED_VALUE"""),"Chemical")</f>
        <v>Chemical</v>
      </c>
      <c r="H23" s="25" t="str">
        <f>IFERROR(__xludf.DUMMYFUNCTION("""COMPUTED_VALUE"""),"Solution")</f>
        <v>Solution</v>
      </c>
      <c r="I23" s="25" t="str">
        <f>IFERROR(__xludf.DUMMYFUNCTION("""COMPUTED_VALUE"""),"–")</f>
        <v>–</v>
      </c>
      <c r="J23" s="25" t="str">
        <f>IFERROR(__xludf.DUMMYFUNCTION("""COMPUTED_VALUE"""),"–")</f>
        <v>–</v>
      </c>
      <c r="K23" s="25" t="str">
        <f>IFERROR(__xludf.DUMMYFUNCTION("""COMPUTED_VALUE"""),"–")</f>
        <v>–</v>
      </c>
      <c r="L23" s="25" t="str">
        <f>IFERROR(__xludf.DUMMYFUNCTION("""COMPUTED_VALUE"""),"Hard Wash")</f>
        <v>Hard Wash</v>
      </c>
      <c r="M23" s="25" t="str">
        <f>IFERROR(__xludf.DUMMYFUNCTION("""COMPUTED_VALUE"""),"Ltr")</f>
        <v>Ltr</v>
      </c>
    </row>
    <row r="24">
      <c r="A24" s="25" t="str">
        <f>IFERROR(__xludf.DUMMYFUNCTION("""COMPUTED_VALUE"""),"CH-SOL-118")</f>
        <v>CH-SOL-118</v>
      </c>
      <c r="B24" s="25" t="str">
        <f>IFERROR(__xludf.DUMMYFUNCTION("""COMPUTED_VALUE"""),"Out")</f>
        <v>Out</v>
      </c>
      <c r="C24" s="257">
        <f>IFERROR(__xludf.DUMMYFUNCTION("""COMPUTED_VALUE"""),46078.0)</f>
        <v>46078</v>
      </c>
      <c r="D24" s="25">
        <f>IFERROR(__xludf.DUMMYFUNCTION("""COMPUTED_VALUE"""),1.0)</f>
        <v>1</v>
      </c>
      <c r="E24" s="25"/>
      <c r="F24" s="25" t="str">
        <f>IFERROR(__xludf.DUMMYFUNCTION("""COMPUTED_VALUE"""),"Anti Set off spray")</f>
        <v>Anti Set off spray</v>
      </c>
      <c r="G24" s="25" t="str">
        <f>IFERROR(__xludf.DUMMYFUNCTION("""COMPUTED_VALUE"""),"Chemical")</f>
        <v>Chemical</v>
      </c>
      <c r="H24" s="25" t="str">
        <f>IFERROR(__xludf.DUMMYFUNCTION("""COMPUTED_VALUE"""),"Solution")</f>
        <v>Solution</v>
      </c>
      <c r="I24" s="25" t="str">
        <f>IFERROR(__xludf.DUMMYFUNCTION("""COMPUTED_VALUE"""),"–")</f>
        <v>–</v>
      </c>
      <c r="J24" s="25" t="str">
        <f>IFERROR(__xludf.DUMMYFUNCTION("""COMPUTED_VALUE"""),"–")</f>
        <v>–</v>
      </c>
      <c r="K24" s="25" t="str">
        <f>IFERROR(__xludf.DUMMYFUNCTION("""COMPUTED_VALUE"""),"–")</f>
        <v>–</v>
      </c>
      <c r="L24" s="25" t="str">
        <f>IFERROR(__xludf.DUMMYFUNCTION("""COMPUTED_VALUE"""),"–")</f>
        <v>–</v>
      </c>
      <c r="M24" s="25" t="str">
        <f>IFERROR(__xludf.DUMMYFUNCTION("""COMPUTED_VALUE"""),"Pkt")</f>
        <v>Pkt</v>
      </c>
    </row>
    <row r="25">
      <c r="A25" s="25" t="str">
        <f>IFERROR(__xludf.DUMMYFUNCTION("""COMPUTED_VALUE"""),"CH-SOL-116")</f>
        <v>CH-SOL-116</v>
      </c>
      <c r="B25" s="25" t="str">
        <f>IFERROR(__xludf.DUMMYFUNCTION("""COMPUTED_VALUE"""),"Out")</f>
        <v>Out</v>
      </c>
      <c r="C25" s="257">
        <f>IFERROR(__xludf.DUMMYFUNCTION("""COMPUTED_VALUE"""),46080.0)</f>
        <v>46080</v>
      </c>
      <c r="D25" s="25">
        <f>IFERROR(__xludf.DUMMYFUNCTION("""COMPUTED_VALUE"""),20.0)</f>
        <v>20</v>
      </c>
      <c r="E25" s="25"/>
      <c r="F25" s="25" t="str">
        <f>IFERROR(__xludf.DUMMYFUNCTION("""COMPUTED_VALUE"""),"Nova Nol Xtra")</f>
        <v>Nova Nol Xtra</v>
      </c>
      <c r="G25" s="25" t="str">
        <f>IFERROR(__xludf.DUMMYFUNCTION("""COMPUTED_VALUE"""),"Chemical")</f>
        <v>Chemical</v>
      </c>
      <c r="H25" s="25" t="str">
        <f>IFERROR(__xludf.DUMMYFUNCTION("""COMPUTED_VALUE"""),"Solution")</f>
        <v>Solution</v>
      </c>
      <c r="I25" s="25" t="str">
        <f>IFERROR(__xludf.DUMMYFUNCTION("""COMPUTED_VALUE"""),"–")</f>
        <v>–</v>
      </c>
      <c r="J25" s="25" t="str">
        <f>IFERROR(__xludf.DUMMYFUNCTION("""COMPUTED_VALUE"""),"–")</f>
        <v>–</v>
      </c>
      <c r="K25" s="25" t="str">
        <f>IFERROR(__xludf.DUMMYFUNCTION("""COMPUTED_VALUE"""),"–")</f>
        <v>–</v>
      </c>
      <c r="L25" s="25" t="str">
        <f>IFERROR(__xludf.DUMMYFUNCTION("""COMPUTED_VALUE"""),"Alcohol")</f>
        <v>Alcohol</v>
      </c>
      <c r="M25" s="25" t="str">
        <f>IFERROR(__xludf.DUMMYFUNCTION("""COMPUTED_VALUE"""),"Ltr")</f>
        <v>Ltr</v>
      </c>
    </row>
    <row r="26">
      <c r="A26" s="25" t="str">
        <f>IFERROR(__xludf.DUMMYFUNCTION("""COMPUTED_VALUE"""),"CH-SOL-143")</f>
        <v>CH-SOL-143</v>
      </c>
      <c r="B26" s="25" t="str">
        <f>IFERROR(__xludf.DUMMYFUNCTION("""COMPUTED_VALUE"""),"Out")</f>
        <v>Out</v>
      </c>
      <c r="C26" s="257">
        <f>IFERROR(__xludf.DUMMYFUNCTION("""COMPUTED_VALUE"""),46078.0)</f>
        <v>46078</v>
      </c>
      <c r="D26" s="25">
        <f>IFERROR(__xludf.DUMMYFUNCTION("""COMPUTED_VALUE"""),1.0)</f>
        <v>1</v>
      </c>
      <c r="E26" s="25"/>
      <c r="F26" s="25" t="str">
        <f>IFERROR(__xludf.DUMMYFUNCTION("""COMPUTED_VALUE"""),"Plate Cleaner UV")</f>
        <v>Plate Cleaner UV</v>
      </c>
      <c r="G26" s="25" t="str">
        <f>IFERROR(__xludf.DUMMYFUNCTION("""COMPUTED_VALUE"""),"Chemical")</f>
        <v>Chemical</v>
      </c>
      <c r="H26" s="25" t="str">
        <f>IFERROR(__xludf.DUMMYFUNCTION("""COMPUTED_VALUE"""),"Solution")</f>
        <v>Solution</v>
      </c>
      <c r="I26" s="25" t="str">
        <f>IFERROR(__xludf.DUMMYFUNCTION("""COMPUTED_VALUE"""),"–")</f>
        <v>–</v>
      </c>
      <c r="J26" s="25" t="str">
        <f>IFERROR(__xludf.DUMMYFUNCTION("""COMPUTED_VALUE"""),"–")</f>
        <v>–</v>
      </c>
      <c r="K26" s="25" t="str">
        <f>IFERROR(__xludf.DUMMYFUNCTION("""COMPUTED_VALUE"""),"–")</f>
        <v>–</v>
      </c>
      <c r="L26" s="25" t="str">
        <f>IFERROR(__xludf.DUMMYFUNCTION("""COMPUTED_VALUE"""),"Hard Gp")</f>
        <v>Hard Gp</v>
      </c>
      <c r="M26" s="25" t="str">
        <f>IFERROR(__xludf.DUMMYFUNCTION("""COMPUTED_VALUE"""),"Ltr")</f>
        <v>Ltr</v>
      </c>
    </row>
    <row r="27">
      <c r="A27" s="25" t="str">
        <f>IFERROR(__xludf.DUMMYFUNCTION("""COMPUTED_VALUE"""),"CH-SOL-117")</f>
        <v>CH-SOL-117</v>
      </c>
      <c r="B27" s="25" t="str">
        <f>IFERROR(__xludf.DUMMYFUNCTION("""COMPUTED_VALUE"""),"Out")</f>
        <v>Out</v>
      </c>
      <c r="C27" s="257">
        <f>IFERROR(__xludf.DUMMYFUNCTION("""COMPUTED_VALUE"""),46073.0)</f>
        <v>46073</v>
      </c>
      <c r="D27" s="25">
        <f>IFERROR(__xludf.DUMMYFUNCTION("""COMPUTED_VALUE"""),1.0)</f>
        <v>1</v>
      </c>
      <c r="E27" s="25"/>
      <c r="F27" s="25" t="str">
        <f>IFERROR(__xludf.DUMMYFUNCTION("""COMPUTED_VALUE"""),"Inc Reducer (B)")</f>
        <v>Inc Reducer (B)</v>
      </c>
      <c r="G27" s="25" t="str">
        <f>IFERROR(__xludf.DUMMYFUNCTION("""COMPUTED_VALUE"""),"Chemical")</f>
        <v>Chemical</v>
      </c>
      <c r="H27" s="25" t="str">
        <f>IFERROR(__xludf.DUMMYFUNCTION("""COMPUTED_VALUE"""),"Solution")</f>
        <v>Solution</v>
      </c>
      <c r="I27" s="25" t="str">
        <f>IFERROR(__xludf.DUMMYFUNCTION("""COMPUTED_VALUE"""),"–")</f>
        <v>–</v>
      </c>
      <c r="J27" s="25" t="str">
        <f>IFERROR(__xludf.DUMMYFUNCTION("""COMPUTED_VALUE"""),"–")</f>
        <v>–</v>
      </c>
      <c r="K27" s="25" t="str">
        <f>IFERROR(__xludf.DUMMYFUNCTION("""COMPUTED_VALUE"""),"–")</f>
        <v>–</v>
      </c>
      <c r="L27" s="25" t="str">
        <f>IFERROR(__xludf.DUMMYFUNCTION("""COMPUTED_VALUE"""),"–")</f>
        <v>–</v>
      </c>
      <c r="M27" s="25" t="str">
        <f>IFERROR(__xludf.DUMMYFUNCTION("""COMPUTED_VALUE"""),"Kg")</f>
        <v>Kg</v>
      </c>
    </row>
    <row r="28">
      <c r="A28" s="25" t="str">
        <f>IFERROR(__xludf.DUMMYFUNCTION("""COMPUTED_VALUE"""),"CH-SOL-114")</f>
        <v>CH-SOL-114</v>
      </c>
      <c r="B28" s="25" t="str">
        <f>IFERROR(__xludf.DUMMYFUNCTION("""COMPUTED_VALUE"""),"Out")</f>
        <v>Out</v>
      </c>
      <c r="C28" s="257">
        <f>IFERROR(__xludf.DUMMYFUNCTION("""COMPUTED_VALUE"""),46079.0)</f>
        <v>46079</v>
      </c>
      <c r="D28" s="25">
        <f>IFERROR(__xludf.DUMMYFUNCTION("""COMPUTED_VALUE"""),25.0)</f>
        <v>25</v>
      </c>
      <c r="E28" s="25"/>
      <c r="F28" s="25" t="str">
        <f>IFERROR(__xludf.DUMMYFUNCTION("""COMPUTED_VALUE"""),"Classic Multi Wash-HPC 0214/25D21")</f>
        <v>Classic Multi Wash-HPC 0214/25D21</v>
      </c>
      <c r="G28" s="25" t="str">
        <f>IFERROR(__xludf.DUMMYFUNCTION("""COMPUTED_VALUE"""),"Chemical")</f>
        <v>Chemical</v>
      </c>
      <c r="H28" s="25" t="str">
        <f>IFERROR(__xludf.DUMMYFUNCTION("""COMPUTED_VALUE"""),"Solution")</f>
        <v>Solution</v>
      </c>
      <c r="I28" s="25" t="str">
        <f>IFERROR(__xludf.DUMMYFUNCTION("""COMPUTED_VALUE"""),"–")</f>
        <v>–</v>
      </c>
      <c r="J28" s="25" t="str">
        <f>IFERROR(__xludf.DUMMYFUNCTION("""COMPUTED_VALUE"""),"–")</f>
        <v>–</v>
      </c>
      <c r="K28" s="25" t="str">
        <f>IFERROR(__xludf.DUMMYFUNCTION("""COMPUTED_VALUE"""),"–")</f>
        <v>–</v>
      </c>
      <c r="L28" s="25" t="str">
        <f>IFERROR(__xludf.DUMMYFUNCTION("""COMPUTED_VALUE"""),"Normal Wash")</f>
        <v>Normal Wash</v>
      </c>
      <c r="M28" s="25" t="str">
        <f>IFERROR(__xludf.DUMMYFUNCTION("""COMPUTED_VALUE"""),"Ltr")</f>
        <v>Ltr</v>
      </c>
    </row>
    <row r="29">
      <c r="A29" s="25" t="str">
        <f>IFERROR(__xludf.DUMMYFUNCTION("""COMPUTED_VALUE"""),"CH-SOL-142")</f>
        <v>CH-SOL-142</v>
      </c>
      <c r="B29" s="25" t="str">
        <f>IFERROR(__xludf.DUMMYFUNCTION("""COMPUTED_VALUE"""),"Out")</f>
        <v>Out</v>
      </c>
      <c r="C29" s="257">
        <f>IFERROR(__xludf.DUMMYFUNCTION("""COMPUTED_VALUE"""),46079.0)</f>
        <v>46079</v>
      </c>
      <c r="D29" s="25">
        <f>IFERROR(__xludf.DUMMYFUNCTION("""COMPUTED_VALUE"""),10.0)</f>
        <v>10</v>
      </c>
      <c r="E29" s="25"/>
      <c r="F29" s="25" t="str">
        <f>IFERROR(__xludf.DUMMYFUNCTION("""COMPUTED_VALUE"""),"Plate Cleaner Normal")</f>
        <v>Plate Cleaner Normal</v>
      </c>
      <c r="G29" s="25" t="str">
        <f>IFERROR(__xludf.DUMMYFUNCTION("""COMPUTED_VALUE"""),"Chemical")</f>
        <v>Chemical</v>
      </c>
      <c r="H29" s="25" t="str">
        <f>IFERROR(__xludf.DUMMYFUNCTION("""COMPUTED_VALUE"""),"Solution")</f>
        <v>Solution</v>
      </c>
      <c r="I29" s="25" t="str">
        <f>IFERROR(__xludf.DUMMYFUNCTION("""COMPUTED_VALUE"""),"–")</f>
        <v>–</v>
      </c>
      <c r="J29" s="25" t="str">
        <f>IFERROR(__xludf.DUMMYFUNCTION("""COMPUTED_VALUE"""),"–")</f>
        <v>–</v>
      </c>
      <c r="K29" s="25" t="str">
        <f>IFERROR(__xludf.DUMMYFUNCTION("""COMPUTED_VALUE"""),"–")</f>
        <v>–</v>
      </c>
      <c r="L29" s="25" t="str">
        <f>IFERROR(__xludf.DUMMYFUNCTION("""COMPUTED_VALUE"""),"Normal Gp")</f>
        <v>Normal Gp</v>
      </c>
      <c r="M29" s="25" t="str">
        <f>IFERROR(__xludf.DUMMYFUNCTION("""COMPUTED_VALUE"""),"Ltr")</f>
        <v>Ltr</v>
      </c>
    </row>
    <row r="30">
      <c r="A30" s="25" t="str">
        <f>IFERROR(__xludf.DUMMYFUNCTION("""COMPUTED_VALUE"""),"CH-SOL-144")</f>
        <v>CH-SOL-144</v>
      </c>
      <c r="B30" s="25" t="str">
        <f>IFERROR(__xludf.DUMMYFUNCTION("""COMPUTED_VALUE"""),"Out")</f>
        <v>Out</v>
      </c>
      <c r="C30" s="257">
        <f>IFERROR(__xludf.DUMMYFUNCTION("""COMPUTED_VALUE"""),46080.0)</f>
        <v>46080</v>
      </c>
      <c r="D30" s="25">
        <f>IFERROR(__xludf.DUMMYFUNCTION("""COMPUTED_VALUE"""),5.0)</f>
        <v>5</v>
      </c>
      <c r="E30" s="25"/>
      <c r="F30" s="25" t="str">
        <f>IFERROR(__xludf.DUMMYFUNCTION("""COMPUTED_VALUE"""),"Benzene")</f>
        <v>Benzene</v>
      </c>
      <c r="G30" s="25" t="str">
        <f>IFERROR(__xludf.DUMMYFUNCTION("""COMPUTED_VALUE"""),"Chemical")</f>
        <v>Chemical</v>
      </c>
      <c r="H30" s="25" t="str">
        <f>IFERROR(__xludf.DUMMYFUNCTION("""COMPUTED_VALUE"""),"Solution")</f>
        <v>Solution</v>
      </c>
      <c r="I30" s="25" t="str">
        <f>IFERROR(__xludf.DUMMYFUNCTION("""COMPUTED_VALUE"""),"–")</f>
        <v>–</v>
      </c>
      <c r="J30" s="25" t="str">
        <f>IFERROR(__xludf.DUMMYFUNCTION("""COMPUTED_VALUE"""),"–")</f>
        <v>–</v>
      </c>
      <c r="K30" s="25" t="str">
        <f>IFERROR(__xludf.DUMMYFUNCTION("""COMPUTED_VALUE"""),"–")</f>
        <v>–</v>
      </c>
      <c r="L30" s="25" t="str">
        <f>IFERROR(__xludf.DUMMYFUNCTION("""COMPUTED_VALUE"""),"Chemical")</f>
        <v>Chemical</v>
      </c>
      <c r="M30" s="25" t="str">
        <f>IFERROR(__xludf.DUMMYFUNCTION("""COMPUTED_VALUE"""),"Ltr")</f>
        <v>Ltr</v>
      </c>
    </row>
    <row r="31">
      <c r="A31" s="25" t="str">
        <f>IFERROR(__xludf.DUMMYFUNCTION("""COMPUTED_VALUE"""),"CH-VAR-134")</f>
        <v>CH-VAR-134</v>
      </c>
      <c r="B31" s="25" t="str">
        <f>IFERROR(__xludf.DUMMYFUNCTION("""COMPUTED_VALUE"""),"Out")</f>
        <v>Out</v>
      </c>
      <c r="C31" s="257">
        <f>IFERROR(__xludf.DUMMYFUNCTION("""COMPUTED_VALUE"""),46075.0)</f>
        <v>46075</v>
      </c>
      <c r="D31" s="25">
        <f>IFERROR(__xludf.DUMMYFUNCTION("""COMPUTED_VALUE"""),20.0)</f>
        <v>20</v>
      </c>
      <c r="E31" s="25"/>
      <c r="F31" s="25" t="str">
        <f>IFERROR(__xludf.DUMMYFUNCTION("""COMPUTED_VALUE"""),"TK/7000 AQUA High Gloss Varnish")</f>
        <v>TK/7000 AQUA High Gloss Varnish</v>
      </c>
      <c r="G31" s="25" t="str">
        <f>IFERROR(__xludf.DUMMYFUNCTION("""COMPUTED_VALUE"""),"Chemical")</f>
        <v>Chemical</v>
      </c>
      <c r="H31" s="25" t="str">
        <f>IFERROR(__xludf.DUMMYFUNCTION("""COMPUTED_VALUE"""),"Varnish")</f>
        <v>Varnish</v>
      </c>
      <c r="I31" s="25" t="str">
        <f>IFERROR(__xludf.DUMMYFUNCTION("""COMPUTED_VALUE"""),"–")</f>
        <v>–</v>
      </c>
      <c r="J31" s="25" t="str">
        <f>IFERROR(__xludf.DUMMYFUNCTION("""COMPUTED_VALUE"""),"–")</f>
        <v>–</v>
      </c>
      <c r="K31" s="25" t="str">
        <f>IFERROR(__xludf.DUMMYFUNCTION("""COMPUTED_VALUE"""),"–")</f>
        <v>–</v>
      </c>
      <c r="L31" s="25" t="str">
        <f>IFERROR(__xludf.DUMMYFUNCTION("""COMPUTED_VALUE"""),"High Gloss")</f>
        <v>High Gloss</v>
      </c>
      <c r="M31" s="25" t="str">
        <f>IFERROR(__xludf.DUMMYFUNCTION("""COMPUTED_VALUE"""),"Kg")</f>
        <v>Kg</v>
      </c>
    </row>
    <row r="32">
      <c r="A32" s="25" t="str">
        <f>IFERROR(__xludf.DUMMYFUNCTION("""COMPUTED_VALUE"""),"CH-SOL-240")</f>
        <v>CH-SOL-240</v>
      </c>
      <c r="B32" s="25" t="str">
        <f>IFERROR(__xludf.DUMMYFUNCTION("""COMPUTED_VALUE"""),"Out")</f>
        <v>Out</v>
      </c>
      <c r="C32" s="257">
        <f>IFERROR(__xludf.DUMMYFUNCTION("""COMPUTED_VALUE"""),46088.0)</f>
        <v>46088</v>
      </c>
      <c r="D32" s="25">
        <f>IFERROR(__xludf.DUMMYFUNCTION("""COMPUTED_VALUE"""),20.0)</f>
        <v>20</v>
      </c>
      <c r="E32" s="25"/>
      <c r="F32" s="25" t="str">
        <f>IFERROR(__xludf.DUMMYFUNCTION("""COMPUTED_VALUE"""),"NOVA Fount Nectar")</f>
        <v>NOVA Fount Nectar</v>
      </c>
      <c r="G32" s="25" t="str">
        <f>IFERROR(__xludf.DUMMYFUNCTION("""COMPUTED_VALUE"""),"Chemical")</f>
        <v>Chemical</v>
      </c>
      <c r="H32" s="25" t="str">
        <f>IFERROR(__xludf.DUMMYFUNCTION("""COMPUTED_VALUE"""),"Solution")</f>
        <v>Solution</v>
      </c>
      <c r="I32" s="25" t="str">
        <f>IFERROR(__xludf.DUMMYFUNCTION("""COMPUTED_VALUE"""),"–")</f>
        <v>–</v>
      </c>
      <c r="J32" s="25" t="str">
        <f>IFERROR(__xludf.DUMMYFUNCTION("""COMPUTED_VALUE"""),"–")</f>
        <v>–</v>
      </c>
      <c r="K32" s="25" t="str">
        <f>IFERROR(__xludf.DUMMYFUNCTION("""COMPUTED_VALUE"""),"–")</f>
        <v>–</v>
      </c>
      <c r="L32" s="25" t="str">
        <f>IFERROR(__xludf.DUMMYFUNCTION("""COMPUTED_VALUE"""),"Fount")</f>
        <v>Fount</v>
      </c>
      <c r="M32" s="25" t="str">
        <f>IFERROR(__xludf.DUMMYFUNCTION("""COMPUTED_VALUE"""),"Kg")</f>
        <v>Kg</v>
      </c>
    </row>
    <row r="33">
      <c r="A33" s="25" t="str">
        <f>IFERROR(__xludf.DUMMYFUNCTION("""COMPUTED_VALUE"""),"CH-SOL-116")</f>
        <v>CH-SOL-116</v>
      </c>
      <c r="B33" s="25" t="str">
        <f>IFERROR(__xludf.DUMMYFUNCTION("""COMPUTED_VALUE"""),"Out")</f>
        <v>Out</v>
      </c>
      <c r="C33" s="257">
        <f>IFERROR(__xludf.DUMMYFUNCTION("""COMPUTED_VALUE"""),46088.0)</f>
        <v>46088</v>
      </c>
      <c r="D33" s="25">
        <f>IFERROR(__xludf.DUMMYFUNCTION("""COMPUTED_VALUE"""),20.0)</f>
        <v>20</v>
      </c>
      <c r="E33" s="25"/>
      <c r="F33" s="25" t="str">
        <f>IFERROR(__xludf.DUMMYFUNCTION("""COMPUTED_VALUE"""),"Nova Nol Xtra")</f>
        <v>Nova Nol Xtra</v>
      </c>
      <c r="G33" s="25" t="str">
        <f>IFERROR(__xludf.DUMMYFUNCTION("""COMPUTED_VALUE"""),"Chemical")</f>
        <v>Chemical</v>
      </c>
      <c r="H33" s="25" t="str">
        <f>IFERROR(__xludf.DUMMYFUNCTION("""COMPUTED_VALUE"""),"Solution")</f>
        <v>Solution</v>
      </c>
      <c r="I33" s="25" t="str">
        <f>IFERROR(__xludf.DUMMYFUNCTION("""COMPUTED_VALUE"""),"–")</f>
        <v>–</v>
      </c>
      <c r="J33" s="25" t="str">
        <f>IFERROR(__xludf.DUMMYFUNCTION("""COMPUTED_VALUE"""),"–")</f>
        <v>–</v>
      </c>
      <c r="K33" s="25" t="str">
        <f>IFERROR(__xludf.DUMMYFUNCTION("""COMPUTED_VALUE"""),"–")</f>
        <v>–</v>
      </c>
      <c r="L33" s="25" t="str">
        <f>IFERROR(__xludf.DUMMYFUNCTION("""COMPUTED_VALUE"""),"Alcohol")</f>
        <v>Alcohol</v>
      </c>
      <c r="M33" s="25" t="str">
        <f>IFERROR(__xludf.DUMMYFUNCTION("""COMPUTED_VALUE"""),"Ltr")</f>
        <v>Ltr</v>
      </c>
    </row>
    <row r="34">
      <c r="A34" s="25" t="str">
        <f>IFERROR(__xludf.DUMMYFUNCTION("""COMPUTED_VALUE"""),"CH-SOL-144")</f>
        <v>CH-SOL-144</v>
      </c>
      <c r="B34" s="25" t="str">
        <f>IFERROR(__xludf.DUMMYFUNCTION("""COMPUTED_VALUE"""),"Out")</f>
        <v>Out</v>
      </c>
      <c r="C34" s="257">
        <f>IFERROR(__xludf.DUMMYFUNCTION("""COMPUTED_VALUE"""),46091.0)</f>
        <v>46091</v>
      </c>
      <c r="D34" s="25">
        <f>IFERROR(__xludf.DUMMYFUNCTION("""COMPUTED_VALUE"""),5.0)</f>
        <v>5</v>
      </c>
      <c r="E34" s="25"/>
      <c r="F34" s="25" t="str">
        <f>IFERROR(__xludf.DUMMYFUNCTION("""COMPUTED_VALUE"""),"Benzene")</f>
        <v>Benzene</v>
      </c>
      <c r="G34" s="25" t="str">
        <f>IFERROR(__xludf.DUMMYFUNCTION("""COMPUTED_VALUE"""),"Chemical")</f>
        <v>Chemical</v>
      </c>
      <c r="H34" s="25" t="str">
        <f>IFERROR(__xludf.DUMMYFUNCTION("""COMPUTED_VALUE"""),"Solution")</f>
        <v>Solution</v>
      </c>
      <c r="I34" s="25" t="str">
        <f>IFERROR(__xludf.DUMMYFUNCTION("""COMPUTED_VALUE"""),"–")</f>
        <v>–</v>
      </c>
      <c r="J34" s="25" t="str">
        <f>IFERROR(__xludf.DUMMYFUNCTION("""COMPUTED_VALUE"""),"–")</f>
        <v>–</v>
      </c>
      <c r="K34" s="25" t="str">
        <f>IFERROR(__xludf.DUMMYFUNCTION("""COMPUTED_VALUE"""),"–")</f>
        <v>–</v>
      </c>
      <c r="L34" s="25" t="str">
        <f>IFERROR(__xludf.DUMMYFUNCTION("""COMPUTED_VALUE"""),"Chemical")</f>
        <v>Chemical</v>
      </c>
      <c r="M34" s="25" t="str">
        <f>IFERROR(__xludf.DUMMYFUNCTION("""COMPUTED_VALUE"""),"Ltr")</f>
        <v>Ltr</v>
      </c>
    </row>
    <row r="35">
      <c r="A35" s="25" t="str">
        <f>IFERROR(__xludf.DUMMYFUNCTION("""COMPUTED_VALUE"""),"CH-SOL-114")</f>
        <v>CH-SOL-114</v>
      </c>
      <c r="B35" s="25" t="str">
        <f>IFERROR(__xludf.DUMMYFUNCTION("""COMPUTED_VALUE"""),"Out")</f>
        <v>Out</v>
      </c>
      <c r="C35" s="257">
        <f>IFERROR(__xludf.DUMMYFUNCTION("""COMPUTED_VALUE"""),46091.0)</f>
        <v>46091</v>
      </c>
      <c r="D35" s="25">
        <f>IFERROR(__xludf.DUMMYFUNCTION("""COMPUTED_VALUE"""),25.0)</f>
        <v>25</v>
      </c>
      <c r="E35" s="25"/>
      <c r="F35" s="25" t="str">
        <f>IFERROR(__xludf.DUMMYFUNCTION("""COMPUTED_VALUE"""),"Classic Multi Wash-HPC 0214/25D21")</f>
        <v>Classic Multi Wash-HPC 0214/25D21</v>
      </c>
      <c r="G35" s="25" t="str">
        <f>IFERROR(__xludf.DUMMYFUNCTION("""COMPUTED_VALUE"""),"Chemical")</f>
        <v>Chemical</v>
      </c>
      <c r="H35" s="25" t="str">
        <f>IFERROR(__xludf.DUMMYFUNCTION("""COMPUTED_VALUE"""),"Solution")</f>
        <v>Solution</v>
      </c>
      <c r="I35" s="25" t="str">
        <f>IFERROR(__xludf.DUMMYFUNCTION("""COMPUTED_VALUE"""),"–")</f>
        <v>–</v>
      </c>
      <c r="J35" s="25" t="str">
        <f>IFERROR(__xludf.DUMMYFUNCTION("""COMPUTED_VALUE"""),"–")</f>
        <v>–</v>
      </c>
      <c r="K35" s="25" t="str">
        <f>IFERROR(__xludf.DUMMYFUNCTION("""COMPUTED_VALUE"""),"–")</f>
        <v>–</v>
      </c>
      <c r="L35" s="25" t="str">
        <f>IFERROR(__xludf.DUMMYFUNCTION("""COMPUTED_VALUE"""),"Normal Wash")</f>
        <v>Normal Wash</v>
      </c>
      <c r="M35" s="25" t="str">
        <f>IFERROR(__xludf.DUMMYFUNCTION("""COMPUTED_VALUE"""),"Ltr")</f>
        <v>Ltr</v>
      </c>
    </row>
    <row r="36">
      <c r="A36" s="25" t="str">
        <f>IFERROR(__xludf.DUMMYFUNCTION("""COMPUTED_VALUE"""),"CH-SOL-142")</f>
        <v>CH-SOL-142</v>
      </c>
      <c r="B36" s="25" t="str">
        <f>IFERROR(__xludf.DUMMYFUNCTION("""COMPUTED_VALUE"""),"Out")</f>
        <v>Out</v>
      </c>
      <c r="C36" s="257">
        <f>IFERROR(__xludf.DUMMYFUNCTION("""COMPUTED_VALUE"""),46091.0)</f>
        <v>46091</v>
      </c>
      <c r="D36" s="25">
        <f>IFERROR(__xludf.DUMMYFUNCTION("""COMPUTED_VALUE"""),5.0)</f>
        <v>5</v>
      </c>
      <c r="E36" s="25"/>
      <c r="F36" s="25" t="str">
        <f>IFERROR(__xludf.DUMMYFUNCTION("""COMPUTED_VALUE"""),"Plate Cleaner Normal")</f>
        <v>Plate Cleaner Normal</v>
      </c>
      <c r="G36" s="25" t="str">
        <f>IFERROR(__xludf.DUMMYFUNCTION("""COMPUTED_VALUE"""),"Chemical")</f>
        <v>Chemical</v>
      </c>
      <c r="H36" s="25" t="str">
        <f>IFERROR(__xludf.DUMMYFUNCTION("""COMPUTED_VALUE"""),"Solution")</f>
        <v>Solution</v>
      </c>
      <c r="I36" s="25" t="str">
        <f>IFERROR(__xludf.DUMMYFUNCTION("""COMPUTED_VALUE"""),"–")</f>
        <v>–</v>
      </c>
      <c r="J36" s="25" t="str">
        <f>IFERROR(__xludf.DUMMYFUNCTION("""COMPUTED_VALUE"""),"–")</f>
        <v>–</v>
      </c>
      <c r="K36" s="25" t="str">
        <f>IFERROR(__xludf.DUMMYFUNCTION("""COMPUTED_VALUE"""),"–")</f>
        <v>–</v>
      </c>
      <c r="L36" s="25" t="str">
        <f>IFERROR(__xludf.DUMMYFUNCTION("""COMPUTED_VALUE"""),"Normal Gp")</f>
        <v>Normal Gp</v>
      </c>
      <c r="M36" s="25" t="str">
        <f>IFERROR(__xludf.DUMMYFUNCTION("""COMPUTED_VALUE"""),"Ltr")</f>
        <v>Ltr</v>
      </c>
    </row>
    <row r="37">
      <c r="A37" s="25" t="str">
        <f>IFERROR(__xludf.DUMMYFUNCTION("""COMPUTED_VALUE"""),"CH-VAR-134")</f>
        <v>CH-VAR-134</v>
      </c>
      <c r="B37" s="25" t="str">
        <f>IFERROR(__xludf.DUMMYFUNCTION("""COMPUTED_VALUE"""),"Out")</f>
        <v>Out</v>
      </c>
      <c r="C37" s="257">
        <f>IFERROR(__xludf.DUMMYFUNCTION("""COMPUTED_VALUE"""),46091.0)</f>
        <v>46091</v>
      </c>
      <c r="D37" s="25">
        <f>IFERROR(__xludf.DUMMYFUNCTION("""COMPUTED_VALUE"""),20.0)</f>
        <v>20</v>
      </c>
      <c r="E37" s="25"/>
      <c r="F37" s="25" t="str">
        <f>IFERROR(__xludf.DUMMYFUNCTION("""COMPUTED_VALUE"""),"TK/7000 AQUA High Gloss Varnish")</f>
        <v>TK/7000 AQUA High Gloss Varnish</v>
      </c>
      <c r="G37" s="25" t="str">
        <f>IFERROR(__xludf.DUMMYFUNCTION("""COMPUTED_VALUE"""),"Chemical")</f>
        <v>Chemical</v>
      </c>
      <c r="H37" s="25" t="str">
        <f>IFERROR(__xludf.DUMMYFUNCTION("""COMPUTED_VALUE"""),"Varnish")</f>
        <v>Varnish</v>
      </c>
      <c r="I37" s="25" t="str">
        <f>IFERROR(__xludf.DUMMYFUNCTION("""COMPUTED_VALUE"""),"–")</f>
        <v>–</v>
      </c>
      <c r="J37" s="25" t="str">
        <f>IFERROR(__xludf.DUMMYFUNCTION("""COMPUTED_VALUE"""),"–")</f>
        <v>–</v>
      </c>
      <c r="K37" s="25" t="str">
        <f>IFERROR(__xludf.DUMMYFUNCTION("""COMPUTED_VALUE"""),"–")</f>
        <v>–</v>
      </c>
      <c r="L37" s="25" t="str">
        <f>IFERROR(__xludf.DUMMYFUNCTION("""COMPUTED_VALUE"""),"High Gloss")</f>
        <v>High Gloss</v>
      </c>
      <c r="M37" s="25" t="str">
        <f>IFERROR(__xludf.DUMMYFUNCTION("""COMPUTED_VALUE"""),"Kg")</f>
        <v>Kg</v>
      </c>
    </row>
    <row r="38">
      <c r="A38" s="25" t="str">
        <f>IFERROR(__xludf.DUMMYFUNCTION("""COMPUTED_VALUE"""),"CH-VAR-134")</f>
        <v>CH-VAR-134</v>
      </c>
      <c r="B38" s="25" t="str">
        <f>IFERROR(__xludf.DUMMYFUNCTION("""COMPUTED_VALUE"""),"Out")</f>
        <v>Out</v>
      </c>
      <c r="C38" s="257">
        <f>IFERROR(__xludf.DUMMYFUNCTION("""COMPUTED_VALUE"""),46092.0)</f>
        <v>46092</v>
      </c>
      <c r="D38" s="25">
        <f>IFERROR(__xludf.DUMMYFUNCTION("""COMPUTED_VALUE"""),60.0)</f>
        <v>60</v>
      </c>
      <c r="E38" s="25"/>
      <c r="F38" s="25" t="str">
        <f>IFERROR(__xludf.DUMMYFUNCTION("""COMPUTED_VALUE"""),"TK/7000 AQUA High Gloss Varnish")</f>
        <v>TK/7000 AQUA High Gloss Varnish</v>
      </c>
      <c r="G38" s="25" t="str">
        <f>IFERROR(__xludf.DUMMYFUNCTION("""COMPUTED_VALUE"""),"Chemical")</f>
        <v>Chemical</v>
      </c>
      <c r="H38" s="25" t="str">
        <f>IFERROR(__xludf.DUMMYFUNCTION("""COMPUTED_VALUE"""),"Varnish")</f>
        <v>Varnish</v>
      </c>
      <c r="I38" s="25" t="str">
        <f>IFERROR(__xludf.DUMMYFUNCTION("""COMPUTED_VALUE"""),"–")</f>
        <v>–</v>
      </c>
      <c r="J38" s="25" t="str">
        <f>IFERROR(__xludf.DUMMYFUNCTION("""COMPUTED_VALUE"""),"–")</f>
        <v>–</v>
      </c>
      <c r="K38" s="25" t="str">
        <f>IFERROR(__xludf.DUMMYFUNCTION("""COMPUTED_VALUE"""),"–")</f>
        <v>–</v>
      </c>
      <c r="L38" s="25" t="str">
        <f>IFERROR(__xludf.DUMMYFUNCTION("""COMPUTED_VALUE"""),"High Gloss")</f>
        <v>High Gloss</v>
      </c>
      <c r="M38" s="25" t="str">
        <f>IFERROR(__xludf.DUMMYFUNCTION("""COMPUTED_VALUE"""),"Kg")</f>
        <v>Kg</v>
      </c>
    </row>
    <row r="39">
      <c r="A39" s="25" t="str">
        <f>IFERROR(__xludf.DUMMYFUNCTION("""COMPUTED_VALUE"""),"CH-SOL-199")</f>
        <v>CH-SOL-199</v>
      </c>
      <c r="B39" s="25" t="str">
        <f>IFERROR(__xludf.DUMMYFUNCTION("""COMPUTED_VALUE"""),"Out")</f>
        <v>Out</v>
      </c>
      <c r="C39" s="257">
        <f>IFERROR(__xludf.DUMMYFUNCTION("""COMPUTED_VALUE"""),46092.0)</f>
        <v>46092</v>
      </c>
      <c r="D39" s="25">
        <f>IFERROR(__xludf.DUMMYFUNCTION("""COMPUTED_VALUE"""),20.0)</f>
        <v>20</v>
      </c>
      <c r="E39" s="25"/>
      <c r="F39" s="25" t="str">
        <f>IFERROR(__xludf.DUMMYFUNCTION("""COMPUTED_VALUE"""),"TK 3400 Wb Board Primer")</f>
        <v>TK 3400 Wb Board Primer</v>
      </c>
      <c r="G39" s="25" t="str">
        <f>IFERROR(__xludf.DUMMYFUNCTION("""COMPUTED_VALUE"""),"Chemical")</f>
        <v>Chemical</v>
      </c>
      <c r="H39" s="25" t="str">
        <f>IFERROR(__xludf.DUMMYFUNCTION("""COMPUTED_VALUE"""),"Solution")</f>
        <v>Solution</v>
      </c>
      <c r="I39" s="25" t="str">
        <f>IFERROR(__xludf.DUMMYFUNCTION("""COMPUTED_VALUE"""),"–")</f>
        <v>–</v>
      </c>
      <c r="J39" s="25" t="str">
        <f>IFERROR(__xludf.DUMMYFUNCTION("""COMPUTED_VALUE"""),"–")</f>
        <v>–</v>
      </c>
      <c r="K39" s="25" t="str">
        <f>IFERROR(__xludf.DUMMYFUNCTION("""COMPUTED_VALUE"""),"–")</f>
        <v>–</v>
      </c>
      <c r="L39" s="25" t="str">
        <f>IFERROR(__xludf.DUMMYFUNCTION("""COMPUTED_VALUE"""),"Primer")</f>
        <v>Primer</v>
      </c>
      <c r="M39" s="25" t="str">
        <f>IFERROR(__xludf.DUMMYFUNCTION("""COMPUTED_VALUE"""),"Kg")</f>
        <v>Kg</v>
      </c>
    </row>
    <row r="40">
      <c r="A40" s="25" t="str">
        <f>IFERROR(__xludf.DUMMYFUNCTION("""COMPUTED_VALUE"""),"CH-SOL-116")</f>
        <v>CH-SOL-116</v>
      </c>
      <c r="B40" s="25" t="str">
        <f>IFERROR(__xludf.DUMMYFUNCTION("""COMPUTED_VALUE"""),"Out")</f>
        <v>Out</v>
      </c>
      <c r="C40" s="257">
        <f>IFERROR(__xludf.DUMMYFUNCTION("""COMPUTED_VALUE"""),46094.0)</f>
        <v>46094</v>
      </c>
      <c r="D40" s="25">
        <f>IFERROR(__xludf.DUMMYFUNCTION("""COMPUTED_VALUE"""),20.0)</f>
        <v>20</v>
      </c>
      <c r="E40" s="25"/>
      <c r="F40" s="25" t="str">
        <f>IFERROR(__xludf.DUMMYFUNCTION("""COMPUTED_VALUE"""),"Nova Nol Xtra")</f>
        <v>Nova Nol Xtra</v>
      </c>
      <c r="G40" s="25" t="str">
        <f>IFERROR(__xludf.DUMMYFUNCTION("""COMPUTED_VALUE"""),"Chemical")</f>
        <v>Chemical</v>
      </c>
      <c r="H40" s="25" t="str">
        <f>IFERROR(__xludf.DUMMYFUNCTION("""COMPUTED_VALUE"""),"Solution")</f>
        <v>Solution</v>
      </c>
      <c r="I40" s="25" t="str">
        <f>IFERROR(__xludf.DUMMYFUNCTION("""COMPUTED_VALUE"""),"–")</f>
        <v>–</v>
      </c>
      <c r="J40" s="25" t="str">
        <f>IFERROR(__xludf.DUMMYFUNCTION("""COMPUTED_VALUE"""),"–")</f>
        <v>–</v>
      </c>
      <c r="K40" s="25" t="str">
        <f>IFERROR(__xludf.DUMMYFUNCTION("""COMPUTED_VALUE"""),"–")</f>
        <v>–</v>
      </c>
      <c r="L40" s="25" t="str">
        <f>IFERROR(__xludf.DUMMYFUNCTION("""COMPUTED_VALUE"""),"Alcohol")</f>
        <v>Alcohol</v>
      </c>
      <c r="M40" s="25" t="str">
        <f>IFERROR(__xludf.DUMMYFUNCTION("""COMPUTED_VALUE"""),"Ltr")</f>
        <v>Ltr</v>
      </c>
    </row>
    <row r="41">
      <c r="A41" s="25" t="str">
        <f>IFERROR(__xludf.DUMMYFUNCTION("""COMPUTED_VALUE"""),"CH-SOL-143")</f>
        <v>CH-SOL-143</v>
      </c>
      <c r="B41" s="25" t="str">
        <f>IFERROR(__xludf.DUMMYFUNCTION("""COMPUTED_VALUE"""),"Out")</f>
        <v>Out</v>
      </c>
      <c r="C41" s="257">
        <f>IFERROR(__xludf.DUMMYFUNCTION("""COMPUTED_VALUE"""),46094.0)</f>
        <v>46094</v>
      </c>
      <c r="D41" s="25">
        <f>IFERROR(__xludf.DUMMYFUNCTION("""COMPUTED_VALUE"""),1.0)</f>
        <v>1</v>
      </c>
      <c r="E41" s="25"/>
      <c r="F41" s="25" t="str">
        <f>IFERROR(__xludf.DUMMYFUNCTION("""COMPUTED_VALUE"""),"Plate Cleaner UV")</f>
        <v>Plate Cleaner UV</v>
      </c>
      <c r="G41" s="25" t="str">
        <f>IFERROR(__xludf.DUMMYFUNCTION("""COMPUTED_VALUE"""),"Chemical")</f>
        <v>Chemical</v>
      </c>
      <c r="H41" s="25" t="str">
        <f>IFERROR(__xludf.DUMMYFUNCTION("""COMPUTED_VALUE"""),"Solution")</f>
        <v>Solution</v>
      </c>
      <c r="I41" s="25" t="str">
        <f>IFERROR(__xludf.DUMMYFUNCTION("""COMPUTED_VALUE"""),"–")</f>
        <v>–</v>
      </c>
      <c r="J41" s="25" t="str">
        <f>IFERROR(__xludf.DUMMYFUNCTION("""COMPUTED_VALUE"""),"–")</f>
        <v>–</v>
      </c>
      <c r="K41" s="25" t="str">
        <f>IFERROR(__xludf.DUMMYFUNCTION("""COMPUTED_VALUE"""),"–")</f>
        <v>–</v>
      </c>
      <c r="L41" s="25" t="str">
        <f>IFERROR(__xludf.DUMMYFUNCTION("""COMPUTED_VALUE"""),"Hard Gp")</f>
        <v>Hard Gp</v>
      </c>
      <c r="M41" s="25" t="str">
        <f>IFERROR(__xludf.DUMMYFUNCTION("""COMPUTED_VALUE"""),"Ltr")</f>
        <v>Ltr</v>
      </c>
    </row>
    <row r="42">
      <c r="A42" s="25" t="str">
        <f>IFERROR(__xludf.DUMMYFUNCTION("""COMPUTED_VALUE"""),"CH-SOL-143")</f>
        <v>CH-SOL-143</v>
      </c>
      <c r="B42" s="25" t="str">
        <f>IFERROR(__xludf.DUMMYFUNCTION("""COMPUTED_VALUE"""),"Out")</f>
        <v>Out</v>
      </c>
      <c r="C42" s="257">
        <f>IFERROR(__xludf.DUMMYFUNCTION("""COMPUTED_VALUE"""),46101.0)</f>
        <v>46101</v>
      </c>
      <c r="D42" s="25">
        <f>IFERROR(__xludf.DUMMYFUNCTION("""COMPUTED_VALUE"""),1.0)</f>
        <v>1</v>
      </c>
      <c r="E42" s="25"/>
      <c r="F42" s="25" t="str">
        <f>IFERROR(__xludf.DUMMYFUNCTION("""COMPUTED_VALUE"""),"Plate Cleaner UV")</f>
        <v>Plate Cleaner UV</v>
      </c>
      <c r="G42" s="25" t="str">
        <f>IFERROR(__xludf.DUMMYFUNCTION("""COMPUTED_VALUE"""),"Chemical")</f>
        <v>Chemical</v>
      </c>
      <c r="H42" s="25" t="str">
        <f>IFERROR(__xludf.DUMMYFUNCTION("""COMPUTED_VALUE"""),"Solution")</f>
        <v>Solution</v>
      </c>
      <c r="I42" s="25" t="str">
        <f>IFERROR(__xludf.DUMMYFUNCTION("""COMPUTED_VALUE"""),"–")</f>
        <v>–</v>
      </c>
      <c r="J42" s="25" t="str">
        <f>IFERROR(__xludf.DUMMYFUNCTION("""COMPUTED_VALUE"""),"–")</f>
        <v>–</v>
      </c>
      <c r="K42" s="25" t="str">
        <f>IFERROR(__xludf.DUMMYFUNCTION("""COMPUTED_VALUE"""),"–")</f>
        <v>–</v>
      </c>
      <c r="L42" s="25" t="str">
        <f>IFERROR(__xludf.DUMMYFUNCTION("""COMPUTED_VALUE"""),"Hard Gp")</f>
        <v>Hard Gp</v>
      </c>
      <c r="M42" s="25" t="str">
        <f>IFERROR(__xludf.DUMMYFUNCTION("""COMPUTED_VALUE"""),"Ltr")</f>
        <v>Ltr</v>
      </c>
    </row>
    <row r="43">
      <c r="A43" s="25" t="str">
        <f>IFERROR(__xludf.DUMMYFUNCTION("""COMPUTED_VALUE"""),"CH-SOL-144")</f>
        <v>CH-SOL-144</v>
      </c>
      <c r="B43" s="25" t="str">
        <f>IFERROR(__xludf.DUMMYFUNCTION("""COMPUTED_VALUE"""),"Out")</f>
        <v>Out</v>
      </c>
      <c r="C43" s="257">
        <f>IFERROR(__xludf.DUMMYFUNCTION("""COMPUTED_VALUE"""),46101.0)</f>
        <v>46101</v>
      </c>
      <c r="D43" s="25">
        <f>IFERROR(__xludf.DUMMYFUNCTION("""COMPUTED_VALUE"""),5.0)</f>
        <v>5</v>
      </c>
      <c r="E43" s="25"/>
      <c r="F43" s="25" t="str">
        <f>IFERROR(__xludf.DUMMYFUNCTION("""COMPUTED_VALUE"""),"Benzene")</f>
        <v>Benzene</v>
      </c>
      <c r="G43" s="25" t="str">
        <f>IFERROR(__xludf.DUMMYFUNCTION("""COMPUTED_VALUE"""),"Chemical")</f>
        <v>Chemical</v>
      </c>
      <c r="H43" s="25" t="str">
        <f>IFERROR(__xludf.DUMMYFUNCTION("""COMPUTED_VALUE"""),"Solution")</f>
        <v>Solution</v>
      </c>
      <c r="I43" s="25" t="str">
        <f>IFERROR(__xludf.DUMMYFUNCTION("""COMPUTED_VALUE"""),"–")</f>
        <v>–</v>
      </c>
      <c r="J43" s="25" t="str">
        <f>IFERROR(__xludf.DUMMYFUNCTION("""COMPUTED_VALUE"""),"–")</f>
        <v>–</v>
      </c>
      <c r="K43" s="25" t="str">
        <f>IFERROR(__xludf.DUMMYFUNCTION("""COMPUTED_VALUE"""),"–")</f>
        <v>–</v>
      </c>
      <c r="L43" s="25" t="str">
        <f>IFERROR(__xludf.DUMMYFUNCTION("""COMPUTED_VALUE"""),"Chemical")</f>
        <v>Chemical</v>
      </c>
      <c r="M43" s="25" t="str">
        <f>IFERROR(__xludf.DUMMYFUNCTION("""COMPUTED_VALUE"""),"Ltr")</f>
        <v>Ltr</v>
      </c>
    </row>
    <row r="44">
      <c r="A44" s="25" t="str">
        <f>IFERROR(__xludf.DUMMYFUNCTION("""COMPUTED_VALUE"""),"CH-SOL-116")</f>
        <v>CH-SOL-116</v>
      </c>
      <c r="B44" s="25" t="str">
        <f>IFERROR(__xludf.DUMMYFUNCTION("""COMPUTED_VALUE"""),"Out")</f>
        <v>Out</v>
      </c>
      <c r="C44" s="257">
        <f>IFERROR(__xludf.DUMMYFUNCTION("""COMPUTED_VALUE"""),46102.0)</f>
        <v>46102</v>
      </c>
      <c r="D44" s="25">
        <f>IFERROR(__xludf.DUMMYFUNCTION("""COMPUTED_VALUE"""),20.0)</f>
        <v>20</v>
      </c>
      <c r="E44" s="25"/>
      <c r="F44" s="25" t="str">
        <f>IFERROR(__xludf.DUMMYFUNCTION("""COMPUTED_VALUE"""),"Nova Nol Xtra")</f>
        <v>Nova Nol Xtra</v>
      </c>
      <c r="G44" s="25" t="str">
        <f>IFERROR(__xludf.DUMMYFUNCTION("""COMPUTED_VALUE"""),"Chemical")</f>
        <v>Chemical</v>
      </c>
      <c r="H44" s="25" t="str">
        <f>IFERROR(__xludf.DUMMYFUNCTION("""COMPUTED_VALUE"""),"Solution")</f>
        <v>Solution</v>
      </c>
      <c r="I44" s="25" t="str">
        <f>IFERROR(__xludf.DUMMYFUNCTION("""COMPUTED_VALUE"""),"–")</f>
        <v>–</v>
      </c>
      <c r="J44" s="25" t="str">
        <f>IFERROR(__xludf.DUMMYFUNCTION("""COMPUTED_VALUE"""),"–")</f>
        <v>–</v>
      </c>
      <c r="K44" s="25" t="str">
        <f>IFERROR(__xludf.DUMMYFUNCTION("""COMPUTED_VALUE"""),"–")</f>
        <v>–</v>
      </c>
      <c r="L44" s="25" t="str">
        <f>IFERROR(__xludf.DUMMYFUNCTION("""COMPUTED_VALUE"""),"Alcohol")</f>
        <v>Alcohol</v>
      </c>
      <c r="M44" s="25" t="str">
        <f>IFERROR(__xludf.DUMMYFUNCTION("""COMPUTED_VALUE"""),"Ltr")</f>
        <v>Ltr</v>
      </c>
    </row>
    <row r="45">
      <c r="A45" s="25" t="str">
        <f>IFERROR(__xludf.DUMMYFUNCTION("""COMPUTED_VALUE"""),"CH-SOL-179")</f>
        <v>CH-SOL-179</v>
      </c>
      <c r="B45" s="25" t="str">
        <f>IFERROR(__xludf.DUMMYFUNCTION("""COMPUTED_VALUE"""),"Out")</f>
        <v>Out</v>
      </c>
      <c r="C45" s="257">
        <f>IFERROR(__xludf.DUMMYFUNCTION("""COMPUTED_VALUE"""),46102.0)</f>
        <v>46102</v>
      </c>
      <c r="D45" s="25">
        <f>IFERROR(__xludf.DUMMYFUNCTION("""COMPUTED_VALUE"""),25.0)</f>
        <v>25</v>
      </c>
      <c r="E45" s="25"/>
      <c r="F45" s="25" t="str">
        <f>IFERROR(__xludf.DUMMYFUNCTION("""COMPUTED_VALUE"""),"New V FD Wash(Hard Wash)-HPC-0237/25D21")</f>
        <v>New V FD Wash(Hard Wash)-HPC-0237/25D21</v>
      </c>
      <c r="G45" s="25" t="str">
        <f>IFERROR(__xludf.DUMMYFUNCTION("""COMPUTED_VALUE"""),"Chemical")</f>
        <v>Chemical</v>
      </c>
      <c r="H45" s="25" t="str">
        <f>IFERROR(__xludf.DUMMYFUNCTION("""COMPUTED_VALUE"""),"Solution")</f>
        <v>Solution</v>
      </c>
      <c r="I45" s="25" t="str">
        <f>IFERROR(__xludf.DUMMYFUNCTION("""COMPUTED_VALUE"""),"–")</f>
        <v>–</v>
      </c>
      <c r="J45" s="25" t="str">
        <f>IFERROR(__xludf.DUMMYFUNCTION("""COMPUTED_VALUE"""),"–")</f>
        <v>–</v>
      </c>
      <c r="K45" s="25" t="str">
        <f>IFERROR(__xludf.DUMMYFUNCTION("""COMPUTED_VALUE"""),"–")</f>
        <v>–</v>
      </c>
      <c r="L45" s="25" t="str">
        <f>IFERROR(__xludf.DUMMYFUNCTION("""COMPUTED_VALUE"""),"Hard Wash")</f>
        <v>Hard Wash</v>
      </c>
      <c r="M45" s="25" t="str">
        <f>IFERROR(__xludf.DUMMYFUNCTION("""COMPUTED_VALUE"""),"Ltr")</f>
        <v>Ltr</v>
      </c>
    </row>
    <row r="46">
      <c r="A46" s="25" t="str">
        <f>IFERROR(__xludf.DUMMYFUNCTION("""COMPUTED_VALUE"""),"CH-SOL-118")</f>
        <v>CH-SOL-118</v>
      </c>
      <c r="B46" s="25" t="str">
        <f>IFERROR(__xludf.DUMMYFUNCTION("""COMPUTED_VALUE"""),"Out")</f>
        <v>Out</v>
      </c>
      <c r="C46" s="257">
        <f>IFERROR(__xludf.DUMMYFUNCTION("""COMPUTED_VALUE"""),46102.0)</f>
        <v>46102</v>
      </c>
      <c r="D46" s="25">
        <f>IFERROR(__xludf.DUMMYFUNCTION("""COMPUTED_VALUE"""),1.0)</f>
        <v>1</v>
      </c>
      <c r="E46" s="25"/>
      <c r="F46" s="25" t="str">
        <f>IFERROR(__xludf.DUMMYFUNCTION("""COMPUTED_VALUE"""),"Anti Set off spray")</f>
        <v>Anti Set off spray</v>
      </c>
      <c r="G46" s="25" t="str">
        <f>IFERROR(__xludf.DUMMYFUNCTION("""COMPUTED_VALUE"""),"Chemical")</f>
        <v>Chemical</v>
      </c>
      <c r="H46" s="25" t="str">
        <f>IFERROR(__xludf.DUMMYFUNCTION("""COMPUTED_VALUE"""),"Solution")</f>
        <v>Solution</v>
      </c>
      <c r="I46" s="25" t="str">
        <f>IFERROR(__xludf.DUMMYFUNCTION("""COMPUTED_VALUE"""),"–")</f>
        <v>–</v>
      </c>
      <c r="J46" s="25" t="str">
        <f>IFERROR(__xludf.DUMMYFUNCTION("""COMPUTED_VALUE"""),"–")</f>
        <v>–</v>
      </c>
      <c r="K46" s="25" t="str">
        <f>IFERROR(__xludf.DUMMYFUNCTION("""COMPUTED_VALUE"""),"–")</f>
        <v>–</v>
      </c>
      <c r="L46" s="25" t="str">
        <f>IFERROR(__xludf.DUMMYFUNCTION("""COMPUTED_VALUE"""),"–")</f>
        <v>–</v>
      </c>
      <c r="M46" s="25" t="str">
        <f>IFERROR(__xludf.DUMMYFUNCTION("""COMPUTED_VALUE"""),"Pkt")</f>
        <v>Pkt</v>
      </c>
    </row>
    <row r="47">
      <c r="A47" s="25" t="str">
        <f>IFERROR(__xludf.DUMMYFUNCTION("""COMPUTED_VALUE"""),"CH-SOL-212")</f>
        <v>CH-SOL-212</v>
      </c>
      <c r="B47" s="25" t="str">
        <f>IFERROR(__xludf.DUMMYFUNCTION("""COMPUTED_VALUE"""),"Out")</f>
        <v>Out</v>
      </c>
      <c r="C47" s="257">
        <f>IFERROR(__xludf.DUMMYFUNCTION("""COMPUTED_VALUE"""),46107.0)</f>
        <v>46107</v>
      </c>
      <c r="D47" s="25">
        <f>IFERROR(__xludf.DUMMYFUNCTION("""COMPUTED_VALUE"""),5.0)</f>
        <v>5</v>
      </c>
      <c r="E47" s="25"/>
      <c r="F47" s="25" t="str">
        <f>IFERROR(__xludf.DUMMYFUNCTION("""COMPUTED_VALUE"""),"New V Screen Trans ink")</f>
        <v>New V Screen Trans ink</v>
      </c>
      <c r="G47" s="25" t="str">
        <f>IFERROR(__xludf.DUMMYFUNCTION("""COMPUTED_VALUE"""),"Chemical")</f>
        <v>Chemical</v>
      </c>
      <c r="H47" s="25" t="str">
        <f>IFERROR(__xludf.DUMMYFUNCTION("""COMPUTED_VALUE"""),"Solution")</f>
        <v>Solution</v>
      </c>
      <c r="I47" s="25" t="str">
        <f>IFERROR(__xludf.DUMMYFUNCTION("""COMPUTED_VALUE"""),"–")</f>
        <v>–</v>
      </c>
      <c r="J47" s="25" t="str">
        <f>IFERROR(__xludf.DUMMYFUNCTION("""COMPUTED_VALUE"""),"–")</f>
        <v>–</v>
      </c>
      <c r="K47" s="25" t="str">
        <f>IFERROR(__xludf.DUMMYFUNCTION("""COMPUTED_VALUE"""),"–")</f>
        <v>–</v>
      </c>
      <c r="L47" s="25" t="str">
        <f>IFERROR(__xludf.DUMMYFUNCTION("""COMPUTED_VALUE"""),"UV Screen Gloss-SPOT UV")</f>
        <v>UV Screen Gloss-SPOT UV</v>
      </c>
      <c r="M47" s="25" t="str">
        <f>IFERROR(__xludf.DUMMYFUNCTION("""COMPUTED_VALUE"""),"Ltr")</f>
        <v>Ltr</v>
      </c>
    </row>
    <row r="48">
      <c r="A48" s="25" t="str">
        <f>IFERROR(__xludf.DUMMYFUNCTION("""COMPUTED_VALUE"""),"CH-SOL-144")</f>
        <v>CH-SOL-144</v>
      </c>
      <c r="B48" s="25" t="str">
        <f>IFERROR(__xludf.DUMMYFUNCTION("""COMPUTED_VALUE"""),"Out")</f>
        <v>Out</v>
      </c>
      <c r="C48" s="257">
        <f>IFERROR(__xludf.DUMMYFUNCTION("""COMPUTED_VALUE"""),46107.0)</f>
        <v>46107</v>
      </c>
      <c r="D48" s="25">
        <f>IFERROR(__xludf.DUMMYFUNCTION("""COMPUTED_VALUE"""),5.0)</f>
        <v>5</v>
      </c>
      <c r="E48" s="25"/>
      <c r="F48" s="25" t="str">
        <f>IFERROR(__xludf.DUMMYFUNCTION("""COMPUTED_VALUE"""),"Benzene")</f>
        <v>Benzene</v>
      </c>
      <c r="G48" s="25" t="str">
        <f>IFERROR(__xludf.DUMMYFUNCTION("""COMPUTED_VALUE"""),"Chemical")</f>
        <v>Chemical</v>
      </c>
      <c r="H48" s="25" t="str">
        <f>IFERROR(__xludf.DUMMYFUNCTION("""COMPUTED_VALUE"""),"Solution")</f>
        <v>Solution</v>
      </c>
      <c r="I48" s="25" t="str">
        <f>IFERROR(__xludf.DUMMYFUNCTION("""COMPUTED_VALUE"""),"–")</f>
        <v>–</v>
      </c>
      <c r="J48" s="25" t="str">
        <f>IFERROR(__xludf.DUMMYFUNCTION("""COMPUTED_VALUE"""),"–")</f>
        <v>–</v>
      </c>
      <c r="K48" s="25" t="str">
        <f>IFERROR(__xludf.DUMMYFUNCTION("""COMPUTED_VALUE"""),"–")</f>
        <v>–</v>
      </c>
      <c r="L48" s="25" t="str">
        <f>IFERROR(__xludf.DUMMYFUNCTION("""COMPUTED_VALUE"""),"Chemical")</f>
        <v>Chemical</v>
      </c>
      <c r="M48" s="25" t="str">
        <f>IFERROR(__xludf.DUMMYFUNCTION("""COMPUTED_VALUE"""),"Ltr")</f>
        <v>Ltr</v>
      </c>
    </row>
    <row r="49">
      <c r="A49" s="25" t="str">
        <f>IFERROR(__xludf.DUMMYFUNCTION("""COMPUTED_VALUE"""),"CH-SOL-142")</f>
        <v>CH-SOL-142</v>
      </c>
      <c r="B49" s="25" t="str">
        <f>IFERROR(__xludf.DUMMYFUNCTION("""COMPUTED_VALUE"""),"Out")</f>
        <v>Out</v>
      </c>
      <c r="C49" s="257">
        <f>IFERROR(__xludf.DUMMYFUNCTION("""COMPUTED_VALUE"""),46109.0)</f>
        <v>46109</v>
      </c>
      <c r="D49" s="25">
        <f>IFERROR(__xludf.DUMMYFUNCTION("""COMPUTED_VALUE"""),5.0)</f>
        <v>5</v>
      </c>
      <c r="E49" s="25"/>
      <c r="F49" s="25" t="str">
        <f>IFERROR(__xludf.DUMMYFUNCTION("""COMPUTED_VALUE"""),"Plate Cleaner Normal")</f>
        <v>Plate Cleaner Normal</v>
      </c>
      <c r="G49" s="25" t="str">
        <f>IFERROR(__xludf.DUMMYFUNCTION("""COMPUTED_VALUE"""),"Chemical")</f>
        <v>Chemical</v>
      </c>
      <c r="H49" s="25" t="str">
        <f>IFERROR(__xludf.DUMMYFUNCTION("""COMPUTED_VALUE"""),"Solution")</f>
        <v>Solution</v>
      </c>
      <c r="I49" s="25" t="str">
        <f>IFERROR(__xludf.DUMMYFUNCTION("""COMPUTED_VALUE"""),"–")</f>
        <v>–</v>
      </c>
      <c r="J49" s="25" t="str">
        <f>IFERROR(__xludf.DUMMYFUNCTION("""COMPUTED_VALUE"""),"–")</f>
        <v>–</v>
      </c>
      <c r="K49" s="25" t="str">
        <f>IFERROR(__xludf.DUMMYFUNCTION("""COMPUTED_VALUE"""),"–")</f>
        <v>–</v>
      </c>
      <c r="L49" s="25" t="str">
        <f>IFERROR(__xludf.DUMMYFUNCTION("""COMPUTED_VALUE"""),"Normal Gp")</f>
        <v>Normal Gp</v>
      </c>
      <c r="M49" s="25" t="str">
        <f>IFERROR(__xludf.DUMMYFUNCTION("""COMPUTED_VALUE"""),"Ltr")</f>
        <v>Ltr</v>
      </c>
    </row>
    <row r="50">
      <c r="A50" s="25" t="str">
        <f>IFERROR(__xludf.DUMMYFUNCTION("""COMPUTED_VALUE"""),"CH-ADH-139")</f>
        <v>CH-ADH-139</v>
      </c>
      <c r="B50" s="25" t="str">
        <f>IFERROR(__xludf.DUMMYFUNCTION("""COMPUTED_VALUE"""),"Out")</f>
        <v>Out</v>
      </c>
      <c r="C50" s="257">
        <f>IFERROR(__xludf.DUMMYFUNCTION("""COMPUTED_VALUE"""),46112.0)</f>
        <v>46112</v>
      </c>
      <c r="D50" s="25">
        <f>IFERROR(__xludf.DUMMYFUNCTION("""COMPUTED_VALUE"""),1.0)</f>
        <v>1</v>
      </c>
      <c r="E50" s="25"/>
      <c r="F50" s="25" t="str">
        <f>IFERROR(__xludf.DUMMYFUNCTION("""COMPUTED_VALUE"""),"Roller Paste-Glazekeen Hydromac")</f>
        <v>Roller Paste-Glazekeen Hydromac</v>
      </c>
      <c r="G50" s="25" t="str">
        <f>IFERROR(__xludf.DUMMYFUNCTION("""COMPUTED_VALUE"""),"Chemical")</f>
        <v>Chemical</v>
      </c>
      <c r="H50" s="25" t="str">
        <f>IFERROR(__xludf.DUMMYFUNCTION("""COMPUTED_VALUE"""),"Adhesive")</f>
        <v>Adhesive</v>
      </c>
      <c r="I50" s="25" t="str">
        <f>IFERROR(__xludf.DUMMYFUNCTION("""COMPUTED_VALUE"""),"–")</f>
        <v>–</v>
      </c>
      <c r="J50" s="25" t="str">
        <f>IFERROR(__xludf.DUMMYFUNCTION("""COMPUTED_VALUE"""),"–")</f>
        <v>–</v>
      </c>
      <c r="K50" s="25" t="str">
        <f>IFERROR(__xludf.DUMMYFUNCTION("""COMPUTED_VALUE"""),"–")</f>
        <v>–</v>
      </c>
      <c r="L50" s="25" t="str">
        <f>IFERROR(__xludf.DUMMYFUNCTION("""COMPUTED_VALUE"""),"Deglazing and Maintenance paste")</f>
        <v>Deglazing and Maintenance paste</v>
      </c>
      <c r="M50" s="25" t="str">
        <f>IFERROR(__xludf.DUMMYFUNCTION("""COMPUTED_VALUE"""),"Pc")</f>
        <v>Pc</v>
      </c>
    </row>
    <row r="51">
      <c r="A51" s="25" t="str">
        <f>IFERROR(__xludf.DUMMYFUNCTION("""COMPUTED_VALUE"""),"CH-VAR-134")</f>
        <v>CH-VAR-134</v>
      </c>
      <c r="B51" s="25" t="str">
        <f>IFERROR(__xludf.DUMMYFUNCTION("""COMPUTED_VALUE"""),"Out")</f>
        <v>Out</v>
      </c>
      <c r="C51" s="257">
        <f>IFERROR(__xludf.DUMMYFUNCTION("""COMPUTED_VALUE"""),46112.0)</f>
        <v>46112</v>
      </c>
      <c r="D51" s="25">
        <f>IFERROR(__xludf.DUMMYFUNCTION("""COMPUTED_VALUE"""),20.0)</f>
        <v>20</v>
      </c>
      <c r="E51" s="25"/>
      <c r="F51" s="25" t="str">
        <f>IFERROR(__xludf.DUMMYFUNCTION("""COMPUTED_VALUE"""),"TK/7000 AQUA High Gloss Varnish")</f>
        <v>TK/7000 AQUA High Gloss Varnish</v>
      </c>
      <c r="G51" s="25" t="str">
        <f>IFERROR(__xludf.DUMMYFUNCTION("""COMPUTED_VALUE"""),"Chemical")</f>
        <v>Chemical</v>
      </c>
      <c r="H51" s="25" t="str">
        <f>IFERROR(__xludf.DUMMYFUNCTION("""COMPUTED_VALUE"""),"Varnish")</f>
        <v>Varnish</v>
      </c>
      <c r="I51" s="25" t="str">
        <f>IFERROR(__xludf.DUMMYFUNCTION("""COMPUTED_VALUE"""),"–")</f>
        <v>–</v>
      </c>
      <c r="J51" s="25" t="str">
        <f>IFERROR(__xludf.DUMMYFUNCTION("""COMPUTED_VALUE"""),"–")</f>
        <v>–</v>
      </c>
      <c r="K51" s="25" t="str">
        <f>IFERROR(__xludf.DUMMYFUNCTION("""COMPUTED_VALUE"""),"–")</f>
        <v>–</v>
      </c>
      <c r="L51" s="25" t="str">
        <f>IFERROR(__xludf.DUMMYFUNCTION("""COMPUTED_VALUE"""),"High Gloss")</f>
        <v>High Gloss</v>
      </c>
      <c r="M51" s="25" t="str">
        <f>IFERROR(__xludf.DUMMYFUNCTION("""COMPUTED_VALUE"""),"Kg")</f>
        <v>Kg</v>
      </c>
    </row>
    <row r="52">
      <c r="A52" s="25" t="str">
        <f>IFERROR(__xludf.DUMMYFUNCTION("""COMPUTED_VALUE"""),"CH-SOL-116")</f>
        <v>CH-SOL-116</v>
      </c>
      <c r="B52" s="25" t="str">
        <f>IFERROR(__xludf.DUMMYFUNCTION("""COMPUTED_VALUE"""),"Out")</f>
        <v>Out</v>
      </c>
      <c r="C52" s="257">
        <f>IFERROR(__xludf.DUMMYFUNCTION("""COMPUTED_VALUE"""),46113.0)</f>
        <v>46113</v>
      </c>
      <c r="D52" s="25">
        <f>IFERROR(__xludf.DUMMYFUNCTION("""COMPUTED_VALUE"""),25.0)</f>
        <v>25</v>
      </c>
      <c r="E52" s="25"/>
      <c r="F52" s="25" t="str">
        <f>IFERROR(__xludf.DUMMYFUNCTION("""COMPUTED_VALUE"""),"Nova Nol Xtra")</f>
        <v>Nova Nol Xtra</v>
      </c>
      <c r="G52" s="25" t="str">
        <f>IFERROR(__xludf.DUMMYFUNCTION("""COMPUTED_VALUE"""),"Chemical")</f>
        <v>Chemical</v>
      </c>
      <c r="H52" s="25" t="str">
        <f>IFERROR(__xludf.DUMMYFUNCTION("""COMPUTED_VALUE"""),"Solution")</f>
        <v>Solution</v>
      </c>
      <c r="I52" s="25" t="str">
        <f>IFERROR(__xludf.DUMMYFUNCTION("""COMPUTED_VALUE"""),"–")</f>
        <v>–</v>
      </c>
      <c r="J52" s="25" t="str">
        <f>IFERROR(__xludf.DUMMYFUNCTION("""COMPUTED_VALUE"""),"–")</f>
        <v>–</v>
      </c>
      <c r="K52" s="25" t="str">
        <f>IFERROR(__xludf.DUMMYFUNCTION("""COMPUTED_VALUE"""),"–")</f>
        <v>–</v>
      </c>
      <c r="L52" s="25" t="str">
        <f>IFERROR(__xludf.DUMMYFUNCTION("""COMPUTED_VALUE"""),"Alcohol")</f>
        <v>Alcohol</v>
      </c>
      <c r="M52" s="25" t="str">
        <f>IFERROR(__xludf.DUMMYFUNCTION("""COMPUTED_VALUE"""),"Ltr")</f>
        <v>Ltr</v>
      </c>
    </row>
    <row r="53">
      <c r="A53" s="25" t="str">
        <f>IFERROR(__xludf.DUMMYFUNCTION("""COMPUTED_VALUE"""),"CH-SOL-114")</f>
        <v>CH-SOL-114</v>
      </c>
      <c r="B53" s="25" t="str">
        <f>IFERROR(__xludf.DUMMYFUNCTION("""COMPUTED_VALUE"""),"Out")</f>
        <v>Out</v>
      </c>
      <c r="C53" s="257">
        <f>IFERROR(__xludf.DUMMYFUNCTION("""COMPUTED_VALUE"""),46113.0)</f>
        <v>46113</v>
      </c>
      <c r="D53" s="25">
        <f>IFERROR(__xludf.DUMMYFUNCTION("""COMPUTED_VALUE"""),25.0)</f>
        <v>25</v>
      </c>
      <c r="E53" s="25"/>
      <c r="F53" s="25" t="str">
        <f>IFERROR(__xludf.DUMMYFUNCTION("""COMPUTED_VALUE"""),"Classic Multi Wash-HPC 0214/25D21")</f>
        <v>Classic Multi Wash-HPC 0214/25D21</v>
      </c>
      <c r="G53" s="25" t="str">
        <f>IFERROR(__xludf.DUMMYFUNCTION("""COMPUTED_VALUE"""),"Chemical")</f>
        <v>Chemical</v>
      </c>
      <c r="H53" s="25" t="str">
        <f>IFERROR(__xludf.DUMMYFUNCTION("""COMPUTED_VALUE"""),"Solution")</f>
        <v>Solution</v>
      </c>
      <c r="I53" s="25" t="str">
        <f>IFERROR(__xludf.DUMMYFUNCTION("""COMPUTED_VALUE"""),"–")</f>
        <v>–</v>
      </c>
      <c r="J53" s="25" t="str">
        <f>IFERROR(__xludf.DUMMYFUNCTION("""COMPUTED_VALUE"""),"–")</f>
        <v>–</v>
      </c>
      <c r="K53" s="25" t="str">
        <f>IFERROR(__xludf.DUMMYFUNCTION("""COMPUTED_VALUE"""),"–")</f>
        <v>–</v>
      </c>
      <c r="L53" s="25" t="str">
        <f>IFERROR(__xludf.DUMMYFUNCTION("""COMPUTED_VALUE"""),"Normal Wash")</f>
        <v>Normal Wash</v>
      </c>
      <c r="M53" s="25" t="str">
        <f>IFERROR(__xludf.DUMMYFUNCTION("""COMPUTED_VALUE"""),"Ltr")</f>
        <v>Ltr</v>
      </c>
    </row>
    <row r="54">
      <c r="A54" s="25" t="str">
        <f>IFERROR(__xludf.DUMMYFUNCTION("""COMPUTED_VALUE"""),"CH-SOL-143")</f>
        <v>CH-SOL-143</v>
      </c>
      <c r="B54" s="25" t="str">
        <f>IFERROR(__xludf.DUMMYFUNCTION("""COMPUTED_VALUE"""),"Out")</f>
        <v>Out</v>
      </c>
      <c r="C54" s="257">
        <f>IFERROR(__xludf.DUMMYFUNCTION("""COMPUTED_VALUE"""),46114.0)</f>
        <v>46114</v>
      </c>
      <c r="D54" s="25">
        <f>IFERROR(__xludf.DUMMYFUNCTION("""COMPUTED_VALUE"""),1.0)</f>
        <v>1</v>
      </c>
      <c r="E54" s="25"/>
      <c r="F54" s="25" t="str">
        <f>IFERROR(__xludf.DUMMYFUNCTION("""COMPUTED_VALUE"""),"Plate Cleaner UV")</f>
        <v>Plate Cleaner UV</v>
      </c>
      <c r="G54" s="25" t="str">
        <f>IFERROR(__xludf.DUMMYFUNCTION("""COMPUTED_VALUE"""),"Chemical")</f>
        <v>Chemical</v>
      </c>
      <c r="H54" s="25" t="str">
        <f>IFERROR(__xludf.DUMMYFUNCTION("""COMPUTED_VALUE"""),"Solution")</f>
        <v>Solution</v>
      </c>
      <c r="I54" s="25" t="str">
        <f>IFERROR(__xludf.DUMMYFUNCTION("""COMPUTED_VALUE"""),"–")</f>
        <v>–</v>
      </c>
      <c r="J54" s="25" t="str">
        <f>IFERROR(__xludf.DUMMYFUNCTION("""COMPUTED_VALUE"""),"–")</f>
        <v>–</v>
      </c>
      <c r="K54" s="25" t="str">
        <f>IFERROR(__xludf.DUMMYFUNCTION("""COMPUTED_VALUE"""),"–")</f>
        <v>–</v>
      </c>
      <c r="L54" s="25" t="str">
        <f>IFERROR(__xludf.DUMMYFUNCTION("""COMPUTED_VALUE"""),"Hard Gp")</f>
        <v>Hard Gp</v>
      </c>
      <c r="M54" s="25" t="str">
        <f>IFERROR(__xludf.DUMMYFUNCTION("""COMPUTED_VALUE"""),"Ltr")</f>
        <v>Ltr</v>
      </c>
    </row>
    <row r="55">
      <c r="A55" s="25" t="str">
        <f>IFERROR(__xludf.DUMMYFUNCTION("""COMPUTED_VALUE"""),"CH-SOL-143")</f>
        <v>CH-SOL-143</v>
      </c>
      <c r="B55" s="25" t="str">
        <f>IFERROR(__xludf.DUMMYFUNCTION("""COMPUTED_VALUE"""),"Out")</f>
        <v>Out</v>
      </c>
      <c r="C55" s="257">
        <f>IFERROR(__xludf.DUMMYFUNCTION("""COMPUTED_VALUE"""),46114.0)</f>
        <v>46114</v>
      </c>
      <c r="D55" s="25">
        <f>IFERROR(__xludf.DUMMYFUNCTION("""COMPUTED_VALUE"""),1.0)</f>
        <v>1</v>
      </c>
      <c r="E55" s="25"/>
      <c r="F55" s="25" t="str">
        <f>IFERROR(__xludf.DUMMYFUNCTION("""COMPUTED_VALUE"""),"Plate Cleaner UV")</f>
        <v>Plate Cleaner UV</v>
      </c>
      <c r="G55" s="25" t="str">
        <f>IFERROR(__xludf.DUMMYFUNCTION("""COMPUTED_VALUE"""),"Chemical")</f>
        <v>Chemical</v>
      </c>
      <c r="H55" s="25" t="str">
        <f>IFERROR(__xludf.DUMMYFUNCTION("""COMPUTED_VALUE"""),"Solution")</f>
        <v>Solution</v>
      </c>
      <c r="I55" s="25" t="str">
        <f>IFERROR(__xludf.DUMMYFUNCTION("""COMPUTED_VALUE"""),"–")</f>
        <v>–</v>
      </c>
      <c r="J55" s="25" t="str">
        <f>IFERROR(__xludf.DUMMYFUNCTION("""COMPUTED_VALUE"""),"–")</f>
        <v>–</v>
      </c>
      <c r="K55" s="25" t="str">
        <f>IFERROR(__xludf.DUMMYFUNCTION("""COMPUTED_VALUE"""),"–")</f>
        <v>–</v>
      </c>
      <c r="L55" s="25" t="str">
        <f>IFERROR(__xludf.DUMMYFUNCTION("""COMPUTED_VALUE"""),"Hard Gp")</f>
        <v>Hard Gp</v>
      </c>
      <c r="M55" s="25" t="str">
        <f>IFERROR(__xludf.DUMMYFUNCTION("""COMPUTED_VALUE"""),"Ltr")</f>
        <v>Ltr</v>
      </c>
    </row>
    <row r="56">
      <c r="A56" s="25" t="str">
        <f>IFERROR(__xludf.DUMMYFUNCTION("""COMPUTED_VALUE"""),"CH-SOL-268")</f>
        <v>CH-SOL-268</v>
      </c>
      <c r="B56" s="25" t="str">
        <f>IFERROR(__xludf.DUMMYFUNCTION("""COMPUTED_VALUE"""),"Out")</f>
        <v>Out</v>
      </c>
      <c r="C56" s="257">
        <f>IFERROR(__xludf.DUMMYFUNCTION("""COMPUTED_VALUE"""),46115.0)</f>
        <v>46115</v>
      </c>
      <c r="D56" s="25">
        <f>IFERROR(__xludf.DUMMYFUNCTION("""COMPUTED_VALUE"""),5.0)</f>
        <v>5</v>
      </c>
      <c r="E56" s="25"/>
      <c r="F56" s="25" t="str">
        <f>IFERROR(__xludf.DUMMYFUNCTION("""COMPUTED_VALUE"""),"Screen Clearning Aid Amyle")</f>
        <v>Screen Clearning Aid Amyle</v>
      </c>
      <c r="G56" s="25" t="str">
        <f>IFERROR(__xludf.DUMMYFUNCTION("""COMPUTED_VALUE"""),"Chemical")</f>
        <v>Chemical</v>
      </c>
      <c r="H56" s="25" t="str">
        <f>IFERROR(__xludf.DUMMYFUNCTION("""COMPUTED_VALUE"""),"Solution")</f>
        <v>Solution</v>
      </c>
      <c r="I56" s="25" t="str">
        <f>IFERROR(__xludf.DUMMYFUNCTION("""COMPUTED_VALUE"""),"–")</f>
        <v>–</v>
      </c>
      <c r="J56" s="25" t="str">
        <f>IFERROR(__xludf.DUMMYFUNCTION("""COMPUTED_VALUE"""),"–")</f>
        <v>–</v>
      </c>
      <c r="K56" s="25" t="str">
        <f>IFERROR(__xludf.DUMMYFUNCTION("""COMPUTED_VALUE"""),"–")</f>
        <v>–</v>
      </c>
      <c r="L56" s="25" t="str">
        <f>IFERROR(__xludf.DUMMYFUNCTION("""COMPUTED_VALUE"""),"–")</f>
        <v>–</v>
      </c>
      <c r="M56" s="25" t="str">
        <f>IFERROR(__xludf.DUMMYFUNCTION("""COMPUTED_VALUE"""),"Pc")</f>
        <v>Pc</v>
      </c>
    </row>
    <row r="57">
      <c r="A57" s="25" t="str">
        <f>IFERROR(__xludf.DUMMYFUNCTION("""COMPUTED_VALUE"""),"CH-SOL-143")</f>
        <v>CH-SOL-143</v>
      </c>
      <c r="B57" s="25" t="str">
        <f>IFERROR(__xludf.DUMMYFUNCTION("""COMPUTED_VALUE"""),"Out")</f>
        <v>Out</v>
      </c>
      <c r="C57" s="257">
        <f>IFERROR(__xludf.DUMMYFUNCTION("""COMPUTED_VALUE"""),46116.0)</f>
        <v>46116</v>
      </c>
      <c r="D57" s="25">
        <f>IFERROR(__xludf.DUMMYFUNCTION("""COMPUTED_VALUE"""),2.0)</f>
        <v>2</v>
      </c>
      <c r="E57" s="25"/>
      <c r="F57" s="25" t="str">
        <f>IFERROR(__xludf.DUMMYFUNCTION("""COMPUTED_VALUE"""),"Plate Cleaner UV")</f>
        <v>Plate Cleaner UV</v>
      </c>
      <c r="G57" s="25" t="str">
        <f>IFERROR(__xludf.DUMMYFUNCTION("""COMPUTED_VALUE"""),"Chemical")</f>
        <v>Chemical</v>
      </c>
      <c r="H57" s="25" t="str">
        <f>IFERROR(__xludf.DUMMYFUNCTION("""COMPUTED_VALUE"""),"Solution")</f>
        <v>Solution</v>
      </c>
      <c r="I57" s="25" t="str">
        <f>IFERROR(__xludf.DUMMYFUNCTION("""COMPUTED_VALUE"""),"–")</f>
        <v>–</v>
      </c>
      <c r="J57" s="25" t="str">
        <f>IFERROR(__xludf.DUMMYFUNCTION("""COMPUTED_VALUE"""),"–")</f>
        <v>–</v>
      </c>
      <c r="K57" s="25" t="str">
        <f>IFERROR(__xludf.DUMMYFUNCTION("""COMPUTED_VALUE"""),"–")</f>
        <v>–</v>
      </c>
      <c r="L57" s="25" t="str">
        <f>IFERROR(__xludf.DUMMYFUNCTION("""COMPUTED_VALUE"""),"Hard Gp")</f>
        <v>Hard Gp</v>
      </c>
      <c r="M57" s="25" t="str">
        <f>IFERROR(__xludf.DUMMYFUNCTION("""COMPUTED_VALUE"""),"Ltr")</f>
        <v>Ltr</v>
      </c>
    </row>
    <row r="58">
      <c r="A58" s="25" t="str">
        <f>IFERROR(__xludf.DUMMYFUNCTION("""COMPUTED_VALUE"""),"CH-SOL-179")</f>
        <v>CH-SOL-179</v>
      </c>
      <c r="B58" s="25" t="str">
        <f>IFERROR(__xludf.DUMMYFUNCTION("""COMPUTED_VALUE"""),"Out")</f>
        <v>Out</v>
      </c>
      <c r="C58" s="257">
        <f>IFERROR(__xludf.DUMMYFUNCTION("""COMPUTED_VALUE"""),46116.0)</f>
        <v>46116</v>
      </c>
      <c r="D58" s="25">
        <f>IFERROR(__xludf.DUMMYFUNCTION("""COMPUTED_VALUE"""),25.0)</f>
        <v>25</v>
      </c>
      <c r="E58" s="25"/>
      <c r="F58" s="25" t="str">
        <f>IFERROR(__xludf.DUMMYFUNCTION("""COMPUTED_VALUE"""),"New V FD Wash(Hard Wash)-HPC-0237/25D21")</f>
        <v>New V FD Wash(Hard Wash)-HPC-0237/25D21</v>
      </c>
      <c r="G58" s="25" t="str">
        <f>IFERROR(__xludf.DUMMYFUNCTION("""COMPUTED_VALUE"""),"Chemical")</f>
        <v>Chemical</v>
      </c>
      <c r="H58" s="25" t="str">
        <f>IFERROR(__xludf.DUMMYFUNCTION("""COMPUTED_VALUE"""),"Solution")</f>
        <v>Solution</v>
      </c>
      <c r="I58" s="25" t="str">
        <f>IFERROR(__xludf.DUMMYFUNCTION("""COMPUTED_VALUE"""),"–")</f>
        <v>–</v>
      </c>
      <c r="J58" s="25" t="str">
        <f>IFERROR(__xludf.DUMMYFUNCTION("""COMPUTED_VALUE"""),"–")</f>
        <v>–</v>
      </c>
      <c r="K58" s="25" t="str">
        <f>IFERROR(__xludf.DUMMYFUNCTION("""COMPUTED_VALUE"""),"–")</f>
        <v>–</v>
      </c>
      <c r="L58" s="25" t="str">
        <f>IFERROR(__xludf.DUMMYFUNCTION("""COMPUTED_VALUE"""),"Hard Wash")</f>
        <v>Hard Wash</v>
      </c>
      <c r="M58" s="25" t="str">
        <f>IFERROR(__xludf.DUMMYFUNCTION("""COMPUTED_VALUE"""),"Ltr")</f>
        <v>Ltr</v>
      </c>
    </row>
    <row r="59">
      <c r="A59" s="25" t="str">
        <f>IFERROR(__xludf.DUMMYFUNCTION("""COMPUTED_VALUE"""),"CH-SOL-144")</f>
        <v>CH-SOL-144</v>
      </c>
      <c r="B59" s="25" t="str">
        <f>IFERROR(__xludf.DUMMYFUNCTION("""COMPUTED_VALUE"""),"Out")</f>
        <v>Out</v>
      </c>
      <c r="C59" s="257">
        <f>IFERROR(__xludf.DUMMYFUNCTION("""COMPUTED_VALUE"""),46118.0)</f>
        <v>46118</v>
      </c>
      <c r="D59" s="25">
        <f>IFERROR(__xludf.DUMMYFUNCTION("""COMPUTED_VALUE"""),5.0)</f>
        <v>5</v>
      </c>
      <c r="E59" s="25"/>
      <c r="F59" s="25" t="str">
        <f>IFERROR(__xludf.DUMMYFUNCTION("""COMPUTED_VALUE"""),"Benzene")</f>
        <v>Benzene</v>
      </c>
      <c r="G59" s="25" t="str">
        <f>IFERROR(__xludf.DUMMYFUNCTION("""COMPUTED_VALUE"""),"Chemical")</f>
        <v>Chemical</v>
      </c>
      <c r="H59" s="25" t="str">
        <f>IFERROR(__xludf.DUMMYFUNCTION("""COMPUTED_VALUE"""),"Solution")</f>
        <v>Solution</v>
      </c>
      <c r="I59" s="25" t="str">
        <f>IFERROR(__xludf.DUMMYFUNCTION("""COMPUTED_VALUE"""),"–")</f>
        <v>–</v>
      </c>
      <c r="J59" s="25" t="str">
        <f>IFERROR(__xludf.DUMMYFUNCTION("""COMPUTED_VALUE"""),"–")</f>
        <v>–</v>
      </c>
      <c r="K59" s="25" t="str">
        <f>IFERROR(__xludf.DUMMYFUNCTION("""COMPUTED_VALUE"""),"–")</f>
        <v>–</v>
      </c>
      <c r="L59" s="25" t="str">
        <f>IFERROR(__xludf.DUMMYFUNCTION("""COMPUTED_VALUE"""),"Chemical")</f>
        <v>Chemical</v>
      </c>
      <c r="M59" s="25" t="str">
        <f>IFERROR(__xludf.DUMMYFUNCTION("""COMPUTED_VALUE"""),"Ltr")</f>
        <v>Ltr</v>
      </c>
    </row>
    <row r="60">
      <c r="A60" s="25" t="str">
        <f>IFERROR(__xludf.DUMMYFUNCTION("""COMPUTED_VALUE"""),"CH-SOL-179")</f>
        <v>CH-SOL-179</v>
      </c>
      <c r="B60" s="25" t="str">
        <f>IFERROR(__xludf.DUMMYFUNCTION("""COMPUTED_VALUE"""),"Out")</f>
        <v>Out</v>
      </c>
      <c r="C60" s="257">
        <f>IFERROR(__xludf.DUMMYFUNCTION("""COMPUTED_VALUE"""),46120.0)</f>
        <v>46120</v>
      </c>
      <c r="D60" s="25">
        <f>IFERROR(__xludf.DUMMYFUNCTION("""COMPUTED_VALUE"""),25.0)</f>
        <v>25</v>
      </c>
      <c r="E60" s="25"/>
      <c r="F60" s="25" t="str">
        <f>IFERROR(__xludf.DUMMYFUNCTION("""COMPUTED_VALUE"""),"New V FD Wash(Hard Wash)-HPC-0237/25D21")</f>
        <v>New V FD Wash(Hard Wash)-HPC-0237/25D21</v>
      </c>
      <c r="G60" s="25" t="str">
        <f>IFERROR(__xludf.DUMMYFUNCTION("""COMPUTED_VALUE"""),"Chemical")</f>
        <v>Chemical</v>
      </c>
      <c r="H60" s="25" t="str">
        <f>IFERROR(__xludf.DUMMYFUNCTION("""COMPUTED_VALUE"""),"Solution")</f>
        <v>Solution</v>
      </c>
      <c r="I60" s="25" t="str">
        <f>IFERROR(__xludf.DUMMYFUNCTION("""COMPUTED_VALUE"""),"–")</f>
        <v>–</v>
      </c>
      <c r="J60" s="25" t="str">
        <f>IFERROR(__xludf.DUMMYFUNCTION("""COMPUTED_VALUE"""),"–")</f>
        <v>–</v>
      </c>
      <c r="K60" s="25" t="str">
        <f>IFERROR(__xludf.DUMMYFUNCTION("""COMPUTED_VALUE"""),"–")</f>
        <v>–</v>
      </c>
      <c r="L60" s="25" t="str">
        <f>IFERROR(__xludf.DUMMYFUNCTION("""COMPUTED_VALUE"""),"Hard Wash")</f>
        <v>Hard Wash</v>
      </c>
      <c r="M60" s="25" t="str">
        <f>IFERROR(__xludf.DUMMYFUNCTION("""COMPUTED_VALUE"""),"Ltr")</f>
        <v>Ltr</v>
      </c>
    </row>
    <row r="61">
      <c r="A61" s="25" t="str">
        <f>IFERROR(__xludf.DUMMYFUNCTION("""COMPUTED_VALUE"""),"CH-SOL-116")</f>
        <v>CH-SOL-116</v>
      </c>
      <c r="B61" s="25" t="str">
        <f>IFERROR(__xludf.DUMMYFUNCTION("""COMPUTED_VALUE"""),"Out")</f>
        <v>Out</v>
      </c>
      <c r="C61" s="257">
        <f>IFERROR(__xludf.DUMMYFUNCTION("""COMPUTED_VALUE"""),46121.0)</f>
        <v>46121</v>
      </c>
      <c r="D61" s="25">
        <f>IFERROR(__xludf.DUMMYFUNCTION("""COMPUTED_VALUE"""),25.0)</f>
        <v>25</v>
      </c>
      <c r="E61" s="25"/>
      <c r="F61" s="25" t="str">
        <f>IFERROR(__xludf.DUMMYFUNCTION("""COMPUTED_VALUE"""),"Nova Nol Xtra")</f>
        <v>Nova Nol Xtra</v>
      </c>
      <c r="G61" s="25" t="str">
        <f>IFERROR(__xludf.DUMMYFUNCTION("""COMPUTED_VALUE"""),"Chemical")</f>
        <v>Chemical</v>
      </c>
      <c r="H61" s="25" t="str">
        <f>IFERROR(__xludf.DUMMYFUNCTION("""COMPUTED_VALUE"""),"Solution")</f>
        <v>Solution</v>
      </c>
      <c r="I61" s="25" t="str">
        <f>IFERROR(__xludf.DUMMYFUNCTION("""COMPUTED_VALUE"""),"–")</f>
        <v>–</v>
      </c>
      <c r="J61" s="25" t="str">
        <f>IFERROR(__xludf.DUMMYFUNCTION("""COMPUTED_VALUE"""),"–")</f>
        <v>–</v>
      </c>
      <c r="K61" s="25" t="str">
        <f>IFERROR(__xludf.DUMMYFUNCTION("""COMPUTED_VALUE"""),"–")</f>
        <v>–</v>
      </c>
      <c r="L61" s="25" t="str">
        <f>IFERROR(__xludf.DUMMYFUNCTION("""COMPUTED_VALUE"""),"Alcohol")</f>
        <v>Alcohol</v>
      </c>
      <c r="M61" s="25" t="str">
        <f>IFERROR(__xludf.DUMMYFUNCTION("""COMPUTED_VALUE"""),"Ltr")</f>
        <v>Ltr</v>
      </c>
    </row>
    <row r="62">
      <c r="A62" s="25" t="str">
        <f>IFERROR(__xludf.DUMMYFUNCTION("""COMPUTED_VALUE"""),"CH-SOL-118")</f>
        <v>CH-SOL-118</v>
      </c>
      <c r="B62" s="25" t="str">
        <f>IFERROR(__xludf.DUMMYFUNCTION("""COMPUTED_VALUE"""),"Out")</f>
        <v>Out</v>
      </c>
      <c r="C62" s="257">
        <f>IFERROR(__xludf.DUMMYFUNCTION("""COMPUTED_VALUE"""),46126.0)</f>
        <v>46126</v>
      </c>
      <c r="D62" s="25">
        <f>IFERROR(__xludf.DUMMYFUNCTION("""COMPUTED_VALUE"""),1.0)</f>
        <v>1</v>
      </c>
      <c r="E62" s="25"/>
      <c r="F62" s="25" t="str">
        <f>IFERROR(__xludf.DUMMYFUNCTION("""COMPUTED_VALUE"""),"Anti Set off spray")</f>
        <v>Anti Set off spray</v>
      </c>
      <c r="G62" s="25" t="str">
        <f>IFERROR(__xludf.DUMMYFUNCTION("""COMPUTED_VALUE"""),"Chemical")</f>
        <v>Chemical</v>
      </c>
      <c r="H62" s="25" t="str">
        <f>IFERROR(__xludf.DUMMYFUNCTION("""COMPUTED_VALUE"""),"Solution")</f>
        <v>Solution</v>
      </c>
      <c r="I62" s="25" t="str">
        <f>IFERROR(__xludf.DUMMYFUNCTION("""COMPUTED_VALUE"""),"–")</f>
        <v>–</v>
      </c>
      <c r="J62" s="25" t="str">
        <f>IFERROR(__xludf.DUMMYFUNCTION("""COMPUTED_VALUE"""),"–")</f>
        <v>–</v>
      </c>
      <c r="K62" s="25" t="str">
        <f>IFERROR(__xludf.DUMMYFUNCTION("""COMPUTED_VALUE"""),"–")</f>
        <v>–</v>
      </c>
      <c r="L62" s="25" t="str">
        <f>IFERROR(__xludf.DUMMYFUNCTION("""COMPUTED_VALUE"""),"–")</f>
        <v>–</v>
      </c>
      <c r="M62" s="25" t="str">
        <f>IFERROR(__xludf.DUMMYFUNCTION("""COMPUTED_VALUE"""),"Pkt")</f>
        <v>Pkt</v>
      </c>
    </row>
    <row r="63">
      <c r="A63" s="25" t="str">
        <f>IFERROR(__xludf.DUMMYFUNCTION("""COMPUTED_VALUE"""),"CH-SOL-212")</f>
        <v>CH-SOL-212</v>
      </c>
      <c r="B63" s="25" t="str">
        <f>IFERROR(__xludf.DUMMYFUNCTION("""COMPUTED_VALUE"""),"Out")</f>
        <v>Out</v>
      </c>
      <c r="C63" s="257">
        <f>IFERROR(__xludf.DUMMYFUNCTION("""COMPUTED_VALUE"""),46127.0)</f>
        <v>46127</v>
      </c>
      <c r="D63" s="25">
        <f>IFERROR(__xludf.DUMMYFUNCTION("""COMPUTED_VALUE"""),5.0)</f>
        <v>5</v>
      </c>
      <c r="E63" s="25"/>
      <c r="F63" s="25" t="str">
        <f>IFERROR(__xludf.DUMMYFUNCTION("""COMPUTED_VALUE"""),"New V Screen Trans ink")</f>
        <v>New V Screen Trans ink</v>
      </c>
      <c r="G63" s="25" t="str">
        <f>IFERROR(__xludf.DUMMYFUNCTION("""COMPUTED_VALUE"""),"Chemical")</f>
        <v>Chemical</v>
      </c>
      <c r="H63" s="25" t="str">
        <f>IFERROR(__xludf.DUMMYFUNCTION("""COMPUTED_VALUE"""),"Solution")</f>
        <v>Solution</v>
      </c>
      <c r="I63" s="25" t="str">
        <f>IFERROR(__xludf.DUMMYFUNCTION("""COMPUTED_VALUE"""),"–")</f>
        <v>–</v>
      </c>
      <c r="J63" s="25" t="str">
        <f>IFERROR(__xludf.DUMMYFUNCTION("""COMPUTED_VALUE"""),"–")</f>
        <v>–</v>
      </c>
      <c r="K63" s="25" t="str">
        <f>IFERROR(__xludf.DUMMYFUNCTION("""COMPUTED_VALUE"""),"–")</f>
        <v>–</v>
      </c>
      <c r="L63" s="25" t="str">
        <f>IFERROR(__xludf.DUMMYFUNCTION("""COMPUTED_VALUE"""),"UV Screen Gloss-SPOT UV")</f>
        <v>UV Screen Gloss-SPOT UV</v>
      </c>
      <c r="M63" s="25" t="str">
        <f>IFERROR(__xludf.DUMMYFUNCTION("""COMPUTED_VALUE"""),"Ltr")</f>
        <v>Ltr</v>
      </c>
    </row>
    <row r="64">
      <c r="A64" s="25" t="str">
        <f>IFERROR(__xludf.DUMMYFUNCTION("""COMPUTED_VALUE"""),"CH-SOL-116")</f>
        <v>CH-SOL-116</v>
      </c>
      <c r="B64" s="25" t="str">
        <f>IFERROR(__xludf.DUMMYFUNCTION("""COMPUTED_VALUE"""),"Out")</f>
        <v>Out</v>
      </c>
      <c r="C64" s="257">
        <f>IFERROR(__xludf.DUMMYFUNCTION("""COMPUTED_VALUE"""),46127.0)</f>
        <v>46127</v>
      </c>
      <c r="D64" s="25">
        <f>IFERROR(__xludf.DUMMYFUNCTION("""COMPUTED_VALUE"""),20.0)</f>
        <v>20</v>
      </c>
      <c r="E64" s="25"/>
      <c r="F64" s="25" t="str">
        <f>IFERROR(__xludf.DUMMYFUNCTION("""COMPUTED_VALUE"""),"Nova Nol Xtra")</f>
        <v>Nova Nol Xtra</v>
      </c>
      <c r="G64" s="25" t="str">
        <f>IFERROR(__xludf.DUMMYFUNCTION("""COMPUTED_VALUE"""),"Chemical")</f>
        <v>Chemical</v>
      </c>
      <c r="H64" s="25" t="str">
        <f>IFERROR(__xludf.DUMMYFUNCTION("""COMPUTED_VALUE"""),"Solution")</f>
        <v>Solution</v>
      </c>
      <c r="I64" s="25" t="str">
        <f>IFERROR(__xludf.DUMMYFUNCTION("""COMPUTED_VALUE"""),"–")</f>
        <v>–</v>
      </c>
      <c r="J64" s="25" t="str">
        <f>IFERROR(__xludf.DUMMYFUNCTION("""COMPUTED_VALUE"""),"–")</f>
        <v>–</v>
      </c>
      <c r="K64" s="25" t="str">
        <f>IFERROR(__xludf.DUMMYFUNCTION("""COMPUTED_VALUE"""),"–")</f>
        <v>–</v>
      </c>
      <c r="L64" s="25" t="str">
        <f>IFERROR(__xludf.DUMMYFUNCTION("""COMPUTED_VALUE"""),"Alcohol")</f>
        <v>Alcohol</v>
      </c>
      <c r="M64" s="25" t="str">
        <f>IFERROR(__xludf.DUMMYFUNCTION("""COMPUTED_VALUE"""),"Ltr")</f>
        <v>Ltr</v>
      </c>
    </row>
    <row r="65">
      <c r="A65" s="25" t="str">
        <f>IFERROR(__xludf.DUMMYFUNCTION("""COMPUTED_VALUE"""),"CH-SOL-305")</f>
        <v>CH-SOL-305</v>
      </c>
      <c r="B65" s="25" t="str">
        <f>IFERROR(__xludf.DUMMYFUNCTION("""COMPUTED_VALUE"""),"Out")</f>
        <v>Out</v>
      </c>
      <c r="C65" s="257">
        <f>IFERROR(__xludf.DUMMYFUNCTION("""COMPUTED_VALUE"""),46130.0)</f>
        <v>46130</v>
      </c>
      <c r="D65" s="25">
        <f>IFERROR(__xludf.DUMMYFUNCTION("""COMPUTED_VALUE"""),1.0)</f>
        <v>1</v>
      </c>
      <c r="E65" s="25"/>
      <c r="F65" s="25" t="str">
        <f>IFERROR(__xludf.DUMMYFUNCTION("""COMPUTED_VALUE"""),"GEL TACK REDUCER")</f>
        <v>GEL TACK REDUCER</v>
      </c>
      <c r="G65" s="25" t="str">
        <f>IFERROR(__xludf.DUMMYFUNCTION("""COMPUTED_VALUE"""),"Chemical")</f>
        <v>Chemical</v>
      </c>
      <c r="H65" s="25" t="str">
        <f>IFERROR(__xludf.DUMMYFUNCTION("""COMPUTED_VALUE"""),"Solution")</f>
        <v>Solution</v>
      </c>
      <c r="I65" s="25" t="str">
        <f>IFERROR(__xludf.DUMMYFUNCTION("""COMPUTED_VALUE"""),"–")</f>
        <v>–</v>
      </c>
      <c r="J65" s="25" t="str">
        <f>IFERROR(__xludf.DUMMYFUNCTION("""COMPUTED_VALUE"""),"–")</f>
        <v>–</v>
      </c>
      <c r="K65" s="25" t="str">
        <f>IFERROR(__xludf.DUMMYFUNCTION("""COMPUTED_VALUE"""),"–")</f>
        <v>–</v>
      </c>
      <c r="L65" s="25" t="str">
        <f>IFERROR(__xludf.DUMMYFUNCTION("""COMPUTED_VALUE"""),"–")</f>
        <v>–</v>
      </c>
      <c r="M65" s="25" t="str">
        <f>IFERROR(__xludf.DUMMYFUNCTION("""COMPUTED_VALUE"""),"Kg")</f>
        <v>Kg</v>
      </c>
    </row>
    <row r="66">
      <c r="A66" s="25" t="str">
        <f>IFERROR(__xludf.DUMMYFUNCTION("""COMPUTED_VALUE"""),"CH-SOL-140")</f>
        <v>CH-SOL-140</v>
      </c>
      <c r="B66" s="25" t="str">
        <f>IFERROR(__xludf.DUMMYFUNCTION("""COMPUTED_VALUE"""),"Out")</f>
        <v>Out</v>
      </c>
      <c r="C66" s="257">
        <f>IFERROR(__xludf.DUMMYFUNCTION("""COMPUTED_VALUE"""),46130.0)</f>
        <v>46130</v>
      </c>
      <c r="D66" s="25">
        <f>IFERROR(__xludf.DUMMYFUNCTION("""COMPUTED_VALUE"""),0.25)</f>
        <v>0.25</v>
      </c>
      <c r="E66" s="25"/>
      <c r="F66" s="25" t="str">
        <f>IFERROR(__xludf.DUMMYFUNCTION("""COMPUTED_VALUE"""),"Chemical Blanket Saver")</f>
        <v>Chemical Blanket Saver</v>
      </c>
      <c r="G66" s="25" t="str">
        <f>IFERROR(__xludf.DUMMYFUNCTION("""COMPUTED_VALUE"""),"Chemical")</f>
        <v>Chemical</v>
      </c>
      <c r="H66" s="25" t="str">
        <f>IFERROR(__xludf.DUMMYFUNCTION("""COMPUTED_VALUE"""),"Solution")</f>
        <v>Solution</v>
      </c>
      <c r="I66" s="25" t="str">
        <f>IFERROR(__xludf.DUMMYFUNCTION("""COMPUTED_VALUE"""),"–")</f>
        <v>–</v>
      </c>
      <c r="J66" s="25" t="str">
        <f>IFERROR(__xludf.DUMMYFUNCTION("""COMPUTED_VALUE"""),"–")</f>
        <v>–</v>
      </c>
      <c r="K66" s="25" t="str">
        <f>IFERROR(__xludf.DUMMYFUNCTION("""COMPUTED_VALUE"""),"–")</f>
        <v>–</v>
      </c>
      <c r="L66" s="25" t="str">
        <f>IFERROR(__xludf.DUMMYFUNCTION("""COMPUTED_VALUE"""),"–")</f>
        <v>–</v>
      </c>
      <c r="M66" s="25" t="str">
        <f>IFERROR(__xludf.DUMMYFUNCTION("""COMPUTED_VALUE"""),"Kg")</f>
        <v>Kg</v>
      </c>
    </row>
    <row r="67">
      <c r="A67" s="25" t="str">
        <f>IFERROR(__xludf.DUMMYFUNCTION("""COMPUTED_VALUE"""),"CH-SOL-268")</f>
        <v>CH-SOL-268</v>
      </c>
      <c r="B67" s="25" t="str">
        <f>IFERROR(__xludf.DUMMYFUNCTION("""COMPUTED_VALUE"""),"Out")</f>
        <v>Out</v>
      </c>
      <c r="C67" s="257">
        <f>IFERROR(__xludf.DUMMYFUNCTION("""COMPUTED_VALUE"""),46132.0)</f>
        <v>46132</v>
      </c>
      <c r="D67" s="25">
        <f>IFERROR(__xludf.DUMMYFUNCTION("""COMPUTED_VALUE"""),5.0)</f>
        <v>5</v>
      </c>
      <c r="E67" s="25"/>
      <c r="F67" s="25" t="str">
        <f>IFERROR(__xludf.DUMMYFUNCTION("""COMPUTED_VALUE"""),"Screen Clearning Aid Amyle")</f>
        <v>Screen Clearning Aid Amyle</v>
      </c>
      <c r="G67" s="25" t="str">
        <f>IFERROR(__xludf.DUMMYFUNCTION("""COMPUTED_VALUE"""),"Chemical")</f>
        <v>Chemical</v>
      </c>
      <c r="H67" s="25" t="str">
        <f>IFERROR(__xludf.DUMMYFUNCTION("""COMPUTED_VALUE"""),"Solution")</f>
        <v>Solution</v>
      </c>
      <c r="I67" s="25" t="str">
        <f>IFERROR(__xludf.DUMMYFUNCTION("""COMPUTED_VALUE"""),"–")</f>
        <v>–</v>
      </c>
      <c r="J67" s="25" t="str">
        <f>IFERROR(__xludf.DUMMYFUNCTION("""COMPUTED_VALUE"""),"–")</f>
        <v>–</v>
      </c>
      <c r="K67" s="25" t="str">
        <f>IFERROR(__xludf.DUMMYFUNCTION("""COMPUTED_VALUE"""),"–")</f>
        <v>–</v>
      </c>
      <c r="L67" s="25" t="str">
        <f>IFERROR(__xludf.DUMMYFUNCTION("""COMPUTED_VALUE"""),"–")</f>
        <v>–</v>
      </c>
      <c r="M67" s="25" t="str">
        <f>IFERROR(__xludf.DUMMYFUNCTION("""COMPUTED_VALUE"""),"Pc")</f>
        <v>Pc</v>
      </c>
    </row>
    <row r="68">
      <c r="A68" s="25" t="str">
        <f>IFERROR(__xludf.DUMMYFUNCTION("""COMPUTED_VALUE"""),"CH-SOL-313")</f>
        <v>CH-SOL-313</v>
      </c>
      <c r="B68" s="25" t="str">
        <f>IFERROR(__xludf.DUMMYFUNCTION("""COMPUTED_VALUE"""),"Out")</f>
        <v>Out</v>
      </c>
      <c r="C68" s="257">
        <f>IFERROR(__xludf.DUMMYFUNCTION("""COMPUTED_VALUE"""),46132.0)</f>
        <v>46132</v>
      </c>
      <c r="D68" s="25">
        <f>IFERROR(__xludf.DUMMYFUNCTION("""COMPUTED_VALUE"""),0.42)</f>
        <v>0.42</v>
      </c>
      <c r="E68" s="25"/>
      <c r="F68" s="25" t="str">
        <f>IFERROR(__xludf.DUMMYFUNCTION("""COMPUTED_VALUE"""),"WD 40")</f>
        <v>WD 40</v>
      </c>
      <c r="G68" s="25" t="str">
        <f>IFERROR(__xludf.DUMMYFUNCTION("""COMPUTED_VALUE"""),"Chemical")</f>
        <v>Chemical</v>
      </c>
      <c r="H68" s="25" t="str">
        <f>IFERROR(__xludf.DUMMYFUNCTION("""COMPUTED_VALUE"""),"Solution")</f>
        <v>Solution</v>
      </c>
      <c r="I68" s="25" t="str">
        <f>IFERROR(__xludf.DUMMYFUNCTION("""COMPUTED_VALUE"""),"–")</f>
        <v>–</v>
      </c>
      <c r="J68" s="25" t="str">
        <f>IFERROR(__xludf.DUMMYFUNCTION("""COMPUTED_VALUE"""),"–")</f>
        <v>–</v>
      </c>
      <c r="K68" s="25" t="str">
        <f>IFERROR(__xludf.DUMMYFUNCTION("""COMPUTED_VALUE"""),"–")</f>
        <v>–</v>
      </c>
      <c r="L68" s="25" t="str">
        <f>IFERROR(__xludf.DUMMYFUNCTION("""COMPUTED_VALUE"""),"Anti Rust")</f>
        <v>Anti Rust</v>
      </c>
      <c r="M68" s="25" t="str">
        <f>IFERROR(__xludf.DUMMYFUNCTION("""COMPUTED_VALUE"""),"Ltr")</f>
        <v>Ltr</v>
      </c>
    </row>
    <row r="69">
      <c r="A69" s="25" t="str">
        <f>IFERROR(__xludf.DUMMYFUNCTION("""COMPUTED_VALUE"""),"CH-SOL-116")</f>
        <v>CH-SOL-116</v>
      </c>
      <c r="B69" s="25" t="str">
        <f>IFERROR(__xludf.DUMMYFUNCTION("""COMPUTED_VALUE"""),"Out")</f>
        <v>Out</v>
      </c>
      <c r="C69" s="257">
        <f>IFERROR(__xludf.DUMMYFUNCTION("""COMPUTED_VALUE"""),46133.0)</f>
        <v>46133</v>
      </c>
      <c r="D69" s="25">
        <f>IFERROR(__xludf.DUMMYFUNCTION("""COMPUTED_VALUE"""),20.0)</f>
        <v>20</v>
      </c>
      <c r="E69" s="25"/>
      <c r="F69" s="25" t="str">
        <f>IFERROR(__xludf.DUMMYFUNCTION("""COMPUTED_VALUE"""),"Nova Nol Xtra")</f>
        <v>Nova Nol Xtra</v>
      </c>
      <c r="G69" s="25" t="str">
        <f>IFERROR(__xludf.DUMMYFUNCTION("""COMPUTED_VALUE"""),"Chemical")</f>
        <v>Chemical</v>
      </c>
      <c r="H69" s="25" t="str">
        <f>IFERROR(__xludf.DUMMYFUNCTION("""COMPUTED_VALUE"""),"Solution")</f>
        <v>Solution</v>
      </c>
      <c r="I69" s="25" t="str">
        <f>IFERROR(__xludf.DUMMYFUNCTION("""COMPUTED_VALUE"""),"–")</f>
        <v>–</v>
      </c>
      <c r="J69" s="25" t="str">
        <f>IFERROR(__xludf.DUMMYFUNCTION("""COMPUTED_VALUE"""),"–")</f>
        <v>–</v>
      </c>
      <c r="K69" s="25" t="str">
        <f>IFERROR(__xludf.DUMMYFUNCTION("""COMPUTED_VALUE"""),"–")</f>
        <v>–</v>
      </c>
      <c r="L69" s="25" t="str">
        <f>IFERROR(__xludf.DUMMYFUNCTION("""COMPUTED_VALUE"""),"Alcohol")</f>
        <v>Alcohol</v>
      </c>
      <c r="M69" s="25" t="str">
        <f>IFERROR(__xludf.DUMMYFUNCTION("""COMPUTED_VALUE"""),"Ltr")</f>
        <v>Ltr</v>
      </c>
    </row>
    <row r="70">
      <c r="A70" s="25" t="str">
        <f>IFERROR(__xludf.DUMMYFUNCTION("""COMPUTED_VALUE"""),"CH-SOL-116")</f>
        <v>CH-SOL-116</v>
      </c>
      <c r="B70" s="25" t="str">
        <f>IFERROR(__xludf.DUMMYFUNCTION("""COMPUTED_VALUE"""),"Out")</f>
        <v>Out</v>
      </c>
      <c r="C70" s="257">
        <f>IFERROR(__xludf.DUMMYFUNCTION("""COMPUTED_VALUE"""),46135.0)</f>
        <v>46135</v>
      </c>
      <c r="D70" s="25">
        <f>IFERROR(__xludf.DUMMYFUNCTION("""COMPUTED_VALUE"""),20.0)</f>
        <v>20</v>
      </c>
      <c r="E70" s="25"/>
      <c r="F70" s="25" t="str">
        <f>IFERROR(__xludf.DUMMYFUNCTION("""COMPUTED_VALUE"""),"Nova Nol Xtra")</f>
        <v>Nova Nol Xtra</v>
      </c>
      <c r="G70" s="25" t="str">
        <f>IFERROR(__xludf.DUMMYFUNCTION("""COMPUTED_VALUE"""),"Chemical")</f>
        <v>Chemical</v>
      </c>
      <c r="H70" s="25" t="str">
        <f>IFERROR(__xludf.DUMMYFUNCTION("""COMPUTED_VALUE"""),"Solution")</f>
        <v>Solution</v>
      </c>
      <c r="I70" s="25" t="str">
        <f>IFERROR(__xludf.DUMMYFUNCTION("""COMPUTED_VALUE"""),"–")</f>
        <v>–</v>
      </c>
      <c r="J70" s="25" t="str">
        <f>IFERROR(__xludf.DUMMYFUNCTION("""COMPUTED_VALUE"""),"–")</f>
        <v>–</v>
      </c>
      <c r="K70" s="25" t="str">
        <f>IFERROR(__xludf.DUMMYFUNCTION("""COMPUTED_VALUE"""),"–")</f>
        <v>–</v>
      </c>
      <c r="L70" s="25" t="str">
        <f>IFERROR(__xludf.DUMMYFUNCTION("""COMPUTED_VALUE"""),"Alcohol")</f>
        <v>Alcohol</v>
      </c>
      <c r="M70" s="25" t="str">
        <f>IFERROR(__xludf.DUMMYFUNCTION("""COMPUTED_VALUE"""),"Ltr")</f>
        <v>Ltr</v>
      </c>
    </row>
    <row r="71">
      <c r="A71" s="25" t="str">
        <f>IFERROR(__xludf.DUMMYFUNCTION("""COMPUTED_VALUE"""),"CH-SOL-313")</f>
        <v>CH-SOL-313</v>
      </c>
      <c r="B71" s="25" t="str">
        <f>IFERROR(__xludf.DUMMYFUNCTION("""COMPUTED_VALUE"""),"Out")</f>
        <v>Out</v>
      </c>
      <c r="C71" s="257">
        <f>IFERROR(__xludf.DUMMYFUNCTION("""COMPUTED_VALUE"""),46135.0)</f>
        <v>46135</v>
      </c>
      <c r="D71" s="25">
        <f>IFERROR(__xludf.DUMMYFUNCTION("""COMPUTED_VALUE"""),0.42)</f>
        <v>0.42</v>
      </c>
      <c r="E71" s="25"/>
      <c r="F71" s="25" t="str">
        <f>IFERROR(__xludf.DUMMYFUNCTION("""COMPUTED_VALUE"""),"WD 40")</f>
        <v>WD 40</v>
      </c>
      <c r="G71" s="25" t="str">
        <f>IFERROR(__xludf.DUMMYFUNCTION("""COMPUTED_VALUE"""),"Chemical")</f>
        <v>Chemical</v>
      </c>
      <c r="H71" s="25" t="str">
        <f>IFERROR(__xludf.DUMMYFUNCTION("""COMPUTED_VALUE"""),"Solution")</f>
        <v>Solution</v>
      </c>
      <c r="I71" s="25" t="str">
        <f>IFERROR(__xludf.DUMMYFUNCTION("""COMPUTED_VALUE"""),"–")</f>
        <v>–</v>
      </c>
      <c r="J71" s="25" t="str">
        <f>IFERROR(__xludf.DUMMYFUNCTION("""COMPUTED_VALUE"""),"–")</f>
        <v>–</v>
      </c>
      <c r="K71" s="25" t="str">
        <f>IFERROR(__xludf.DUMMYFUNCTION("""COMPUTED_VALUE"""),"–")</f>
        <v>–</v>
      </c>
      <c r="L71" s="25" t="str">
        <f>IFERROR(__xludf.DUMMYFUNCTION("""COMPUTED_VALUE"""),"Anti Rust")</f>
        <v>Anti Rust</v>
      </c>
      <c r="M71" s="25" t="str">
        <f>IFERROR(__xludf.DUMMYFUNCTION("""COMPUTED_VALUE"""),"Ltr")</f>
        <v>Ltr</v>
      </c>
    </row>
    <row r="72">
      <c r="A72" s="25" t="str">
        <f>IFERROR(__xludf.DUMMYFUNCTION("""COMPUTED_VALUE"""),"CH-VAR-141")</f>
        <v>CH-VAR-141</v>
      </c>
      <c r="B72" s="25" t="str">
        <f>IFERROR(__xludf.DUMMYFUNCTION("""COMPUTED_VALUE"""),"Out")</f>
        <v>Out</v>
      </c>
      <c r="C72" s="257">
        <f>IFERROR(__xludf.DUMMYFUNCTION("""COMPUTED_VALUE"""),46135.0)</f>
        <v>46135</v>
      </c>
      <c r="D72" s="25">
        <f>IFERROR(__xludf.DUMMYFUNCTION("""COMPUTED_VALUE"""),20.0)</f>
        <v>20</v>
      </c>
      <c r="E72" s="25"/>
      <c r="F72" s="25" t="str">
        <f>IFERROR(__xludf.DUMMYFUNCTION("""COMPUTED_VALUE"""),"Ultra Shield 417 Duct Gloss OP Varnish")</f>
        <v>Ultra Shield 417 Duct Gloss OP Varnish</v>
      </c>
      <c r="G72" s="25" t="str">
        <f>IFERROR(__xludf.DUMMYFUNCTION("""COMPUTED_VALUE"""),"Chemical")</f>
        <v>Chemical</v>
      </c>
      <c r="H72" s="25" t="str">
        <f>IFERROR(__xludf.DUMMYFUNCTION("""COMPUTED_VALUE"""),"Varnish")</f>
        <v>Varnish</v>
      </c>
      <c r="I72" s="25" t="str">
        <f>IFERROR(__xludf.DUMMYFUNCTION("""COMPUTED_VALUE"""),"–")</f>
        <v>–</v>
      </c>
      <c r="J72" s="25" t="str">
        <f>IFERROR(__xludf.DUMMYFUNCTION("""COMPUTED_VALUE"""),"–")</f>
        <v>–</v>
      </c>
      <c r="K72" s="25" t="str">
        <f>IFERROR(__xludf.DUMMYFUNCTION("""COMPUTED_VALUE"""),"–")</f>
        <v>–</v>
      </c>
      <c r="L72" s="25" t="str">
        <f>IFERROR(__xludf.DUMMYFUNCTION("""COMPUTED_VALUE"""),"Duct Gloss-Full UV")</f>
        <v>Duct Gloss-Full UV</v>
      </c>
      <c r="M72" s="25" t="str">
        <f>IFERROR(__xludf.DUMMYFUNCTION("""COMPUTED_VALUE"""),"Kg")</f>
        <v>Kg</v>
      </c>
    </row>
    <row r="73">
      <c r="A73" s="25" t="str">
        <f>IFERROR(__xludf.DUMMYFUNCTION("""COMPUTED_VALUE"""),"CH-SOL-114")</f>
        <v>CH-SOL-114</v>
      </c>
      <c r="B73" s="25" t="str">
        <f>IFERROR(__xludf.DUMMYFUNCTION("""COMPUTED_VALUE"""),"Out")</f>
        <v>Out</v>
      </c>
      <c r="C73" s="257">
        <f>IFERROR(__xludf.DUMMYFUNCTION("""COMPUTED_VALUE"""),46137.0)</f>
        <v>46137</v>
      </c>
      <c r="D73" s="25">
        <f>IFERROR(__xludf.DUMMYFUNCTION("""COMPUTED_VALUE"""),25.0)</f>
        <v>25</v>
      </c>
      <c r="E73" s="25"/>
      <c r="F73" s="25" t="str">
        <f>IFERROR(__xludf.DUMMYFUNCTION("""COMPUTED_VALUE"""),"Classic Multi Wash-HPC 0214/25D21")</f>
        <v>Classic Multi Wash-HPC 0214/25D21</v>
      </c>
      <c r="G73" s="25" t="str">
        <f>IFERROR(__xludf.DUMMYFUNCTION("""COMPUTED_VALUE"""),"Chemical")</f>
        <v>Chemical</v>
      </c>
      <c r="H73" s="25" t="str">
        <f>IFERROR(__xludf.DUMMYFUNCTION("""COMPUTED_VALUE"""),"Solution")</f>
        <v>Solution</v>
      </c>
      <c r="I73" s="25" t="str">
        <f>IFERROR(__xludf.DUMMYFUNCTION("""COMPUTED_VALUE"""),"–")</f>
        <v>–</v>
      </c>
      <c r="J73" s="25" t="str">
        <f>IFERROR(__xludf.DUMMYFUNCTION("""COMPUTED_VALUE"""),"–")</f>
        <v>–</v>
      </c>
      <c r="K73" s="25" t="str">
        <f>IFERROR(__xludf.DUMMYFUNCTION("""COMPUTED_VALUE"""),"–")</f>
        <v>–</v>
      </c>
      <c r="L73" s="25" t="str">
        <f>IFERROR(__xludf.DUMMYFUNCTION("""COMPUTED_VALUE"""),"Normal Wash")</f>
        <v>Normal Wash</v>
      </c>
      <c r="M73" s="25" t="str">
        <f>IFERROR(__xludf.DUMMYFUNCTION("""COMPUTED_VALUE"""),"Ltr")</f>
        <v>Ltr</v>
      </c>
    </row>
    <row r="74">
      <c r="A74" s="25" t="str">
        <f>IFERROR(__xludf.DUMMYFUNCTION("""COMPUTED_VALUE"""),"CH-SOL-144")</f>
        <v>CH-SOL-144</v>
      </c>
      <c r="B74" s="25" t="str">
        <f>IFERROR(__xludf.DUMMYFUNCTION("""COMPUTED_VALUE"""),"Out")</f>
        <v>Out</v>
      </c>
      <c r="C74" s="257">
        <f>IFERROR(__xludf.DUMMYFUNCTION("""COMPUTED_VALUE"""),46136.0)</f>
        <v>46136</v>
      </c>
      <c r="D74" s="25">
        <f>IFERROR(__xludf.DUMMYFUNCTION("""COMPUTED_VALUE"""),5.0)</f>
        <v>5</v>
      </c>
      <c r="E74" s="25"/>
      <c r="F74" s="25" t="str">
        <f>IFERROR(__xludf.DUMMYFUNCTION("""COMPUTED_VALUE"""),"Benzene")</f>
        <v>Benzene</v>
      </c>
      <c r="G74" s="25" t="str">
        <f>IFERROR(__xludf.DUMMYFUNCTION("""COMPUTED_VALUE"""),"Chemical")</f>
        <v>Chemical</v>
      </c>
      <c r="H74" s="25" t="str">
        <f>IFERROR(__xludf.DUMMYFUNCTION("""COMPUTED_VALUE"""),"Solution")</f>
        <v>Solution</v>
      </c>
      <c r="I74" s="25" t="str">
        <f>IFERROR(__xludf.DUMMYFUNCTION("""COMPUTED_VALUE"""),"–")</f>
        <v>–</v>
      </c>
      <c r="J74" s="25" t="str">
        <f>IFERROR(__xludf.DUMMYFUNCTION("""COMPUTED_VALUE"""),"–")</f>
        <v>–</v>
      </c>
      <c r="K74" s="25" t="str">
        <f>IFERROR(__xludf.DUMMYFUNCTION("""COMPUTED_VALUE"""),"–")</f>
        <v>–</v>
      </c>
      <c r="L74" s="25" t="str">
        <f>IFERROR(__xludf.DUMMYFUNCTION("""COMPUTED_VALUE"""),"Chemical")</f>
        <v>Chemical</v>
      </c>
      <c r="M74" s="25" t="str">
        <f>IFERROR(__xludf.DUMMYFUNCTION("""COMPUTED_VALUE"""),"Ltr")</f>
        <v>Ltr</v>
      </c>
    </row>
    <row r="75">
      <c r="A75" s="25" t="str">
        <f>IFERROR(__xludf.DUMMYFUNCTION("""COMPUTED_VALUE"""),"CH-SOL-142")</f>
        <v>CH-SOL-142</v>
      </c>
      <c r="B75" s="25" t="str">
        <f>IFERROR(__xludf.DUMMYFUNCTION("""COMPUTED_VALUE"""),"Out")</f>
        <v>Out</v>
      </c>
      <c r="C75" s="257">
        <f>IFERROR(__xludf.DUMMYFUNCTION("""COMPUTED_VALUE"""),46136.0)</f>
        <v>46136</v>
      </c>
      <c r="D75" s="25">
        <f>IFERROR(__xludf.DUMMYFUNCTION("""COMPUTED_VALUE"""),5.0)</f>
        <v>5</v>
      </c>
      <c r="E75" s="25"/>
      <c r="F75" s="25" t="str">
        <f>IFERROR(__xludf.DUMMYFUNCTION("""COMPUTED_VALUE"""),"Plate Cleaner Normal")</f>
        <v>Plate Cleaner Normal</v>
      </c>
      <c r="G75" s="25" t="str">
        <f>IFERROR(__xludf.DUMMYFUNCTION("""COMPUTED_VALUE"""),"Chemical")</f>
        <v>Chemical</v>
      </c>
      <c r="H75" s="25" t="str">
        <f>IFERROR(__xludf.DUMMYFUNCTION("""COMPUTED_VALUE"""),"Solution")</f>
        <v>Solution</v>
      </c>
      <c r="I75" s="25" t="str">
        <f>IFERROR(__xludf.DUMMYFUNCTION("""COMPUTED_VALUE"""),"–")</f>
        <v>–</v>
      </c>
      <c r="J75" s="25" t="str">
        <f>IFERROR(__xludf.DUMMYFUNCTION("""COMPUTED_VALUE"""),"–")</f>
        <v>–</v>
      </c>
      <c r="K75" s="25" t="str">
        <f>IFERROR(__xludf.DUMMYFUNCTION("""COMPUTED_VALUE"""),"–")</f>
        <v>–</v>
      </c>
      <c r="L75" s="25" t="str">
        <f>IFERROR(__xludf.DUMMYFUNCTION("""COMPUTED_VALUE"""),"Normal Gp")</f>
        <v>Normal Gp</v>
      </c>
      <c r="M75" s="25" t="str">
        <f>IFERROR(__xludf.DUMMYFUNCTION("""COMPUTED_VALUE"""),"Ltr")</f>
        <v>Ltr</v>
      </c>
    </row>
    <row r="76">
      <c r="A76" s="25" t="str">
        <f>IFERROR(__xludf.DUMMYFUNCTION("""COMPUTED_VALUE"""),"CH-SOL-143")</f>
        <v>CH-SOL-143</v>
      </c>
      <c r="B76" s="25" t="str">
        <f>IFERROR(__xludf.DUMMYFUNCTION("""COMPUTED_VALUE"""),"Out")</f>
        <v>Out</v>
      </c>
      <c r="C76" s="257">
        <f>IFERROR(__xludf.DUMMYFUNCTION("""COMPUTED_VALUE"""),46135.0)</f>
        <v>46135</v>
      </c>
      <c r="D76" s="25">
        <f>IFERROR(__xludf.DUMMYFUNCTION("""COMPUTED_VALUE"""),1.0)</f>
        <v>1</v>
      </c>
      <c r="E76" s="25"/>
      <c r="F76" s="25" t="str">
        <f>IFERROR(__xludf.DUMMYFUNCTION("""COMPUTED_VALUE"""),"Plate Cleaner UV")</f>
        <v>Plate Cleaner UV</v>
      </c>
      <c r="G76" s="25" t="str">
        <f>IFERROR(__xludf.DUMMYFUNCTION("""COMPUTED_VALUE"""),"Chemical")</f>
        <v>Chemical</v>
      </c>
      <c r="H76" s="25" t="str">
        <f>IFERROR(__xludf.DUMMYFUNCTION("""COMPUTED_VALUE"""),"Solution")</f>
        <v>Solution</v>
      </c>
      <c r="I76" s="25" t="str">
        <f>IFERROR(__xludf.DUMMYFUNCTION("""COMPUTED_VALUE"""),"–")</f>
        <v>–</v>
      </c>
      <c r="J76" s="25" t="str">
        <f>IFERROR(__xludf.DUMMYFUNCTION("""COMPUTED_VALUE"""),"–")</f>
        <v>–</v>
      </c>
      <c r="K76" s="25" t="str">
        <f>IFERROR(__xludf.DUMMYFUNCTION("""COMPUTED_VALUE"""),"–")</f>
        <v>–</v>
      </c>
      <c r="L76" s="25" t="str">
        <f>IFERROR(__xludf.DUMMYFUNCTION("""COMPUTED_VALUE"""),"Hard Gp")</f>
        <v>Hard Gp</v>
      </c>
      <c r="M76" s="25" t="str">
        <f>IFERROR(__xludf.DUMMYFUNCTION("""COMPUTED_VALUE"""),"Ltr")</f>
        <v>Ltr</v>
      </c>
    </row>
    <row r="77">
      <c r="A77" s="25" t="str">
        <f>IFERROR(__xludf.DUMMYFUNCTION("""COMPUTED_VALUE"""),"CH-SOL-212")</f>
        <v>CH-SOL-212</v>
      </c>
      <c r="B77" s="25" t="str">
        <f>IFERROR(__xludf.DUMMYFUNCTION("""COMPUTED_VALUE"""),"Out")</f>
        <v>Out</v>
      </c>
      <c r="C77" s="257">
        <f>IFERROR(__xludf.DUMMYFUNCTION("""COMPUTED_VALUE"""),46140.0)</f>
        <v>46140</v>
      </c>
      <c r="D77" s="25">
        <f>IFERROR(__xludf.DUMMYFUNCTION("""COMPUTED_VALUE"""),5.0)</f>
        <v>5</v>
      </c>
      <c r="E77" s="25"/>
      <c r="F77" s="25" t="str">
        <f>IFERROR(__xludf.DUMMYFUNCTION("""COMPUTED_VALUE"""),"New V Screen Trans ink")</f>
        <v>New V Screen Trans ink</v>
      </c>
      <c r="G77" s="25" t="str">
        <f>IFERROR(__xludf.DUMMYFUNCTION("""COMPUTED_VALUE"""),"Chemical")</f>
        <v>Chemical</v>
      </c>
      <c r="H77" s="25" t="str">
        <f>IFERROR(__xludf.DUMMYFUNCTION("""COMPUTED_VALUE"""),"Solution")</f>
        <v>Solution</v>
      </c>
      <c r="I77" s="25" t="str">
        <f>IFERROR(__xludf.DUMMYFUNCTION("""COMPUTED_VALUE"""),"–")</f>
        <v>–</v>
      </c>
      <c r="J77" s="25" t="str">
        <f>IFERROR(__xludf.DUMMYFUNCTION("""COMPUTED_VALUE"""),"–")</f>
        <v>–</v>
      </c>
      <c r="K77" s="25" t="str">
        <f>IFERROR(__xludf.DUMMYFUNCTION("""COMPUTED_VALUE"""),"–")</f>
        <v>–</v>
      </c>
      <c r="L77" s="25" t="str">
        <f>IFERROR(__xludf.DUMMYFUNCTION("""COMPUTED_VALUE"""),"UV Screen Gloss-SPOT UV")</f>
        <v>UV Screen Gloss-SPOT UV</v>
      </c>
      <c r="M77" s="25" t="str">
        <f>IFERROR(__xludf.DUMMYFUNCTION("""COMPUTED_VALUE"""),"Ltr")</f>
        <v>Ltr</v>
      </c>
    </row>
    <row r="78">
      <c r="A78" s="25" t="str">
        <f>IFERROR(__xludf.DUMMYFUNCTION("""COMPUTED_VALUE"""),"CH-SOL-179")</f>
        <v>CH-SOL-179</v>
      </c>
      <c r="B78" s="25" t="str">
        <f>IFERROR(__xludf.DUMMYFUNCTION("""COMPUTED_VALUE"""),"Out")</f>
        <v>Out</v>
      </c>
      <c r="C78" s="257">
        <f>IFERROR(__xludf.DUMMYFUNCTION("""COMPUTED_VALUE"""),46142.0)</f>
        <v>46142</v>
      </c>
      <c r="D78" s="25">
        <f>IFERROR(__xludf.DUMMYFUNCTION("""COMPUTED_VALUE"""),25.0)</f>
        <v>25</v>
      </c>
      <c r="E78" s="25"/>
      <c r="F78" s="25" t="str">
        <f>IFERROR(__xludf.DUMMYFUNCTION("""COMPUTED_VALUE"""),"New V FD Wash(Hard Wash)-HPC-0237/25D21")</f>
        <v>New V FD Wash(Hard Wash)-HPC-0237/25D21</v>
      </c>
      <c r="G78" s="25" t="str">
        <f>IFERROR(__xludf.DUMMYFUNCTION("""COMPUTED_VALUE"""),"Chemical")</f>
        <v>Chemical</v>
      </c>
      <c r="H78" s="25" t="str">
        <f>IFERROR(__xludf.DUMMYFUNCTION("""COMPUTED_VALUE"""),"Solution")</f>
        <v>Solution</v>
      </c>
      <c r="I78" s="25" t="str">
        <f>IFERROR(__xludf.DUMMYFUNCTION("""COMPUTED_VALUE"""),"–")</f>
        <v>–</v>
      </c>
      <c r="J78" s="25" t="str">
        <f>IFERROR(__xludf.DUMMYFUNCTION("""COMPUTED_VALUE"""),"–")</f>
        <v>–</v>
      </c>
      <c r="K78" s="25" t="str">
        <f>IFERROR(__xludf.DUMMYFUNCTION("""COMPUTED_VALUE"""),"–")</f>
        <v>–</v>
      </c>
      <c r="L78" s="25" t="str">
        <f>IFERROR(__xludf.DUMMYFUNCTION("""COMPUTED_VALUE"""),"Hard Wash")</f>
        <v>Hard Wash</v>
      </c>
      <c r="M78" s="25" t="str">
        <f>IFERROR(__xludf.DUMMYFUNCTION("""COMPUTED_VALUE"""),"Ltr")</f>
        <v>Ltr</v>
      </c>
    </row>
    <row r="79">
      <c r="A79" s="25" t="str">
        <f>IFERROR(__xludf.DUMMYFUNCTION("""COMPUTED_VALUE"""),"CH-SOL-116")</f>
        <v>CH-SOL-116</v>
      </c>
      <c r="B79" s="25" t="str">
        <f>IFERROR(__xludf.DUMMYFUNCTION("""COMPUTED_VALUE"""),"Out")</f>
        <v>Out</v>
      </c>
      <c r="C79" s="257">
        <f>IFERROR(__xludf.DUMMYFUNCTION("""COMPUTED_VALUE"""),46144.0)</f>
        <v>46144</v>
      </c>
      <c r="D79" s="25">
        <f>IFERROR(__xludf.DUMMYFUNCTION("""COMPUTED_VALUE"""),20.0)</f>
        <v>20</v>
      </c>
      <c r="E79" s="25"/>
      <c r="F79" s="25" t="str">
        <f>IFERROR(__xludf.DUMMYFUNCTION("""COMPUTED_VALUE"""),"Nova Nol Xtra")</f>
        <v>Nova Nol Xtra</v>
      </c>
      <c r="G79" s="25" t="str">
        <f>IFERROR(__xludf.DUMMYFUNCTION("""COMPUTED_VALUE"""),"Chemical")</f>
        <v>Chemical</v>
      </c>
      <c r="H79" s="25" t="str">
        <f>IFERROR(__xludf.DUMMYFUNCTION("""COMPUTED_VALUE"""),"Solution")</f>
        <v>Solution</v>
      </c>
      <c r="I79" s="25" t="str">
        <f>IFERROR(__xludf.DUMMYFUNCTION("""COMPUTED_VALUE"""),"–")</f>
        <v>–</v>
      </c>
      <c r="J79" s="25" t="str">
        <f>IFERROR(__xludf.DUMMYFUNCTION("""COMPUTED_VALUE"""),"–")</f>
        <v>–</v>
      </c>
      <c r="K79" s="25" t="str">
        <f>IFERROR(__xludf.DUMMYFUNCTION("""COMPUTED_VALUE"""),"–")</f>
        <v>–</v>
      </c>
      <c r="L79" s="25" t="str">
        <f>IFERROR(__xludf.DUMMYFUNCTION("""COMPUTED_VALUE"""),"Alcohol")</f>
        <v>Alcohol</v>
      </c>
      <c r="M79" s="25" t="str">
        <f>IFERROR(__xludf.DUMMYFUNCTION("""COMPUTED_VALUE"""),"Ltr")</f>
        <v>Ltr</v>
      </c>
    </row>
    <row r="80">
      <c r="A80" s="25" t="str">
        <f>IFERROR(__xludf.DUMMYFUNCTION("""COMPUTED_VALUE"""),"CH-SOL-144")</f>
        <v>CH-SOL-144</v>
      </c>
      <c r="B80" s="25" t="str">
        <f>IFERROR(__xludf.DUMMYFUNCTION("""COMPUTED_VALUE"""),"Out")</f>
        <v>Out</v>
      </c>
      <c r="C80" s="257">
        <f>IFERROR(__xludf.DUMMYFUNCTION("""COMPUTED_VALUE"""),46141.0)</f>
        <v>46141</v>
      </c>
      <c r="D80" s="25">
        <f>IFERROR(__xludf.DUMMYFUNCTION("""COMPUTED_VALUE"""),5.0)</f>
        <v>5</v>
      </c>
      <c r="E80" s="25"/>
      <c r="F80" s="25" t="str">
        <f>IFERROR(__xludf.DUMMYFUNCTION("""COMPUTED_VALUE"""),"Benzene")</f>
        <v>Benzene</v>
      </c>
      <c r="G80" s="25" t="str">
        <f>IFERROR(__xludf.DUMMYFUNCTION("""COMPUTED_VALUE"""),"Chemical")</f>
        <v>Chemical</v>
      </c>
      <c r="H80" s="25" t="str">
        <f>IFERROR(__xludf.DUMMYFUNCTION("""COMPUTED_VALUE"""),"Solution")</f>
        <v>Solution</v>
      </c>
      <c r="I80" s="25" t="str">
        <f>IFERROR(__xludf.DUMMYFUNCTION("""COMPUTED_VALUE"""),"–")</f>
        <v>–</v>
      </c>
      <c r="J80" s="25" t="str">
        <f>IFERROR(__xludf.DUMMYFUNCTION("""COMPUTED_VALUE"""),"–")</f>
        <v>–</v>
      </c>
      <c r="K80" s="25" t="str">
        <f>IFERROR(__xludf.DUMMYFUNCTION("""COMPUTED_VALUE"""),"–")</f>
        <v>–</v>
      </c>
      <c r="L80" s="25" t="str">
        <f>IFERROR(__xludf.DUMMYFUNCTION("""COMPUTED_VALUE"""),"Chemical")</f>
        <v>Chemical</v>
      </c>
      <c r="M80" s="25" t="str">
        <f>IFERROR(__xludf.DUMMYFUNCTION("""COMPUTED_VALUE"""),"Ltr")</f>
        <v>Ltr</v>
      </c>
    </row>
    <row r="81">
      <c r="A81" s="25" t="str">
        <f>IFERROR(__xludf.DUMMYFUNCTION("""COMPUTED_VALUE"""),"CH-SOL-144")</f>
        <v>CH-SOL-144</v>
      </c>
      <c r="B81" s="25" t="str">
        <f>IFERROR(__xludf.DUMMYFUNCTION("""COMPUTED_VALUE"""),"Out")</f>
        <v>Out</v>
      </c>
      <c r="C81" s="257">
        <f>IFERROR(__xludf.DUMMYFUNCTION("""COMPUTED_VALUE"""),46146.0)</f>
        <v>46146</v>
      </c>
      <c r="D81" s="25">
        <f>IFERROR(__xludf.DUMMYFUNCTION("""COMPUTED_VALUE"""),5.0)</f>
        <v>5</v>
      </c>
      <c r="E81" s="25"/>
      <c r="F81" s="25" t="str">
        <f>IFERROR(__xludf.DUMMYFUNCTION("""COMPUTED_VALUE"""),"Benzene")</f>
        <v>Benzene</v>
      </c>
      <c r="G81" s="25" t="str">
        <f>IFERROR(__xludf.DUMMYFUNCTION("""COMPUTED_VALUE"""),"Chemical")</f>
        <v>Chemical</v>
      </c>
      <c r="H81" s="25" t="str">
        <f>IFERROR(__xludf.DUMMYFUNCTION("""COMPUTED_VALUE"""),"Solution")</f>
        <v>Solution</v>
      </c>
      <c r="I81" s="25" t="str">
        <f>IFERROR(__xludf.DUMMYFUNCTION("""COMPUTED_VALUE"""),"–")</f>
        <v>–</v>
      </c>
      <c r="J81" s="25" t="str">
        <f>IFERROR(__xludf.DUMMYFUNCTION("""COMPUTED_VALUE"""),"–")</f>
        <v>–</v>
      </c>
      <c r="K81" s="25" t="str">
        <f>IFERROR(__xludf.DUMMYFUNCTION("""COMPUTED_VALUE"""),"–")</f>
        <v>–</v>
      </c>
      <c r="L81" s="25" t="str">
        <f>IFERROR(__xludf.DUMMYFUNCTION("""COMPUTED_VALUE"""),"Chemical")</f>
        <v>Chemical</v>
      </c>
      <c r="M81" s="25" t="str">
        <f>IFERROR(__xludf.DUMMYFUNCTION("""COMPUTED_VALUE"""),"Ltr")</f>
        <v>Ltr</v>
      </c>
    </row>
    <row r="82">
      <c r="A82" s="25" t="str">
        <f>IFERROR(__xludf.DUMMYFUNCTION("""COMPUTED_VALUE"""),"CH-SOL-268")</f>
        <v>CH-SOL-268</v>
      </c>
      <c r="B82" s="25" t="str">
        <f>IFERROR(__xludf.DUMMYFUNCTION("""COMPUTED_VALUE"""),"Out")</f>
        <v>Out</v>
      </c>
      <c r="C82" s="257">
        <f>IFERROR(__xludf.DUMMYFUNCTION("""COMPUTED_VALUE"""),46142.0)</f>
        <v>46142</v>
      </c>
      <c r="D82" s="25">
        <f>IFERROR(__xludf.DUMMYFUNCTION("""COMPUTED_VALUE"""),5.0)</f>
        <v>5</v>
      </c>
      <c r="E82" s="25"/>
      <c r="F82" s="25" t="str">
        <f>IFERROR(__xludf.DUMMYFUNCTION("""COMPUTED_VALUE"""),"Screen Clearning Aid Amyle")</f>
        <v>Screen Clearning Aid Amyle</v>
      </c>
      <c r="G82" s="25" t="str">
        <f>IFERROR(__xludf.DUMMYFUNCTION("""COMPUTED_VALUE"""),"Chemical")</f>
        <v>Chemical</v>
      </c>
      <c r="H82" s="25" t="str">
        <f>IFERROR(__xludf.DUMMYFUNCTION("""COMPUTED_VALUE"""),"Solution")</f>
        <v>Solution</v>
      </c>
      <c r="I82" s="25" t="str">
        <f>IFERROR(__xludf.DUMMYFUNCTION("""COMPUTED_VALUE"""),"–")</f>
        <v>–</v>
      </c>
      <c r="J82" s="25" t="str">
        <f>IFERROR(__xludf.DUMMYFUNCTION("""COMPUTED_VALUE"""),"–")</f>
        <v>–</v>
      </c>
      <c r="K82" s="25" t="str">
        <f>IFERROR(__xludf.DUMMYFUNCTION("""COMPUTED_VALUE"""),"–")</f>
        <v>–</v>
      </c>
      <c r="L82" s="25" t="str">
        <f>IFERROR(__xludf.DUMMYFUNCTION("""COMPUTED_VALUE"""),"–")</f>
        <v>–</v>
      </c>
      <c r="M82" s="25" t="str">
        <f>IFERROR(__xludf.DUMMYFUNCTION("""COMPUTED_VALUE"""),"Pc")</f>
        <v>Pc</v>
      </c>
    </row>
    <row r="83">
      <c r="A83" s="25" t="str">
        <f>IFERROR(__xludf.DUMMYFUNCTION("""COMPUTED_VALUE"""),"CH-SOL-143")</f>
        <v>CH-SOL-143</v>
      </c>
      <c r="B83" s="25" t="str">
        <f>IFERROR(__xludf.DUMMYFUNCTION("""COMPUTED_VALUE"""),"Out")</f>
        <v>Out</v>
      </c>
      <c r="C83" s="257">
        <f>IFERROR(__xludf.DUMMYFUNCTION("""COMPUTED_VALUE"""),46151.0)</f>
        <v>46151</v>
      </c>
      <c r="D83" s="25">
        <f>IFERROR(__xludf.DUMMYFUNCTION("""COMPUTED_VALUE"""),1.0)</f>
        <v>1</v>
      </c>
      <c r="E83" s="25"/>
      <c r="F83" s="25" t="str">
        <f>IFERROR(__xludf.DUMMYFUNCTION("""COMPUTED_VALUE"""),"Plate Cleaner UV")</f>
        <v>Plate Cleaner UV</v>
      </c>
      <c r="G83" s="25" t="str">
        <f>IFERROR(__xludf.DUMMYFUNCTION("""COMPUTED_VALUE"""),"Chemical")</f>
        <v>Chemical</v>
      </c>
      <c r="H83" s="25" t="str">
        <f>IFERROR(__xludf.DUMMYFUNCTION("""COMPUTED_VALUE"""),"Solution")</f>
        <v>Solution</v>
      </c>
      <c r="I83" s="25" t="str">
        <f>IFERROR(__xludf.DUMMYFUNCTION("""COMPUTED_VALUE"""),"–")</f>
        <v>–</v>
      </c>
      <c r="J83" s="25" t="str">
        <f>IFERROR(__xludf.DUMMYFUNCTION("""COMPUTED_VALUE"""),"–")</f>
        <v>–</v>
      </c>
      <c r="K83" s="25" t="str">
        <f>IFERROR(__xludf.DUMMYFUNCTION("""COMPUTED_VALUE"""),"–")</f>
        <v>–</v>
      </c>
      <c r="L83" s="25" t="str">
        <f>IFERROR(__xludf.DUMMYFUNCTION("""COMPUTED_VALUE"""),"Hard Gp")</f>
        <v>Hard Gp</v>
      </c>
      <c r="M83" s="25" t="str">
        <f>IFERROR(__xludf.DUMMYFUNCTION("""COMPUTED_VALUE"""),"Ltr")</f>
        <v>Ltr</v>
      </c>
    </row>
    <row r="84">
      <c r="A84" s="25" t="str">
        <f>IFERROR(__xludf.DUMMYFUNCTION("""COMPUTED_VALUE"""),"CH-SOL-116")</f>
        <v>CH-SOL-116</v>
      </c>
      <c r="B84" s="25" t="str">
        <f>IFERROR(__xludf.DUMMYFUNCTION("""COMPUTED_VALUE"""),"Out")</f>
        <v>Out</v>
      </c>
      <c r="C84" s="257">
        <f>IFERROR(__xludf.DUMMYFUNCTION("""COMPUTED_VALUE"""),46154.0)</f>
        <v>46154</v>
      </c>
      <c r="D84" s="25">
        <f>IFERROR(__xludf.DUMMYFUNCTION("""COMPUTED_VALUE"""),20.0)</f>
        <v>20</v>
      </c>
      <c r="E84" s="25"/>
      <c r="F84" s="25" t="str">
        <f>IFERROR(__xludf.DUMMYFUNCTION("""COMPUTED_VALUE"""),"Nova Nol Xtra")</f>
        <v>Nova Nol Xtra</v>
      </c>
      <c r="G84" s="25" t="str">
        <f>IFERROR(__xludf.DUMMYFUNCTION("""COMPUTED_VALUE"""),"Chemical")</f>
        <v>Chemical</v>
      </c>
      <c r="H84" s="25" t="str">
        <f>IFERROR(__xludf.DUMMYFUNCTION("""COMPUTED_VALUE"""),"Solution")</f>
        <v>Solution</v>
      </c>
      <c r="I84" s="25" t="str">
        <f>IFERROR(__xludf.DUMMYFUNCTION("""COMPUTED_VALUE"""),"–")</f>
        <v>–</v>
      </c>
      <c r="J84" s="25" t="str">
        <f>IFERROR(__xludf.DUMMYFUNCTION("""COMPUTED_VALUE"""),"–")</f>
        <v>–</v>
      </c>
      <c r="K84" s="25" t="str">
        <f>IFERROR(__xludf.DUMMYFUNCTION("""COMPUTED_VALUE"""),"–")</f>
        <v>–</v>
      </c>
      <c r="L84" s="25" t="str">
        <f>IFERROR(__xludf.DUMMYFUNCTION("""COMPUTED_VALUE"""),"Alcohol")</f>
        <v>Alcohol</v>
      </c>
      <c r="M84" s="25" t="str">
        <f>IFERROR(__xludf.DUMMYFUNCTION("""COMPUTED_VALUE"""),"Ltr")</f>
        <v>Ltr</v>
      </c>
    </row>
    <row r="85">
      <c r="A85" s="25" t="str">
        <f>IFERROR(__xludf.DUMMYFUNCTION("""COMPUTED_VALUE"""),"CH-SOL-240")</f>
        <v>CH-SOL-240</v>
      </c>
      <c r="B85" s="25" t="str">
        <f>IFERROR(__xludf.DUMMYFUNCTION("""COMPUTED_VALUE"""),"Out")</f>
        <v>Out</v>
      </c>
      <c r="C85" s="257">
        <f>IFERROR(__xludf.DUMMYFUNCTION("""COMPUTED_VALUE"""),46154.0)</f>
        <v>46154</v>
      </c>
      <c r="D85" s="25">
        <f>IFERROR(__xludf.DUMMYFUNCTION("""COMPUTED_VALUE"""),20.0)</f>
        <v>20</v>
      </c>
      <c r="E85" s="25"/>
      <c r="F85" s="25" t="str">
        <f>IFERROR(__xludf.DUMMYFUNCTION("""COMPUTED_VALUE"""),"NOVA Fount Nectar")</f>
        <v>NOVA Fount Nectar</v>
      </c>
      <c r="G85" s="25" t="str">
        <f>IFERROR(__xludf.DUMMYFUNCTION("""COMPUTED_VALUE"""),"Chemical")</f>
        <v>Chemical</v>
      </c>
      <c r="H85" s="25" t="str">
        <f>IFERROR(__xludf.DUMMYFUNCTION("""COMPUTED_VALUE"""),"Solution")</f>
        <v>Solution</v>
      </c>
      <c r="I85" s="25" t="str">
        <f>IFERROR(__xludf.DUMMYFUNCTION("""COMPUTED_VALUE"""),"–")</f>
        <v>–</v>
      </c>
      <c r="J85" s="25" t="str">
        <f>IFERROR(__xludf.DUMMYFUNCTION("""COMPUTED_VALUE"""),"–")</f>
        <v>–</v>
      </c>
      <c r="K85" s="25" t="str">
        <f>IFERROR(__xludf.DUMMYFUNCTION("""COMPUTED_VALUE"""),"–")</f>
        <v>–</v>
      </c>
      <c r="L85" s="25" t="str">
        <f>IFERROR(__xludf.DUMMYFUNCTION("""COMPUTED_VALUE"""),"Fount")</f>
        <v>Fount</v>
      </c>
      <c r="M85" s="25" t="str">
        <f>IFERROR(__xludf.DUMMYFUNCTION("""COMPUTED_VALUE"""),"Kg")</f>
        <v>Kg</v>
      </c>
    </row>
    <row r="86">
      <c r="A86" s="25" t="str">
        <f>IFERROR(__xludf.DUMMYFUNCTION("""COMPUTED_VALUE"""),"CH-SOL-212")</f>
        <v>CH-SOL-212</v>
      </c>
      <c r="B86" s="25" t="str">
        <f>IFERROR(__xludf.DUMMYFUNCTION("""COMPUTED_VALUE"""),"Out")</f>
        <v>Out</v>
      </c>
      <c r="C86" s="257">
        <f>IFERROR(__xludf.DUMMYFUNCTION("""COMPUTED_VALUE"""),46157.0)</f>
        <v>46157</v>
      </c>
      <c r="D86" s="25">
        <f>IFERROR(__xludf.DUMMYFUNCTION("""COMPUTED_VALUE"""),5.0)</f>
        <v>5</v>
      </c>
      <c r="E86" s="25"/>
      <c r="F86" s="25" t="str">
        <f>IFERROR(__xludf.DUMMYFUNCTION("""COMPUTED_VALUE"""),"New V Screen Trans ink")</f>
        <v>New V Screen Trans ink</v>
      </c>
      <c r="G86" s="25" t="str">
        <f>IFERROR(__xludf.DUMMYFUNCTION("""COMPUTED_VALUE"""),"Chemical")</f>
        <v>Chemical</v>
      </c>
      <c r="H86" s="25" t="str">
        <f>IFERROR(__xludf.DUMMYFUNCTION("""COMPUTED_VALUE"""),"Solution")</f>
        <v>Solution</v>
      </c>
      <c r="I86" s="25" t="str">
        <f>IFERROR(__xludf.DUMMYFUNCTION("""COMPUTED_VALUE"""),"–")</f>
        <v>–</v>
      </c>
      <c r="J86" s="25" t="str">
        <f>IFERROR(__xludf.DUMMYFUNCTION("""COMPUTED_VALUE"""),"–")</f>
        <v>–</v>
      </c>
      <c r="K86" s="25" t="str">
        <f>IFERROR(__xludf.DUMMYFUNCTION("""COMPUTED_VALUE"""),"–")</f>
        <v>–</v>
      </c>
      <c r="L86" s="25" t="str">
        <f>IFERROR(__xludf.DUMMYFUNCTION("""COMPUTED_VALUE"""),"UV Screen Gloss-SPOT UV")</f>
        <v>UV Screen Gloss-SPOT UV</v>
      </c>
      <c r="M86" s="25" t="str">
        <f>IFERROR(__xludf.DUMMYFUNCTION("""COMPUTED_VALUE"""),"Ltr")</f>
        <v>Ltr</v>
      </c>
    </row>
    <row r="87">
      <c r="A87" s="25" t="str">
        <f>IFERROR(__xludf.DUMMYFUNCTION("""COMPUTED_VALUE"""),"CH-SOL-199")</f>
        <v>CH-SOL-199</v>
      </c>
      <c r="B87" s="25" t="str">
        <f>IFERROR(__xludf.DUMMYFUNCTION("""COMPUTED_VALUE"""),"Out")</f>
        <v>Out</v>
      </c>
      <c r="C87" s="257">
        <f>IFERROR(__xludf.DUMMYFUNCTION("""COMPUTED_VALUE"""),46160.0)</f>
        <v>46160</v>
      </c>
      <c r="D87" s="25">
        <f>IFERROR(__xludf.DUMMYFUNCTION("""COMPUTED_VALUE"""),25.0)</f>
        <v>25</v>
      </c>
      <c r="E87" s="25"/>
      <c r="F87" s="25" t="str">
        <f>IFERROR(__xludf.DUMMYFUNCTION("""COMPUTED_VALUE"""),"TK 3400 Wb Board Primer")</f>
        <v>TK 3400 Wb Board Primer</v>
      </c>
      <c r="G87" s="25" t="str">
        <f>IFERROR(__xludf.DUMMYFUNCTION("""COMPUTED_VALUE"""),"Chemical")</f>
        <v>Chemical</v>
      </c>
      <c r="H87" s="25" t="str">
        <f>IFERROR(__xludf.DUMMYFUNCTION("""COMPUTED_VALUE"""),"Solution")</f>
        <v>Solution</v>
      </c>
      <c r="I87" s="25" t="str">
        <f>IFERROR(__xludf.DUMMYFUNCTION("""COMPUTED_VALUE"""),"–")</f>
        <v>–</v>
      </c>
      <c r="J87" s="25" t="str">
        <f>IFERROR(__xludf.DUMMYFUNCTION("""COMPUTED_VALUE"""),"–")</f>
        <v>–</v>
      </c>
      <c r="K87" s="25" t="str">
        <f>IFERROR(__xludf.DUMMYFUNCTION("""COMPUTED_VALUE"""),"–")</f>
        <v>–</v>
      </c>
      <c r="L87" s="25" t="str">
        <f>IFERROR(__xludf.DUMMYFUNCTION("""COMPUTED_VALUE"""),"Primer")</f>
        <v>Primer</v>
      </c>
      <c r="M87" s="25" t="str">
        <f>IFERROR(__xludf.DUMMYFUNCTION("""COMPUTED_VALUE"""),"Kg")</f>
        <v>Kg</v>
      </c>
    </row>
    <row r="88">
      <c r="A88" s="25" t="str">
        <f>IFERROR(__xludf.DUMMYFUNCTION("""COMPUTED_VALUE"""),"CH-SOL-116")</f>
        <v>CH-SOL-116</v>
      </c>
      <c r="B88" s="25" t="str">
        <f>IFERROR(__xludf.DUMMYFUNCTION("""COMPUTED_VALUE"""),"Out")</f>
        <v>Out</v>
      </c>
      <c r="C88" s="257">
        <f>IFERROR(__xludf.DUMMYFUNCTION("""COMPUTED_VALUE"""),46160.0)</f>
        <v>46160</v>
      </c>
      <c r="D88" s="25">
        <f>IFERROR(__xludf.DUMMYFUNCTION("""COMPUTED_VALUE"""),20.0)</f>
        <v>20</v>
      </c>
      <c r="E88" s="25"/>
      <c r="F88" s="25" t="str">
        <f>IFERROR(__xludf.DUMMYFUNCTION("""COMPUTED_VALUE"""),"Nova Nol Xtra")</f>
        <v>Nova Nol Xtra</v>
      </c>
      <c r="G88" s="25" t="str">
        <f>IFERROR(__xludf.DUMMYFUNCTION("""COMPUTED_VALUE"""),"Chemical")</f>
        <v>Chemical</v>
      </c>
      <c r="H88" s="25" t="str">
        <f>IFERROR(__xludf.DUMMYFUNCTION("""COMPUTED_VALUE"""),"Solution")</f>
        <v>Solution</v>
      </c>
      <c r="I88" s="25" t="str">
        <f>IFERROR(__xludf.DUMMYFUNCTION("""COMPUTED_VALUE"""),"–")</f>
        <v>–</v>
      </c>
      <c r="J88" s="25" t="str">
        <f>IFERROR(__xludf.DUMMYFUNCTION("""COMPUTED_VALUE"""),"–")</f>
        <v>–</v>
      </c>
      <c r="K88" s="25" t="str">
        <f>IFERROR(__xludf.DUMMYFUNCTION("""COMPUTED_VALUE"""),"–")</f>
        <v>–</v>
      </c>
      <c r="L88" s="25" t="str">
        <f>IFERROR(__xludf.DUMMYFUNCTION("""COMPUTED_VALUE"""),"Alcohol")</f>
        <v>Alcohol</v>
      </c>
      <c r="M88" s="25" t="str">
        <f>IFERROR(__xludf.DUMMYFUNCTION("""COMPUTED_VALUE"""),"Ltr")</f>
        <v>Ltr</v>
      </c>
    </row>
    <row r="89">
      <c r="A89" s="25" t="str">
        <f>IFERROR(__xludf.DUMMYFUNCTION("""COMPUTED_VALUE"""),"CH-SOL-114")</f>
        <v>CH-SOL-114</v>
      </c>
      <c r="B89" s="25" t="str">
        <f>IFERROR(__xludf.DUMMYFUNCTION("""COMPUTED_VALUE"""),"Out")</f>
        <v>Out</v>
      </c>
      <c r="C89" s="257">
        <f>IFERROR(__xludf.DUMMYFUNCTION("""COMPUTED_VALUE"""),46160.0)</f>
        <v>46160</v>
      </c>
      <c r="D89" s="25">
        <f>IFERROR(__xludf.DUMMYFUNCTION("""COMPUTED_VALUE"""),25.0)</f>
        <v>25</v>
      </c>
      <c r="E89" s="25"/>
      <c r="F89" s="25" t="str">
        <f>IFERROR(__xludf.DUMMYFUNCTION("""COMPUTED_VALUE"""),"Classic Multi Wash-HPC 0214/25D21")</f>
        <v>Classic Multi Wash-HPC 0214/25D21</v>
      </c>
      <c r="G89" s="25" t="str">
        <f>IFERROR(__xludf.DUMMYFUNCTION("""COMPUTED_VALUE"""),"Chemical")</f>
        <v>Chemical</v>
      </c>
      <c r="H89" s="25" t="str">
        <f>IFERROR(__xludf.DUMMYFUNCTION("""COMPUTED_VALUE"""),"Solution")</f>
        <v>Solution</v>
      </c>
      <c r="I89" s="25" t="str">
        <f>IFERROR(__xludf.DUMMYFUNCTION("""COMPUTED_VALUE"""),"–")</f>
        <v>–</v>
      </c>
      <c r="J89" s="25" t="str">
        <f>IFERROR(__xludf.DUMMYFUNCTION("""COMPUTED_VALUE"""),"–")</f>
        <v>–</v>
      </c>
      <c r="K89" s="25" t="str">
        <f>IFERROR(__xludf.DUMMYFUNCTION("""COMPUTED_VALUE"""),"–")</f>
        <v>–</v>
      </c>
      <c r="L89" s="25" t="str">
        <f>IFERROR(__xludf.DUMMYFUNCTION("""COMPUTED_VALUE"""),"Normal Wash")</f>
        <v>Normal Wash</v>
      </c>
      <c r="M89" s="25" t="str">
        <f>IFERROR(__xludf.DUMMYFUNCTION("""COMPUTED_VALUE"""),"Ltr")</f>
        <v>Ltr</v>
      </c>
    </row>
    <row r="90">
      <c r="A90" s="25" t="str">
        <f>IFERROR(__xludf.DUMMYFUNCTION("""COMPUTED_VALUE"""),"CH-SOL-144")</f>
        <v>CH-SOL-144</v>
      </c>
      <c r="B90" s="25" t="str">
        <f>IFERROR(__xludf.DUMMYFUNCTION("""COMPUTED_VALUE"""),"Out")</f>
        <v>Out</v>
      </c>
      <c r="C90" s="257">
        <f>IFERROR(__xludf.DUMMYFUNCTION("""COMPUTED_VALUE"""),46161.0)</f>
        <v>46161</v>
      </c>
      <c r="D90" s="25">
        <f>IFERROR(__xludf.DUMMYFUNCTION("""COMPUTED_VALUE"""),5.0)</f>
        <v>5</v>
      </c>
      <c r="E90" s="25"/>
      <c r="F90" s="25" t="str">
        <f>IFERROR(__xludf.DUMMYFUNCTION("""COMPUTED_VALUE"""),"Benzene")</f>
        <v>Benzene</v>
      </c>
      <c r="G90" s="25" t="str">
        <f>IFERROR(__xludf.DUMMYFUNCTION("""COMPUTED_VALUE"""),"Chemical")</f>
        <v>Chemical</v>
      </c>
      <c r="H90" s="25" t="str">
        <f>IFERROR(__xludf.DUMMYFUNCTION("""COMPUTED_VALUE"""),"Solution")</f>
        <v>Solution</v>
      </c>
      <c r="I90" s="25" t="str">
        <f>IFERROR(__xludf.DUMMYFUNCTION("""COMPUTED_VALUE"""),"–")</f>
        <v>–</v>
      </c>
      <c r="J90" s="25" t="str">
        <f>IFERROR(__xludf.DUMMYFUNCTION("""COMPUTED_VALUE"""),"–")</f>
        <v>–</v>
      </c>
      <c r="K90" s="25" t="str">
        <f>IFERROR(__xludf.DUMMYFUNCTION("""COMPUTED_VALUE"""),"–")</f>
        <v>–</v>
      </c>
      <c r="L90" s="25" t="str">
        <f>IFERROR(__xludf.DUMMYFUNCTION("""COMPUTED_VALUE"""),"Chemical")</f>
        <v>Chemical</v>
      </c>
      <c r="M90" s="25" t="str">
        <f>IFERROR(__xludf.DUMMYFUNCTION("""COMPUTED_VALUE"""),"Ltr")</f>
        <v>Ltr</v>
      </c>
    </row>
    <row r="91">
      <c r="A91" s="25" t="str">
        <f>IFERROR(__xludf.DUMMYFUNCTION("""COMPUTED_VALUE"""),"CH-SOL-118")</f>
        <v>CH-SOL-118</v>
      </c>
      <c r="B91" s="25" t="str">
        <f>IFERROR(__xludf.DUMMYFUNCTION("""COMPUTED_VALUE"""),"Out")</f>
        <v>Out</v>
      </c>
      <c r="C91" s="257">
        <f>IFERROR(__xludf.DUMMYFUNCTION("""COMPUTED_VALUE"""),46161.0)</f>
        <v>46161</v>
      </c>
      <c r="D91" s="25">
        <f>IFERROR(__xludf.DUMMYFUNCTION("""COMPUTED_VALUE"""),1.0)</f>
        <v>1</v>
      </c>
      <c r="E91" s="25"/>
      <c r="F91" s="25" t="str">
        <f>IFERROR(__xludf.DUMMYFUNCTION("""COMPUTED_VALUE"""),"Anti Set off spray")</f>
        <v>Anti Set off spray</v>
      </c>
      <c r="G91" s="25" t="str">
        <f>IFERROR(__xludf.DUMMYFUNCTION("""COMPUTED_VALUE"""),"Chemical")</f>
        <v>Chemical</v>
      </c>
      <c r="H91" s="25" t="str">
        <f>IFERROR(__xludf.DUMMYFUNCTION("""COMPUTED_VALUE"""),"Solution")</f>
        <v>Solution</v>
      </c>
      <c r="I91" s="25" t="str">
        <f>IFERROR(__xludf.DUMMYFUNCTION("""COMPUTED_VALUE"""),"–")</f>
        <v>–</v>
      </c>
      <c r="J91" s="25" t="str">
        <f>IFERROR(__xludf.DUMMYFUNCTION("""COMPUTED_VALUE"""),"–")</f>
        <v>–</v>
      </c>
      <c r="K91" s="25" t="str">
        <f>IFERROR(__xludf.DUMMYFUNCTION("""COMPUTED_VALUE"""),"–")</f>
        <v>–</v>
      </c>
      <c r="L91" s="25" t="str">
        <f>IFERROR(__xludf.DUMMYFUNCTION("""COMPUTED_VALUE"""),"–")</f>
        <v>–</v>
      </c>
      <c r="M91" s="25" t="str">
        <f>IFERROR(__xludf.DUMMYFUNCTION("""COMPUTED_VALUE"""),"Pkt")</f>
        <v>Pkt</v>
      </c>
    </row>
    <row r="92">
      <c r="A92" s="25" t="str">
        <f>IFERROR(__xludf.DUMMYFUNCTION("""COMPUTED_VALUE"""),"CH-SOL-118")</f>
        <v>CH-SOL-118</v>
      </c>
      <c r="B92" s="25" t="str">
        <f>IFERROR(__xludf.DUMMYFUNCTION("""COMPUTED_VALUE"""),"Out")</f>
        <v>Out</v>
      </c>
      <c r="C92" s="257">
        <f>IFERROR(__xludf.DUMMYFUNCTION("""COMPUTED_VALUE"""),46164.0)</f>
        <v>46164</v>
      </c>
      <c r="D92" s="25">
        <f>IFERROR(__xludf.DUMMYFUNCTION("""COMPUTED_VALUE"""),1.0)</f>
        <v>1</v>
      </c>
      <c r="E92" s="25"/>
      <c r="F92" s="25" t="str">
        <f>IFERROR(__xludf.DUMMYFUNCTION("""COMPUTED_VALUE"""),"Anti Set off spray")</f>
        <v>Anti Set off spray</v>
      </c>
      <c r="G92" s="25" t="str">
        <f>IFERROR(__xludf.DUMMYFUNCTION("""COMPUTED_VALUE"""),"Chemical")</f>
        <v>Chemical</v>
      </c>
      <c r="H92" s="25" t="str">
        <f>IFERROR(__xludf.DUMMYFUNCTION("""COMPUTED_VALUE"""),"Solution")</f>
        <v>Solution</v>
      </c>
      <c r="I92" s="25" t="str">
        <f>IFERROR(__xludf.DUMMYFUNCTION("""COMPUTED_VALUE"""),"–")</f>
        <v>–</v>
      </c>
      <c r="J92" s="25" t="str">
        <f>IFERROR(__xludf.DUMMYFUNCTION("""COMPUTED_VALUE"""),"–")</f>
        <v>–</v>
      </c>
      <c r="K92" s="25" t="str">
        <f>IFERROR(__xludf.DUMMYFUNCTION("""COMPUTED_VALUE"""),"–")</f>
        <v>–</v>
      </c>
      <c r="L92" s="25" t="str">
        <f>IFERROR(__xludf.DUMMYFUNCTION("""COMPUTED_VALUE"""),"–")</f>
        <v>–</v>
      </c>
      <c r="M92" s="25" t="str">
        <f>IFERROR(__xludf.DUMMYFUNCTION("""COMPUTED_VALUE"""),"Pkt")</f>
        <v>Pkt</v>
      </c>
    </row>
    <row r="93">
      <c r="A93" s="25" t="str">
        <f>IFERROR(__xludf.DUMMYFUNCTION("""COMPUTED_VALUE"""),"CH-SOL-143")</f>
        <v>CH-SOL-143</v>
      </c>
      <c r="B93" s="25" t="str">
        <f>IFERROR(__xludf.DUMMYFUNCTION("""COMPUTED_VALUE"""),"Out")</f>
        <v>Out</v>
      </c>
      <c r="C93" s="257">
        <f>IFERROR(__xludf.DUMMYFUNCTION("""COMPUTED_VALUE"""),46167.0)</f>
        <v>46167</v>
      </c>
      <c r="D93" s="25">
        <f>IFERROR(__xludf.DUMMYFUNCTION("""COMPUTED_VALUE"""),1.0)</f>
        <v>1</v>
      </c>
      <c r="E93" s="25"/>
      <c r="F93" s="25" t="str">
        <f>IFERROR(__xludf.DUMMYFUNCTION("""COMPUTED_VALUE"""),"Plate Cleaner UV")</f>
        <v>Plate Cleaner UV</v>
      </c>
      <c r="G93" s="25" t="str">
        <f>IFERROR(__xludf.DUMMYFUNCTION("""COMPUTED_VALUE"""),"Chemical")</f>
        <v>Chemical</v>
      </c>
      <c r="H93" s="25" t="str">
        <f>IFERROR(__xludf.DUMMYFUNCTION("""COMPUTED_VALUE"""),"Solution")</f>
        <v>Solution</v>
      </c>
      <c r="I93" s="25" t="str">
        <f>IFERROR(__xludf.DUMMYFUNCTION("""COMPUTED_VALUE"""),"–")</f>
        <v>–</v>
      </c>
      <c r="J93" s="25" t="str">
        <f>IFERROR(__xludf.DUMMYFUNCTION("""COMPUTED_VALUE"""),"–")</f>
        <v>–</v>
      </c>
      <c r="K93" s="25" t="str">
        <f>IFERROR(__xludf.DUMMYFUNCTION("""COMPUTED_VALUE"""),"–")</f>
        <v>–</v>
      </c>
      <c r="L93" s="25" t="str">
        <f>IFERROR(__xludf.DUMMYFUNCTION("""COMPUTED_VALUE"""),"Hard Gp")</f>
        <v>Hard Gp</v>
      </c>
      <c r="M93" s="25" t="str">
        <f>IFERROR(__xludf.DUMMYFUNCTION("""COMPUTED_VALUE"""),"Ltr")</f>
        <v>Ltr</v>
      </c>
    </row>
    <row r="94">
      <c r="A94" s="25" t="str">
        <f>IFERROR(__xludf.DUMMYFUNCTION("""COMPUTED_VALUE"""),"CH-SOL-116")</f>
        <v>CH-SOL-116</v>
      </c>
      <c r="B94" s="25" t="str">
        <f>IFERROR(__xludf.DUMMYFUNCTION("""COMPUTED_VALUE"""),"Out")</f>
        <v>Out</v>
      </c>
      <c r="C94" s="257">
        <f>IFERROR(__xludf.DUMMYFUNCTION("""COMPUTED_VALUE"""),46167.0)</f>
        <v>46167</v>
      </c>
      <c r="D94" s="25">
        <f>IFERROR(__xludf.DUMMYFUNCTION("""COMPUTED_VALUE"""),20.0)</f>
        <v>20</v>
      </c>
      <c r="E94" s="25"/>
      <c r="F94" s="25" t="str">
        <f>IFERROR(__xludf.DUMMYFUNCTION("""COMPUTED_VALUE"""),"Nova Nol Xtra")</f>
        <v>Nova Nol Xtra</v>
      </c>
      <c r="G94" s="25" t="str">
        <f>IFERROR(__xludf.DUMMYFUNCTION("""COMPUTED_VALUE"""),"Chemical")</f>
        <v>Chemical</v>
      </c>
      <c r="H94" s="25" t="str">
        <f>IFERROR(__xludf.DUMMYFUNCTION("""COMPUTED_VALUE"""),"Solution")</f>
        <v>Solution</v>
      </c>
      <c r="I94" s="25" t="str">
        <f>IFERROR(__xludf.DUMMYFUNCTION("""COMPUTED_VALUE"""),"–")</f>
        <v>–</v>
      </c>
      <c r="J94" s="25" t="str">
        <f>IFERROR(__xludf.DUMMYFUNCTION("""COMPUTED_VALUE"""),"–")</f>
        <v>–</v>
      </c>
      <c r="K94" s="25" t="str">
        <f>IFERROR(__xludf.DUMMYFUNCTION("""COMPUTED_VALUE"""),"–")</f>
        <v>–</v>
      </c>
      <c r="L94" s="25" t="str">
        <f>IFERROR(__xludf.DUMMYFUNCTION("""COMPUTED_VALUE"""),"Alcohol")</f>
        <v>Alcohol</v>
      </c>
      <c r="M94" s="25" t="str">
        <f>IFERROR(__xludf.DUMMYFUNCTION("""COMPUTED_VALUE"""),"Ltr")</f>
        <v>Ltr</v>
      </c>
    </row>
    <row r="95">
      <c r="A95" s="25" t="str">
        <f>IFERROR(__xludf.DUMMYFUNCTION("""COMPUTED_VALUE"""),"CH-SOL-360")</f>
        <v>CH-SOL-360</v>
      </c>
      <c r="B95" s="25" t="str">
        <f>IFERROR(__xludf.DUMMYFUNCTION("""COMPUTED_VALUE"""),"Out")</f>
        <v>Out</v>
      </c>
      <c r="C95" s="257">
        <f>IFERROR(__xludf.DUMMYFUNCTION("""COMPUTED_VALUE"""),46170.0)</f>
        <v>46170</v>
      </c>
      <c r="D95" s="25">
        <f>IFERROR(__xludf.DUMMYFUNCTION("""COMPUTED_VALUE"""),0.5)</f>
        <v>0.5</v>
      </c>
      <c r="E95" s="25"/>
      <c r="F95" s="25" t="str">
        <f>IFERROR(__xludf.DUMMYFUNCTION("""COMPUTED_VALUE"""),"inkreducer(phosporic)")</f>
        <v>inkreducer(phosporic)</v>
      </c>
      <c r="G95" s="25" t="str">
        <f>IFERROR(__xludf.DUMMYFUNCTION("""COMPUTED_VALUE"""),"Chemical")</f>
        <v>Chemical</v>
      </c>
      <c r="H95" s="25" t="str">
        <f>IFERROR(__xludf.DUMMYFUNCTION("""COMPUTED_VALUE"""),"Solution")</f>
        <v>Solution</v>
      </c>
      <c r="I95" s="25" t="str">
        <f>IFERROR(__xludf.DUMMYFUNCTION("""COMPUTED_VALUE"""),"–")</f>
        <v>–</v>
      </c>
      <c r="J95" s="25" t="str">
        <f>IFERROR(__xludf.DUMMYFUNCTION("""COMPUTED_VALUE"""),"–")</f>
        <v>–</v>
      </c>
      <c r="K95" s="25" t="str">
        <f>IFERROR(__xludf.DUMMYFUNCTION("""COMPUTED_VALUE"""),"–")</f>
        <v>–</v>
      </c>
      <c r="L95" s="25" t="str">
        <f>IFERROR(__xludf.DUMMYFUNCTION("""COMPUTED_VALUE"""),"–")</f>
        <v>–</v>
      </c>
      <c r="M95" s="25" t="str">
        <f>IFERROR(__xludf.DUMMYFUNCTION("""COMPUTED_VALUE"""),"Ltr")</f>
        <v>Ltr</v>
      </c>
    </row>
    <row r="96">
      <c r="A96" s="25" t="str">
        <f>IFERROR(__xludf.DUMMYFUNCTION("""COMPUTED_VALUE"""),"CH-VAR-134")</f>
        <v>CH-VAR-134</v>
      </c>
      <c r="B96" s="25" t="str">
        <f>IFERROR(__xludf.DUMMYFUNCTION("""COMPUTED_VALUE"""),"Out")</f>
        <v>Out</v>
      </c>
      <c r="C96" s="257">
        <f>IFERROR(__xludf.DUMMYFUNCTION("""COMPUTED_VALUE"""),46169.0)</f>
        <v>46169</v>
      </c>
      <c r="D96" s="25">
        <f>IFERROR(__xludf.DUMMYFUNCTION("""COMPUTED_VALUE"""),20.0)</f>
        <v>20</v>
      </c>
      <c r="E96" s="25"/>
      <c r="F96" s="25" t="str">
        <f>IFERROR(__xludf.DUMMYFUNCTION("""COMPUTED_VALUE"""),"TK/7000 AQUA High Gloss Varnish")</f>
        <v>TK/7000 AQUA High Gloss Varnish</v>
      </c>
      <c r="G96" s="25" t="str">
        <f>IFERROR(__xludf.DUMMYFUNCTION("""COMPUTED_VALUE"""),"Chemical")</f>
        <v>Chemical</v>
      </c>
      <c r="H96" s="25" t="str">
        <f>IFERROR(__xludf.DUMMYFUNCTION("""COMPUTED_VALUE"""),"Varnish")</f>
        <v>Varnish</v>
      </c>
      <c r="I96" s="25" t="str">
        <f>IFERROR(__xludf.DUMMYFUNCTION("""COMPUTED_VALUE"""),"–")</f>
        <v>–</v>
      </c>
      <c r="J96" s="25" t="str">
        <f>IFERROR(__xludf.DUMMYFUNCTION("""COMPUTED_VALUE"""),"–")</f>
        <v>–</v>
      </c>
      <c r="K96" s="25" t="str">
        <f>IFERROR(__xludf.DUMMYFUNCTION("""COMPUTED_VALUE"""),"–")</f>
        <v>–</v>
      </c>
      <c r="L96" s="25" t="str">
        <f>IFERROR(__xludf.DUMMYFUNCTION("""COMPUTED_VALUE"""),"High Gloss")</f>
        <v>High Gloss</v>
      </c>
      <c r="M96" s="25" t="str">
        <f>IFERROR(__xludf.DUMMYFUNCTION("""COMPUTED_VALUE"""),"Kg")</f>
        <v>Kg</v>
      </c>
    </row>
    <row r="97">
      <c r="A97" s="25" t="str">
        <f>IFERROR(__xludf.DUMMYFUNCTION("""COMPUTED_VALUE"""),"CH-SOL-116")</f>
        <v>CH-SOL-116</v>
      </c>
      <c r="B97" s="25" t="str">
        <f>IFERROR(__xludf.DUMMYFUNCTION("""COMPUTED_VALUE"""),"Out")</f>
        <v>Out</v>
      </c>
      <c r="C97" s="257">
        <f>IFERROR(__xludf.DUMMYFUNCTION("""COMPUTED_VALUE"""),46171.0)</f>
        <v>46171</v>
      </c>
      <c r="D97" s="25">
        <f>IFERROR(__xludf.DUMMYFUNCTION("""COMPUTED_VALUE"""),20.0)</f>
        <v>20</v>
      </c>
      <c r="E97" s="25"/>
      <c r="F97" s="25" t="str">
        <f>IFERROR(__xludf.DUMMYFUNCTION("""COMPUTED_VALUE"""),"Nova Nol Xtra")</f>
        <v>Nova Nol Xtra</v>
      </c>
      <c r="G97" s="25" t="str">
        <f>IFERROR(__xludf.DUMMYFUNCTION("""COMPUTED_VALUE"""),"Chemical")</f>
        <v>Chemical</v>
      </c>
      <c r="H97" s="25" t="str">
        <f>IFERROR(__xludf.DUMMYFUNCTION("""COMPUTED_VALUE"""),"Solution")</f>
        <v>Solution</v>
      </c>
      <c r="I97" s="25" t="str">
        <f>IFERROR(__xludf.DUMMYFUNCTION("""COMPUTED_VALUE"""),"–")</f>
        <v>–</v>
      </c>
      <c r="J97" s="25" t="str">
        <f>IFERROR(__xludf.DUMMYFUNCTION("""COMPUTED_VALUE"""),"–")</f>
        <v>–</v>
      </c>
      <c r="K97" s="25" t="str">
        <f>IFERROR(__xludf.DUMMYFUNCTION("""COMPUTED_VALUE"""),"–")</f>
        <v>–</v>
      </c>
      <c r="L97" s="25" t="str">
        <f>IFERROR(__xludf.DUMMYFUNCTION("""COMPUTED_VALUE"""),"Alcohol")</f>
        <v>Alcohol</v>
      </c>
      <c r="M97" s="25" t="str">
        <f>IFERROR(__xludf.DUMMYFUNCTION("""COMPUTED_VALUE"""),"Ltr")</f>
        <v>Ltr</v>
      </c>
    </row>
    <row r="98">
      <c r="A98" s="25" t="str">
        <f>IFERROR(__xludf.DUMMYFUNCTION("""COMPUTED_VALUE"""),"CH-SOL-212")</f>
        <v>CH-SOL-212</v>
      </c>
      <c r="B98" s="25" t="str">
        <f>IFERROR(__xludf.DUMMYFUNCTION("""COMPUTED_VALUE"""),"Out")</f>
        <v>Out</v>
      </c>
      <c r="C98" s="257">
        <f>IFERROR(__xludf.DUMMYFUNCTION("""COMPUTED_VALUE"""),46171.0)</f>
        <v>46171</v>
      </c>
      <c r="D98" s="25">
        <f>IFERROR(__xludf.DUMMYFUNCTION("""COMPUTED_VALUE"""),2.0)</f>
        <v>2</v>
      </c>
      <c r="E98" s="25"/>
      <c r="F98" s="25" t="str">
        <f>IFERROR(__xludf.DUMMYFUNCTION("""COMPUTED_VALUE"""),"New V Screen Trans ink")</f>
        <v>New V Screen Trans ink</v>
      </c>
      <c r="G98" s="25" t="str">
        <f>IFERROR(__xludf.DUMMYFUNCTION("""COMPUTED_VALUE"""),"Chemical")</f>
        <v>Chemical</v>
      </c>
      <c r="H98" s="25" t="str">
        <f>IFERROR(__xludf.DUMMYFUNCTION("""COMPUTED_VALUE"""),"Solution")</f>
        <v>Solution</v>
      </c>
      <c r="I98" s="25" t="str">
        <f>IFERROR(__xludf.DUMMYFUNCTION("""COMPUTED_VALUE"""),"–")</f>
        <v>–</v>
      </c>
      <c r="J98" s="25" t="str">
        <f>IFERROR(__xludf.DUMMYFUNCTION("""COMPUTED_VALUE"""),"–")</f>
        <v>–</v>
      </c>
      <c r="K98" s="25" t="str">
        <f>IFERROR(__xludf.DUMMYFUNCTION("""COMPUTED_VALUE"""),"–")</f>
        <v>–</v>
      </c>
      <c r="L98" s="25" t="str">
        <f>IFERROR(__xludf.DUMMYFUNCTION("""COMPUTED_VALUE"""),"UV Screen Gloss-SPOT UV")</f>
        <v>UV Screen Gloss-SPOT UV</v>
      </c>
      <c r="M98" s="25" t="str">
        <f>IFERROR(__xludf.DUMMYFUNCTION("""COMPUTED_VALUE"""),"Ltr")</f>
        <v>Ltr</v>
      </c>
    </row>
    <row r="99">
      <c r="A99" s="25" t="str">
        <f>IFERROR(__xludf.DUMMYFUNCTION("""COMPUTED_VALUE"""),"CH-VAR-134")</f>
        <v>CH-VAR-134</v>
      </c>
      <c r="B99" s="25" t="str">
        <f>IFERROR(__xludf.DUMMYFUNCTION("""COMPUTED_VALUE"""),"Out")</f>
        <v>Out</v>
      </c>
      <c r="C99" s="257">
        <f>IFERROR(__xludf.DUMMYFUNCTION("""COMPUTED_VALUE"""),46174.0)</f>
        <v>46174</v>
      </c>
      <c r="D99" s="25">
        <f>IFERROR(__xludf.DUMMYFUNCTION("""COMPUTED_VALUE"""),25.0)</f>
        <v>25</v>
      </c>
      <c r="E99" s="25"/>
      <c r="F99" s="25" t="str">
        <f>IFERROR(__xludf.DUMMYFUNCTION("""COMPUTED_VALUE"""),"TK/7000 AQUA High Gloss Varnish")</f>
        <v>TK/7000 AQUA High Gloss Varnish</v>
      </c>
      <c r="G99" s="25" t="str">
        <f>IFERROR(__xludf.DUMMYFUNCTION("""COMPUTED_VALUE"""),"Chemical")</f>
        <v>Chemical</v>
      </c>
      <c r="H99" s="25" t="str">
        <f>IFERROR(__xludf.DUMMYFUNCTION("""COMPUTED_VALUE"""),"Varnish")</f>
        <v>Varnish</v>
      </c>
      <c r="I99" s="25" t="str">
        <f>IFERROR(__xludf.DUMMYFUNCTION("""COMPUTED_VALUE"""),"–")</f>
        <v>–</v>
      </c>
      <c r="J99" s="25" t="str">
        <f>IFERROR(__xludf.DUMMYFUNCTION("""COMPUTED_VALUE"""),"–")</f>
        <v>–</v>
      </c>
      <c r="K99" s="25" t="str">
        <f>IFERROR(__xludf.DUMMYFUNCTION("""COMPUTED_VALUE"""),"–")</f>
        <v>–</v>
      </c>
      <c r="L99" s="25" t="str">
        <f>IFERROR(__xludf.DUMMYFUNCTION("""COMPUTED_VALUE"""),"High Gloss")</f>
        <v>High Gloss</v>
      </c>
      <c r="M99" s="25" t="str">
        <f>IFERROR(__xludf.DUMMYFUNCTION("""COMPUTED_VALUE"""),"Kg")</f>
        <v>Kg</v>
      </c>
    </row>
    <row r="100">
      <c r="A100" s="25" t="str">
        <f>IFERROR(__xludf.DUMMYFUNCTION("""COMPUTED_VALUE"""),"CH-SOL-116")</f>
        <v>CH-SOL-116</v>
      </c>
      <c r="B100" s="25" t="str">
        <f>IFERROR(__xludf.DUMMYFUNCTION("""COMPUTED_VALUE"""),"Out")</f>
        <v>Out</v>
      </c>
      <c r="C100" s="257">
        <f>IFERROR(__xludf.DUMMYFUNCTION("""COMPUTED_VALUE"""),46175.0)</f>
        <v>46175</v>
      </c>
      <c r="D100" s="25">
        <f>IFERROR(__xludf.DUMMYFUNCTION("""COMPUTED_VALUE"""),20.0)</f>
        <v>20</v>
      </c>
      <c r="E100" s="25"/>
      <c r="F100" s="25" t="str">
        <f>IFERROR(__xludf.DUMMYFUNCTION("""COMPUTED_VALUE"""),"Nova Nol Xtra")</f>
        <v>Nova Nol Xtra</v>
      </c>
      <c r="G100" s="25" t="str">
        <f>IFERROR(__xludf.DUMMYFUNCTION("""COMPUTED_VALUE"""),"Chemical")</f>
        <v>Chemical</v>
      </c>
      <c r="H100" s="25" t="str">
        <f>IFERROR(__xludf.DUMMYFUNCTION("""COMPUTED_VALUE"""),"Solution")</f>
        <v>Solution</v>
      </c>
      <c r="I100" s="25" t="str">
        <f>IFERROR(__xludf.DUMMYFUNCTION("""COMPUTED_VALUE"""),"–")</f>
        <v>–</v>
      </c>
      <c r="J100" s="25" t="str">
        <f>IFERROR(__xludf.DUMMYFUNCTION("""COMPUTED_VALUE"""),"–")</f>
        <v>–</v>
      </c>
      <c r="K100" s="25" t="str">
        <f>IFERROR(__xludf.DUMMYFUNCTION("""COMPUTED_VALUE"""),"–")</f>
        <v>–</v>
      </c>
      <c r="L100" s="25" t="str">
        <f>IFERROR(__xludf.DUMMYFUNCTION("""COMPUTED_VALUE"""),"Alcohol")</f>
        <v>Alcohol</v>
      </c>
      <c r="M100" s="25" t="str">
        <f>IFERROR(__xludf.DUMMYFUNCTION("""COMPUTED_VALUE"""),"Ltr")</f>
        <v>Ltr</v>
      </c>
    </row>
    <row r="101">
      <c r="A101" s="25" t="str">
        <f>IFERROR(__xludf.DUMMYFUNCTION("""COMPUTED_VALUE"""),"CH-SOL-118")</f>
        <v>CH-SOL-118</v>
      </c>
      <c r="B101" s="25" t="str">
        <f>IFERROR(__xludf.DUMMYFUNCTION("""COMPUTED_VALUE"""),"Out")</f>
        <v>Out</v>
      </c>
      <c r="C101" s="257">
        <f>IFERROR(__xludf.DUMMYFUNCTION("""COMPUTED_VALUE"""),46172.0)</f>
        <v>46172</v>
      </c>
      <c r="D101" s="25">
        <f>IFERROR(__xludf.DUMMYFUNCTION("""COMPUTED_VALUE"""),1.0)</f>
        <v>1</v>
      </c>
      <c r="E101" s="25"/>
      <c r="F101" s="25" t="str">
        <f>IFERROR(__xludf.DUMMYFUNCTION("""COMPUTED_VALUE"""),"Anti Set off spray")</f>
        <v>Anti Set off spray</v>
      </c>
      <c r="G101" s="25" t="str">
        <f>IFERROR(__xludf.DUMMYFUNCTION("""COMPUTED_VALUE"""),"Chemical")</f>
        <v>Chemical</v>
      </c>
      <c r="H101" s="25" t="str">
        <f>IFERROR(__xludf.DUMMYFUNCTION("""COMPUTED_VALUE"""),"Solution")</f>
        <v>Solution</v>
      </c>
      <c r="I101" s="25" t="str">
        <f>IFERROR(__xludf.DUMMYFUNCTION("""COMPUTED_VALUE"""),"–")</f>
        <v>–</v>
      </c>
      <c r="J101" s="25" t="str">
        <f>IFERROR(__xludf.DUMMYFUNCTION("""COMPUTED_VALUE"""),"–")</f>
        <v>–</v>
      </c>
      <c r="K101" s="25" t="str">
        <f>IFERROR(__xludf.DUMMYFUNCTION("""COMPUTED_VALUE"""),"–")</f>
        <v>–</v>
      </c>
      <c r="L101" s="25" t="str">
        <f>IFERROR(__xludf.DUMMYFUNCTION("""COMPUTED_VALUE"""),"–")</f>
        <v>–</v>
      </c>
      <c r="M101" s="25" t="str">
        <f>IFERROR(__xludf.DUMMYFUNCTION("""COMPUTED_VALUE"""),"Pkt")</f>
        <v>Pkt</v>
      </c>
    </row>
    <row r="102">
      <c r="A102" s="25" t="str">
        <f>IFERROR(__xludf.DUMMYFUNCTION("""COMPUTED_VALUE"""),"CH-SOL-143")</f>
        <v>CH-SOL-143</v>
      </c>
      <c r="B102" s="25" t="str">
        <f>IFERROR(__xludf.DUMMYFUNCTION("""COMPUTED_VALUE"""),"Out")</f>
        <v>Out</v>
      </c>
      <c r="C102" s="257">
        <f>IFERROR(__xludf.DUMMYFUNCTION("""COMPUTED_VALUE"""),46175.0)</f>
        <v>46175</v>
      </c>
      <c r="D102" s="25">
        <f>IFERROR(__xludf.DUMMYFUNCTION("""COMPUTED_VALUE"""),1.0)</f>
        <v>1</v>
      </c>
      <c r="E102" s="25"/>
      <c r="F102" s="25" t="str">
        <f>IFERROR(__xludf.DUMMYFUNCTION("""COMPUTED_VALUE"""),"Plate Cleaner UV")</f>
        <v>Plate Cleaner UV</v>
      </c>
      <c r="G102" s="25" t="str">
        <f>IFERROR(__xludf.DUMMYFUNCTION("""COMPUTED_VALUE"""),"Chemical")</f>
        <v>Chemical</v>
      </c>
      <c r="H102" s="25" t="str">
        <f>IFERROR(__xludf.DUMMYFUNCTION("""COMPUTED_VALUE"""),"Solution")</f>
        <v>Solution</v>
      </c>
      <c r="I102" s="25" t="str">
        <f>IFERROR(__xludf.DUMMYFUNCTION("""COMPUTED_VALUE"""),"–")</f>
        <v>–</v>
      </c>
      <c r="J102" s="25" t="str">
        <f>IFERROR(__xludf.DUMMYFUNCTION("""COMPUTED_VALUE"""),"–")</f>
        <v>–</v>
      </c>
      <c r="K102" s="25" t="str">
        <f>IFERROR(__xludf.DUMMYFUNCTION("""COMPUTED_VALUE"""),"–")</f>
        <v>–</v>
      </c>
      <c r="L102" s="25" t="str">
        <f>IFERROR(__xludf.DUMMYFUNCTION("""COMPUTED_VALUE"""),"Hard Gp")</f>
        <v>Hard Gp</v>
      </c>
      <c r="M102" s="25" t="str">
        <f>IFERROR(__xludf.DUMMYFUNCTION("""COMPUTED_VALUE"""),"Ltr")</f>
        <v>Ltr</v>
      </c>
    </row>
    <row r="103">
      <c r="A103" s="25" t="str">
        <f>IFERROR(__xludf.DUMMYFUNCTION("""COMPUTED_VALUE"""),"CH-SOL-142")</f>
        <v>CH-SOL-142</v>
      </c>
      <c r="B103" s="25" t="str">
        <f>IFERROR(__xludf.DUMMYFUNCTION("""COMPUTED_VALUE"""),"Out")</f>
        <v>Out</v>
      </c>
      <c r="C103" s="257">
        <f>IFERROR(__xludf.DUMMYFUNCTION("""COMPUTED_VALUE"""),46176.0)</f>
        <v>46176</v>
      </c>
      <c r="D103" s="25">
        <f>IFERROR(__xludf.DUMMYFUNCTION("""COMPUTED_VALUE"""),5.0)</f>
        <v>5</v>
      </c>
      <c r="E103" s="25"/>
      <c r="F103" s="25" t="str">
        <f>IFERROR(__xludf.DUMMYFUNCTION("""COMPUTED_VALUE"""),"Plate Cleaner Normal")</f>
        <v>Plate Cleaner Normal</v>
      </c>
      <c r="G103" s="25" t="str">
        <f>IFERROR(__xludf.DUMMYFUNCTION("""COMPUTED_VALUE"""),"Chemical")</f>
        <v>Chemical</v>
      </c>
      <c r="H103" s="25" t="str">
        <f>IFERROR(__xludf.DUMMYFUNCTION("""COMPUTED_VALUE"""),"Solution")</f>
        <v>Solution</v>
      </c>
      <c r="I103" s="25" t="str">
        <f>IFERROR(__xludf.DUMMYFUNCTION("""COMPUTED_VALUE"""),"–")</f>
        <v>–</v>
      </c>
      <c r="J103" s="25" t="str">
        <f>IFERROR(__xludf.DUMMYFUNCTION("""COMPUTED_VALUE"""),"–")</f>
        <v>–</v>
      </c>
      <c r="K103" s="25" t="str">
        <f>IFERROR(__xludf.DUMMYFUNCTION("""COMPUTED_VALUE"""),"–")</f>
        <v>–</v>
      </c>
      <c r="L103" s="25" t="str">
        <f>IFERROR(__xludf.DUMMYFUNCTION("""COMPUTED_VALUE"""),"Normal Gp")</f>
        <v>Normal Gp</v>
      </c>
      <c r="M103" s="25" t="str">
        <f>IFERROR(__xludf.DUMMYFUNCTION("""COMPUTED_VALUE"""),"Ltr")</f>
        <v>Ltr</v>
      </c>
    </row>
    <row r="104">
      <c r="A104" s="25" t="str">
        <f>IFERROR(__xludf.DUMMYFUNCTION("""COMPUTED_VALUE"""),"CH-SOL-144")</f>
        <v>CH-SOL-144</v>
      </c>
      <c r="B104" s="25" t="str">
        <f>IFERROR(__xludf.DUMMYFUNCTION("""COMPUTED_VALUE"""),"Out")</f>
        <v>Out</v>
      </c>
      <c r="C104" s="257">
        <f>IFERROR(__xludf.DUMMYFUNCTION("""COMPUTED_VALUE"""),46179.0)</f>
        <v>46179</v>
      </c>
      <c r="D104" s="25">
        <f>IFERROR(__xludf.DUMMYFUNCTION("""COMPUTED_VALUE"""),10.0)</f>
        <v>10</v>
      </c>
      <c r="E104" s="25"/>
      <c r="F104" s="25" t="str">
        <f>IFERROR(__xludf.DUMMYFUNCTION("""COMPUTED_VALUE"""),"Benzene")</f>
        <v>Benzene</v>
      </c>
      <c r="G104" s="25" t="str">
        <f>IFERROR(__xludf.DUMMYFUNCTION("""COMPUTED_VALUE"""),"Chemical")</f>
        <v>Chemical</v>
      </c>
      <c r="H104" s="25" t="str">
        <f>IFERROR(__xludf.DUMMYFUNCTION("""COMPUTED_VALUE"""),"Solution")</f>
        <v>Solution</v>
      </c>
      <c r="I104" s="25" t="str">
        <f>IFERROR(__xludf.DUMMYFUNCTION("""COMPUTED_VALUE"""),"–")</f>
        <v>–</v>
      </c>
      <c r="J104" s="25" t="str">
        <f>IFERROR(__xludf.DUMMYFUNCTION("""COMPUTED_VALUE"""),"–")</f>
        <v>–</v>
      </c>
      <c r="K104" s="25" t="str">
        <f>IFERROR(__xludf.DUMMYFUNCTION("""COMPUTED_VALUE"""),"–")</f>
        <v>–</v>
      </c>
      <c r="L104" s="25" t="str">
        <f>IFERROR(__xludf.DUMMYFUNCTION("""COMPUTED_VALUE"""),"Chemical")</f>
        <v>Chemical</v>
      </c>
      <c r="M104" s="25" t="str">
        <f>IFERROR(__xludf.DUMMYFUNCTION("""COMPUTED_VALUE"""),"Ltr")</f>
        <v>Ltr</v>
      </c>
    </row>
    <row r="105">
      <c r="A105" s="25" t="str">
        <f>IFERROR(__xludf.DUMMYFUNCTION("""COMPUTED_VALUE"""),"CH-SOL-116")</f>
        <v>CH-SOL-116</v>
      </c>
      <c r="B105" s="25" t="str">
        <f>IFERROR(__xludf.DUMMYFUNCTION("""COMPUTED_VALUE"""),"Out")</f>
        <v>Out</v>
      </c>
      <c r="C105" s="257">
        <f>IFERROR(__xludf.DUMMYFUNCTION("""COMPUTED_VALUE"""),46181.0)</f>
        <v>46181</v>
      </c>
      <c r="D105" s="25">
        <f>IFERROR(__xludf.DUMMYFUNCTION("""COMPUTED_VALUE"""),20.0)</f>
        <v>20</v>
      </c>
      <c r="E105" s="25"/>
      <c r="F105" s="25" t="str">
        <f>IFERROR(__xludf.DUMMYFUNCTION("""COMPUTED_VALUE"""),"Nova Nol Xtra")</f>
        <v>Nova Nol Xtra</v>
      </c>
      <c r="G105" s="25" t="str">
        <f>IFERROR(__xludf.DUMMYFUNCTION("""COMPUTED_VALUE"""),"Chemical")</f>
        <v>Chemical</v>
      </c>
      <c r="H105" s="25" t="str">
        <f>IFERROR(__xludf.DUMMYFUNCTION("""COMPUTED_VALUE"""),"Solution")</f>
        <v>Solution</v>
      </c>
      <c r="I105" s="25" t="str">
        <f>IFERROR(__xludf.DUMMYFUNCTION("""COMPUTED_VALUE"""),"–")</f>
        <v>–</v>
      </c>
      <c r="J105" s="25" t="str">
        <f>IFERROR(__xludf.DUMMYFUNCTION("""COMPUTED_VALUE"""),"–")</f>
        <v>–</v>
      </c>
      <c r="K105" s="25" t="str">
        <f>IFERROR(__xludf.DUMMYFUNCTION("""COMPUTED_VALUE"""),"–")</f>
        <v>–</v>
      </c>
      <c r="L105" s="25" t="str">
        <f>IFERROR(__xludf.DUMMYFUNCTION("""COMPUTED_VALUE"""),"Alcohol")</f>
        <v>Alcohol</v>
      </c>
      <c r="M105" s="25" t="str">
        <f>IFERROR(__xludf.DUMMYFUNCTION("""COMPUTED_VALUE"""),"Ltr")</f>
        <v>Ltr</v>
      </c>
    </row>
    <row r="106">
      <c r="A106" s="25" t="str">
        <f>IFERROR(__xludf.DUMMYFUNCTION("""COMPUTED_VALUE"""),"CH-SOL-179")</f>
        <v>CH-SOL-179</v>
      </c>
      <c r="B106" s="25" t="str">
        <f>IFERROR(__xludf.DUMMYFUNCTION("""COMPUTED_VALUE"""),"Out")</f>
        <v>Out</v>
      </c>
      <c r="C106" s="257">
        <f>IFERROR(__xludf.DUMMYFUNCTION("""COMPUTED_VALUE"""),46181.0)</f>
        <v>46181</v>
      </c>
      <c r="D106" s="25">
        <f>IFERROR(__xludf.DUMMYFUNCTION("""COMPUTED_VALUE"""),25.0)</f>
        <v>25</v>
      </c>
      <c r="E106" s="25"/>
      <c r="F106" s="25" t="str">
        <f>IFERROR(__xludf.DUMMYFUNCTION("""COMPUTED_VALUE"""),"New V FD Wash(Hard Wash)-HPC-0237/25D21")</f>
        <v>New V FD Wash(Hard Wash)-HPC-0237/25D21</v>
      </c>
      <c r="G106" s="25" t="str">
        <f>IFERROR(__xludf.DUMMYFUNCTION("""COMPUTED_VALUE"""),"Chemical")</f>
        <v>Chemical</v>
      </c>
      <c r="H106" s="25" t="str">
        <f>IFERROR(__xludf.DUMMYFUNCTION("""COMPUTED_VALUE"""),"Solution")</f>
        <v>Solution</v>
      </c>
      <c r="I106" s="25" t="str">
        <f>IFERROR(__xludf.DUMMYFUNCTION("""COMPUTED_VALUE"""),"–")</f>
        <v>–</v>
      </c>
      <c r="J106" s="25" t="str">
        <f>IFERROR(__xludf.DUMMYFUNCTION("""COMPUTED_VALUE"""),"–")</f>
        <v>–</v>
      </c>
      <c r="K106" s="25" t="str">
        <f>IFERROR(__xludf.DUMMYFUNCTION("""COMPUTED_VALUE"""),"–")</f>
        <v>–</v>
      </c>
      <c r="L106" s="25" t="str">
        <f>IFERROR(__xludf.DUMMYFUNCTION("""COMPUTED_VALUE"""),"Hard Wash")</f>
        <v>Hard Wash</v>
      </c>
      <c r="M106" s="25" t="str">
        <f>IFERROR(__xludf.DUMMYFUNCTION("""COMPUTED_VALUE"""),"Ltr")</f>
        <v>Ltr</v>
      </c>
    </row>
    <row r="107">
      <c r="A107" s="25" t="str">
        <f>IFERROR(__xludf.DUMMYFUNCTION("""COMPUTED_VALUE"""),"CH-SOL-114")</f>
        <v>CH-SOL-114</v>
      </c>
      <c r="B107" s="25" t="str">
        <f>IFERROR(__xludf.DUMMYFUNCTION("""COMPUTED_VALUE"""),"Out")</f>
        <v>Out</v>
      </c>
      <c r="C107" s="257">
        <f>IFERROR(__xludf.DUMMYFUNCTION("""COMPUTED_VALUE"""),46181.0)</f>
        <v>46181</v>
      </c>
      <c r="D107" s="25">
        <f>IFERROR(__xludf.DUMMYFUNCTION("""COMPUTED_VALUE"""),25.0)</f>
        <v>25</v>
      </c>
      <c r="E107" s="25"/>
      <c r="F107" s="25" t="str">
        <f>IFERROR(__xludf.DUMMYFUNCTION("""COMPUTED_VALUE"""),"Classic Multi Wash-HPC 0214/25D21")</f>
        <v>Classic Multi Wash-HPC 0214/25D21</v>
      </c>
      <c r="G107" s="25" t="str">
        <f>IFERROR(__xludf.DUMMYFUNCTION("""COMPUTED_VALUE"""),"Chemical")</f>
        <v>Chemical</v>
      </c>
      <c r="H107" s="25" t="str">
        <f>IFERROR(__xludf.DUMMYFUNCTION("""COMPUTED_VALUE"""),"Solution")</f>
        <v>Solution</v>
      </c>
      <c r="I107" s="25" t="str">
        <f>IFERROR(__xludf.DUMMYFUNCTION("""COMPUTED_VALUE"""),"–")</f>
        <v>–</v>
      </c>
      <c r="J107" s="25" t="str">
        <f>IFERROR(__xludf.DUMMYFUNCTION("""COMPUTED_VALUE"""),"–")</f>
        <v>–</v>
      </c>
      <c r="K107" s="25" t="str">
        <f>IFERROR(__xludf.DUMMYFUNCTION("""COMPUTED_VALUE"""),"–")</f>
        <v>–</v>
      </c>
      <c r="L107" s="25" t="str">
        <f>IFERROR(__xludf.DUMMYFUNCTION("""COMPUTED_VALUE"""),"Normal Wash")</f>
        <v>Normal Wash</v>
      </c>
      <c r="M107" s="25" t="str">
        <f>IFERROR(__xludf.DUMMYFUNCTION("""COMPUTED_VALUE"""),"Ltr")</f>
        <v>Ltr</v>
      </c>
    </row>
    <row r="108">
      <c r="A108" s="25" t="str">
        <f>IFERROR(__xludf.DUMMYFUNCTION("""COMPUTED_VALUE"""),"CH-SOL-268")</f>
        <v>CH-SOL-268</v>
      </c>
      <c r="B108" s="25" t="str">
        <f>IFERROR(__xludf.DUMMYFUNCTION("""COMPUTED_VALUE"""),"Out")</f>
        <v>Out</v>
      </c>
      <c r="C108" s="257">
        <f>IFERROR(__xludf.DUMMYFUNCTION("""COMPUTED_VALUE"""),46177.0)</f>
        <v>46177</v>
      </c>
      <c r="D108" s="25">
        <f>IFERROR(__xludf.DUMMYFUNCTION("""COMPUTED_VALUE"""),5.0)</f>
        <v>5</v>
      </c>
      <c r="E108" s="25"/>
      <c r="F108" s="25" t="str">
        <f>IFERROR(__xludf.DUMMYFUNCTION("""COMPUTED_VALUE"""),"Screen Clearning Aid Amyle")</f>
        <v>Screen Clearning Aid Amyle</v>
      </c>
      <c r="G108" s="25" t="str">
        <f>IFERROR(__xludf.DUMMYFUNCTION("""COMPUTED_VALUE"""),"Chemical")</f>
        <v>Chemical</v>
      </c>
      <c r="H108" s="25" t="str">
        <f>IFERROR(__xludf.DUMMYFUNCTION("""COMPUTED_VALUE"""),"Solution")</f>
        <v>Solution</v>
      </c>
      <c r="I108" s="25" t="str">
        <f>IFERROR(__xludf.DUMMYFUNCTION("""COMPUTED_VALUE"""),"–")</f>
        <v>–</v>
      </c>
      <c r="J108" s="25" t="str">
        <f>IFERROR(__xludf.DUMMYFUNCTION("""COMPUTED_VALUE"""),"–")</f>
        <v>–</v>
      </c>
      <c r="K108" s="25" t="str">
        <f>IFERROR(__xludf.DUMMYFUNCTION("""COMPUTED_VALUE"""),"–")</f>
        <v>–</v>
      </c>
      <c r="L108" s="25" t="str">
        <f>IFERROR(__xludf.DUMMYFUNCTION("""COMPUTED_VALUE"""),"–")</f>
        <v>–</v>
      </c>
      <c r="M108" s="25" t="str">
        <f>IFERROR(__xludf.DUMMYFUNCTION("""COMPUTED_VALUE"""),"Pc")</f>
        <v>Pc</v>
      </c>
    </row>
    <row r="109">
      <c r="A109" s="25" t="str">
        <f>IFERROR(__xludf.DUMMYFUNCTION("""COMPUTED_VALUE"""),"CH-SOL-199")</f>
        <v>CH-SOL-199</v>
      </c>
      <c r="B109" s="25" t="str">
        <f>IFERROR(__xludf.DUMMYFUNCTION("""COMPUTED_VALUE"""),"Out")</f>
        <v>Out</v>
      </c>
      <c r="C109" s="257">
        <f>IFERROR(__xludf.DUMMYFUNCTION("""COMPUTED_VALUE"""),46183.0)</f>
        <v>46183</v>
      </c>
      <c r="D109" s="25">
        <f>IFERROR(__xludf.DUMMYFUNCTION("""COMPUTED_VALUE"""),20.0)</f>
        <v>20</v>
      </c>
      <c r="E109" s="25"/>
      <c r="F109" s="25" t="str">
        <f>IFERROR(__xludf.DUMMYFUNCTION("""COMPUTED_VALUE"""),"TK 3400 Wb Board Primer")</f>
        <v>TK 3400 Wb Board Primer</v>
      </c>
      <c r="G109" s="25" t="str">
        <f>IFERROR(__xludf.DUMMYFUNCTION("""COMPUTED_VALUE"""),"Chemical")</f>
        <v>Chemical</v>
      </c>
      <c r="H109" s="25" t="str">
        <f>IFERROR(__xludf.DUMMYFUNCTION("""COMPUTED_VALUE"""),"Solution")</f>
        <v>Solution</v>
      </c>
      <c r="I109" s="25" t="str">
        <f>IFERROR(__xludf.DUMMYFUNCTION("""COMPUTED_VALUE"""),"–")</f>
        <v>–</v>
      </c>
      <c r="J109" s="25" t="str">
        <f>IFERROR(__xludf.DUMMYFUNCTION("""COMPUTED_VALUE"""),"–")</f>
        <v>–</v>
      </c>
      <c r="K109" s="25" t="str">
        <f>IFERROR(__xludf.DUMMYFUNCTION("""COMPUTED_VALUE"""),"–")</f>
        <v>–</v>
      </c>
      <c r="L109" s="25" t="str">
        <f>IFERROR(__xludf.DUMMYFUNCTION("""COMPUTED_VALUE"""),"Primer")</f>
        <v>Primer</v>
      </c>
      <c r="M109" s="25" t="str">
        <f>IFERROR(__xludf.DUMMYFUNCTION("""COMPUTED_VALUE"""),"Kg")</f>
        <v>Kg</v>
      </c>
    </row>
    <row r="110">
      <c r="A110" s="25" t="str">
        <f>IFERROR(__xludf.DUMMYFUNCTION("""COMPUTED_VALUE"""),"CH-GUM-135")</f>
        <v>CH-GUM-135</v>
      </c>
      <c r="B110" s="25" t="str">
        <f>IFERROR(__xludf.DUMMYFUNCTION("""COMPUTED_VALUE"""),"Out")</f>
        <v>Out</v>
      </c>
      <c r="C110" s="257">
        <f>IFERROR(__xludf.DUMMYFUNCTION("""COMPUTED_VALUE"""),46184.0)</f>
        <v>46184</v>
      </c>
      <c r="D110" s="25">
        <f>IFERROR(__xludf.DUMMYFUNCTION("""COMPUTED_VALUE"""),5.0)</f>
        <v>5</v>
      </c>
      <c r="E110" s="25"/>
      <c r="F110" s="25" t="str">
        <f>IFERROR(__xludf.DUMMYFUNCTION("""COMPUTED_VALUE"""),"Protection Gum")</f>
        <v>Protection Gum</v>
      </c>
      <c r="G110" s="25" t="str">
        <f>IFERROR(__xludf.DUMMYFUNCTION("""COMPUTED_VALUE"""),"Chemical")</f>
        <v>Chemical</v>
      </c>
      <c r="H110" s="25" t="str">
        <f>IFERROR(__xludf.DUMMYFUNCTION("""COMPUTED_VALUE"""),"Gum")</f>
        <v>Gum</v>
      </c>
      <c r="I110" s="25" t="str">
        <f>IFERROR(__xludf.DUMMYFUNCTION("""COMPUTED_VALUE"""),"–")</f>
        <v>–</v>
      </c>
      <c r="J110" s="25" t="str">
        <f>IFERROR(__xludf.DUMMYFUNCTION("""COMPUTED_VALUE"""),"–")</f>
        <v>–</v>
      </c>
      <c r="K110" s="25" t="str">
        <f>IFERROR(__xludf.DUMMYFUNCTION("""COMPUTED_VALUE"""),"–")</f>
        <v>–</v>
      </c>
      <c r="L110" s="25" t="str">
        <f>IFERROR(__xludf.DUMMYFUNCTION("""COMPUTED_VALUE"""),"–")</f>
        <v>–</v>
      </c>
      <c r="M110" s="25" t="str">
        <f>IFERROR(__xludf.DUMMYFUNCTION("""COMPUTED_VALUE"""),"Ltr")</f>
        <v>Ltr</v>
      </c>
    </row>
    <row r="111">
      <c r="A111" s="25" t="str">
        <f>IFERROR(__xludf.DUMMYFUNCTION("""COMPUTED_VALUE"""),"CH-SOL-142")</f>
        <v>CH-SOL-142</v>
      </c>
      <c r="B111" s="25" t="str">
        <f>IFERROR(__xludf.DUMMYFUNCTION("""COMPUTED_VALUE"""),"Out")</f>
        <v>Out</v>
      </c>
      <c r="C111" s="257">
        <f>IFERROR(__xludf.DUMMYFUNCTION("""COMPUTED_VALUE"""),46184.0)</f>
        <v>46184</v>
      </c>
      <c r="D111" s="25">
        <f>IFERROR(__xludf.DUMMYFUNCTION("""COMPUTED_VALUE"""),5.0)</f>
        <v>5</v>
      </c>
      <c r="E111" s="25"/>
      <c r="F111" s="25" t="str">
        <f>IFERROR(__xludf.DUMMYFUNCTION("""COMPUTED_VALUE"""),"Plate Cleaner Normal")</f>
        <v>Plate Cleaner Normal</v>
      </c>
      <c r="G111" s="25" t="str">
        <f>IFERROR(__xludf.DUMMYFUNCTION("""COMPUTED_VALUE"""),"Chemical")</f>
        <v>Chemical</v>
      </c>
      <c r="H111" s="25" t="str">
        <f>IFERROR(__xludf.DUMMYFUNCTION("""COMPUTED_VALUE"""),"Solution")</f>
        <v>Solution</v>
      </c>
      <c r="I111" s="25" t="str">
        <f>IFERROR(__xludf.DUMMYFUNCTION("""COMPUTED_VALUE"""),"–")</f>
        <v>–</v>
      </c>
      <c r="J111" s="25" t="str">
        <f>IFERROR(__xludf.DUMMYFUNCTION("""COMPUTED_VALUE"""),"–")</f>
        <v>–</v>
      </c>
      <c r="K111" s="25" t="str">
        <f>IFERROR(__xludf.DUMMYFUNCTION("""COMPUTED_VALUE"""),"–")</f>
        <v>–</v>
      </c>
      <c r="L111" s="25" t="str">
        <f>IFERROR(__xludf.DUMMYFUNCTION("""COMPUTED_VALUE"""),"Normal Gp")</f>
        <v>Normal Gp</v>
      </c>
      <c r="M111" s="25" t="str">
        <f>IFERROR(__xludf.DUMMYFUNCTION("""COMPUTED_VALUE"""),"Ltr")</f>
        <v>Ltr</v>
      </c>
    </row>
    <row r="112">
      <c r="A112" s="25" t="str">
        <f>IFERROR(__xludf.DUMMYFUNCTION("""COMPUTED_VALUE"""),"CH-SOL-116")</f>
        <v>CH-SOL-116</v>
      </c>
      <c r="B112" s="25" t="str">
        <f>IFERROR(__xludf.DUMMYFUNCTION("""COMPUTED_VALUE"""),"Out")</f>
        <v>Out</v>
      </c>
      <c r="C112" s="257">
        <f>IFERROR(__xludf.DUMMYFUNCTION("""COMPUTED_VALUE"""),46185.0)</f>
        <v>46185</v>
      </c>
      <c r="D112" s="25">
        <f>IFERROR(__xludf.DUMMYFUNCTION("""COMPUTED_VALUE"""),20.0)</f>
        <v>20</v>
      </c>
      <c r="E112" s="25"/>
      <c r="F112" s="25" t="str">
        <f>IFERROR(__xludf.DUMMYFUNCTION("""COMPUTED_VALUE"""),"Nova Nol Xtra")</f>
        <v>Nova Nol Xtra</v>
      </c>
      <c r="G112" s="25" t="str">
        <f>IFERROR(__xludf.DUMMYFUNCTION("""COMPUTED_VALUE"""),"Chemical")</f>
        <v>Chemical</v>
      </c>
      <c r="H112" s="25" t="str">
        <f>IFERROR(__xludf.DUMMYFUNCTION("""COMPUTED_VALUE"""),"Solution")</f>
        <v>Solution</v>
      </c>
      <c r="I112" s="25" t="str">
        <f>IFERROR(__xludf.DUMMYFUNCTION("""COMPUTED_VALUE"""),"–")</f>
        <v>–</v>
      </c>
      <c r="J112" s="25" t="str">
        <f>IFERROR(__xludf.DUMMYFUNCTION("""COMPUTED_VALUE"""),"–")</f>
        <v>–</v>
      </c>
      <c r="K112" s="25" t="str">
        <f>IFERROR(__xludf.DUMMYFUNCTION("""COMPUTED_VALUE"""),"–")</f>
        <v>–</v>
      </c>
      <c r="L112" s="25" t="str">
        <f>IFERROR(__xludf.DUMMYFUNCTION("""COMPUTED_VALUE"""),"Alcohol")</f>
        <v>Alcohol</v>
      </c>
      <c r="M112" s="25" t="str">
        <f>IFERROR(__xludf.DUMMYFUNCTION("""COMPUTED_VALUE"""),"Ltr")</f>
        <v>Ltr</v>
      </c>
    </row>
    <row r="113">
      <c r="A113" s="25" t="str">
        <f>IFERROR(__xludf.DUMMYFUNCTION("""COMPUTED_VALUE"""),"CH-SOL-212")</f>
        <v>CH-SOL-212</v>
      </c>
      <c r="B113" s="25" t="str">
        <f>IFERROR(__xludf.DUMMYFUNCTION("""COMPUTED_VALUE"""),"Out")</f>
        <v>Out</v>
      </c>
      <c r="C113" s="257">
        <f>IFERROR(__xludf.DUMMYFUNCTION("""COMPUTED_VALUE"""),46184.0)</f>
        <v>46184</v>
      </c>
      <c r="D113" s="25">
        <f>IFERROR(__xludf.DUMMYFUNCTION("""COMPUTED_VALUE"""),5.0)</f>
        <v>5</v>
      </c>
      <c r="E113" s="25"/>
      <c r="F113" s="25" t="str">
        <f>IFERROR(__xludf.DUMMYFUNCTION("""COMPUTED_VALUE"""),"New V Screen Trans ink")</f>
        <v>New V Screen Trans ink</v>
      </c>
      <c r="G113" s="25" t="str">
        <f>IFERROR(__xludf.DUMMYFUNCTION("""COMPUTED_VALUE"""),"Chemical")</f>
        <v>Chemical</v>
      </c>
      <c r="H113" s="25" t="str">
        <f>IFERROR(__xludf.DUMMYFUNCTION("""COMPUTED_VALUE"""),"Solution")</f>
        <v>Solution</v>
      </c>
      <c r="I113" s="25" t="str">
        <f>IFERROR(__xludf.DUMMYFUNCTION("""COMPUTED_VALUE"""),"–")</f>
        <v>–</v>
      </c>
      <c r="J113" s="25" t="str">
        <f>IFERROR(__xludf.DUMMYFUNCTION("""COMPUTED_VALUE"""),"–")</f>
        <v>–</v>
      </c>
      <c r="K113" s="25" t="str">
        <f>IFERROR(__xludf.DUMMYFUNCTION("""COMPUTED_VALUE"""),"–")</f>
        <v>–</v>
      </c>
      <c r="L113" s="25" t="str">
        <f>IFERROR(__xludf.DUMMYFUNCTION("""COMPUTED_VALUE"""),"UV Screen Gloss-SPOT UV")</f>
        <v>UV Screen Gloss-SPOT UV</v>
      </c>
      <c r="M113" s="25" t="str">
        <f>IFERROR(__xludf.DUMMYFUNCTION("""COMPUTED_VALUE"""),"Ltr")</f>
        <v>Ltr</v>
      </c>
    </row>
    <row r="114">
      <c r="A114" s="25" t="str">
        <f>IFERROR(__xludf.DUMMYFUNCTION("""COMPUTED_VALUE"""),"CH-SOL-305")</f>
        <v>CH-SOL-305</v>
      </c>
      <c r="B114" s="25" t="str">
        <f>IFERROR(__xludf.DUMMYFUNCTION("""COMPUTED_VALUE"""),"Out")</f>
        <v>Out</v>
      </c>
      <c r="C114" s="257">
        <f>IFERROR(__xludf.DUMMYFUNCTION("""COMPUTED_VALUE"""),46186.0)</f>
        <v>46186</v>
      </c>
      <c r="D114" s="25">
        <f>IFERROR(__xludf.DUMMYFUNCTION("""COMPUTED_VALUE"""),1.0)</f>
        <v>1</v>
      </c>
      <c r="E114" s="25"/>
      <c r="F114" s="25" t="str">
        <f>IFERROR(__xludf.DUMMYFUNCTION("""COMPUTED_VALUE"""),"GEL TACK REDUCER")</f>
        <v>GEL TACK REDUCER</v>
      </c>
      <c r="G114" s="25" t="str">
        <f>IFERROR(__xludf.DUMMYFUNCTION("""COMPUTED_VALUE"""),"Chemical")</f>
        <v>Chemical</v>
      </c>
      <c r="H114" s="25" t="str">
        <f>IFERROR(__xludf.DUMMYFUNCTION("""COMPUTED_VALUE"""),"Solution")</f>
        <v>Solution</v>
      </c>
      <c r="I114" s="25" t="str">
        <f>IFERROR(__xludf.DUMMYFUNCTION("""COMPUTED_VALUE"""),"–")</f>
        <v>–</v>
      </c>
      <c r="J114" s="25" t="str">
        <f>IFERROR(__xludf.DUMMYFUNCTION("""COMPUTED_VALUE"""),"–")</f>
        <v>–</v>
      </c>
      <c r="K114" s="25" t="str">
        <f>IFERROR(__xludf.DUMMYFUNCTION("""COMPUTED_VALUE"""),"–")</f>
        <v>–</v>
      </c>
      <c r="L114" s="25" t="str">
        <f>IFERROR(__xludf.DUMMYFUNCTION("""COMPUTED_VALUE"""),"–")</f>
        <v>–</v>
      </c>
      <c r="M114" s="25" t="str">
        <f>IFERROR(__xludf.DUMMYFUNCTION("""COMPUTED_VALUE"""),"Kg")</f>
        <v>Kg</v>
      </c>
    </row>
    <row r="115">
      <c r="A115" s="25" t="str">
        <f>IFERROR(__xludf.DUMMYFUNCTION("""COMPUTED_VALUE"""),"CH-VAR-134")</f>
        <v>CH-VAR-134</v>
      </c>
      <c r="B115" s="25" t="str">
        <f>IFERROR(__xludf.DUMMYFUNCTION("""COMPUTED_VALUE"""),"Out")</f>
        <v>Out</v>
      </c>
      <c r="C115" s="257">
        <f>IFERROR(__xludf.DUMMYFUNCTION("""COMPUTED_VALUE"""),46187.0)</f>
        <v>46187</v>
      </c>
      <c r="D115" s="25">
        <f>IFERROR(__xludf.DUMMYFUNCTION("""COMPUTED_VALUE"""),20.0)</f>
        <v>20</v>
      </c>
      <c r="E115" s="25"/>
      <c r="F115" s="25" t="str">
        <f>IFERROR(__xludf.DUMMYFUNCTION("""COMPUTED_VALUE"""),"TK/7000 AQUA High Gloss Varnish")</f>
        <v>TK/7000 AQUA High Gloss Varnish</v>
      </c>
      <c r="G115" s="25" t="str">
        <f>IFERROR(__xludf.DUMMYFUNCTION("""COMPUTED_VALUE"""),"Chemical")</f>
        <v>Chemical</v>
      </c>
      <c r="H115" s="25" t="str">
        <f>IFERROR(__xludf.DUMMYFUNCTION("""COMPUTED_VALUE"""),"Varnish")</f>
        <v>Varnish</v>
      </c>
      <c r="I115" s="25" t="str">
        <f>IFERROR(__xludf.DUMMYFUNCTION("""COMPUTED_VALUE"""),"–")</f>
        <v>–</v>
      </c>
      <c r="J115" s="25" t="str">
        <f>IFERROR(__xludf.DUMMYFUNCTION("""COMPUTED_VALUE"""),"–")</f>
        <v>–</v>
      </c>
      <c r="K115" s="25" t="str">
        <f>IFERROR(__xludf.DUMMYFUNCTION("""COMPUTED_VALUE"""),"–")</f>
        <v>–</v>
      </c>
      <c r="L115" s="25" t="str">
        <f>IFERROR(__xludf.DUMMYFUNCTION("""COMPUTED_VALUE"""),"High Gloss")</f>
        <v>High Gloss</v>
      </c>
      <c r="M115" s="25" t="str">
        <f>IFERROR(__xludf.DUMMYFUNCTION("""COMPUTED_VALUE"""),"Kg")</f>
        <v>Kg</v>
      </c>
    </row>
    <row r="116">
      <c r="A116" s="25" t="str">
        <f>IFERROR(__xludf.DUMMYFUNCTION("""COMPUTED_VALUE"""),"CH-SOL-144")</f>
        <v>CH-SOL-144</v>
      </c>
      <c r="B116" s="25" t="str">
        <f>IFERROR(__xludf.DUMMYFUNCTION("""COMPUTED_VALUE"""),"Out")</f>
        <v>Out</v>
      </c>
      <c r="C116" s="257">
        <f>IFERROR(__xludf.DUMMYFUNCTION("""COMPUTED_VALUE"""),46192.0)</f>
        <v>46192</v>
      </c>
      <c r="D116" s="25">
        <f>IFERROR(__xludf.DUMMYFUNCTION("""COMPUTED_VALUE"""),5.0)</f>
        <v>5</v>
      </c>
      <c r="E116" s="25"/>
      <c r="F116" s="25" t="str">
        <f>IFERROR(__xludf.DUMMYFUNCTION("""COMPUTED_VALUE"""),"Benzene")</f>
        <v>Benzene</v>
      </c>
      <c r="G116" s="25" t="str">
        <f>IFERROR(__xludf.DUMMYFUNCTION("""COMPUTED_VALUE"""),"Chemical")</f>
        <v>Chemical</v>
      </c>
      <c r="H116" s="25" t="str">
        <f>IFERROR(__xludf.DUMMYFUNCTION("""COMPUTED_VALUE"""),"Solution")</f>
        <v>Solution</v>
      </c>
      <c r="I116" s="25" t="str">
        <f>IFERROR(__xludf.DUMMYFUNCTION("""COMPUTED_VALUE"""),"–")</f>
        <v>–</v>
      </c>
      <c r="J116" s="25" t="str">
        <f>IFERROR(__xludf.DUMMYFUNCTION("""COMPUTED_VALUE"""),"–")</f>
        <v>–</v>
      </c>
      <c r="K116" s="25" t="str">
        <f>IFERROR(__xludf.DUMMYFUNCTION("""COMPUTED_VALUE"""),"–")</f>
        <v>–</v>
      </c>
      <c r="L116" s="25" t="str">
        <f>IFERROR(__xludf.DUMMYFUNCTION("""COMPUTED_VALUE"""),"Chemical")</f>
        <v>Chemical</v>
      </c>
      <c r="M116" s="25" t="str">
        <f>IFERROR(__xludf.DUMMYFUNCTION("""COMPUTED_VALUE"""),"Ltr")</f>
        <v>Ltr</v>
      </c>
    </row>
    <row r="117">
      <c r="A117" s="25" t="str">
        <f>IFERROR(__xludf.DUMMYFUNCTION("""COMPUTED_VALUE"""),"CH-SOL-143")</f>
        <v>CH-SOL-143</v>
      </c>
      <c r="B117" s="25" t="str">
        <f>IFERROR(__xludf.DUMMYFUNCTION("""COMPUTED_VALUE"""),"Out")</f>
        <v>Out</v>
      </c>
      <c r="C117" s="257">
        <f>IFERROR(__xludf.DUMMYFUNCTION("""COMPUTED_VALUE"""),46192.0)</f>
        <v>46192</v>
      </c>
      <c r="D117" s="25">
        <f>IFERROR(__xludf.DUMMYFUNCTION("""COMPUTED_VALUE"""),2.0)</f>
        <v>2</v>
      </c>
      <c r="E117" s="25"/>
      <c r="F117" s="25" t="str">
        <f>IFERROR(__xludf.DUMMYFUNCTION("""COMPUTED_VALUE"""),"Plate Cleaner UV")</f>
        <v>Plate Cleaner UV</v>
      </c>
      <c r="G117" s="25" t="str">
        <f>IFERROR(__xludf.DUMMYFUNCTION("""COMPUTED_VALUE"""),"Chemical")</f>
        <v>Chemical</v>
      </c>
      <c r="H117" s="25" t="str">
        <f>IFERROR(__xludf.DUMMYFUNCTION("""COMPUTED_VALUE"""),"Solution")</f>
        <v>Solution</v>
      </c>
      <c r="I117" s="25" t="str">
        <f>IFERROR(__xludf.DUMMYFUNCTION("""COMPUTED_VALUE"""),"–")</f>
        <v>–</v>
      </c>
      <c r="J117" s="25" t="str">
        <f>IFERROR(__xludf.DUMMYFUNCTION("""COMPUTED_VALUE"""),"–")</f>
        <v>–</v>
      </c>
      <c r="K117" s="25" t="str">
        <f>IFERROR(__xludf.DUMMYFUNCTION("""COMPUTED_VALUE"""),"–")</f>
        <v>–</v>
      </c>
      <c r="L117" s="25" t="str">
        <f>IFERROR(__xludf.DUMMYFUNCTION("""COMPUTED_VALUE"""),"Hard Gp")</f>
        <v>Hard Gp</v>
      </c>
      <c r="M117" s="25" t="str">
        <f>IFERROR(__xludf.DUMMYFUNCTION("""COMPUTED_VALUE"""),"Ltr")</f>
        <v>Ltr</v>
      </c>
    </row>
    <row r="118">
      <c r="A118" s="25" t="str">
        <f>IFERROR(__xludf.DUMMYFUNCTION("""COMPUTED_VALUE"""),"CH-SOL-116")</f>
        <v>CH-SOL-116</v>
      </c>
      <c r="B118" s="25" t="str">
        <f>IFERROR(__xludf.DUMMYFUNCTION("""COMPUTED_VALUE"""),"Out")</f>
        <v>Out</v>
      </c>
      <c r="C118" s="257">
        <f>IFERROR(__xludf.DUMMYFUNCTION("""COMPUTED_VALUE"""),46184.0)</f>
        <v>46184</v>
      </c>
      <c r="D118" s="25">
        <f>IFERROR(__xludf.DUMMYFUNCTION("""COMPUTED_VALUE"""),20.0)</f>
        <v>20</v>
      </c>
      <c r="E118" s="25"/>
      <c r="F118" s="25" t="str">
        <f>IFERROR(__xludf.DUMMYFUNCTION("""COMPUTED_VALUE"""),"Nova Nol Xtra")</f>
        <v>Nova Nol Xtra</v>
      </c>
      <c r="G118" s="25" t="str">
        <f>IFERROR(__xludf.DUMMYFUNCTION("""COMPUTED_VALUE"""),"Chemical")</f>
        <v>Chemical</v>
      </c>
      <c r="H118" s="25" t="str">
        <f>IFERROR(__xludf.DUMMYFUNCTION("""COMPUTED_VALUE"""),"Solution")</f>
        <v>Solution</v>
      </c>
      <c r="I118" s="25" t="str">
        <f>IFERROR(__xludf.DUMMYFUNCTION("""COMPUTED_VALUE"""),"–")</f>
        <v>–</v>
      </c>
      <c r="J118" s="25" t="str">
        <f>IFERROR(__xludf.DUMMYFUNCTION("""COMPUTED_VALUE"""),"–")</f>
        <v>–</v>
      </c>
      <c r="K118" s="25" t="str">
        <f>IFERROR(__xludf.DUMMYFUNCTION("""COMPUTED_VALUE"""),"–")</f>
        <v>–</v>
      </c>
      <c r="L118" s="25" t="str">
        <f>IFERROR(__xludf.DUMMYFUNCTION("""COMPUTED_VALUE"""),"Alcohol")</f>
        <v>Alcohol</v>
      </c>
      <c r="M118" s="25" t="str">
        <f>IFERROR(__xludf.DUMMYFUNCTION("""COMPUTED_VALUE"""),"Ltr")</f>
        <v>Ltr</v>
      </c>
    </row>
    <row r="119">
      <c r="A119" s="25" t="str">
        <f>IFERROR(__xludf.DUMMYFUNCTION("""COMPUTED_VALUE"""),"CH-SOL-116")</f>
        <v>CH-SOL-116</v>
      </c>
      <c r="B119" s="25" t="str">
        <f>IFERROR(__xludf.DUMMYFUNCTION("""COMPUTED_VALUE"""),"Out")</f>
        <v>Out</v>
      </c>
      <c r="C119" s="257">
        <f>IFERROR(__xludf.DUMMYFUNCTION("""COMPUTED_VALUE"""),46198.0)</f>
        <v>46198</v>
      </c>
      <c r="D119" s="25">
        <f>IFERROR(__xludf.DUMMYFUNCTION("""COMPUTED_VALUE"""),20.0)</f>
        <v>20</v>
      </c>
      <c r="E119" s="25"/>
      <c r="F119" s="25" t="str">
        <f>IFERROR(__xludf.DUMMYFUNCTION("""COMPUTED_VALUE"""),"Nova Nol Xtra")</f>
        <v>Nova Nol Xtra</v>
      </c>
      <c r="G119" s="25" t="str">
        <f>IFERROR(__xludf.DUMMYFUNCTION("""COMPUTED_VALUE"""),"Chemical")</f>
        <v>Chemical</v>
      </c>
      <c r="H119" s="25" t="str">
        <f>IFERROR(__xludf.DUMMYFUNCTION("""COMPUTED_VALUE"""),"Solution")</f>
        <v>Solution</v>
      </c>
      <c r="I119" s="25" t="str">
        <f>IFERROR(__xludf.DUMMYFUNCTION("""COMPUTED_VALUE"""),"–")</f>
        <v>–</v>
      </c>
      <c r="J119" s="25" t="str">
        <f>IFERROR(__xludf.DUMMYFUNCTION("""COMPUTED_VALUE"""),"–")</f>
        <v>–</v>
      </c>
      <c r="K119" s="25" t="str">
        <f>IFERROR(__xludf.DUMMYFUNCTION("""COMPUTED_VALUE"""),"–")</f>
        <v>–</v>
      </c>
      <c r="L119" s="25" t="str">
        <f>IFERROR(__xludf.DUMMYFUNCTION("""COMPUTED_VALUE"""),"Alcohol")</f>
        <v>Alcohol</v>
      </c>
      <c r="M119" s="25" t="str">
        <f>IFERROR(__xludf.DUMMYFUNCTION("""COMPUTED_VALUE"""),"Ltr")</f>
        <v>Ltr</v>
      </c>
    </row>
    <row r="120">
      <c r="A120" s="25" t="str">
        <f>IFERROR(__xludf.DUMMYFUNCTION("""COMPUTED_VALUE"""),"CH-VAR-134")</f>
        <v>CH-VAR-134</v>
      </c>
      <c r="B120" s="25" t="str">
        <f>IFERROR(__xludf.DUMMYFUNCTION("""COMPUTED_VALUE"""),"Out")</f>
        <v>Out</v>
      </c>
      <c r="C120" s="257">
        <f>IFERROR(__xludf.DUMMYFUNCTION("""COMPUTED_VALUE"""),46202.0)</f>
        <v>46202</v>
      </c>
      <c r="D120" s="25">
        <f>IFERROR(__xludf.DUMMYFUNCTION("""COMPUTED_VALUE"""),20.0)</f>
        <v>20</v>
      </c>
      <c r="E120" s="25"/>
      <c r="F120" s="25" t="str">
        <f>IFERROR(__xludf.DUMMYFUNCTION("""COMPUTED_VALUE"""),"TK/7000 AQUA High Gloss Varnish")</f>
        <v>TK/7000 AQUA High Gloss Varnish</v>
      </c>
      <c r="G120" s="25" t="str">
        <f>IFERROR(__xludf.DUMMYFUNCTION("""COMPUTED_VALUE"""),"Chemical")</f>
        <v>Chemical</v>
      </c>
      <c r="H120" s="25" t="str">
        <f>IFERROR(__xludf.DUMMYFUNCTION("""COMPUTED_VALUE"""),"Varnish")</f>
        <v>Varnish</v>
      </c>
      <c r="I120" s="25" t="str">
        <f>IFERROR(__xludf.DUMMYFUNCTION("""COMPUTED_VALUE"""),"–")</f>
        <v>–</v>
      </c>
      <c r="J120" s="25" t="str">
        <f>IFERROR(__xludf.DUMMYFUNCTION("""COMPUTED_VALUE"""),"–")</f>
        <v>–</v>
      </c>
      <c r="K120" s="25" t="str">
        <f>IFERROR(__xludf.DUMMYFUNCTION("""COMPUTED_VALUE"""),"–")</f>
        <v>–</v>
      </c>
      <c r="L120" s="25" t="str">
        <f>IFERROR(__xludf.DUMMYFUNCTION("""COMPUTED_VALUE"""),"High Gloss")</f>
        <v>High Gloss</v>
      </c>
      <c r="M120" s="25" t="str">
        <f>IFERROR(__xludf.DUMMYFUNCTION("""COMPUTED_VALUE"""),"Kg")</f>
        <v>Kg</v>
      </c>
    </row>
    <row r="121">
      <c r="A121" s="25" t="str">
        <f>IFERROR(__xludf.DUMMYFUNCTION("""COMPUTED_VALUE"""),"CH-SOL-268")</f>
        <v>CH-SOL-268</v>
      </c>
      <c r="B121" s="25" t="str">
        <f>IFERROR(__xludf.DUMMYFUNCTION("""COMPUTED_VALUE"""),"Out")</f>
        <v>Out</v>
      </c>
      <c r="C121" s="257">
        <f>IFERROR(__xludf.DUMMYFUNCTION("""COMPUTED_VALUE"""),46193.0)</f>
        <v>46193</v>
      </c>
      <c r="D121" s="25">
        <f>IFERROR(__xludf.DUMMYFUNCTION("""COMPUTED_VALUE"""),10.0)</f>
        <v>10</v>
      </c>
      <c r="E121" s="25"/>
      <c r="F121" s="25" t="str">
        <f>IFERROR(__xludf.DUMMYFUNCTION("""COMPUTED_VALUE"""),"Screen Clearning Aid Amyle")</f>
        <v>Screen Clearning Aid Amyle</v>
      </c>
      <c r="G121" s="25" t="str">
        <f>IFERROR(__xludf.DUMMYFUNCTION("""COMPUTED_VALUE"""),"Chemical")</f>
        <v>Chemical</v>
      </c>
      <c r="H121" s="25" t="str">
        <f>IFERROR(__xludf.DUMMYFUNCTION("""COMPUTED_VALUE"""),"Solution")</f>
        <v>Solution</v>
      </c>
      <c r="I121" s="25" t="str">
        <f>IFERROR(__xludf.DUMMYFUNCTION("""COMPUTED_VALUE"""),"–")</f>
        <v>–</v>
      </c>
      <c r="J121" s="25" t="str">
        <f>IFERROR(__xludf.DUMMYFUNCTION("""COMPUTED_VALUE"""),"–")</f>
        <v>–</v>
      </c>
      <c r="K121" s="25" t="str">
        <f>IFERROR(__xludf.DUMMYFUNCTION("""COMPUTED_VALUE"""),"–")</f>
        <v>–</v>
      </c>
      <c r="L121" s="25" t="str">
        <f>IFERROR(__xludf.DUMMYFUNCTION("""COMPUTED_VALUE"""),"–")</f>
        <v>–</v>
      </c>
      <c r="M121" s="25" t="str">
        <f>IFERROR(__xludf.DUMMYFUNCTION("""COMPUTED_VALUE"""),"Pc")</f>
        <v>Pc</v>
      </c>
    </row>
    <row r="122">
      <c r="A122" s="25" t="str">
        <f>IFERROR(__xludf.DUMMYFUNCTION("""COMPUTED_VALUE"""),"CH-SOL-360")</f>
        <v>CH-SOL-360</v>
      </c>
      <c r="B122" s="25" t="str">
        <f>IFERROR(__xludf.DUMMYFUNCTION("""COMPUTED_VALUE"""),"Out")</f>
        <v>Out</v>
      </c>
      <c r="C122" s="257">
        <f>IFERROR(__xludf.DUMMYFUNCTION("""COMPUTED_VALUE"""),46204.0)</f>
        <v>46204</v>
      </c>
      <c r="D122" s="25">
        <f>IFERROR(__xludf.DUMMYFUNCTION("""COMPUTED_VALUE"""),0.5)</f>
        <v>0.5</v>
      </c>
      <c r="E122" s="25"/>
      <c r="F122" s="25" t="str">
        <f>IFERROR(__xludf.DUMMYFUNCTION("""COMPUTED_VALUE"""),"inkreducer(phosporic)")</f>
        <v>inkreducer(phosporic)</v>
      </c>
      <c r="G122" s="25" t="str">
        <f>IFERROR(__xludf.DUMMYFUNCTION("""COMPUTED_VALUE"""),"Chemical")</f>
        <v>Chemical</v>
      </c>
      <c r="H122" s="25" t="str">
        <f>IFERROR(__xludf.DUMMYFUNCTION("""COMPUTED_VALUE"""),"Solution")</f>
        <v>Solution</v>
      </c>
      <c r="I122" s="25" t="str">
        <f>IFERROR(__xludf.DUMMYFUNCTION("""COMPUTED_VALUE"""),"–")</f>
        <v>–</v>
      </c>
      <c r="J122" s="25" t="str">
        <f>IFERROR(__xludf.DUMMYFUNCTION("""COMPUTED_VALUE"""),"–")</f>
        <v>–</v>
      </c>
      <c r="K122" s="25" t="str">
        <f>IFERROR(__xludf.DUMMYFUNCTION("""COMPUTED_VALUE"""),"–")</f>
        <v>–</v>
      </c>
      <c r="L122" s="25" t="str">
        <f>IFERROR(__xludf.DUMMYFUNCTION("""COMPUTED_VALUE"""),"–")</f>
        <v>–</v>
      </c>
      <c r="M122" s="25" t="str">
        <f>IFERROR(__xludf.DUMMYFUNCTION("""COMPUTED_VALUE"""),"Ltr")</f>
        <v>Ltr</v>
      </c>
    </row>
    <row r="123">
      <c r="A123" s="25" t="str">
        <f>IFERROR(__xludf.DUMMYFUNCTION("""COMPUTED_VALUE"""),"CH-SOL-114")</f>
        <v>CH-SOL-114</v>
      </c>
      <c r="B123" s="25" t="str">
        <f>IFERROR(__xludf.DUMMYFUNCTION("""COMPUTED_VALUE"""),"Out")</f>
        <v>Out</v>
      </c>
      <c r="C123" s="257">
        <f>IFERROR(__xludf.DUMMYFUNCTION("""COMPUTED_VALUE"""),46203.0)</f>
        <v>46203</v>
      </c>
      <c r="D123" s="25">
        <f>IFERROR(__xludf.DUMMYFUNCTION("""COMPUTED_VALUE"""),25.0)</f>
        <v>25</v>
      </c>
      <c r="E123" s="25"/>
      <c r="F123" s="25" t="str">
        <f>IFERROR(__xludf.DUMMYFUNCTION("""COMPUTED_VALUE"""),"Classic Multi Wash-HPC 0214/25D21")</f>
        <v>Classic Multi Wash-HPC 0214/25D21</v>
      </c>
      <c r="G123" s="25" t="str">
        <f>IFERROR(__xludf.DUMMYFUNCTION("""COMPUTED_VALUE"""),"Chemical")</f>
        <v>Chemical</v>
      </c>
      <c r="H123" s="25" t="str">
        <f>IFERROR(__xludf.DUMMYFUNCTION("""COMPUTED_VALUE"""),"Solution")</f>
        <v>Solution</v>
      </c>
      <c r="I123" s="25" t="str">
        <f>IFERROR(__xludf.DUMMYFUNCTION("""COMPUTED_VALUE"""),"–")</f>
        <v>–</v>
      </c>
      <c r="J123" s="25" t="str">
        <f>IFERROR(__xludf.DUMMYFUNCTION("""COMPUTED_VALUE"""),"–")</f>
        <v>–</v>
      </c>
      <c r="K123" s="25" t="str">
        <f>IFERROR(__xludf.DUMMYFUNCTION("""COMPUTED_VALUE"""),"–")</f>
        <v>–</v>
      </c>
      <c r="L123" s="25" t="str">
        <f>IFERROR(__xludf.DUMMYFUNCTION("""COMPUTED_VALUE"""),"Normal Wash")</f>
        <v>Normal Wash</v>
      </c>
      <c r="M123" s="25" t="str">
        <f>IFERROR(__xludf.DUMMYFUNCTION("""COMPUTED_VALUE"""),"Ltr")</f>
        <v>Ltr</v>
      </c>
    </row>
    <row r="124">
      <c r="A124" s="25" t="str">
        <f>IFERROR(__xludf.DUMMYFUNCTION("""COMPUTED_VALUE"""),"CH-SOL-116")</f>
        <v>CH-SOL-116</v>
      </c>
      <c r="B124" s="25" t="str">
        <f>IFERROR(__xludf.DUMMYFUNCTION("""COMPUTED_VALUE"""),"Out")</f>
        <v>Out</v>
      </c>
      <c r="C124" s="257">
        <f>IFERROR(__xludf.DUMMYFUNCTION("""COMPUTED_VALUE"""),46205.0)</f>
        <v>46205</v>
      </c>
      <c r="D124" s="25">
        <f>IFERROR(__xludf.DUMMYFUNCTION("""COMPUTED_VALUE"""),20.0)</f>
        <v>20</v>
      </c>
      <c r="E124" s="25"/>
      <c r="F124" s="25" t="str">
        <f>IFERROR(__xludf.DUMMYFUNCTION("""COMPUTED_VALUE"""),"Nova Nol Xtra")</f>
        <v>Nova Nol Xtra</v>
      </c>
      <c r="G124" s="25" t="str">
        <f>IFERROR(__xludf.DUMMYFUNCTION("""COMPUTED_VALUE"""),"Chemical")</f>
        <v>Chemical</v>
      </c>
      <c r="H124" s="25" t="str">
        <f>IFERROR(__xludf.DUMMYFUNCTION("""COMPUTED_VALUE"""),"Solution")</f>
        <v>Solution</v>
      </c>
      <c r="I124" s="25" t="str">
        <f>IFERROR(__xludf.DUMMYFUNCTION("""COMPUTED_VALUE"""),"–")</f>
        <v>–</v>
      </c>
      <c r="J124" s="25" t="str">
        <f>IFERROR(__xludf.DUMMYFUNCTION("""COMPUTED_VALUE"""),"–")</f>
        <v>–</v>
      </c>
      <c r="K124" s="25" t="str">
        <f>IFERROR(__xludf.DUMMYFUNCTION("""COMPUTED_VALUE"""),"–")</f>
        <v>–</v>
      </c>
      <c r="L124" s="25" t="str">
        <f>IFERROR(__xludf.DUMMYFUNCTION("""COMPUTED_VALUE"""),"Alcohol")</f>
        <v>Alcohol</v>
      </c>
      <c r="M124" s="25" t="str">
        <f>IFERROR(__xludf.DUMMYFUNCTION("""COMPUTED_VALUE"""),"Ltr")</f>
        <v>Ltr</v>
      </c>
    </row>
    <row r="125">
      <c r="A125" s="25" t="str">
        <f>IFERROR(__xludf.DUMMYFUNCTION("""COMPUTED_VALUE"""),"CH-SOL-144")</f>
        <v>CH-SOL-144</v>
      </c>
      <c r="B125" s="25" t="str">
        <f>IFERROR(__xludf.DUMMYFUNCTION("""COMPUTED_VALUE"""),"Out")</f>
        <v>Out</v>
      </c>
      <c r="C125" s="257">
        <f>IFERROR(__xludf.DUMMYFUNCTION("""COMPUTED_VALUE"""),46205.0)</f>
        <v>46205</v>
      </c>
      <c r="D125" s="25">
        <f>IFERROR(__xludf.DUMMYFUNCTION("""COMPUTED_VALUE"""),5.0)</f>
        <v>5</v>
      </c>
      <c r="E125" s="25"/>
      <c r="F125" s="25" t="str">
        <f>IFERROR(__xludf.DUMMYFUNCTION("""COMPUTED_VALUE"""),"Benzene")</f>
        <v>Benzene</v>
      </c>
      <c r="G125" s="25" t="str">
        <f>IFERROR(__xludf.DUMMYFUNCTION("""COMPUTED_VALUE"""),"Chemical")</f>
        <v>Chemical</v>
      </c>
      <c r="H125" s="25" t="str">
        <f>IFERROR(__xludf.DUMMYFUNCTION("""COMPUTED_VALUE"""),"Solution")</f>
        <v>Solution</v>
      </c>
      <c r="I125" s="25" t="str">
        <f>IFERROR(__xludf.DUMMYFUNCTION("""COMPUTED_VALUE"""),"–")</f>
        <v>–</v>
      </c>
      <c r="J125" s="25" t="str">
        <f>IFERROR(__xludf.DUMMYFUNCTION("""COMPUTED_VALUE"""),"–")</f>
        <v>–</v>
      </c>
      <c r="K125" s="25" t="str">
        <f>IFERROR(__xludf.DUMMYFUNCTION("""COMPUTED_VALUE"""),"–")</f>
        <v>–</v>
      </c>
      <c r="L125" s="25" t="str">
        <f>IFERROR(__xludf.DUMMYFUNCTION("""COMPUTED_VALUE"""),"Chemical")</f>
        <v>Chemical</v>
      </c>
      <c r="M125" s="25" t="str">
        <f>IFERROR(__xludf.DUMMYFUNCTION("""COMPUTED_VALUE"""),"Ltr")</f>
        <v>Ltr</v>
      </c>
    </row>
    <row r="126">
      <c r="A126" s="25" t="str">
        <f>IFERROR(__xludf.DUMMYFUNCTION("""COMPUTED_VALUE"""),"CH-SOL-199")</f>
        <v>CH-SOL-199</v>
      </c>
      <c r="B126" s="25" t="str">
        <f>IFERROR(__xludf.DUMMYFUNCTION("""COMPUTED_VALUE"""),"Out")</f>
        <v>Out</v>
      </c>
      <c r="C126" s="257">
        <f>IFERROR(__xludf.DUMMYFUNCTION("""COMPUTED_VALUE"""),46205.0)</f>
        <v>46205</v>
      </c>
      <c r="D126" s="25">
        <f>IFERROR(__xludf.DUMMYFUNCTION("""COMPUTED_VALUE"""),20.0)</f>
        <v>20</v>
      </c>
      <c r="E126" s="25"/>
      <c r="F126" s="25" t="str">
        <f>IFERROR(__xludf.DUMMYFUNCTION("""COMPUTED_VALUE"""),"TK 3400 Wb Board Primer")</f>
        <v>TK 3400 Wb Board Primer</v>
      </c>
      <c r="G126" s="25" t="str">
        <f>IFERROR(__xludf.DUMMYFUNCTION("""COMPUTED_VALUE"""),"Chemical")</f>
        <v>Chemical</v>
      </c>
      <c r="H126" s="25" t="str">
        <f>IFERROR(__xludf.DUMMYFUNCTION("""COMPUTED_VALUE"""),"Solution")</f>
        <v>Solution</v>
      </c>
      <c r="I126" s="25" t="str">
        <f>IFERROR(__xludf.DUMMYFUNCTION("""COMPUTED_VALUE"""),"–")</f>
        <v>–</v>
      </c>
      <c r="J126" s="25" t="str">
        <f>IFERROR(__xludf.DUMMYFUNCTION("""COMPUTED_VALUE"""),"–")</f>
        <v>–</v>
      </c>
      <c r="K126" s="25" t="str">
        <f>IFERROR(__xludf.DUMMYFUNCTION("""COMPUTED_VALUE"""),"–")</f>
        <v>–</v>
      </c>
      <c r="L126" s="25" t="str">
        <f>IFERROR(__xludf.DUMMYFUNCTION("""COMPUTED_VALUE"""),"Primer")</f>
        <v>Primer</v>
      </c>
      <c r="M126" s="25" t="str">
        <f>IFERROR(__xludf.DUMMYFUNCTION("""COMPUTED_VALUE"""),"Kg")</f>
        <v>Kg</v>
      </c>
    </row>
    <row r="127">
      <c r="A127" s="25" t="str">
        <f>IFERROR(__xludf.DUMMYFUNCTION("""COMPUTED_VALUE"""),"CH-SOL-212")</f>
        <v>CH-SOL-212</v>
      </c>
      <c r="B127" s="25" t="str">
        <f>IFERROR(__xludf.DUMMYFUNCTION("""COMPUTED_VALUE"""),"Out")</f>
        <v>Out</v>
      </c>
      <c r="C127" s="257">
        <f>IFERROR(__xludf.DUMMYFUNCTION("""COMPUTED_VALUE"""),46202.0)</f>
        <v>46202</v>
      </c>
      <c r="D127" s="25">
        <f>IFERROR(__xludf.DUMMYFUNCTION("""COMPUTED_VALUE"""),5.0)</f>
        <v>5</v>
      </c>
      <c r="E127" s="25"/>
      <c r="F127" s="25" t="str">
        <f>IFERROR(__xludf.DUMMYFUNCTION("""COMPUTED_VALUE"""),"New V Screen Trans ink")</f>
        <v>New V Screen Trans ink</v>
      </c>
      <c r="G127" s="25" t="str">
        <f>IFERROR(__xludf.DUMMYFUNCTION("""COMPUTED_VALUE"""),"Chemical")</f>
        <v>Chemical</v>
      </c>
      <c r="H127" s="25" t="str">
        <f>IFERROR(__xludf.DUMMYFUNCTION("""COMPUTED_VALUE"""),"Solution")</f>
        <v>Solution</v>
      </c>
      <c r="I127" s="25" t="str">
        <f>IFERROR(__xludf.DUMMYFUNCTION("""COMPUTED_VALUE"""),"–")</f>
        <v>–</v>
      </c>
      <c r="J127" s="25" t="str">
        <f>IFERROR(__xludf.DUMMYFUNCTION("""COMPUTED_VALUE"""),"–")</f>
        <v>–</v>
      </c>
      <c r="K127" s="25" t="str">
        <f>IFERROR(__xludf.DUMMYFUNCTION("""COMPUTED_VALUE"""),"–")</f>
        <v>–</v>
      </c>
      <c r="L127" s="25" t="str">
        <f>IFERROR(__xludf.DUMMYFUNCTION("""COMPUTED_VALUE"""),"UV Screen Gloss-SPOT UV")</f>
        <v>UV Screen Gloss-SPOT UV</v>
      </c>
      <c r="M127" s="25" t="str">
        <f>IFERROR(__xludf.DUMMYFUNCTION("""COMPUTED_VALUE"""),"Ltr")</f>
        <v>Ltr</v>
      </c>
    </row>
    <row r="128">
      <c r="A128" s="25" t="str">
        <f>IFERROR(__xludf.DUMMYFUNCTION("""COMPUTED_VALUE"""),"CH-SOL-223")</f>
        <v>CH-SOL-223</v>
      </c>
      <c r="B128" s="25" t="str">
        <f>IFERROR(__xludf.DUMMYFUNCTION("""COMPUTED_VALUE"""),"Out")</f>
        <v>Out</v>
      </c>
      <c r="C128" s="257">
        <f>IFERROR(__xludf.DUMMYFUNCTION("""COMPUTED_VALUE"""),46198.0)</f>
        <v>46198</v>
      </c>
      <c r="D128" s="25">
        <f>IFERROR(__xludf.DUMMYFUNCTION("""COMPUTED_VALUE"""),20.0)</f>
        <v>20</v>
      </c>
      <c r="E128" s="25"/>
      <c r="F128" s="25" t="str">
        <f>IFERROR(__xludf.DUMMYFUNCTION("""COMPUTED_VALUE"""),"Castrol Alpha SP 150")</f>
        <v>Castrol Alpha SP 150</v>
      </c>
      <c r="G128" s="25" t="str">
        <f>IFERROR(__xludf.DUMMYFUNCTION("""COMPUTED_VALUE"""),"Chemical")</f>
        <v>Chemical</v>
      </c>
      <c r="H128" s="25" t="str">
        <f>IFERROR(__xludf.DUMMYFUNCTION("""COMPUTED_VALUE"""),"Solution")</f>
        <v>Solution</v>
      </c>
      <c r="I128" s="25" t="str">
        <f>IFERROR(__xludf.DUMMYFUNCTION("""COMPUTED_VALUE"""),"–")</f>
        <v>–</v>
      </c>
      <c r="J128" s="25" t="str">
        <f>IFERROR(__xludf.DUMMYFUNCTION("""COMPUTED_VALUE"""),"–")</f>
        <v>–</v>
      </c>
      <c r="K128" s="25" t="str">
        <f>IFERROR(__xludf.DUMMYFUNCTION("""COMPUTED_VALUE"""),"–")</f>
        <v>–</v>
      </c>
      <c r="L128" s="25" t="str">
        <f>IFERROR(__xludf.DUMMYFUNCTION("""COMPUTED_VALUE"""),"Mobi oil")</f>
        <v>Mobi oil</v>
      </c>
      <c r="M128" s="25" t="str">
        <f>IFERROR(__xludf.DUMMYFUNCTION("""COMPUTED_VALUE"""),"Ltr")</f>
        <v>Ltr</v>
      </c>
    </row>
    <row r="129">
      <c r="A129" s="25" t="str">
        <f>IFERROR(__xludf.DUMMYFUNCTION("""COMPUTED_VALUE"""),"CH-SOL-116")</f>
        <v>CH-SOL-116</v>
      </c>
      <c r="B129" s="25" t="str">
        <f>IFERROR(__xludf.DUMMYFUNCTION("""COMPUTED_VALUE"""),"Out")</f>
        <v>Out</v>
      </c>
      <c r="C129" s="257">
        <f>IFERROR(__xludf.DUMMYFUNCTION("""COMPUTED_VALUE"""),46210.0)</f>
        <v>46210</v>
      </c>
      <c r="D129" s="25">
        <f>IFERROR(__xludf.DUMMYFUNCTION("""COMPUTED_VALUE"""),20.0)</f>
        <v>20</v>
      </c>
      <c r="E129" s="25"/>
      <c r="F129" s="25" t="str">
        <f>IFERROR(__xludf.DUMMYFUNCTION("""COMPUTED_VALUE"""),"Nova Nol Xtra")</f>
        <v>Nova Nol Xtra</v>
      </c>
      <c r="G129" s="25" t="str">
        <f>IFERROR(__xludf.DUMMYFUNCTION("""COMPUTED_VALUE"""),"Chemical")</f>
        <v>Chemical</v>
      </c>
      <c r="H129" s="25" t="str">
        <f>IFERROR(__xludf.DUMMYFUNCTION("""COMPUTED_VALUE"""),"Solution")</f>
        <v>Solution</v>
      </c>
      <c r="I129" s="25" t="str">
        <f>IFERROR(__xludf.DUMMYFUNCTION("""COMPUTED_VALUE"""),"–")</f>
        <v>–</v>
      </c>
      <c r="J129" s="25" t="str">
        <f>IFERROR(__xludf.DUMMYFUNCTION("""COMPUTED_VALUE"""),"–")</f>
        <v>–</v>
      </c>
      <c r="K129" s="25" t="str">
        <f>IFERROR(__xludf.DUMMYFUNCTION("""COMPUTED_VALUE"""),"–")</f>
        <v>–</v>
      </c>
      <c r="L129" s="25" t="str">
        <f>IFERROR(__xludf.DUMMYFUNCTION("""COMPUTED_VALUE"""),"Alcohol")</f>
        <v>Alcohol</v>
      </c>
      <c r="M129" s="25" t="str">
        <f>IFERROR(__xludf.DUMMYFUNCTION("""COMPUTED_VALUE"""),"Ltr")</f>
        <v>Ltr</v>
      </c>
    </row>
    <row r="130">
      <c r="A130" s="25" t="str">
        <f>IFERROR(__xludf.DUMMYFUNCTION("""COMPUTED_VALUE"""),"CH-SOL-144")</f>
        <v>CH-SOL-144</v>
      </c>
      <c r="B130" s="25" t="str">
        <f>IFERROR(__xludf.DUMMYFUNCTION("""COMPUTED_VALUE"""),"Out")</f>
        <v>Out</v>
      </c>
      <c r="C130" s="257">
        <f>IFERROR(__xludf.DUMMYFUNCTION("""COMPUTED_VALUE"""),46209.0)</f>
        <v>46209</v>
      </c>
      <c r="D130" s="25">
        <f>IFERROR(__xludf.DUMMYFUNCTION("""COMPUTED_VALUE"""),5.0)</f>
        <v>5</v>
      </c>
      <c r="E130" s="25"/>
      <c r="F130" s="25" t="str">
        <f>IFERROR(__xludf.DUMMYFUNCTION("""COMPUTED_VALUE"""),"Benzene")</f>
        <v>Benzene</v>
      </c>
      <c r="G130" s="25" t="str">
        <f>IFERROR(__xludf.DUMMYFUNCTION("""COMPUTED_VALUE"""),"Chemical")</f>
        <v>Chemical</v>
      </c>
      <c r="H130" s="25" t="str">
        <f>IFERROR(__xludf.DUMMYFUNCTION("""COMPUTED_VALUE"""),"Solution")</f>
        <v>Solution</v>
      </c>
      <c r="I130" s="25" t="str">
        <f>IFERROR(__xludf.DUMMYFUNCTION("""COMPUTED_VALUE"""),"–")</f>
        <v>–</v>
      </c>
      <c r="J130" s="25" t="str">
        <f>IFERROR(__xludf.DUMMYFUNCTION("""COMPUTED_VALUE"""),"–")</f>
        <v>–</v>
      </c>
      <c r="K130" s="25" t="str">
        <f>IFERROR(__xludf.DUMMYFUNCTION("""COMPUTED_VALUE"""),"–")</f>
        <v>–</v>
      </c>
      <c r="L130" s="25" t="str">
        <f>IFERROR(__xludf.DUMMYFUNCTION("""COMPUTED_VALUE"""),"Chemical")</f>
        <v>Chemical</v>
      </c>
      <c r="M130" s="25" t="str">
        <f>IFERROR(__xludf.DUMMYFUNCTION("""COMPUTED_VALUE"""),"Ltr")</f>
        <v>Ltr</v>
      </c>
    </row>
    <row r="131">
      <c r="A131" s="25" t="str">
        <f>IFERROR(__xludf.DUMMYFUNCTION("""COMPUTED_VALUE"""),"CH-SOL-268")</f>
        <v>CH-SOL-268</v>
      </c>
      <c r="B131" s="25" t="str">
        <f>IFERROR(__xludf.DUMMYFUNCTION("""COMPUTED_VALUE"""),"Out")</f>
        <v>Out</v>
      </c>
      <c r="C131" s="257">
        <f>IFERROR(__xludf.DUMMYFUNCTION("""COMPUTED_VALUE"""),46210.0)</f>
        <v>46210</v>
      </c>
      <c r="D131" s="25">
        <f>IFERROR(__xludf.DUMMYFUNCTION("""COMPUTED_VALUE"""),5.0)</f>
        <v>5</v>
      </c>
      <c r="E131" s="25"/>
      <c r="F131" s="25" t="str">
        <f>IFERROR(__xludf.DUMMYFUNCTION("""COMPUTED_VALUE"""),"Screen Clearning Aid Amyle")</f>
        <v>Screen Clearning Aid Amyle</v>
      </c>
      <c r="G131" s="25" t="str">
        <f>IFERROR(__xludf.DUMMYFUNCTION("""COMPUTED_VALUE"""),"Chemical")</f>
        <v>Chemical</v>
      </c>
      <c r="H131" s="25" t="str">
        <f>IFERROR(__xludf.DUMMYFUNCTION("""COMPUTED_VALUE"""),"Solution")</f>
        <v>Solution</v>
      </c>
      <c r="I131" s="25" t="str">
        <f>IFERROR(__xludf.DUMMYFUNCTION("""COMPUTED_VALUE"""),"–")</f>
        <v>–</v>
      </c>
      <c r="J131" s="25" t="str">
        <f>IFERROR(__xludf.DUMMYFUNCTION("""COMPUTED_VALUE"""),"–")</f>
        <v>–</v>
      </c>
      <c r="K131" s="25" t="str">
        <f>IFERROR(__xludf.DUMMYFUNCTION("""COMPUTED_VALUE"""),"–")</f>
        <v>–</v>
      </c>
      <c r="L131" s="25" t="str">
        <f>IFERROR(__xludf.DUMMYFUNCTION("""COMPUTED_VALUE"""),"–")</f>
        <v>–</v>
      </c>
      <c r="M131" s="25" t="str">
        <f>IFERROR(__xludf.DUMMYFUNCTION("""COMPUTED_VALUE"""),"Pc")</f>
        <v>Pc</v>
      </c>
    </row>
    <row r="132">
      <c r="A132" s="25" t="str">
        <f>IFERROR(__xludf.DUMMYFUNCTION("""COMPUTED_VALUE"""),"CH-SOL-142")</f>
        <v>CH-SOL-142</v>
      </c>
      <c r="B132" s="25" t="str">
        <f>IFERROR(__xludf.DUMMYFUNCTION("""COMPUTED_VALUE"""),"Out")</f>
        <v>Out</v>
      </c>
      <c r="C132" s="257">
        <f>IFERROR(__xludf.DUMMYFUNCTION("""COMPUTED_VALUE"""),46210.0)</f>
        <v>46210</v>
      </c>
      <c r="D132" s="25">
        <f>IFERROR(__xludf.DUMMYFUNCTION("""COMPUTED_VALUE"""),5.0)</f>
        <v>5</v>
      </c>
      <c r="E132" s="25"/>
      <c r="F132" s="25" t="str">
        <f>IFERROR(__xludf.DUMMYFUNCTION("""COMPUTED_VALUE"""),"Plate Cleaner Normal")</f>
        <v>Plate Cleaner Normal</v>
      </c>
      <c r="G132" s="25" t="str">
        <f>IFERROR(__xludf.DUMMYFUNCTION("""COMPUTED_VALUE"""),"Chemical")</f>
        <v>Chemical</v>
      </c>
      <c r="H132" s="25" t="str">
        <f>IFERROR(__xludf.DUMMYFUNCTION("""COMPUTED_VALUE"""),"Solution")</f>
        <v>Solution</v>
      </c>
      <c r="I132" s="25" t="str">
        <f>IFERROR(__xludf.DUMMYFUNCTION("""COMPUTED_VALUE"""),"–")</f>
        <v>–</v>
      </c>
      <c r="J132" s="25" t="str">
        <f>IFERROR(__xludf.DUMMYFUNCTION("""COMPUTED_VALUE"""),"–")</f>
        <v>–</v>
      </c>
      <c r="K132" s="25" t="str">
        <f>IFERROR(__xludf.DUMMYFUNCTION("""COMPUTED_VALUE"""),"–")</f>
        <v>–</v>
      </c>
      <c r="L132" s="25" t="str">
        <f>IFERROR(__xludf.DUMMYFUNCTION("""COMPUTED_VALUE"""),"Normal Gp")</f>
        <v>Normal Gp</v>
      </c>
      <c r="M132" s="25" t="str">
        <f>IFERROR(__xludf.DUMMYFUNCTION("""COMPUTED_VALUE"""),"Ltr")</f>
        <v>Ltr</v>
      </c>
    </row>
    <row r="133">
      <c r="A133" s="25" t="str">
        <f>IFERROR(__xludf.DUMMYFUNCTION("""COMPUTED_VALUE"""),"CH-SOL-179")</f>
        <v>CH-SOL-179</v>
      </c>
      <c r="B133" s="25" t="str">
        <f>IFERROR(__xludf.DUMMYFUNCTION("""COMPUTED_VALUE"""),"Out")</f>
        <v>Out</v>
      </c>
      <c r="C133" s="257">
        <f>IFERROR(__xludf.DUMMYFUNCTION("""COMPUTED_VALUE"""),46209.0)</f>
        <v>46209</v>
      </c>
      <c r="D133" s="25">
        <f>IFERROR(__xludf.DUMMYFUNCTION("""COMPUTED_VALUE"""),25.0)</f>
        <v>25</v>
      </c>
      <c r="E133" s="25"/>
      <c r="F133" s="25" t="str">
        <f>IFERROR(__xludf.DUMMYFUNCTION("""COMPUTED_VALUE"""),"New V FD Wash(Hard Wash)-HPC-0237/25D21")</f>
        <v>New V FD Wash(Hard Wash)-HPC-0237/25D21</v>
      </c>
      <c r="G133" s="25" t="str">
        <f>IFERROR(__xludf.DUMMYFUNCTION("""COMPUTED_VALUE"""),"Chemical")</f>
        <v>Chemical</v>
      </c>
      <c r="H133" s="25" t="str">
        <f>IFERROR(__xludf.DUMMYFUNCTION("""COMPUTED_VALUE"""),"Solution")</f>
        <v>Solution</v>
      </c>
      <c r="I133" s="25" t="str">
        <f>IFERROR(__xludf.DUMMYFUNCTION("""COMPUTED_VALUE"""),"–")</f>
        <v>–</v>
      </c>
      <c r="J133" s="25" t="str">
        <f>IFERROR(__xludf.DUMMYFUNCTION("""COMPUTED_VALUE"""),"–")</f>
        <v>–</v>
      </c>
      <c r="K133" s="25" t="str">
        <f>IFERROR(__xludf.DUMMYFUNCTION("""COMPUTED_VALUE"""),"–")</f>
        <v>–</v>
      </c>
      <c r="L133" s="25" t="str">
        <f>IFERROR(__xludf.DUMMYFUNCTION("""COMPUTED_VALUE"""),"Hard Wash")</f>
        <v>Hard Wash</v>
      </c>
      <c r="M133" s="25" t="str">
        <f>IFERROR(__xludf.DUMMYFUNCTION("""COMPUTED_VALUE"""),"Ltr")</f>
        <v>Ltr</v>
      </c>
    </row>
    <row r="134">
      <c r="A134" s="25" t="str">
        <f>IFERROR(__xludf.DUMMYFUNCTION("""COMPUTED_VALUE"""),"CH-SOL-143")</f>
        <v>CH-SOL-143</v>
      </c>
      <c r="B134" s="25" t="str">
        <f>IFERROR(__xludf.DUMMYFUNCTION("""COMPUTED_VALUE"""),"Out")</f>
        <v>Out</v>
      </c>
      <c r="C134" s="257">
        <f>IFERROR(__xludf.DUMMYFUNCTION("""COMPUTED_VALUE"""),46213.0)</f>
        <v>46213</v>
      </c>
      <c r="D134" s="25">
        <f>IFERROR(__xludf.DUMMYFUNCTION("""COMPUTED_VALUE"""),1.0)</f>
        <v>1</v>
      </c>
      <c r="E134" s="25"/>
      <c r="F134" s="25" t="str">
        <f>IFERROR(__xludf.DUMMYFUNCTION("""COMPUTED_VALUE"""),"Plate Cleaner UV")</f>
        <v>Plate Cleaner UV</v>
      </c>
      <c r="G134" s="25" t="str">
        <f>IFERROR(__xludf.DUMMYFUNCTION("""COMPUTED_VALUE"""),"Chemical")</f>
        <v>Chemical</v>
      </c>
      <c r="H134" s="25" t="str">
        <f>IFERROR(__xludf.DUMMYFUNCTION("""COMPUTED_VALUE"""),"Solution")</f>
        <v>Solution</v>
      </c>
      <c r="I134" s="25" t="str">
        <f>IFERROR(__xludf.DUMMYFUNCTION("""COMPUTED_VALUE"""),"–")</f>
        <v>–</v>
      </c>
      <c r="J134" s="25" t="str">
        <f>IFERROR(__xludf.DUMMYFUNCTION("""COMPUTED_VALUE"""),"–")</f>
        <v>–</v>
      </c>
      <c r="K134" s="25" t="str">
        <f>IFERROR(__xludf.DUMMYFUNCTION("""COMPUTED_VALUE"""),"–")</f>
        <v>–</v>
      </c>
      <c r="L134" s="25" t="str">
        <f>IFERROR(__xludf.DUMMYFUNCTION("""COMPUTED_VALUE"""),"Hard Gp")</f>
        <v>Hard Gp</v>
      </c>
      <c r="M134" s="25" t="str">
        <f>IFERROR(__xludf.DUMMYFUNCTION("""COMPUTED_VALUE"""),"Ltr")</f>
        <v>Ltr</v>
      </c>
    </row>
    <row r="135">
      <c r="A135" s="25" t="str">
        <f>IFERROR(__xludf.DUMMYFUNCTION("""COMPUTED_VALUE"""),"CH-VAR-134")</f>
        <v>CH-VAR-134</v>
      </c>
      <c r="B135" s="25" t="str">
        <f>IFERROR(__xludf.DUMMYFUNCTION("""COMPUTED_VALUE"""),"Out")</f>
        <v>Out</v>
      </c>
      <c r="C135" s="257">
        <f>IFERROR(__xludf.DUMMYFUNCTION("""COMPUTED_VALUE"""),46214.0)</f>
        <v>46214</v>
      </c>
      <c r="D135" s="25">
        <f>IFERROR(__xludf.DUMMYFUNCTION("""COMPUTED_VALUE"""),25.0)</f>
        <v>25</v>
      </c>
      <c r="E135" s="25"/>
      <c r="F135" s="25" t="str">
        <f>IFERROR(__xludf.DUMMYFUNCTION("""COMPUTED_VALUE"""),"TK/7000 AQUA High Gloss Varnish")</f>
        <v>TK/7000 AQUA High Gloss Varnish</v>
      </c>
      <c r="G135" s="25" t="str">
        <f>IFERROR(__xludf.DUMMYFUNCTION("""COMPUTED_VALUE"""),"Chemical")</f>
        <v>Chemical</v>
      </c>
      <c r="H135" s="25" t="str">
        <f>IFERROR(__xludf.DUMMYFUNCTION("""COMPUTED_VALUE"""),"Varnish")</f>
        <v>Varnish</v>
      </c>
      <c r="I135" s="25" t="str">
        <f>IFERROR(__xludf.DUMMYFUNCTION("""COMPUTED_VALUE"""),"–")</f>
        <v>–</v>
      </c>
      <c r="J135" s="25" t="str">
        <f>IFERROR(__xludf.DUMMYFUNCTION("""COMPUTED_VALUE"""),"–")</f>
        <v>–</v>
      </c>
      <c r="K135" s="25" t="str">
        <f>IFERROR(__xludf.DUMMYFUNCTION("""COMPUTED_VALUE"""),"–")</f>
        <v>–</v>
      </c>
      <c r="L135" s="25" t="str">
        <f>IFERROR(__xludf.DUMMYFUNCTION("""COMPUTED_VALUE"""),"High Gloss")</f>
        <v>High Gloss</v>
      </c>
      <c r="M135" s="25" t="str">
        <f>IFERROR(__xludf.DUMMYFUNCTION("""COMPUTED_VALUE"""),"Kg")</f>
        <v>Kg</v>
      </c>
    </row>
    <row r="136">
      <c r="A136" s="25" t="str">
        <f>IFERROR(__xludf.DUMMYFUNCTION("""COMPUTED_VALUE"""),"CH-SOL-116")</f>
        <v>CH-SOL-116</v>
      </c>
      <c r="B136" s="25" t="str">
        <f>IFERROR(__xludf.DUMMYFUNCTION("""COMPUTED_VALUE"""),"Out")</f>
        <v>Out</v>
      </c>
      <c r="C136" s="257">
        <f>IFERROR(__xludf.DUMMYFUNCTION("""COMPUTED_VALUE"""),46217.0)</f>
        <v>46217</v>
      </c>
      <c r="D136" s="25">
        <f>IFERROR(__xludf.DUMMYFUNCTION("""COMPUTED_VALUE"""),20.0)</f>
        <v>20</v>
      </c>
      <c r="E136" s="25"/>
      <c r="F136" s="25" t="str">
        <f>IFERROR(__xludf.DUMMYFUNCTION("""COMPUTED_VALUE"""),"Nova Nol Xtra")</f>
        <v>Nova Nol Xtra</v>
      </c>
      <c r="G136" s="25" t="str">
        <f>IFERROR(__xludf.DUMMYFUNCTION("""COMPUTED_VALUE"""),"Chemical")</f>
        <v>Chemical</v>
      </c>
      <c r="H136" s="25" t="str">
        <f>IFERROR(__xludf.DUMMYFUNCTION("""COMPUTED_VALUE"""),"Solution")</f>
        <v>Solution</v>
      </c>
      <c r="I136" s="25" t="str">
        <f>IFERROR(__xludf.DUMMYFUNCTION("""COMPUTED_VALUE"""),"–")</f>
        <v>–</v>
      </c>
      <c r="J136" s="25" t="str">
        <f>IFERROR(__xludf.DUMMYFUNCTION("""COMPUTED_VALUE"""),"–")</f>
        <v>–</v>
      </c>
      <c r="K136" s="25" t="str">
        <f>IFERROR(__xludf.DUMMYFUNCTION("""COMPUTED_VALUE"""),"–")</f>
        <v>–</v>
      </c>
      <c r="L136" s="25" t="str">
        <f>IFERROR(__xludf.DUMMYFUNCTION("""COMPUTED_VALUE"""),"Alcohol")</f>
        <v>Alcohol</v>
      </c>
      <c r="M136" s="25" t="str">
        <f>IFERROR(__xludf.DUMMYFUNCTION("""COMPUTED_VALUE"""),"Ltr")</f>
        <v>Ltr</v>
      </c>
    </row>
    <row r="137">
      <c r="A137" s="25" t="str">
        <f>IFERROR(__xludf.DUMMYFUNCTION("""COMPUTED_VALUE"""),"CH-SOL-144")</f>
        <v>CH-SOL-144</v>
      </c>
      <c r="B137" s="25" t="str">
        <f>IFERROR(__xludf.DUMMYFUNCTION("""COMPUTED_VALUE"""),"Out")</f>
        <v>Out</v>
      </c>
      <c r="C137" s="257">
        <f>IFERROR(__xludf.DUMMYFUNCTION("""COMPUTED_VALUE"""),46217.0)</f>
        <v>46217</v>
      </c>
      <c r="D137" s="25">
        <f>IFERROR(__xludf.DUMMYFUNCTION("""COMPUTED_VALUE"""),5.0)</f>
        <v>5</v>
      </c>
      <c r="E137" s="25"/>
      <c r="F137" s="25" t="str">
        <f>IFERROR(__xludf.DUMMYFUNCTION("""COMPUTED_VALUE"""),"Benzene")</f>
        <v>Benzene</v>
      </c>
      <c r="G137" s="25" t="str">
        <f>IFERROR(__xludf.DUMMYFUNCTION("""COMPUTED_VALUE"""),"Chemical")</f>
        <v>Chemical</v>
      </c>
      <c r="H137" s="25" t="str">
        <f>IFERROR(__xludf.DUMMYFUNCTION("""COMPUTED_VALUE"""),"Solution")</f>
        <v>Solution</v>
      </c>
      <c r="I137" s="25" t="str">
        <f>IFERROR(__xludf.DUMMYFUNCTION("""COMPUTED_VALUE"""),"–")</f>
        <v>–</v>
      </c>
      <c r="J137" s="25" t="str">
        <f>IFERROR(__xludf.DUMMYFUNCTION("""COMPUTED_VALUE"""),"–")</f>
        <v>–</v>
      </c>
      <c r="K137" s="25" t="str">
        <f>IFERROR(__xludf.DUMMYFUNCTION("""COMPUTED_VALUE"""),"–")</f>
        <v>–</v>
      </c>
      <c r="L137" s="25" t="str">
        <f>IFERROR(__xludf.DUMMYFUNCTION("""COMPUTED_VALUE"""),"Chemical")</f>
        <v>Chemical</v>
      </c>
      <c r="M137" s="25" t="str">
        <f>IFERROR(__xludf.DUMMYFUNCTION("""COMPUTED_VALUE"""),"Ltr")</f>
        <v>Ltr</v>
      </c>
    </row>
    <row r="138">
      <c r="A138" s="25" t="str">
        <f>IFERROR(__xludf.DUMMYFUNCTION("""COMPUTED_VALUE"""),"CH-SOL-142")</f>
        <v>CH-SOL-142</v>
      </c>
      <c r="B138" s="25" t="str">
        <f>IFERROR(__xludf.DUMMYFUNCTION("""COMPUTED_VALUE"""),"Out")</f>
        <v>Out</v>
      </c>
      <c r="C138" s="257">
        <f>IFERROR(__xludf.DUMMYFUNCTION("""COMPUTED_VALUE"""),46218.0)</f>
        <v>46218</v>
      </c>
      <c r="D138" s="25">
        <f>IFERROR(__xludf.DUMMYFUNCTION("""COMPUTED_VALUE"""),5.0)</f>
        <v>5</v>
      </c>
      <c r="E138" s="25"/>
      <c r="F138" s="25" t="str">
        <f>IFERROR(__xludf.DUMMYFUNCTION("""COMPUTED_VALUE"""),"Plate Cleaner Normal")</f>
        <v>Plate Cleaner Normal</v>
      </c>
      <c r="G138" s="25" t="str">
        <f>IFERROR(__xludf.DUMMYFUNCTION("""COMPUTED_VALUE"""),"Chemical")</f>
        <v>Chemical</v>
      </c>
      <c r="H138" s="25" t="str">
        <f>IFERROR(__xludf.DUMMYFUNCTION("""COMPUTED_VALUE"""),"Solution")</f>
        <v>Solution</v>
      </c>
      <c r="I138" s="25" t="str">
        <f>IFERROR(__xludf.DUMMYFUNCTION("""COMPUTED_VALUE"""),"–")</f>
        <v>–</v>
      </c>
      <c r="J138" s="25" t="str">
        <f>IFERROR(__xludf.DUMMYFUNCTION("""COMPUTED_VALUE"""),"–")</f>
        <v>–</v>
      </c>
      <c r="K138" s="25" t="str">
        <f>IFERROR(__xludf.DUMMYFUNCTION("""COMPUTED_VALUE"""),"–")</f>
        <v>–</v>
      </c>
      <c r="L138" s="25" t="str">
        <f>IFERROR(__xludf.DUMMYFUNCTION("""COMPUTED_VALUE"""),"Normal Gp")</f>
        <v>Normal Gp</v>
      </c>
      <c r="M138" s="25" t="str">
        <f>IFERROR(__xludf.DUMMYFUNCTION("""COMPUTED_VALUE"""),"Ltr")</f>
        <v>Ltr</v>
      </c>
    </row>
    <row r="139">
      <c r="A139" s="25" t="str">
        <f>IFERROR(__xludf.DUMMYFUNCTION("""COMPUTED_VALUE"""),"CH-SOL-114")</f>
        <v>CH-SOL-114</v>
      </c>
      <c r="B139" s="25" t="str">
        <f>IFERROR(__xludf.DUMMYFUNCTION("""COMPUTED_VALUE"""),"Out")</f>
        <v>Out</v>
      </c>
      <c r="C139" s="257">
        <f>IFERROR(__xludf.DUMMYFUNCTION("""COMPUTED_VALUE"""),46231.0)</f>
        <v>46231</v>
      </c>
      <c r="D139" s="25">
        <f>IFERROR(__xludf.DUMMYFUNCTION("""COMPUTED_VALUE"""),20.0)</f>
        <v>20</v>
      </c>
      <c r="E139" s="25"/>
      <c r="F139" s="25" t="str">
        <f>IFERROR(__xludf.DUMMYFUNCTION("""COMPUTED_VALUE"""),"Classic Multi Wash-HPC 0214/25D21")</f>
        <v>Classic Multi Wash-HPC 0214/25D21</v>
      </c>
      <c r="G139" s="25" t="str">
        <f>IFERROR(__xludf.DUMMYFUNCTION("""COMPUTED_VALUE"""),"Chemical")</f>
        <v>Chemical</v>
      </c>
      <c r="H139" s="25" t="str">
        <f>IFERROR(__xludf.DUMMYFUNCTION("""COMPUTED_VALUE"""),"Solution")</f>
        <v>Solution</v>
      </c>
      <c r="I139" s="25" t="str">
        <f>IFERROR(__xludf.DUMMYFUNCTION("""COMPUTED_VALUE"""),"–")</f>
        <v>–</v>
      </c>
      <c r="J139" s="25" t="str">
        <f>IFERROR(__xludf.DUMMYFUNCTION("""COMPUTED_VALUE"""),"–")</f>
        <v>–</v>
      </c>
      <c r="K139" s="25" t="str">
        <f>IFERROR(__xludf.DUMMYFUNCTION("""COMPUTED_VALUE"""),"–")</f>
        <v>–</v>
      </c>
      <c r="L139" s="25" t="str">
        <f>IFERROR(__xludf.DUMMYFUNCTION("""COMPUTED_VALUE"""),"Normal Wash")</f>
        <v>Normal Wash</v>
      </c>
      <c r="M139" s="25" t="str">
        <f>IFERROR(__xludf.DUMMYFUNCTION("""COMPUTED_VALUE"""),"Ltr")</f>
        <v>Ltr</v>
      </c>
    </row>
    <row r="140">
      <c r="A140" s="25" t="str">
        <f>IFERROR(__xludf.DUMMYFUNCTION("""COMPUTED_VALUE"""),"CH-SOL-116")</f>
        <v>CH-SOL-116</v>
      </c>
      <c r="B140" s="25" t="str">
        <f>IFERROR(__xludf.DUMMYFUNCTION("""COMPUTED_VALUE"""),"Out")</f>
        <v>Out</v>
      </c>
      <c r="C140" s="257">
        <f>IFERROR(__xludf.DUMMYFUNCTION("""COMPUTED_VALUE"""),46240.0)</f>
        <v>46240</v>
      </c>
      <c r="D140" s="25">
        <f>IFERROR(__xludf.DUMMYFUNCTION("""COMPUTED_VALUE"""),20.0)</f>
        <v>20</v>
      </c>
      <c r="E140" s="25"/>
      <c r="F140" s="25" t="str">
        <f>IFERROR(__xludf.DUMMYFUNCTION("""COMPUTED_VALUE"""),"Nova Nol Xtra")</f>
        <v>Nova Nol Xtra</v>
      </c>
      <c r="G140" s="25" t="str">
        <f>IFERROR(__xludf.DUMMYFUNCTION("""COMPUTED_VALUE"""),"Chemical")</f>
        <v>Chemical</v>
      </c>
      <c r="H140" s="25" t="str">
        <f>IFERROR(__xludf.DUMMYFUNCTION("""COMPUTED_VALUE"""),"Solution")</f>
        <v>Solution</v>
      </c>
      <c r="I140" s="25" t="str">
        <f>IFERROR(__xludf.DUMMYFUNCTION("""COMPUTED_VALUE"""),"–")</f>
        <v>–</v>
      </c>
      <c r="J140" s="25" t="str">
        <f>IFERROR(__xludf.DUMMYFUNCTION("""COMPUTED_VALUE"""),"–")</f>
        <v>–</v>
      </c>
      <c r="K140" s="25" t="str">
        <f>IFERROR(__xludf.DUMMYFUNCTION("""COMPUTED_VALUE"""),"–")</f>
        <v>–</v>
      </c>
      <c r="L140" s="25" t="str">
        <f>IFERROR(__xludf.DUMMYFUNCTION("""COMPUTED_VALUE"""),"Alcohol")</f>
        <v>Alcohol</v>
      </c>
      <c r="M140" s="25" t="str">
        <f>IFERROR(__xludf.DUMMYFUNCTION("""COMPUTED_VALUE"""),"Ltr")</f>
        <v>Ltr</v>
      </c>
    </row>
    <row r="141">
      <c r="A141" s="25" t="str">
        <f>IFERROR(__xludf.DUMMYFUNCTION("""COMPUTED_VALUE"""),"CH-SOL-144")</f>
        <v>CH-SOL-144</v>
      </c>
      <c r="B141" s="25" t="str">
        <f>IFERROR(__xludf.DUMMYFUNCTION("""COMPUTED_VALUE"""),"Out")</f>
        <v>Out</v>
      </c>
      <c r="C141" s="257">
        <f>IFERROR(__xludf.DUMMYFUNCTION("""COMPUTED_VALUE"""),46240.0)</f>
        <v>46240</v>
      </c>
      <c r="D141" s="25">
        <f>IFERROR(__xludf.DUMMYFUNCTION("""COMPUTED_VALUE"""),10.0)</f>
        <v>10</v>
      </c>
      <c r="E141" s="25"/>
      <c r="F141" s="25" t="str">
        <f>IFERROR(__xludf.DUMMYFUNCTION("""COMPUTED_VALUE"""),"Benzene")</f>
        <v>Benzene</v>
      </c>
      <c r="G141" s="25" t="str">
        <f>IFERROR(__xludf.DUMMYFUNCTION("""COMPUTED_VALUE"""),"Chemical")</f>
        <v>Chemical</v>
      </c>
      <c r="H141" s="25" t="str">
        <f>IFERROR(__xludf.DUMMYFUNCTION("""COMPUTED_VALUE"""),"Solution")</f>
        <v>Solution</v>
      </c>
      <c r="I141" s="25" t="str">
        <f>IFERROR(__xludf.DUMMYFUNCTION("""COMPUTED_VALUE"""),"–")</f>
        <v>–</v>
      </c>
      <c r="J141" s="25" t="str">
        <f>IFERROR(__xludf.DUMMYFUNCTION("""COMPUTED_VALUE"""),"–")</f>
        <v>–</v>
      </c>
      <c r="K141" s="25" t="str">
        <f>IFERROR(__xludf.DUMMYFUNCTION("""COMPUTED_VALUE"""),"–")</f>
        <v>–</v>
      </c>
      <c r="L141" s="25" t="str">
        <f>IFERROR(__xludf.DUMMYFUNCTION("""COMPUTED_VALUE"""),"Chemical")</f>
        <v>Chemical</v>
      </c>
      <c r="M141" s="25" t="str">
        <f>IFERROR(__xludf.DUMMYFUNCTION("""COMPUTED_VALUE"""),"Ltr")</f>
        <v>Ltr</v>
      </c>
    </row>
    <row r="142">
      <c r="A142" s="25" t="str">
        <f>IFERROR(__xludf.DUMMYFUNCTION("""COMPUTED_VALUE"""),"CH-SOL-116")</f>
        <v>CH-SOL-116</v>
      </c>
      <c r="B142" s="25" t="str">
        <f>IFERROR(__xludf.DUMMYFUNCTION("""COMPUTED_VALUE"""),"Out")</f>
        <v>Out</v>
      </c>
      <c r="C142" s="257">
        <f>IFERROR(__xludf.DUMMYFUNCTION("""COMPUTED_VALUE"""),46256.0)</f>
        <v>46256</v>
      </c>
      <c r="D142" s="25">
        <f>IFERROR(__xludf.DUMMYFUNCTION("""COMPUTED_VALUE"""),40.0)</f>
        <v>40</v>
      </c>
      <c r="E142" s="25"/>
      <c r="F142" s="25" t="str">
        <f>IFERROR(__xludf.DUMMYFUNCTION("""COMPUTED_VALUE"""),"Nova Nol Xtra")</f>
        <v>Nova Nol Xtra</v>
      </c>
      <c r="G142" s="25" t="str">
        <f>IFERROR(__xludf.DUMMYFUNCTION("""COMPUTED_VALUE"""),"Chemical")</f>
        <v>Chemical</v>
      </c>
      <c r="H142" s="25" t="str">
        <f>IFERROR(__xludf.DUMMYFUNCTION("""COMPUTED_VALUE"""),"Solution")</f>
        <v>Solution</v>
      </c>
      <c r="I142" s="25" t="str">
        <f>IFERROR(__xludf.DUMMYFUNCTION("""COMPUTED_VALUE"""),"–")</f>
        <v>–</v>
      </c>
      <c r="J142" s="25" t="str">
        <f>IFERROR(__xludf.DUMMYFUNCTION("""COMPUTED_VALUE"""),"–")</f>
        <v>–</v>
      </c>
      <c r="K142" s="25" t="str">
        <f>IFERROR(__xludf.DUMMYFUNCTION("""COMPUTED_VALUE"""),"–")</f>
        <v>–</v>
      </c>
      <c r="L142" s="25" t="str">
        <f>IFERROR(__xludf.DUMMYFUNCTION("""COMPUTED_VALUE"""),"Alcohol")</f>
        <v>Alcohol</v>
      </c>
      <c r="M142" s="25" t="str">
        <f>IFERROR(__xludf.DUMMYFUNCTION("""COMPUTED_VALUE"""),"Ltr")</f>
        <v>Ltr</v>
      </c>
    </row>
    <row r="143">
      <c r="A143" s="25" t="str">
        <f>IFERROR(__xludf.DUMMYFUNCTION("""COMPUTED_VALUE"""),"CH-SOL-212")</f>
        <v>CH-SOL-212</v>
      </c>
      <c r="B143" s="25" t="str">
        <f>IFERROR(__xludf.DUMMYFUNCTION("""COMPUTED_VALUE"""),"Out")</f>
        <v>Out</v>
      </c>
      <c r="C143" s="257">
        <f>IFERROR(__xludf.DUMMYFUNCTION("""COMPUTED_VALUE"""),46258.0)</f>
        <v>46258</v>
      </c>
      <c r="D143" s="25">
        <f>IFERROR(__xludf.DUMMYFUNCTION("""COMPUTED_VALUE"""),8.0)</f>
        <v>8</v>
      </c>
      <c r="E143" s="25"/>
      <c r="F143" s="25" t="str">
        <f>IFERROR(__xludf.DUMMYFUNCTION("""COMPUTED_VALUE"""),"New V Screen Trans ink")</f>
        <v>New V Screen Trans ink</v>
      </c>
      <c r="G143" s="25" t="str">
        <f>IFERROR(__xludf.DUMMYFUNCTION("""COMPUTED_VALUE"""),"Chemical")</f>
        <v>Chemical</v>
      </c>
      <c r="H143" s="25" t="str">
        <f>IFERROR(__xludf.DUMMYFUNCTION("""COMPUTED_VALUE"""),"Solution")</f>
        <v>Solution</v>
      </c>
      <c r="I143" s="25" t="str">
        <f>IFERROR(__xludf.DUMMYFUNCTION("""COMPUTED_VALUE"""),"–")</f>
        <v>–</v>
      </c>
      <c r="J143" s="25" t="str">
        <f>IFERROR(__xludf.DUMMYFUNCTION("""COMPUTED_VALUE"""),"–")</f>
        <v>–</v>
      </c>
      <c r="K143" s="25" t="str">
        <f>IFERROR(__xludf.DUMMYFUNCTION("""COMPUTED_VALUE"""),"–")</f>
        <v>–</v>
      </c>
      <c r="L143" s="25" t="str">
        <f>IFERROR(__xludf.DUMMYFUNCTION("""COMPUTED_VALUE"""),"UV Screen Gloss-SPOT UV")</f>
        <v>UV Screen Gloss-SPOT UV</v>
      </c>
      <c r="M143" s="25" t="str">
        <f>IFERROR(__xludf.DUMMYFUNCTION("""COMPUTED_VALUE"""),"Ltr")</f>
        <v>Ltr</v>
      </c>
    </row>
    <row r="144">
      <c r="A144" s="25" t="str">
        <f>IFERROR(__xludf.DUMMYFUNCTION("""COMPUTED_VALUE"""),"CH-SOL-199")</f>
        <v>CH-SOL-199</v>
      </c>
      <c r="B144" s="25" t="str">
        <f>IFERROR(__xludf.DUMMYFUNCTION("""COMPUTED_VALUE"""),"Out")</f>
        <v>Out</v>
      </c>
      <c r="C144" s="257">
        <f>IFERROR(__xludf.DUMMYFUNCTION("""COMPUTED_VALUE"""),46258.0)</f>
        <v>46258</v>
      </c>
      <c r="D144" s="25">
        <f>IFERROR(__xludf.DUMMYFUNCTION("""COMPUTED_VALUE"""),25.0)</f>
        <v>25</v>
      </c>
      <c r="E144" s="25"/>
      <c r="F144" s="25" t="str">
        <f>IFERROR(__xludf.DUMMYFUNCTION("""COMPUTED_VALUE"""),"TK 3400 Wb Board Primer")</f>
        <v>TK 3400 Wb Board Primer</v>
      </c>
      <c r="G144" s="25" t="str">
        <f>IFERROR(__xludf.DUMMYFUNCTION("""COMPUTED_VALUE"""),"Chemical")</f>
        <v>Chemical</v>
      </c>
      <c r="H144" s="25" t="str">
        <f>IFERROR(__xludf.DUMMYFUNCTION("""COMPUTED_VALUE"""),"Solution")</f>
        <v>Solution</v>
      </c>
      <c r="I144" s="25" t="str">
        <f>IFERROR(__xludf.DUMMYFUNCTION("""COMPUTED_VALUE"""),"–")</f>
        <v>–</v>
      </c>
      <c r="J144" s="25" t="str">
        <f>IFERROR(__xludf.DUMMYFUNCTION("""COMPUTED_VALUE"""),"–")</f>
        <v>–</v>
      </c>
      <c r="K144" s="25" t="str">
        <f>IFERROR(__xludf.DUMMYFUNCTION("""COMPUTED_VALUE"""),"–")</f>
        <v>–</v>
      </c>
      <c r="L144" s="25" t="str">
        <f>IFERROR(__xludf.DUMMYFUNCTION("""COMPUTED_VALUE"""),"Primer")</f>
        <v>Primer</v>
      </c>
      <c r="M144" s="25" t="str">
        <f>IFERROR(__xludf.DUMMYFUNCTION("""COMPUTED_VALUE"""),"Kg")</f>
        <v>Kg</v>
      </c>
    </row>
    <row r="145">
      <c r="A145" s="25" t="str">
        <f>IFERROR(__xludf.DUMMYFUNCTION("""COMPUTED_VALUE"""),"CH-SOL-144")</f>
        <v>CH-SOL-144</v>
      </c>
      <c r="B145" s="25" t="str">
        <f>IFERROR(__xludf.DUMMYFUNCTION("""COMPUTED_VALUE"""),"Out")</f>
        <v>Out</v>
      </c>
      <c r="C145" s="257">
        <f>IFERROR(__xludf.DUMMYFUNCTION("""COMPUTED_VALUE"""),46258.0)</f>
        <v>46258</v>
      </c>
      <c r="D145" s="25">
        <f>IFERROR(__xludf.DUMMYFUNCTION("""COMPUTED_VALUE"""),20.0)</f>
        <v>20</v>
      </c>
      <c r="E145" s="25"/>
      <c r="F145" s="25" t="str">
        <f>IFERROR(__xludf.DUMMYFUNCTION("""COMPUTED_VALUE"""),"Benzene")</f>
        <v>Benzene</v>
      </c>
      <c r="G145" s="25" t="str">
        <f>IFERROR(__xludf.DUMMYFUNCTION("""COMPUTED_VALUE"""),"Chemical")</f>
        <v>Chemical</v>
      </c>
      <c r="H145" s="25" t="str">
        <f>IFERROR(__xludf.DUMMYFUNCTION("""COMPUTED_VALUE"""),"Solution")</f>
        <v>Solution</v>
      </c>
      <c r="I145" s="25" t="str">
        <f>IFERROR(__xludf.DUMMYFUNCTION("""COMPUTED_VALUE"""),"–")</f>
        <v>–</v>
      </c>
      <c r="J145" s="25" t="str">
        <f>IFERROR(__xludf.DUMMYFUNCTION("""COMPUTED_VALUE"""),"–")</f>
        <v>–</v>
      </c>
      <c r="K145" s="25" t="str">
        <f>IFERROR(__xludf.DUMMYFUNCTION("""COMPUTED_VALUE"""),"–")</f>
        <v>–</v>
      </c>
      <c r="L145" s="25" t="str">
        <f>IFERROR(__xludf.DUMMYFUNCTION("""COMPUTED_VALUE"""),"Chemical")</f>
        <v>Chemical</v>
      </c>
      <c r="M145" s="25" t="str">
        <f>IFERROR(__xludf.DUMMYFUNCTION("""COMPUTED_VALUE"""),"Ltr")</f>
        <v>Ltr</v>
      </c>
    </row>
    <row r="146">
      <c r="A146" s="25" t="str">
        <f>IFERROR(__xludf.DUMMYFUNCTION("""COMPUTED_VALUE"""),"CH-SOL-143")</f>
        <v>CH-SOL-143</v>
      </c>
      <c r="B146" s="25" t="str">
        <f>IFERROR(__xludf.DUMMYFUNCTION("""COMPUTED_VALUE"""),"Out")</f>
        <v>Out</v>
      </c>
      <c r="C146" s="257">
        <f>IFERROR(__xludf.DUMMYFUNCTION("""COMPUTED_VALUE"""),46258.0)</f>
        <v>46258</v>
      </c>
      <c r="D146" s="25">
        <f>IFERROR(__xludf.DUMMYFUNCTION("""COMPUTED_VALUE"""),2.0)</f>
        <v>2</v>
      </c>
      <c r="E146" s="25"/>
      <c r="F146" s="25" t="str">
        <f>IFERROR(__xludf.DUMMYFUNCTION("""COMPUTED_VALUE"""),"Plate Cleaner UV")</f>
        <v>Plate Cleaner UV</v>
      </c>
      <c r="G146" s="25" t="str">
        <f>IFERROR(__xludf.DUMMYFUNCTION("""COMPUTED_VALUE"""),"Chemical")</f>
        <v>Chemical</v>
      </c>
      <c r="H146" s="25" t="str">
        <f>IFERROR(__xludf.DUMMYFUNCTION("""COMPUTED_VALUE"""),"Solution")</f>
        <v>Solution</v>
      </c>
      <c r="I146" s="25" t="str">
        <f>IFERROR(__xludf.DUMMYFUNCTION("""COMPUTED_VALUE"""),"–")</f>
        <v>–</v>
      </c>
      <c r="J146" s="25" t="str">
        <f>IFERROR(__xludf.DUMMYFUNCTION("""COMPUTED_VALUE"""),"–")</f>
        <v>–</v>
      </c>
      <c r="K146" s="25" t="str">
        <f>IFERROR(__xludf.DUMMYFUNCTION("""COMPUTED_VALUE"""),"–")</f>
        <v>–</v>
      </c>
      <c r="L146" s="25" t="str">
        <f>IFERROR(__xludf.DUMMYFUNCTION("""COMPUTED_VALUE"""),"Hard Gp")</f>
        <v>Hard Gp</v>
      </c>
      <c r="M146" s="25" t="str">
        <f>IFERROR(__xludf.DUMMYFUNCTION("""COMPUTED_VALUE"""),"Ltr")</f>
        <v>Ltr</v>
      </c>
    </row>
    <row r="147">
      <c r="A147" s="25" t="str">
        <f>IFERROR(__xludf.DUMMYFUNCTION("""COMPUTED_VALUE"""),"CH-SOL-143")</f>
        <v>CH-SOL-143</v>
      </c>
      <c r="B147" s="25" t="str">
        <f>IFERROR(__xludf.DUMMYFUNCTION("""COMPUTED_VALUE"""),"Out")</f>
        <v>Out</v>
      </c>
      <c r="C147" s="257">
        <f>IFERROR(__xludf.DUMMYFUNCTION("""COMPUTED_VALUE"""),46258.0)</f>
        <v>46258</v>
      </c>
      <c r="D147" s="25">
        <f>IFERROR(__xludf.DUMMYFUNCTION("""COMPUTED_VALUE"""),2.0)</f>
        <v>2</v>
      </c>
      <c r="E147" s="25"/>
      <c r="F147" s="25" t="str">
        <f>IFERROR(__xludf.DUMMYFUNCTION("""COMPUTED_VALUE"""),"Plate Cleaner UV")</f>
        <v>Plate Cleaner UV</v>
      </c>
      <c r="G147" s="25" t="str">
        <f>IFERROR(__xludf.DUMMYFUNCTION("""COMPUTED_VALUE"""),"Chemical")</f>
        <v>Chemical</v>
      </c>
      <c r="H147" s="25" t="str">
        <f>IFERROR(__xludf.DUMMYFUNCTION("""COMPUTED_VALUE"""),"Solution")</f>
        <v>Solution</v>
      </c>
      <c r="I147" s="25" t="str">
        <f>IFERROR(__xludf.DUMMYFUNCTION("""COMPUTED_VALUE"""),"–")</f>
        <v>–</v>
      </c>
      <c r="J147" s="25" t="str">
        <f>IFERROR(__xludf.DUMMYFUNCTION("""COMPUTED_VALUE"""),"–")</f>
        <v>–</v>
      </c>
      <c r="K147" s="25" t="str">
        <f>IFERROR(__xludf.DUMMYFUNCTION("""COMPUTED_VALUE"""),"–")</f>
        <v>–</v>
      </c>
      <c r="L147" s="25" t="str">
        <f>IFERROR(__xludf.DUMMYFUNCTION("""COMPUTED_VALUE"""),"Hard Gp")</f>
        <v>Hard Gp</v>
      </c>
      <c r="M147" s="25" t="str">
        <f>IFERROR(__xludf.DUMMYFUNCTION("""COMPUTED_VALUE"""),"Ltr")</f>
        <v>Ltr</v>
      </c>
    </row>
    <row r="148">
      <c r="A148" s="25" t="str">
        <f>IFERROR(__xludf.DUMMYFUNCTION("""COMPUTED_VALUE"""),"CH-SOL-142")</f>
        <v>CH-SOL-142</v>
      </c>
      <c r="B148" s="25" t="str">
        <f>IFERROR(__xludf.DUMMYFUNCTION("""COMPUTED_VALUE"""),"Out")</f>
        <v>Out</v>
      </c>
      <c r="C148" s="257">
        <f>IFERROR(__xludf.DUMMYFUNCTION("""COMPUTED_VALUE"""),46258.0)</f>
        <v>46258</v>
      </c>
      <c r="D148" s="25">
        <f>IFERROR(__xludf.DUMMYFUNCTION("""COMPUTED_VALUE"""),5.0)</f>
        <v>5</v>
      </c>
      <c r="E148" s="25"/>
      <c r="F148" s="25" t="str">
        <f>IFERROR(__xludf.DUMMYFUNCTION("""COMPUTED_VALUE"""),"Plate Cleaner Normal")</f>
        <v>Plate Cleaner Normal</v>
      </c>
      <c r="G148" s="25" t="str">
        <f>IFERROR(__xludf.DUMMYFUNCTION("""COMPUTED_VALUE"""),"Chemical")</f>
        <v>Chemical</v>
      </c>
      <c r="H148" s="25" t="str">
        <f>IFERROR(__xludf.DUMMYFUNCTION("""COMPUTED_VALUE"""),"Solution")</f>
        <v>Solution</v>
      </c>
      <c r="I148" s="25" t="str">
        <f>IFERROR(__xludf.DUMMYFUNCTION("""COMPUTED_VALUE"""),"–")</f>
        <v>–</v>
      </c>
      <c r="J148" s="25" t="str">
        <f>IFERROR(__xludf.DUMMYFUNCTION("""COMPUTED_VALUE"""),"–")</f>
        <v>–</v>
      </c>
      <c r="K148" s="25" t="str">
        <f>IFERROR(__xludf.DUMMYFUNCTION("""COMPUTED_VALUE"""),"–")</f>
        <v>–</v>
      </c>
      <c r="L148" s="25" t="str">
        <f>IFERROR(__xludf.DUMMYFUNCTION("""COMPUTED_VALUE"""),"Normal Gp")</f>
        <v>Normal Gp</v>
      </c>
      <c r="M148" s="25" t="str">
        <f>IFERROR(__xludf.DUMMYFUNCTION("""COMPUTED_VALUE"""),"Ltr")</f>
        <v>Ltr</v>
      </c>
    </row>
    <row r="149">
      <c r="A149" s="25" t="str">
        <f>IFERROR(__xludf.DUMMYFUNCTION("""COMPUTED_VALUE"""),"CH-SOL-179")</f>
        <v>CH-SOL-179</v>
      </c>
      <c r="B149" s="25" t="str">
        <f>IFERROR(__xludf.DUMMYFUNCTION("""COMPUTED_VALUE"""),"Out")</f>
        <v>Out</v>
      </c>
      <c r="C149" s="257">
        <f>IFERROR(__xludf.DUMMYFUNCTION("""COMPUTED_VALUE"""),46258.0)</f>
        <v>46258</v>
      </c>
      <c r="D149" s="25">
        <f>IFERROR(__xludf.DUMMYFUNCTION("""COMPUTED_VALUE"""),25.0)</f>
        <v>25</v>
      </c>
      <c r="E149" s="25"/>
      <c r="F149" s="25" t="str">
        <f>IFERROR(__xludf.DUMMYFUNCTION("""COMPUTED_VALUE"""),"New V FD Wash(Hard Wash)-HPC-0237/25D21")</f>
        <v>New V FD Wash(Hard Wash)-HPC-0237/25D21</v>
      </c>
      <c r="G149" s="25" t="str">
        <f>IFERROR(__xludf.DUMMYFUNCTION("""COMPUTED_VALUE"""),"Chemical")</f>
        <v>Chemical</v>
      </c>
      <c r="H149" s="25" t="str">
        <f>IFERROR(__xludf.DUMMYFUNCTION("""COMPUTED_VALUE"""),"Solution")</f>
        <v>Solution</v>
      </c>
      <c r="I149" s="25" t="str">
        <f>IFERROR(__xludf.DUMMYFUNCTION("""COMPUTED_VALUE"""),"–")</f>
        <v>–</v>
      </c>
      <c r="J149" s="25" t="str">
        <f>IFERROR(__xludf.DUMMYFUNCTION("""COMPUTED_VALUE"""),"–")</f>
        <v>–</v>
      </c>
      <c r="K149" s="25" t="str">
        <f>IFERROR(__xludf.DUMMYFUNCTION("""COMPUTED_VALUE"""),"–")</f>
        <v>–</v>
      </c>
      <c r="L149" s="25" t="str">
        <f>IFERROR(__xludf.DUMMYFUNCTION("""COMPUTED_VALUE"""),"Hard Wash")</f>
        <v>Hard Wash</v>
      </c>
      <c r="M149" s="25" t="str">
        <f>IFERROR(__xludf.DUMMYFUNCTION("""COMPUTED_VALUE"""),"Ltr")</f>
        <v>Ltr</v>
      </c>
    </row>
    <row r="150">
      <c r="A150" s="25" t="str">
        <f>IFERROR(__xludf.DUMMYFUNCTION("""COMPUTED_VALUE"""),"CH-SOL-268")</f>
        <v>CH-SOL-268</v>
      </c>
      <c r="B150" s="25" t="str">
        <f>IFERROR(__xludf.DUMMYFUNCTION("""COMPUTED_VALUE"""),"Out")</f>
        <v>Out</v>
      </c>
      <c r="C150" s="257">
        <f>IFERROR(__xludf.DUMMYFUNCTION("""COMPUTED_VALUE"""),46258.0)</f>
        <v>46258</v>
      </c>
      <c r="D150" s="25">
        <f>IFERROR(__xludf.DUMMYFUNCTION("""COMPUTED_VALUE"""),5.0)</f>
        <v>5</v>
      </c>
      <c r="E150" s="25"/>
      <c r="F150" s="25" t="str">
        <f>IFERROR(__xludf.DUMMYFUNCTION("""COMPUTED_VALUE"""),"Screen Clearning Aid Amyle")</f>
        <v>Screen Clearning Aid Amyle</v>
      </c>
      <c r="G150" s="25" t="str">
        <f>IFERROR(__xludf.DUMMYFUNCTION("""COMPUTED_VALUE"""),"Chemical")</f>
        <v>Chemical</v>
      </c>
      <c r="H150" s="25" t="str">
        <f>IFERROR(__xludf.DUMMYFUNCTION("""COMPUTED_VALUE"""),"Solution")</f>
        <v>Solution</v>
      </c>
      <c r="I150" s="25" t="str">
        <f>IFERROR(__xludf.DUMMYFUNCTION("""COMPUTED_VALUE"""),"–")</f>
        <v>–</v>
      </c>
      <c r="J150" s="25" t="str">
        <f>IFERROR(__xludf.DUMMYFUNCTION("""COMPUTED_VALUE"""),"–")</f>
        <v>–</v>
      </c>
      <c r="K150" s="25" t="str">
        <f>IFERROR(__xludf.DUMMYFUNCTION("""COMPUTED_VALUE"""),"–")</f>
        <v>–</v>
      </c>
      <c r="L150" s="25" t="str">
        <f>IFERROR(__xludf.DUMMYFUNCTION("""COMPUTED_VALUE"""),"–")</f>
        <v>–</v>
      </c>
      <c r="M150" s="25" t="str">
        <f>IFERROR(__xludf.DUMMYFUNCTION("""COMPUTED_VALUE"""),"Pc")</f>
        <v>Pc</v>
      </c>
    </row>
    <row r="151">
      <c r="A151" s="25" t="str">
        <f>IFERROR(__xludf.DUMMYFUNCTION("""COMPUTED_VALUE"""),"CH-SOL-240")</f>
        <v>CH-SOL-240</v>
      </c>
      <c r="B151" s="25" t="str">
        <f>IFERROR(__xludf.DUMMYFUNCTION("""COMPUTED_VALUE"""),"Out")</f>
        <v>Out</v>
      </c>
      <c r="C151" s="257">
        <f>IFERROR(__xludf.DUMMYFUNCTION("""COMPUTED_VALUE"""),46267.0)</f>
        <v>46267</v>
      </c>
      <c r="D151" s="25">
        <f>IFERROR(__xludf.DUMMYFUNCTION("""COMPUTED_VALUE"""),20.0)</f>
        <v>20</v>
      </c>
      <c r="E151" s="25"/>
      <c r="F151" s="25" t="str">
        <f>IFERROR(__xludf.DUMMYFUNCTION("""COMPUTED_VALUE"""),"NOVA Fount Nectar")</f>
        <v>NOVA Fount Nectar</v>
      </c>
      <c r="G151" s="25" t="str">
        <f>IFERROR(__xludf.DUMMYFUNCTION("""COMPUTED_VALUE"""),"Chemical")</f>
        <v>Chemical</v>
      </c>
      <c r="H151" s="25" t="str">
        <f>IFERROR(__xludf.DUMMYFUNCTION("""COMPUTED_VALUE"""),"Solution")</f>
        <v>Solution</v>
      </c>
      <c r="I151" s="25" t="str">
        <f>IFERROR(__xludf.DUMMYFUNCTION("""COMPUTED_VALUE"""),"–")</f>
        <v>–</v>
      </c>
      <c r="J151" s="25" t="str">
        <f>IFERROR(__xludf.DUMMYFUNCTION("""COMPUTED_VALUE"""),"–")</f>
        <v>–</v>
      </c>
      <c r="K151" s="25" t="str">
        <f>IFERROR(__xludf.DUMMYFUNCTION("""COMPUTED_VALUE"""),"–")</f>
        <v>–</v>
      </c>
      <c r="L151" s="25" t="str">
        <f>IFERROR(__xludf.DUMMYFUNCTION("""COMPUTED_VALUE"""),"Fount")</f>
        <v>Fount</v>
      </c>
      <c r="M151" s="25" t="str">
        <f>IFERROR(__xludf.DUMMYFUNCTION("""COMPUTED_VALUE"""),"Kg")</f>
        <v>Kg</v>
      </c>
    </row>
    <row r="152">
      <c r="A152" s="25" t="str">
        <f>IFERROR(__xludf.DUMMYFUNCTION("""COMPUTED_VALUE"""),"CH-SOL-143")</f>
        <v>CH-SOL-143</v>
      </c>
      <c r="B152" s="25" t="str">
        <f>IFERROR(__xludf.DUMMYFUNCTION("""COMPUTED_VALUE"""),"Out")</f>
        <v>Out</v>
      </c>
      <c r="C152" s="257">
        <f>IFERROR(__xludf.DUMMYFUNCTION("""COMPUTED_VALUE"""),46267.0)</f>
        <v>46267</v>
      </c>
      <c r="D152" s="25">
        <f>IFERROR(__xludf.DUMMYFUNCTION("""COMPUTED_VALUE"""),3.0)</f>
        <v>3</v>
      </c>
      <c r="E152" s="25"/>
      <c r="F152" s="25" t="str">
        <f>IFERROR(__xludf.DUMMYFUNCTION("""COMPUTED_VALUE"""),"Plate Cleaner UV")</f>
        <v>Plate Cleaner UV</v>
      </c>
      <c r="G152" s="25" t="str">
        <f>IFERROR(__xludf.DUMMYFUNCTION("""COMPUTED_VALUE"""),"Chemical")</f>
        <v>Chemical</v>
      </c>
      <c r="H152" s="25" t="str">
        <f>IFERROR(__xludf.DUMMYFUNCTION("""COMPUTED_VALUE"""),"Solution")</f>
        <v>Solution</v>
      </c>
      <c r="I152" s="25" t="str">
        <f>IFERROR(__xludf.DUMMYFUNCTION("""COMPUTED_VALUE"""),"–")</f>
        <v>–</v>
      </c>
      <c r="J152" s="25" t="str">
        <f>IFERROR(__xludf.DUMMYFUNCTION("""COMPUTED_VALUE"""),"–")</f>
        <v>–</v>
      </c>
      <c r="K152" s="25" t="str">
        <f>IFERROR(__xludf.DUMMYFUNCTION("""COMPUTED_VALUE"""),"–")</f>
        <v>–</v>
      </c>
      <c r="L152" s="25" t="str">
        <f>IFERROR(__xludf.DUMMYFUNCTION("""COMPUTED_VALUE"""),"Hard Gp")</f>
        <v>Hard Gp</v>
      </c>
      <c r="M152" s="25" t="str">
        <f>IFERROR(__xludf.DUMMYFUNCTION("""COMPUTED_VALUE"""),"Ltr")</f>
        <v>Ltr</v>
      </c>
    </row>
    <row r="153">
      <c r="A153" s="25" t="str">
        <f>IFERROR(__xludf.DUMMYFUNCTION("""COMPUTED_VALUE"""),"CH-SOL-118")</f>
        <v>CH-SOL-118</v>
      </c>
      <c r="B153" s="25" t="str">
        <f>IFERROR(__xludf.DUMMYFUNCTION("""COMPUTED_VALUE"""),"Out")</f>
        <v>Out</v>
      </c>
      <c r="C153" s="257">
        <f>IFERROR(__xludf.DUMMYFUNCTION("""COMPUTED_VALUE"""),46268.0)</f>
        <v>46268</v>
      </c>
      <c r="D153" s="25">
        <f>IFERROR(__xludf.DUMMYFUNCTION("""COMPUTED_VALUE"""),4.0)</f>
        <v>4</v>
      </c>
      <c r="E153" s="25"/>
      <c r="F153" s="25" t="str">
        <f>IFERROR(__xludf.DUMMYFUNCTION("""COMPUTED_VALUE"""),"Anti Set off spray")</f>
        <v>Anti Set off spray</v>
      </c>
      <c r="G153" s="25" t="str">
        <f>IFERROR(__xludf.DUMMYFUNCTION("""COMPUTED_VALUE"""),"Chemical")</f>
        <v>Chemical</v>
      </c>
      <c r="H153" s="25" t="str">
        <f>IFERROR(__xludf.DUMMYFUNCTION("""COMPUTED_VALUE"""),"Solution")</f>
        <v>Solution</v>
      </c>
      <c r="I153" s="25" t="str">
        <f>IFERROR(__xludf.DUMMYFUNCTION("""COMPUTED_VALUE"""),"–")</f>
        <v>–</v>
      </c>
      <c r="J153" s="25" t="str">
        <f>IFERROR(__xludf.DUMMYFUNCTION("""COMPUTED_VALUE"""),"–")</f>
        <v>–</v>
      </c>
      <c r="K153" s="25" t="str">
        <f>IFERROR(__xludf.DUMMYFUNCTION("""COMPUTED_VALUE"""),"–")</f>
        <v>–</v>
      </c>
      <c r="L153" s="25" t="str">
        <f>IFERROR(__xludf.DUMMYFUNCTION("""COMPUTED_VALUE"""),"–")</f>
        <v>–</v>
      </c>
      <c r="M153" s="25" t="str">
        <f>IFERROR(__xludf.DUMMYFUNCTION("""COMPUTED_VALUE"""),"Pkt")</f>
        <v>Pkt</v>
      </c>
    </row>
    <row r="154">
      <c r="A154" s="25" t="str">
        <f>IFERROR(__xludf.DUMMYFUNCTION("""COMPUTED_VALUE"""),"CH-SOL-144")</f>
        <v>CH-SOL-144</v>
      </c>
      <c r="B154" s="25" t="str">
        <f>IFERROR(__xludf.DUMMYFUNCTION("""COMPUTED_VALUE"""),"Out")</f>
        <v>Out</v>
      </c>
      <c r="C154" s="257">
        <f>IFERROR(__xludf.DUMMYFUNCTION("""COMPUTED_VALUE"""),46268.0)</f>
        <v>46268</v>
      </c>
      <c r="D154" s="25">
        <f>IFERROR(__xludf.DUMMYFUNCTION("""COMPUTED_VALUE"""),5.0)</f>
        <v>5</v>
      </c>
      <c r="E154" s="25"/>
      <c r="F154" s="25" t="str">
        <f>IFERROR(__xludf.DUMMYFUNCTION("""COMPUTED_VALUE"""),"Benzene")</f>
        <v>Benzene</v>
      </c>
      <c r="G154" s="25" t="str">
        <f>IFERROR(__xludf.DUMMYFUNCTION("""COMPUTED_VALUE"""),"Chemical")</f>
        <v>Chemical</v>
      </c>
      <c r="H154" s="25" t="str">
        <f>IFERROR(__xludf.DUMMYFUNCTION("""COMPUTED_VALUE"""),"Solution")</f>
        <v>Solution</v>
      </c>
      <c r="I154" s="25" t="str">
        <f>IFERROR(__xludf.DUMMYFUNCTION("""COMPUTED_VALUE"""),"–")</f>
        <v>–</v>
      </c>
      <c r="J154" s="25" t="str">
        <f>IFERROR(__xludf.DUMMYFUNCTION("""COMPUTED_VALUE"""),"–")</f>
        <v>–</v>
      </c>
      <c r="K154" s="25" t="str">
        <f>IFERROR(__xludf.DUMMYFUNCTION("""COMPUTED_VALUE"""),"–")</f>
        <v>–</v>
      </c>
      <c r="L154" s="25" t="str">
        <f>IFERROR(__xludf.DUMMYFUNCTION("""COMPUTED_VALUE"""),"Chemical")</f>
        <v>Chemical</v>
      </c>
      <c r="M154" s="25" t="str">
        <f>IFERROR(__xludf.DUMMYFUNCTION("""COMPUTED_VALUE"""),"Ltr")</f>
        <v>Ltr</v>
      </c>
    </row>
    <row r="155">
      <c r="A155" s="25" t="str">
        <f>IFERROR(__xludf.DUMMYFUNCTION("""COMPUTED_VALUE"""),"CH-SOL-116")</f>
        <v>CH-SOL-116</v>
      </c>
      <c r="B155" s="25" t="str">
        <f>IFERROR(__xludf.DUMMYFUNCTION("""COMPUTED_VALUE"""),"Out")</f>
        <v>Out</v>
      </c>
      <c r="C155" s="257">
        <f>IFERROR(__xludf.DUMMYFUNCTION("""COMPUTED_VALUE"""),46268.0)</f>
        <v>46268</v>
      </c>
      <c r="D155" s="25">
        <f>IFERROR(__xludf.DUMMYFUNCTION("""COMPUTED_VALUE"""),20.0)</f>
        <v>20</v>
      </c>
      <c r="E155" s="25" t="str">
        <f>IFERROR(__xludf.DUMMYFUNCTION("""COMPUTED_VALUE"""),"2/C")</f>
        <v>2/C</v>
      </c>
      <c r="F155" s="25" t="str">
        <f>IFERROR(__xludf.DUMMYFUNCTION("""COMPUTED_VALUE"""),"Nova Nol Xtra")</f>
        <v>Nova Nol Xtra</v>
      </c>
      <c r="G155" s="25" t="str">
        <f>IFERROR(__xludf.DUMMYFUNCTION("""COMPUTED_VALUE"""),"Chemical")</f>
        <v>Chemical</v>
      </c>
      <c r="H155" s="25" t="str">
        <f>IFERROR(__xludf.DUMMYFUNCTION("""COMPUTED_VALUE"""),"Solution")</f>
        <v>Solution</v>
      </c>
      <c r="I155" s="25" t="str">
        <f>IFERROR(__xludf.DUMMYFUNCTION("""COMPUTED_VALUE"""),"–")</f>
        <v>–</v>
      </c>
      <c r="J155" s="25" t="str">
        <f>IFERROR(__xludf.DUMMYFUNCTION("""COMPUTED_VALUE"""),"–")</f>
        <v>–</v>
      </c>
      <c r="K155" s="25" t="str">
        <f>IFERROR(__xludf.DUMMYFUNCTION("""COMPUTED_VALUE"""),"–")</f>
        <v>–</v>
      </c>
      <c r="L155" s="25" t="str">
        <f>IFERROR(__xludf.DUMMYFUNCTION("""COMPUTED_VALUE"""),"Alcohol")</f>
        <v>Alcohol</v>
      </c>
      <c r="M155" s="25" t="str">
        <f>IFERROR(__xludf.DUMMYFUNCTION("""COMPUTED_VALUE"""),"Ltr")</f>
        <v>Ltr</v>
      </c>
    </row>
    <row r="156">
      <c r="A156" s="25" t="str">
        <f>IFERROR(__xludf.DUMMYFUNCTION("""COMPUTED_VALUE"""),"CH-SOL-144")</f>
        <v>CH-SOL-144</v>
      </c>
      <c r="B156" s="25" t="str">
        <f>IFERROR(__xludf.DUMMYFUNCTION("""COMPUTED_VALUE"""),"Out")</f>
        <v>Out</v>
      </c>
      <c r="C156" s="257">
        <f>IFERROR(__xludf.DUMMYFUNCTION("""COMPUTED_VALUE"""),46268.0)</f>
        <v>46268</v>
      </c>
      <c r="D156" s="25">
        <f>IFERROR(__xludf.DUMMYFUNCTION("""COMPUTED_VALUE"""),5.0)</f>
        <v>5</v>
      </c>
      <c r="E156" s="25" t="str">
        <f>IFERROR(__xludf.DUMMYFUNCTION("""COMPUTED_VALUE"""),"2/C")</f>
        <v>2/C</v>
      </c>
      <c r="F156" s="25" t="str">
        <f>IFERROR(__xludf.DUMMYFUNCTION("""COMPUTED_VALUE"""),"Benzene")</f>
        <v>Benzene</v>
      </c>
      <c r="G156" s="25" t="str">
        <f>IFERROR(__xludf.DUMMYFUNCTION("""COMPUTED_VALUE"""),"Chemical")</f>
        <v>Chemical</v>
      </c>
      <c r="H156" s="25" t="str">
        <f>IFERROR(__xludf.DUMMYFUNCTION("""COMPUTED_VALUE"""),"Solution")</f>
        <v>Solution</v>
      </c>
      <c r="I156" s="25" t="str">
        <f>IFERROR(__xludf.DUMMYFUNCTION("""COMPUTED_VALUE"""),"–")</f>
        <v>–</v>
      </c>
      <c r="J156" s="25" t="str">
        <f>IFERROR(__xludf.DUMMYFUNCTION("""COMPUTED_VALUE"""),"–")</f>
        <v>–</v>
      </c>
      <c r="K156" s="25" t="str">
        <f>IFERROR(__xludf.DUMMYFUNCTION("""COMPUTED_VALUE"""),"–")</f>
        <v>–</v>
      </c>
      <c r="L156" s="25" t="str">
        <f>IFERROR(__xludf.DUMMYFUNCTION("""COMPUTED_VALUE"""),"Chemical")</f>
        <v>Chemical</v>
      </c>
      <c r="M156" s="25" t="str">
        <f>IFERROR(__xludf.DUMMYFUNCTION("""COMPUTED_VALUE"""),"Ltr")</f>
        <v>Ltr</v>
      </c>
    </row>
    <row r="157">
      <c r="A157" s="25" t="str">
        <f>IFERROR(__xludf.DUMMYFUNCTION("""COMPUTED_VALUE"""),"CH-SOL-142")</f>
        <v>CH-SOL-142</v>
      </c>
      <c r="B157" s="25" t="str">
        <f>IFERROR(__xludf.DUMMYFUNCTION("""COMPUTED_VALUE"""),"Out")</f>
        <v>Out</v>
      </c>
      <c r="C157" s="257">
        <f>IFERROR(__xludf.DUMMYFUNCTION("""COMPUTED_VALUE"""),46266.0)</f>
        <v>46266</v>
      </c>
      <c r="D157" s="25">
        <f>IFERROR(__xludf.DUMMYFUNCTION("""COMPUTED_VALUE"""),5.0)</f>
        <v>5</v>
      </c>
      <c r="E157" s="25"/>
      <c r="F157" s="25" t="str">
        <f>IFERROR(__xludf.DUMMYFUNCTION("""COMPUTED_VALUE"""),"Plate Cleaner Normal")</f>
        <v>Plate Cleaner Normal</v>
      </c>
      <c r="G157" s="25" t="str">
        <f>IFERROR(__xludf.DUMMYFUNCTION("""COMPUTED_VALUE"""),"Chemical")</f>
        <v>Chemical</v>
      </c>
      <c r="H157" s="25" t="str">
        <f>IFERROR(__xludf.DUMMYFUNCTION("""COMPUTED_VALUE"""),"Solution")</f>
        <v>Solution</v>
      </c>
      <c r="I157" s="25" t="str">
        <f>IFERROR(__xludf.DUMMYFUNCTION("""COMPUTED_VALUE"""),"–")</f>
        <v>–</v>
      </c>
      <c r="J157" s="25" t="str">
        <f>IFERROR(__xludf.DUMMYFUNCTION("""COMPUTED_VALUE"""),"–")</f>
        <v>–</v>
      </c>
      <c r="K157" s="25" t="str">
        <f>IFERROR(__xludf.DUMMYFUNCTION("""COMPUTED_VALUE"""),"–")</f>
        <v>–</v>
      </c>
      <c r="L157" s="25" t="str">
        <f>IFERROR(__xludf.DUMMYFUNCTION("""COMPUTED_VALUE"""),"Normal Gp")</f>
        <v>Normal Gp</v>
      </c>
      <c r="M157" s="25" t="str">
        <f>IFERROR(__xludf.DUMMYFUNCTION("""COMPUTED_VALUE"""),"Ltr")</f>
        <v>Ltr</v>
      </c>
    </row>
    <row r="158">
      <c r="A158" s="25" t="str">
        <f>IFERROR(__xludf.DUMMYFUNCTION("""COMPUTED_VALUE"""),"CH-SOL-142")</f>
        <v>CH-SOL-142</v>
      </c>
      <c r="B158" s="25" t="str">
        <f>IFERROR(__xludf.DUMMYFUNCTION("""COMPUTED_VALUE"""),"Out")</f>
        <v>Out</v>
      </c>
      <c r="C158" s="257">
        <f>IFERROR(__xludf.DUMMYFUNCTION("""COMPUTED_VALUE"""),46275.0)</f>
        <v>46275</v>
      </c>
      <c r="D158" s="25">
        <f>IFERROR(__xludf.DUMMYFUNCTION("""COMPUTED_VALUE"""),5.0)</f>
        <v>5</v>
      </c>
      <c r="E158" s="25"/>
      <c r="F158" s="25" t="str">
        <f>IFERROR(__xludf.DUMMYFUNCTION("""COMPUTED_VALUE"""),"Plate Cleaner Normal")</f>
        <v>Plate Cleaner Normal</v>
      </c>
      <c r="G158" s="25" t="str">
        <f>IFERROR(__xludf.DUMMYFUNCTION("""COMPUTED_VALUE"""),"Chemical")</f>
        <v>Chemical</v>
      </c>
      <c r="H158" s="25" t="str">
        <f>IFERROR(__xludf.DUMMYFUNCTION("""COMPUTED_VALUE"""),"Solution")</f>
        <v>Solution</v>
      </c>
      <c r="I158" s="25" t="str">
        <f>IFERROR(__xludf.DUMMYFUNCTION("""COMPUTED_VALUE"""),"–")</f>
        <v>–</v>
      </c>
      <c r="J158" s="25" t="str">
        <f>IFERROR(__xludf.DUMMYFUNCTION("""COMPUTED_VALUE"""),"–")</f>
        <v>–</v>
      </c>
      <c r="K158" s="25" t="str">
        <f>IFERROR(__xludf.DUMMYFUNCTION("""COMPUTED_VALUE"""),"–")</f>
        <v>–</v>
      </c>
      <c r="L158" s="25" t="str">
        <f>IFERROR(__xludf.DUMMYFUNCTION("""COMPUTED_VALUE"""),"Normal Gp")</f>
        <v>Normal Gp</v>
      </c>
      <c r="M158" s="25" t="str">
        <f>IFERROR(__xludf.DUMMYFUNCTION("""COMPUTED_VALUE"""),"Ltr")</f>
        <v>Ltr</v>
      </c>
    </row>
    <row r="159">
      <c r="A159" s="25" t="str">
        <f>IFERROR(__xludf.DUMMYFUNCTION("""COMPUTED_VALUE"""),"CH-VAR-134")</f>
        <v>CH-VAR-134</v>
      </c>
      <c r="B159" s="25" t="str">
        <f>IFERROR(__xludf.DUMMYFUNCTION("""COMPUTED_VALUE"""),"Out")</f>
        <v>Out</v>
      </c>
      <c r="C159" s="257">
        <f>IFERROR(__xludf.DUMMYFUNCTION("""COMPUTED_VALUE"""),46273.0)</f>
        <v>46273</v>
      </c>
      <c r="D159" s="25">
        <f>IFERROR(__xludf.DUMMYFUNCTION("""COMPUTED_VALUE"""),25.0)</f>
        <v>25</v>
      </c>
      <c r="E159" s="25"/>
      <c r="F159" s="25" t="str">
        <f>IFERROR(__xludf.DUMMYFUNCTION("""COMPUTED_VALUE"""),"TK/7000 AQUA High Gloss Varnish")</f>
        <v>TK/7000 AQUA High Gloss Varnish</v>
      </c>
      <c r="G159" s="25" t="str">
        <f>IFERROR(__xludf.DUMMYFUNCTION("""COMPUTED_VALUE"""),"Chemical")</f>
        <v>Chemical</v>
      </c>
      <c r="H159" s="25" t="str">
        <f>IFERROR(__xludf.DUMMYFUNCTION("""COMPUTED_VALUE"""),"Varnish")</f>
        <v>Varnish</v>
      </c>
      <c r="I159" s="25" t="str">
        <f>IFERROR(__xludf.DUMMYFUNCTION("""COMPUTED_VALUE"""),"–")</f>
        <v>–</v>
      </c>
      <c r="J159" s="25" t="str">
        <f>IFERROR(__xludf.DUMMYFUNCTION("""COMPUTED_VALUE"""),"–")</f>
        <v>–</v>
      </c>
      <c r="K159" s="25" t="str">
        <f>IFERROR(__xludf.DUMMYFUNCTION("""COMPUTED_VALUE"""),"–")</f>
        <v>–</v>
      </c>
      <c r="L159" s="25" t="str">
        <f>IFERROR(__xludf.DUMMYFUNCTION("""COMPUTED_VALUE"""),"High Gloss")</f>
        <v>High Gloss</v>
      </c>
      <c r="M159" s="25" t="str">
        <f>IFERROR(__xludf.DUMMYFUNCTION("""COMPUTED_VALUE"""),"Kg")</f>
        <v>Kg</v>
      </c>
    </row>
    <row r="160">
      <c r="A160" s="25" t="str">
        <f>IFERROR(__xludf.DUMMYFUNCTION("""COMPUTED_VALUE"""),"CH-SOL-142")</f>
        <v>CH-SOL-142</v>
      </c>
      <c r="B160" s="25" t="str">
        <f>IFERROR(__xludf.DUMMYFUNCTION("""COMPUTED_VALUE"""),"Out")</f>
        <v>Out</v>
      </c>
      <c r="C160" s="257">
        <f>IFERROR(__xludf.DUMMYFUNCTION("""COMPUTED_VALUE"""),46281.0)</f>
        <v>46281</v>
      </c>
      <c r="D160" s="25">
        <f>IFERROR(__xludf.DUMMYFUNCTION("""COMPUTED_VALUE"""),5.0)</f>
        <v>5</v>
      </c>
      <c r="E160" s="25"/>
      <c r="F160" s="25" t="str">
        <f>IFERROR(__xludf.DUMMYFUNCTION("""COMPUTED_VALUE"""),"Plate Cleaner Normal")</f>
        <v>Plate Cleaner Normal</v>
      </c>
      <c r="G160" s="25" t="str">
        <f>IFERROR(__xludf.DUMMYFUNCTION("""COMPUTED_VALUE"""),"Chemical")</f>
        <v>Chemical</v>
      </c>
      <c r="H160" s="25" t="str">
        <f>IFERROR(__xludf.DUMMYFUNCTION("""COMPUTED_VALUE"""),"Solution")</f>
        <v>Solution</v>
      </c>
      <c r="I160" s="25" t="str">
        <f>IFERROR(__xludf.DUMMYFUNCTION("""COMPUTED_VALUE"""),"–")</f>
        <v>–</v>
      </c>
      <c r="J160" s="25" t="str">
        <f>IFERROR(__xludf.DUMMYFUNCTION("""COMPUTED_VALUE"""),"–")</f>
        <v>–</v>
      </c>
      <c r="K160" s="25" t="str">
        <f>IFERROR(__xludf.DUMMYFUNCTION("""COMPUTED_VALUE"""),"–")</f>
        <v>–</v>
      </c>
      <c r="L160" s="25" t="str">
        <f>IFERROR(__xludf.DUMMYFUNCTION("""COMPUTED_VALUE"""),"Normal Gp")</f>
        <v>Normal Gp</v>
      </c>
      <c r="M160" s="25" t="str">
        <f>IFERROR(__xludf.DUMMYFUNCTION("""COMPUTED_VALUE"""),"Ltr")</f>
        <v>Ltr</v>
      </c>
    </row>
    <row r="161">
      <c r="A161" s="25" t="str">
        <f>IFERROR(__xludf.DUMMYFUNCTION("""COMPUTED_VALUE"""),"CH-GUM-135")</f>
        <v>CH-GUM-135</v>
      </c>
      <c r="B161" s="25" t="str">
        <f>IFERROR(__xludf.DUMMYFUNCTION("""COMPUTED_VALUE"""),"Out")</f>
        <v>Out</v>
      </c>
      <c r="C161" s="257">
        <f>IFERROR(__xludf.DUMMYFUNCTION("""COMPUTED_VALUE"""),46281.0)</f>
        <v>46281</v>
      </c>
      <c r="D161" s="25">
        <f>IFERROR(__xludf.DUMMYFUNCTION("""COMPUTED_VALUE"""),5.0)</f>
        <v>5</v>
      </c>
      <c r="E161" s="25"/>
      <c r="F161" s="25" t="str">
        <f>IFERROR(__xludf.DUMMYFUNCTION("""COMPUTED_VALUE"""),"Protection Gum")</f>
        <v>Protection Gum</v>
      </c>
      <c r="G161" s="25" t="str">
        <f>IFERROR(__xludf.DUMMYFUNCTION("""COMPUTED_VALUE"""),"Chemical")</f>
        <v>Chemical</v>
      </c>
      <c r="H161" s="25" t="str">
        <f>IFERROR(__xludf.DUMMYFUNCTION("""COMPUTED_VALUE"""),"Gum")</f>
        <v>Gum</v>
      </c>
      <c r="I161" s="25" t="str">
        <f>IFERROR(__xludf.DUMMYFUNCTION("""COMPUTED_VALUE"""),"–")</f>
        <v>–</v>
      </c>
      <c r="J161" s="25" t="str">
        <f>IFERROR(__xludf.DUMMYFUNCTION("""COMPUTED_VALUE"""),"–")</f>
        <v>–</v>
      </c>
      <c r="K161" s="25" t="str">
        <f>IFERROR(__xludf.DUMMYFUNCTION("""COMPUTED_VALUE"""),"–")</f>
        <v>–</v>
      </c>
      <c r="L161" s="25" t="str">
        <f>IFERROR(__xludf.DUMMYFUNCTION("""COMPUTED_VALUE"""),"–")</f>
        <v>–</v>
      </c>
      <c r="M161" s="25" t="str">
        <f>IFERROR(__xludf.DUMMYFUNCTION("""COMPUTED_VALUE"""),"Ltr")</f>
        <v>Ltr</v>
      </c>
    </row>
    <row r="162">
      <c r="A162" s="25" t="str">
        <f>IFERROR(__xludf.DUMMYFUNCTION("""COMPUTED_VALUE"""),"CH-SOL-116")</f>
        <v>CH-SOL-116</v>
      </c>
      <c r="B162" s="25" t="str">
        <f>IFERROR(__xludf.DUMMYFUNCTION("""COMPUTED_VALUE"""),"Out")</f>
        <v>Out</v>
      </c>
      <c r="C162" s="257">
        <f>IFERROR(__xludf.DUMMYFUNCTION("""COMPUTED_VALUE"""),46281.0)</f>
        <v>46281</v>
      </c>
      <c r="D162" s="25">
        <f>IFERROR(__xludf.DUMMYFUNCTION("""COMPUTED_VALUE"""),20.0)</f>
        <v>20</v>
      </c>
      <c r="E162" s="25"/>
      <c r="F162" s="25" t="str">
        <f>IFERROR(__xludf.DUMMYFUNCTION("""COMPUTED_VALUE"""),"Nova Nol Xtra")</f>
        <v>Nova Nol Xtra</v>
      </c>
      <c r="G162" s="25" t="str">
        <f>IFERROR(__xludf.DUMMYFUNCTION("""COMPUTED_VALUE"""),"Chemical")</f>
        <v>Chemical</v>
      </c>
      <c r="H162" s="25" t="str">
        <f>IFERROR(__xludf.DUMMYFUNCTION("""COMPUTED_VALUE"""),"Solution")</f>
        <v>Solution</v>
      </c>
      <c r="I162" s="25" t="str">
        <f>IFERROR(__xludf.DUMMYFUNCTION("""COMPUTED_VALUE"""),"–")</f>
        <v>–</v>
      </c>
      <c r="J162" s="25" t="str">
        <f>IFERROR(__xludf.DUMMYFUNCTION("""COMPUTED_VALUE"""),"–")</f>
        <v>–</v>
      </c>
      <c r="K162" s="25" t="str">
        <f>IFERROR(__xludf.DUMMYFUNCTION("""COMPUTED_VALUE"""),"–")</f>
        <v>–</v>
      </c>
      <c r="L162" s="25" t="str">
        <f>IFERROR(__xludf.DUMMYFUNCTION("""COMPUTED_VALUE"""),"Alcohol")</f>
        <v>Alcohol</v>
      </c>
      <c r="M162" s="25" t="str">
        <f>IFERROR(__xludf.DUMMYFUNCTION("""COMPUTED_VALUE"""),"Ltr")</f>
        <v>Ltr</v>
      </c>
    </row>
    <row r="163">
      <c r="B163" s="25"/>
      <c r="C163" s="257"/>
    </row>
    <row r="164">
      <c r="B164" s="25"/>
      <c r="C164" s="257"/>
    </row>
    <row r="165">
      <c r="B165" s="25"/>
      <c r="C165" s="257"/>
    </row>
    <row r="166">
      <c r="B166" s="25"/>
      <c r="C166" s="257"/>
    </row>
    <row r="167">
      <c r="B167" s="25"/>
      <c r="C167" s="257"/>
    </row>
    <row r="168">
      <c r="B168" s="25"/>
      <c r="C168" s="257"/>
    </row>
    <row r="169">
      <c r="B169" s="25"/>
      <c r="C169" s="257"/>
    </row>
    <row r="170">
      <c r="B170" s="25"/>
      <c r="C170" s="257"/>
    </row>
    <row r="171">
      <c r="B171" s="25"/>
      <c r="C171" s="257"/>
    </row>
    <row r="172">
      <c r="B172" s="25"/>
      <c r="C172" s="257"/>
    </row>
    <row r="173">
      <c r="B173" s="25"/>
      <c r="C173" s="257"/>
    </row>
    <row r="174">
      <c r="B174" s="25"/>
      <c r="C174" s="257"/>
    </row>
    <row r="175">
      <c r="B175" s="25"/>
      <c r="C175" s="257"/>
    </row>
    <row r="176">
      <c r="B176" s="25"/>
      <c r="C176" s="257"/>
    </row>
    <row r="177">
      <c r="B177" s="25"/>
      <c r="C177" s="257"/>
    </row>
    <row r="178">
      <c r="B178" s="25"/>
      <c r="C178" s="257"/>
    </row>
    <row r="179">
      <c r="B179" s="25"/>
      <c r="C179" s="257"/>
    </row>
    <row r="180">
      <c r="B180" s="25"/>
      <c r="C180" s="257"/>
    </row>
    <row r="181">
      <c r="B181" s="25"/>
      <c r="C181" s="257"/>
    </row>
    <row r="182">
      <c r="B182" s="25"/>
      <c r="C182" s="257"/>
    </row>
    <row r="183">
      <c r="B183" s="25"/>
      <c r="C183" s="257"/>
    </row>
    <row r="184">
      <c r="B184" s="25"/>
      <c r="C184" s="257"/>
    </row>
    <row r="185">
      <c r="B185" s="25"/>
      <c r="C185" s="257"/>
    </row>
    <row r="186">
      <c r="B186" s="25"/>
      <c r="C186" s="257"/>
    </row>
    <row r="187">
      <c r="B187" s="25"/>
      <c r="C187" s="257"/>
    </row>
    <row r="188">
      <c r="B188" s="25"/>
      <c r="C188" s="257"/>
    </row>
    <row r="189">
      <c r="B189" s="25"/>
      <c r="C189" s="257"/>
    </row>
    <row r="190">
      <c r="B190" s="25"/>
      <c r="C190" s="257"/>
    </row>
    <row r="191">
      <c r="B191" s="25"/>
      <c r="C191" s="257"/>
    </row>
    <row r="192">
      <c r="B192" s="25"/>
      <c r="C192" s="257"/>
    </row>
    <row r="193">
      <c r="B193" s="25"/>
      <c r="C193" s="257"/>
    </row>
    <row r="194">
      <c r="B194" s="25"/>
      <c r="C194" s="257"/>
    </row>
    <row r="195">
      <c r="B195" s="25"/>
      <c r="C195" s="257"/>
    </row>
    <row r="196">
      <c r="B196" s="25"/>
      <c r="C196" s="257"/>
    </row>
    <row r="197">
      <c r="B197" s="25"/>
      <c r="C197" s="257"/>
    </row>
    <row r="198">
      <c r="B198" s="25"/>
      <c r="C198" s="257"/>
    </row>
    <row r="199">
      <c r="B199" s="25"/>
      <c r="C199" s="257"/>
    </row>
    <row r="200">
      <c r="B200" s="25"/>
      <c r="C200" s="257"/>
    </row>
    <row r="201">
      <c r="B201" s="25"/>
      <c r="C201" s="257"/>
    </row>
    <row r="202">
      <c r="B202" s="25"/>
      <c r="C202" s="257"/>
    </row>
    <row r="203">
      <c r="B203" s="25"/>
      <c r="C203" s="257"/>
    </row>
    <row r="204">
      <c r="B204" s="25"/>
      <c r="C204" s="257"/>
    </row>
    <row r="205">
      <c r="B205" s="25"/>
      <c r="C205" s="257"/>
    </row>
    <row r="206">
      <c r="B206" s="25"/>
      <c r="C206" s="257"/>
    </row>
    <row r="207">
      <c r="B207" s="25"/>
      <c r="C207" s="257"/>
    </row>
    <row r="208">
      <c r="B208" s="25"/>
      <c r="C208" s="257"/>
    </row>
    <row r="209">
      <c r="B209" s="25"/>
      <c r="C209" s="257"/>
    </row>
    <row r="210">
      <c r="B210" s="25"/>
      <c r="C210" s="257"/>
    </row>
    <row r="211">
      <c r="B211" s="25"/>
      <c r="C211" s="257"/>
    </row>
    <row r="212">
      <c r="B212" s="25"/>
      <c r="C212" s="257"/>
    </row>
    <row r="213">
      <c r="B213" s="25"/>
      <c r="C213" s="257"/>
    </row>
    <row r="214">
      <c r="B214" s="25"/>
      <c r="C214" s="257"/>
    </row>
    <row r="215">
      <c r="B215" s="25"/>
      <c r="C215" s="257"/>
    </row>
    <row r="216">
      <c r="B216" s="25"/>
      <c r="C216" s="257"/>
    </row>
    <row r="217">
      <c r="B217" s="25"/>
      <c r="C217" s="257"/>
    </row>
    <row r="218">
      <c r="B218" s="25"/>
      <c r="C218" s="257"/>
    </row>
    <row r="219">
      <c r="B219" s="25"/>
      <c r="C219" s="257"/>
    </row>
    <row r="220">
      <c r="B220" s="25"/>
      <c r="C220" s="257"/>
    </row>
    <row r="221">
      <c r="B221" s="25"/>
      <c r="C221" s="257"/>
    </row>
    <row r="222">
      <c r="B222" s="25"/>
      <c r="C222" s="257"/>
    </row>
    <row r="223">
      <c r="B223" s="25"/>
      <c r="C223" s="257"/>
    </row>
    <row r="224">
      <c r="B224" s="25"/>
      <c r="C224" s="257"/>
    </row>
    <row r="225">
      <c r="B225" s="25"/>
      <c r="C225" s="257"/>
    </row>
    <row r="226">
      <c r="B226" s="25"/>
      <c r="C226" s="257"/>
    </row>
    <row r="227">
      <c r="B227" s="25"/>
      <c r="C227" s="257"/>
    </row>
    <row r="228">
      <c r="B228" s="25"/>
      <c r="C228" s="257"/>
    </row>
    <row r="229">
      <c r="B229" s="25"/>
      <c r="C229" s="257"/>
    </row>
    <row r="230">
      <c r="B230" s="25"/>
      <c r="C230" s="257"/>
    </row>
    <row r="231">
      <c r="B231" s="25"/>
      <c r="C231" s="257"/>
    </row>
    <row r="232">
      <c r="B232" s="25"/>
      <c r="C232" s="257"/>
    </row>
    <row r="233">
      <c r="B233" s="25"/>
      <c r="C233" s="257"/>
    </row>
    <row r="234">
      <c r="B234" s="25"/>
      <c r="C234" s="257"/>
    </row>
    <row r="235">
      <c r="B235" s="25"/>
      <c r="C235" s="257"/>
    </row>
    <row r="236">
      <c r="B236" s="25"/>
      <c r="C236" s="257"/>
    </row>
    <row r="237">
      <c r="B237" s="25"/>
      <c r="C237" s="257"/>
    </row>
    <row r="238">
      <c r="B238" s="25"/>
      <c r="C238" s="257"/>
    </row>
    <row r="239">
      <c r="B239" s="25"/>
      <c r="C239" s="257"/>
    </row>
    <row r="240">
      <c r="B240" s="25"/>
      <c r="C240" s="257"/>
    </row>
    <row r="241">
      <c r="B241" s="25"/>
      <c r="C241" s="257"/>
    </row>
    <row r="242">
      <c r="B242" s="25"/>
      <c r="C242" s="257"/>
    </row>
    <row r="243">
      <c r="B243" s="25"/>
      <c r="C243" s="257"/>
    </row>
    <row r="244">
      <c r="B244" s="25"/>
      <c r="C244" s="257"/>
    </row>
    <row r="245">
      <c r="B245" s="25"/>
      <c r="C245" s="257"/>
    </row>
    <row r="246">
      <c r="B246" s="25"/>
      <c r="C246" s="257"/>
    </row>
    <row r="247">
      <c r="B247" s="25"/>
      <c r="C247" s="257"/>
    </row>
    <row r="248">
      <c r="B248" s="25"/>
      <c r="C248" s="257"/>
    </row>
    <row r="249">
      <c r="B249" s="25"/>
      <c r="C249" s="257"/>
    </row>
    <row r="250">
      <c r="B250" s="25"/>
      <c r="C250" s="257"/>
    </row>
    <row r="251">
      <c r="B251" s="25"/>
      <c r="C251" s="257"/>
    </row>
    <row r="252">
      <c r="B252" s="25"/>
      <c r="C252" s="257"/>
    </row>
    <row r="253">
      <c r="B253" s="25"/>
      <c r="C253" s="257"/>
    </row>
    <row r="254">
      <c r="B254" s="25"/>
      <c r="C254" s="257"/>
    </row>
    <row r="255">
      <c r="B255" s="25"/>
      <c r="C255" s="257"/>
    </row>
    <row r="256">
      <c r="B256" s="25"/>
      <c r="C256" s="257"/>
    </row>
    <row r="257">
      <c r="B257" s="25"/>
      <c r="C257" s="257"/>
    </row>
    <row r="258">
      <c r="B258" s="25"/>
      <c r="C258" s="257"/>
    </row>
    <row r="259">
      <c r="B259" s="25"/>
      <c r="C259" s="257"/>
    </row>
    <row r="260">
      <c r="B260" s="25"/>
      <c r="C260" s="257"/>
    </row>
    <row r="261">
      <c r="B261" s="25"/>
      <c r="C261" s="257"/>
    </row>
    <row r="262">
      <c r="B262" s="25"/>
      <c r="C262" s="257"/>
    </row>
    <row r="263">
      <c r="B263" s="25"/>
      <c r="C263" s="257"/>
    </row>
    <row r="264">
      <c r="B264" s="25"/>
      <c r="C264" s="257"/>
    </row>
    <row r="265">
      <c r="B265" s="25"/>
      <c r="C265" s="257"/>
    </row>
    <row r="266">
      <c r="B266" s="25"/>
      <c r="C266" s="257"/>
    </row>
    <row r="267">
      <c r="B267" s="25"/>
      <c r="C267" s="257"/>
    </row>
    <row r="268">
      <c r="B268" s="25"/>
      <c r="C268" s="257"/>
    </row>
    <row r="269">
      <c r="B269" s="25"/>
      <c r="C269" s="257"/>
    </row>
    <row r="270">
      <c r="B270" s="25"/>
      <c r="C270" s="257"/>
    </row>
    <row r="271">
      <c r="B271" s="25"/>
      <c r="C271" s="257"/>
    </row>
    <row r="272">
      <c r="B272" s="25"/>
      <c r="C272" s="257"/>
    </row>
    <row r="273">
      <c r="B273" s="25"/>
      <c r="C273" s="257"/>
    </row>
    <row r="274">
      <c r="B274" s="25"/>
      <c r="C274" s="257"/>
    </row>
    <row r="275">
      <c r="B275" s="25"/>
      <c r="C275" s="257"/>
    </row>
    <row r="276">
      <c r="B276" s="25"/>
      <c r="C276" s="257"/>
    </row>
    <row r="277">
      <c r="B277" s="25"/>
      <c r="C277" s="257"/>
    </row>
    <row r="278">
      <c r="B278" s="25"/>
      <c r="C278" s="257"/>
    </row>
    <row r="279">
      <c r="B279" s="25"/>
      <c r="C279" s="257"/>
    </row>
    <row r="280">
      <c r="B280" s="25"/>
      <c r="C280" s="257"/>
    </row>
    <row r="281">
      <c r="B281" s="25"/>
      <c r="C281" s="257"/>
    </row>
    <row r="282">
      <c r="B282" s="25"/>
      <c r="C282" s="257"/>
    </row>
    <row r="283">
      <c r="B283" s="25"/>
      <c r="C283" s="257"/>
    </row>
    <row r="284">
      <c r="B284" s="25"/>
      <c r="C284" s="257"/>
    </row>
    <row r="285">
      <c r="B285" s="25"/>
      <c r="C285" s="257"/>
    </row>
    <row r="286">
      <c r="B286" s="25"/>
      <c r="C286" s="257"/>
    </row>
    <row r="287">
      <c r="B287" s="25"/>
      <c r="C287" s="257"/>
    </row>
    <row r="288">
      <c r="B288" s="25"/>
      <c r="C288" s="257"/>
    </row>
    <row r="289">
      <c r="B289" s="25"/>
      <c r="C289" s="257"/>
    </row>
    <row r="290">
      <c r="B290" s="25"/>
      <c r="C290" s="257"/>
    </row>
    <row r="291">
      <c r="B291" s="25"/>
      <c r="C291" s="257"/>
    </row>
    <row r="292">
      <c r="B292" s="25"/>
      <c r="C292" s="257"/>
    </row>
    <row r="293">
      <c r="B293" s="25"/>
      <c r="C293" s="257"/>
    </row>
    <row r="294">
      <c r="B294" s="25"/>
      <c r="C294" s="257"/>
    </row>
    <row r="295">
      <c r="B295" s="25"/>
      <c r="C295" s="257"/>
    </row>
    <row r="296">
      <c r="B296" s="25"/>
      <c r="C296" s="257"/>
    </row>
    <row r="297">
      <c r="B297" s="25"/>
      <c r="C297" s="257"/>
    </row>
    <row r="298">
      <c r="B298" s="25"/>
      <c r="C298" s="257"/>
    </row>
    <row r="299">
      <c r="B299" s="25"/>
      <c r="C299" s="257"/>
    </row>
    <row r="300">
      <c r="B300" s="25"/>
      <c r="C300" s="257"/>
    </row>
    <row r="301">
      <c r="B301" s="25"/>
      <c r="C301" s="257"/>
    </row>
    <row r="302">
      <c r="B302" s="25"/>
      <c r="C302" s="257"/>
    </row>
    <row r="303">
      <c r="B303" s="25"/>
      <c r="C303" s="257"/>
    </row>
    <row r="304">
      <c r="B304" s="25"/>
      <c r="C304" s="257"/>
    </row>
    <row r="305">
      <c r="B305" s="25"/>
      <c r="C305" s="257"/>
    </row>
    <row r="306">
      <c r="B306" s="25"/>
      <c r="C306" s="257"/>
    </row>
    <row r="307">
      <c r="B307" s="25"/>
      <c r="C307" s="257"/>
    </row>
    <row r="308">
      <c r="B308" s="25"/>
      <c r="C308" s="257"/>
    </row>
    <row r="309">
      <c r="B309" s="25"/>
      <c r="C309" s="257"/>
    </row>
    <row r="310">
      <c r="B310" s="25"/>
      <c r="C310" s="257"/>
    </row>
    <row r="311">
      <c r="B311" s="25"/>
      <c r="C311" s="257"/>
    </row>
    <row r="312">
      <c r="B312" s="25"/>
      <c r="C312" s="257"/>
    </row>
    <row r="313">
      <c r="B313" s="25"/>
      <c r="C313" s="257"/>
    </row>
    <row r="314">
      <c r="B314" s="25"/>
      <c r="C314" s="257"/>
    </row>
    <row r="315">
      <c r="B315" s="25"/>
      <c r="C315" s="257"/>
    </row>
    <row r="316">
      <c r="B316" s="25"/>
      <c r="C316" s="257"/>
    </row>
    <row r="317">
      <c r="B317" s="25"/>
      <c r="C317" s="257"/>
    </row>
    <row r="318">
      <c r="B318" s="25"/>
      <c r="C318" s="257"/>
    </row>
    <row r="319">
      <c r="B319" s="25"/>
      <c r="C319" s="257"/>
    </row>
    <row r="320">
      <c r="B320" s="25"/>
      <c r="C320" s="257"/>
    </row>
    <row r="321">
      <c r="B321" s="25"/>
      <c r="C321" s="257"/>
    </row>
    <row r="322">
      <c r="B322" s="25"/>
      <c r="C322" s="257"/>
    </row>
    <row r="323">
      <c r="B323" s="25"/>
      <c r="C323" s="257"/>
    </row>
    <row r="324">
      <c r="B324" s="25"/>
      <c r="C324" s="257"/>
    </row>
    <row r="325">
      <c r="B325" s="25"/>
      <c r="C325" s="257"/>
    </row>
    <row r="326">
      <c r="B326" s="25"/>
      <c r="C326" s="257"/>
    </row>
    <row r="327">
      <c r="B327" s="25"/>
      <c r="C327" s="257"/>
    </row>
    <row r="328">
      <c r="B328" s="25"/>
      <c r="C328" s="257"/>
    </row>
    <row r="329">
      <c r="B329" s="25"/>
      <c r="C329" s="257"/>
    </row>
    <row r="330">
      <c r="B330" s="25"/>
      <c r="C330" s="257"/>
    </row>
    <row r="331">
      <c r="B331" s="25"/>
      <c r="C331" s="257"/>
    </row>
    <row r="332">
      <c r="B332" s="25"/>
      <c r="C332" s="257"/>
    </row>
    <row r="333">
      <c r="B333" s="25"/>
      <c r="C333" s="257"/>
    </row>
    <row r="334">
      <c r="B334" s="25"/>
      <c r="C334" s="257"/>
    </row>
    <row r="335">
      <c r="B335" s="25"/>
      <c r="C335" s="257"/>
    </row>
    <row r="336">
      <c r="B336" s="25"/>
      <c r="C336" s="257"/>
    </row>
    <row r="337">
      <c r="B337" s="25"/>
      <c r="C337" s="257"/>
    </row>
    <row r="338">
      <c r="B338" s="25"/>
      <c r="C338" s="257"/>
    </row>
    <row r="339">
      <c r="B339" s="25"/>
      <c r="C339" s="257"/>
    </row>
    <row r="340">
      <c r="B340" s="25"/>
      <c r="C340" s="257"/>
    </row>
    <row r="341">
      <c r="B341" s="25"/>
      <c r="C341" s="257"/>
    </row>
    <row r="342">
      <c r="B342" s="25"/>
      <c r="C342" s="257"/>
    </row>
    <row r="343">
      <c r="B343" s="25"/>
      <c r="C343" s="257"/>
    </row>
    <row r="344">
      <c r="B344" s="25"/>
      <c r="C344" s="257"/>
    </row>
    <row r="345">
      <c r="B345" s="25"/>
      <c r="C345" s="257"/>
    </row>
    <row r="346">
      <c r="B346" s="25"/>
      <c r="C346" s="257"/>
    </row>
    <row r="347">
      <c r="B347" s="25"/>
      <c r="C347" s="257"/>
    </row>
    <row r="348">
      <c r="B348" s="25"/>
      <c r="C348" s="257"/>
    </row>
    <row r="349">
      <c r="B349" s="25"/>
      <c r="C349" s="257"/>
    </row>
    <row r="350">
      <c r="B350" s="25"/>
      <c r="C350" s="257"/>
    </row>
    <row r="351">
      <c r="B351" s="25"/>
      <c r="C351" s="257"/>
    </row>
    <row r="352">
      <c r="B352" s="25"/>
      <c r="C352" s="257"/>
    </row>
    <row r="353">
      <c r="B353" s="25"/>
      <c r="C353" s="257"/>
    </row>
    <row r="354">
      <c r="B354" s="25"/>
      <c r="C354" s="257"/>
    </row>
    <row r="355">
      <c r="B355" s="25"/>
      <c r="C355" s="257"/>
    </row>
    <row r="356">
      <c r="B356" s="25"/>
      <c r="C356" s="257"/>
    </row>
    <row r="357">
      <c r="B357" s="25"/>
      <c r="C357" s="257"/>
    </row>
    <row r="358">
      <c r="B358" s="25"/>
      <c r="C358" s="257"/>
    </row>
    <row r="359">
      <c r="B359" s="25"/>
      <c r="C359" s="257"/>
    </row>
    <row r="360">
      <c r="B360" s="25"/>
      <c r="C360" s="257"/>
    </row>
    <row r="361">
      <c r="B361" s="25"/>
      <c r="C361" s="257"/>
    </row>
    <row r="362">
      <c r="B362" s="25"/>
      <c r="C362" s="257"/>
    </row>
    <row r="363">
      <c r="B363" s="25"/>
      <c r="C363" s="257"/>
    </row>
    <row r="364">
      <c r="B364" s="25"/>
      <c r="C364" s="257"/>
    </row>
    <row r="365">
      <c r="B365" s="25"/>
      <c r="C365" s="257"/>
    </row>
    <row r="366">
      <c r="B366" s="25"/>
      <c r="C366" s="257"/>
    </row>
    <row r="367">
      <c r="B367" s="25"/>
      <c r="C367" s="257"/>
    </row>
    <row r="368">
      <c r="B368" s="25"/>
      <c r="C368" s="257"/>
    </row>
    <row r="369">
      <c r="B369" s="25"/>
      <c r="C369" s="257"/>
    </row>
    <row r="370">
      <c r="B370" s="25"/>
      <c r="C370" s="257"/>
    </row>
    <row r="371">
      <c r="B371" s="25"/>
      <c r="C371" s="257"/>
    </row>
    <row r="372">
      <c r="B372" s="25"/>
      <c r="C372" s="257"/>
    </row>
    <row r="373">
      <c r="B373" s="25"/>
      <c r="C373" s="257"/>
    </row>
    <row r="374">
      <c r="B374" s="25"/>
      <c r="C374" s="257"/>
    </row>
    <row r="375">
      <c r="B375" s="25"/>
      <c r="C375" s="257"/>
    </row>
    <row r="376">
      <c r="B376" s="25"/>
      <c r="C376" s="257"/>
    </row>
    <row r="377">
      <c r="B377" s="25"/>
      <c r="C377" s="257"/>
    </row>
    <row r="378">
      <c r="B378" s="25"/>
      <c r="C378" s="257"/>
    </row>
    <row r="379">
      <c r="B379" s="25"/>
      <c r="C379" s="257"/>
    </row>
    <row r="380">
      <c r="B380" s="25"/>
      <c r="C380" s="257"/>
    </row>
    <row r="381">
      <c r="B381" s="25"/>
      <c r="C381" s="257"/>
    </row>
    <row r="382">
      <c r="B382" s="25"/>
      <c r="C382" s="257"/>
    </row>
    <row r="383">
      <c r="B383" s="25"/>
      <c r="C383" s="257"/>
    </row>
    <row r="384">
      <c r="B384" s="25"/>
      <c r="C384" s="257"/>
    </row>
    <row r="385">
      <c r="B385" s="25"/>
      <c r="C385" s="257"/>
    </row>
    <row r="386">
      <c r="B386" s="25"/>
      <c r="C386" s="257"/>
    </row>
    <row r="387">
      <c r="B387" s="25"/>
      <c r="C387" s="257"/>
    </row>
    <row r="388">
      <c r="B388" s="25"/>
      <c r="C388" s="257"/>
    </row>
    <row r="389">
      <c r="B389" s="25"/>
      <c r="C389" s="257"/>
    </row>
    <row r="390">
      <c r="B390" s="25"/>
      <c r="C390" s="257"/>
    </row>
    <row r="391">
      <c r="B391" s="25"/>
      <c r="C391" s="257"/>
    </row>
    <row r="392">
      <c r="B392" s="25"/>
      <c r="C392" s="257"/>
    </row>
    <row r="393">
      <c r="B393" s="25"/>
      <c r="C393" s="257"/>
    </row>
    <row r="394">
      <c r="B394" s="25"/>
      <c r="C394" s="257"/>
    </row>
    <row r="395">
      <c r="B395" s="25"/>
      <c r="C395" s="257"/>
    </row>
    <row r="396">
      <c r="B396" s="25"/>
      <c r="C396" s="257"/>
    </row>
    <row r="397">
      <c r="B397" s="25"/>
      <c r="C397" s="257"/>
    </row>
    <row r="398">
      <c r="B398" s="25"/>
      <c r="C398" s="257"/>
    </row>
    <row r="399">
      <c r="B399" s="25"/>
      <c r="C399" s="257"/>
    </row>
    <row r="400">
      <c r="B400" s="25"/>
      <c r="C400" s="257"/>
    </row>
    <row r="401">
      <c r="B401" s="25"/>
      <c r="C401" s="257"/>
    </row>
    <row r="402">
      <c r="B402" s="25"/>
      <c r="C402" s="257"/>
    </row>
    <row r="403">
      <c r="B403" s="25"/>
      <c r="C403" s="257"/>
    </row>
    <row r="404">
      <c r="B404" s="25"/>
      <c r="C404" s="257"/>
    </row>
    <row r="405">
      <c r="B405" s="25"/>
      <c r="C405" s="257"/>
    </row>
    <row r="406">
      <c r="B406" s="25"/>
      <c r="C406" s="257"/>
    </row>
    <row r="407">
      <c r="B407" s="25"/>
      <c r="C407" s="257"/>
    </row>
    <row r="408">
      <c r="B408" s="25"/>
      <c r="C408" s="257"/>
    </row>
    <row r="409">
      <c r="B409" s="25"/>
      <c r="C409" s="257"/>
    </row>
    <row r="410">
      <c r="B410" s="25"/>
      <c r="C410" s="257"/>
    </row>
    <row r="411">
      <c r="B411" s="25"/>
      <c r="C411" s="257"/>
    </row>
    <row r="412">
      <c r="B412" s="25"/>
      <c r="C412" s="257"/>
    </row>
    <row r="413">
      <c r="B413" s="25"/>
      <c r="C413" s="257"/>
    </row>
    <row r="414">
      <c r="B414" s="25"/>
      <c r="C414" s="257"/>
    </row>
    <row r="415">
      <c r="B415" s="25"/>
      <c r="C415" s="257"/>
    </row>
    <row r="416">
      <c r="B416" s="25"/>
      <c r="C416" s="257"/>
    </row>
    <row r="417">
      <c r="B417" s="25"/>
      <c r="C417" s="257"/>
    </row>
    <row r="418">
      <c r="B418" s="25"/>
      <c r="C418" s="257"/>
    </row>
    <row r="419">
      <c r="B419" s="25"/>
      <c r="C419" s="257"/>
    </row>
    <row r="420">
      <c r="B420" s="25"/>
      <c r="C420" s="257"/>
    </row>
    <row r="421">
      <c r="B421" s="25"/>
      <c r="C421" s="257"/>
    </row>
    <row r="422">
      <c r="B422" s="25"/>
      <c r="C422" s="257"/>
    </row>
    <row r="423">
      <c r="B423" s="25"/>
      <c r="C423" s="257"/>
    </row>
    <row r="424">
      <c r="B424" s="25"/>
      <c r="C424" s="257"/>
    </row>
    <row r="425">
      <c r="B425" s="25"/>
      <c r="C425" s="257"/>
    </row>
    <row r="426">
      <c r="B426" s="25"/>
      <c r="C426" s="257"/>
    </row>
    <row r="427">
      <c r="B427" s="25"/>
      <c r="C427" s="257"/>
    </row>
    <row r="428">
      <c r="B428" s="25"/>
      <c r="C428" s="257"/>
    </row>
    <row r="429">
      <c r="B429" s="25"/>
      <c r="C429" s="257"/>
    </row>
    <row r="430">
      <c r="B430" s="25"/>
      <c r="C430" s="257"/>
    </row>
    <row r="431">
      <c r="B431" s="25"/>
      <c r="C431" s="257"/>
    </row>
    <row r="432">
      <c r="B432" s="25"/>
      <c r="C432" s="257"/>
    </row>
    <row r="433">
      <c r="B433" s="25"/>
      <c r="C433" s="257"/>
    </row>
    <row r="434">
      <c r="B434" s="25"/>
      <c r="C434" s="257"/>
    </row>
    <row r="435">
      <c r="B435" s="25"/>
      <c r="C435" s="257"/>
    </row>
    <row r="436">
      <c r="B436" s="25"/>
      <c r="C436" s="257"/>
    </row>
    <row r="437">
      <c r="B437" s="25"/>
      <c r="C437" s="257"/>
    </row>
    <row r="438">
      <c r="B438" s="25"/>
      <c r="C438" s="257"/>
    </row>
    <row r="439">
      <c r="B439" s="25"/>
      <c r="C439" s="257"/>
    </row>
    <row r="440">
      <c r="B440" s="25"/>
      <c r="C440" s="257"/>
    </row>
    <row r="441">
      <c r="B441" s="25"/>
      <c r="C441" s="257"/>
    </row>
    <row r="442">
      <c r="B442" s="25"/>
      <c r="C442" s="257"/>
    </row>
    <row r="443">
      <c r="B443" s="25"/>
      <c r="C443" s="257"/>
    </row>
    <row r="444">
      <c r="B444" s="25"/>
      <c r="C444" s="257"/>
    </row>
    <row r="445">
      <c r="B445" s="25"/>
      <c r="C445" s="257"/>
    </row>
    <row r="446">
      <c r="B446" s="25"/>
      <c r="C446" s="257"/>
    </row>
    <row r="447">
      <c r="B447" s="25"/>
      <c r="C447" s="257"/>
    </row>
    <row r="448">
      <c r="B448" s="25"/>
      <c r="C448" s="257"/>
    </row>
    <row r="449">
      <c r="B449" s="25"/>
      <c r="C449" s="257"/>
    </row>
    <row r="450">
      <c r="B450" s="25"/>
      <c r="C450" s="257"/>
    </row>
    <row r="451">
      <c r="B451" s="25"/>
      <c r="C451" s="257"/>
    </row>
    <row r="452">
      <c r="B452" s="25"/>
      <c r="C452" s="257"/>
    </row>
    <row r="453">
      <c r="B453" s="25"/>
      <c r="C453" s="257"/>
    </row>
    <row r="454">
      <c r="B454" s="25"/>
      <c r="C454" s="257"/>
    </row>
    <row r="455">
      <c r="B455" s="25"/>
      <c r="C455" s="257"/>
    </row>
    <row r="456">
      <c r="B456" s="25"/>
      <c r="C456" s="257"/>
    </row>
    <row r="457">
      <c r="B457" s="25"/>
      <c r="C457" s="257"/>
    </row>
    <row r="458">
      <c r="B458" s="25"/>
      <c r="C458" s="257"/>
    </row>
    <row r="459">
      <c r="B459" s="25"/>
      <c r="C459" s="257"/>
    </row>
    <row r="460">
      <c r="B460" s="25"/>
      <c r="C460" s="257"/>
    </row>
    <row r="461">
      <c r="B461" s="25"/>
      <c r="C461" s="257"/>
    </row>
    <row r="462">
      <c r="B462" s="25"/>
      <c r="C462" s="257"/>
    </row>
    <row r="463">
      <c r="B463" s="25"/>
      <c r="C463" s="257"/>
    </row>
    <row r="464">
      <c r="B464" s="25"/>
      <c r="C464" s="257"/>
    </row>
    <row r="465">
      <c r="B465" s="25"/>
      <c r="C465" s="257"/>
    </row>
    <row r="466">
      <c r="B466" s="25"/>
      <c r="C466" s="257"/>
    </row>
    <row r="467">
      <c r="B467" s="25"/>
      <c r="C467" s="257"/>
    </row>
    <row r="468">
      <c r="B468" s="25"/>
      <c r="C468" s="257"/>
    </row>
    <row r="469">
      <c r="B469" s="25"/>
      <c r="C469" s="257"/>
    </row>
    <row r="470">
      <c r="B470" s="25"/>
      <c r="C470" s="257"/>
    </row>
    <row r="471">
      <c r="B471" s="25"/>
      <c r="C471" s="257"/>
    </row>
    <row r="472">
      <c r="B472" s="25"/>
      <c r="C472" s="257"/>
    </row>
    <row r="473">
      <c r="B473" s="25"/>
      <c r="C473" s="257"/>
    </row>
    <row r="474">
      <c r="B474" s="25"/>
      <c r="C474" s="257"/>
    </row>
    <row r="475">
      <c r="B475" s="25"/>
      <c r="C475" s="257"/>
    </row>
    <row r="476">
      <c r="B476" s="25"/>
      <c r="C476" s="257"/>
    </row>
    <row r="477">
      <c r="B477" s="25"/>
      <c r="C477" s="257"/>
    </row>
    <row r="478">
      <c r="B478" s="25"/>
      <c r="C478" s="257"/>
    </row>
    <row r="479">
      <c r="B479" s="25"/>
      <c r="C479" s="257"/>
    </row>
    <row r="480">
      <c r="B480" s="25"/>
      <c r="C480" s="257"/>
    </row>
    <row r="481">
      <c r="B481" s="25"/>
      <c r="C481" s="257"/>
    </row>
    <row r="482">
      <c r="B482" s="25"/>
      <c r="C482" s="257"/>
    </row>
    <row r="483">
      <c r="B483" s="25"/>
      <c r="C483" s="257"/>
    </row>
    <row r="484">
      <c r="B484" s="25"/>
      <c r="C484" s="257"/>
    </row>
    <row r="485">
      <c r="B485" s="25"/>
      <c r="C485" s="257"/>
    </row>
    <row r="486">
      <c r="B486" s="25"/>
      <c r="C486" s="257"/>
    </row>
    <row r="487">
      <c r="B487" s="25"/>
      <c r="C487" s="257"/>
    </row>
    <row r="488">
      <c r="B488" s="25"/>
      <c r="C488" s="257"/>
    </row>
    <row r="489">
      <c r="B489" s="25"/>
      <c r="C489" s="257"/>
    </row>
    <row r="490">
      <c r="B490" s="25"/>
      <c r="C490" s="257"/>
    </row>
    <row r="491">
      <c r="B491" s="25"/>
      <c r="C491" s="257"/>
    </row>
    <row r="492">
      <c r="B492" s="25"/>
      <c r="C492" s="257"/>
    </row>
    <row r="493">
      <c r="B493" s="25"/>
      <c r="C493" s="257"/>
    </row>
    <row r="494">
      <c r="B494" s="25"/>
      <c r="C494" s="257"/>
    </row>
    <row r="495">
      <c r="B495" s="25"/>
      <c r="C495" s="257"/>
    </row>
    <row r="496">
      <c r="B496" s="25"/>
      <c r="C496" s="257"/>
    </row>
    <row r="497">
      <c r="B497" s="25"/>
      <c r="C497" s="257"/>
    </row>
    <row r="498">
      <c r="B498" s="25"/>
      <c r="C498" s="257"/>
    </row>
    <row r="499">
      <c r="B499" s="25"/>
      <c r="C499" s="257"/>
    </row>
    <row r="500">
      <c r="B500" s="25"/>
      <c r="C500" s="257"/>
    </row>
    <row r="501">
      <c r="B501" s="25"/>
      <c r="C501" s="257"/>
    </row>
    <row r="502">
      <c r="B502" s="25"/>
      <c r="C502" s="257"/>
    </row>
    <row r="503">
      <c r="B503" s="25"/>
      <c r="C503" s="257"/>
    </row>
    <row r="504">
      <c r="B504" s="25"/>
      <c r="C504" s="257"/>
    </row>
    <row r="505">
      <c r="B505" s="25"/>
      <c r="C505" s="257"/>
    </row>
    <row r="506">
      <c r="B506" s="25"/>
      <c r="C506" s="257"/>
    </row>
    <row r="507">
      <c r="B507" s="25"/>
      <c r="C507" s="257"/>
    </row>
    <row r="508">
      <c r="B508" s="25"/>
      <c r="C508" s="257"/>
    </row>
    <row r="509">
      <c r="B509" s="25"/>
      <c r="C509" s="257"/>
    </row>
    <row r="510">
      <c r="B510" s="25"/>
      <c r="C510" s="257"/>
    </row>
    <row r="511">
      <c r="B511" s="25"/>
      <c r="C511" s="257"/>
    </row>
    <row r="512">
      <c r="B512" s="25"/>
      <c r="C512" s="257"/>
    </row>
    <row r="513">
      <c r="B513" s="25"/>
      <c r="C513" s="257"/>
    </row>
    <row r="514">
      <c r="B514" s="25"/>
      <c r="C514" s="257"/>
    </row>
    <row r="515">
      <c r="B515" s="25"/>
      <c r="C515" s="257"/>
    </row>
    <row r="516">
      <c r="B516" s="25"/>
      <c r="C516" s="257"/>
    </row>
    <row r="517">
      <c r="B517" s="25"/>
      <c r="C517" s="257"/>
    </row>
    <row r="518">
      <c r="B518" s="25"/>
      <c r="C518" s="257"/>
    </row>
    <row r="519">
      <c r="B519" s="25"/>
      <c r="C519" s="257"/>
    </row>
    <row r="520">
      <c r="B520" s="25"/>
      <c r="C520" s="257"/>
    </row>
    <row r="521">
      <c r="B521" s="25"/>
      <c r="C521" s="257"/>
    </row>
    <row r="522">
      <c r="B522" s="25"/>
      <c r="C522" s="257"/>
    </row>
    <row r="523">
      <c r="B523" s="25"/>
      <c r="C523" s="257"/>
    </row>
    <row r="524">
      <c r="B524" s="25"/>
      <c r="C524" s="257"/>
    </row>
    <row r="525">
      <c r="B525" s="25"/>
      <c r="C525" s="257"/>
    </row>
    <row r="526">
      <c r="B526" s="25"/>
      <c r="C526" s="257"/>
    </row>
    <row r="527">
      <c r="B527" s="25"/>
      <c r="C527" s="257"/>
    </row>
    <row r="528">
      <c r="B528" s="25"/>
      <c r="C528" s="257"/>
    </row>
    <row r="529">
      <c r="B529" s="25"/>
      <c r="C529" s="257"/>
    </row>
    <row r="530">
      <c r="B530" s="25"/>
      <c r="C530" s="257"/>
    </row>
    <row r="531">
      <c r="B531" s="25"/>
      <c r="C531" s="257"/>
    </row>
    <row r="532">
      <c r="B532" s="25"/>
      <c r="C532" s="257"/>
    </row>
    <row r="533">
      <c r="B533" s="25"/>
      <c r="C533" s="257"/>
    </row>
    <row r="534">
      <c r="B534" s="25"/>
      <c r="C534" s="257"/>
    </row>
    <row r="535">
      <c r="B535" s="25"/>
      <c r="C535" s="257"/>
    </row>
    <row r="536">
      <c r="B536" s="25"/>
      <c r="C536" s="257"/>
    </row>
    <row r="537">
      <c r="B537" s="25"/>
      <c r="C537" s="257"/>
    </row>
    <row r="538">
      <c r="B538" s="25"/>
      <c r="C538" s="257"/>
    </row>
    <row r="539">
      <c r="B539" s="25"/>
      <c r="C539" s="257"/>
    </row>
    <row r="540">
      <c r="B540" s="25"/>
      <c r="C540" s="257"/>
    </row>
    <row r="541">
      <c r="B541" s="25"/>
      <c r="C541" s="257"/>
    </row>
    <row r="542">
      <c r="B542" s="25"/>
      <c r="C542" s="257"/>
    </row>
    <row r="543">
      <c r="B543" s="25"/>
      <c r="C543" s="257"/>
    </row>
    <row r="544">
      <c r="B544" s="25"/>
      <c r="C544" s="257"/>
    </row>
    <row r="545">
      <c r="B545" s="25"/>
      <c r="C545" s="257"/>
    </row>
    <row r="546">
      <c r="B546" s="25"/>
      <c r="C546" s="257"/>
    </row>
    <row r="547">
      <c r="B547" s="25"/>
      <c r="C547" s="257"/>
    </row>
    <row r="548">
      <c r="B548" s="25"/>
      <c r="C548" s="257"/>
    </row>
    <row r="549">
      <c r="B549" s="25"/>
      <c r="C549" s="257"/>
    </row>
    <row r="550">
      <c r="B550" s="25"/>
      <c r="C550" s="257"/>
    </row>
    <row r="551">
      <c r="B551" s="25"/>
      <c r="C551" s="257"/>
    </row>
    <row r="552">
      <c r="B552" s="25"/>
      <c r="C552" s="257"/>
    </row>
    <row r="553">
      <c r="B553" s="25"/>
      <c r="C553" s="257"/>
    </row>
    <row r="554">
      <c r="B554" s="25"/>
      <c r="C554" s="257"/>
    </row>
    <row r="555">
      <c r="B555" s="25"/>
      <c r="C555" s="257"/>
    </row>
    <row r="556">
      <c r="B556" s="25"/>
      <c r="C556" s="257"/>
    </row>
    <row r="557">
      <c r="B557" s="25"/>
      <c r="C557" s="257"/>
    </row>
    <row r="558">
      <c r="B558" s="25"/>
      <c r="C558" s="257"/>
    </row>
    <row r="559">
      <c r="B559" s="25"/>
      <c r="C559" s="257"/>
    </row>
    <row r="560">
      <c r="B560" s="25"/>
      <c r="C560" s="257"/>
    </row>
    <row r="561">
      <c r="B561" s="25"/>
      <c r="C561" s="257"/>
    </row>
    <row r="562">
      <c r="B562" s="25"/>
      <c r="C562" s="257"/>
    </row>
    <row r="563">
      <c r="B563" s="25"/>
      <c r="C563" s="257"/>
    </row>
    <row r="564">
      <c r="B564" s="25"/>
      <c r="C564" s="257"/>
    </row>
    <row r="565">
      <c r="B565" s="25"/>
      <c r="C565" s="257"/>
    </row>
    <row r="566">
      <c r="B566" s="25"/>
      <c r="C566" s="257"/>
    </row>
    <row r="567">
      <c r="B567" s="25"/>
      <c r="C567" s="257"/>
    </row>
    <row r="568">
      <c r="B568" s="25"/>
      <c r="C568" s="257"/>
    </row>
    <row r="569">
      <c r="B569" s="25"/>
      <c r="C569" s="257"/>
    </row>
    <row r="570">
      <c r="B570" s="25"/>
      <c r="C570" s="257"/>
    </row>
    <row r="571">
      <c r="B571" s="25"/>
      <c r="C571" s="257"/>
    </row>
    <row r="572">
      <c r="B572" s="25"/>
      <c r="C572" s="257"/>
    </row>
    <row r="573">
      <c r="B573" s="25"/>
      <c r="C573" s="257"/>
    </row>
    <row r="574">
      <c r="B574" s="25"/>
      <c r="C574" s="257"/>
    </row>
    <row r="575">
      <c r="B575" s="25"/>
      <c r="C575" s="257"/>
    </row>
    <row r="576">
      <c r="B576" s="25"/>
      <c r="C576" s="257"/>
    </row>
    <row r="577">
      <c r="B577" s="25"/>
      <c r="C577" s="257"/>
    </row>
    <row r="578">
      <c r="B578" s="25"/>
      <c r="C578" s="257"/>
    </row>
    <row r="579">
      <c r="B579" s="25"/>
      <c r="C579" s="257"/>
    </row>
    <row r="580">
      <c r="B580" s="25"/>
      <c r="C580" s="257"/>
    </row>
    <row r="581">
      <c r="B581" s="25"/>
      <c r="C581" s="257"/>
    </row>
    <row r="582">
      <c r="B582" s="25"/>
      <c r="C582" s="257"/>
    </row>
    <row r="583">
      <c r="B583" s="25"/>
      <c r="C583" s="257"/>
    </row>
    <row r="584">
      <c r="B584" s="25"/>
      <c r="C584" s="257"/>
    </row>
    <row r="585">
      <c r="B585" s="25"/>
      <c r="C585" s="257"/>
    </row>
    <row r="586">
      <c r="B586" s="25"/>
      <c r="C586" s="257"/>
    </row>
    <row r="587">
      <c r="B587" s="25"/>
      <c r="C587" s="257"/>
    </row>
    <row r="588">
      <c r="B588" s="25"/>
      <c r="C588" s="257"/>
    </row>
    <row r="589">
      <c r="B589" s="25"/>
      <c r="C589" s="257"/>
    </row>
    <row r="590">
      <c r="B590" s="25"/>
      <c r="C590" s="257"/>
    </row>
    <row r="591">
      <c r="B591" s="25"/>
      <c r="C591" s="257"/>
    </row>
    <row r="592">
      <c r="B592" s="25"/>
      <c r="C592" s="257"/>
    </row>
    <row r="593">
      <c r="B593" s="25"/>
      <c r="C593" s="257"/>
    </row>
    <row r="594">
      <c r="B594" s="25"/>
      <c r="C594" s="257"/>
    </row>
    <row r="595">
      <c r="B595" s="25"/>
      <c r="C595" s="257"/>
    </row>
    <row r="596">
      <c r="B596" s="25"/>
      <c r="C596" s="257"/>
    </row>
    <row r="597">
      <c r="B597" s="25"/>
      <c r="C597" s="257"/>
    </row>
    <row r="598">
      <c r="B598" s="25"/>
      <c r="C598" s="257"/>
    </row>
    <row r="599">
      <c r="B599" s="25"/>
      <c r="C599" s="257"/>
    </row>
    <row r="600">
      <c r="B600" s="25"/>
      <c r="C600" s="257"/>
    </row>
    <row r="601">
      <c r="B601" s="25"/>
      <c r="C601" s="257"/>
    </row>
    <row r="602">
      <c r="B602" s="25"/>
      <c r="C602" s="257"/>
    </row>
    <row r="603">
      <c r="B603" s="25"/>
      <c r="C603" s="257"/>
    </row>
    <row r="604">
      <c r="B604" s="25"/>
      <c r="C604" s="257"/>
    </row>
    <row r="605">
      <c r="B605" s="25"/>
      <c r="C605" s="257"/>
    </row>
    <row r="606">
      <c r="B606" s="25"/>
      <c r="C606" s="257"/>
    </row>
    <row r="607">
      <c r="B607" s="25"/>
      <c r="C607" s="257"/>
    </row>
    <row r="608">
      <c r="B608" s="25"/>
      <c r="C608" s="257"/>
    </row>
    <row r="609">
      <c r="B609" s="25"/>
      <c r="C609" s="257"/>
    </row>
    <row r="610">
      <c r="B610" s="25"/>
      <c r="C610" s="257"/>
    </row>
    <row r="611">
      <c r="B611" s="25"/>
      <c r="C611" s="257"/>
    </row>
    <row r="612">
      <c r="B612" s="25"/>
      <c r="C612" s="257"/>
    </row>
    <row r="613">
      <c r="B613" s="25"/>
      <c r="C613" s="257"/>
    </row>
    <row r="614">
      <c r="B614" s="25"/>
      <c r="C614" s="257"/>
    </row>
    <row r="615">
      <c r="B615" s="25"/>
      <c r="C615" s="257"/>
    </row>
    <row r="616">
      <c r="B616" s="25"/>
      <c r="C616" s="257"/>
    </row>
    <row r="617">
      <c r="B617" s="25"/>
      <c r="C617" s="257"/>
    </row>
    <row r="618">
      <c r="B618" s="25"/>
      <c r="C618" s="257"/>
    </row>
    <row r="619">
      <c r="B619" s="25"/>
      <c r="C619" s="257"/>
    </row>
    <row r="620">
      <c r="B620" s="25"/>
      <c r="C620" s="257"/>
    </row>
    <row r="621">
      <c r="B621" s="25"/>
      <c r="C621" s="257"/>
    </row>
    <row r="622">
      <c r="B622" s="25"/>
      <c r="C622" s="257"/>
    </row>
    <row r="623">
      <c r="B623" s="25"/>
      <c r="C623" s="257"/>
    </row>
    <row r="624">
      <c r="B624" s="25"/>
      <c r="C624" s="257"/>
    </row>
    <row r="625">
      <c r="B625" s="25"/>
      <c r="C625" s="257"/>
    </row>
    <row r="626">
      <c r="B626" s="25"/>
      <c r="C626" s="257"/>
    </row>
    <row r="627">
      <c r="B627" s="25"/>
      <c r="C627" s="257"/>
    </row>
    <row r="628">
      <c r="B628" s="25"/>
      <c r="C628" s="257"/>
    </row>
    <row r="629">
      <c r="B629" s="25"/>
      <c r="C629" s="257"/>
    </row>
    <row r="630">
      <c r="B630" s="25"/>
      <c r="C630" s="257"/>
    </row>
    <row r="631">
      <c r="B631" s="25"/>
      <c r="C631" s="257"/>
    </row>
    <row r="632">
      <c r="B632" s="25"/>
      <c r="C632" s="257"/>
    </row>
    <row r="633">
      <c r="B633" s="25"/>
      <c r="C633" s="257"/>
    </row>
    <row r="634">
      <c r="B634" s="25"/>
      <c r="C634" s="257"/>
    </row>
    <row r="635">
      <c r="B635" s="25"/>
      <c r="C635" s="257"/>
    </row>
    <row r="636">
      <c r="B636" s="25"/>
      <c r="C636" s="257"/>
    </row>
    <row r="637">
      <c r="B637" s="25"/>
      <c r="C637" s="257"/>
    </row>
    <row r="638">
      <c r="B638" s="25"/>
      <c r="C638" s="257"/>
    </row>
    <row r="639">
      <c r="B639" s="25"/>
      <c r="C639" s="257"/>
    </row>
    <row r="640">
      <c r="B640" s="25"/>
      <c r="C640" s="257"/>
    </row>
    <row r="641">
      <c r="B641" s="25"/>
      <c r="C641" s="257"/>
    </row>
    <row r="642">
      <c r="B642" s="25"/>
      <c r="C642" s="257"/>
    </row>
    <row r="643">
      <c r="B643" s="25"/>
      <c r="C643" s="257"/>
    </row>
    <row r="644">
      <c r="B644" s="25"/>
      <c r="C644" s="257"/>
    </row>
    <row r="645">
      <c r="B645" s="25"/>
      <c r="C645" s="257"/>
    </row>
    <row r="646">
      <c r="B646" s="25"/>
      <c r="C646" s="257"/>
    </row>
    <row r="647">
      <c r="B647" s="25"/>
      <c r="C647" s="257"/>
    </row>
    <row r="648">
      <c r="B648" s="25"/>
      <c r="C648" s="257"/>
    </row>
    <row r="649">
      <c r="B649" s="25"/>
      <c r="C649" s="257"/>
    </row>
    <row r="650">
      <c r="B650" s="25"/>
      <c r="C650" s="257"/>
    </row>
    <row r="651">
      <c r="B651" s="25"/>
      <c r="C651" s="257"/>
    </row>
    <row r="652">
      <c r="B652" s="25"/>
      <c r="C652" s="257"/>
    </row>
    <row r="653">
      <c r="B653" s="25"/>
      <c r="C653" s="257"/>
    </row>
    <row r="654">
      <c r="B654" s="25"/>
      <c r="C654" s="257"/>
    </row>
    <row r="655">
      <c r="B655" s="25"/>
      <c r="C655" s="257"/>
    </row>
    <row r="656">
      <c r="B656" s="25"/>
      <c r="C656" s="257"/>
    </row>
    <row r="657">
      <c r="B657" s="25"/>
      <c r="C657" s="257"/>
    </row>
    <row r="658">
      <c r="B658" s="25"/>
      <c r="C658" s="257"/>
    </row>
    <row r="659">
      <c r="B659" s="25"/>
      <c r="C659" s="257"/>
    </row>
    <row r="660">
      <c r="B660" s="25"/>
      <c r="C660" s="257"/>
    </row>
    <row r="661">
      <c r="B661" s="25"/>
      <c r="C661" s="257"/>
    </row>
    <row r="662">
      <c r="B662" s="25"/>
      <c r="C662" s="257"/>
    </row>
    <row r="663">
      <c r="B663" s="25"/>
      <c r="C663" s="257"/>
    </row>
    <row r="664">
      <c r="B664" s="25"/>
      <c r="C664" s="257"/>
    </row>
    <row r="665">
      <c r="B665" s="25"/>
      <c r="C665" s="257"/>
    </row>
    <row r="666">
      <c r="B666" s="25"/>
      <c r="C666" s="257"/>
    </row>
    <row r="667">
      <c r="B667" s="25"/>
      <c r="C667" s="257"/>
    </row>
    <row r="668">
      <c r="B668" s="25"/>
      <c r="C668" s="257"/>
    </row>
    <row r="669">
      <c r="B669" s="25"/>
      <c r="C669" s="257"/>
    </row>
    <row r="670">
      <c r="B670" s="25"/>
      <c r="C670" s="257"/>
    </row>
    <row r="671">
      <c r="B671" s="25"/>
      <c r="C671" s="257"/>
    </row>
    <row r="672">
      <c r="B672" s="25"/>
      <c r="C672" s="257"/>
    </row>
    <row r="673">
      <c r="B673" s="25"/>
      <c r="C673" s="257"/>
    </row>
    <row r="674">
      <c r="B674" s="25"/>
      <c r="C674" s="257"/>
    </row>
    <row r="675">
      <c r="B675" s="25"/>
      <c r="C675" s="257"/>
    </row>
    <row r="676">
      <c r="B676" s="25"/>
      <c r="C676" s="257"/>
    </row>
    <row r="677">
      <c r="B677" s="25"/>
      <c r="C677" s="257"/>
    </row>
    <row r="678">
      <c r="B678" s="25"/>
      <c r="C678" s="257"/>
    </row>
    <row r="679">
      <c r="B679" s="25"/>
      <c r="C679" s="257"/>
    </row>
    <row r="680">
      <c r="B680" s="25"/>
      <c r="C680" s="257"/>
    </row>
    <row r="681">
      <c r="B681" s="25"/>
      <c r="C681" s="257"/>
    </row>
    <row r="682">
      <c r="B682" s="25"/>
      <c r="C682" s="257"/>
    </row>
    <row r="683">
      <c r="B683" s="25"/>
      <c r="C683" s="257"/>
    </row>
    <row r="684">
      <c r="B684" s="25"/>
      <c r="C684" s="257"/>
    </row>
    <row r="685">
      <c r="B685" s="25"/>
      <c r="C685" s="257"/>
    </row>
    <row r="686">
      <c r="B686" s="25"/>
      <c r="C686" s="257"/>
    </row>
    <row r="687">
      <c r="B687" s="25"/>
      <c r="C687" s="257"/>
    </row>
    <row r="688">
      <c r="B688" s="25"/>
      <c r="C688" s="257"/>
    </row>
    <row r="689">
      <c r="B689" s="25"/>
      <c r="C689" s="257"/>
    </row>
    <row r="690">
      <c r="B690" s="25"/>
      <c r="C690" s="257"/>
    </row>
    <row r="691">
      <c r="B691" s="25"/>
      <c r="C691" s="257"/>
    </row>
    <row r="692">
      <c r="B692" s="25"/>
      <c r="C692" s="257"/>
    </row>
    <row r="693">
      <c r="B693" s="25"/>
      <c r="C693" s="257"/>
    </row>
    <row r="694">
      <c r="B694" s="25"/>
      <c r="C694" s="257"/>
    </row>
    <row r="695">
      <c r="B695" s="25"/>
      <c r="C695" s="257"/>
    </row>
    <row r="696">
      <c r="B696" s="25"/>
      <c r="C696" s="257"/>
    </row>
    <row r="697">
      <c r="B697" s="25"/>
      <c r="C697" s="257"/>
    </row>
    <row r="698">
      <c r="B698" s="25"/>
      <c r="C698" s="257"/>
    </row>
    <row r="699">
      <c r="B699" s="25"/>
      <c r="C699" s="257"/>
    </row>
    <row r="700">
      <c r="B700" s="25"/>
      <c r="C700" s="257"/>
    </row>
    <row r="701">
      <c r="B701" s="25"/>
      <c r="C701" s="257"/>
    </row>
    <row r="702">
      <c r="B702" s="25"/>
      <c r="C702" s="257"/>
    </row>
    <row r="703">
      <c r="B703" s="25"/>
      <c r="C703" s="257"/>
    </row>
    <row r="704">
      <c r="B704" s="25"/>
      <c r="C704" s="257"/>
    </row>
    <row r="705">
      <c r="B705" s="25"/>
      <c r="C705" s="257"/>
    </row>
    <row r="706">
      <c r="B706" s="25"/>
      <c r="C706" s="257"/>
    </row>
    <row r="707">
      <c r="B707" s="25"/>
      <c r="C707" s="257"/>
    </row>
    <row r="708">
      <c r="B708" s="25"/>
      <c r="C708" s="257"/>
    </row>
    <row r="709">
      <c r="B709" s="25"/>
      <c r="C709" s="257"/>
    </row>
    <row r="710">
      <c r="B710" s="25"/>
      <c r="C710" s="257"/>
    </row>
    <row r="711">
      <c r="B711" s="25"/>
      <c r="C711" s="257"/>
    </row>
    <row r="712">
      <c r="B712" s="25"/>
      <c r="C712" s="257"/>
    </row>
    <row r="713">
      <c r="B713" s="25"/>
      <c r="C713" s="257"/>
    </row>
    <row r="714">
      <c r="B714" s="25"/>
      <c r="C714" s="257"/>
    </row>
    <row r="715">
      <c r="B715" s="25"/>
      <c r="C715" s="257"/>
    </row>
    <row r="716">
      <c r="B716" s="25"/>
      <c r="C716" s="257"/>
    </row>
    <row r="717">
      <c r="B717" s="25"/>
      <c r="C717" s="257"/>
    </row>
    <row r="718">
      <c r="B718" s="25"/>
      <c r="C718" s="257"/>
    </row>
    <row r="719">
      <c r="B719" s="25"/>
      <c r="C719" s="257"/>
    </row>
    <row r="720">
      <c r="B720" s="25"/>
      <c r="C720" s="257"/>
    </row>
    <row r="721">
      <c r="B721" s="25"/>
      <c r="C721" s="257"/>
    </row>
    <row r="722">
      <c r="B722" s="25"/>
      <c r="C722" s="257"/>
    </row>
    <row r="723">
      <c r="B723" s="25"/>
      <c r="C723" s="257"/>
    </row>
    <row r="724">
      <c r="B724" s="25"/>
      <c r="C724" s="257"/>
    </row>
    <row r="725">
      <c r="B725" s="25"/>
      <c r="C725" s="257"/>
    </row>
    <row r="726">
      <c r="B726" s="25"/>
      <c r="C726" s="257"/>
    </row>
    <row r="727">
      <c r="B727" s="25"/>
      <c r="C727" s="257"/>
    </row>
    <row r="728">
      <c r="B728" s="25"/>
      <c r="C728" s="257"/>
    </row>
    <row r="729">
      <c r="B729" s="25"/>
      <c r="C729" s="257"/>
    </row>
    <row r="730">
      <c r="B730" s="25"/>
      <c r="C730" s="257"/>
    </row>
    <row r="731">
      <c r="B731" s="25"/>
      <c r="C731" s="257"/>
    </row>
    <row r="732">
      <c r="B732" s="25"/>
      <c r="C732" s="257"/>
    </row>
    <row r="733">
      <c r="B733" s="25"/>
      <c r="C733" s="257"/>
    </row>
    <row r="734">
      <c r="B734" s="25"/>
      <c r="C734" s="257"/>
    </row>
    <row r="735">
      <c r="B735" s="25"/>
      <c r="C735" s="257"/>
    </row>
    <row r="736">
      <c r="B736" s="25"/>
      <c r="C736" s="257"/>
    </row>
    <row r="737">
      <c r="B737" s="25"/>
      <c r="C737" s="257"/>
    </row>
    <row r="738">
      <c r="B738" s="25"/>
      <c r="C738" s="257"/>
    </row>
    <row r="739">
      <c r="B739" s="25"/>
      <c r="C739" s="257"/>
    </row>
    <row r="740">
      <c r="B740" s="25"/>
      <c r="C740" s="257"/>
    </row>
    <row r="741">
      <c r="B741" s="25"/>
      <c r="C741" s="257"/>
    </row>
    <row r="742">
      <c r="B742" s="25"/>
      <c r="C742" s="257"/>
    </row>
    <row r="743">
      <c r="B743" s="25"/>
      <c r="C743" s="257"/>
    </row>
    <row r="744">
      <c r="B744" s="25"/>
      <c r="C744" s="257"/>
    </row>
    <row r="745">
      <c r="B745" s="25"/>
      <c r="C745" s="257"/>
    </row>
    <row r="746">
      <c r="B746" s="25"/>
      <c r="C746" s="257"/>
    </row>
    <row r="747">
      <c r="B747" s="25"/>
      <c r="C747" s="257"/>
    </row>
    <row r="748">
      <c r="B748" s="25"/>
      <c r="C748" s="257"/>
    </row>
    <row r="749">
      <c r="B749" s="25"/>
      <c r="C749" s="257"/>
    </row>
    <row r="750">
      <c r="B750" s="25"/>
      <c r="C750" s="257"/>
    </row>
    <row r="751">
      <c r="B751" s="25"/>
      <c r="C751" s="257"/>
    </row>
    <row r="752">
      <c r="B752" s="25"/>
      <c r="C752" s="257"/>
    </row>
    <row r="753">
      <c r="B753" s="25"/>
      <c r="C753" s="257"/>
    </row>
    <row r="754">
      <c r="B754" s="25"/>
      <c r="C754" s="257"/>
    </row>
    <row r="755">
      <c r="B755" s="25"/>
      <c r="C755" s="257"/>
    </row>
    <row r="756">
      <c r="B756" s="25"/>
      <c r="C756" s="257"/>
    </row>
    <row r="757">
      <c r="B757" s="25"/>
      <c r="C757" s="257"/>
    </row>
    <row r="758">
      <c r="B758" s="25"/>
      <c r="C758" s="257"/>
    </row>
    <row r="759">
      <c r="B759" s="25"/>
      <c r="C759" s="257"/>
    </row>
    <row r="760">
      <c r="B760" s="25"/>
      <c r="C760" s="257"/>
    </row>
    <row r="761">
      <c r="B761" s="25"/>
      <c r="C761" s="257"/>
    </row>
    <row r="762">
      <c r="B762" s="25"/>
      <c r="C762" s="257"/>
    </row>
    <row r="763">
      <c r="B763" s="25"/>
      <c r="C763" s="257"/>
    </row>
    <row r="764">
      <c r="B764" s="25"/>
      <c r="C764" s="257"/>
    </row>
    <row r="765">
      <c r="B765" s="25"/>
      <c r="C765" s="257"/>
    </row>
    <row r="766">
      <c r="B766" s="25"/>
      <c r="C766" s="257"/>
    </row>
    <row r="767">
      <c r="B767" s="25"/>
      <c r="C767" s="257"/>
    </row>
    <row r="768">
      <c r="B768" s="25"/>
      <c r="C768" s="257"/>
    </row>
    <row r="769">
      <c r="B769" s="25"/>
      <c r="C769" s="257"/>
    </row>
    <row r="770">
      <c r="B770" s="25"/>
      <c r="C770" s="257"/>
    </row>
    <row r="771">
      <c r="B771" s="25"/>
      <c r="C771" s="257"/>
    </row>
    <row r="772">
      <c r="B772" s="25"/>
      <c r="C772" s="257"/>
    </row>
    <row r="773">
      <c r="B773" s="25"/>
      <c r="C773" s="257"/>
    </row>
    <row r="774">
      <c r="B774" s="25"/>
      <c r="C774" s="257"/>
    </row>
    <row r="775">
      <c r="B775" s="25"/>
      <c r="C775" s="257"/>
    </row>
    <row r="776">
      <c r="B776" s="25"/>
      <c r="C776" s="257"/>
    </row>
    <row r="777">
      <c r="B777" s="25"/>
      <c r="C777" s="257"/>
    </row>
    <row r="778">
      <c r="B778" s="25"/>
      <c r="C778" s="257"/>
    </row>
    <row r="779">
      <c r="B779" s="25"/>
      <c r="C779" s="257"/>
    </row>
    <row r="780">
      <c r="B780" s="25"/>
      <c r="C780" s="257"/>
    </row>
    <row r="781">
      <c r="B781" s="25"/>
      <c r="C781" s="257"/>
    </row>
    <row r="782">
      <c r="B782" s="25"/>
      <c r="C782" s="257"/>
    </row>
    <row r="783">
      <c r="B783" s="25"/>
      <c r="C783" s="257"/>
    </row>
    <row r="784">
      <c r="B784" s="25"/>
      <c r="C784" s="257"/>
    </row>
    <row r="785">
      <c r="B785" s="25"/>
      <c r="C785" s="257"/>
    </row>
    <row r="786">
      <c r="B786" s="25"/>
      <c r="C786" s="257"/>
    </row>
    <row r="787">
      <c r="B787" s="25"/>
      <c r="C787" s="257"/>
    </row>
    <row r="788">
      <c r="B788" s="25"/>
      <c r="C788" s="257"/>
    </row>
    <row r="789">
      <c r="B789" s="25"/>
      <c r="C789" s="257"/>
    </row>
    <row r="790">
      <c r="B790" s="25"/>
      <c r="C790" s="257"/>
    </row>
    <row r="791">
      <c r="B791" s="25"/>
      <c r="C791" s="257"/>
    </row>
    <row r="792">
      <c r="B792" s="25"/>
      <c r="C792" s="257"/>
    </row>
    <row r="793">
      <c r="B793" s="25"/>
      <c r="C793" s="257"/>
    </row>
    <row r="794">
      <c r="B794" s="25"/>
      <c r="C794" s="257"/>
    </row>
    <row r="795">
      <c r="B795" s="25"/>
      <c r="C795" s="257"/>
    </row>
    <row r="796">
      <c r="B796" s="25"/>
      <c r="C796" s="257"/>
    </row>
    <row r="797">
      <c r="B797" s="25"/>
      <c r="C797" s="257"/>
    </row>
    <row r="798">
      <c r="B798" s="25"/>
      <c r="C798" s="257"/>
    </row>
    <row r="799">
      <c r="B799" s="25"/>
      <c r="C799" s="257"/>
    </row>
    <row r="800">
      <c r="B800" s="25"/>
      <c r="C800" s="257"/>
    </row>
    <row r="801">
      <c r="B801" s="25"/>
      <c r="C801" s="257"/>
    </row>
    <row r="802">
      <c r="B802" s="25"/>
      <c r="C802" s="257"/>
    </row>
    <row r="803">
      <c r="B803" s="25"/>
      <c r="C803" s="257"/>
    </row>
    <row r="804">
      <c r="B804" s="25"/>
      <c r="C804" s="257"/>
    </row>
    <row r="805">
      <c r="B805" s="25"/>
      <c r="C805" s="257"/>
    </row>
    <row r="806">
      <c r="B806" s="25"/>
      <c r="C806" s="257"/>
    </row>
    <row r="807">
      <c r="B807" s="25"/>
      <c r="C807" s="257"/>
    </row>
    <row r="808">
      <c r="B808" s="25"/>
      <c r="C808" s="257"/>
    </row>
    <row r="809">
      <c r="B809" s="25"/>
      <c r="C809" s="257"/>
    </row>
    <row r="810">
      <c r="B810" s="25"/>
      <c r="C810" s="257"/>
    </row>
    <row r="811">
      <c r="B811" s="25"/>
      <c r="C811" s="257"/>
    </row>
    <row r="812">
      <c r="B812" s="25"/>
      <c r="C812" s="257"/>
    </row>
    <row r="813">
      <c r="B813" s="25"/>
      <c r="C813" s="257"/>
    </row>
    <row r="814">
      <c r="B814" s="25"/>
      <c r="C814" s="257"/>
    </row>
    <row r="815">
      <c r="B815" s="25"/>
      <c r="C815" s="257"/>
    </row>
    <row r="816">
      <c r="B816" s="25"/>
      <c r="C816" s="257"/>
    </row>
    <row r="817">
      <c r="B817" s="25"/>
      <c r="C817" s="257"/>
    </row>
    <row r="818">
      <c r="B818" s="25"/>
      <c r="C818" s="257"/>
    </row>
    <row r="819">
      <c r="B819" s="25"/>
      <c r="C819" s="257"/>
    </row>
    <row r="820">
      <c r="B820" s="25"/>
      <c r="C820" s="257"/>
    </row>
    <row r="821">
      <c r="B821" s="25"/>
      <c r="C821" s="257"/>
    </row>
    <row r="822">
      <c r="B822" s="25"/>
      <c r="C822" s="257"/>
    </row>
    <row r="823">
      <c r="B823" s="25"/>
      <c r="C823" s="257"/>
    </row>
    <row r="824">
      <c r="B824" s="25"/>
      <c r="C824" s="257"/>
    </row>
    <row r="825">
      <c r="B825" s="25"/>
      <c r="C825" s="257"/>
    </row>
    <row r="826">
      <c r="B826" s="25"/>
      <c r="C826" s="257"/>
    </row>
    <row r="827">
      <c r="B827" s="25"/>
      <c r="C827" s="257"/>
    </row>
    <row r="828">
      <c r="B828" s="25"/>
      <c r="C828" s="257"/>
    </row>
    <row r="829">
      <c r="B829" s="25"/>
      <c r="C829" s="257"/>
    </row>
    <row r="830">
      <c r="B830" s="25"/>
      <c r="C830" s="257"/>
    </row>
    <row r="831">
      <c r="B831" s="25"/>
      <c r="C831" s="257"/>
    </row>
    <row r="832">
      <c r="B832" s="25"/>
      <c r="C832" s="257"/>
    </row>
    <row r="833">
      <c r="B833" s="25"/>
      <c r="C833" s="257"/>
    </row>
    <row r="834">
      <c r="B834" s="25"/>
      <c r="C834" s="257"/>
    </row>
    <row r="835">
      <c r="B835" s="25"/>
      <c r="C835" s="257"/>
    </row>
    <row r="836">
      <c r="B836" s="25"/>
      <c r="C836" s="257"/>
    </row>
    <row r="837">
      <c r="B837" s="25"/>
      <c r="C837" s="257"/>
    </row>
    <row r="838">
      <c r="B838" s="25"/>
      <c r="C838" s="257"/>
    </row>
    <row r="839">
      <c r="B839" s="25"/>
      <c r="C839" s="257"/>
    </row>
    <row r="840">
      <c r="B840" s="25"/>
      <c r="C840" s="257"/>
    </row>
    <row r="841">
      <c r="B841" s="25"/>
      <c r="C841" s="257"/>
    </row>
    <row r="842">
      <c r="B842" s="25"/>
      <c r="C842" s="257"/>
    </row>
    <row r="843">
      <c r="B843" s="25"/>
      <c r="C843" s="257"/>
    </row>
    <row r="844">
      <c r="B844" s="25"/>
      <c r="C844" s="257"/>
    </row>
    <row r="845">
      <c r="B845" s="25"/>
      <c r="C845" s="257"/>
    </row>
    <row r="846">
      <c r="B846" s="25"/>
      <c r="C846" s="257"/>
    </row>
    <row r="847">
      <c r="B847" s="25"/>
      <c r="C847" s="257"/>
    </row>
    <row r="848">
      <c r="B848" s="25"/>
      <c r="C848" s="257"/>
    </row>
    <row r="849">
      <c r="B849" s="25"/>
      <c r="C849" s="257"/>
    </row>
    <row r="850">
      <c r="B850" s="25"/>
      <c r="C850" s="257"/>
    </row>
    <row r="851">
      <c r="B851" s="25"/>
      <c r="C851" s="257"/>
    </row>
    <row r="852">
      <c r="B852" s="25"/>
      <c r="C852" s="257"/>
    </row>
    <row r="853">
      <c r="B853" s="25"/>
      <c r="C853" s="257"/>
    </row>
    <row r="854">
      <c r="B854" s="25"/>
      <c r="C854" s="257"/>
    </row>
    <row r="855">
      <c r="B855" s="25"/>
      <c r="C855" s="257"/>
    </row>
    <row r="856">
      <c r="B856" s="25"/>
      <c r="C856" s="257"/>
    </row>
    <row r="857">
      <c r="B857" s="25"/>
      <c r="C857" s="257"/>
    </row>
    <row r="858">
      <c r="B858" s="25"/>
      <c r="C858" s="257"/>
    </row>
    <row r="859">
      <c r="B859" s="25"/>
      <c r="C859" s="257"/>
    </row>
    <row r="860">
      <c r="B860" s="25"/>
      <c r="C860" s="257"/>
    </row>
    <row r="861">
      <c r="B861" s="25"/>
      <c r="C861" s="257"/>
    </row>
    <row r="862">
      <c r="B862" s="25"/>
      <c r="C862" s="257"/>
    </row>
    <row r="863">
      <c r="B863" s="25"/>
      <c r="C863" s="257"/>
    </row>
    <row r="864">
      <c r="B864" s="25"/>
      <c r="C864" s="257"/>
    </row>
    <row r="865">
      <c r="B865" s="25"/>
      <c r="C865" s="257"/>
    </row>
    <row r="866">
      <c r="B866" s="25"/>
      <c r="C866" s="257"/>
    </row>
    <row r="867">
      <c r="B867" s="25"/>
      <c r="C867" s="257"/>
    </row>
    <row r="868">
      <c r="B868" s="25"/>
      <c r="C868" s="257"/>
    </row>
    <row r="869">
      <c r="B869" s="25"/>
      <c r="C869" s="257"/>
    </row>
    <row r="870">
      <c r="B870" s="25"/>
      <c r="C870" s="257"/>
    </row>
    <row r="871">
      <c r="B871" s="25"/>
      <c r="C871" s="257"/>
    </row>
    <row r="872">
      <c r="B872" s="25"/>
      <c r="C872" s="257"/>
    </row>
    <row r="873">
      <c r="B873" s="25"/>
      <c r="C873" s="257"/>
    </row>
    <row r="874">
      <c r="B874" s="25"/>
      <c r="C874" s="257"/>
    </row>
    <row r="875">
      <c r="B875" s="25"/>
      <c r="C875" s="257"/>
    </row>
    <row r="876">
      <c r="B876" s="25"/>
      <c r="C876" s="257"/>
    </row>
    <row r="877">
      <c r="B877" s="25"/>
      <c r="C877" s="257"/>
    </row>
    <row r="878">
      <c r="B878" s="25"/>
      <c r="C878" s="257"/>
    </row>
    <row r="879">
      <c r="B879" s="25"/>
      <c r="C879" s="257"/>
    </row>
    <row r="880">
      <c r="B880" s="25"/>
      <c r="C880" s="257"/>
    </row>
    <row r="881">
      <c r="B881" s="25"/>
      <c r="C881" s="257"/>
    </row>
    <row r="882">
      <c r="B882" s="25"/>
      <c r="C882" s="257"/>
    </row>
    <row r="883">
      <c r="B883" s="25"/>
      <c r="C883" s="257"/>
    </row>
    <row r="884">
      <c r="B884" s="25"/>
      <c r="C884" s="257"/>
    </row>
    <row r="885">
      <c r="B885" s="25"/>
      <c r="C885" s="257"/>
    </row>
    <row r="886">
      <c r="B886" s="25"/>
      <c r="C886" s="257"/>
    </row>
    <row r="887">
      <c r="B887" s="25"/>
      <c r="C887" s="257"/>
    </row>
    <row r="888">
      <c r="B888" s="25"/>
      <c r="C888" s="257"/>
    </row>
    <row r="889">
      <c r="B889" s="25"/>
      <c r="C889" s="257"/>
    </row>
    <row r="890">
      <c r="B890" s="25"/>
      <c r="C890" s="257"/>
    </row>
    <row r="891">
      <c r="B891" s="25"/>
      <c r="C891" s="257"/>
    </row>
    <row r="892">
      <c r="B892" s="25"/>
      <c r="C892" s="257"/>
    </row>
    <row r="893">
      <c r="B893" s="25"/>
      <c r="C893" s="257"/>
    </row>
    <row r="894">
      <c r="B894" s="25"/>
      <c r="C894" s="257"/>
    </row>
    <row r="895">
      <c r="B895" s="25"/>
      <c r="C895" s="257"/>
    </row>
    <row r="896">
      <c r="B896" s="25"/>
      <c r="C896" s="257"/>
    </row>
    <row r="897">
      <c r="B897" s="25"/>
      <c r="C897" s="257"/>
    </row>
    <row r="898">
      <c r="B898" s="25"/>
      <c r="C898" s="257"/>
    </row>
    <row r="899">
      <c r="B899" s="25"/>
      <c r="C899" s="257"/>
    </row>
    <row r="900">
      <c r="B900" s="25"/>
      <c r="C900" s="257"/>
    </row>
    <row r="901">
      <c r="B901" s="25"/>
      <c r="C901" s="257"/>
    </row>
    <row r="902">
      <c r="B902" s="25"/>
      <c r="C902" s="257"/>
    </row>
    <row r="903">
      <c r="B903" s="25"/>
      <c r="C903" s="257"/>
    </row>
    <row r="904">
      <c r="B904" s="25"/>
      <c r="C904" s="257"/>
    </row>
    <row r="905">
      <c r="B905" s="25"/>
      <c r="C905" s="257"/>
    </row>
    <row r="906">
      <c r="B906" s="25"/>
      <c r="C906" s="257"/>
    </row>
    <row r="907">
      <c r="B907" s="25"/>
      <c r="C907" s="257"/>
    </row>
    <row r="908">
      <c r="B908" s="25"/>
      <c r="C908" s="257"/>
    </row>
    <row r="909">
      <c r="B909" s="25"/>
      <c r="C909" s="257"/>
    </row>
    <row r="910">
      <c r="B910" s="25"/>
      <c r="C910" s="257"/>
    </row>
    <row r="911">
      <c r="B911" s="25"/>
      <c r="C911" s="257"/>
    </row>
    <row r="912">
      <c r="B912" s="25"/>
      <c r="C912" s="257"/>
    </row>
    <row r="913">
      <c r="B913" s="25"/>
      <c r="C913" s="257"/>
    </row>
    <row r="914">
      <c r="B914" s="25"/>
      <c r="C914" s="257"/>
    </row>
    <row r="915">
      <c r="B915" s="25"/>
      <c r="C915" s="257"/>
    </row>
    <row r="916">
      <c r="B916" s="25"/>
      <c r="C916" s="257"/>
    </row>
    <row r="917">
      <c r="B917" s="25"/>
      <c r="C917" s="257"/>
    </row>
    <row r="918">
      <c r="B918" s="25"/>
      <c r="C918" s="257"/>
    </row>
    <row r="919">
      <c r="B919" s="25"/>
      <c r="C919" s="257"/>
    </row>
    <row r="920">
      <c r="B920" s="25"/>
      <c r="C920" s="257"/>
    </row>
    <row r="921">
      <c r="B921" s="25"/>
      <c r="C921" s="257"/>
    </row>
    <row r="922">
      <c r="B922" s="25"/>
      <c r="C922" s="257"/>
    </row>
    <row r="923">
      <c r="B923" s="25"/>
      <c r="C923" s="257"/>
    </row>
    <row r="924">
      <c r="B924" s="25"/>
      <c r="C924" s="257"/>
    </row>
    <row r="925">
      <c r="B925" s="25"/>
      <c r="C925" s="257"/>
    </row>
    <row r="926">
      <c r="B926" s="25"/>
      <c r="C926" s="257"/>
    </row>
    <row r="927">
      <c r="B927" s="25"/>
      <c r="C927" s="257"/>
    </row>
    <row r="928">
      <c r="B928" s="25"/>
      <c r="C928" s="257"/>
    </row>
    <row r="929">
      <c r="B929" s="25"/>
      <c r="C929" s="257"/>
    </row>
    <row r="930">
      <c r="B930" s="25"/>
      <c r="C930" s="257"/>
    </row>
    <row r="931">
      <c r="B931" s="25"/>
      <c r="C931" s="257"/>
    </row>
    <row r="932">
      <c r="B932" s="25"/>
      <c r="C932" s="257"/>
    </row>
    <row r="933">
      <c r="B933" s="25"/>
      <c r="C933" s="257"/>
    </row>
    <row r="934">
      <c r="B934" s="25"/>
      <c r="C934" s="257"/>
    </row>
    <row r="935">
      <c r="B935" s="25"/>
      <c r="C935" s="257"/>
    </row>
    <row r="936">
      <c r="B936" s="25"/>
      <c r="C936" s="257"/>
    </row>
    <row r="937">
      <c r="B937" s="25"/>
      <c r="C937" s="257"/>
    </row>
    <row r="938">
      <c r="B938" s="25"/>
      <c r="C938" s="257"/>
    </row>
    <row r="939">
      <c r="B939" s="25"/>
      <c r="C939" s="257"/>
    </row>
    <row r="940">
      <c r="B940" s="25"/>
      <c r="C940" s="257"/>
    </row>
    <row r="941">
      <c r="B941" s="25"/>
      <c r="C941" s="257"/>
    </row>
    <row r="942">
      <c r="B942" s="25"/>
      <c r="C942" s="257"/>
    </row>
    <row r="943">
      <c r="B943" s="25"/>
      <c r="C943" s="257"/>
    </row>
    <row r="944">
      <c r="B944" s="25"/>
      <c r="C944" s="257"/>
    </row>
    <row r="945">
      <c r="B945" s="25"/>
      <c r="C945" s="257"/>
    </row>
    <row r="946">
      <c r="B946" s="25"/>
      <c r="C946" s="257"/>
    </row>
    <row r="947">
      <c r="B947" s="25"/>
      <c r="C947" s="257"/>
    </row>
    <row r="948">
      <c r="B948" s="25"/>
      <c r="C948" s="257"/>
    </row>
    <row r="949">
      <c r="B949" s="25"/>
      <c r="C949" s="257"/>
    </row>
    <row r="950">
      <c r="B950" s="25"/>
      <c r="C950" s="257"/>
    </row>
    <row r="951">
      <c r="B951" s="25"/>
      <c r="C951" s="257"/>
    </row>
    <row r="952">
      <c r="B952" s="25"/>
      <c r="C952" s="257"/>
    </row>
    <row r="953">
      <c r="B953" s="25"/>
      <c r="C953" s="257"/>
    </row>
    <row r="954">
      <c r="B954" s="25"/>
      <c r="C954" s="257"/>
    </row>
    <row r="955">
      <c r="B955" s="25"/>
      <c r="C955" s="257"/>
    </row>
    <row r="956">
      <c r="B956" s="25"/>
      <c r="C956" s="257"/>
    </row>
    <row r="957">
      <c r="B957" s="25"/>
      <c r="C957" s="257"/>
    </row>
    <row r="958">
      <c r="B958" s="25"/>
      <c r="C958" s="257"/>
    </row>
    <row r="959">
      <c r="B959" s="25"/>
      <c r="C959" s="257"/>
    </row>
    <row r="960">
      <c r="B960" s="25"/>
      <c r="C960" s="257"/>
    </row>
    <row r="961">
      <c r="B961" s="25"/>
      <c r="C961" s="257"/>
    </row>
    <row r="962">
      <c r="B962" s="25"/>
      <c r="C962" s="257"/>
    </row>
    <row r="963">
      <c r="B963" s="25"/>
      <c r="C963" s="257"/>
    </row>
    <row r="964">
      <c r="B964" s="25"/>
      <c r="C964" s="257"/>
    </row>
    <row r="965">
      <c r="B965" s="25"/>
      <c r="C965" s="257"/>
    </row>
    <row r="966">
      <c r="B966" s="25"/>
      <c r="C966" s="257"/>
    </row>
    <row r="967">
      <c r="B967" s="25"/>
      <c r="C967" s="257"/>
    </row>
    <row r="968">
      <c r="B968" s="25"/>
      <c r="C968" s="257"/>
    </row>
    <row r="969">
      <c r="B969" s="25"/>
      <c r="C969" s="257"/>
    </row>
    <row r="970">
      <c r="B970" s="25"/>
      <c r="C970" s="257"/>
    </row>
    <row r="971">
      <c r="B971" s="25"/>
      <c r="C971" s="257"/>
    </row>
    <row r="972">
      <c r="B972" s="25"/>
      <c r="C972" s="257"/>
    </row>
    <row r="973">
      <c r="B973" s="25"/>
      <c r="C973" s="257"/>
    </row>
    <row r="974">
      <c r="B974" s="25"/>
      <c r="C974" s="257"/>
    </row>
    <row r="975">
      <c r="B975" s="25"/>
      <c r="C975" s="257"/>
    </row>
    <row r="976">
      <c r="B976" s="25"/>
      <c r="C976" s="257"/>
    </row>
    <row r="977">
      <c r="B977" s="25"/>
      <c r="C977" s="257"/>
    </row>
    <row r="978">
      <c r="B978" s="25"/>
      <c r="C978" s="257"/>
    </row>
    <row r="979">
      <c r="B979" s="25"/>
      <c r="C979" s="257"/>
    </row>
    <row r="980">
      <c r="B980" s="25"/>
      <c r="C980" s="257"/>
    </row>
    <row r="981">
      <c r="B981" s="25"/>
      <c r="C981" s="257"/>
    </row>
    <row r="982">
      <c r="B982" s="25"/>
      <c r="C982" s="257"/>
    </row>
    <row r="983">
      <c r="B983" s="25"/>
      <c r="C983" s="257"/>
    </row>
    <row r="984">
      <c r="B984" s="25"/>
      <c r="C984" s="257"/>
    </row>
    <row r="985">
      <c r="B985" s="25"/>
      <c r="C985" s="257"/>
    </row>
    <row r="986">
      <c r="B986" s="25"/>
      <c r="C986" s="257"/>
    </row>
    <row r="987">
      <c r="B987" s="25"/>
      <c r="C987" s="257"/>
    </row>
    <row r="988">
      <c r="B988" s="25"/>
      <c r="C988" s="257"/>
    </row>
    <row r="989">
      <c r="B989" s="25"/>
      <c r="C989" s="257"/>
    </row>
    <row r="990">
      <c r="B990" s="25"/>
      <c r="C990" s="257"/>
    </row>
    <row r="991">
      <c r="B991" s="25"/>
      <c r="C991" s="257"/>
    </row>
    <row r="992">
      <c r="B992" s="25"/>
      <c r="C992" s="257"/>
    </row>
    <row r="993">
      <c r="B993" s="25"/>
      <c r="C993" s="257"/>
    </row>
    <row r="994">
      <c r="B994" s="25"/>
      <c r="C994" s="257"/>
    </row>
    <row r="995">
      <c r="B995" s="25"/>
      <c r="C995" s="257"/>
    </row>
    <row r="996">
      <c r="B996" s="25"/>
      <c r="C996" s="257"/>
    </row>
    <row r="997">
      <c r="B997" s="25"/>
      <c r="C997" s="257"/>
    </row>
    <row r="998">
      <c r="B998" s="25"/>
      <c r="C998" s="257"/>
    </row>
    <row r="999">
      <c r="B999" s="25"/>
      <c r="C999" s="257"/>
    </row>
    <row r="1000">
      <c r="B1000" s="25"/>
      <c r="C1000" s="257"/>
    </row>
    <row r="1001">
      <c r="B1001" s="25"/>
      <c r="C1001" s="257"/>
    </row>
    <row r="1002">
      <c r="B1002" s="25"/>
      <c r="C1002" s="257"/>
    </row>
    <row r="1003">
      <c r="B1003" s="25"/>
      <c r="C1003" s="257"/>
    </row>
    <row r="1004">
      <c r="B1004" s="25"/>
      <c r="C1004" s="257"/>
    </row>
    <row r="1005">
      <c r="B1005" s="25"/>
      <c r="C1005" s="257"/>
    </row>
    <row r="1006">
      <c r="B1006" s="25"/>
      <c r="C1006" s="257"/>
    </row>
    <row r="1007">
      <c r="B1007" s="25"/>
      <c r="C1007" s="257"/>
    </row>
    <row r="1008">
      <c r="B1008" s="25"/>
      <c r="C1008" s="257"/>
    </row>
    <row r="1009">
      <c r="B1009" s="25"/>
      <c r="C1009" s="257"/>
    </row>
    <row r="1010">
      <c r="B1010" s="25"/>
      <c r="C1010" s="257"/>
    </row>
    <row r="1011">
      <c r="B1011" s="25"/>
      <c r="C1011" s="257"/>
    </row>
    <row r="1012">
      <c r="B1012" s="25"/>
      <c r="C1012" s="257"/>
    </row>
    <row r="1013">
      <c r="B1013" s="25"/>
      <c r="C1013" s="257"/>
    </row>
    <row r="1014">
      <c r="B1014" s="25"/>
      <c r="C1014" s="257"/>
    </row>
    <row r="1015">
      <c r="B1015" s="25"/>
      <c r="C1015" s="257"/>
    </row>
    <row r="1016">
      <c r="B1016" s="25"/>
      <c r="C1016" s="257"/>
    </row>
    <row r="1017">
      <c r="B1017" s="25"/>
      <c r="C1017" s="257"/>
    </row>
    <row r="1018">
      <c r="B1018" s="25"/>
      <c r="C1018" s="257"/>
    </row>
    <row r="1019">
      <c r="B1019" s="25"/>
      <c r="C1019" s="257"/>
    </row>
    <row r="1020">
      <c r="B1020" s="25"/>
      <c r="C1020" s="257"/>
    </row>
    <row r="1021">
      <c r="B1021" s="25"/>
      <c r="C1021" s="257"/>
    </row>
    <row r="1022">
      <c r="B1022" s="25"/>
      <c r="C1022" s="257"/>
    </row>
    <row r="1023">
      <c r="B1023" s="25"/>
      <c r="C1023" s="257"/>
    </row>
    <row r="1024">
      <c r="B1024" s="25"/>
      <c r="C1024" s="257"/>
    </row>
    <row r="1025">
      <c r="B1025" s="25"/>
      <c r="C1025" s="257"/>
    </row>
    <row r="1026">
      <c r="B1026" s="25"/>
      <c r="C1026" s="257"/>
    </row>
    <row r="1027">
      <c r="B1027" s="25"/>
      <c r="C1027" s="257"/>
    </row>
    <row r="1028">
      <c r="B1028" s="25"/>
      <c r="C1028" s="257"/>
    </row>
    <row r="1029">
      <c r="B1029" s="25"/>
      <c r="C1029" s="257"/>
    </row>
    <row r="1030">
      <c r="B1030" s="25"/>
      <c r="C1030" s="257"/>
    </row>
    <row r="1031">
      <c r="B1031" s="25"/>
      <c r="C1031" s="257"/>
    </row>
    <row r="1032">
      <c r="B1032" s="25"/>
      <c r="C1032" s="257"/>
    </row>
    <row r="1033">
      <c r="B1033" s="25"/>
      <c r="C1033" s="257"/>
    </row>
    <row r="1034">
      <c r="B1034" s="25"/>
      <c r="C1034" s="257"/>
    </row>
    <row r="1035">
      <c r="B1035" s="25"/>
      <c r="C1035" s="257"/>
    </row>
    <row r="1036">
      <c r="B1036" s="25"/>
      <c r="C1036" s="257"/>
    </row>
    <row r="1037">
      <c r="B1037" s="25"/>
      <c r="C1037" s="257"/>
    </row>
    <row r="1038">
      <c r="B1038" s="25"/>
      <c r="C1038" s="257"/>
    </row>
    <row r="1039">
      <c r="B1039" s="25"/>
      <c r="C1039" s="257"/>
    </row>
    <row r="1040">
      <c r="B1040" s="25"/>
      <c r="C1040" s="257"/>
    </row>
    <row r="1041">
      <c r="B1041" s="25"/>
      <c r="C1041" s="257"/>
    </row>
    <row r="1042">
      <c r="B1042" s="25"/>
      <c r="C1042" s="257"/>
    </row>
    <row r="1043">
      <c r="B1043" s="25"/>
      <c r="C1043" s="257"/>
    </row>
    <row r="1044">
      <c r="B1044" s="25"/>
      <c r="C1044" s="257"/>
    </row>
    <row r="1045">
      <c r="B1045" s="25"/>
      <c r="C1045" s="257"/>
    </row>
    <row r="1046">
      <c r="B1046" s="25"/>
      <c r="C1046" s="257"/>
    </row>
    <row r="1047">
      <c r="B1047" s="25"/>
      <c r="C1047" s="257"/>
    </row>
    <row r="1048">
      <c r="B1048" s="25"/>
      <c r="C1048" s="257"/>
    </row>
    <row r="1049">
      <c r="B1049" s="25"/>
      <c r="C1049" s="257"/>
    </row>
    <row r="1050">
      <c r="B1050" s="25"/>
      <c r="C1050" s="257"/>
    </row>
    <row r="1051">
      <c r="B1051" s="25"/>
      <c r="C1051" s="257"/>
    </row>
    <row r="1052">
      <c r="B1052" s="25"/>
      <c r="C1052" s="257"/>
    </row>
    <row r="1053">
      <c r="B1053" s="25"/>
      <c r="C1053" s="257"/>
    </row>
    <row r="1054">
      <c r="B1054" s="25"/>
      <c r="C1054" s="257"/>
    </row>
    <row r="1055">
      <c r="B1055" s="25"/>
      <c r="C1055" s="257"/>
    </row>
    <row r="1056">
      <c r="B1056" s="25"/>
      <c r="C1056" s="257"/>
    </row>
    <row r="1057">
      <c r="B1057" s="25"/>
      <c r="C1057" s="257"/>
    </row>
    <row r="1058">
      <c r="B1058" s="25"/>
      <c r="C1058" s="257"/>
    </row>
    <row r="1059">
      <c r="B1059" s="25"/>
      <c r="C1059" s="257"/>
    </row>
    <row r="1060">
      <c r="B1060" s="25"/>
      <c r="C1060" s="257"/>
    </row>
    <row r="1061">
      <c r="B1061" s="25"/>
      <c r="C1061" s="257"/>
    </row>
    <row r="1062">
      <c r="B1062" s="25"/>
      <c r="C1062" s="257"/>
    </row>
    <row r="1063">
      <c r="B1063" s="25"/>
      <c r="C1063" s="257"/>
    </row>
    <row r="1064">
      <c r="B1064" s="25"/>
      <c r="C1064" s="257"/>
    </row>
    <row r="1065">
      <c r="B1065" s="25"/>
      <c r="C1065" s="257"/>
    </row>
    <row r="1066">
      <c r="B1066" s="25"/>
      <c r="C1066" s="257"/>
    </row>
    <row r="1067">
      <c r="B1067" s="25"/>
      <c r="C1067" s="257"/>
    </row>
    <row r="1068">
      <c r="B1068" s="25"/>
      <c r="C1068" s="257"/>
    </row>
    <row r="1069">
      <c r="B1069" s="25"/>
      <c r="C1069" s="257"/>
    </row>
    <row r="1070">
      <c r="B1070" s="25"/>
      <c r="C1070" s="257"/>
    </row>
    <row r="1071">
      <c r="B1071" s="25"/>
      <c r="C1071" s="257"/>
    </row>
    <row r="1072">
      <c r="B1072" s="25"/>
      <c r="C1072" s="257"/>
    </row>
    <row r="1073">
      <c r="B1073" s="25"/>
      <c r="C1073" s="257"/>
    </row>
    <row r="1074">
      <c r="B1074" s="25"/>
      <c r="C1074" s="257"/>
    </row>
    <row r="1075">
      <c r="B1075" s="25"/>
      <c r="C1075" s="257"/>
    </row>
    <row r="1076">
      <c r="B1076" s="25"/>
      <c r="C1076" s="257"/>
    </row>
    <row r="1077">
      <c r="B1077" s="25"/>
      <c r="C1077" s="257"/>
    </row>
    <row r="1078">
      <c r="B1078" s="25"/>
      <c r="C1078" s="257"/>
    </row>
    <row r="1079">
      <c r="B1079" s="25"/>
      <c r="C1079" s="257"/>
    </row>
    <row r="1080">
      <c r="B1080" s="25"/>
      <c r="C1080" s="257"/>
    </row>
    <row r="1081">
      <c r="B1081" s="25"/>
      <c r="C1081" s="257"/>
    </row>
    <row r="1082">
      <c r="B1082" s="25"/>
      <c r="C1082" s="257"/>
    </row>
    <row r="1083">
      <c r="B1083" s="25"/>
      <c r="C1083" s="257"/>
    </row>
    <row r="1084">
      <c r="B1084" s="25"/>
      <c r="C1084" s="257"/>
    </row>
    <row r="1085">
      <c r="B1085" s="25"/>
      <c r="C1085" s="257"/>
    </row>
    <row r="1086">
      <c r="B1086" s="25"/>
      <c r="C1086" s="257"/>
    </row>
    <row r="1087">
      <c r="B1087" s="25"/>
      <c r="C1087" s="257"/>
    </row>
    <row r="1088">
      <c r="B1088" s="25"/>
      <c r="C1088" s="257"/>
    </row>
    <row r="1089">
      <c r="B1089" s="25"/>
      <c r="C1089" s="257"/>
    </row>
    <row r="1090">
      <c r="B1090" s="25"/>
      <c r="C1090" s="257"/>
    </row>
    <row r="1091">
      <c r="B1091" s="25"/>
      <c r="C1091" s="257"/>
    </row>
    <row r="1092">
      <c r="B1092" s="25"/>
      <c r="C1092" s="257"/>
    </row>
    <row r="1093">
      <c r="B1093" s="25"/>
      <c r="C1093" s="257"/>
    </row>
    <row r="1094">
      <c r="B1094" s="25"/>
      <c r="C1094" s="257"/>
    </row>
    <row r="1095">
      <c r="B1095" s="25"/>
      <c r="C1095" s="257"/>
    </row>
    <row r="1096">
      <c r="B1096" s="25"/>
      <c r="C1096" s="257"/>
    </row>
    <row r="1097">
      <c r="B1097" s="25"/>
      <c r="C1097" s="257"/>
    </row>
    <row r="1098">
      <c r="B1098" s="25"/>
      <c r="C1098" s="257"/>
    </row>
    <row r="1099">
      <c r="B1099" s="25"/>
      <c r="C1099" s="257"/>
    </row>
    <row r="1100">
      <c r="B1100" s="25"/>
      <c r="C1100" s="257"/>
    </row>
    <row r="1101">
      <c r="B1101" s="25"/>
      <c r="C1101" s="257"/>
    </row>
    <row r="1102">
      <c r="B1102" s="25"/>
      <c r="C1102" s="257"/>
    </row>
    <row r="1103">
      <c r="B1103" s="25"/>
      <c r="C1103" s="257"/>
    </row>
    <row r="1104">
      <c r="B1104" s="25"/>
      <c r="C1104" s="257"/>
    </row>
    <row r="1105">
      <c r="B1105" s="25"/>
      <c r="C1105" s="257"/>
    </row>
    <row r="1106">
      <c r="B1106" s="25"/>
      <c r="C1106" s="257"/>
    </row>
    <row r="1107">
      <c r="B1107" s="25"/>
      <c r="C1107" s="257"/>
    </row>
    <row r="1108">
      <c r="B1108" s="25"/>
      <c r="C1108" s="257"/>
    </row>
    <row r="1109">
      <c r="B1109" s="25"/>
      <c r="C1109" s="257"/>
    </row>
    <row r="1110">
      <c r="B1110" s="25"/>
      <c r="C1110" s="257"/>
    </row>
    <row r="1111">
      <c r="B1111" s="25"/>
      <c r="C1111" s="257"/>
    </row>
    <row r="1112">
      <c r="B1112" s="25"/>
      <c r="C1112" s="257"/>
    </row>
    <row r="1113">
      <c r="B1113" s="25"/>
      <c r="C1113" s="257"/>
    </row>
    <row r="1114">
      <c r="B1114" s="25"/>
      <c r="C1114" s="257"/>
    </row>
    <row r="1115">
      <c r="B1115" s="25"/>
      <c r="C1115" s="257"/>
    </row>
    <row r="1116">
      <c r="B1116" s="25"/>
      <c r="C1116" s="257"/>
    </row>
    <row r="1117">
      <c r="B1117" s="25"/>
      <c r="C1117" s="257"/>
    </row>
    <row r="1118">
      <c r="B1118" s="25"/>
      <c r="C1118" s="257"/>
    </row>
    <row r="1119">
      <c r="B1119" s="25"/>
      <c r="C1119" s="257"/>
    </row>
    <row r="1120">
      <c r="B1120" s="25"/>
      <c r="C1120" s="257"/>
    </row>
    <row r="1121">
      <c r="B1121" s="25"/>
      <c r="C1121" s="257"/>
    </row>
    <row r="1122">
      <c r="B1122" s="25"/>
      <c r="C1122" s="257"/>
    </row>
    <row r="1123">
      <c r="B1123" s="25"/>
      <c r="C1123" s="257"/>
    </row>
    <row r="1124">
      <c r="B1124" s="25"/>
      <c r="C1124" s="257"/>
    </row>
    <row r="1125">
      <c r="B1125" s="25"/>
      <c r="C1125" s="257"/>
    </row>
    <row r="1126">
      <c r="B1126" s="25"/>
      <c r="C1126" s="257"/>
    </row>
    <row r="1127">
      <c r="B1127" s="25"/>
      <c r="C1127" s="257"/>
    </row>
    <row r="1128">
      <c r="B1128" s="25"/>
      <c r="C1128" s="257"/>
    </row>
    <row r="1129">
      <c r="B1129" s="25"/>
      <c r="C1129" s="257"/>
    </row>
    <row r="1130">
      <c r="B1130" s="25"/>
      <c r="C1130" s="257"/>
    </row>
    <row r="1131">
      <c r="B1131" s="25"/>
      <c r="C1131" s="257"/>
    </row>
    <row r="1132">
      <c r="B1132" s="25"/>
      <c r="C1132" s="257"/>
    </row>
    <row r="1133">
      <c r="B1133" s="25"/>
      <c r="C1133" s="257"/>
    </row>
    <row r="1134">
      <c r="B1134" s="25"/>
      <c r="C1134" s="257"/>
    </row>
    <row r="1135">
      <c r="B1135" s="25"/>
      <c r="C1135" s="257"/>
    </row>
    <row r="1136">
      <c r="B1136" s="25"/>
      <c r="C1136" s="257"/>
    </row>
    <row r="1137">
      <c r="B1137" s="25"/>
      <c r="C1137" s="257"/>
    </row>
    <row r="1138">
      <c r="B1138" s="25"/>
      <c r="C1138" s="257"/>
    </row>
    <row r="1139">
      <c r="B1139" s="25"/>
      <c r="C1139" s="257"/>
    </row>
    <row r="1140">
      <c r="B1140" s="25"/>
      <c r="C1140" s="257"/>
    </row>
    <row r="1141">
      <c r="B1141" s="25"/>
      <c r="C1141" s="257"/>
    </row>
    <row r="1142">
      <c r="B1142" s="25"/>
      <c r="C1142" s="257"/>
    </row>
    <row r="1143">
      <c r="B1143" s="25"/>
      <c r="C1143" s="257"/>
    </row>
    <row r="1144">
      <c r="B1144" s="25"/>
      <c r="C1144" s="257"/>
    </row>
    <row r="1145">
      <c r="B1145" s="25"/>
      <c r="C1145" s="257"/>
    </row>
    <row r="1146">
      <c r="B1146" s="25"/>
      <c r="C1146" s="257"/>
    </row>
    <row r="1147">
      <c r="B1147" s="25"/>
      <c r="C1147" s="257"/>
    </row>
    <row r="1148">
      <c r="B1148" s="25"/>
      <c r="C1148" s="257"/>
    </row>
    <row r="1149">
      <c r="B1149" s="25"/>
      <c r="C1149" s="257"/>
    </row>
    <row r="1150">
      <c r="B1150" s="25"/>
      <c r="C1150" s="257"/>
    </row>
    <row r="1151">
      <c r="B1151" s="25"/>
      <c r="C1151" s="257"/>
    </row>
    <row r="1152">
      <c r="B1152" s="25"/>
      <c r="C1152" s="257"/>
    </row>
    <row r="1153">
      <c r="B1153" s="25"/>
      <c r="C1153" s="257"/>
    </row>
    <row r="1154">
      <c r="B1154" s="25"/>
      <c r="C1154" s="257"/>
    </row>
    <row r="1155">
      <c r="B1155" s="25"/>
      <c r="C1155" s="257"/>
    </row>
    <row r="1156">
      <c r="B1156" s="25"/>
      <c r="C1156" s="257"/>
    </row>
    <row r="1157">
      <c r="B1157" s="25"/>
      <c r="C1157" s="257"/>
    </row>
    <row r="1158">
      <c r="B1158" s="25"/>
      <c r="C1158" s="257"/>
    </row>
    <row r="1159">
      <c r="B1159" s="25"/>
      <c r="C1159" s="257"/>
    </row>
    <row r="1160">
      <c r="B1160" s="25"/>
      <c r="C1160" s="257"/>
    </row>
    <row r="1161">
      <c r="B1161" s="25"/>
      <c r="C1161" s="257"/>
    </row>
    <row r="1162">
      <c r="B1162" s="25"/>
      <c r="C1162" s="257"/>
    </row>
    <row r="1163">
      <c r="B1163" s="25"/>
      <c r="C1163" s="257"/>
    </row>
    <row r="1164">
      <c r="B1164" s="25"/>
      <c r="C1164" s="257"/>
    </row>
    <row r="1165">
      <c r="B1165" s="25"/>
      <c r="C1165" s="257"/>
    </row>
    <row r="1166">
      <c r="B1166" s="25"/>
      <c r="C1166" s="257"/>
    </row>
    <row r="1167">
      <c r="B1167" s="25"/>
      <c r="C1167" s="257"/>
    </row>
    <row r="1168">
      <c r="B1168" s="25"/>
      <c r="C1168" s="257"/>
    </row>
    <row r="1169">
      <c r="B1169" s="25"/>
      <c r="C1169" s="257"/>
    </row>
    <row r="1170">
      <c r="B1170" s="25"/>
      <c r="C1170" s="257"/>
    </row>
    <row r="1171">
      <c r="B1171" s="25"/>
      <c r="C1171" s="257"/>
    </row>
    <row r="1172">
      <c r="B1172" s="25"/>
      <c r="C1172" s="257"/>
    </row>
    <row r="1173">
      <c r="B1173" s="25"/>
      <c r="C1173" s="257"/>
    </row>
    <row r="1174">
      <c r="B1174" s="25"/>
      <c r="C1174" s="257"/>
    </row>
    <row r="1175">
      <c r="B1175" s="25"/>
      <c r="C1175" s="257"/>
    </row>
    <row r="1176">
      <c r="B1176" s="25"/>
      <c r="C1176" s="257"/>
    </row>
    <row r="1177">
      <c r="B1177" s="25"/>
      <c r="C1177" s="257"/>
    </row>
    <row r="1178">
      <c r="B1178" s="25"/>
      <c r="C1178" s="257"/>
    </row>
    <row r="1179">
      <c r="B1179" s="25"/>
      <c r="C1179" s="257"/>
    </row>
    <row r="1180">
      <c r="B1180" s="25"/>
      <c r="C1180" s="257"/>
    </row>
    <row r="1181">
      <c r="B1181" s="25"/>
      <c r="C1181" s="257"/>
    </row>
    <row r="1182">
      <c r="B1182" s="25"/>
      <c r="C1182" s="257"/>
    </row>
    <row r="1183">
      <c r="B1183" s="25"/>
      <c r="C1183" s="257"/>
    </row>
    <row r="1184">
      <c r="B1184" s="25"/>
      <c r="C1184" s="257"/>
    </row>
    <row r="1185">
      <c r="B1185" s="25"/>
      <c r="C1185" s="257"/>
    </row>
    <row r="1186">
      <c r="B1186" s="25"/>
      <c r="C1186" s="257"/>
    </row>
    <row r="1187">
      <c r="B1187" s="25"/>
      <c r="C1187" s="257"/>
    </row>
    <row r="1188">
      <c r="B1188" s="25"/>
      <c r="C1188" s="257"/>
    </row>
    <row r="1189">
      <c r="B1189" s="25"/>
      <c r="C1189" s="257"/>
    </row>
    <row r="1190">
      <c r="B1190" s="25"/>
      <c r="C1190" s="257"/>
    </row>
    <row r="1191">
      <c r="B1191" s="25"/>
      <c r="C1191" s="257"/>
    </row>
    <row r="1192">
      <c r="B1192" s="25"/>
      <c r="C1192" s="257"/>
    </row>
    <row r="1193">
      <c r="B1193" s="25"/>
      <c r="C1193" s="257"/>
    </row>
    <row r="1194">
      <c r="B1194" s="25"/>
      <c r="C1194" s="257"/>
    </row>
    <row r="1195">
      <c r="B1195" s="25"/>
      <c r="C1195" s="257"/>
    </row>
    <row r="1196">
      <c r="B1196" s="25"/>
      <c r="C1196" s="257"/>
    </row>
    <row r="1197">
      <c r="B1197" s="25"/>
      <c r="C1197" s="257"/>
    </row>
    <row r="1198">
      <c r="B1198" s="25"/>
      <c r="C1198" s="257"/>
    </row>
    <row r="1199">
      <c r="B1199" s="25"/>
      <c r="C1199" s="257"/>
    </row>
    <row r="1200">
      <c r="B1200" s="25"/>
      <c r="C1200" s="257"/>
    </row>
    <row r="1201">
      <c r="B1201" s="25"/>
      <c r="C1201" s="257"/>
    </row>
    <row r="1202">
      <c r="B1202" s="25"/>
      <c r="C1202" s="257"/>
    </row>
    <row r="1203">
      <c r="B1203" s="25"/>
      <c r="C1203" s="257"/>
    </row>
    <row r="1204">
      <c r="B1204" s="25"/>
      <c r="C1204" s="257"/>
    </row>
    <row r="1205">
      <c r="B1205" s="25"/>
      <c r="C1205" s="257"/>
    </row>
    <row r="1206">
      <c r="B1206" s="25"/>
      <c r="C1206" s="257"/>
    </row>
    <row r="1207">
      <c r="B1207" s="25"/>
      <c r="C1207" s="257"/>
    </row>
    <row r="1208">
      <c r="B1208" s="25"/>
      <c r="C1208" s="257"/>
    </row>
    <row r="1209">
      <c r="B1209" s="25"/>
      <c r="C1209" s="257"/>
    </row>
    <row r="1210">
      <c r="B1210" s="25"/>
      <c r="C1210" s="257"/>
    </row>
    <row r="1211">
      <c r="B1211" s="25"/>
      <c r="C1211" s="257"/>
    </row>
    <row r="1212">
      <c r="B1212" s="25"/>
      <c r="C1212" s="257"/>
    </row>
    <row r="1213">
      <c r="B1213" s="25"/>
      <c r="C1213" s="257"/>
    </row>
    <row r="1214">
      <c r="B1214" s="25"/>
      <c r="C1214" s="257"/>
    </row>
    <row r="1215">
      <c r="B1215" s="25"/>
      <c r="C1215" s="257"/>
    </row>
    <row r="1216">
      <c r="B1216" s="25"/>
      <c r="C1216" s="257"/>
    </row>
    <row r="1217">
      <c r="B1217" s="25"/>
      <c r="C1217" s="257"/>
    </row>
    <row r="1218">
      <c r="B1218" s="25"/>
      <c r="C1218" s="257"/>
    </row>
    <row r="1219">
      <c r="B1219" s="25"/>
      <c r="C1219" s="257"/>
    </row>
    <row r="1220">
      <c r="B1220" s="25"/>
      <c r="C1220" s="257"/>
    </row>
    <row r="1221">
      <c r="B1221" s="25"/>
      <c r="C1221" s="257"/>
    </row>
    <row r="1222">
      <c r="B1222" s="25"/>
      <c r="C1222" s="257"/>
    </row>
    <row r="1223">
      <c r="B1223" s="25"/>
      <c r="C1223" s="257"/>
    </row>
    <row r="1224">
      <c r="B1224" s="25"/>
      <c r="C1224" s="257"/>
    </row>
    <row r="1225">
      <c r="B1225" s="25"/>
      <c r="C1225" s="257"/>
    </row>
    <row r="1226">
      <c r="B1226" s="25"/>
      <c r="C1226" s="257"/>
    </row>
    <row r="1227">
      <c r="B1227" s="25"/>
      <c r="C1227" s="257"/>
    </row>
    <row r="1228">
      <c r="B1228" s="25"/>
      <c r="C1228" s="257"/>
    </row>
    <row r="1229">
      <c r="B1229" s="25"/>
      <c r="C1229" s="257"/>
    </row>
    <row r="1230">
      <c r="B1230" s="25"/>
      <c r="C1230" s="257"/>
    </row>
    <row r="1231">
      <c r="B1231" s="25"/>
      <c r="C1231" s="257"/>
    </row>
    <row r="1232">
      <c r="B1232" s="25"/>
      <c r="C1232" s="257"/>
    </row>
    <row r="1233">
      <c r="B1233" s="25"/>
      <c r="C1233" s="257"/>
    </row>
    <row r="1234">
      <c r="B1234" s="25"/>
      <c r="C1234" s="257"/>
    </row>
    <row r="1235">
      <c r="B1235" s="25"/>
      <c r="C1235" s="257"/>
    </row>
    <row r="1236">
      <c r="B1236" s="25"/>
      <c r="C1236" s="257"/>
    </row>
    <row r="1237">
      <c r="B1237" s="25"/>
      <c r="C1237" s="257"/>
    </row>
    <row r="1238">
      <c r="B1238" s="25"/>
      <c r="C1238" s="257"/>
    </row>
    <row r="1239">
      <c r="B1239" s="25"/>
      <c r="C1239" s="257"/>
    </row>
    <row r="1240">
      <c r="B1240" s="25"/>
      <c r="C1240" s="257"/>
    </row>
    <row r="1241">
      <c r="B1241" s="25"/>
      <c r="C1241" s="257"/>
    </row>
    <row r="1242">
      <c r="B1242" s="25"/>
      <c r="C1242" s="257"/>
    </row>
    <row r="1243">
      <c r="B1243" s="25"/>
      <c r="C1243" s="257"/>
    </row>
    <row r="1244">
      <c r="B1244" s="25"/>
      <c r="C1244" s="257"/>
    </row>
    <row r="1245">
      <c r="B1245" s="25"/>
      <c r="C1245" s="257"/>
    </row>
    <row r="1246">
      <c r="B1246" s="25"/>
      <c r="C1246" s="257"/>
    </row>
    <row r="1247">
      <c r="B1247" s="25"/>
      <c r="C1247" s="257"/>
    </row>
    <row r="1248">
      <c r="B1248" s="25"/>
      <c r="C1248" s="257"/>
    </row>
    <row r="1249">
      <c r="B1249" s="25"/>
      <c r="C1249" s="257"/>
    </row>
    <row r="1250">
      <c r="B1250" s="25"/>
      <c r="C1250" s="257"/>
    </row>
    <row r="1251">
      <c r="B1251" s="25"/>
      <c r="C1251" s="257"/>
    </row>
    <row r="1252">
      <c r="B1252" s="25"/>
      <c r="C1252" s="257"/>
    </row>
    <row r="1253">
      <c r="B1253" s="25"/>
      <c r="C1253" s="257"/>
    </row>
    <row r="1254">
      <c r="B1254" s="25"/>
      <c r="C1254" s="257"/>
    </row>
    <row r="1255">
      <c r="B1255" s="25"/>
      <c r="C1255" s="257"/>
    </row>
    <row r="1256">
      <c r="B1256" s="25"/>
      <c r="C1256" s="257"/>
    </row>
    <row r="1257">
      <c r="B1257" s="25"/>
      <c r="C1257" s="257"/>
    </row>
    <row r="1258">
      <c r="B1258" s="25"/>
      <c r="C1258" s="257"/>
    </row>
    <row r="1259">
      <c r="B1259" s="25"/>
      <c r="C1259" s="257"/>
    </row>
    <row r="1260">
      <c r="B1260" s="25"/>
      <c r="C1260" s="257"/>
    </row>
    <row r="1261">
      <c r="B1261" s="25"/>
      <c r="C1261" s="257"/>
    </row>
    <row r="1262">
      <c r="B1262" s="25"/>
      <c r="C1262" s="257"/>
    </row>
    <row r="1263">
      <c r="B1263" s="25"/>
      <c r="C1263" s="257"/>
    </row>
    <row r="1264">
      <c r="B1264" s="25"/>
      <c r="C1264" s="257"/>
    </row>
    <row r="1265">
      <c r="B1265" s="25"/>
      <c r="C1265" s="257"/>
    </row>
    <row r="1266">
      <c r="B1266" s="25"/>
      <c r="C1266" s="257"/>
    </row>
    <row r="1267">
      <c r="B1267" s="25"/>
      <c r="C1267" s="257"/>
    </row>
    <row r="1268">
      <c r="B1268" s="25"/>
      <c r="C1268" s="257"/>
    </row>
    <row r="1269">
      <c r="B1269" s="25"/>
      <c r="C1269" s="257"/>
    </row>
    <row r="1270">
      <c r="B1270" s="25"/>
      <c r="C1270" s="257"/>
    </row>
    <row r="1271">
      <c r="B1271" s="25"/>
      <c r="C1271" s="257"/>
    </row>
    <row r="1272">
      <c r="B1272" s="25"/>
      <c r="C1272" s="257"/>
    </row>
    <row r="1273">
      <c r="B1273" s="25"/>
      <c r="C1273" s="257"/>
    </row>
    <row r="1274">
      <c r="B1274" s="25"/>
      <c r="C1274" s="257"/>
    </row>
    <row r="1275">
      <c r="B1275" s="25"/>
      <c r="C1275" s="257"/>
    </row>
    <row r="1276">
      <c r="B1276" s="25"/>
      <c r="C1276" s="257"/>
    </row>
    <row r="1277">
      <c r="B1277" s="25"/>
      <c r="C1277" s="257"/>
    </row>
    <row r="1278">
      <c r="B1278" s="25"/>
      <c r="C1278" s="257"/>
    </row>
    <row r="1279">
      <c r="B1279" s="25"/>
      <c r="C1279" s="257"/>
    </row>
    <row r="1280">
      <c r="B1280" s="25"/>
      <c r="C1280" s="257"/>
    </row>
    <row r="1281">
      <c r="B1281" s="25"/>
      <c r="C1281" s="257"/>
    </row>
    <row r="1282">
      <c r="B1282" s="25"/>
      <c r="C1282" s="257"/>
    </row>
    <row r="1283">
      <c r="B1283" s="25"/>
      <c r="C1283" s="257"/>
    </row>
    <row r="1284">
      <c r="B1284" s="25"/>
      <c r="C1284" s="257"/>
    </row>
    <row r="1285">
      <c r="B1285" s="25"/>
      <c r="C1285" s="257"/>
    </row>
    <row r="1286">
      <c r="B1286" s="25"/>
      <c r="C1286" s="257"/>
    </row>
    <row r="1287">
      <c r="B1287" s="25"/>
      <c r="C1287" s="257"/>
    </row>
    <row r="1288">
      <c r="B1288" s="25"/>
      <c r="C1288" s="257"/>
    </row>
    <row r="1289">
      <c r="B1289" s="25"/>
      <c r="C1289" s="257"/>
    </row>
    <row r="1290">
      <c r="B1290" s="25"/>
      <c r="C1290" s="257"/>
    </row>
    <row r="1291">
      <c r="B1291" s="25"/>
      <c r="C1291" s="257"/>
    </row>
    <row r="1292">
      <c r="B1292" s="25"/>
      <c r="C1292" s="257"/>
    </row>
    <row r="1293">
      <c r="B1293" s="25"/>
      <c r="C1293" s="257"/>
    </row>
    <row r="1294">
      <c r="B1294" s="25"/>
      <c r="C1294" s="257"/>
    </row>
    <row r="1295">
      <c r="B1295" s="25"/>
      <c r="C1295" s="257"/>
    </row>
    <row r="1296">
      <c r="B1296" s="25"/>
      <c r="C1296" s="257"/>
    </row>
    <row r="1297">
      <c r="B1297" s="25"/>
      <c r="C1297" s="257"/>
    </row>
    <row r="1298">
      <c r="B1298" s="25"/>
      <c r="C1298" s="257"/>
    </row>
    <row r="1299">
      <c r="B1299" s="25"/>
      <c r="C1299" s="257"/>
    </row>
    <row r="1300">
      <c r="B1300" s="25"/>
      <c r="C1300" s="257"/>
    </row>
    <row r="1301">
      <c r="B1301" s="25"/>
      <c r="C1301" s="257"/>
    </row>
    <row r="1302">
      <c r="B1302" s="25"/>
      <c r="C1302" s="257"/>
    </row>
    <row r="1303">
      <c r="B1303" s="25"/>
      <c r="C1303" s="257"/>
    </row>
    <row r="1304">
      <c r="B1304" s="25"/>
      <c r="C1304" s="257"/>
    </row>
    <row r="1305">
      <c r="B1305" s="25"/>
      <c r="C1305" s="257"/>
    </row>
    <row r="1306">
      <c r="B1306" s="25"/>
      <c r="C1306" s="257"/>
    </row>
    <row r="1307">
      <c r="B1307" s="25"/>
      <c r="C1307" s="257"/>
    </row>
    <row r="1308">
      <c r="B1308" s="25"/>
      <c r="C1308" s="257"/>
    </row>
    <row r="1309">
      <c r="B1309" s="25"/>
      <c r="C1309" s="257"/>
    </row>
    <row r="1310">
      <c r="B1310" s="25"/>
      <c r="C1310" s="257"/>
    </row>
    <row r="1311">
      <c r="B1311" s="25"/>
      <c r="C1311" s="257"/>
    </row>
    <row r="1312">
      <c r="B1312" s="25"/>
      <c r="C1312" s="257"/>
    </row>
    <row r="1313">
      <c r="B1313" s="25"/>
      <c r="C1313" s="257"/>
    </row>
    <row r="1314">
      <c r="B1314" s="25"/>
      <c r="C1314" s="257"/>
    </row>
    <row r="1315">
      <c r="B1315" s="25"/>
      <c r="C1315" s="257"/>
    </row>
    <row r="1316">
      <c r="B1316" s="25"/>
      <c r="C1316" s="257"/>
    </row>
    <row r="1317">
      <c r="B1317" s="25"/>
      <c r="C1317" s="257"/>
    </row>
    <row r="1318">
      <c r="B1318" s="25"/>
      <c r="C1318" s="257"/>
    </row>
    <row r="1319">
      <c r="B1319" s="25"/>
      <c r="C1319" s="257"/>
    </row>
    <row r="1320">
      <c r="B1320" s="25"/>
      <c r="C1320" s="257"/>
    </row>
    <row r="1321">
      <c r="B1321" s="25"/>
      <c r="C1321" s="257"/>
    </row>
    <row r="1322">
      <c r="B1322" s="25"/>
      <c r="C1322" s="257"/>
    </row>
    <row r="1323">
      <c r="B1323" s="25"/>
      <c r="C1323" s="257"/>
    </row>
    <row r="1324">
      <c r="B1324" s="25"/>
      <c r="C1324" s="257"/>
    </row>
    <row r="1325">
      <c r="B1325" s="25"/>
      <c r="C1325" s="257"/>
    </row>
    <row r="1326">
      <c r="B1326" s="25"/>
      <c r="C1326" s="257"/>
    </row>
    <row r="1327">
      <c r="B1327" s="25"/>
      <c r="C1327" s="257"/>
    </row>
    <row r="1328">
      <c r="B1328" s="25"/>
      <c r="C1328" s="257"/>
    </row>
    <row r="1329">
      <c r="B1329" s="25"/>
      <c r="C1329" s="257"/>
    </row>
    <row r="1330">
      <c r="B1330" s="25"/>
      <c r="C1330" s="257"/>
    </row>
    <row r="1331">
      <c r="B1331" s="25"/>
      <c r="C1331" s="257"/>
    </row>
    <row r="1332">
      <c r="B1332" s="25"/>
      <c r="C1332" s="257"/>
    </row>
    <row r="1333">
      <c r="B1333" s="25"/>
      <c r="C1333" s="257"/>
    </row>
    <row r="1334">
      <c r="B1334" s="25"/>
      <c r="C1334" s="257"/>
    </row>
    <row r="1335">
      <c r="B1335" s="25"/>
      <c r="C1335" s="257"/>
    </row>
    <row r="1336">
      <c r="B1336" s="25"/>
      <c r="C1336" s="257"/>
    </row>
    <row r="1337">
      <c r="B1337" s="25"/>
      <c r="C1337" s="257"/>
    </row>
    <row r="1338">
      <c r="B1338" s="25"/>
      <c r="C1338" s="257"/>
    </row>
    <row r="1339">
      <c r="B1339" s="25"/>
      <c r="C1339" s="257"/>
    </row>
    <row r="1340">
      <c r="B1340" s="25"/>
      <c r="C1340" s="257"/>
    </row>
    <row r="1341">
      <c r="B1341" s="25"/>
      <c r="C1341" s="257"/>
    </row>
    <row r="1342">
      <c r="B1342" s="25"/>
      <c r="C1342" s="257"/>
    </row>
    <row r="1343">
      <c r="B1343" s="25"/>
      <c r="C1343" s="257"/>
    </row>
    <row r="1344">
      <c r="B1344" s="25"/>
      <c r="C1344" s="257"/>
    </row>
    <row r="1345">
      <c r="B1345" s="25"/>
      <c r="C1345" s="257"/>
    </row>
    <row r="1346">
      <c r="B1346" s="25"/>
      <c r="C1346" s="257"/>
    </row>
    <row r="1347">
      <c r="B1347" s="25"/>
      <c r="C1347" s="257"/>
    </row>
    <row r="1348">
      <c r="B1348" s="25"/>
      <c r="C1348" s="257"/>
    </row>
    <row r="1349">
      <c r="B1349" s="25"/>
      <c r="C1349" s="257"/>
    </row>
    <row r="1350">
      <c r="B1350" s="25"/>
      <c r="C1350" s="257"/>
    </row>
    <row r="1351">
      <c r="B1351" s="25"/>
      <c r="C1351" s="257"/>
    </row>
    <row r="1352">
      <c r="B1352" s="25"/>
      <c r="C1352" s="257"/>
    </row>
    <row r="1353">
      <c r="B1353" s="25"/>
      <c r="C1353" s="257"/>
    </row>
    <row r="1354">
      <c r="B1354" s="25"/>
      <c r="C1354" s="257"/>
    </row>
    <row r="1355">
      <c r="B1355" s="25"/>
      <c r="C1355" s="257"/>
    </row>
    <row r="1356">
      <c r="B1356" s="25"/>
      <c r="C1356" s="257"/>
    </row>
    <row r="1357">
      <c r="B1357" s="25"/>
      <c r="C1357" s="257"/>
    </row>
    <row r="1358">
      <c r="B1358" s="25"/>
      <c r="C1358" s="257"/>
    </row>
    <row r="1359">
      <c r="B1359" s="25"/>
      <c r="C1359" s="257"/>
    </row>
    <row r="1360">
      <c r="B1360" s="25"/>
      <c r="C1360" s="257"/>
    </row>
    <row r="1361">
      <c r="B1361" s="25"/>
      <c r="C1361" s="257"/>
    </row>
    <row r="1362">
      <c r="B1362" s="25"/>
      <c r="C1362" s="257"/>
    </row>
    <row r="1363">
      <c r="B1363" s="25"/>
      <c r="C1363" s="257"/>
    </row>
    <row r="1364">
      <c r="B1364" s="25"/>
      <c r="C1364" s="257"/>
    </row>
    <row r="1365">
      <c r="B1365" s="25"/>
      <c r="C1365" s="257"/>
    </row>
    <row r="1366">
      <c r="B1366" s="25"/>
      <c r="C1366" s="257"/>
    </row>
    <row r="1367">
      <c r="B1367" s="25"/>
      <c r="C1367" s="257"/>
    </row>
    <row r="1368">
      <c r="B1368" s="25"/>
      <c r="C1368" s="257"/>
    </row>
    <row r="1369">
      <c r="B1369" s="25"/>
      <c r="C1369" s="257"/>
    </row>
    <row r="1370">
      <c r="B1370" s="25"/>
      <c r="C1370" s="257"/>
    </row>
    <row r="1371">
      <c r="B1371" s="25"/>
      <c r="C1371" s="257"/>
    </row>
    <row r="1372">
      <c r="B1372" s="25"/>
      <c r="C1372" s="257"/>
    </row>
    <row r="1373">
      <c r="B1373" s="25"/>
      <c r="C1373" s="257"/>
    </row>
    <row r="1374">
      <c r="B1374" s="25"/>
      <c r="C1374" s="257"/>
    </row>
    <row r="1375">
      <c r="B1375" s="25"/>
      <c r="C1375" s="257"/>
    </row>
    <row r="1376">
      <c r="B1376" s="25"/>
      <c r="C1376" s="257"/>
    </row>
    <row r="1377">
      <c r="B1377" s="25"/>
      <c r="C1377" s="257"/>
    </row>
    <row r="1378">
      <c r="B1378" s="25"/>
      <c r="C1378" s="257"/>
    </row>
    <row r="1379">
      <c r="B1379" s="25"/>
      <c r="C1379" s="257"/>
    </row>
    <row r="1380">
      <c r="B1380" s="25"/>
      <c r="C1380" s="257"/>
    </row>
    <row r="1381">
      <c r="B1381" s="25"/>
      <c r="C1381" s="257"/>
    </row>
    <row r="1382">
      <c r="B1382" s="25"/>
      <c r="C1382" s="257"/>
    </row>
    <row r="1383">
      <c r="B1383" s="25"/>
      <c r="C1383" s="257"/>
    </row>
    <row r="1384">
      <c r="B1384" s="25"/>
      <c r="C1384" s="257"/>
    </row>
    <row r="1385">
      <c r="B1385" s="25"/>
      <c r="C1385" s="257"/>
    </row>
    <row r="1386">
      <c r="B1386" s="25"/>
      <c r="C1386" s="257"/>
    </row>
    <row r="1387">
      <c r="B1387" s="25"/>
      <c r="C1387" s="257"/>
    </row>
    <row r="1388">
      <c r="B1388" s="25"/>
      <c r="C1388" s="257"/>
    </row>
    <row r="1389">
      <c r="B1389" s="25"/>
      <c r="C1389" s="257"/>
    </row>
    <row r="1390">
      <c r="B1390" s="25"/>
      <c r="C1390" s="257"/>
    </row>
    <row r="1391">
      <c r="B1391" s="25"/>
      <c r="C1391" s="257"/>
    </row>
    <row r="1392">
      <c r="B1392" s="25"/>
      <c r="C1392" s="257"/>
    </row>
    <row r="1393">
      <c r="B1393" s="25"/>
      <c r="C1393" s="257"/>
    </row>
    <row r="1394">
      <c r="B1394" s="25"/>
      <c r="C1394" s="257"/>
    </row>
    <row r="1395">
      <c r="B1395" s="25"/>
      <c r="C1395" s="257"/>
    </row>
    <row r="1396">
      <c r="B1396" s="25"/>
      <c r="C1396" s="257"/>
    </row>
    <row r="1397">
      <c r="B1397" s="25"/>
      <c r="C1397" s="257"/>
    </row>
    <row r="1398">
      <c r="B1398" s="25"/>
      <c r="C1398" s="257"/>
    </row>
    <row r="1399">
      <c r="B1399" s="25"/>
      <c r="C1399" s="257"/>
    </row>
    <row r="1400">
      <c r="B1400" s="25"/>
      <c r="C1400" s="257"/>
    </row>
    <row r="1401">
      <c r="B1401" s="25"/>
      <c r="C1401" s="257"/>
    </row>
    <row r="1402">
      <c r="B1402" s="25"/>
      <c r="C1402" s="257"/>
    </row>
    <row r="1403">
      <c r="B1403" s="25"/>
      <c r="C1403" s="257"/>
    </row>
    <row r="1404">
      <c r="B1404" s="25"/>
      <c r="C1404" s="257"/>
    </row>
    <row r="1405">
      <c r="B1405" s="25"/>
      <c r="C1405" s="257"/>
    </row>
    <row r="1406">
      <c r="B1406" s="25"/>
      <c r="C1406" s="257"/>
    </row>
    <row r="1407">
      <c r="B1407" s="25"/>
      <c r="C1407" s="257"/>
    </row>
    <row r="1408">
      <c r="B1408" s="25"/>
      <c r="C1408" s="257"/>
    </row>
    <row r="1409">
      <c r="B1409" s="25"/>
      <c r="C1409" s="257"/>
    </row>
    <row r="1410">
      <c r="B1410" s="25"/>
      <c r="C1410" s="257"/>
    </row>
    <row r="1411">
      <c r="B1411" s="25"/>
      <c r="C1411" s="257"/>
    </row>
    <row r="1412">
      <c r="B1412" s="25"/>
      <c r="C1412" s="257"/>
    </row>
    <row r="1413">
      <c r="B1413" s="25"/>
      <c r="C1413" s="257"/>
    </row>
    <row r="1414">
      <c r="B1414" s="25"/>
      <c r="C1414" s="257"/>
    </row>
    <row r="1415">
      <c r="B1415" s="25"/>
      <c r="C1415" s="257"/>
    </row>
    <row r="1416">
      <c r="B1416" s="25"/>
      <c r="C1416" s="257"/>
    </row>
    <row r="1417">
      <c r="B1417" s="25"/>
      <c r="C1417" s="257"/>
    </row>
    <row r="1418">
      <c r="B1418" s="25"/>
      <c r="C1418" s="257"/>
    </row>
    <row r="1419">
      <c r="B1419" s="25"/>
      <c r="C1419" s="257"/>
    </row>
    <row r="1420">
      <c r="B1420" s="25"/>
      <c r="C1420" s="257"/>
    </row>
    <row r="1421">
      <c r="B1421" s="25"/>
      <c r="C1421" s="257"/>
    </row>
    <row r="1422">
      <c r="B1422" s="25"/>
      <c r="C1422" s="257"/>
    </row>
    <row r="1423">
      <c r="B1423" s="25"/>
      <c r="C1423" s="257"/>
    </row>
    <row r="1424">
      <c r="B1424" s="25"/>
      <c r="C1424" s="257"/>
    </row>
    <row r="1425">
      <c r="B1425" s="25"/>
      <c r="C1425" s="257"/>
    </row>
    <row r="1426">
      <c r="B1426" s="25"/>
      <c r="C1426" s="257"/>
    </row>
    <row r="1427">
      <c r="B1427" s="25"/>
      <c r="C1427" s="257"/>
    </row>
    <row r="1428">
      <c r="B1428" s="25"/>
      <c r="C1428" s="257"/>
    </row>
    <row r="1429">
      <c r="B1429" s="25"/>
      <c r="C1429" s="257"/>
    </row>
    <row r="1430">
      <c r="B1430" s="25"/>
      <c r="C1430" s="257"/>
    </row>
    <row r="1431">
      <c r="B1431" s="25"/>
      <c r="C1431" s="257"/>
    </row>
    <row r="1432">
      <c r="B1432" s="25"/>
      <c r="C1432" s="257"/>
    </row>
    <row r="1433">
      <c r="B1433" s="25"/>
      <c r="C1433" s="257"/>
    </row>
    <row r="1434">
      <c r="B1434" s="25"/>
      <c r="C1434" s="257"/>
    </row>
    <row r="1435">
      <c r="B1435" s="25"/>
      <c r="C1435" s="257"/>
    </row>
    <row r="1436">
      <c r="B1436" s="25"/>
      <c r="C1436" s="257"/>
    </row>
    <row r="1437">
      <c r="B1437" s="25"/>
      <c r="C1437" s="257"/>
    </row>
    <row r="1438">
      <c r="B1438" s="25"/>
      <c r="C1438" s="257"/>
    </row>
    <row r="1439">
      <c r="B1439" s="25"/>
      <c r="C1439" s="257"/>
    </row>
    <row r="1440">
      <c r="B1440" s="25"/>
      <c r="C1440" s="257"/>
    </row>
    <row r="1441">
      <c r="B1441" s="25"/>
      <c r="C1441" s="257"/>
    </row>
    <row r="1442">
      <c r="B1442" s="25"/>
      <c r="C1442" s="257"/>
    </row>
    <row r="1443">
      <c r="B1443" s="25"/>
      <c r="C1443" s="257"/>
    </row>
    <row r="1444">
      <c r="B1444" s="25"/>
      <c r="C1444" s="257"/>
    </row>
    <row r="1445">
      <c r="B1445" s="25"/>
      <c r="C1445" s="257"/>
    </row>
    <row r="1446">
      <c r="B1446" s="25"/>
      <c r="C1446" s="257"/>
    </row>
    <row r="1447">
      <c r="B1447" s="25"/>
      <c r="C1447" s="257"/>
    </row>
    <row r="1448">
      <c r="B1448" s="25"/>
      <c r="C1448" s="257"/>
    </row>
    <row r="1449">
      <c r="B1449" s="25"/>
      <c r="C1449" s="257"/>
    </row>
    <row r="1450">
      <c r="B1450" s="25"/>
      <c r="C1450" s="257"/>
    </row>
    <row r="1451">
      <c r="B1451" s="25"/>
      <c r="C1451" s="257"/>
    </row>
    <row r="1452">
      <c r="B1452" s="25"/>
      <c r="C1452" s="257"/>
    </row>
    <row r="1453">
      <c r="B1453" s="25"/>
      <c r="C1453" s="257"/>
    </row>
    <row r="1454">
      <c r="B1454" s="25"/>
      <c r="C1454" s="257"/>
    </row>
    <row r="1455">
      <c r="B1455" s="25"/>
      <c r="C1455" s="257"/>
    </row>
    <row r="1456">
      <c r="B1456" s="25"/>
      <c r="C1456" s="257"/>
    </row>
    <row r="1457">
      <c r="B1457" s="25"/>
      <c r="C1457" s="257"/>
    </row>
    <row r="1458">
      <c r="B1458" s="25"/>
      <c r="C1458" s="257"/>
    </row>
    <row r="1459">
      <c r="B1459" s="25"/>
      <c r="C1459" s="257"/>
    </row>
    <row r="1460">
      <c r="B1460" s="25"/>
      <c r="C1460" s="257"/>
    </row>
    <row r="1461">
      <c r="B1461" s="25"/>
      <c r="C1461" s="257"/>
    </row>
    <row r="1462">
      <c r="B1462" s="25"/>
      <c r="C1462" s="257"/>
    </row>
    <row r="1463">
      <c r="B1463" s="25"/>
      <c r="C1463" s="257"/>
    </row>
    <row r="1464">
      <c r="B1464" s="25"/>
      <c r="C1464" s="257"/>
    </row>
    <row r="1465">
      <c r="B1465" s="25"/>
      <c r="C1465" s="257"/>
    </row>
    <row r="1466">
      <c r="B1466" s="25"/>
      <c r="C1466" s="257"/>
    </row>
    <row r="1467">
      <c r="B1467" s="25"/>
      <c r="C1467" s="257"/>
    </row>
    <row r="1468">
      <c r="B1468" s="25"/>
      <c r="C1468" s="257"/>
    </row>
    <row r="1469">
      <c r="B1469" s="25"/>
      <c r="C1469" s="257"/>
    </row>
    <row r="1470">
      <c r="B1470" s="25"/>
      <c r="C1470" s="257"/>
    </row>
    <row r="1471">
      <c r="B1471" s="25"/>
      <c r="C1471" s="257"/>
    </row>
    <row r="1472">
      <c r="B1472" s="25"/>
      <c r="C1472" s="257"/>
    </row>
    <row r="1473">
      <c r="B1473" s="25"/>
      <c r="C1473" s="257"/>
    </row>
    <row r="1474">
      <c r="B1474" s="25"/>
      <c r="C1474" s="257"/>
    </row>
    <row r="1475">
      <c r="B1475" s="25"/>
      <c r="C1475" s="257"/>
    </row>
    <row r="1476">
      <c r="B1476" s="25"/>
      <c r="C1476" s="257"/>
    </row>
    <row r="1477">
      <c r="B1477" s="25"/>
      <c r="C1477" s="257"/>
    </row>
    <row r="1478">
      <c r="B1478" s="25"/>
      <c r="C1478" s="257"/>
    </row>
    <row r="1479">
      <c r="B1479" s="25"/>
      <c r="C1479" s="257"/>
    </row>
    <row r="1480">
      <c r="B1480" s="25"/>
      <c r="C1480" s="257"/>
    </row>
    <row r="1481">
      <c r="B1481" s="25"/>
      <c r="C1481" s="257"/>
    </row>
    <row r="1482">
      <c r="B1482" s="25"/>
      <c r="C1482" s="257"/>
    </row>
    <row r="1483">
      <c r="B1483" s="25"/>
      <c r="C1483" s="257"/>
    </row>
    <row r="1484">
      <c r="B1484" s="25"/>
      <c r="C1484" s="257"/>
    </row>
    <row r="1485">
      <c r="B1485" s="25"/>
      <c r="C1485" s="257"/>
    </row>
    <row r="1486">
      <c r="B1486" s="25"/>
      <c r="C1486" s="257"/>
    </row>
    <row r="1487">
      <c r="B1487" s="25"/>
      <c r="C1487" s="257"/>
    </row>
    <row r="1488">
      <c r="B1488" s="25"/>
      <c r="C1488" s="257"/>
    </row>
    <row r="1489">
      <c r="B1489" s="25"/>
      <c r="C1489" s="257"/>
    </row>
    <row r="1490">
      <c r="B1490" s="25"/>
      <c r="C1490" s="257"/>
    </row>
    <row r="1491">
      <c r="B1491" s="25"/>
      <c r="C1491" s="257"/>
    </row>
    <row r="1492">
      <c r="B1492" s="25"/>
      <c r="C1492" s="257"/>
    </row>
    <row r="1493">
      <c r="B1493" s="25"/>
      <c r="C1493" s="257"/>
    </row>
    <row r="1494">
      <c r="B1494" s="25"/>
      <c r="C1494" s="257"/>
    </row>
    <row r="1495">
      <c r="B1495" s="25"/>
      <c r="C1495" s="257"/>
    </row>
    <row r="1496">
      <c r="B1496" s="25"/>
      <c r="C1496" s="257"/>
    </row>
    <row r="1497">
      <c r="B1497" s="25"/>
      <c r="C1497" s="257"/>
    </row>
    <row r="1498">
      <c r="B1498" s="25"/>
      <c r="C1498" s="257"/>
    </row>
    <row r="1499">
      <c r="B1499" s="25"/>
      <c r="C1499" s="257"/>
    </row>
    <row r="1500">
      <c r="B1500" s="25"/>
      <c r="C1500" s="257"/>
    </row>
    <row r="1501">
      <c r="B1501" s="25"/>
      <c r="C1501" s="257"/>
    </row>
    <row r="1502">
      <c r="B1502" s="25"/>
      <c r="C1502" s="257"/>
    </row>
    <row r="1503">
      <c r="B1503" s="25"/>
      <c r="C1503" s="257"/>
    </row>
    <row r="1504">
      <c r="B1504" s="25"/>
      <c r="C1504" s="257"/>
    </row>
    <row r="1505">
      <c r="B1505" s="25"/>
      <c r="C1505" s="257"/>
    </row>
    <row r="1506">
      <c r="B1506" s="25"/>
      <c r="C1506" s="257"/>
    </row>
    <row r="1507">
      <c r="B1507" s="25"/>
      <c r="C1507" s="257"/>
    </row>
    <row r="1508">
      <c r="B1508" s="25"/>
      <c r="C1508" s="257"/>
    </row>
    <row r="1509">
      <c r="B1509" s="25"/>
      <c r="C1509" s="257"/>
    </row>
    <row r="1510">
      <c r="B1510" s="25"/>
      <c r="C1510" s="257"/>
    </row>
    <row r="1511">
      <c r="B1511" s="25"/>
      <c r="C1511" s="257"/>
    </row>
    <row r="1512">
      <c r="B1512" s="25"/>
      <c r="C1512" s="257"/>
    </row>
    <row r="1513">
      <c r="B1513" s="25"/>
      <c r="C1513" s="257"/>
    </row>
    <row r="1514">
      <c r="B1514" s="25"/>
      <c r="C1514" s="257"/>
    </row>
    <row r="1515">
      <c r="B1515" s="25"/>
      <c r="C1515" s="257"/>
    </row>
    <row r="1516">
      <c r="B1516" s="25"/>
      <c r="C1516" s="257"/>
    </row>
    <row r="1517">
      <c r="B1517" s="25"/>
      <c r="C1517" s="257"/>
    </row>
    <row r="1518">
      <c r="B1518" s="25"/>
      <c r="C1518" s="257"/>
    </row>
    <row r="1519">
      <c r="B1519" s="25"/>
      <c r="C1519" s="257"/>
    </row>
    <row r="1520">
      <c r="B1520" s="25"/>
      <c r="C1520" s="257"/>
    </row>
    <row r="1521">
      <c r="B1521" s="25"/>
      <c r="C1521" s="257"/>
    </row>
    <row r="1522">
      <c r="B1522" s="25"/>
      <c r="C1522" s="257"/>
    </row>
    <row r="1523">
      <c r="B1523" s="25"/>
      <c r="C1523" s="257"/>
    </row>
    <row r="1524">
      <c r="B1524" s="25"/>
      <c r="C1524" s="257"/>
    </row>
    <row r="1525">
      <c r="B1525" s="25"/>
      <c r="C1525" s="257"/>
    </row>
    <row r="1526">
      <c r="B1526" s="25"/>
      <c r="C1526" s="257"/>
    </row>
    <row r="1527">
      <c r="B1527" s="25"/>
      <c r="C1527" s="257"/>
    </row>
    <row r="1528">
      <c r="B1528" s="25"/>
      <c r="C1528" s="257"/>
    </row>
    <row r="1529">
      <c r="B1529" s="25"/>
      <c r="C1529" s="257"/>
    </row>
    <row r="1530">
      <c r="B1530" s="25"/>
      <c r="C1530" s="257"/>
    </row>
    <row r="1531">
      <c r="B1531" s="25"/>
      <c r="C1531" s="257"/>
    </row>
    <row r="1532">
      <c r="B1532" s="25"/>
      <c r="C1532" s="257"/>
    </row>
    <row r="1533">
      <c r="B1533" s="25"/>
      <c r="C1533" s="257"/>
    </row>
    <row r="1534">
      <c r="B1534" s="25"/>
      <c r="C1534" s="257"/>
    </row>
    <row r="1535">
      <c r="B1535" s="25"/>
      <c r="C1535" s="257"/>
    </row>
    <row r="1536">
      <c r="B1536" s="25"/>
      <c r="C1536" s="257"/>
    </row>
    <row r="1537">
      <c r="B1537" s="25"/>
      <c r="C1537" s="257"/>
    </row>
    <row r="1538">
      <c r="B1538" s="25"/>
      <c r="C1538" s="257"/>
    </row>
    <row r="1539">
      <c r="B1539" s="25"/>
      <c r="C1539" s="257"/>
    </row>
    <row r="1540">
      <c r="B1540" s="25"/>
      <c r="C1540" s="257"/>
    </row>
    <row r="1541">
      <c r="B1541" s="25"/>
      <c r="C1541" s="257"/>
    </row>
    <row r="1542">
      <c r="B1542" s="25"/>
      <c r="C1542" s="257"/>
    </row>
    <row r="1543">
      <c r="B1543" s="25"/>
      <c r="C1543" s="257"/>
    </row>
    <row r="1544">
      <c r="B1544" s="25"/>
      <c r="C1544" s="257"/>
    </row>
    <row r="1545">
      <c r="B1545" s="25"/>
      <c r="C1545" s="257"/>
    </row>
    <row r="1546">
      <c r="B1546" s="25"/>
      <c r="C1546" s="257"/>
    </row>
    <row r="1547">
      <c r="B1547" s="25"/>
      <c r="C1547" s="257"/>
    </row>
    <row r="1548">
      <c r="B1548" s="25"/>
      <c r="C1548" s="257"/>
    </row>
    <row r="1549">
      <c r="B1549" s="25"/>
      <c r="C1549" s="257"/>
    </row>
    <row r="1550">
      <c r="B1550" s="25"/>
      <c r="C1550" s="257"/>
    </row>
    <row r="1551">
      <c r="B1551" s="25"/>
      <c r="C1551" s="257"/>
    </row>
    <row r="1552">
      <c r="B1552" s="25"/>
      <c r="C1552" s="257"/>
    </row>
    <row r="1553">
      <c r="B1553" s="25"/>
      <c r="C1553" s="257"/>
    </row>
    <row r="1554">
      <c r="B1554" s="25"/>
      <c r="C1554" s="257"/>
    </row>
    <row r="1555">
      <c r="B1555" s="25"/>
      <c r="C1555" s="257"/>
    </row>
    <row r="1556">
      <c r="B1556" s="25"/>
      <c r="C1556" s="257"/>
    </row>
    <row r="1557">
      <c r="B1557" s="25"/>
      <c r="C1557" s="257"/>
    </row>
    <row r="1558">
      <c r="B1558" s="25"/>
      <c r="C1558" s="257"/>
    </row>
    <row r="1559">
      <c r="B1559" s="25"/>
      <c r="C1559" s="257"/>
    </row>
    <row r="1560">
      <c r="B1560" s="25"/>
      <c r="C1560" s="257"/>
    </row>
    <row r="1561">
      <c r="B1561" s="25"/>
      <c r="C1561" s="257"/>
    </row>
    <row r="1562">
      <c r="B1562" s="25"/>
      <c r="C1562" s="257"/>
    </row>
    <row r="1563">
      <c r="B1563" s="25"/>
      <c r="C1563" s="257"/>
    </row>
    <row r="1564">
      <c r="B1564" s="25"/>
      <c r="C1564" s="257"/>
    </row>
    <row r="1565">
      <c r="B1565" s="25"/>
      <c r="C1565" s="257"/>
    </row>
    <row r="1566">
      <c r="B1566" s="25"/>
      <c r="C1566" s="257"/>
    </row>
    <row r="1567">
      <c r="B1567" s="25"/>
      <c r="C1567" s="257"/>
    </row>
    <row r="1568">
      <c r="B1568" s="25"/>
      <c r="C1568" s="257"/>
    </row>
    <row r="1569">
      <c r="B1569" s="25"/>
      <c r="C1569" s="257"/>
    </row>
    <row r="1570">
      <c r="B1570" s="25"/>
      <c r="C1570" s="257"/>
    </row>
    <row r="1571">
      <c r="B1571" s="25"/>
      <c r="C1571" s="257"/>
    </row>
    <row r="1572">
      <c r="B1572" s="25"/>
      <c r="C1572" s="257"/>
    </row>
    <row r="1573">
      <c r="B1573" s="25"/>
      <c r="C1573" s="257"/>
    </row>
    <row r="1574">
      <c r="B1574" s="25"/>
      <c r="C1574" s="257"/>
    </row>
    <row r="1575">
      <c r="B1575" s="25"/>
      <c r="C1575" s="257"/>
    </row>
    <row r="1576">
      <c r="B1576" s="25"/>
      <c r="C1576" s="257"/>
    </row>
    <row r="1577">
      <c r="B1577" s="25"/>
      <c r="C1577" s="257"/>
    </row>
    <row r="1578">
      <c r="B1578" s="25"/>
      <c r="C1578" s="257"/>
    </row>
    <row r="1579">
      <c r="B1579" s="25"/>
      <c r="C1579" s="257"/>
    </row>
    <row r="1580">
      <c r="B1580" s="25"/>
      <c r="C1580" s="257"/>
    </row>
    <row r="1581">
      <c r="B1581" s="25"/>
      <c r="C1581" s="257"/>
    </row>
    <row r="1582">
      <c r="B1582" s="25"/>
      <c r="C1582" s="257"/>
    </row>
    <row r="1583">
      <c r="B1583" s="25"/>
      <c r="C1583" s="257"/>
    </row>
    <row r="1584">
      <c r="B1584" s="25"/>
      <c r="C1584" s="257"/>
    </row>
    <row r="1585">
      <c r="B1585" s="25"/>
      <c r="C1585" s="257"/>
    </row>
    <row r="1586">
      <c r="B1586" s="25"/>
      <c r="C1586" s="257"/>
    </row>
    <row r="1587">
      <c r="B1587" s="25"/>
      <c r="C1587" s="257"/>
    </row>
    <row r="1588">
      <c r="B1588" s="25"/>
      <c r="C1588" s="257"/>
    </row>
    <row r="1589">
      <c r="B1589" s="25"/>
      <c r="C1589" s="257"/>
    </row>
  </sheetData>
  <mergeCells count="1">
    <mergeCell ref="A1:A3"/>
  </mergeCells>
  <dataValidations>
    <dataValidation type="list" allowBlank="1" showErrorMessage="1" sqref="B6:B1589">
      <formula1>"In,Out"</formula1>
    </dataValidation>
    <dataValidation type="list" allowBlank="1" showErrorMessage="1" sqref="B2">
      <formula1>Catagory[Category]</formula1>
    </dataValidation>
    <dataValidation type="list" allowBlank="1" showErrorMessage="1" sqref="C2">
      <formula1>Material[Material]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12.0"/>
    <col customWidth="1" min="2" max="2" width="37.13"/>
    <col customWidth="1" min="3" max="3" width="12.13"/>
    <col customWidth="1" min="4" max="4" width="9.75"/>
    <col customWidth="1" min="5" max="5" width="10.75"/>
    <col customWidth="1" min="6" max="28" width="12.13"/>
  </cols>
  <sheetData>
    <row r="1" ht="28.5" customHeight="1">
      <c r="A1" s="204" t="str">
        <f t="array" ref="A1:B998">IF('Item List'!A1:A1501="","",
  { 'Item List'!I1:I1501, 'Item List'!A1:A1501 }
 )</f>
        <v>SKU CODE</v>
      </c>
      <c r="B1" s="204" t="s">
        <v>1557</v>
      </c>
      <c r="C1" s="205" t="str">
        <f t="array" ref="C1:C998">INDEX('Item List'!O:O,0)</f>
        <v>Max Level</v>
      </c>
      <c r="D1" s="205" t="str">
        <f t="array" ref="D1:D998">INDEX('Item List'!P:P,0)</f>
        <v>Material In Transit</v>
      </c>
      <c r="E1" s="205" t="s">
        <v>1558</v>
      </c>
      <c r="F1" s="205" t="str">
        <f t="array" ref="F1:F998">INDEX('Item List'!H:H,0)</f>
        <v>Unit</v>
      </c>
      <c r="G1" s="206">
        <v>46082.0</v>
      </c>
      <c r="H1" s="206">
        <v>46083.0</v>
      </c>
      <c r="I1" s="206">
        <v>46084.0</v>
      </c>
      <c r="J1" s="206">
        <v>46085.0</v>
      </c>
      <c r="K1" s="206">
        <v>46086.0</v>
      </c>
      <c r="L1" s="206">
        <v>46087.0</v>
      </c>
      <c r="M1" s="206">
        <v>46088.0</v>
      </c>
      <c r="N1" s="206">
        <v>46089.0</v>
      </c>
      <c r="O1" s="206">
        <v>46090.0</v>
      </c>
      <c r="P1" s="206">
        <v>46091.0</v>
      </c>
      <c r="Q1" s="206">
        <v>46092.0</v>
      </c>
      <c r="R1" s="206">
        <v>46093.0</v>
      </c>
      <c r="S1" s="206">
        <v>46094.0</v>
      </c>
      <c r="T1" s="206">
        <v>46095.0</v>
      </c>
      <c r="U1" s="206"/>
      <c r="V1" s="206"/>
      <c r="W1" s="206"/>
      <c r="X1" s="206"/>
      <c r="Y1" s="206"/>
      <c r="Z1" s="206"/>
      <c r="AA1" s="206"/>
      <c r="AB1" s="206"/>
    </row>
    <row r="2" ht="17.25" customHeight="1">
      <c r="A2" s="203" t="s">
        <v>1559</v>
      </c>
      <c r="B2" s="203" t="s">
        <v>1672</v>
      </c>
      <c r="C2" s="207">
        <v>47.422680412371136</v>
      </c>
      <c r="D2" s="207"/>
      <c r="E2" s="208">
        <v>0.0</v>
      </c>
      <c r="F2" s="209" t="s">
        <v>22</v>
      </c>
      <c r="G2" s="210">
        <v>2300.0</v>
      </c>
      <c r="H2" s="210">
        <v>2300.0</v>
      </c>
      <c r="I2" s="210">
        <v>2300.0</v>
      </c>
      <c r="J2" s="210">
        <v>2300.0</v>
      </c>
      <c r="K2" s="210">
        <v>1500.0</v>
      </c>
      <c r="L2" s="210">
        <v>1000.0</v>
      </c>
      <c r="M2" s="210">
        <v>1000.0</v>
      </c>
      <c r="N2" s="210">
        <v>1000.0</v>
      </c>
      <c r="O2" s="210">
        <v>1000.0</v>
      </c>
      <c r="P2" s="210">
        <v>1000.0</v>
      </c>
      <c r="Q2" s="210">
        <v>1000.0</v>
      </c>
      <c r="R2" s="210">
        <v>1000.0</v>
      </c>
      <c r="S2" s="210">
        <v>1000.0</v>
      </c>
      <c r="T2" s="210">
        <v>700.0</v>
      </c>
      <c r="U2" s="211"/>
      <c r="V2" s="211"/>
      <c r="W2" s="211"/>
      <c r="X2" s="211"/>
      <c r="Y2" s="211"/>
      <c r="Z2" s="211"/>
      <c r="AA2" s="211"/>
      <c r="AB2" s="211"/>
    </row>
    <row r="3" ht="17.25" customHeight="1">
      <c r="A3" s="203" t="s">
        <v>1569</v>
      </c>
      <c r="B3" s="203" t="s">
        <v>1570</v>
      </c>
      <c r="C3" s="207">
        <v>131.95876288659792</v>
      </c>
      <c r="D3" s="203"/>
      <c r="E3" s="208">
        <v>0.0</v>
      </c>
      <c r="F3" s="209" t="s">
        <v>22</v>
      </c>
      <c r="G3" s="212">
        <v>0.0</v>
      </c>
      <c r="H3" s="212">
        <v>0.0</v>
      </c>
      <c r="I3" s="212">
        <v>0.0</v>
      </c>
      <c r="J3" s="212">
        <v>0.0</v>
      </c>
      <c r="K3" s="212">
        <v>0.0</v>
      </c>
      <c r="L3" s="212">
        <v>0.0</v>
      </c>
      <c r="M3" s="212">
        <v>0.0</v>
      </c>
      <c r="N3" s="212">
        <v>0.0</v>
      </c>
      <c r="O3" s="212">
        <v>0.0</v>
      </c>
      <c r="P3" s="212">
        <v>0.0</v>
      </c>
      <c r="Q3" s="212">
        <v>0.0</v>
      </c>
      <c r="R3" s="212">
        <v>0.0</v>
      </c>
      <c r="S3" s="212">
        <v>0.0</v>
      </c>
      <c r="T3" s="212">
        <v>0.0</v>
      </c>
      <c r="U3" s="211"/>
      <c r="V3" s="211"/>
      <c r="W3" s="211"/>
      <c r="X3" s="211"/>
      <c r="Y3" s="211"/>
      <c r="Z3" s="211"/>
      <c r="AA3" s="211"/>
      <c r="AB3" s="211"/>
    </row>
    <row r="4" ht="17.25" customHeight="1">
      <c r="A4" s="203" t="s">
        <v>18</v>
      </c>
      <c r="B4" s="203" t="s">
        <v>20</v>
      </c>
      <c r="C4" s="207">
        <v>34.02061855670103</v>
      </c>
      <c r="D4" s="207"/>
      <c r="E4" s="213">
        <v>400.0</v>
      </c>
      <c r="F4" s="209" t="s">
        <v>22</v>
      </c>
      <c r="G4" s="210">
        <v>3300.0</v>
      </c>
      <c r="H4" s="210">
        <v>3300.0</v>
      </c>
      <c r="I4" s="210">
        <v>3300.0</v>
      </c>
      <c r="J4" s="210">
        <v>3300.0</v>
      </c>
      <c r="K4" s="210">
        <v>3300.0</v>
      </c>
      <c r="L4" s="210">
        <v>3300.0</v>
      </c>
      <c r="M4" s="210">
        <v>3300.0</v>
      </c>
      <c r="N4" s="210">
        <v>3300.0</v>
      </c>
      <c r="O4" s="210">
        <v>3300.0</v>
      </c>
      <c r="P4" s="210">
        <v>3300.0</v>
      </c>
      <c r="Q4" s="210">
        <v>3300.0</v>
      </c>
      <c r="R4" s="210">
        <v>3300.0</v>
      </c>
      <c r="S4" s="210">
        <v>3300.0</v>
      </c>
      <c r="T4" s="210">
        <v>3300.0</v>
      </c>
      <c r="U4" s="211"/>
      <c r="V4" s="211"/>
      <c r="W4" s="211"/>
      <c r="X4" s="211"/>
      <c r="Y4" s="211"/>
      <c r="Z4" s="211"/>
      <c r="AA4" s="211"/>
      <c r="AB4" s="211"/>
    </row>
    <row r="5" ht="17.25" customHeight="1">
      <c r="A5" s="203" t="s">
        <v>201</v>
      </c>
      <c r="B5" s="203" t="s">
        <v>202</v>
      </c>
      <c r="C5" s="207">
        <v>742.2680412371135</v>
      </c>
      <c r="D5" s="207"/>
      <c r="E5" s="214">
        <v>600.0</v>
      </c>
      <c r="F5" s="209" t="s">
        <v>22</v>
      </c>
      <c r="G5" s="212">
        <v>70.0</v>
      </c>
      <c r="H5" s="212">
        <v>0.0</v>
      </c>
      <c r="I5" s="212">
        <v>0.0</v>
      </c>
      <c r="J5" s="212">
        <v>0.0</v>
      </c>
      <c r="K5" s="212">
        <v>0.0</v>
      </c>
      <c r="L5" s="212">
        <v>0.0</v>
      </c>
      <c r="M5" s="212">
        <v>0.0</v>
      </c>
      <c r="N5" s="212">
        <v>0.0</v>
      </c>
      <c r="O5" s="212">
        <v>0.0</v>
      </c>
      <c r="P5" s="212">
        <v>0.0</v>
      </c>
      <c r="Q5" s="212">
        <v>0.0</v>
      </c>
      <c r="R5" s="212">
        <v>0.0</v>
      </c>
      <c r="S5" s="212">
        <v>0.0</v>
      </c>
      <c r="T5" s="212">
        <v>0.0</v>
      </c>
      <c r="U5" s="211"/>
      <c r="V5" s="211"/>
      <c r="W5" s="211"/>
      <c r="X5" s="211"/>
      <c r="Y5" s="211"/>
      <c r="Z5" s="211"/>
      <c r="AA5" s="211"/>
      <c r="AB5" s="211"/>
    </row>
    <row r="6" ht="17.25" customHeight="1">
      <c r="A6" s="203" t="s">
        <v>33</v>
      </c>
      <c r="B6" s="203" t="s">
        <v>35</v>
      </c>
      <c r="C6" s="207">
        <v>156.70103092783506</v>
      </c>
      <c r="D6" s="207"/>
      <c r="E6" s="213">
        <v>2600.0</v>
      </c>
      <c r="F6" s="209" t="s">
        <v>22</v>
      </c>
      <c r="G6" s="212">
        <v>0.0</v>
      </c>
      <c r="H6" s="212">
        <v>0.0</v>
      </c>
      <c r="I6" s="212">
        <v>0.0</v>
      </c>
      <c r="J6" s="212">
        <v>0.0</v>
      </c>
      <c r="K6" s="212">
        <v>0.0</v>
      </c>
      <c r="L6" s="212">
        <v>0.0</v>
      </c>
      <c r="M6" s="212">
        <v>0.0</v>
      </c>
      <c r="N6" s="212">
        <v>0.0</v>
      </c>
      <c r="O6" s="212">
        <v>0.0</v>
      </c>
      <c r="P6" s="212">
        <v>0.0</v>
      </c>
      <c r="Q6" s="212">
        <v>0.0</v>
      </c>
      <c r="R6" s="212">
        <v>0.0</v>
      </c>
      <c r="S6" s="212">
        <v>0.0</v>
      </c>
      <c r="T6" s="212">
        <v>0.0</v>
      </c>
      <c r="U6" s="211"/>
      <c r="V6" s="211"/>
      <c r="W6" s="211"/>
      <c r="X6" s="211"/>
      <c r="Y6" s="211"/>
      <c r="Z6" s="211"/>
      <c r="AA6" s="211"/>
      <c r="AB6" s="211"/>
    </row>
    <row r="7" ht="17.25" customHeight="1">
      <c r="A7" s="203" t="s">
        <v>1522</v>
      </c>
      <c r="B7" s="203" t="s">
        <v>1523</v>
      </c>
      <c r="C7" s="207">
        <v>160.82474226804123</v>
      </c>
      <c r="D7" s="207"/>
      <c r="E7" s="213">
        <v>800.0</v>
      </c>
      <c r="F7" s="209" t="s">
        <v>22</v>
      </c>
      <c r="G7" s="210">
        <v>2600.0</v>
      </c>
      <c r="H7" s="210">
        <v>2600.0</v>
      </c>
      <c r="I7" s="210">
        <v>2600.0</v>
      </c>
      <c r="J7" s="210">
        <v>2600.0</v>
      </c>
      <c r="K7" s="210">
        <v>2600.0</v>
      </c>
      <c r="L7" s="210">
        <v>2600.0</v>
      </c>
      <c r="M7" s="210">
        <v>2600.0</v>
      </c>
      <c r="N7" s="210">
        <v>2600.0</v>
      </c>
      <c r="O7" s="210">
        <v>2600.0</v>
      </c>
      <c r="P7" s="210">
        <v>2600.0</v>
      </c>
      <c r="Q7" s="210">
        <v>2600.0</v>
      </c>
      <c r="R7" s="210">
        <v>2600.0</v>
      </c>
      <c r="S7" s="210">
        <v>2600.0</v>
      </c>
      <c r="T7" s="210">
        <v>2600.0</v>
      </c>
      <c r="U7" s="211"/>
      <c r="V7" s="211"/>
      <c r="W7" s="211"/>
      <c r="X7" s="211"/>
      <c r="Y7" s="211"/>
      <c r="Z7" s="211"/>
      <c r="AA7" s="211"/>
      <c r="AB7" s="211"/>
    </row>
    <row r="8" ht="17.25" customHeight="1">
      <c r="A8" s="203" t="s">
        <v>41</v>
      </c>
      <c r="B8" s="203" t="s">
        <v>42</v>
      </c>
      <c r="C8" s="207">
        <v>556.7010309278351</v>
      </c>
      <c r="D8" s="207"/>
      <c r="E8" s="215">
        <v>200.0</v>
      </c>
      <c r="F8" s="209" t="s">
        <v>22</v>
      </c>
      <c r="G8" s="212">
        <v>0.0</v>
      </c>
      <c r="H8" s="210">
        <v>2500.0</v>
      </c>
      <c r="I8" s="212">
        <v>0.0</v>
      </c>
      <c r="J8" s="212">
        <v>0.0</v>
      </c>
      <c r="K8" s="212">
        <v>0.0</v>
      </c>
      <c r="L8" s="212">
        <v>0.0</v>
      </c>
      <c r="M8" s="212">
        <v>0.0</v>
      </c>
      <c r="N8" s="212">
        <v>0.0</v>
      </c>
      <c r="O8" s="212">
        <v>0.0</v>
      </c>
      <c r="P8" s="212">
        <v>0.0</v>
      </c>
      <c r="Q8" s="212">
        <v>0.0</v>
      </c>
      <c r="R8" s="212">
        <v>0.0</v>
      </c>
      <c r="S8" s="212">
        <v>0.0</v>
      </c>
      <c r="T8" s="212">
        <v>0.0</v>
      </c>
      <c r="U8" s="211"/>
      <c r="V8" s="211"/>
      <c r="W8" s="211"/>
      <c r="X8" s="211"/>
      <c r="Y8" s="211"/>
      <c r="Z8" s="211"/>
      <c r="AA8" s="211"/>
      <c r="AB8" s="211"/>
    </row>
    <row r="9" ht="17.25" customHeight="1">
      <c r="A9" s="203" t="s">
        <v>1577</v>
      </c>
      <c r="B9" s="203" t="s">
        <v>1579</v>
      </c>
      <c r="C9" s="207">
        <v>18.556701030927837</v>
      </c>
      <c r="D9" s="207"/>
      <c r="E9" s="208">
        <v>0.0</v>
      </c>
      <c r="F9" s="209" t="s">
        <v>22</v>
      </c>
      <c r="G9" s="212">
        <v>0.0</v>
      </c>
      <c r="H9" s="212">
        <v>0.0</v>
      </c>
      <c r="I9" s="212">
        <v>0.0</v>
      </c>
      <c r="J9" s="212">
        <v>0.0</v>
      </c>
      <c r="K9" s="212">
        <v>0.0</v>
      </c>
      <c r="L9" s="212">
        <v>0.0</v>
      </c>
      <c r="M9" s="212">
        <v>0.0</v>
      </c>
      <c r="N9" s="212">
        <v>0.0</v>
      </c>
      <c r="O9" s="212">
        <v>0.0</v>
      </c>
      <c r="P9" s="212">
        <v>0.0</v>
      </c>
      <c r="Q9" s="212">
        <v>0.0</v>
      </c>
      <c r="R9" s="212">
        <v>0.0</v>
      </c>
      <c r="S9" s="212">
        <v>0.0</v>
      </c>
      <c r="T9" s="212">
        <v>0.0</v>
      </c>
      <c r="U9" s="211"/>
      <c r="V9" s="211"/>
      <c r="W9" s="211"/>
      <c r="X9" s="211"/>
      <c r="Y9" s="211"/>
      <c r="Z9" s="211"/>
      <c r="AA9" s="211"/>
      <c r="AB9" s="211"/>
    </row>
    <row r="10" ht="17.25" customHeight="1">
      <c r="A10" s="203" t="s">
        <v>48</v>
      </c>
      <c r="B10" s="203" t="s">
        <v>49</v>
      </c>
      <c r="C10" s="207">
        <v>82.88659793814433</v>
      </c>
      <c r="D10" s="207"/>
      <c r="E10" s="215">
        <v>30.0</v>
      </c>
      <c r="F10" s="209" t="s">
        <v>22</v>
      </c>
      <c r="G10" s="210">
        <v>1200.0</v>
      </c>
      <c r="H10" s="210">
        <v>1200.0</v>
      </c>
      <c r="I10" s="210">
        <v>1200.0</v>
      </c>
      <c r="J10" s="210">
        <v>1200.0</v>
      </c>
      <c r="K10" s="210">
        <v>1200.0</v>
      </c>
      <c r="L10" s="210">
        <v>1200.0</v>
      </c>
      <c r="M10" s="210">
        <v>1200.0</v>
      </c>
      <c r="N10" s="210">
        <v>1200.0</v>
      </c>
      <c r="O10" s="210">
        <v>1200.0</v>
      </c>
      <c r="P10" s="210">
        <v>1200.0</v>
      </c>
      <c r="Q10" s="210">
        <v>1200.0</v>
      </c>
      <c r="R10" s="210">
        <v>1200.0</v>
      </c>
      <c r="S10" s="210">
        <v>1200.0</v>
      </c>
      <c r="T10" s="210">
        <v>1200.0</v>
      </c>
      <c r="U10" s="211"/>
      <c r="V10" s="211"/>
      <c r="W10" s="211"/>
      <c r="X10" s="211"/>
      <c r="Y10" s="211"/>
      <c r="Z10" s="211"/>
      <c r="AA10" s="211"/>
      <c r="AB10" s="211"/>
    </row>
    <row r="11" ht="17.25" customHeight="1">
      <c r="A11" s="203" t="s">
        <v>57</v>
      </c>
      <c r="B11" s="203" t="s">
        <v>58</v>
      </c>
      <c r="C11" s="207">
        <v>123.71134020618558</v>
      </c>
      <c r="D11" s="207"/>
      <c r="E11" s="213">
        <v>400.0</v>
      </c>
      <c r="F11" s="209" t="s">
        <v>22</v>
      </c>
      <c r="G11" s="210">
        <v>1400.0</v>
      </c>
      <c r="H11" s="210">
        <v>1400.0</v>
      </c>
      <c r="I11" s="210">
        <v>1400.0</v>
      </c>
      <c r="J11" s="210">
        <v>1400.0</v>
      </c>
      <c r="K11" s="210">
        <v>1400.0</v>
      </c>
      <c r="L11" s="210">
        <v>1400.0</v>
      </c>
      <c r="M11" s="210">
        <v>1400.0</v>
      </c>
      <c r="N11" s="210">
        <v>1400.0</v>
      </c>
      <c r="O11" s="210">
        <v>1400.0</v>
      </c>
      <c r="P11" s="210">
        <v>1400.0</v>
      </c>
      <c r="Q11" s="210">
        <v>1400.0</v>
      </c>
      <c r="R11" s="210">
        <v>1400.0</v>
      </c>
      <c r="S11" s="210">
        <v>1400.0</v>
      </c>
      <c r="T11" s="210">
        <v>1400.0</v>
      </c>
      <c r="U11" s="211"/>
      <c r="V11" s="211"/>
      <c r="W11" s="211"/>
      <c r="X11" s="211"/>
      <c r="Y11" s="211"/>
      <c r="Z11" s="211"/>
      <c r="AA11" s="211"/>
      <c r="AB11" s="211"/>
    </row>
    <row r="12" ht="17.25" customHeight="1">
      <c r="A12" s="203" t="s">
        <v>573</v>
      </c>
      <c r="B12" s="203" t="s">
        <v>575</v>
      </c>
      <c r="C12" s="207">
        <v>420.61855670103097</v>
      </c>
      <c r="D12" s="207"/>
      <c r="E12" s="208">
        <v>0.0</v>
      </c>
      <c r="F12" s="209" t="s">
        <v>22</v>
      </c>
      <c r="G12" s="210">
        <v>500.0</v>
      </c>
      <c r="H12" s="210">
        <v>500.0</v>
      </c>
      <c r="I12" s="210">
        <v>500.0</v>
      </c>
      <c r="J12" s="210">
        <v>500.0</v>
      </c>
      <c r="K12" s="210">
        <v>500.0</v>
      </c>
      <c r="L12" s="210">
        <v>500.0</v>
      </c>
      <c r="M12" s="210">
        <v>500.0</v>
      </c>
      <c r="N12" s="210">
        <v>500.0</v>
      </c>
      <c r="O12" s="210">
        <v>500.0</v>
      </c>
      <c r="P12" s="210">
        <v>500.0</v>
      </c>
      <c r="Q12" s="210">
        <v>500.0</v>
      </c>
      <c r="R12" s="210">
        <v>500.0</v>
      </c>
      <c r="S12" s="210">
        <v>500.0</v>
      </c>
      <c r="T12" s="210">
        <v>500.0</v>
      </c>
      <c r="U12" s="211"/>
      <c r="V12" s="211"/>
      <c r="W12" s="211"/>
      <c r="X12" s="211"/>
      <c r="Y12" s="211"/>
      <c r="Z12" s="211"/>
      <c r="AA12" s="211"/>
      <c r="AB12" s="211"/>
    </row>
    <row r="13" ht="17.25" customHeight="1">
      <c r="A13" s="203" t="s">
        <v>65</v>
      </c>
      <c r="B13" s="203" t="s">
        <v>67</v>
      </c>
      <c r="C13" s="207">
        <v>74.22680412371135</v>
      </c>
      <c r="D13" s="207"/>
      <c r="E13" s="213">
        <v>1000.0</v>
      </c>
      <c r="F13" s="209" t="s">
        <v>22</v>
      </c>
      <c r="G13" s="210">
        <v>600.0</v>
      </c>
      <c r="H13" s="212">
        <v>0.0</v>
      </c>
      <c r="I13" s="212">
        <v>0.0</v>
      </c>
      <c r="J13" s="212">
        <v>0.0</v>
      </c>
      <c r="K13" s="212">
        <v>0.0</v>
      </c>
      <c r="L13" s="212">
        <v>0.0</v>
      </c>
      <c r="M13" s="212">
        <v>0.0</v>
      </c>
      <c r="N13" s="212">
        <v>0.0</v>
      </c>
      <c r="O13" s="212">
        <v>0.0</v>
      </c>
      <c r="P13" s="212">
        <v>0.0</v>
      </c>
      <c r="Q13" s="212">
        <v>0.0</v>
      </c>
      <c r="R13" s="212">
        <v>0.0</v>
      </c>
      <c r="S13" s="212">
        <v>0.0</v>
      </c>
      <c r="T13" s="212">
        <v>0.0</v>
      </c>
      <c r="U13" s="211"/>
      <c r="V13" s="211"/>
      <c r="W13" s="211"/>
      <c r="X13" s="211"/>
      <c r="Y13" s="211"/>
      <c r="Z13" s="211"/>
      <c r="AA13" s="211"/>
      <c r="AB13" s="211"/>
    </row>
    <row r="14" ht="17.25" customHeight="1">
      <c r="A14" s="203" t="s">
        <v>347</v>
      </c>
      <c r="B14" s="203" t="s">
        <v>349</v>
      </c>
      <c r="C14" s="207">
        <v>668.0412371134021</v>
      </c>
      <c r="D14" s="207"/>
      <c r="E14" s="213">
        <v>1800.0</v>
      </c>
      <c r="F14" s="209" t="s">
        <v>22</v>
      </c>
      <c r="G14" s="210">
        <v>3600.0</v>
      </c>
      <c r="H14" s="210">
        <v>3600.0</v>
      </c>
      <c r="I14" s="210">
        <v>3600.0</v>
      </c>
      <c r="J14" s="210">
        <v>3600.0</v>
      </c>
      <c r="K14" s="210">
        <v>2400.0</v>
      </c>
      <c r="L14" s="210">
        <v>2400.0</v>
      </c>
      <c r="M14" s="210">
        <v>2400.0</v>
      </c>
      <c r="N14" s="210">
        <v>2400.0</v>
      </c>
      <c r="O14" s="210">
        <v>2400.0</v>
      </c>
      <c r="P14" s="210">
        <v>2400.0</v>
      </c>
      <c r="Q14" s="210">
        <v>2400.0</v>
      </c>
      <c r="R14" s="210">
        <v>2400.0</v>
      </c>
      <c r="S14" s="210">
        <v>2400.0</v>
      </c>
      <c r="T14" s="210">
        <v>2400.0</v>
      </c>
      <c r="U14" s="211"/>
      <c r="V14" s="211"/>
      <c r="W14" s="211"/>
      <c r="X14" s="211"/>
      <c r="Y14" s="211"/>
      <c r="Z14" s="211"/>
      <c r="AA14" s="211"/>
      <c r="AB14" s="211"/>
    </row>
    <row r="15" ht="17.25" customHeight="1">
      <c r="A15" s="203" t="s">
        <v>1592</v>
      </c>
      <c r="B15" s="203" t="s">
        <v>1594</v>
      </c>
      <c r="C15" s="207">
        <v>98.96907216494844</v>
      </c>
      <c r="D15" s="207"/>
      <c r="E15" s="208">
        <v>0.0</v>
      </c>
      <c r="F15" s="209" t="s">
        <v>22</v>
      </c>
      <c r="G15" s="212">
        <v>0.0</v>
      </c>
      <c r="H15" s="212">
        <v>0.0</v>
      </c>
      <c r="I15" s="212">
        <v>0.0</v>
      </c>
      <c r="J15" s="212">
        <v>0.0</v>
      </c>
      <c r="K15" s="212">
        <v>0.0</v>
      </c>
      <c r="L15" s="212">
        <v>0.0</v>
      </c>
      <c r="M15" s="212">
        <v>0.0</v>
      </c>
      <c r="N15" s="212">
        <v>0.0</v>
      </c>
      <c r="O15" s="212">
        <v>0.0</v>
      </c>
      <c r="P15" s="212">
        <v>0.0</v>
      </c>
      <c r="Q15" s="212">
        <v>0.0</v>
      </c>
      <c r="R15" s="212">
        <v>0.0</v>
      </c>
      <c r="S15" s="212">
        <v>0.0</v>
      </c>
      <c r="T15" s="212">
        <v>0.0</v>
      </c>
      <c r="U15" s="211"/>
      <c r="V15" s="211"/>
      <c r="W15" s="211"/>
      <c r="X15" s="211"/>
      <c r="Y15" s="211"/>
      <c r="Z15" s="211"/>
      <c r="AA15" s="211"/>
      <c r="AB15" s="211"/>
    </row>
    <row r="16" ht="17.25" customHeight="1">
      <c r="A16" s="203" t="s">
        <v>74</v>
      </c>
      <c r="B16" s="203" t="s">
        <v>75</v>
      </c>
      <c r="C16" s="207">
        <v>550.5154639175257</v>
      </c>
      <c r="D16" s="207"/>
      <c r="E16" s="208">
        <v>0.0</v>
      </c>
      <c r="F16" s="209" t="s">
        <v>22</v>
      </c>
      <c r="G16" s="210">
        <v>1500.0</v>
      </c>
      <c r="H16" s="210">
        <v>1500.0</v>
      </c>
      <c r="I16" s="210">
        <v>1500.0</v>
      </c>
      <c r="J16" s="210">
        <v>1500.0</v>
      </c>
      <c r="K16" s="210">
        <v>1500.0</v>
      </c>
      <c r="L16" s="210">
        <v>1500.0</v>
      </c>
      <c r="M16" s="210">
        <v>1500.0</v>
      </c>
      <c r="N16" s="210">
        <v>1500.0</v>
      </c>
      <c r="O16" s="210">
        <v>1500.0</v>
      </c>
      <c r="P16" s="210">
        <v>1500.0</v>
      </c>
      <c r="Q16" s="210">
        <v>1500.0</v>
      </c>
      <c r="R16" s="210">
        <v>1500.0</v>
      </c>
      <c r="S16" s="210">
        <v>1500.0</v>
      </c>
      <c r="T16" s="210">
        <v>1500.0</v>
      </c>
      <c r="U16" s="211"/>
      <c r="V16" s="211"/>
      <c r="W16" s="211"/>
      <c r="X16" s="211"/>
      <c r="Y16" s="211"/>
      <c r="Z16" s="211"/>
      <c r="AA16" s="211"/>
      <c r="AB16" s="211"/>
    </row>
    <row r="17" ht="17.25" customHeight="1">
      <c r="A17" s="203" t="s">
        <v>83</v>
      </c>
      <c r="B17" s="216" t="s">
        <v>84</v>
      </c>
      <c r="C17" s="207">
        <v>197.9381443298969</v>
      </c>
      <c r="D17" s="207"/>
      <c r="E17" s="213">
        <v>2000.0</v>
      </c>
      <c r="F17" s="209" t="s">
        <v>22</v>
      </c>
      <c r="G17" s="210">
        <v>1600.0</v>
      </c>
      <c r="H17" s="210">
        <v>1600.0</v>
      </c>
      <c r="I17" s="210">
        <v>1600.0</v>
      </c>
      <c r="J17" s="210">
        <v>1600.0</v>
      </c>
      <c r="K17" s="210">
        <v>1600.0</v>
      </c>
      <c r="L17" s="210">
        <v>1600.0</v>
      </c>
      <c r="M17" s="210">
        <v>1600.0</v>
      </c>
      <c r="N17" s="210">
        <v>1600.0</v>
      </c>
      <c r="O17" s="210">
        <v>1600.0</v>
      </c>
      <c r="P17" s="210">
        <v>1600.0</v>
      </c>
      <c r="Q17" s="210">
        <v>1600.0</v>
      </c>
      <c r="R17" s="210">
        <v>1600.0</v>
      </c>
      <c r="S17" s="210">
        <v>1600.0</v>
      </c>
      <c r="T17" s="210">
        <v>1600.0</v>
      </c>
      <c r="U17" s="211"/>
      <c r="V17" s="211"/>
      <c r="W17" s="211"/>
      <c r="X17" s="211"/>
      <c r="Y17" s="211"/>
      <c r="Z17" s="211"/>
      <c r="AA17" s="211"/>
      <c r="AB17" s="211"/>
    </row>
    <row r="18" ht="17.25" customHeight="1">
      <c r="A18" s="203" t="s">
        <v>1601</v>
      </c>
      <c r="B18" s="203" t="s">
        <v>1602</v>
      </c>
      <c r="C18" s="207">
        <v>309.2783505154639</v>
      </c>
      <c r="D18" s="207"/>
      <c r="E18" s="208">
        <v>0.0</v>
      </c>
      <c r="F18" s="209" t="s">
        <v>22</v>
      </c>
      <c r="G18" s="212">
        <v>0.0</v>
      </c>
      <c r="H18" s="212">
        <v>0.0</v>
      </c>
      <c r="I18" s="212">
        <v>0.0</v>
      </c>
      <c r="J18" s="212">
        <v>0.0</v>
      </c>
      <c r="K18" s="212">
        <v>0.0</v>
      </c>
      <c r="L18" s="212">
        <v>0.0</v>
      </c>
      <c r="M18" s="212">
        <v>0.0</v>
      </c>
      <c r="N18" s="212">
        <v>0.0</v>
      </c>
      <c r="O18" s="212">
        <v>0.0</v>
      </c>
      <c r="P18" s="212">
        <v>0.0</v>
      </c>
      <c r="Q18" s="212">
        <v>0.0</v>
      </c>
      <c r="R18" s="212">
        <v>0.0</v>
      </c>
      <c r="S18" s="212">
        <v>0.0</v>
      </c>
      <c r="T18" s="212">
        <v>0.0</v>
      </c>
      <c r="U18" s="211"/>
      <c r="V18" s="211"/>
      <c r="W18" s="211"/>
      <c r="X18" s="211"/>
      <c r="Y18" s="211"/>
      <c r="Z18" s="211"/>
      <c r="AA18" s="211"/>
      <c r="AB18" s="211"/>
    </row>
    <row r="19" ht="17.25" customHeight="1">
      <c r="A19" s="203" t="s">
        <v>91</v>
      </c>
      <c r="B19" s="203" t="s">
        <v>92</v>
      </c>
      <c r="C19" s="207">
        <v>296.9072164948454</v>
      </c>
      <c r="D19" s="207"/>
      <c r="E19" s="213">
        <v>1400.0</v>
      </c>
      <c r="F19" s="209" t="s">
        <v>22</v>
      </c>
      <c r="G19" s="210">
        <v>800.0</v>
      </c>
      <c r="H19" s="210">
        <v>800.0</v>
      </c>
      <c r="I19" s="210">
        <v>800.0</v>
      </c>
      <c r="J19" s="210">
        <v>800.0</v>
      </c>
      <c r="K19" s="210">
        <v>800.0</v>
      </c>
      <c r="L19" s="210">
        <v>800.0</v>
      </c>
      <c r="M19" s="210">
        <v>800.0</v>
      </c>
      <c r="N19" s="210">
        <v>800.0</v>
      </c>
      <c r="O19" s="210">
        <v>800.0</v>
      </c>
      <c r="P19" s="210">
        <v>800.0</v>
      </c>
      <c r="Q19" s="210">
        <v>800.0</v>
      </c>
      <c r="R19" s="210">
        <v>800.0</v>
      </c>
      <c r="S19" s="210">
        <v>800.0</v>
      </c>
      <c r="T19" s="210">
        <v>800.0</v>
      </c>
      <c r="U19" s="211"/>
      <c r="V19" s="211"/>
      <c r="W19" s="211"/>
      <c r="X19" s="211"/>
      <c r="Y19" s="211"/>
      <c r="Z19" s="211"/>
      <c r="AA19" s="211"/>
      <c r="AB19" s="211"/>
    </row>
    <row r="20" ht="17.25" customHeight="1">
      <c r="A20" s="203" t="s">
        <v>98</v>
      </c>
      <c r="B20" s="203" t="s">
        <v>99</v>
      </c>
      <c r="C20" s="207" t="s">
        <v>1333</v>
      </c>
      <c r="D20" s="207"/>
      <c r="E20" s="209">
        <v>600.0</v>
      </c>
      <c r="F20" s="209" t="s">
        <v>22</v>
      </c>
      <c r="G20" s="210">
        <v>700.0</v>
      </c>
      <c r="H20" s="210">
        <v>700.0</v>
      </c>
      <c r="I20" s="210">
        <v>700.0</v>
      </c>
      <c r="J20" s="210">
        <v>700.0</v>
      </c>
      <c r="K20" s="210">
        <v>700.0</v>
      </c>
      <c r="L20" s="210">
        <v>700.0</v>
      </c>
      <c r="M20" s="210">
        <v>700.0</v>
      </c>
      <c r="N20" s="210">
        <v>700.0</v>
      </c>
      <c r="O20" s="210">
        <v>700.0</v>
      </c>
      <c r="P20" s="210">
        <v>700.0</v>
      </c>
      <c r="Q20" s="210">
        <v>700.0</v>
      </c>
      <c r="R20" s="210">
        <v>700.0</v>
      </c>
      <c r="S20" s="210">
        <v>700.0</v>
      </c>
      <c r="T20" s="210">
        <v>700.0</v>
      </c>
      <c r="U20" s="211"/>
      <c r="V20" s="211"/>
      <c r="W20" s="211"/>
      <c r="X20" s="211"/>
      <c r="Y20" s="211"/>
      <c r="Z20" s="211"/>
      <c r="AA20" s="211"/>
      <c r="AB20" s="211"/>
    </row>
    <row r="21" ht="17.25" customHeight="1">
      <c r="A21" s="203" t="s">
        <v>104</v>
      </c>
      <c r="B21" s="203" t="s">
        <v>106</v>
      </c>
      <c r="C21" s="207">
        <v>593.8144329896908</v>
      </c>
      <c r="D21" s="207"/>
      <c r="E21" s="213">
        <v>1000.0</v>
      </c>
      <c r="F21" s="209" t="s">
        <v>22</v>
      </c>
      <c r="G21" s="210">
        <v>2100.0</v>
      </c>
      <c r="H21" s="210">
        <v>1500.0</v>
      </c>
      <c r="I21" s="210">
        <v>1500.0</v>
      </c>
      <c r="J21" s="210">
        <v>1500.0</v>
      </c>
      <c r="K21" s="210">
        <v>1500.0</v>
      </c>
      <c r="L21" s="210">
        <v>1500.0</v>
      </c>
      <c r="M21" s="210">
        <v>1500.0</v>
      </c>
      <c r="N21" s="210">
        <v>1500.0</v>
      </c>
      <c r="O21" s="210">
        <v>1500.0</v>
      </c>
      <c r="P21" s="210">
        <v>1500.0</v>
      </c>
      <c r="Q21" s="210">
        <v>1500.0</v>
      </c>
      <c r="R21" s="210">
        <v>1500.0</v>
      </c>
      <c r="S21" s="210">
        <v>1500.0</v>
      </c>
      <c r="T21" s="210">
        <v>1500.0</v>
      </c>
      <c r="U21" s="211"/>
      <c r="V21" s="211"/>
      <c r="W21" s="211"/>
      <c r="X21" s="211"/>
      <c r="Y21" s="211"/>
      <c r="Z21" s="211"/>
      <c r="AA21" s="211"/>
      <c r="AB21" s="211"/>
    </row>
    <row r="22" ht="17.25" customHeight="1">
      <c r="A22" s="203" t="s">
        <v>113</v>
      </c>
      <c r="B22" s="203" t="s">
        <v>115</v>
      </c>
      <c r="C22" s="207" t="s">
        <v>1333</v>
      </c>
      <c r="D22" s="207"/>
      <c r="E22" s="209">
        <v>600.0</v>
      </c>
      <c r="F22" s="209" t="s">
        <v>22</v>
      </c>
      <c r="G22" s="210">
        <v>600.0</v>
      </c>
      <c r="H22" s="210">
        <v>600.0</v>
      </c>
      <c r="I22" s="210">
        <v>600.0</v>
      </c>
      <c r="J22" s="210">
        <v>600.0</v>
      </c>
      <c r="K22" s="210">
        <v>600.0</v>
      </c>
      <c r="L22" s="210">
        <v>600.0</v>
      </c>
      <c r="M22" s="210">
        <v>600.0</v>
      </c>
      <c r="N22" s="210">
        <v>600.0</v>
      </c>
      <c r="O22" s="210">
        <v>600.0</v>
      </c>
      <c r="P22" s="210">
        <v>600.0</v>
      </c>
      <c r="Q22" s="210">
        <v>600.0</v>
      </c>
      <c r="R22" s="210">
        <v>600.0</v>
      </c>
      <c r="S22" s="210">
        <v>600.0</v>
      </c>
      <c r="T22" s="210">
        <v>600.0</v>
      </c>
      <c r="U22" s="211"/>
      <c r="V22" s="211"/>
      <c r="W22" s="211"/>
      <c r="X22" s="211"/>
      <c r="Y22" s="211"/>
      <c r="Z22" s="211"/>
      <c r="AA22" s="211"/>
      <c r="AB22" s="211"/>
    </row>
    <row r="23" ht="17.25" customHeight="1">
      <c r="A23" s="203" t="s">
        <v>1610</v>
      </c>
      <c r="B23" s="203" t="s">
        <v>1612</v>
      </c>
      <c r="C23" s="207">
        <v>49.48453608247422</v>
      </c>
      <c r="D23" s="207"/>
      <c r="E23" s="208">
        <v>0.0</v>
      </c>
      <c r="F23" s="209" t="s">
        <v>22</v>
      </c>
      <c r="G23" s="212">
        <v>0.0</v>
      </c>
      <c r="H23" s="212">
        <v>0.0</v>
      </c>
      <c r="I23" s="212">
        <v>0.0</v>
      </c>
      <c r="J23" s="212">
        <v>0.0</v>
      </c>
      <c r="K23" s="212">
        <v>0.0</v>
      </c>
      <c r="L23" s="212">
        <v>0.0</v>
      </c>
      <c r="M23" s="212">
        <v>0.0</v>
      </c>
      <c r="N23" s="212">
        <v>0.0</v>
      </c>
      <c r="O23" s="212">
        <v>0.0</v>
      </c>
      <c r="P23" s="212">
        <v>0.0</v>
      </c>
      <c r="Q23" s="212">
        <v>0.0</v>
      </c>
      <c r="R23" s="212">
        <v>0.0</v>
      </c>
      <c r="S23" s="212">
        <v>0.0</v>
      </c>
      <c r="T23" s="212">
        <v>0.0</v>
      </c>
      <c r="U23" s="211"/>
      <c r="V23" s="211"/>
      <c r="W23" s="211"/>
      <c r="X23" s="211"/>
      <c r="Y23" s="211"/>
      <c r="Z23" s="211"/>
      <c r="AA23" s="211"/>
      <c r="AB23" s="211"/>
    </row>
    <row r="24" ht="17.25" customHeight="1">
      <c r="A24" s="203" t="s">
        <v>120</v>
      </c>
      <c r="B24" s="203" t="s">
        <v>121</v>
      </c>
      <c r="C24" s="207">
        <v>123.71134020618558</v>
      </c>
      <c r="D24" s="207"/>
      <c r="E24" s="213">
        <v>200.0</v>
      </c>
      <c r="F24" s="209" t="s">
        <v>22</v>
      </c>
      <c r="G24" s="217">
        <v>200.0</v>
      </c>
      <c r="H24" s="217">
        <v>200.0</v>
      </c>
      <c r="I24" s="217">
        <v>200.0</v>
      </c>
      <c r="J24" s="217">
        <v>200.0</v>
      </c>
      <c r="K24" s="217">
        <v>200.0</v>
      </c>
      <c r="L24" s="217">
        <v>200.0</v>
      </c>
      <c r="M24" s="217">
        <v>200.0</v>
      </c>
      <c r="N24" s="217">
        <v>200.0</v>
      </c>
      <c r="O24" s="217">
        <v>200.0</v>
      </c>
      <c r="P24" s="217">
        <v>200.0</v>
      </c>
      <c r="Q24" s="217">
        <v>200.0</v>
      </c>
      <c r="R24" s="217">
        <v>200.0</v>
      </c>
      <c r="S24" s="217">
        <v>200.0</v>
      </c>
      <c r="T24" s="217">
        <v>200.0</v>
      </c>
      <c r="U24" s="211"/>
      <c r="V24" s="211"/>
      <c r="W24" s="211"/>
      <c r="X24" s="211"/>
      <c r="Y24" s="211"/>
      <c r="Z24" s="211"/>
      <c r="AA24" s="211"/>
      <c r="AB24" s="211"/>
    </row>
    <row r="25" ht="17.25" customHeight="1">
      <c r="A25" s="203" t="s">
        <v>128</v>
      </c>
      <c r="B25" s="203" t="s">
        <v>130</v>
      </c>
      <c r="C25" s="207">
        <v>185.56701030927834</v>
      </c>
      <c r="D25" s="207"/>
      <c r="E25" s="213">
        <v>500.0</v>
      </c>
      <c r="F25" s="209" t="s">
        <v>22</v>
      </c>
      <c r="G25" s="210">
        <v>2000.0</v>
      </c>
      <c r="H25" s="210">
        <v>2000.0</v>
      </c>
      <c r="I25" s="210">
        <v>2000.0</v>
      </c>
      <c r="J25" s="210">
        <v>2000.0</v>
      </c>
      <c r="K25" s="210">
        <v>2000.0</v>
      </c>
      <c r="L25" s="210">
        <v>2000.0</v>
      </c>
      <c r="M25" s="210">
        <v>2000.0</v>
      </c>
      <c r="N25" s="210">
        <v>2000.0</v>
      </c>
      <c r="O25" s="210">
        <v>2000.0</v>
      </c>
      <c r="P25" s="210">
        <v>2000.0</v>
      </c>
      <c r="Q25" s="210">
        <v>2000.0</v>
      </c>
      <c r="R25" s="210">
        <v>2000.0</v>
      </c>
      <c r="S25" s="210">
        <v>2000.0</v>
      </c>
      <c r="T25" s="210">
        <v>2000.0</v>
      </c>
      <c r="U25" s="211"/>
      <c r="V25" s="211"/>
      <c r="W25" s="211"/>
      <c r="X25" s="211"/>
      <c r="Y25" s="211"/>
      <c r="Z25" s="211"/>
      <c r="AA25" s="211"/>
      <c r="AB25" s="211"/>
    </row>
    <row r="26" ht="17.25" customHeight="1">
      <c r="A26" s="203" t="s">
        <v>135</v>
      </c>
      <c r="B26" s="203" t="s">
        <v>136</v>
      </c>
      <c r="C26" s="207">
        <v>173.1958762886598</v>
      </c>
      <c r="D26" s="207"/>
      <c r="E26" s="213">
        <v>600.0</v>
      </c>
      <c r="F26" s="209" t="s">
        <v>22</v>
      </c>
      <c r="G26" s="210">
        <v>600.0</v>
      </c>
      <c r="H26" s="210">
        <v>600.0</v>
      </c>
      <c r="I26" s="210">
        <v>600.0</v>
      </c>
      <c r="J26" s="210">
        <v>600.0</v>
      </c>
      <c r="K26" s="210">
        <v>600.0</v>
      </c>
      <c r="L26" s="210">
        <v>600.0</v>
      </c>
      <c r="M26" s="210">
        <v>600.0</v>
      </c>
      <c r="N26" s="210">
        <v>600.0</v>
      </c>
      <c r="O26" s="210">
        <v>600.0</v>
      </c>
      <c r="P26" s="210">
        <v>600.0</v>
      </c>
      <c r="Q26" s="210">
        <v>600.0</v>
      </c>
      <c r="R26" s="210">
        <v>600.0</v>
      </c>
      <c r="S26" s="210">
        <v>600.0</v>
      </c>
      <c r="T26" s="210">
        <v>600.0</v>
      </c>
      <c r="U26" s="211"/>
      <c r="V26" s="211"/>
      <c r="W26" s="211"/>
      <c r="X26" s="211"/>
      <c r="Y26" s="211"/>
      <c r="Z26" s="211"/>
      <c r="AA26" s="211"/>
      <c r="AB26" s="211"/>
    </row>
    <row r="27" ht="17.25" customHeight="1">
      <c r="A27" s="203" t="s">
        <v>143</v>
      </c>
      <c r="B27" s="203" t="s">
        <v>144</v>
      </c>
      <c r="C27" s="207" t="s">
        <v>1333</v>
      </c>
      <c r="D27" s="207"/>
      <c r="E27" s="209">
        <v>1600.0</v>
      </c>
      <c r="F27" s="209" t="s">
        <v>22</v>
      </c>
      <c r="G27" s="210">
        <v>1600.0</v>
      </c>
      <c r="H27" s="210">
        <v>1600.0</v>
      </c>
      <c r="I27" s="210">
        <v>1600.0</v>
      </c>
      <c r="J27" s="210">
        <v>1600.0</v>
      </c>
      <c r="K27" s="210">
        <v>1600.0</v>
      </c>
      <c r="L27" s="210">
        <v>1600.0</v>
      </c>
      <c r="M27" s="210">
        <v>1600.0</v>
      </c>
      <c r="N27" s="210">
        <v>1600.0</v>
      </c>
      <c r="O27" s="210">
        <v>1600.0</v>
      </c>
      <c r="P27" s="210">
        <v>1600.0</v>
      </c>
      <c r="Q27" s="210">
        <v>1600.0</v>
      </c>
      <c r="R27" s="210">
        <v>1600.0</v>
      </c>
      <c r="S27" s="210">
        <v>1600.0</v>
      </c>
      <c r="T27" s="210">
        <v>1600.0</v>
      </c>
      <c r="U27" s="211"/>
      <c r="V27" s="211"/>
      <c r="W27" s="211"/>
      <c r="X27" s="211"/>
      <c r="Y27" s="211"/>
      <c r="Z27" s="211"/>
      <c r="AA27" s="211"/>
      <c r="AB27" s="211"/>
    </row>
    <row r="28" ht="17.25" customHeight="1">
      <c r="A28" s="203" t="s">
        <v>546</v>
      </c>
      <c r="B28" s="203" t="s">
        <v>547</v>
      </c>
      <c r="C28" s="207">
        <v>111.34020618556701</v>
      </c>
      <c r="D28" s="207"/>
      <c r="E28" s="213">
        <v>2400.0</v>
      </c>
      <c r="F28" s="209" t="s">
        <v>22</v>
      </c>
      <c r="G28" s="212">
        <v>0.0</v>
      </c>
      <c r="H28" s="212">
        <v>0.0</v>
      </c>
      <c r="I28" s="212">
        <v>0.0</v>
      </c>
      <c r="J28" s="212">
        <v>0.0</v>
      </c>
      <c r="K28" s="212">
        <v>0.0</v>
      </c>
      <c r="L28" s="212">
        <v>0.0</v>
      </c>
      <c r="M28" s="212">
        <v>0.0</v>
      </c>
      <c r="N28" s="212">
        <v>0.0</v>
      </c>
      <c r="O28" s="212">
        <v>0.0</v>
      </c>
      <c r="P28" s="212">
        <v>0.0</v>
      </c>
      <c r="Q28" s="212">
        <v>0.0</v>
      </c>
      <c r="R28" s="212">
        <v>0.0</v>
      </c>
      <c r="S28" s="212">
        <v>0.0</v>
      </c>
      <c r="T28" s="212">
        <v>0.0</v>
      </c>
      <c r="U28" s="211"/>
      <c r="V28" s="211"/>
      <c r="W28" s="211"/>
      <c r="X28" s="211"/>
      <c r="Y28" s="211"/>
      <c r="Z28" s="211"/>
      <c r="AA28" s="211"/>
      <c r="AB28" s="211"/>
    </row>
    <row r="29" ht="17.25" customHeight="1">
      <c r="A29" s="203" t="s">
        <v>1611</v>
      </c>
      <c r="B29" s="203" t="s">
        <v>1620</v>
      </c>
      <c r="C29" s="207">
        <v>98.96907216494844</v>
      </c>
      <c r="D29" s="207"/>
      <c r="E29" s="208">
        <v>0.0</v>
      </c>
      <c r="F29" s="209" t="s">
        <v>22</v>
      </c>
      <c r="G29" s="212">
        <v>0.0</v>
      </c>
      <c r="H29" s="212">
        <v>0.0</v>
      </c>
      <c r="I29" s="212">
        <v>0.0</v>
      </c>
      <c r="J29" s="212">
        <v>0.0</v>
      </c>
      <c r="K29" s="212">
        <v>0.0</v>
      </c>
      <c r="L29" s="212">
        <v>0.0</v>
      </c>
      <c r="M29" s="212">
        <v>0.0</v>
      </c>
      <c r="N29" s="212">
        <v>0.0</v>
      </c>
      <c r="O29" s="212">
        <v>0.0</v>
      </c>
      <c r="P29" s="212">
        <v>0.0</v>
      </c>
      <c r="Q29" s="212">
        <v>0.0</v>
      </c>
      <c r="R29" s="212">
        <v>0.0</v>
      </c>
      <c r="S29" s="212">
        <v>0.0</v>
      </c>
      <c r="T29" s="212">
        <v>0.0</v>
      </c>
      <c r="U29" s="211"/>
      <c r="V29" s="211"/>
      <c r="W29" s="211"/>
      <c r="X29" s="211"/>
      <c r="Y29" s="211"/>
      <c r="Z29" s="211"/>
      <c r="AA29" s="211"/>
      <c r="AB29" s="211"/>
    </row>
    <row r="30" ht="17.25" customHeight="1">
      <c r="A30" s="203" t="s">
        <v>1623</v>
      </c>
      <c r="B30" s="203" t="s">
        <v>1624</v>
      </c>
      <c r="C30" s="207">
        <v>98.96907216494844</v>
      </c>
      <c r="D30" s="207"/>
      <c r="E30" s="208">
        <v>0.0</v>
      </c>
      <c r="F30" s="209" t="s">
        <v>22</v>
      </c>
      <c r="G30" s="210">
        <v>800.0</v>
      </c>
      <c r="H30" s="210">
        <v>800.0</v>
      </c>
      <c r="I30" s="210">
        <v>800.0</v>
      </c>
      <c r="J30" s="210">
        <v>800.0</v>
      </c>
      <c r="K30" s="210">
        <v>300.0</v>
      </c>
      <c r="L30" s="210">
        <v>300.0</v>
      </c>
      <c r="M30" s="210">
        <v>300.0</v>
      </c>
      <c r="N30" s="210">
        <v>300.0</v>
      </c>
      <c r="O30" s="210">
        <v>300.0</v>
      </c>
      <c r="P30" s="210">
        <v>300.0</v>
      </c>
      <c r="Q30" s="210">
        <v>300.0</v>
      </c>
      <c r="R30" s="210">
        <v>300.0</v>
      </c>
      <c r="S30" s="210">
        <v>300.0</v>
      </c>
      <c r="T30" s="210">
        <v>300.0</v>
      </c>
      <c r="U30" s="211"/>
      <c r="V30" s="211"/>
      <c r="W30" s="211"/>
      <c r="X30" s="211"/>
      <c r="Y30" s="211"/>
      <c r="Z30" s="211"/>
      <c r="AA30" s="211"/>
      <c r="AB30" s="211"/>
    </row>
    <row r="31" ht="17.25" customHeight="1">
      <c r="A31" s="203" t="s">
        <v>152</v>
      </c>
      <c r="B31" s="203" t="s">
        <v>154</v>
      </c>
      <c r="C31" s="207" t="s">
        <v>1333</v>
      </c>
      <c r="D31" s="207"/>
      <c r="E31" s="209">
        <v>2500.0</v>
      </c>
      <c r="F31" s="209" t="s">
        <v>22</v>
      </c>
      <c r="G31" s="210">
        <v>2500.0</v>
      </c>
      <c r="H31" s="210">
        <v>2500.0</v>
      </c>
      <c r="I31" s="210">
        <v>2500.0</v>
      </c>
      <c r="J31" s="210">
        <v>2500.0</v>
      </c>
      <c r="K31" s="210">
        <v>2500.0</v>
      </c>
      <c r="L31" s="210">
        <v>2500.0</v>
      </c>
      <c r="M31" s="210">
        <v>2500.0</v>
      </c>
      <c r="N31" s="210">
        <v>2500.0</v>
      </c>
      <c r="O31" s="210">
        <v>2500.0</v>
      </c>
      <c r="P31" s="210">
        <v>2500.0</v>
      </c>
      <c r="Q31" s="210">
        <v>2500.0</v>
      </c>
      <c r="R31" s="210">
        <v>2500.0</v>
      </c>
      <c r="S31" s="210">
        <v>2500.0</v>
      </c>
      <c r="T31" s="210">
        <v>2500.0</v>
      </c>
      <c r="U31" s="211"/>
      <c r="V31" s="211"/>
      <c r="W31" s="211"/>
      <c r="X31" s="211"/>
      <c r="Y31" s="211"/>
      <c r="Z31" s="211"/>
      <c r="AA31" s="211"/>
      <c r="AB31" s="211"/>
    </row>
    <row r="32" ht="17.25" customHeight="1">
      <c r="A32" s="203" t="s">
        <v>159</v>
      </c>
      <c r="B32" s="203" t="s">
        <v>161</v>
      </c>
      <c r="C32" s="207">
        <v>74.22680412371135</v>
      </c>
      <c r="D32" s="207"/>
      <c r="E32" s="213">
        <v>700.0</v>
      </c>
      <c r="F32" s="209" t="s">
        <v>22</v>
      </c>
      <c r="G32" s="212">
        <v>0.0</v>
      </c>
      <c r="H32" s="212">
        <v>0.0</v>
      </c>
      <c r="I32" s="212">
        <v>0.0</v>
      </c>
      <c r="J32" s="212">
        <v>0.0</v>
      </c>
      <c r="K32" s="212">
        <v>0.0</v>
      </c>
      <c r="L32" s="212">
        <v>0.0</v>
      </c>
      <c r="M32" s="212">
        <v>0.0</v>
      </c>
      <c r="N32" s="212">
        <v>0.0</v>
      </c>
      <c r="O32" s="212">
        <v>0.0</v>
      </c>
      <c r="P32" s="212">
        <v>0.0</v>
      </c>
      <c r="Q32" s="212">
        <v>0.0</v>
      </c>
      <c r="R32" s="212">
        <v>0.0</v>
      </c>
      <c r="S32" s="212">
        <v>0.0</v>
      </c>
      <c r="T32" s="212">
        <v>0.0</v>
      </c>
      <c r="U32" s="211"/>
      <c r="V32" s="211"/>
      <c r="W32" s="211"/>
      <c r="X32" s="211"/>
      <c r="Y32" s="211"/>
      <c r="Z32" s="211"/>
      <c r="AA32" s="211"/>
      <c r="AB32" s="211"/>
    </row>
    <row r="33" ht="17.25" customHeight="1">
      <c r="A33" s="203" t="s">
        <v>1605</v>
      </c>
      <c r="B33" s="203" t="s">
        <v>1630</v>
      </c>
      <c r="C33" s="207">
        <v>123.71134020618558</v>
      </c>
      <c r="D33" s="207"/>
      <c r="E33" s="208">
        <v>0.0</v>
      </c>
      <c r="F33" s="209" t="s">
        <v>22</v>
      </c>
      <c r="G33" s="212">
        <v>0.0</v>
      </c>
      <c r="H33" s="212">
        <v>0.0</v>
      </c>
      <c r="I33" s="212">
        <v>0.0</v>
      </c>
      <c r="J33" s="212">
        <v>0.0</v>
      </c>
      <c r="K33" s="212">
        <v>0.0</v>
      </c>
      <c r="L33" s="212">
        <v>0.0</v>
      </c>
      <c r="M33" s="212">
        <v>0.0</v>
      </c>
      <c r="N33" s="212">
        <v>0.0</v>
      </c>
      <c r="O33" s="212">
        <v>0.0</v>
      </c>
      <c r="P33" s="212">
        <v>0.0</v>
      </c>
      <c r="Q33" s="212">
        <v>0.0</v>
      </c>
      <c r="R33" s="212">
        <v>0.0</v>
      </c>
      <c r="S33" s="212">
        <v>0.0</v>
      </c>
      <c r="T33" s="212">
        <v>0.0</v>
      </c>
      <c r="U33" s="211"/>
      <c r="V33" s="211"/>
      <c r="W33" s="211"/>
      <c r="X33" s="211"/>
      <c r="Y33" s="211"/>
      <c r="Z33" s="211"/>
      <c r="AA33" s="211"/>
      <c r="AB33" s="211"/>
    </row>
    <row r="34" ht="17.25" customHeight="1">
      <c r="A34" s="203" t="s">
        <v>167</v>
      </c>
      <c r="B34" s="203" t="s">
        <v>168</v>
      </c>
      <c r="C34" s="207" t="s">
        <v>1333</v>
      </c>
      <c r="D34" s="207"/>
      <c r="E34" s="209">
        <v>1900.0</v>
      </c>
      <c r="F34" s="209" t="s">
        <v>22</v>
      </c>
      <c r="G34" s="210">
        <v>1900.0</v>
      </c>
      <c r="H34" s="210">
        <v>1900.0</v>
      </c>
      <c r="I34" s="210">
        <v>1900.0</v>
      </c>
      <c r="J34" s="210">
        <v>1900.0</v>
      </c>
      <c r="K34" s="210">
        <v>1900.0</v>
      </c>
      <c r="L34" s="210">
        <v>1900.0</v>
      </c>
      <c r="M34" s="210">
        <v>1900.0</v>
      </c>
      <c r="N34" s="210">
        <v>1900.0</v>
      </c>
      <c r="O34" s="210">
        <v>1900.0</v>
      </c>
      <c r="P34" s="210">
        <v>1900.0</v>
      </c>
      <c r="Q34" s="210">
        <v>1900.0</v>
      </c>
      <c r="R34" s="210">
        <v>1900.0</v>
      </c>
      <c r="S34" s="210">
        <v>1900.0</v>
      </c>
      <c r="T34" s="210">
        <v>1900.0</v>
      </c>
      <c r="U34" s="211"/>
      <c r="V34" s="211"/>
      <c r="W34" s="211"/>
      <c r="X34" s="211"/>
      <c r="Y34" s="211"/>
      <c r="Z34" s="211"/>
      <c r="AA34" s="211"/>
      <c r="AB34" s="211"/>
    </row>
    <row r="35" ht="17.25" customHeight="1">
      <c r="A35" s="203" t="s">
        <v>175</v>
      </c>
      <c r="B35" s="203" t="s">
        <v>176</v>
      </c>
      <c r="C35" s="207">
        <v>1138.1443298969073</v>
      </c>
      <c r="D35" s="207"/>
      <c r="E35" s="213">
        <v>2100.0</v>
      </c>
      <c r="F35" s="209" t="s">
        <v>22</v>
      </c>
      <c r="G35" s="210">
        <v>400.0</v>
      </c>
      <c r="H35" s="210">
        <v>400.0</v>
      </c>
      <c r="I35" s="210">
        <v>400.0</v>
      </c>
      <c r="J35" s="210">
        <v>400.0</v>
      </c>
      <c r="K35" s="210">
        <v>400.0</v>
      </c>
      <c r="L35" s="210">
        <v>400.0</v>
      </c>
      <c r="M35" s="210">
        <v>400.0</v>
      </c>
      <c r="N35" s="210">
        <v>400.0</v>
      </c>
      <c r="O35" s="210">
        <v>400.0</v>
      </c>
      <c r="P35" s="210">
        <v>400.0</v>
      </c>
      <c r="Q35" s="210">
        <v>400.0</v>
      </c>
      <c r="R35" s="210">
        <v>400.0</v>
      </c>
      <c r="S35" s="210">
        <v>400.0</v>
      </c>
      <c r="T35" s="210">
        <v>400.0</v>
      </c>
      <c r="U35" s="211"/>
      <c r="V35" s="211"/>
      <c r="W35" s="211"/>
      <c r="X35" s="211"/>
      <c r="Y35" s="211"/>
      <c r="Z35" s="211"/>
      <c r="AA35" s="211"/>
      <c r="AB35" s="211"/>
    </row>
    <row r="36" ht="17.25" customHeight="1">
      <c r="A36" s="203" t="s">
        <v>1635</v>
      </c>
      <c r="B36" s="203" t="s">
        <v>1636</v>
      </c>
      <c r="C36" s="207">
        <v>111.34020618556701</v>
      </c>
      <c r="D36" s="207"/>
      <c r="E36" s="208">
        <v>0.0</v>
      </c>
      <c r="F36" s="209" t="s">
        <v>22</v>
      </c>
      <c r="G36" s="212">
        <v>0.0</v>
      </c>
      <c r="H36" s="212">
        <v>0.0</v>
      </c>
      <c r="I36" s="212">
        <v>0.0</v>
      </c>
      <c r="J36" s="212">
        <v>0.0</v>
      </c>
      <c r="K36" s="212">
        <v>0.0</v>
      </c>
      <c r="L36" s="212">
        <v>0.0</v>
      </c>
      <c r="M36" s="212">
        <v>0.0</v>
      </c>
      <c r="N36" s="212">
        <v>0.0</v>
      </c>
      <c r="O36" s="212">
        <v>0.0</v>
      </c>
      <c r="P36" s="212">
        <v>0.0</v>
      </c>
      <c r="Q36" s="212">
        <v>0.0</v>
      </c>
      <c r="R36" s="212">
        <v>0.0</v>
      </c>
      <c r="S36" s="212">
        <v>0.0</v>
      </c>
      <c r="T36" s="212">
        <v>0.0</v>
      </c>
      <c r="U36" s="211"/>
      <c r="V36" s="211"/>
      <c r="W36" s="211"/>
      <c r="X36" s="211"/>
      <c r="Y36" s="211"/>
      <c r="Z36" s="211"/>
      <c r="AA36" s="211"/>
      <c r="AB36" s="211"/>
    </row>
    <row r="37" ht="17.25" customHeight="1">
      <c r="A37" s="203" t="s">
        <v>183</v>
      </c>
      <c r="B37" s="203" t="s">
        <v>184</v>
      </c>
      <c r="C37" s="207">
        <v>74.22680412371135</v>
      </c>
      <c r="D37" s="207"/>
      <c r="E37" s="213">
        <v>200.0</v>
      </c>
      <c r="F37" s="209" t="s">
        <v>22</v>
      </c>
      <c r="G37" s="210">
        <v>800.0</v>
      </c>
      <c r="H37" s="210">
        <v>800.0</v>
      </c>
      <c r="I37" s="210">
        <v>800.0</v>
      </c>
      <c r="J37" s="210">
        <v>800.0</v>
      </c>
      <c r="K37" s="210">
        <v>800.0</v>
      </c>
      <c r="L37" s="210">
        <v>800.0</v>
      </c>
      <c r="M37" s="210">
        <v>800.0</v>
      </c>
      <c r="N37" s="210">
        <v>800.0</v>
      </c>
      <c r="O37" s="210">
        <v>800.0</v>
      </c>
      <c r="P37" s="210">
        <v>800.0</v>
      </c>
      <c r="Q37" s="210">
        <v>800.0</v>
      </c>
      <c r="R37" s="210">
        <v>800.0</v>
      </c>
      <c r="S37" s="210">
        <v>800.0</v>
      </c>
      <c r="T37" s="210">
        <v>800.0</v>
      </c>
      <c r="U37" s="211"/>
      <c r="V37" s="211"/>
      <c r="W37" s="211"/>
      <c r="X37" s="211"/>
      <c r="Y37" s="211"/>
      <c r="Z37" s="211"/>
      <c r="AA37" s="211"/>
      <c r="AB37" s="211"/>
    </row>
    <row r="38" ht="17.25" customHeight="1">
      <c r="A38" s="203" t="s">
        <v>105</v>
      </c>
      <c r="B38" s="203" t="s">
        <v>107</v>
      </c>
      <c r="C38" s="207">
        <v>445.36082474226805</v>
      </c>
      <c r="D38" s="207"/>
      <c r="E38" s="213">
        <v>1200.0</v>
      </c>
      <c r="F38" s="209" t="s">
        <v>22</v>
      </c>
      <c r="G38" s="210">
        <v>800.0</v>
      </c>
      <c r="H38" s="210">
        <v>800.0</v>
      </c>
      <c r="I38" s="210">
        <v>800.0</v>
      </c>
      <c r="J38" s="210">
        <v>800.0</v>
      </c>
      <c r="K38" s="210">
        <v>800.0</v>
      </c>
      <c r="L38" s="210">
        <v>800.0</v>
      </c>
      <c r="M38" s="210">
        <v>800.0</v>
      </c>
      <c r="N38" s="210">
        <v>800.0</v>
      </c>
      <c r="O38" s="210">
        <v>800.0</v>
      </c>
      <c r="P38" s="210">
        <v>800.0</v>
      </c>
      <c r="Q38" s="210">
        <v>800.0</v>
      </c>
      <c r="R38" s="210">
        <v>800.0</v>
      </c>
      <c r="S38" s="210">
        <v>800.0</v>
      </c>
      <c r="T38" s="210">
        <v>800.0</v>
      </c>
      <c r="U38" s="211"/>
      <c r="V38" s="211"/>
      <c r="W38" s="211"/>
      <c r="X38" s="211"/>
      <c r="Y38" s="211"/>
      <c r="Z38" s="211"/>
      <c r="AA38" s="211"/>
      <c r="AB38" s="211"/>
    </row>
    <row r="39" ht="17.25" customHeight="1">
      <c r="A39" s="203" t="s">
        <v>1638</v>
      </c>
      <c r="B39" s="203" t="s">
        <v>1639</v>
      </c>
      <c r="C39" s="207">
        <v>86.5979381443299</v>
      </c>
      <c r="D39" s="207"/>
      <c r="E39" s="208">
        <v>0.0</v>
      </c>
      <c r="F39" s="209" t="s">
        <v>22</v>
      </c>
      <c r="G39" s="212">
        <v>0.0</v>
      </c>
      <c r="H39" s="212">
        <v>0.0</v>
      </c>
      <c r="I39" s="212">
        <v>0.0</v>
      </c>
      <c r="J39" s="212">
        <v>0.0</v>
      </c>
      <c r="K39" s="212">
        <v>0.0</v>
      </c>
      <c r="L39" s="212">
        <v>0.0</v>
      </c>
      <c r="M39" s="212">
        <v>0.0</v>
      </c>
      <c r="N39" s="212">
        <v>0.0</v>
      </c>
      <c r="O39" s="212">
        <v>0.0</v>
      </c>
      <c r="P39" s="212">
        <v>0.0</v>
      </c>
      <c r="Q39" s="212">
        <v>0.0</v>
      </c>
      <c r="R39" s="212">
        <v>0.0</v>
      </c>
      <c r="S39" s="212">
        <v>0.0</v>
      </c>
      <c r="T39" s="212">
        <v>0.0</v>
      </c>
      <c r="U39" s="211"/>
      <c r="V39" s="211"/>
      <c r="W39" s="211"/>
      <c r="X39" s="211"/>
      <c r="Y39" s="211"/>
      <c r="Z39" s="211"/>
      <c r="AA39" s="211"/>
      <c r="AB39" s="211"/>
    </row>
    <row r="40" ht="17.25" customHeight="1">
      <c r="A40" s="203" t="s">
        <v>191</v>
      </c>
      <c r="B40" s="203" t="s">
        <v>192</v>
      </c>
      <c r="C40" s="207" t="s">
        <v>1333</v>
      </c>
      <c r="D40" s="207"/>
      <c r="E40" s="209">
        <v>500.0</v>
      </c>
      <c r="F40" s="209" t="s">
        <v>22</v>
      </c>
      <c r="G40" s="210">
        <v>500.0</v>
      </c>
      <c r="H40" s="210">
        <v>500.0</v>
      </c>
      <c r="I40" s="210">
        <v>500.0</v>
      </c>
      <c r="J40" s="210">
        <v>500.0</v>
      </c>
      <c r="K40" s="210">
        <v>500.0</v>
      </c>
      <c r="L40" s="210">
        <v>500.0</v>
      </c>
      <c r="M40" s="210">
        <v>500.0</v>
      </c>
      <c r="N40" s="210">
        <v>500.0</v>
      </c>
      <c r="O40" s="210">
        <v>500.0</v>
      </c>
      <c r="P40" s="210">
        <v>500.0</v>
      </c>
      <c r="Q40" s="210">
        <v>500.0</v>
      </c>
      <c r="R40" s="210">
        <v>500.0</v>
      </c>
      <c r="S40" s="210">
        <v>500.0</v>
      </c>
      <c r="T40" s="210">
        <v>500.0</v>
      </c>
      <c r="U40" s="211"/>
      <c r="V40" s="211"/>
      <c r="W40" s="211"/>
      <c r="X40" s="211"/>
      <c r="Y40" s="211"/>
      <c r="Z40" s="211"/>
      <c r="AA40" s="211"/>
      <c r="AB40" s="211"/>
    </row>
    <row r="41" ht="17.25" customHeight="1">
      <c r="A41" s="203" t="s">
        <v>197</v>
      </c>
      <c r="B41" s="203" t="s">
        <v>198</v>
      </c>
      <c r="C41" s="207" t="s">
        <v>1333</v>
      </c>
      <c r="D41" s="207"/>
      <c r="E41" s="209">
        <v>500.0</v>
      </c>
      <c r="F41" s="209" t="s">
        <v>22</v>
      </c>
      <c r="G41" s="210">
        <v>200.0</v>
      </c>
      <c r="H41" s="210">
        <v>200.0</v>
      </c>
      <c r="I41" s="210">
        <v>200.0</v>
      </c>
      <c r="J41" s="210">
        <v>200.0</v>
      </c>
      <c r="K41" s="210">
        <v>200.0</v>
      </c>
      <c r="L41" s="210">
        <v>200.0</v>
      </c>
      <c r="M41" s="210">
        <v>200.0</v>
      </c>
      <c r="N41" s="210">
        <v>200.0</v>
      </c>
      <c r="O41" s="210">
        <v>200.0</v>
      </c>
      <c r="P41" s="210">
        <v>200.0</v>
      </c>
      <c r="Q41" s="210">
        <v>200.0</v>
      </c>
      <c r="R41" s="210">
        <v>200.0</v>
      </c>
      <c r="S41" s="210">
        <v>200.0</v>
      </c>
      <c r="T41" s="210">
        <v>200.0</v>
      </c>
      <c r="U41" s="211"/>
      <c r="V41" s="211"/>
      <c r="W41" s="211"/>
      <c r="X41" s="211"/>
      <c r="Y41" s="211"/>
      <c r="Z41" s="211"/>
      <c r="AA41" s="211"/>
      <c r="AB41" s="211"/>
    </row>
    <row r="42" ht="17.25" customHeight="1">
      <c r="A42" s="203" t="s">
        <v>205</v>
      </c>
      <c r="B42" s="203" t="s">
        <v>206</v>
      </c>
      <c r="C42" s="207" t="s">
        <v>1333</v>
      </c>
      <c r="D42" s="207"/>
      <c r="E42" s="209">
        <v>600.0</v>
      </c>
      <c r="F42" s="209" t="s">
        <v>22</v>
      </c>
      <c r="G42" s="210">
        <v>600.0</v>
      </c>
      <c r="H42" s="210">
        <v>600.0</v>
      </c>
      <c r="I42" s="210">
        <v>600.0</v>
      </c>
      <c r="J42" s="210">
        <v>600.0</v>
      </c>
      <c r="K42" s="210">
        <v>600.0</v>
      </c>
      <c r="L42" s="210">
        <v>600.0</v>
      </c>
      <c r="M42" s="210">
        <v>600.0</v>
      </c>
      <c r="N42" s="210">
        <v>600.0</v>
      </c>
      <c r="O42" s="210">
        <v>600.0</v>
      </c>
      <c r="P42" s="210">
        <v>600.0</v>
      </c>
      <c r="Q42" s="210">
        <v>600.0</v>
      </c>
      <c r="R42" s="210">
        <v>600.0</v>
      </c>
      <c r="S42" s="210">
        <v>600.0</v>
      </c>
      <c r="T42" s="210">
        <v>600.0</v>
      </c>
      <c r="U42" s="211"/>
      <c r="V42" s="211"/>
      <c r="W42" s="211"/>
      <c r="X42" s="211"/>
      <c r="Y42" s="211"/>
      <c r="Z42" s="211"/>
      <c r="AA42" s="211"/>
      <c r="AB42" s="211"/>
    </row>
    <row r="43" ht="17.25" customHeight="1">
      <c r="A43" s="203" t="s">
        <v>1643</v>
      </c>
      <c r="B43" s="218" t="s">
        <v>1644</v>
      </c>
      <c r="C43" s="207" t="s">
        <v>1333</v>
      </c>
      <c r="D43" s="207"/>
      <c r="E43" s="209">
        <v>0.0</v>
      </c>
      <c r="F43" s="209" t="s">
        <v>22</v>
      </c>
      <c r="G43" s="210">
        <v>1200.0</v>
      </c>
      <c r="H43" s="210">
        <v>1200.0</v>
      </c>
      <c r="I43" s="210">
        <v>1200.0</v>
      </c>
      <c r="J43" s="210">
        <v>1200.0</v>
      </c>
      <c r="K43" s="210">
        <v>1200.0</v>
      </c>
      <c r="L43" s="210">
        <v>1200.0</v>
      </c>
      <c r="M43" s="210">
        <v>1200.0</v>
      </c>
      <c r="N43" s="210">
        <v>1200.0</v>
      </c>
      <c r="O43" s="210">
        <v>1200.0</v>
      </c>
      <c r="P43" s="212">
        <v>0.0</v>
      </c>
      <c r="Q43" s="212">
        <v>0.0</v>
      </c>
      <c r="R43" s="212">
        <v>0.0</v>
      </c>
      <c r="S43" s="212">
        <v>0.0</v>
      </c>
      <c r="T43" s="212">
        <v>0.0</v>
      </c>
      <c r="U43" s="211"/>
      <c r="V43" s="211"/>
      <c r="W43" s="211"/>
      <c r="X43" s="211"/>
      <c r="Y43" s="211"/>
      <c r="Z43" s="211"/>
      <c r="AA43" s="211"/>
      <c r="AB43" s="211"/>
    </row>
    <row r="44" ht="17.25" customHeight="1">
      <c r="A44" s="203" t="s">
        <v>791</v>
      </c>
      <c r="B44" s="218" t="s">
        <v>794</v>
      </c>
      <c r="C44" s="207" t="s">
        <v>1333</v>
      </c>
      <c r="D44" s="207"/>
      <c r="E44" s="209">
        <v>0.0</v>
      </c>
      <c r="F44" s="209" t="s">
        <v>22</v>
      </c>
      <c r="G44" s="212">
        <v>0.0</v>
      </c>
      <c r="H44" s="212">
        <v>0.0</v>
      </c>
      <c r="I44" s="212">
        <v>0.0</v>
      </c>
      <c r="J44" s="212">
        <v>0.0</v>
      </c>
      <c r="K44" s="212">
        <v>0.0</v>
      </c>
      <c r="L44" s="212">
        <v>0.0</v>
      </c>
      <c r="M44" s="212">
        <v>0.0</v>
      </c>
      <c r="N44" s="212">
        <v>0.0</v>
      </c>
      <c r="O44" s="212">
        <v>0.0</v>
      </c>
      <c r="P44" s="212">
        <v>0.0</v>
      </c>
      <c r="Q44" s="212">
        <v>0.0</v>
      </c>
      <c r="R44" s="212">
        <v>0.0</v>
      </c>
      <c r="S44" s="212">
        <v>-120.0</v>
      </c>
      <c r="T44" s="212">
        <v>-120.0</v>
      </c>
      <c r="U44" s="211"/>
      <c r="V44" s="211"/>
      <c r="W44" s="211"/>
      <c r="X44" s="211"/>
      <c r="Y44" s="211"/>
      <c r="Z44" s="211"/>
      <c r="AA44" s="211"/>
      <c r="AB44" s="211"/>
    </row>
    <row r="45" ht="17.25" customHeight="1">
      <c r="A45" s="203" t="s">
        <v>211</v>
      </c>
      <c r="B45" s="218" t="s">
        <v>212</v>
      </c>
      <c r="C45" s="207" t="s">
        <v>1333</v>
      </c>
      <c r="D45" s="207"/>
      <c r="E45" s="209">
        <v>450.0</v>
      </c>
      <c r="F45" s="209" t="s">
        <v>22</v>
      </c>
      <c r="G45" s="210">
        <v>250.0</v>
      </c>
      <c r="H45" s="210">
        <v>250.0</v>
      </c>
      <c r="I45" s="210">
        <v>250.0</v>
      </c>
      <c r="J45" s="210">
        <v>250.0</v>
      </c>
      <c r="K45" s="210">
        <v>250.0</v>
      </c>
      <c r="L45" s="210">
        <v>250.0</v>
      </c>
      <c r="M45" s="210">
        <v>250.0</v>
      </c>
      <c r="N45" s="210">
        <v>250.0</v>
      </c>
      <c r="O45" s="210">
        <v>250.0</v>
      </c>
      <c r="P45" s="210">
        <v>250.0</v>
      </c>
      <c r="Q45" s="210">
        <v>250.0</v>
      </c>
      <c r="R45" s="210">
        <v>250.0</v>
      </c>
      <c r="S45" s="210">
        <v>250.0</v>
      </c>
      <c r="T45" s="210">
        <v>250.0</v>
      </c>
      <c r="U45" s="211"/>
      <c r="V45" s="211"/>
      <c r="W45" s="211"/>
      <c r="X45" s="211"/>
      <c r="Y45" s="211"/>
      <c r="Z45" s="211"/>
      <c r="AA45" s="211"/>
      <c r="AB45" s="211"/>
    </row>
    <row r="46" ht="17.25" customHeight="1">
      <c r="A46" s="203" t="s">
        <v>218</v>
      </c>
      <c r="B46" s="218" t="s">
        <v>219</v>
      </c>
      <c r="C46" s="207">
        <v>55.670103092783506</v>
      </c>
      <c r="D46" s="207"/>
      <c r="E46" s="213">
        <v>1300.0</v>
      </c>
      <c r="F46" s="209" t="s">
        <v>22</v>
      </c>
      <c r="G46" s="210">
        <v>1750.0</v>
      </c>
      <c r="H46" s="210">
        <v>1750.0</v>
      </c>
      <c r="I46" s="210">
        <v>1750.0</v>
      </c>
      <c r="J46" s="210">
        <v>1750.0</v>
      </c>
      <c r="K46" s="210">
        <v>1750.0</v>
      </c>
      <c r="L46" s="210">
        <v>1750.0</v>
      </c>
      <c r="M46" s="210">
        <v>1750.0</v>
      </c>
      <c r="N46" s="210">
        <v>1750.0</v>
      </c>
      <c r="O46" s="210">
        <v>1750.0</v>
      </c>
      <c r="P46" s="210">
        <v>1750.0</v>
      </c>
      <c r="Q46" s="210">
        <v>1750.0</v>
      </c>
      <c r="R46" s="210">
        <v>1750.0</v>
      </c>
      <c r="S46" s="210">
        <v>1750.0</v>
      </c>
      <c r="T46" s="210">
        <v>1750.0</v>
      </c>
      <c r="U46" s="211"/>
      <c r="V46" s="211"/>
      <c r="W46" s="211"/>
      <c r="X46" s="211"/>
      <c r="Y46" s="211"/>
      <c r="Z46" s="211"/>
      <c r="AA46" s="211"/>
      <c r="AB46" s="211"/>
    </row>
    <row r="47" ht="17.25" customHeight="1">
      <c r="A47" s="203" t="s">
        <v>1649</v>
      </c>
      <c r="B47" s="203" t="s">
        <v>1650</v>
      </c>
      <c r="C47" s="207">
        <v>49.48453608247422</v>
      </c>
      <c r="D47" s="207"/>
      <c r="E47" s="208">
        <v>0.0</v>
      </c>
      <c r="F47" s="209" t="s">
        <v>22</v>
      </c>
      <c r="G47" s="212">
        <v>0.0</v>
      </c>
      <c r="H47" s="212">
        <v>0.0</v>
      </c>
      <c r="I47" s="212">
        <v>0.0</v>
      </c>
      <c r="J47" s="212">
        <v>0.0</v>
      </c>
      <c r="K47" s="212">
        <v>0.0</v>
      </c>
      <c r="L47" s="212">
        <v>0.0</v>
      </c>
      <c r="M47" s="212">
        <v>0.0</v>
      </c>
      <c r="N47" s="212">
        <v>0.0</v>
      </c>
      <c r="O47" s="212">
        <v>0.0</v>
      </c>
      <c r="P47" s="212">
        <v>0.0</v>
      </c>
      <c r="Q47" s="212">
        <v>0.0</v>
      </c>
      <c r="R47" s="212">
        <v>0.0</v>
      </c>
      <c r="S47" s="212">
        <v>0.0</v>
      </c>
      <c r="T47" s="212">
        <v>0.0</v>
      </c>
      <c r="U47" s="211"/>
      <c r="V47" s="211"/>
      <c r="W47" s="211"/>
      <c r="X47" s="211"/>
      <c r="Y47" s="211"/>
      <c r="Z47" s="211"/>
      <c r="AA47" s="211"/>
      <c r="AB47" s="211"/>
    </row>
    <row r="48" ht="17.25" customHeight="1">
      <c r="A48" s="203" t="s">
        <v>227</v>
      </c>
      <c r="B48" s="219" t="s">
        <v>228</v>
      </c>
      <c r="C48" s="207">
        <v>56.28865979381443</v>
      </c>
      <c r="D48" s="207"/>
      <c r="E48" s="214">
        <v>45.0</v>
      </c>
      <c r="F48" s="209" t="s">
        <v>22</v>
      </c>
      <c r="G48" s="210">
        <v>500.0</v>
      </c>
      <c r="H48" s="210">
        <v>500.0</v>
      </c>
      <c r="I48" s="210">
        <v>500.0</v>
      </c>
      <c r="J48" s="210">
        <v>500.0</v>
      </c>
      <c r="K48" s="210">
        <v>500.0</v>
      </c>
      <c r="L48" s="210">
        <v>500.0</v>
      </c>
      <c r="M48" s="210">
        <v>500.0</v>
      </c>
      <c r="N48" s="210">
        <v>500.0</v>
      </c>
      <c r="O48" s="210">
        <v>500.0</v>
      </c>
      <c r="P48" s="210">
        <v>500.0</v>
      </c>
      <c r="Q48" s="210">
        <v>500.0</v>
      </c>
      <c r="R48" s="210">
        <v>500.0</v>
      </c>
      <c r="S48" s="210">
        <v>125.0</v>
      </c>
      <c r="T48" s="210">
        <v>125.0</v>
      </c>
      <c r="U48" s="211"/>
      <c r="V48" s="211"/>
      <c r="W48" s="211"/>
      <c r="X48" s="211"/>
      <c r="Y48" s="211"/>
      <c r="Z48" s="211"/>
      <c r="AA48" s="211"/>
      <c r="AB48" s="211"/>
    </row>
    <row r="49" ht="17.25" customHeight="1">
      <c r="A49" s="203" t="s">
        <v>234</v>
      </c>
      <c r="B49" s="203" t="s">
        <v>235</v>
      </c>
      <c r="C49" s="207">
        <v>213.77319587628867</v>
      </c>
      <c r="D49" s="207"/>
      <c r="E49" s="213">
        <v>1008.0</v>
      </c>
      <c r="F49" s="209" t="s">
        <v>22</v>
      </c>
      <c r="G49" s="210">
        <v>2736.0</v>
      </c>
      <c r="H49" s="210">
        <v>2736.0</v>
      </c>
      <c r="I49" s="210">
        <v>2736.0</v>
      </c>
      <c r="J49" s="210">
        <v>2736.0</v>
      </c>
      <c r="K49" s="210">
        <v>2736.0</v>
      </c>
      <c r="L49" s="210">
        <v>2736.0</v>
      </c>
      <c r="M49" s="210">
        <v>2736.0</v>
      </c>
      <c r="N49" s="210">
        <v>2736.0</v>
      </c>
      <c r="O49" s="210">
        <v>2736.0</v>
      </c>
      <c r="P49" s="210">
        <v>2736.0</v>
      </c>
      <c r="Q49" s="210">
        <v>2736.0</v>
      </c>
      <c r="R49" s="210">
        <v>2736.0</v>
      </c>
      <c r="S49" s="210">
        <v>2736.0</v>
      </c>
      <c r="T49" s="210">
        <v>2736.0</v>
      </c>
      <c r="U49" s="211"/>
      <c r="V49" s="211"/>
      <c r="W49" s="211"/>
      <c r="X49" s="211"/>
      <c r="Y49" s="211"/>
      <c r="Z49" s="211"/>
      <c r="AA49" s="211"/>
      <c r="AB49" s="211"/>
    </row>
    <row r="50" ht="17.25" customHeight="1">
      <c r="A50" s="203" t="s">
        <v>240</v>
      </c>
      <c r="B50" s="203" t="s">
        <v>241</v>
      </c>
      <c r="C50" s="207" t="s">
        <v>1333</v>
      </c>
      <c r="D50" s="207"/>
      <c r="E50" s="209">
        <v>1008.0</v>
      </c>
      <c r="F50" s="209" t="s">
        <v>22</v>
      </c>
      <c r="G50" s="210">
        <v>1008.0</v>
      </c>
      <c r="H50" s="210">
        <v>1008.0</v>
      </c>
      <c r="I50" s="210">
        <v>1008.0</v>
      </c>
      <c r="J50" s="210">
        <v>1008.0</v>
      </c>
      <c r="K50" s="210">
        <v>1008.0</v>
      </c>
      <c r="L50" s="210">
        <v>1008.0</v>
      </c>
      <c r="M50" s="210">
        <v>1008.0</v>
      </c>
      <c r="N50" s="210">
        <v>1008.0</v>
      </c>
      <c r="O50" s="210">
        <v>1008.0</v>
      </c>
      <c r="P50" s="210">
        <v>1008.0</v>
      </c>
      <c r="Q50" s="210">
        <v>1008.0</v>
      </c>
      <c r="R50" s="210">
        <v>1008.0</v>
      </c>
      <c r="S50" s="210">
        <v>1008.0</v>
      </c>
      <c r="T50" s="210">
        <v>1008.0</v>
      </c>
      <c r="U50" s="211"/>
      <c r="V50" s="211"/>
      <c r="W50" s="211"/>
      <c r="X50" s="211"/>
      <c r="Y50" s="211"/>
      <c r="Z50" s="211"/>
      <c r="AA50" s="211"/>
      <c r="AB50" s="211"/>
    </row>
    <row r="51" ht="17.25" customHeight="1">
      <c r="A51" s="203" t="s">
        <v>1609</v>
      </c>
      <c r="B51" s="203" t="s">
        <v>1655</v>
      </c>
      <c r="C51" s="207">
        <v>213.77319587628867</v>
      </c>
      <c r="D51" s="207"/>
      <c r="E51" s="208">
        <v>0.0</v>
      </c>
      <c r="F51" s="209" t="s">
        <v>22</v>
      </c>
      <c r="G51" s="212">
        <v>0.0</v>
      </c>
      <c r="H51" s="212">
        <v>0.0</v>
      </c>
      <c r="I51" s="212">
        <v>0.0</v>
      </c>
      <c r="J51" s="212">
        <v>0.0</v>
      </c>
      <c r="K51" s="212">
        <v>0.0</v>
      </c>
      <c r="L51" s="212">
        <v>0.0</v>
      </c>
      <c r="M51" s="212">
        <v>0.0</v>
      </c>
      <c r="N51" s="212">
        <v>0.0</v>
      </c>
      <c r="O51" s="212">
        <v>0.0</v>
      </c>
      <c r="P51" s="212">
        <v>0.0</v>
      </c>
      <c r="Q51" s="212">
        <v>0.0</v>
      </c>
      <c r="R51" s="212">
        <v>0.0</v>
      </c>
      <c r="S51" s="212">
        <v>0.0</v>
      </c>
      <c r="T51" s="212">
        <v>0.0</v>
      </c>
      <c r="U51" s="211"/>
      <c r="V51" s="211"/>
      <c r="W51" s="211"/>
      <c r="X51" s="211"/>
      <c r="Y51" s="211"/>
      <c r="Z51" s="211"/>
      <c r="AA51" s="211"/>
      <c r="AB51" s="211"/>
    </row>
    <row r="52" ht="17.25" customHeight="1">
      <c r="A52" s="203" t="s">
        <v>245</v>
      </c>
      <c r="B52" s="203" t="s">
        <v>246</v>
      </c>
      <c r="C52" s="207" t="s">
        <v>1333</v>
      </c>
      <c r="D52" s="207"/>
      <c r="E52" s="209">
        <v>648.0</v>
      </c>
      <c r="F52" s="209" t="s">
        <v>22</v>
      </c>
      <c r="G52" s="210">
        <v>648.0</v>
      </c>
      <c r="H52" s="210">
        <v>648.0</v>
      </c>
      <c r="I52" s="210">
        <v>648.0</v>
      </c>
      <c r="J52" s="210">
        <v>648.0</v>
      </c>
      <c r="K52" s="210">
        <v>648.0</v>
      </c>
      <c r="L52" s="210">
        <v>648.0</v>
      </c>
      <c r="M52" s="210">
        <v>648.0</v>
      </c>
      <c r="N52" s="210">
        <v>648.0</v>
      </c>
      <c r="O52" s="210">
        <v>648.0</v>
      </c>
      <c r="P52" s="210">
        <v>648.0</v>
      </c>
      <c r="Q52" s="210">
        <v>648.0</v>
      </c>
      <c r="R52" s="210">
        <v>648.0</v>
      </c>
      <c r="S52" s="210">
        <v>648.0</v>
      </c>
      <c r="T52" s="210">
        <v>648.0</v>
      </c>
      <c r="U52" s="211"/>
      <c r="V52" s="211"/>
      <c r="W52" s="211"/>
      <c r="X52" s="211"/>
      <c r="Y52" s="211"/>
      <c r="Z52" s="211"/>
      <c r="AA52" s="211"/>
      <c r="AB52" s="211"/>
    </row>
    <row r="53" ht="17.25" customHeight="1">
      <c r="A53" s="203" t="s">
        <v>250</v>
      </c>
      <c r="B53" s="203" t="s">
        <v>252</v>
      </c>
      <c r="C53" s="207" t="s">
        <v>1333</v>
      </c>
      <c r="D53" s="207"/>
      <c r="E53" s="209">
        <v>432.0</v>
      </c>
      <c r="F53" s="209" t="s">
        <v>22</v>
      </c>
      <c r="G53" s="210">
        <v>432.0</v>
      </c>
      <c r="H53" s="210">
        <v>432.0</v>
      </c>
      <c r="I53" s="210">
        <v>432.0</v>
      </c>
      <c r="J53" s="210">
        <v>432.0</v>
      </c>
      <c r="K53" s="210">
        <v>432.0</v>
      </c>
      <c r="L53" s="210">
        <v>432.0</v>
      </c>
      <c r="M53" s="210">
        <v>432.0</v>
      </c>
      <c r="N53" s="210">
        <v>432.0</v>
      </c>
      <c r="O53" s="210">
        <v>432.0</v>
      </c>
      <c r="P53" s="210">
        <v>432.0</v>
      </c>
      <c r="Q53" s="210">
        <v>432.0</v>
      </c>
      <c r="R53" s="210">
        <v>432.0</v>
      </c>
      <c r="S53" s="210">
        <v>432.0</v>
      </c>
      <c r="T53" s="210">
        <v>432.0</v>
      </c>
      <c r="U53" s="211"/>
      <c r="V53" s="211"/>
      <c r="W53" s="211"/>
      <c r="X53" s="211"/>
      <c r="Y53" s="211"/>
      <c r="Z53" s="211"/>
      <c r="AA53" s="211"/>
      <c r="AB53" s="211"/>
    </row>
    <row r="54" ht="17.25" customHeight="1">
      <c r="A54" s="203" t="s">
        <v>256</v>
      </c>
      <c r="B54" s="203" t="s">
        <v>257</v>
      </c>
      <c r="C54" s="207" t="s">
        <v>1333</v>
      </c>
      <c r="D54" s="207"/>
      <c r="E54" s="209">
        <v>576.0</v>
      </c>
      <c r="F54" s="209" t="s">
        <v>22</v>
      </c>
      <c r="G54" s="210">
        <v>576.0</v>
      </c>
      <c r="H54" s="210">
        <v>576.0</v>
      </c>
      <c r="I54" s="210">
        <v>576.0</v>
      </c>
      <c r="J54" s="210">
        <v>576.0</v>
      </c>
      <c r="K54" s="210">
        <v>576.0</v>
      </c>
      <c r="L54" s="210">
        <v>576.0</v>
      </c>
      <c r="M54" s="210">
        <v>576.0</v>
      </c>
      <c r="N54" s="210">
        <v>576.0</v>
      </c>
      <c r="O54" s="210">
        <v>576.0</v>
      </c>
      <c r="P54" s="210">
        <v>576.0</v>
      </c>
      <c r="Q54" s="210">
        <v>576.0</v>
      </c>
      <c r="R54" s="210">
        <v>576.0</v>
      </c>
      <c r="S54" s="210">
        <v>576.0</v>
      </c>
      <c r="T54" s="210">
        <v>576.0</v>
      </c>
      <c r="U54" s="211"/>
      <c r="V54" s="211"/>
      <c r="W54" s="211"/>
      <c r="X54" s="211"/>
      <c r="Y54" s="211"/>
      <c r="Z54" s="211"/>
      <c r="AA54" s="211"/>
      <c r="AB54" s="211"/>
    </row>
    <row r="55" ht="17.25" customHeight="1">
      <c r="A55" s="203" t="s">
        <v>365</v>
      </c>
      <c r="B55" s="203" t="s">
        <v>367</v>
      </c>
      <c r="C55" s="207">
        <v>1157.9381443298969</v>
      </c>
      <c r="D55" s="207"/>
      <c r="E55" s="208">
        <v>0.0</v>
      </c>
      <c r="F55" s="209" t="s">
        <v>22</v>
      </c>
      <c r="G55" s="210">
        <v>3024.0</v>
      </c>
      <c r="H55" s="210">
        <v>3024.0</v>
      </c>
      <c r="I55" s="210">
        <v>3024.0</v>
      </c>
      <c r="J55" s="210">
        <v>3024.0</v>
      </c>
      <c r="K55" s="210">
        <v>3024.0</v>
      </c>
      <c r="L55" s="210">
        <v>3024.0</v>
      </c>
      <c r="M55" s="210">
        <v>3024.0</v>
      </c>
      <c r="N55" s="210">
        <v>3024.0</v>
      </c>
      <c r="O55" s="210">
        <v>3024.0</v>
      </c>
      <c r="P55" s="210">
        <v>3024.0</v>
      </c>
      <c r="Q55" s="210">
        <v>3024.0</v>
      </c>
      <c r="R55" s="210">
        <v>3024.0</v>
      </c>
      <c r="S55" s="210">
        <v>3024.0</v>
      </c>
      <c r="T55" s="210">
        <v>3024.0</v>
      </c>
      <c r="U55" s="211"/>
      <c r="V55" s="211"/>
      <c r="W55" s="211"/>
      <c r="X55" s="211"/>
      <c r="Y55" s="211"/>
      <c r="Z55" s="211"/>
      <c r="AA55" s="211"/>
      <c r="AB55" s="211"/>
    </row>
    <row r="56" ht="17.25" customHeight="1">
      <c r="A56" s="203" t="s">
        <v>179</v>
      </c>
      <c r="B56" s="203" t="s">
        <v>180</v>
      </c>
      <c r="C56" s="207">
        <v>872.9072164948453</v>
      </c>
      <c r="D56" s="207"/>
      <c r="E56" s="208">
        <v>0.0</v>
      </c>
      <c r="F56" s="209" t="s">
        <v>22</v>
      </c>
      <c r="G56" s="212">
        <v>0.0</v>
      </c>
      <c r="H56" s="212">
        <v>0.0</v>
      </c>
      <c r="I56" s="212">
        <v>0.0</v>
      </c>
      <c r="J56" s="212">
        <v>0.0</v>
      </c>
      <c r="K56" s="212">
        <v>0.0</v>
      </c>
      <c r="L56" s="212">
        <v>0.0</v>
      </c>
      <c r="M56" s="212">
        <v>0.0</v>
      </c>
      <c r="N56" s="212">
        <v>0.0</v>
      </c>
      <c r="O56" s="212">
        <v>0.0</v>
      </c>
      <c r="P56" s="212">
        <v>0.0</v>
      </c>
      <c r="Q56" s="212">
        <v>0.0</v>
      </c>
      <c r="R56" s="212">
        <v>0.0</v>
      </c>
      <c r="S56" s="212">
        <v>0.0</v>
      </c>
      <c r="T56" s="212">
        <v>0.0</v>
      </c>
      <c r="U56" s="211"/>
      <c r="V56" s="211"/>
      <c r="W56" s="211"/>
      <c r="X56" s="211"/>
      <c r="Y56" s="211"/>
      <c r="Z56" s="211"/>
      <c r="AA56" s="211"/>
      <c r="AB56" s="211"/>
    </row>
    <row r="57" ht="17.25" customHeight="1">
      <c r="A57" s="203" t="s">
        <v>261</v>
      </c>
      <c r="B57" s="203" t="s">
        <v>262</v>
      </c>
      <c r="C57" s="207" t="s">
        <v>1333</v>
      </c>
      <c r="D57" s="207"/>
      <c r="E57" s="209">
        <v>1296.0</v>
      </c>
      <c r="F57" s="209" t="s">
        <v>22</v>
      </c>
      <c r="G57" s="210">
        <v>864.0</v>
      </c>
      <c r="H57" s="210">
        <v>864.0</v>
      </c>
      <c r="I57" s="210">
        <v>864.0</v>
      </c>
      <c r="J57" s="210">
        <v>864.0</v>
      </c>
      <c r="K57" s="210">
        <v>864.0</v>
      </c>
      <c r="L57" s="210">
        <v>864.0</v>
      </c>
      <c r="M57" s="210">
        <v>864.0</v>
      </c>
      <c r="N57" s="210">
        <v>864.0</v>
      </c>
      <c r="O57" s="210">
        <v>864.0</v>
      </c>
      <c r="P57" s="210">
        <v>864.0</v>
      </c>
      <c r="Q57" s="210">
        <v>864.0</v>
      </c>
      <c r="R57" s="210">
        <v>864.0</v>
      </c>
      <c r="S57" s="210">
        <v>864.0</v>
      </c>
      <c r="T57" s="210">
        <v>864.0</v>
      </c>
      <c r="U57" s="211"/>
      <c r="V57" s="211"/>
      <c r="W57" s="211"/>
      <c r="X57" s="211"/>
      <c r="Y57" s="211"/>
      <c r="Z57" s="211"/>
      <c r="AA57" s="211"/>
      <c r="AB57" s="211"/>
    </row>
    <row r="58" ht="17.25" customHeight="1">
      <c r="A58" s="203" t="s">
        <v>266</v>
      </c>
      <c r="B58" s="203" t="s">
        <v>268</v>
      </c>
      <c r="C58" s="207" t="s">
        <v>1333</v>
      </c>
      <c r="D58" s="207"/>
      <c r="E58" s="209">
        <v>432.0</v>
      </c>
      <c r="F58" s="209" t="s">
        <v>22</v>
      </c>
      <c r="G58" s="210">
        <v>432.0</v>
      </c>
      <c r="H58" s="210">
        <v>432.0</v>
      </c>
      <c r="I58" s="210">
        <v>432.0</v>
      </c>
      <c r="J58" s="210">
        <v>432.0</v>
      </c>
      <c r="K58" s="210">
        <v>432.0</v>
      </c>
      <c r="L58" s="210">
        <v>432.0</v>
      </c>
      <c r="M58" s="210">
        <v>432.0</v>
      </c>
      <c r="N58" s="210">
        <v>432.0</v>
      </c>
      <c r="O58" s="210">
        <v>432.0</v>
      </c>
      <c r="P58" s="210">
        <v>432.0</v>
      </c>
      <c r="Q58" s="210">
        <v>432.0</v>
      </c>
      <c r="R58" s="210">
        <v>432.0</v>
      </c>
      <c r="S58" s="210">
        <v>432.0</v>
      </c>
      <c r="T58" s="210">
        <v>432.0</v>
      </c>
      <c r="U58" s="211"/>
      <c r="V58" s="211"/>
      <c r="W58" s="211"/>
      <c r="X58" s="211"/>
      <c r="Y58" s="211"/>
      <c r="Z58" s="211"/>
      <c r="AA58" s="211"/>
      <c r="AB58" s="211"/>
    </row>
    <row r="59" ht="17.25" customHeight="1">
      <c r="A59" s="203" t="s">
        <v>274</v>
      </c>
      <c r="B59" s="203" t="s">
        <v>276</v>
      </c>
      <c r="C59" s="207" t="s">
        <v>1333</v>
      </c>
      <c r="D59" s="207"/>
      <c r="E59" s="209">
        <v>600.0</v>
      </c>
      <c r="F59" s="209" t="s">
        <v>22</v>
      </c>
      <c r="G59" s="210">
        <v>600.0</v>
      </c>
      <c r="H59" s="210">
        <v>600.0</v>
      </c>
      <c r="I59" s="210">
        <v>600.0</v>
      </c>
      <c r="J59" s="210">
        <v>600.0</v>
      </c>
      <c r="K59" s="210">
        <v>600.0</v>
      </c>
      <c r="L59" s="210">
        <v>600.0</v>
      </c>
      <c r="M59" s="210">
        <v>600.0</v>
      </c>
      <c r="N59" s="210">
        <v>600.0</v>
      </c>
      <c r="O59" s="210">
        <v>600.0</v>
      </c>
      <c r="P59" s="210">
        <v>600.0</v>
      </c>
      <c r="Q59" s="210">
        <v>600.0</v>
      </c>
      <c r="R59" s="210">
        <v>600.0</v>
      </c>
      <c r="S59" s="210">
        <v>600.0</v>
      </c>
      <c r="T59" s="210">
        <v>600.0</v>
      </c>
      <c r="U59" s="211"/>
      <c r="V59" s="211"/>
      <c r="W59" s="211"/>
      <c r="X59" s="211"/>
      <c r="Y59" s="211"/>
      <c r="Z59" s="211"/>
      <c r="AA59" s="211"/>
      <c r="AB59" s="211"/>
    </row>
    <row r="60" ht="17.25" customHeight="1">
      <c r="A60" s="203" t="s">
        <v>1664</v>
      </c>
      <c r="B60" s="203" t="s">
        <v>1665</v>
      </c>
      <c r="C60" s="207">
        <v>124.70103092783506</v>
      </c>
      <c r="D60" s="207"/>
      <c r="E60" s="208">
        <v>0.0</v>
      </c>
      <c r="F60" s="209" t="s">
        <v>22</v>
      </c>
      <c r="G60" s="210">
        <v>1008.0</v>
      </c>
      <c r="H60" s="210">
        <v>1008.0</v>
      </c>
      <c r="I60" s="210">
        <v>1008.0</v>
      </c>
      <c r="J60" s="210">
        <v>1008.0</v>
      </c>
      <c r="K60" s="210">
        <v>1008.0</v>
      </c>
      <c r="L60" s="210">
        <v>1008.0</v>
      </c>
      <c r="M60" s="210">
        <v>1008.0</v>
      </c>
      <c r="N60" s="210">
        <v>1008.0</v>
      </c>
      <c r="O60" s="210">
        <v>1008.0</v>
      </c>
      <c r="P60" s="210">
        <v>1008.0</v>
      </c>
      <c r="Q60" s="210">
        <v>1008.0</v>
      </c>
      <c r="R60" s="210">
        <v>1008.0</v>
      </c>
      <c r="S60" s="210">
        <v>1008.0</v>
      </c>
      <c r="T60" s="210">
        <v>1008.0</v>
      </c>
      <c r="U60" s="211"/>
      <c r="V60" s="211"/>
      <c r="W60" s="211"/>
      <c r="X60" s="211"/>
      <c r="Y60" s="211"/>
      <c r="Z60" s="211"/>
      <c r="AA60" s="211"/>
      <c r="AB60" s="211"/>
    </row>
    <row r="61" ht="17.25" customHeight="1">
      <c r="A61" s="203" t="s">
        <v>283</v>
      </c>
      <c r="B61" s="203" t="s">
        <v>284</v>
      </c>
      <c r="C61" s="207" t="s">
        <v>1333</v>
      </c>
      <c r="D61" s="207"/>
      <c r="E61" s="209">
        <v>200.0</v>
      </c>
      <c r="F61" s="209" t="s">
        <v>22</v>
      </c>
      <c r="G61" s="210">
        <v>200.0</v>
      </c>
      <c r="H61" s="210">
        <v>200.0</v>
      </c>
      <c r="I61" s="210">
        <v>200.0</v>
      </c>
      <c r="J61" s="210">
        <v>200.0</v>
      </c>
      <c r="K61" s="210">
        <v>200.0</v>
      </c>
      <c r="L61" s="210">
        <v>200.0</v>
      </c>
      <c r="M61" s="210">
        <v>200.0</v>
      </c>
      <c r="N61" s="210">
        <v>200.0</v>
      </c>
      <c r="O61" s="210">
        <v>200.0</v>
      </c>
      <c r="P61" s="210">
        <v>200.0</v>
      </c>
      <c r="Q61" s="210">
        <v>200.0</v>
      </c>
      <c r="R61" s="210">
        <v>200.0</v>
      </c>
      <c r="S61" s="210">
        <v>200.0</v>
      </c>
      <c r="T61" s="210">
        <v>200.0</v>
      </c>
      <c r="U61" s="211"/>
      <c r="V61" s="211"/>
      <c r="W61" s="211"/>
      <c r="X61" s="211"/>
      <c r="Y61" s="211"/>
      <c r="Z61" s="211"/>
      <c r="AA61" s="211"/>
      <c r="AB61" s="211"/>
    </row>
    <row r="62" ht="17.25" customHeight="1">
      <c r="A62" s="203" t="s">
        <v>287</v>
      </c>
      <c r="B62" s="203" t="s">
        <v>288</v>
      </c>
      <c r="C62" s="207">
        <v>2.0618556701030926</v>
      </c>
      <c r="D62" s="207"/>
      <c r="E62" s="213">
        <v>16.0</v>
      </c>
      <c r="F62" s="209" t="s">
        <v>290</v>
      </c>
      <c r="G62" s="220">
        <v>4.0</v>
      </c>
      <c r="H62" s="220">
        <v>4.0</v>
      </c>
      <c r="I62" s="220">
        <v>4.0</v>
      </c>
      <c r="J62" s="220">
        <v>4.0</v>
      </c>
      <c r="K62" s="212">
        <v>2.0</v>
      </c>
      <c r="L62" s="212">
        <v>2.0</v>
      </c>
      <c r="M62" s="212">
        <v>2.0</v>
      </c>
      <c r="N62" s="212">
        <v>2.0</v>
      </c>
      <c r="O62" s="212">
        <v>2.0</v>
      </c>
      <c r="P62" s="210">
        <v>14.0</v>
      </c>
      <c r="Q62" s="210">
        <v>14.0</v>
      </c>
      <c r="R62" s="210">
        <v>14.0</v>
      </c>
      <c r="S62" s="210">
        <v>14.0</v>
      </c>
      <c r="T62" s="210">
        <v>12.0</v>
      </c>
      <c r="U62" s="211"/>
      <c r="V62" s="211"/>
      <c r="W62" s="211"/>
      <c r="X62" s="211"/>
      <c r="Y62" s="211"/>
      <c r="Z62" s="211"/>
      <c r="AA62" s="211"/>
      <c r="AB62" s="211"/>
    </row>
    <row r="63" ht="17.25" customHeight="1">
      <c r="A63" s="203" t="s">
        <v>292</v>
      </c>
      <c r="B63" s="203" t="s">
        <v>294</v>
      </c>
      <c r="C63" s="207">
        <v>0.7422680412371134</v>
      </c>
      <c r="D63" s="207"/>
      <c r="E63" s="213">
        <v>10.0</v>
      </c>
      <c r="F63" s="209" t="s">
        <v>290</v>
      </c>
      <c r="G63" s="210">
        <v>14.0</v>
      </c>
      <c r="H63" s="210">
        <v>14.0</v>
      </c>
      <c r="I63" s="210">
        <v>14.0</v>
      </c>
      <c r="J63" s="210">
        <v>14.0</v>
      </c>
      <c r="K63" s="210">
        <v>14.0</v>
      </c>
      <c r="L63" s="210">
        <v>14.0</v>
      </c>
      <c r="M63" s="210">
        <v>14.0</v>
      </c>
      <c r="N63" s="210">
        <v>14.0</v>
      </c>
      <c r="O63" s="210">
        <v>12.0</v>
      </c>
      <c r="P63" s="210">
        <v>12.0</v>
      </c>
      <c r="Q63" s="210">
        <v>12.0</v>
      </c>
      <c r="R63" s="210">
        <v>12.0</v>
      </c>
      <c r="S63" s="210">
        <v>12.0</v>
      </c>
      <c r="T63" s="210">
        <v>10.0</v>
      </c>
      <c r="U63" s="211"/>
      <c r="V63" s="211"/>
      <c r="W63" s="211"/>
      <c r="X63" s="211"/>
      <c r="Y63" s="211"/>
      <c r="Z63" s="211"/>
      <c r="AA63" s="211"/>
      <c r="AB63" s="211"/>
    </row>
    <row r="64" ht="17.25" customHeight="1">
      <c r="A64" s="203" t="s">
        <v>297</v>
      </c>
      <c r="B64" s="203" t="s">
        <v>298</v>
      </c>
      <c r="C64" s="207">
        <v>1.1546391752577319</v>
      </c>
      <c r="D64" s="207"/>
      <c r="E64" s="213">
        <v>10.0</v>
      </c>
      <c r="F64" s="209" t="s">
        <v>290</v>
      </c>
      <c r="G64" s="210">
        <v>6.0</v>
      </c>
      <c r="H64" s="210">
        <v>6.0</v>
      </c>
      <c r="I64" s="210">
        <v>6.0</v>
      </c>
      <c r="J64" s="210">
        <v>6.0</v>
      </c>
      <c r="K64" s="217">
        <v>4.0</v>
      </c>
      <c r="L64" s="217">
        <v>4.0</v>
      </c>
      <c r="M64" s="217">
        <v>4.0</v>
      </c>
      <c r="N64" s="217">
        <v>4.0</v>
      </c>
      <c r="O64" s="220">
        <v>2.0</v>
      </c>
      <c r="P64" s="210">
        <v>14.0</v>
      </c>
      <c r="Q64" s="210">
        <v>14.0</v>
      </c>
      <c r="R64" s="210">
        <v>14.0</v>
      </c>
      <c r="S64" s="210">
        <v>14.0</v>
      </c>
      <c r="T64" s="210">
        <v>12.0</v>
      </c>
      <c r="U64" s="211"/>
      <c r="V64" s="211"/>
      <c r="W64" s="211"/>
      <c r="X64" s="211"/>
      <c r="Y64" s="211"/>
      <c r="Z64" s="211"/>
      <c r="AA64" s="211"/>
      <c r="AB64" s="211"/>
    </row>
    <row r="65" ht="17.25" customHeight="1">
      <c r="A65" s="203" t="s">
        <v>304</v>
      </c>
      <c r="B65" s="203" t="s">
        <v>306</v>
      </c>
      <c r="C65" s="207">
        <v>1.4845360824742269</v>
      </c>
      <c r="D65" s="207"/>
      <c r="E65" s="213">
        <v>6.0</v>
      </c>
      <c r="F65" s="209" t="s">
        <v>290</v>
      </c>
      <c r="G65" s="210">
        <v>6.0</v>
      </c>
      <c r="H65" s="210">
        <v>6.0</v>
      </c>
      <c r="I65" s="210">
        <v>6.0</v>
      </c>
      <c r="J65" s="210">
        <v>6.0</v>
      </c>
      <c r="K65" s="217">
        <v>4.0</v>
      </c>
      <c r="L65" s="217">
        <v>4.0</v>
      </c>
      <c r="M65" s="217">
        <v>4.0</v>
      </c>
      <c r="N65" s="217">
        <v>4.0</v>
      </c>
      <c r="O65" s="220">
        <v>2.0</v>
      </c>
      <c r="P65" s="210">
        <v>14.0</v>
      </c>
      <c r="Q65" s="210">
        <v>14.0</v>
      </c>
      <c r="R65" s="210">
        <v>14.0</v>
      </c>
      <c r="S65" s="210">
        <v>14.0</v>
      </c>
      <c r="T65" s="210">
        <v>12.0</v>
      </c>
      <c r="U65" s="211"/>
      <c r="V65" s="211"/>
      <c r="W65" s="211"/>
      <c r="X65" s="211"/>
      <c r="Y65" s="211"/>
      <c r="Z65" s="211"/>
      <c r="AA65" s="211"/>
      <c r="AB65" s="211"/>
    </row>
    <row r="66" ht="17.25" customHeight="1">
      <c r="A66" s="203" t="s">
        <v>1683</v>
      </c>
      <c r="B66" s="203" t="s">
        <v>1684</v>
      </c>
      <c r="C66" s="207" t="s">
        <v>1333</v>
      </c>
      <c r="D66" s="207"/>
      <c r="E66" s="209">
        <v>0.0</v>
      </c>
      <c r="F66" s="209" t="s">
        <v>290</v>
      </c>
      <c r="G66" s="210">
        <v>0.0</v>
      </c>
      <c r="H66" s="210">
        <v>0.0</v>
      </c>
      <c r="I66" s="210">
        <v>0.0</v>
      </c>
      <c r="J66" s="210">
        <v>0.0</v>
      </c>
      <c r="K66" s="210">
        <v>0.0</v>
      </c>
      <c r="L66" s="210">
        <v>0.0</v>
      </c>
      <c r="M66" s="210">
        <v>0.0</v>
      </c>
      <c r="N66" s="210">
        <v>0.0</v>
      </c>
      <c r="O66" s="210">
        <v>0.0</v>
      </c>
      <c r="P66" s="210">
        <v>0.0</v>
      </c>
      <c r="Q66" s="210">
        <v>0.0</v>
      </c>
      <c r="R66" s="210">
        <v>0.0</v>
      </c>
      <c r="S66" s="210">
        <v>0.0</v>
      </c>
      <c r="T66" s="210">
        <v>0.0</v>
      </c>
      <c r="U66" s="211"/>
      <c r="V66" s="211"/>
      <c r="W66" s="211"/>
      <c r="X66" s="211"/>
      <c r="Y66" s="211"/>
      <c r="Z66" s="211"/>
      <c r="AA66" s="211"/>
      <c r="AB66" s="211"/>
    </row>
    <row r="67" ht="17.25" customHeight="1">
      <c r="A67" s="203" t="s">
        <v>1686</v>
      </c>
      <c r="B67" s="203" t="s">
        <v>1687</v>
      </c>
      <c r="C67" s="207" t="s">
        <v>1333</v>
      </c>
      <c r="D67" s="207"/>
      <c r="E67" s="209">
        <v>0.0</v>
      </c>
      <c r="F67" s="209" t="s">
        <v>290</v>
      </c>
      <c r="G67" s="210">
        <v>0.0</v>
      </c>
      <c r="H67" s="210">
        <v>0.0</v>
      </c>
      <c r="I67" s="210">
        <v>0.0</v>
      </c>
      <c r="J67" s="210">
        <v>0.0</v>
      </c>
      <c r="K67" s="210">
        <v>0.0</v>
      </c>
      <c r="L67" s="210">
        <v>0.0</v>
      </c>
      <c r="M67" s="210">
        <v>0.0</v>
      </c>
      <c r="N67" s="210">
        <v>0.0</v>
      </c>
      <c r="O67" s="210">
        <v>0.0</v>
      </c>
      <c r="P67" s="210">
        <v>0.0</v>
      </c>
      <c r="Q67" s="210">
        <v>0.0</v>
      </c>
      <c r="R67" s="210">
        <v>0.0</v>
      </c>
      <c r="S67" s="210">
        <v>0.0</v>
      </c>
      <c r="T67" s="210">
        <v>0.0</v>
      </c>
      <c r="U67" s="211"/>
      <c r="V67" s="211"/>
      <c r="W67" s="211"/>
      <c r="X67" s="211"/>
      <c r="Y67" s="211"/>
      <c r="Z67" s="211"/>
      <c r="AA67" s="211"/>
      <c r="AB67" s="211"/>
    </row>
    <row r="68" ht="17.25" customHeight="1">
      <c r="A68" s="203" t="s">
        <v>314</v>
      </c>
      <c r="B68" s="203" t="s">
        <v>315</v>
      </c>
      <c r="C68" s="207" t="s">
        <v>1333</v>
      </c>
      <c r="D68" s="207"/>
      <c r="E68" s="209">
        <v>1.0</v>
      </c>
      <c r="F68" s="209" t="s">
        <v>290</v>
      </c>
      <c r="G68" s="210">
        <v>1.0</v>
      </c>
      <c r="H68" s="210">
        <v>1.0</v>
      </c>
      <c r="I68" s="210">
        <v>1.0</v>
      </c>
      <c r="J68" s="210">
        <v>1.0</v>
      </c>
      <c r="K68" s="210">
        <v>1.0</v>
      </c>
      <c r="L68" s="210">
        <v>1.0</v>
      </c>
      <c r="M68" s="210">
        <v>1.0</v>
      </c>
      <c r="N68" s="210">
        <v>1.0</v>
      </c>
      <c r="O68" s="210">
        <v>1.0</v>
      </c>
      <c r="P68" s="210">
        <v>1.0</v>
      </c>
      <c r="Q68" s="210">
        <v>1.0</v>
      </c>
      <c r="R68" s="210">
        <v>1.0</v>
      </c>
      <c r="S68" s="210">
        <v>1.0</v>
      </c>
      <c r="T68" s="210">
        <v>1.0</v>
      </c>
      <c r="U68" s="211"/>
      <c r="V68" s="211"/>
      <c r="W68" s="211"/>
      <c r="X68" s="211"/>
      <c r="Y68" s="211"/>
      <c r="Z68" s="211"/>
      <c r="AA68" s="211"/>
      <c r="AB68" s="211"/>
    </row>
    <row r="69" ht="17.25" customHeight="1">
      <c r="A69" s="203" t="s">
        <v>323</v>
      </c>
      <c r="B69" s="203" t="s">
        <v>325</v>
      </c>
      <c r="C69" s="207" t="s">
        <v>1333</v>
      </c>
      <c r="D69" s="207"/>
      <c r="E69" s="209">
        <v>1.0</v>
      </c>
      <c r="F69" s="209" t="s">
        <v>290</v>
      </c>
      <c r="G69" s="210">
        <v>1.0</v>
      </c>
      <c r="H69" s="210">
        <v>1.0</v>
      </c>
      <c r="I69" s="210">
        <v>1.0</v>
      </c>
      <c r="J69" s="210">
        <v>1.0</v>
      </c>
      <c r="K69" s="210">
        <v>1.0</v>
      </c>
      <c r="L69" s="210">
        <v>1.0</v>
      </c>
      <c r="M69" s="210">
        <v>1.0</v>
      </c>
      <c r="N69" s="210">
        <v>1.0</v>
      </c>
      <c r="O69" s="210">
        <v>1.0</v>
      </c>
      <c r="P69" s="210">
        <v>1.0</v>
      </c>
      <c r="Q69" s="210">
        <v>1.0</v>
      </c>
      <c r="R69" s="210">
        <v>1.0</v>
      </c>
      <c r="S69" s="210">
        <v>1.0</v>
      </c>
      <c r="T69" s="210">
        <v>1.0</v>
      </c>
      <c r="U69" s="211"/>
      <c r="V69" s="211"/>
      <c r="W69" s="211"/>
      <c r="X69" s="211"/>
      <c r="Y69" s="211"/>
      <c r="Z69" s="211"/>
      <c r="AA69" s="211"/>
      <c r="AB69" s="211"/>
    </row>
    <row r="70" ht="17.25" customHeight="1">
      <c r="A70" s="203" t="s">
        <v>332</v>
      </c>
      <c r="B70" s="203" t="s">
        <v>333</v>
      </c>
      <c r="C70" s="207" t="s">
        <v>1333</v>
      </c>
      <c r="D70" s="207"/>
      <c r="E70" s="209">
        <v>1.0</v>
      </c>
      <c r="F70" s="209" t="s">
        <v>290</v>
      </c>
      <c r="G70" s="210">
        <v>1.0</v>
      </c>
      <c r="H70" s="210">
        <v>1.0</v>
      </c>
      <c r="I70" s="210">
        <v>1.0</v>
      </c>
      <c r="J70" s="210">
        <v>1.0</v>
      </c>
      <c r="K70" s="210">
        <v>1.0</v>
      </c>
      <c r="L70" s="210">
        <v>1.0</v>
      </c>
      <c r="M70" s="210">
        <v>1.0</v>
      </c>
      <c r="N70" s="210">
        <v>1.0</v>
      </c>
      <c r="O70" s="210">
        <v>1.0</v>
      </c>
      <c r="P70" s="210">
        <v>1.0</v>
      </c>
      <c r="Q70" s="210">
        <v>1.0</v>
      </c>
      <c r="R70" s="210">
        <v>1.0</v>
      </c>
      <c r="S70" s="210">
        <v>1.0</v>
      </c>
      <c r="T70" s="210">
        <v>1.0</v>
      </c>
      <c r="U70" s="211"/>
      <c r="V70" s="211"/>
      <c r="W70" s="211"/>
      <c r="X70" s="211"/>
      <c r="Y70" s="211"/>
      <c r="Z70" s="211"/>
      <c r="AA70" s="211"/>
      <c r="AB70" s="211"/>
    </row>
    <row r="71" ht="17.25" customHeight="1">
      <c r="A71" s="203" t="s">
        <v>338</v>
      </c>
      <c r="B71" s="203" t="s">
        <v>340</v>
      </c>
      <c r="C71" s="207" t="s">
        <v>1333</v>
      </c>
      <c r="D71" s="207"/>
      <c r="E71" s="209">
        <v>3.0</v>
      </c>
      <c r="F71" s="209" t="s">
        <v>290</v>
      </c>
      <c r="G71" s="210">
        <v>4.0</v>
      </c>
      <c r="H71" s="210">
        <v>4.0</v>
      </c>
      <c r="I71" s="210">
        <v>4.0</v>
      </c>
      <c r="J71" s="210">
        <v>4.0</v>
      </c>
      <c r="K71" s="210">
        <v>4.0</v>
      </c>
      <c r="L71" s="210">
        <v>4.0</v>
      </c>
      <c r="M71" s="210">
        <v>4.0</v>
      </c>
      <c r="N71" s="210">
        <v>4.0</v>
      </c>
      <c r="O71" s="210">
        <v>4.0</v>
      </c>
      <c r="P71" s="210">
        <v>4.0</v>
      </c>
      <c r="Q71" s="210">
        <v>4.0</v>
      </c>
      <c r="R71" s="210">
        <v>4.0</v>
      </c>
      <c r="S71" s="210">
        <v>4.0</v>
      </c>
      <c r="T71" s="210">
        <v>4.0</v>
      </c>
      <c r="U71" s="211"/>
      <c r="V71" s="211"/>
      <c r="W71" s="211"/>
      <c r="X71" s="211"/>
      <c r="Y71" s="211"/>
      <c r="Z71" s="211"/>
      <c r="AA71" s="211"/>
      <c r="AB71" s="211"/>
    </row>
    <row r="72" ht="17.25" customHeight="1">
      <c r="A72" s="203" t="s">
        <v>348</v>
      </c>
      <c r="B72" s="203" t="s">
        <v>350</v>
      </c>
      <c r="C72" s="207" t="s">
        <v>1333</v>
      </c>
      <c r="D72" s="207"/>
      <c r="E72" s="209">
        <v>0.0</v>
      </c>
      <c r="F72" s="209" t="s">
        <v>290</v>
      </c>
      <c r="G72" s="210">
        <v>3.0</v>
      </c>
      <c r="H72" s="210">
        <v>3.0</v>
      </c>
      <c r="I72" s="210">
        <v>3.0</v>
      </c>
      <c r="J72" s="210">
        <v>3.0</v>
      </c>
      <c r="K72" s="210">
        <v>3.0</v>
      </c>
      <c r="L72" s="210">
        <v>3.0</v>
      </c>
      <c r="M72" s="210">
        <v>3.0</v>
      </c>
      <c r="N72" s="210">
        <v>3.0</v>
      </c>
      <c r="O72" s="210">
        <v>3.0</v>
      </c>
      <c r="P72" s="210">
        <v>3.0</v>
      </c>
      <c r="Q72" s="210">
        <v>3.0</v>
      </c>
      <c r="R72" s="210">
        <v>3.0</v>
      </c>
      <c r="S72" s="210">
        <v>3.0</v>
      </c>
      <c r="T72" s="210">
        <v>3.0</v>
      </c>
      <c r="U72" s="211"/>
      <c r="V72" s="211"/>
      <c r="W72" s="211"/>
      <c r="X72" s="211"/>
      <c r="Y72" s="211"/>
      <c r="Z72" s="211"/>
      <c r="AA72" s="211"/>
      <c r="AB72" s="211"/>
    </row>
    <row r="73" ht="17.25" customHeight="1">
      <c r="A73" s="203" t="s">
        <v>355</v>
      </c>
      <c r="B73" s="203" t="s">
        <v>357</v>
      </c>
      <c r="C73" s="207" t="s">
        <v>1333</v>
      </c>
      <c r="D73" s="207"/>
      <c r="E73" s="209">
        <v>0.0</v>
      </c>
      <c r="F73" s="209" t="s">
        <v>290</v>
      </c>
      <c r="G73" s="210">
        <v>6.0</v>
      </c>
      <c r="H73" s="210">
        <v>6.0</v>
      </c>
      <c r="I73" s="210">
        <v>6.0</v>
      </c>
      <c r="J73" s="210">
        <v>6.0</v>
      </c>
      <c r="K73" s="210">
        <v>6.0</v>
      </c>
      <c r="L73" s="210">
        <v>6.0</v>
      </c>
      <c r="M73" s="210">
        <v>6.0</v>
      </c>
      <c r="N73" s="210">
        <v>6.0</v>
      </c>
      <c r="O73" s="210">
        <v>6.0</v>
      </c>
      <c r="P73" s="210">
        <v>6.0</v>
      </c>
      <c r="Q73" s="210">
        <v>6.0</v>
      </c>
      <c r="R73" s="210">
        <v>6.0</v>
      </c>
      <c r="S73" s="210">
        <v>6.0</v>
      </c>
      <c r="T73" s="210">
        <v>6.0</v>
      </c>
      <c r="U73" s="211"/>
      <c r="V73" s="211"/>
      <c r="W73" s="211"/>
      <c r="X73" s="211"/>
      <c r="Y73" s="211"/>
      <c r="Z73" s="211"/>
      <c r="AA73" s="211"/>
      <c r="AB73" s="211"/>
    </row>
    <row r="74" ht="17.25" customHeight="1">
      <c r="A74" s="203" t="s">
        <v>364</v>
      </c>
      <c r="B74" s="203" t="s">
        <v>366</v>
      </c>
      <c r="C74" s="207" t="s">
        <v>1333</v>
      </c>
      <c r="D74" s="207"/>
      <c r="E74" s="209">
        <v>0.0</v>
      </c>
      <c r="F74" s="209" t="s">
        <v>290</v>
      </c>
      <c r="G74" s="210">
        <v>5.0</v>
      </c>
      <c r="H74" s="210">
        <v>5.0</v>
      </c>
      <c r="I74" s="210">
        <v>5.0</v>
      </c>
      <c r="J74" s="210">
        <v>5.0</v>
      </c>
      <c r="K74" s="210">
        <v>5.0</v>
      </c>
      <c r="L74" s="210">
        <v>5.0</v>
      </c>
      <c r="M74" s="210">
        <v>5.0</v>
      </c>
      <c r="N74" s="210">
        <v>5.0</v>
      </c>
      <c r="O74" s="210">
        <v>5.0</v>
      </c>
      <c r="P74" s="210">
        <v>5.0</v>
      </c>
      <c r="Q74" s="210">
        <v>5.0</v>
      </c>
      <c r="R74" s="210">
        <v>5.0</v>
      </c>
      <c r="S74" s="210">
        <v>5.0</v>
      </c>
      <c r="T74" s="210">
        <v>5.0</v>
      </c>
      <c r="U74" s="211"/>
      <c r="V74" s="211"/>
      <c r="W74" s="211"/>
      <c r="X74" s="211"/>
      <c r="Y74" s="211"/>
      <c r="Z74" s="211"/>
      <c r="AA74" s="211"/>
      <c r="AB74" s="211"/>
    </row>
    <row r="75" ht="17.25" customHeight="1">
      <c r="A75" s="203" t="s">
        <v>373</v>
      </c>
      <c r="B75" s="203" t="s">
        <v>375</v>
      </c>
      <c r="C75" s="207" t="s">
        <v>1333</v>
      </c>
      <c r="D75" s="207"/>
      <c r="E75" s="209">
        <v>2.0</v>
      </c>
      <c r="F75" s="209" t="s">
        <v>290</v>
      </c>
      <c r="G75" s="210">
        <v>2.0</v>
      </c>
      <c r="H75" s="210">
        <v>2.0</v>
      </c>
      <c r="I75" s="210">
        <v>2.0</v>
      </c>
      <c r="J75" s="210">
        <v>2.0</v>
      </c>
      <c r="K75" s="210">
        <v>2.0</v>
      </c>
      <c r="L75" s="210">
        <v>2.0</v>
      </c>
      <c r="M75" s="210">
        <v>2.0</v>
      </c>
      <c r="N75" s="210">
        <v>2.0</v>
      </c>
      <c r="O75" s="210">
        <v>2.0</v>
      </c>
      <c r="P75" s="210">
        <v>2.0</v>
      </c>
      <c r="Q75" s="210">
        <v>2.0</v>
      </c>
      <c r="R75" s="210">
        <v>2.0</v>
      </c>
      <c r="S75" s="210">
        <v>2.0</v>
      </c>
      <c r="T75" s="210">
        <v>2.0</v>
      </c>
      <c r="U75" s="211"/>
      <c r="V75" s="211"/>
      <c r="W75" s="211"/>
      <c r="X75" s="211"/>
      <c r="Y75" s="211"/>
      <c r="Z75" s="211"/>
      <c r="AA75" s="211"/>
      <c r="AB75" s="211"/>
    </row>
    <row r="76" ht="17.25" customHeight="1">
      <c r="A76" s="203" t="s">
        <v>381</v>
      </c>
      <c r="B76" s="203" t="s">
        <v>382</v>
      </c>
      <c r="C76" s="207" t="s">
        <v>1333</v>
      </c>
      <c r="D76" s="207"/>
      <c r="E76" s="209">
        <v>1.0</v>
      </c>
      <c r="F76" s="209" t="s">
        <v>290</v>
      </c>
      <c r="G76" s="210">
        <v>1.0</v>
      </c>
      <c r="H76" s="210">
        <v>1.0</v>
      </c>
      <c r="I76" s="210">
        <v>1.0</v>
      </c>
      <c r="J76" s="210">
        <v>1.0</v>
      </c>
      <c r="K76" s="210">
        <v>1.0</v>
      </c>
      <c r="L76" s="210">
        <v>1.0</v>
      </c>
      <c r="M76" s="210">
        <v>1.0</v>
      </c>
      <c r="N76" s="210">
        <v>1.0</v>
      </c>
      <c r="O76" s="210">
        <v>1.0</v>
      </c>
      <c r="P76" s="210">
        <v>1.0</v>
      </c>
      <c r="Q76" s="210">
        <v>1.0</v>
      </c>
      <c r="R76" s="210">
        <v>1.0</v>
      </c>
      <c r="S76" s="210">
        <v>1.0</v>
      </c>
      <c r="T76" s="210">
        <v>1.0</v>
      </c>
      <c r="U76" s="211"/>
      <c r="V76" s="211"/>
      <c r="W76" s="211"/>
      <c r="X76" s="211"/>
      <c r="Y76" s="211"/>
      <c r="Z76" s="211"/>
      <c r="AA76" s="211"/>
      <c r="AB76" s="211"/>
    </row>
    <row r="77" ht="17.25" customHeight="1">
      <c r="A77" s="203" t="s">
        <v>387</v>
      </c>
      <c r="B77" s="203" t="s">
        <v>388</v>
      </c>
      <c r="C77" s="207" t="s">
        <v>1333</v>
      </c>
      <c r="D77" s="207"/>
      <c r="E77" s="209">
        <v>8.0</v>
      </c>
      <c r="F77" s="209" t="s">
        <v>290</v>
      </c>
      <c r="G77" s="210">
        <v>8.0</v>
      </c>
      <c r="H77" s="210">
        <v>8.0</v>
      </c>
      <c r="I77" s="210">
        <v>8.0</v>
      </c>
      <c r="J77" s="210">
        <v>8.0</v>
      </c>
      <c r="K77" s="210">
        <v>8.0</v>
      </c>
      <c r="L77" s="210">
        <v>8.0</v>
      </c>
      <c r="M77" s="210">
        <v>8.0</v>
      </c>
      <c r="N77" s="210">
        <v>8.0</v>
      </c>
      <c r="O77" s="210">
        <v>8.0</v>
      </c>
      <c r="P77" s="210">
        <v>8.0</v>
      </c>
      <c r="Q77" s="210">
        <v>8.0</v>
      </c>
      <c r="R77" s="210">
        <v>8.0</v>
      </c>
      <c r="S77" s="210">
        <v>8.0</v>
      </c>
      <c r="T77" s="210">
        <v>8.0</v>
      </c>
      <c r="U77" s="211"/>
      <c r="V77" s="211"/>
      <c r="W77" s="211"/>
      <c r="X77" s="211"/>
      <c r="Y77" s="211"/>
      <c r="Z77" s="211"/>
      <c r="AA77" s="211"/>
      <c r="AB77" s="211"/>
    </row>
    <row r="78" ht="17.25" customHeight="1">
      <c r="A78" s="203" t="s">
        <v>390</v>
      </c>
      <c r="B78" s="203" t="s">
        <v>391</v>
      </c>
      <c r="C78" s="207" t="s">
        <v>1333</v>
      </c>
      <c r="D78" s="207"/>
      <c r="E78" s="209">
        <v>1.0</v>
      </c>
      <c r="F78" s="209" t="s">
        <v>290</v>
      </c>
      <c r="G78" s="210">
        <v>1.0</v>
      </c>
      <c r="H78" s="210">
        <v>1.0</v>
      </c>
      <c r="I78" s="210">
        <v>1.0</v>
      </c>
      <c r="J78" s="210">
        <v>1.0</v>
      </c>
      <c r="K78" s="210">
        <v>1.0</v>
      </c>
      <c r="L78" s="210">
        <v>1.0</v>
      </c>
      <c r="M78" s="210">
        <v>1.0</v>
      </c>
      <c r="N78" s="210">
        <v>1.0</v>
      </c>
      <c r="O78" s="210">
        <v>1.0</v>
      </c>
      <c r="P78" s="210">
        <v>1.0</v>
      </c>
      <c r="Q78" s="210">
        <v>1.0</v>
      </c>
      <c r="R78" s="210">
        <v>1.0</v>
      </c>
      <c r="S78" s="210">
        <v>1.0</v>
      </c>
      <c r="T78" s="210">
        <v>1.0</v>
      </c>
      <c r="U78" s="211"/>
      <c r="V78" s="211"/>
      <c r="W78" s="211"/>
      <c r="X78" s="211"/>
      <c r="Y78" s="211"/>
      <c r="Z78" s="211"/>
      <c r="AA78" s="211"/>
      <c r="AB78" s="211"/>
    </row>
    <row r="79" ht="17.25" customHeight="1">
      <c r="A79" s="203" t="s">
        <v>396</v>
      </c>
      <c r="B79" s="203" t="s">
        <v>398</v>
      </c>
      <c r="C79" s="207" t="s">
        <v>1333</v>
      </c>
      <c r="D79" s="207"/>
      <c r="E79" s="209">
        <v>1.0</v>
      </c>
      <c r="F79" s="209" t="s">
        <v>290</v>
      </c>
      <c r="G79" s="210">
        <v>1.0</v>
      </c>
      <c r="H79" s="210">
        <v>1.0</v>
      </c>
      <c r="I79" s="210">
        <v>1.0</v>
      </c>
      <c r="J79" s="210">
        <v>1.0</v>
      </c>
      <c r="K79" s="210">
        <v>1.0</v>
      </c>
      <c r="L79" s="210">
        <v>1.0</v>
      </c>
      <c r="M79" s="210">
        <v>1.0</v>
      </c>
      <c r="N79" s="210">
        <v>1.0</v>
      </c>
      <c r="O79" s="210">
        <v>1.0</v>
      </c>
      <c r="P79" s="210">
        <v>1.0</v>
      </c>
      <c r="Q79" s="210">
        <v>1.0</v>
      </c>
      <c r="R79" s="210">
        <v>1.0</v>
      </c>
      <c r="S79" s="210">
        <v>1.0</v>
      </c>
      <c r="T79" s="210">
        <v>1.0</v>
      </c>
      <c r="U79" s="211"/>
      <c r="V79" s="211"/>
      <c r="W79" s="211"/>
      <c r="X79" s="211"/>
      <c r="Y79" s="211"/>
      <c r="Z79" s="211"/>
      <c r="AA79" s="211"/>
      <c r="AB79" s="211"/>
    </row>
    <row r="80" ht="17.25" customHeight="1">
      <c r="A80" s="203" t="s">
        <v>402</v>
      </c>
      <c r="B80" s="203" t="s">
        <v>404</v>
      </c>
      <c r="C80" s="207" t="s">
        <v>1333</v>
      </c>
      <c r="D80" s="207"/>
      <c r="E80" s="209">
        <v>1.0</v>
      </c>
      <c r="F80" s="209" t="s">
        <v>290</v>
      </c>
      <c r="G80" s="210">
        <v>1.0</v>
      </c>
      <c r="H80" s="210">
        <v>1.0</v>
      </c>
      <c r="I80" s="210">
        <v>1.0</v>
      </c>
      <c r="J80" s="210">
        <v>1.0</v>
      </c>
      <c r="K80" s="210">
        <v>1.0</v>
      </c>
      <c r="L80" s="210">
        <v>1.0</v>
      </c>
      <c r="M80" s="210">
        <v>1.0</v>
      </c>
      <c r="N80" s="210">
        <v>1.0</v>
      </c>
      <c r="O80" s="210">
        <v>1.0</v>
      </c>
      <c r="P80" s="210">
        <v>1.0</v>
      </c>
      <c r="Q80" s="210">
        <v>1.0</v>
      </c>
      <c r="R80" s="210">
        <v>1.0</v>
      </c>
      <c r="S80" s="210">
        <v>1.0</v>
      </c>
      <c r="T80" s="210">
        <v>1.0</v>
      </c>
      <c r="U80" s="211"/>
      <c r="V80" s="211"/>
      <c r="W80" s="211"/>
      <c r="X80" s="211"/>
      <c r="Y80" s="211"/>
      <c r="Z80" s="211"/>
      <c r="AA80" s="211"/>
      <c r="AB80" s="211"/>
    </row>
    <row r="81" ht="17.25" customHeight="1">
      <c r="A81" s="203" t="s">
        <v>419</v>
      </c>
      <c r="B81" s="203" t="s">
        <v>421</v>
      </c>
      <c r="C81" s="207" t="s">
        <v>1333</v>
      </c>
      <c r="D81" s="207"/>
      <c r="E81" s="209">
        <v>2.0</v>
      </c>
      <c r="F81" s="209" t="s">
        <v>290</v>
      </c>
      <c r="G81" s="210">
        <v>2.0</v>
      </c>
      <c r="H81" s="210">
        <v>2.0</v>
      </c>
      <c r="I81" s="210">
        <v>2.0</v>
      </c>
      <c r="J81" s="210">
        <v>2.0</v>
      </c>
      <c r="K81" s="210">
        <v>2.0</v>
      </c>
      <c r="L81" s="210">
        <v>2.0</v>
      </c>
      <c r="M81" s="210">
        <v>2.0</v>
      </c>
      <c r="N81" s="210">
        <v>2.0</v>
      </c>
      <c r="O81" s="210">
        <v>2.0</v>
      </c>
      <c r="P81" s="210">
        <v>2.0</v>
      </c>
      <c r="Q81" s="210">
        <v>2.0</v>
      </c>
      <c r="R81" s="210">
        <v>2.0</v>
      </c>
      <c r="S81" s="210">
        <v>2.0</v>
      </c>
      <c r="T81" s="210">
        <v>2.0</v>
      </c>
      <c r="U81" s="211"/>
      <c r="V81" s="211"/>
      <c r="W81" s="211"/>
      <c r="X81" s="211"/>
      <c r="Y81" s="211"/>
      <c r="Z81" s="211"/>
      <c r="AA81" s="211"/>
      <c r="AB81" s="211"/>
    </row>
    <row r="82" ht="17.25" customHeight="1">
      <c r="A82" s="203" t="s">
        <v>428</v>
      </c>
      <c r="B82" s="203" t="s">
        <v>430</v>
      </c>
      <c r="C82" s="207" t="s">
        <v>1333</v>
      </c>
      <c r="D82" s="207"/>
      <c r="E82" s="209">
        <v>2.0</v>
      </c>
      <c r="F82" s="209" t="s">
        <v>290</v>
      </c>
      <c r="G82" s="210">
        <v>2.0</v>
      </c>
      <c r="H82" s="210">
        <v>2.0</v>
      </c>
      <c r="I82" s="210">
        <v>2.0</v>
      </c>
      <c r="J82" s="210">
        <v>2.0</v>
      </c>
      <c r="K82" s="210">
        <v>2.0</v>
      </c>
      <c r="L82" s="210">
        <v>2.0</v>
      </c>
      <c r="M82" s="210">
        <v>2.0</v>
      </c>
      <c r="N82" s="210">
        <v>2.0</v>
      </c>
      <c r="O82" s="210">
        <v>2.0</v>
      </c>
      <c r="P82" s="210">
        <v>2.0</v>
      </c>
      <c r="Q82" s="210">
        <v>2.0</v>
      </c>
      <c r="R82" s="210">
        <v>2.0</v>
      </c>
      <c r="S82" s="210">
        <v>2.0</v>
      </c>
      <c r="T82" s="210">
        <v>2.0</v>
      </c>
      <c r="U82" s="211"/>
      <c r="V82" s="211"/>
      <c r="W82" s="211"/>
      <c r="X82" s="211"/>
      <c r="Y82" s="211"/>
      <c r="Z82" s="211"/>
      <c r="AA82" s="211"/>
      <c r="AB82" s="211"/>
    </row>
    <row r="83" ht="17.25" customHeight="1">
      <c r="A83" s="203" t="s">
        <v>433</v>
      </c>
      <c r="B83" s="203" t="s">
        <v>434</v>
      </c>
      <c r="C83" s="207" t="s">
        <v>1333</v>
      </c>
      <c r="D83" s="207"/>
      <c r="E83" s="209">
        <v>1.0</v>
      </c>
      <c r="F83" s="209" t="s">
        <v>290</v>
      </c>
      <c r="G83" s="210">
        <v>1.0</v>
      </c>
      <c r="H83" s="210">
        <v>1.0</v>
      </c>
      <c r="I83" s="210">
        <v>1.0</v>
      </c>
      <c r="J83" s="210">
        <v>1.0</v>
      </c>
      <c r="K83" s="210">
        <v>1.0</v>
      </c>
      <c r="L83" s="210">
        <v>1.0</v>
      </c>
      <c r="M83" s="210">
        <v>1.0</v>
      </c>
      <c r="N83" s="210">
        <v>1.0</v>
      </c>
      <c r="O83" s="210">
        <v>1.0</v>
      </c>
      <c r="P83" s="210">
        <v>1.0</v>
      </c>
      <c r="Q83" s="210">
        <v>1.0</v>
      </c>
      <c r="R83" s="210">
        <v>1.0</v>
      </c>
      <c r="S83" s="210">
        <v>1.0</v>
      </c>
      <c r="T83" s="210">
        <v>1.0</v>
      </c>
      <c r="U83" s="211"/>
      <c r="V83" s="211"/>
      <c r="W83" s="211"/>
      <c r="X83" s="211"/>
      <c r="Y83" s="211"/>
      <c r="Z83" s="211"/>
      <c r="AA83" s="211"/>
      <c r="AB83" s="211"/>
    </row>
    <row r="84" ht="17.25" customHeight="1">
      <c r="A84" s="203" t="s">
        <v>437</v>
      </c>
      <c r="B84" s="203" t="s">
        <v>438</v>
      </c>
      <c r="C84" s="207">
        <v>0.020618556701030927</v>
      </c>
      <c r="D84" s="207"/>
      <c r="E84" s="213">
        <v>5.0</v>
      </c>
      <c r="F84" s="209" t="s">
        <v>290</v>
      </c>
      <c r="G84" s="210">
        <v>12.0</v>
      </c>
      <c r="H84" s="210">
        <v>12.0</v>
      </c>
      <c r="I84" s="210">
        <v>12.0</v>
      </c>
      <c r="J84" s="210">
        <v>12.0</v>
      </c>
      <c r="K84" s="210">
        <v>12.0</v>
      </c>
      <c r="L84" s="210">
        <v>12.0</v>
      </c>
      <c r="M84" s="210">
        <v>12.0</v>
      </c>
      <c r="N84" s="210">
        <v>12.0</v>
      </c>
      <c r="O84" s="210">
        <v>12.0</v>
      </c>
      <c r="P84" s="210">
        <v>12.0</v>
      </c>
      <c r="Q84" s="210">
        <v>12.0</v>
      </c>
      <c r="R84" s="210">
        <v>12.0</v>
      </c>
      <c r="S84" s="210">
        <v>12.0</v>
      </c>
      <c r="T84" s="210">
        <v>12.0</v>
      </c>
      <c r="U84" s="211"/>
      <c r="V84" s="211"/>
      <c r="W84" s="211"/>
      <c r="X84" s="211"/>
      <c r="Y84" s="211"/>
      <c r="Z84" s="211"/>
      <c r="AA84" s="211"/>
      <c r="AB84" s="211"/>
    </row>
    <row r="85" ht="17.25" customHeight="1">
      <c r="A85" s="203" t="s">
        <v>441</v>
      </c>
      <c r="B85" s="203" t="s">
        <v>688</v>
      </c>
      <c r="C85" s="207">
        <v>0.012371134020618558</v>
      </c>
      <c r="D85" s="207"/>
      <c r="E85" s="208">
        <v>0.0</v>
      </c>
      <c r="F85" s="209" t="s">
        <v>290</v>
      </c>
      <c r="G85" s="210">
        <v>2.0</v>
      </c>
      <c r="H85" s="210">
        <v>2.0</v>
      </c>
      <c r="I85" s="210">
        <v>2.0</v>
      </c>
      <c r="J85" s="210">
        <v>2.0</v>
      </c>
      <c r="K85" s="210">
        <v>2.0</v>
      </c>
      <c r="L85" s="210">
        <v>2.0</v>
      </c>
      <c r="M85" s="210">
        <v>2.0</v>
      </c>
      <c r="N85" s="210">
        <v>2.0</v>
      </c>
      <c r="O85" s="210">
        <v>2.0</v>
      </c>
      <c r="P85" s="210">
        <v>2.0</v>
      </c>
      <c r="Q85" s="210">
        <v>2.0</v>
      </c>
      <c r="R85" s="210">
        <v>2.0</v>
      </c>
      <c r="S85" s="210">
        <v>2.0</v>
      </c>
      <c r="T85" s="210">
        <v>2.0</v>
      </c>
      <c r="U85" s="211"/>
      <c r="V85" s="211"/>
      <c r="W85" s="211"/>
      <c r="X85" s="211"/>
      <c r="Y85" s="211"/>
      <c r="Z85" s="211"/>
      <c r="AA85" s="211"/>
      <c r="AB85" s="211"/>
    </row>
    <row r="86" ht="17.25" customHeight="1">
      <c r="A86" s="203" t="s">
        <v>449</v>
      </c>
      <c r="B86" s="203" t="s">
        <v>450</v>
      </c>
      <c r="C86" s="207" t="s">
        <v>1333</v>
      </c>
      <c r="D86" s="207"/>
      <c r="E86" s="209">
        <v>3.0</v>
      </c>
      <c r="F86" s="209" t="s">
        <v>290</v>
      </c>
      <c r="G86" s="210">
        <v>3.0</v>
      </c>
      <c r="H86" s="210">
        <v>3.0</v>
      </c>
      <c r="I86" s="210">
        <v>3.0</v>
      </c>
      <c r="J86" s="210">
        <v>3.0</v>
      </c>
      <c r="K86" s="210">
        <v>3.0</v>
      </c>
      <c r="L86" s="210">
        <v>3.0</v>
      </c>
      <c r="M86" s="210">
        <v>3.0</v>
      </c>
      <c r="N86" s="210">
        <v>3.0</v>
      </c>
      <c r="O86" s="210">
        <v>3.0</v>
      </c>
      <c r="P86" s="210">
        <v>3.0</v>
      </c>
      <c r="Q86" s="210">
        <v>3.0</v>
      </c>
      <c r="R86" s="210">
        <v>3.0</v>
      </c>
      <c r="S86" s="210">
        <v>3.0</v>
      </c>
      <c r="T86" s="210">
        <v>3.0</v>
      </c>
      <c r="U86" s="211"/>
      <c r="V86" s="211"/>
      <c r="W86" s="211"/>
      <c r="X86" s="211"/>
      <c r="Y86" s="211"/>
      <c r="Z86" s="211"/>
      <c r="AA86" s="211"/>
      <c r="AB86" s="211"/>
    </row>
    <row r="87" ht="17.25" customHeight="1">
      <c r="A87" s="203" t="s">
        <v>456</v>
      </c>
      <c r="B87" s="203" t="s">
        <v>457</v>
      </c>
      <c r="C87" s="207" t="s">
        <v>1333</v>
      </c>
      <c r="D87" s="207"/>
      <c r="E87" s="209">
        <v>1.0</v>
      </c>
      <c r="F87" s="209" t="s">
        <v>290</v>
      </c>
      <c r="G87" s="210">
        <v>1.0</v>
      </c>
      <c r="H87" s="210">
        <v>1.0</v>
      </c>
      <c r="I87" s="210">
        <v>1.0</v>
      </c>
      <c r="J87" s="210">
        <v>1.0</v>
      </c>
      <c r="K87" s="210">
        <v>1.0</v>
      </c>
      <c r="L87" s="210">
        <v>1.0</v>
      </c>
      <c r="M87" s="210">
        <v>1.0</v>
      </c>
      <c r="N87" s="210">
        <v>1.0</v>
      </c>
      <c r="O87" s="210">
        <v>1.0</v>
      </c>
      <c r="P87" s="210">
        <v>1.0</v>
      </c>
      <c r="Q87" s="210">
        <v>1.0</v>
      </c>
      <c r="R87" s="210">
        <v>1.0</v>
      </c>
      <c r="S87" s="210">
        <v>1.0</v>
      </c>
      <c r="T87" s="210">
        <v>1.0</v>
      </c>
      <c r="U87" s="211"/>
      <c r="V87" s="211"/>
      <c r="W87" s="211"/>
      <c r="X87" s="211"/>
      <c r="Y87" s="211"/>
      <c r="Z87" s="211"/>
      <c r="AA87" s="211"/>
      <c r="AB87" s="211"/>
    </row>
    <row r="88" ht="17.25" customHeight="1">
      <c r="A88" s="203" t="s">
        <v>461</v>
      </c>
      <c r="B88" s="203" t="s">
        <v>462</v>
      </c>
      <c r="C88" s="207" t="s">
        <v>1333</v>
      </c>
      <c r="D88" s="207"/>
      <c r="E88" s="209">
        <v>1.0</v>
      </c>
      <c r="F88" s="209" t="s">
        <v>290</v>
      </c>
      <c r="G88" s="210">
        <v>1.0</v>
      </c>
      <c r="H88" s="210">
        <v>1.0</v>
      </c>
      <c r="I88" s="210">
        <v>1.0</v>
      </c>
      <c r="J88" s="210">
        <v>1.0</v>
      </c>
      <c r="K88" s="210">
        <v>1.0</v>
      </c>
      <c r="L88" s="210">
        <v>1.0</v>
      </c>
      <c r="M88" s="210">
        <v>1.0</v>
      </c>
      <c r="N88" s="210">
        <v>1.0</v>
      </c>
      <c r="O88" s="210">
        <v>1.0</v>
      </c>
      <c r="P88" s="210">
        <v>1.0</v>
      </c>
      <c r="Q88" s="210">
        <v>1.0</v>
      </c>
      <c r="R88" s="210">
        <v>1.0</v>
      </c>
      <c r="S88" s="210">
        <v>1.0</v>
      </c>
      <c r="T88" s="210">
        <v>1.0</v>
      </c>
      <c r="U88" s="211"/>
      <c r="V88" s="211"/>
      <c r="W88" s="211"/>
      <c r="X88" s="211"/>
      <c r="Y88" s="211"/>
      <c r="Z88" s="211"/>
      <c r="AA88" s="211"/>
      <c r="AB88" s="211"/>
    </row>
    <row r="89" ht="17.25" customHeight="1">
      <c r="A89" s="203" t="s">
        <v>467</v>
      </c>
      <c r="B89" s="203" t="s">
        <v>421</v>
      </c>
      <c r="C89" s="207" t="s">
        <v>1333</v>
      </c>
      <c r="D89" s="207"/>
      <c r="E89" s="209">
        <v>1.0</v>
      </c>
      <c r="F89" s="209" t="s">
        <v>290</v>
      </c>
      <c r="G89" s="210">
        <v>1.0</v>
      </c>
      <c r="H89" s="210">
        <v>1.0</v>
      </c>
      <c r="I89" s="210">
        <v>1.0</v>
      </c>
      <c r="J89" s="210">
        <v>1.0</v>
      </c>
      <c r="K89" s="210">
        <v>1.0</v>
      </c>
      <c r="L89" s="210">
        <v>1.0</v>
      </c>
      <c r="M89" s="210">
        <v>1.0</v>
      </c>
      <c r="N89" s="210">
        <v>1.0</v>
      </c>
      <c r="O89" s="210">
        <v>1.0</v>
      </c>
      <c r="P89" s="210">
        <v>1.0</v>
      </c>
      <c r="Q89" s="210">
        <v>1.0</v>
      </c>
      <c r="R89" s="210">
        <v>1.0</v>
      </c>
      <c r="S89" s="210">
        <v>1.0</v>
      </c>
      <c r="T89" s="210">
        <v>1.0</v>
      </c>
      <c r="U89" s="211"/>
      <c r="V89" s="211"/>
      <c r="W89" s="211"/>
      <c r="X89" s="211"/>
      <c r="Y89" s="211"/>
      <c r="Z89" s="211"/>
      <c r="AA89" s="211"/>
      <c r="AB89" s="211"/>
    </row>
    <row r="90" ht="17.25" customHeight="1">
      <c r="A90" s="203" t="s">
        <v>473</v>
      </c>
      <c r="B90" s="203" t="s">
        <v>474</v>
      </c>
      <c r="C90" s="207" t="s">
        <v>1333</v>
      </c>
      <c r="D90" s="207"/>
      <c r="E90" s="209">
        <v>1.0</v>
      </c>
      <c r="F90" s="209" t="s">
        <v>290</v>
      </c>
      <c r="G90" s="210">
        <v>1.0</v>
      </c>
      <c r="H90" s="210">
        <v>1.0</v>
      </c>
      <c r="I90" s="210">
        <v>1.0</v>
      </c>
      <c r="J90" s="210">
        <v>1.0</v>
      </c>
      <c r="K90" s="210">
        <v>1.0</v>
      </c>
      <c r="L90" s="210">
        <v>1.0</v>
      </c>
      <c r="M90" s="210">
        <v>1.0</v>
      </c>
      <c r="N90" s="210">
        <v>1.0</v>
      </c>
      <c r="O90" s="210">
        <v>1.0</v>
      </c>
      <c r="P90" s="210">
        <v>1.0</v>
      </c>
      <c r="Q90" s="210">
        <v>1.0</v>
      </c>
      <c r="R90" s="210">
        <v>1.0</v>
      </c>
      <c r="S90" s="210">
        <v>1.0</v>
      </c>
      <c r="T90" s="210">
        <v>1.0</v>
      </c>
      <c r="U90" s="211"/>
      <c r="V90" s="211"/>
      <c r="W90" s="211"/>
      <c r="X90" s="211"/>
      <c r="Y90" s="211"/>
      <c r="Z90" s="211"/>
      <c r="AA90" s="211"/>
      <c r="AB90" s="211"/>
    </row>
    <row r="91" ht="17.25" customHeight="1">
      <c r="A91" s="203" t="s">
        <v>480</v>
      </c>
      <c r="B91" s="203" t="s">
        <v>482</v>
      </c>
      <c r="C91" s="207" t="s">
        <v>1333</v>
      </c>
      <c r="D91" s="207"/>
      <c r="E91" s="209">
        <v>1.0</v>
      </c>
      <c r="F91" s="209" t="s">
        <v>290</v>
      </c>
      <c r="G91" s="210">
        <v>1.0</v>
      </c>
      <c r="H91" s="210">
        <v>1.0</v>
      </c>
      <c r="I91" s="210">
        <v>1.0</v>
      </c>
      <c r="J91" s="210">
        <v>1.0</v>
      </c>
      <c r="K91" s="210">
        <v>1.0</v>
      </c>
      <c r="L91" s="210">
        <v>1.0</v>
      </c>
      <c r="M91" s="210">
        <v>1.0</v>
      </c>
      <c r="N91" s="210">
        <v>1.0</v>
      </c>
      <c r="O91" s="210">
        <v>1.0</v>
      </c>
      <c r="P91" s="210">
        <v>1.0</v>
      </c>
      <c r="Q91" s="210">
        <v>1.0</v>
      </c>
      <c r="R91" s="210">
        <v>1.0</v>
      </c>
      <c r="S91" s="210">
        <v>1.0</v>
      </c>
      <c r="T91" s="210">
        <v>1.0</v>
      </c>
      <c r="U91" s="211"/>
      <c r="V91" s="211"/>
      <c r="W91" s="211"/>
      <c r="X91" s="211"/>
      <c r="Y91" s="211"/>
      <c r="Z91" s="211"/>
      <c r="AA91" s="211"/>
      <c r="AB91" s="211"/>
    </row>
    <row r="92" ht="17.25" customHeight="1">
      <c r="A92" s="203" t="s">
        <v>488</v>
      </c>
      <c r="B92" s="203" t="s">
        <v>490</v>
      </c>
      <c r="C92" s="207" t="s">
        <v>1333</v>
      </c>
      <c r="D92" s="207"/>
      <c r="E92" s="209">
        <v>1.0</v>
      </c>
      <c r="F92" s="209" t="s">
        <v>290</v>
      </c>
      <c r="G92" s="210">
        <v>1.0</v>
      </c>
      <c r="H92" s="210">
        <v>1.0</v>
      </c>
      <c r="I92" s="210">
        <v>1.0</v>
      </c>
      <c r="J92" s="210">
        <v>1.0</v>
      </c>
      <c r="K92" s="210">
        <v>1.0</v>
      </c>
      <c r="L92" s="210">
        <v>1.0</v>
      </c>
      <c r="M92" s="210">
        <v>1.0</v>
      </c>
      <c r="N92" s="210">
        <v>1.0</v>
      </c>
      <c r="O92" s="210">
        <v>1.0</v>
      </c>
      <c r="P92" s="210">
        <v>1.0</v>
      </c>
      <c r="Q92" s="210">
        <v>1.0</v>
      </c>
      <c r="R92" s="210">
        <v>1.0</v>
      </c>
      <c r="S92" s="210">
        <v>1.0</v>
      </c>
      <c r="T92" s="210">
        <v>1.0</v>
      </c>
      <c r="U92" s="211"/>
      <c r="V92" s="211"/>
      <c r="W92" s="211"/>
      <c r="X92" s="211"/>
      <c r="Y92" s="211"/>
      <c r="Z92" s="211"/>
      <c r="AA92" s="211"/>
      <c r="AB92" s="211"/>
    </row>
    <row r="93" ht="17.25" customHeight="1">
      <c r="A93" s="203" t="s">
        <v>497</v>
      </c>
      <c r="B93" s="203" t="s">
        <v>499</v>
      </c>
      <c r="C93" s="207" t="s">
        <v>1333</v>
      </c>
      <c r="D93" s="207"/>
      <c r="E93" s="209">
        <v>2.0</v>
      </c>
      <c r="F93" s="209" t="s">
        <v>290</v>
      </c>
      <c r="G93" s="210">
        <v>2.0</v>
      </c>
      <c r="H93" s="210">
        <v>2.0</v>
      </c>
      <c r="I93" s="210">
        <v>2.0</v>
      </c>
      <c r="J93" s="210">
        <v>2.0</v>
      </c>
      <c r="K93" s="210">
        <v>2.0</v>
      </c>
      <c r="L93" s="210">
        <v>2.0</v>
      </c>
      <c r="M93" s="210">
        <v>2.0</v>
      </c>
      <c r="N93" s="210">
        <v>2.0</v>
      </c>
      <c r="O93" s="210">
        <v>2.0</v>
      </c>
      <c r="P93" s="210">
        <v>2.0</v>
      </c>
      <c r="Q93" s="210">
        <v>2.0</v>
      </c>
      <c r="R93" s="210">
        <v>2.0</v>
      </c>
      <c r="S93" s="210">
        <v>2.0</v>
      </c>
      <c r="T93" s="210">
        <v>2.0</v>
      </c>
      <c r="U93" s="211"/>
      <c r="V93" s="211"/>
      <c r="W93" s="211"/>
      <c r="X93" s="211"/>
      <c r="Y93" s="211"/>
      <c r="Z93" s="211"/>
      <c r="AA93" s="211"/>
      <c r="AB93" s="211"/>
    </row>
    <row r="94" ht="17.25" customHeight="1">
      <c r="A94" s="203" t="s">
        <v>505</v>
      </c>
      <c r="B94" s="203" t="s">
        <v>506</v>
      </c>
      <c r="C94" s="207" t="s">
        <v>1333</v>
      </c>
      <c r="D94" s="207"/>
      <c r="E94" s="209">
        <v>6.0</v>
      </c>
      <c r="F94" s="209" t="s">
        <v>290</v>
      </c>
      <c r="G94" s="210">
        <v>6.0</v>
      </c>
      <c r="H94" s="210">
        <v>6.0</v>
      </c>
      <c r="I94" s="210">
        <v>6.0</v>
      </c>
      <c r="J94" s="210">
        <v>6.0</v>
      </c>
      <c r="K94" s="210">
        <v>6.0</v>
      </c>
      <c r="L94" s="210">
        <v>6.0</v>
      </c>
      <c r="M94" s="210">
        <v>6.0</v>
      </c>
      <c r="N94" s="210">
        <v>6.0</v>
      </c>
      <c r="O94" s="210">
        <v>6.0</v>
      </c>
      <c r="P94" s="210">
        <v>6.0</v>
      </c>
      <c r="Q94" s="210">
        <v>6.0</v>
      </c>
      <c r="R94" s="210">
        <v>6.0</v>
      </c>
      <c r="S94" s="210">
        <v>6.0</v>
      </c>
      <c r="T94" s="210">
        <v>6.0</v>
      </c>
      <c r="U94" s="211"/>
      <c r="V94" s="211"/>
      <c r="W94" s="211"/>
      <c r="X94" s="211"/>
      <c r="Y94" s="211"/>
      <c r="Z94" s="211"/>
      <c r="AA94" s="211"/>
      <c r="AB94" s="211"/>
    </row>
    <row r="95" ht="17.25" customHeight="1">
      <c r="A95" s="203" t="s">
        <v>1758</v>
      </c>
      <c r="B95" s="203" t="s">
        <v>1759</v>
      </c>
      <c r="C95" s="207">
        <v>0.004123711340206186</v>
      </c>
      <c r="D95" s="207"/>
      <c r="E95" s="208">
        <v>0.0</v>
      </c>
      <c r="F95" s="209" t="s">
        <v>290</v>
      </c>
      <c r="G95" s="210">
        <v>2.0</v>
      </c>
      <c r="H95" s="212">
        <v>0.0</v>
      </c>
      <c r="I95" s="212">
        <v>0.0</v>
      </c>
      <c r="J95" s="212">
        <v>0.0</v>
      </c>
      <c r="K95" s="212">
        <v>0.0</v>
      </c>
      <c r="L95" s="212">
        <v>0.0</v>
      </c>
      <c r="M95" s="212">
        <v>0.0</v>
      </c>
      <c r="N95" s="212">
        <v>0.0</v>
      </c>
      <c r="O95" s="212">
        <v>0.0</v>
      </c>
      <c r="P95" s="212">
        <v>0.0</v>
      </c>
      <c r="Q95" s="212">
        <v>0.0</v>
      </c>
      <c r="R95" s="212">
        <v>0.0</v>
      </c>
      <c r="S95" s="212">
        <v>0.0</v>
      </c>
      <c r="T95" s="212">
        <v>0.0</v>
      </c>
      <c r="U95" s="211"/>
      <c r="V95" s="211"/>
      <c r="W95" s="211"/>
      <c r="X95" s="211"/>
      <c r="Y95" s="211"/>
      <c r="Z95" s="211"/>
      <c r="AA95" s="211"/>
      <c r="AB95" s="211"/>
    </row>
    <row r="96" ht="17.25" customHeight="1">
      <c r="A96" s="203" t="s">
        <v>509</v>
      </c>
      <c r="B96" s="203" t="s">
        <v>510</v>
      </c>
      <c r="C96" s="207">
        <v>0.002061855670103093</v>
      </c>
      <c r="D96" s="207"/>
      <c r="E96" s="213">
        <v>1.0</v>
      </c>
      <c r="F96" s="209" t="s">
        <v>290</v>
      </c>
      <c r="G96" s="210">
        <v>2.0</v>
      </c>
      <c r="H96" s="210">
        <v>2.0</v>
      </c>
      <c r="I96" s="210">
        <v>2.0</v>
      </c>
      <c r="J96" s="210">
        <v>2.0</v>
      </c>
      <c r="K96" s="210">
        <v>2.0</v>
      </c>
      <c r="L96" s="210">
        <v>2.0</v>
      </c>
      <c r="M96" s="210">
        <v>2.0</v>
      </c>
      <c r="N96" s="210">
        <v>2.0</v>
      </c>
      <c r="O96" s="210">
        <v>2.0</v>
      </c>
      <c r="P96" s="210">
        <v>2.0</v>
      </c>
      <c r="Q96" s="210">
        <v>2.0</v>
      </c>
      <c r="R96" s="210">
        <v>2.0</v>
      </c>
      <c r="S96" s="210">
        <v>2.0</v>
      </c>
      <c r="T96" s="210">
        <v>2.0</v>
      </c>
      <c r="U96" s="211"/>
      <c r="V96" s="211"/>
      <c r="W96" s="211"/>
      <c r="X96" s="211"/>
      <c r="Y96" s="211"/>
      <c r="Z96" s="211"/>
      <c r="AA96" s="211"/>
      <c r="AB96" s="211"/>
    </row>
    <row r="97" ht="17.25" customHeight="1">
      <c r="A97" s="203" t="s">
        <v>1772</v>
      </c>
      <c r="B97" s="203" t="s">
        <v>1777</v>
      </c>
      <c r="C97" s="207">
        <v>0.004123711340206186</v>
      </c>
      <c r="D97" s="207"/>
      <c r="E97" s="208">
        <v>0.0</v>
      </c>
      <c r="F97" s="209" t="s">
        <v>290</v>
      </c>
      <c r="G97" s="212">
        <v>0.0</v>
      </c>
      <c r="H97" s="212">
        <v>0.0</v>
      </c>
      <c r="I97" s="212">
        <v>0.0</v>
      </c>
      <c r="J97" s="212">
        <v>0.0</v>
      </c>
      <c r="K97" s="212">
        <v>0.0</v>
      </c>
      <c r="L97" s="212">
        <v>0.0</v>
      </c>
      <c r="M97" s="212">
        <v>0.0</v>
      </c>
      <c r="N97" s="212">
        <v>0.0</v>
      </c>
      <c r="O97" s="212">
        <v>0.0</v>
      </c>
      <c r="P97" s="212">
        <v>0.0</v>
      </c>
      <c r="Q97" s="212">
        <v>0.0</v>
      </c>
      <c r="R97" s="212">
        <v>0.0</v>
      </c>
      <c r="S97" s="212">
        <v>0.0</v>
      </c>
      <c r="T97" s="212">
        <v>0.0</v>
      </c>
      <c r="U97" s="211"/>
      <c r="V97" s="211"/>
      <c r="W97" s="211"/>
      <c r="X97" s="211"/>
      <c r="Y97" s="211"/>
      <c r="Z97" s="211"/>
      <c r="AA97" s="211"/>
      <c r="AB97" s="211"/>
    </row>
    <row r="98" ht="17.25" customHeight="1">
      <c r="A98" s="203" t="s">
        <v>513</v>
      </c>
      <c r="B98" s="203" t="s">
        <v>515</v>
      </c>
      <c r="C98" s="207">
        <v>0.004123711340206186</v>
      </c>
      <c r="D98" s="207"/>
      <c r="E98" s="213">
        <v>2.0</v>
      </c>
      <c r="F98" s="209" t="s">
        <v>290</v>
      </c>
      <c r="G98" s="210">
        <v>2.0</v>
      </c>
      <c r="H98" s="210">
        <v>2.0</v>
      </c>
      <c r="I98" s="210">
        <v>2.0</v>
      </c>
      <c r="J98" s="210">
        <v>2.0</v>
      </c>
      <c r="K98" s="210">
        <v>2.0</v>
      </c>
      <c r="L98" s="210">
        <v>2.0</v>
      </c>
      <c r="M98" s="210">
        <v>2.0</v>
      </c>
      <c r="N98" s="210">
        <v>2.0</v>
      </c>
      <c r="O98" s="210">
        <v>2.0</v>
      </c>
      <c r="P98" s="210">
        <v>2.0</v>
      </c>
      <c r="Q98" s="210">
        <v>2.0</v>
      </c>
      <c r="R98" s="210">
        <v>2.0</v>
      </c>
      <c r="S98" s="210">
        <v>2.0</v>
      </c>
      <c r="T98" s="210">
        <v>2.0</v>
      </c>
      <c r="U98" s="211"/>
      <c r="V98" s="211"/>
      <c r="W98" s="211"/>
      <c r="X98" s="211"/>
      <c r="Y98" s="211"/>
      <c r="Z98" s="211"/>
      <c r="AA98" s="211"/>
      <c r="AB98" s="211"/>
    </row>
    <row r="99" ht="17.25" customHeight="1">
      <c r="A99" s="203" t="s">
        <v>520</v>
      </c>
      <c r="B99" s="203" t="s">
        <v>521</v>
      </c>
      <c r="C99" s="207" t="s">
        <v>1333</v>
      </c>
      <c r="D99" s="207"/>
      <c r="E99" s="209">
        <v>2.0</v>
      </c>
      <c r="F99" s="209" t="s">
        <v>290</v>
      </c>
      <c r="G99" s="210">
        <v>2.0</v>
      </c>
      <c r="H99" s="210">
        <v>2.0</v>
      </c>
      <c r="I99" s="210">
        <v>2.0</v>
      </c>
      <c r="J99" s="210">
        <v>2.0</v>
      </c>
      <c r="K99" s="210">
        <v>2.0</v>
      </c>
      <c r="L99" s="210">
        <v>2.0</v>
      </c>
      <c r="M99" s="210">
        <v>2.0</v>
      </c>
      <c r="N99" s="210">
        <v>2.0</v>
      </c>
      <c r="O99" s="210">
        <v>2.0</v>
      </c>
      <c r="P99" s="210">
        <v>2.0</v>
      </c>
      <c r="Q99" s="210">
        <v>2.0</v>
      </c>
      <c r="R99" s="210">
        <v>2.0</v>
      </c>
      <c r="S99" s="210">
        <v>2.0</v>
      </c>
      <c r="T99" s="210">
        <v>2.0</v>
      </c>
      <c r="U99" s="211"/>
      <c r="V99" s="211"/>
      <c r="W99" s="211"/>
      <c r="X99" s="211"/>
      <c r="Y99" s="211"/>
      <c r="Z99" s="211"/>
      <c r="AA99" s="211"/>
      <c r="AB99" s="211"/>
    </row>
    <row r="100" ht="17.25" customHeight="1">
      <c r="A100" s="203" t="s">
        <v>1788</v>
      </c>
      <c r="B100" s="203" t="s">
        <v>1790</v>
      </c>
      <c r="C100" s="207" t="s">
        <v>1333</v>
      </c>
      <c r="D100" s="207"/>
      <c r="E100" s="209">
        <v>0.0</v>
      </c>
      <c r="F100" s="209" t="s">
        <v>290</v>
      </c>
      <c r="G100" s="212">
        <v>0.0</v>
      </c>
      <c r="H100" s="212">
        <v>0.0</v>
      </c>
      <c r="I100" s="212">
        <v>0.0</v>
      </c>
      <c r="J100" s="212">
        <v>0.0</v>
      </c>
      <c r="K100" s="212">
        <v>0.0</v>
      </c>
      <c r="L100" s="212">
        <v>0.0</v>
      </c>
      <c r="M100" s="212">
        <v>0.0</v>
      </c>
      <c r="N100" s="212">
        <v>0.0</v>
      </c>
      <c r="O100" s="212">
        <v>0.0</v>
      </c>
      <c r="P100" s="212">
        <v>0.0</v>
      </c>
      <c r="Q100" s="212">
        <v>0.0</v>
      </c>
      <c r="R100" s="212">
        <v>0.0</v>
      </c>
      <c r="S100" s="212">
        <v>0.0</v>
      </c>
      <c r="T100" s="212">
        <v>0.0</v>
      </c>
      <c r="U100" s="211"/>
      <c r="V100" s="211"/>
      <c r="W100" s="211"/>
      <c r="X100" s="211"/>
      <c r="Y100" s="211"/>
      <c r="Z100" s="211"/>
      <c r="AA100" s="211"/>
      <c r="AB100" s="211"/>
    </row>
    <row r="101" ht="17.25" customHeight="1">
      <c r="A101" s="203" t="s">
        <v>526</v>
      </c>
      <c r="B101" s="203" t="s">
        <v>527</v>
      </c>
      <c r="C101" s="207" t="s">
        <v>1333</v>
      </c>
      <c r="D101" s="207"/>
      <c r="E101" s="209">
        <v>4.0</v>
      </c>
      <c r="F101" s="209" t="s">
        <v>290</v>
      </c>
      <c r="G101" s="210">
        <v>4.0</v>
      </c>
      <c r="H101" s="210">
        <v>4.0</v>
      </c>
      <c r="I101" s="210">
        <v>4.0</v>
      </c>
      <c r="J101" s="210">
        <v>4.0</v>
      </c>
      <c r="K101" s="210">
        <v>4.0</v>
      </c>
      <c r="L101" s="210">
        <v>4.0</v>
      </c>
      <c r="M101" s="210">
        <v>4.0</v>
      </c>
      <c r="N101" s="210">
        <v>4.0</v>
      </c>
      <c r="O101" s="210">
        <v>4.0</v>
      </c>
      <c r="P101" s="210">
        <v>4.0</v>
      </c>
      <c r="Q101" s="210">
        <v>4.0</v>
      </c>
      <c r="R101" s="210">
        <v>4.0</v>
      </c>
      <c r="S101" s="210">
        <v>4.0</v>
      </c>
      <c r="T101" s="210">
        <v>4.0</v>
      </c>
      <c r="U101" s="211"/>
      <c r="V101" s="211"/>
      <c r="W101" s="211"/>
      <c r="X101" s="211"/>
      <c r="Y101" s="211"/>
      <c r="Z101" s="211"/>
      <c r="AA101" s="211"/>
      <c r="AB101" s="211"/>
    </row>
    <row r="102" ht="17.25" customHeight="1">
      <c r="A102" s="203" t="s">
        <v>534</v>
      </c>
      <c r="B102" s="203" t="s">
        <v>535</v>
      </c>
      <c r="C102" s="207" t="s">
        <v>1333</v>
      </c>
      <c r="D102" s="207"/>
      <c r="E102" s="209">
        <v>1.0</v>
      </c>
      <c r="F102" s="209" t="s">
        <v>290</v>
      </c>
      <c r="G102" s="210">
        <v>1.0</v>
      </c>
      <c r="H102" s="210">
        <v>1.0</v>
      </c>
      <c r="I102" s="210">
        <v>1.0</v>
      </c>
      <c r="J102" s="210">
        <v>1.0</v>
      </c>
      <c r="K102" s="210">
        <v>1.0</v>
      </c>
      <c r="L102" s="210">
        <v>1.0</v>
      </c>
      <c r="M102" s="210">
        <v>1.0</v>
      </c>
      <c r="N102" s="210">
        <v>1.0</v>
      </c>
      <c r="O102" s="210">
        <v>1.0</v>
      </c>
      <c r="P102" s="210">
        <v>1.0</v>
      </c>
      <c r="Q102" s="210">
        <v>1.0</v>
      </c>
      <c r="R102" s="210">
        <v>1.0</v>
      </c>
      <c r="S102" s="210">
        <v>1.0</v>
      </c>
      <c r="T102" s="210">
        <v>1.0</v>
      </c>
      <c r="U102" s="211"/>
      <c r="V102" s="211"/>
      <c r="W102" s="211"/>
      <c r="X102" s="211"/>
      <c r="Y102" s="211"/>
      <c r="Z102" s="211"/>
      <c r="AA102" s="211"/>
      <c r="AB102" s="211"/>
    </row>
    <row r="103" ht="17.25" customHeight="1">
      <c r="A103" s="203" t="s">
        <v>542</v>
      </c>
      <c r="B103" s="203" t="s">
        <v>543</v>
      </c>
      <c r="C103" s="207" t="s">
        <v>1333</v>
      </c>
      <c r="D103" s="207"/>
      <c r="E103" s="209">
        <v>1.0</v>
      </c>
      <c r="F103" s="209" t="s">
        <v>290</v>
      </c>
      <c r="G103" s="210">
        <v>1.0</v>
      </c>
      <c r="H103" s="210">
        <v>1.0</v>
      </c>
      <c r="I103" s="210">
        <v>1.0</v>
      </c>
      <c r="J103" s="210">
        <v>1.0</v>
      </c>
      <c r="K103" s="210">
        <v>1.0</v>
      </c>
      <c r="L103" s="210">
        <v>1.0</v>
      </c>
      <c r="M103" s="210">
        <v>1.0</v>
      </c>
      <c r="N103" s="210">
        <v>1.0</v>
      </c>
      <c r="O103" s="210">
        <v>1.0</v>
      </c>
      <c r="P103" s="210">
        <v>1.0</v>
      </c>
      <c r="Q103" s="210">
        <v>1.0</v>
      </c>
      <c r="R103" s="210">
        <v>1.0</v>
      </c>
      <c r="S103" s="210">
        <v>1.0</v>
      </c>
      <c r="T103" s="210">
        <v>1.0</v>
      </c>
      <c r="U103" s="211"/>
      <c r="V103" s="211"/>
      <c r="W103" s="211"/>
      <c r="X103" s="211"/>
      <c r="Y103" s="211"/>
      <c r="Z103" s="211"/>
      <c r="AA103" s="211"/>
      <c r="AB103" s="211"/>
    </row>
    <row r="104" ht="17.25" customHeight="1">
      <c r="A104" s="203" t="s">
        <v>550</v>
      </c>
      <c r="B104" s="203" t="s">
        <v>551</v>
      </c>
      <c r="C104" s="207" t="s">
        <v>1333</v>
      </c>
      <c r="D104" s="207"/>
      <c r="E104" s="209">
        <v>1.0</v>
      </c>
      <c r="F104" s="209" t="s">
        <v>290</v>
      </c>
      <c r="G104" s="210">
        <v>1.0</v>
      </c>
      <c r="H104" s="210">
        <v>1.0</v>
      </c>
      <c r="I104" s="210">
        <v>1.0</v>
      </c>
      <c r="J104" s="210">
        <v>1.0</v>
      </c>
      <c r="K104" s="210">
        <v>1.0</v>
      </c>
      <c r="L104" s="210">
        <v>1.0</v>
      </c>
      <c r="M104" s="210">
        <v>1.0</v>
      </c>
      <c r="N104" s="210">
        <v>1.0</v>
      </c>
      <c r="O104" s="210">
        <v>1.0</v>
      </c>
      <c r="P104" s="210">
        <v>1.0</v>
      </c>
      <c r="Q104" s="210">
        <v>1.0</v>
      </c>
      <c r="R104" s="210">
        <v>1.0</v>
      </c>
      <c r="S104" s="210">
        <v>1.0</v>
      </c>
      <c r="T104" s="210">
        <v>1.0</v>
      </c>
      <c r="U104" s="211"/>
      <c r="V104" s="211"/>
      <c r="W104" s="211"/>
      <c r="X104" s="211"/>
      <c r="Y104" s="211"/>
      <c r="Z104" s="211"/>
      <c r="AA104" s="211"/>
      <c r="AB104" s="211"/>
    </row>
    <row r="105" ht="17.25" customHeight="1">
      <c r="A105" s="203" t="s">
        <v>555</v>
      </c>
      <c r="B105" s="203" t="s">
        <v>556</v>
      </c>
      <c r="C105" s="207" t="s">
        <v>1333</v>
      </c>
      <c r="D105" s="207"/>
      <c r="E105" s="209">
        <v>1.0</v>
      </c>
      <c r="F105" s="209" t="s">
        <v>290</v>
      </c>
      <c r="G105" s="210">
        <v>1.0</v>
      </c>
      <c r="H105" s="210">
        <v>1.0</v>
      </c>
      <c r="I105" s="210">
        <v>1.0</v>
      </c>
      <c r="J105" s="210">
        <v>1.0</v>
      </c>
      <c r="K105" s="210">
        <v>1.0</v>
      </c>
      <c r="L105" s="210">
        <v>1.0</v>
      </c>
      <c r="M105" s="210">
        <v>1.0</v>
      </c>
      <c r="N105" s="210">
        <v>1.0</v>
      </c>
      <c r="O105" s="210">
        <v>1.0</v>
      </c>
      <c r="P105" s="210">
        <v>1.0</v>
      </c>
      <c r="Q105" s="210">
        <v>1.0</v>
      </c>
      <c r="R105" s="210">
        <v>1.0</v>
      </c>
      <c r="S105" s="210">
        <v>1.0</v>
      </c>
      <c r="T105" s="210">
        <v>1.0</v>
      </c>
      <c r="U105" s="211"/>
      <c r="V105" s="211"/>
      <c r="W105" s="211"/>
      <c r="X105" s="211"/>
      <c r="Y105" s="211"/>
      <c r="Z105" s="211"/>
      <c r="AA105" s="211"/>
      <c r="AB105" s="211"/>
    </row>
    <row r="106" ht="17.25" customHeight="1">
      <c r="A106" s="203" t="s">
        <v>560</v>
      </c>
      <c r="B106" s="203" t="s">
        <v>561</v>
      </c>
      <c r="C106" s="207" t="s">
        <v>1333</v>
      </c>
      <c r="D106" s="207"/>
      <c r="E106" s="209">
        <v>1.0</v>
      </c>
      <c r="F106" s="209" t="s">
        <v>290</v>
      </c>
      <c r="G106" s="210">
        <v>1.0</v>
      </c>
      <c r="H106" s="210">
        <v>1.0</v>
      </c>
      <c r="I106" s="210">
        <v>1.0</v>
      </c>
      <c r="J106" s="210">
        <v>1.0</v>
      </c>
      <c r="K106" s="210">
        <v>1.0</v>
      </c>
      <c r="L106" s="210">
        <v>1.0</v>
      </c>
      <c r="M106" s="210">
        <v>1.0</v>
      </c>
      <c r="N106" s="210">
        <v>1.0</v>
      </c>
      <c r="O106" s="210">
        <v>1.0</v>
      </c>
      <c r="P106" s="210">
        <v>1.0</v>
      </c>
      <c r="Q106" s="210">
        <v>1.0</v>
      </c>
      <c r="R106" s="210">
        <v>1.0</v>
      </c>
      <c r="S106" s="210">
        <v>1.0</v>
      </c>
      <c r="T106" s="210">
        <v>1.0</v>
      </c>
      <c r="U106" s="211"/>
      <c r="V106" s="211"/>
      <c r="W106" s="211"/>
      <c r="X106" s="211"/>
      <c r="Y106" s="211"/>
      <c r="Z106" s="211"/>
      <c r="AA106" s="211"/>
      <c r="AB106" s="211"/>
    </row>
    <row r="107" ht="17.25" customHeight="1">
      <c r="A107" s="203" t="s">
        <v>568</v>
      </c>
      <c r="B107" s="203" t="s">
        <v>569</v>
      </c>
      <c r="C107" s="207" t="s">
        <v>1333</v>
      </c>
      <c r="D107" s="207"/>
      <c r="E107" s="209">
        <v>2.0</v>
      </c>
      <c r="F107" s="209" t="s">
        <v>290</v>
      </c>
      <c r="G107" s="217">
        <v>2.0</v>
      </c>
      <c r="H107" s="217">
        <v>2.0</v>
      </c>
      <c r="I107" s="217">
        <v>2.0</v>
      </c>
      <c r="J107" s="217">
        <v>2.0</v>
      </c>
      <c r="K107" s="217">
        <v>2.0</v>
      </c>
      <c r="L107" s="217">
        <v>2.0</v>
      </c>
      <c r="M107" s="217">
        <v>2.0</v>
      </c>
      <c r="N107" s="217">
        <v>2.0</v>
      </c>
      <c r="O107" s="217">
        <v>2.0</v>
      </c>
      <c r="P107" s="217">
        <v>2.0</v>
      </c>
      <c r="Q107" s="217">
        <v>2.0</v>
      </c>
      <c r="R107" s="217">
        <v>2.0</v>
      </c>
      <c r="S107" s="217">
        <v>2.0</v>
      </c>
      <c r="T107" s="217">
        <v>2.0</v>
      </c>
      <c r="U107" s="211"/>
      <c r="V107" s="211"/>
      <c r="W107" s="211"/>
      <c r="X107" s="211"/>
      <c r="Y107" s="211"/>
      <c r="Z107" s="211"/>
      <c r="AA107" s="211"/>
      <c r="AB107" s="211"/>
    </row>
    <row r="108" ht="17.25" customHeight="1">
      <c r="A108" s="203" t="s">
        <v>576</v>
      </c>
      <c r="B108" s="203" t="s">
        <v>577</v>
      </c>
      <c r="C108" s="207" t="s">
        <v>1333</v>
      </c>
      <c r="D108" s="207"/>
      <c r="E108" s="209">
        <v>1.0</v>
      </c>
      <c r="F108" s="209" t="s">
        <v>290</v>
      </c>
      <c r="G108" s="220">
        <v>1.0</v>
      </c>
      <c r="H108" s="220">
        <v>1.0</v>
      </c>
      <c r="I108" s="220">
        <v>1.0</v>
      </c>
      <c r="J108" s="220">
        <v>1.0</v>
      </c>
      <c r="K108" s="220">
        <v>1.0</v>
      </c>
      <c r="L108" s="220">
        <v>1.0</v>
      </c>
      <c r="M108" s="220">
        <v>1.0</v>
      </c>
      <c r="N108" s="220">
        <v>1.0</v>
      </c>
      <c r="O108" s="220">
        <v>1.0</v>
      </c>
      <c r="P108" s="220">
        <v>1.0</v>
      </c>
      <c r="Q108" s="220">
        <v>1.0</v>
      </c>
      <c r="R108" s="220">
        <v>1.0</v>
      </c>
      <c r="S108" s="220">
        <v>1.0</v>
      </c>
      <c r="T108" s="220">
        <v>1.0</v>
      </c>
      <c r="U108" s="211"/>
      <c r="V108" s="211"/>
      <c r="W108" s="211"/>
      <c r="X108" s="211"/>
      <c r="Y108" s="211"/>
      <c r="Z108" s="211"/>
      <c r="AA108" s="211"/>
      <c r="AB108" s="211"/>
    </row>
    <row r="109" ht="17.25" customHeight="1">
      <c r="A109" s="203" t="s">
        <v>580</v>
      </c>
      <c r="B109" s="203" t="s">
        <v>582</v>
      </c>
      <c r="C109" s="207" t="s">
        <v>1333</v>
      </c>
      <c r="D109" s="207"/>
      <c r="E109" s="209">
        <v>20.0</v>
      </c>
      <c r="F109" s="209" t="s">
        <v>290</v>
      </c>
      <c r="G109" s="210">
        <v>20.0</v>
      </c>
      <c r="H109" s="210">
        <v>20.0</v>
      </c>
      <c r="I109" s="210">
        <v>20.0</v>
      </c>
      <c r="J109" s="210">
        <v>20.0</v>
      </c>
      <c r="K109" s="210">
        <v>20.0</v>
      </c>
      <c r="L109" s="210">
        <v>20.0</v>
      </c>
      <c r="M109" s="210">
        <v>20.0</v>
      </c>
      <c r="N109" s="210">
        <v>20.0</v>
      </c>
      <c r="O109" s="210">
        <v>20.0</v>
      </c>
      <c r="P109" s="210">
        <v>20.0</v>
      </c>
      <c r="Q109" s="210">
        <v>20.0</v>
      </c>
      <c r="R109" s="210">
        <v>20.0</v>
      </c>
      <c r="S109" s="210">
        <v>20.0</v>
      </c>
      <c r="T109" s="210">
        <v>20.0</v>
      </c>
      <c r="U109" s="211"/>
      <c r="V109" s="211"/>
      <c r="W109" s="211"/>
      <c r="X109" s="211"/>
      <c r="Y109" s="211"/>
      <c r="Z109" s="211"/>
      <c r="AA109" s="211"/>
      <c r="AB109" s="211"/>
    </row>
    <row r="110" ht="17.25" customHeight="1">
      <c r="A110" s="203" t="s">
        <v>588</v>
      </c>
      <c r="B110" s="203" t="s">
        <v>589</v>
      </c>
      <c r="C110" s="207" t="s">
        <v>1333</v>
      </c>
      <c r="D110" s="207"/>
      <c r="E110" s="209">
        <v>1.0</v>
      </c>
      <c r="F110" s="209" t="s">
        <v>290</v>
      </c>
      <c r="G110" s="220">
        <v>1.0</v>
      </c>
      <c r="H110" s="220">
        <v>1.0</v>
      </c>
      <c r="I110" s="220">
        <v>1.0</v>
      </c>
      <c r="J110" s="220">
        <v>1.0</v>
      </c>
      <c r="K110" s="220">
        <v>1.0</v>
      </c>
      <c r="L110" s="220">
        <v>1.0</v>
      </c>
      <c r="M110" s="220">
        <v>1.0</v>
      </c>
      <c r="N110" s="220">
        <v>1.0</v>
      </c>
      <c r="O110" s="220">
        <v>1.0</v>
      </c>
      <c r="P110" s="220">
        <v>1.0</v>
      </c>
      <c r="Q110" s="220">
        <v>1.0</v>
      </c>
      <c r="R110" s="220">
        <v>1.0</v>
      </c>
      <c r="S110" s="220">
        <v>1.0</v>
      </c>
      <c r="T110" s="220">
        <v>1.0</v>
      </c>
      <c r="U110" s="211"/>
      <c r="V110" s="211"/>
      <c r="W110" s="211"/>
      <c r="X110" s="211"/>
      <c r="Y110" s="211"/>
      <c r="Z110" s="211"/>
      <c r="AA110" s="211"/>
      <c r="AB110" s="211"/>
    </row>
    <row r="111" ht="17.25" customHeight="1">
      <c r="A111" s="203" t="s">
        <v>32</v>
      </c>
      <c r="B111" s="203" t="s">
        <v>34</v>
      </c>
      <c r="C111" s="207">
        <v>0.9484536082474226</v>
      </c>
      <c r="D111" s="207"/>
      <c r="E111" s="213">
        <v>7.0</v>
      </c>
      <c r="F111" s="209" t="s">
        <v>290</v>
      </c>
      <c r="G111" s="217">
        <v>2.0</v>
      </c>
      <c r="H111" s="217">
        <v>2.0</v>
      </c>
      <c r="I111" s="217">
        <v>2.0</v>
      </c>
      <c r="J111" s="217">
        <v>2.0</v>
      </c>
      <c r="K111" s="217">
        <v>2.0</v>
      </c>
      <c r="L111" s="217">
        <v>2.0</v>
      </c>
      <c r="M111" s="217">
        <v>2.0</v>
      </c>
      <c r="N111" s="217">
        <v>2.0</v>
      </c>
      <c r="O111" s="217">
        <v>2.0</v>
      </c>
      <c r="P111" s="217">
        <v>2.0</v>
      </c>
      <c r="Q111" s="217">
        <v>2.0</v>
      </c>
      <c r="R111" s="217">
        <v>2.0</v>
      </c>
      <c r="S111" s="217">
        <v>2.0</v>
      </c>
      <c r="T111" s="217">
        <v>2.0</v>
      </c>
      <c r="U111" s="211"/>
      <c r="V111" s="211"/>
      <c r="W111" s="211"/>
      <c r="X111" s="211"/>
      <c r="Y111" s="211"/>
      <c r="Z111" s="211"/>
      <c r="AA111" s="211"/>
      <c r="AB111" s="211"/>
    </row>
    <row r="112" ht="17.25" customHeight="1">
      <c r="A112" s="203" t="s">
        <v>601</v>
      </c>
      <c r="B112" s="203" t="s">
        <v>602</v>
      </c>
      <c r="C112" s="207" t="s">
        <v>1333</v>
      </c>
      <c r="D112" s="207"/>
      <c r="E112" s="209">
        <v>2.0</v>
      </c>
      <c r="F112" s="209" t="s">
        <v>290</v>
      </c>
      <c r="G112" s="217">
        <v>2.0</v>
      </c>
      <c r="H112" s="217">
        <v>2.0</v>
      </c>
      <c r="I112" s="217">
        <v>2.0</v>
      </c>
      <c r="J112" s="217">
        <v>2.0</v>
      </c>
      <c r="K112" s="217">
        <v>2.0</v>
      </c>
      <c r="L112" s="217">
        <v>2.0</v>
      </c>
      <c r="M112" s="217">
        <v>2.0</v>
      </c>
      <c r="N112" s="217">
        <v>2.0</v>
      </c>
      <c r="O112" s="217">
        <v>2.0</v>
      </c>
      <c r="P112" s="217">
        <v>2.0</v>
      </c>
      <c r="Q112" s="217">
        <v>2.0</v>
      </c>
      <c r="R112" s="217">
        <v>2.0</v>
      </c>
      <c r="S112" s="217">
        <v>2.0</v>
      </c>
      <c r="T112" s="217">
        <v>2.0</v>
      </c>
      <c r="U112" s="211"/>
      <c r="V112" s="211"/>
      <c r="W112" s="211"/>
      <c r="X112" s="211"/>
      <c r="Y112" s="211"/>
      <c r="Z112" s="211"/>
      <c r="AA112" s="211"/>
      <c r="AB112" s="211"/>
    </row>
    <row r="113" ht="17.25" customHeight="1">
      <c r="A113" s="203" t="s">
        <v>607</v>
      </c>
      <c r="B113" s="203" t="s">
        <v>608</v>
      </c>
      <c r="C113" s="207" t="s">
        <v>1333</v>
      </c>
      <c r="D113" s="207"/>
      <c r="E113" s="209">
        <v>3.0</v>
      </c>
      <c r="F113" s="209" t="s">
        <v>290</v>
      </c>
      <c r="G113" s="210">
        <v>3.0</v>
      </c>
      <c r="H113" s="210">
        <v>3.0</v>
      </c>
      <c r="I113" s="210">
        <v>3.0</v>
      </c>
      <c r="J113" s="210">
        <v>3.0</v>
      </c>
      <c r="K113" s="210">
        <v>3.0</v>
      </c>
      <c r="L113" s="210">
        <v>3.0</v>
      </c>
      <c r="M113" s="210">
        <v>3.0</v>
      </c>
      <c r="N113" s="210">
        <v>3.0</v>
      </c>
      <c r="O113" s="210">
        <v>3.0</v>
      </c>
      <c r="P113" s="210">
        <v>3.0</v>
      </c>
      <c r="Q113" s="210">
        <v>3.0</v>
      </c>
      <c r="R113" s="210">
        <v>3.0</v>
      </c>
      <c r="S113" s="210">
        <v>3.0</v>
      </c>
      <c r="T113" s="210">
        <v>3.0</v>
      </c>
      <c r="U113" s="211"/>
      <c r="V113" s="211"/>
      <c r="W113" s="211"/>
      <c r="X113" s="211"/>
      <c r="Y113" s="211"/>
      <c r="Z113" s="211"/>
      <c r="AA113" s="211"/>
      <c r="AB113" s="211"/>
    </row>
    <row r="114" ht="17.25" customHeight="1">
      <c r="A114" s="203" t="s">
        <v>614</v>
      </c>
      <c r="B114" s="203" t="s">
        <v>615</v>
      </c>
      <c r="C114" s="207" t="s">
        <v>1333</v>
      </c>
      <c r="D114" s="207"/>
      <c r="E114" s="209">
        <v>5.0</v>
      </c>
      <c r="F114" s="209" t="s">
        <v>616</v>
      </c>
      <c r="G114" s="210">
        <v>5.0</v>
      </c>
      <c r="H114" s="210">
        <v>5.0</v>
      </c>
      <c r="I114" s="210">
        <v>5.0</v>
      </c>
      <c r="J114" s="210">
        <v>5.0</v>
      </c>
      <c r="K114" s="210">
        <v>5.0</v>
      </c>
      <c r="L114" s="210">
        <v>5.0</v>
      </c>
      <c r="M114" s="210">
        <v>5.0</v>
      </c>
      <c r="N114" s="210">
        <v>5.0</v>
      </c>
      <c r="O114" s="210">
        <v>5.0</v>
      </c>
      <c r="P114" s="210">
        <v>5.0</v>
      </c>
      <c r="Q114" s="210">
        <v>5.0</v>
      </c>
      <c r="R114" s="210">
        <v>5.0</v>
      </c>
      <c r="S114" s="210">
        <v>5.0</v>
      </c>
      <c r="T114" s="210">
        <v>5.0</v>
      </c>
      <c r="U114" s="211"/>
      <c r="V114" s="211"/>
      <c r="W114" s="211"/>
      <c r="X114" s="211"/>
      <c r="Y114" s="211"/>
      <c r="Z114" s="211"/>
      <c r="AA114" s="211"/>
      <c r="AB114" s="211"/>
    </row>
    <row r="115" ht="17.25" customHeight="1">
      <c r="A115" s="203" t="s">
        <v>622</v>
      </c>
      <c r="B115" s="203" t="s">
        <v>623</v>
      </c>
      <c r="C115" s="207">
        <v>6.185567010309279</v>
      </c>
      <c r="D115" s="207"/>
      <c r="E115" s="213">
        <v>20.0</v>
      </c>
      <c r="F115" s="209" t="s">
        <v>616</v>
      </c>
      <c r="G115" s="210">
        <v>25.0</v>
      </c>
      <c r="H115" s="210">
        <v>25.0</v>
      </c>
      <c r="I115" s="210">
        <v>25.0</v>
      </c>
      <c r="J115" s="210">
        <v>25.0</v>
      </c>
      <c r="K115" s="210">
        <v>25.0</v>
      </c>
      <c r="L115" s="210">
        <v>25.0</v>
      </c>
      <c r="M115" s="210">
        <v>25.0</v>
      </c>
      <c r="N115" s="210">
        <v>25.0</v>
      </c>
      <c r="O115" s="210">
        <v>25.0</v>
      </c>
      <c r="P115" s="212">
        <v>0.0</v>
      </c>
      <c r="Q115" s="212">
        <v>0.0</v>
      </c>
      <c r="R115" s="212">
        <v>0.0</v>
      </c>
      <c r="S115" s="212">
        <v>0.0</v>
      </c>
      <c r="T115" s="212">
        <v>0.0</v>
      </c>
      <c r="U115" s="211"/>
      <c r="V115" s="211"/>
      <c r="W115" s="211"/>
      <c r="X115" s="211"/>
      <c r="Y115" s="211"/>
      <c r="Z115" s="211"/>
      <c r="AA115" s="211"/>
      <c r="AB115" s="211"/>
    </row>
    <row r="116" ht="17.25" customHeight="1">
      <c r="A116" s="203" t="s">
        <v>626</v>
      </c>
      <c r="B116" s="203" t="s">
        <v>627</v>
      </c>
      <c r="C116" s="207" t="s">
        <v>1333</v>
      </c>
      <c r="D116" s="207"/>
      <c r="E116" s="209">
        <v>2.5</v>
      </c>
      <c r="F116" s="209" t="s">
        <v>616</v>
      </c>
      <c r="G116" s="210">
        <v>2.5</v>
      </c>
      <c r="H116" s="210">
        <v>2.5</v>
      </c>
      <c r="I116" s="210">
        <v>2.5</v>
      </c>
      <c r="J116" s="210">
        <v>2.5</v>
      </c>
      <c r="K116" s="210">
        <v>2.5</v>
      </c>
      <c r="L116" s="210">
        <v>2.5</v>
      </c>
      <c r="M116" s="210">
        <v>2.5</v>
      </c>
      <c r="N116" s="210">
        <v>2.5</v>
      </c>
      <c r="O116" s="210">
        <v>2.5</v>
      </c>
      <c r="P116" s="210">
        <v>2.5</v>
      </c>
      <c r="Q116" s="210">
        <v>2.5</v>
      </c>
      <c r="R116" s="210">
        <v>2.5</v>
      </c>
      <c r="S116" s="210">
        <v>2.5</v>
      </c>
      <c r="T116" s="210">
        <v>2.5</v>
      </c>
      <c r="U116" s="211"/>
      <c r="V116" s="211"/>
      <c r="W116" s="211"/>
      <c r="X116" s="211"/>
      <c r="Y116" s="211"/>
      <c r="Z116" s="211"/>
      <c r="AA116" s="211"/>
      <c r="AB116" s="211"/>
    </row>
    <row r="117" ht="17.25" customHeight="1">
      <c r="A117" s="203" t="s">
        <v>21</v>
      </c>
      <c r="B117" s="203" t="s">
        <v>23</v>
      </c>
      <c r="C117" s="207">
        <v>13.608247422680412</v>
      </c>
      <c r="D117" s="207"/>
      <c r="E117" s="213">
        <v>20.0</v>
      </c>
      <c r="F117" s="209" t="s">
        <v>616</v>
      </c>
      <c r="G117" s="210">
        <v>20.0</v>
      </c>
      <c r="H117" s="210">
        <v>20.0</v>
      </c>
      <c r="I117" s="210">
        <v>20.0</v>
      </c>
      <c r="J117" s="210">
        <v>20.0</v>
      </c>
      <c r="K117" s="210">
        <v>20.0</v>
      </c>
      <c r="L117" s="210">
        <v>20.0</v>
      </c>
      <c r="M117" s="212">
        <v>0.0</v>
      </c>
      <c r="N117" s="212">
        <v>0.0</v>
      </c>
      <c r="O117" s="212">
        <v>0.0</v>
      </c>
      <c r="P117" s="212">
        <v>0.0</v>
      </c>
      <c r="Q117" s="210">
        <v>20.0</v>
      </c>
      <c r="R117" s="210">
        <v>20.0</v>
      </c>
      <c r="S117" s="212">
        <v>0.0</v>
      </c>
      <c r="T117" s="212">
        <v>0.0</v>
      </c>
      <c r="U117" s="211"/>
      <c r="V117" s="211"/>
      <c r="W117" s="211"/>
      <c r="X117" s="211"/>
      <c r="Y117" s="211"/>
      <c r="Z117" s="211"/>
      <c r="AA117" s="211"/>
      <c r="AB117" s="211"/>
    </row>
    <row r="118" ht="17.25" customHeight="1">
      <c r="A118" s="203" t="s">
        <v>1819</v>
      </c>
      <c r="B118" s="203" t="s">
        <v>1820</v>
      </c>
      <c r="C118" s="207" t="s">
        <v>1333</v>
      </c>
      <c r="D118" s="207"/>
      <c r="E118" s="209">
        <v>0.0</v>
      </c>
      <c r="F118" s="209" t="s">
        <v>290</v>
      </c>
      <c r="G118" s="212">
        <v>0.0</v>
      </c>
      <c r="H118" s="212">
        <v>0.0</v>
      </c>
      <c r="I118" s="212">
        <v>0.0</v>
      </c>
      <c r="J118" s="212">
        <v>0.0</v>
      </c>
      <c r="K118" s="212">
        <v>0.0</v>
      </c>
      <c r="L118" s="212">
        <v>0.0</v>
      </c>
      <c r="M118" s="212">
        <v>0.0</v>
      </c>
      <c r="N118" s="212">
        <v>0.0</v>
      </c>
      <c r="O118" s="212">
        <v>0.0</v>
      </c>
      <c r="P118" s="212">
        <v>0.0</v>
      </c>
      <c r="Q118" s="212">
        <v>0.0</v>
      </c>
      <c r="R118" s="212">
        <v>0.0</v>
      </c>
      <c r="S118" s="212">
        <v>0.0</v>
      </c>
      <c r="T118" s="212">
        <v>0.0</v>
      </c>
      <c r="U118" s="211"/>
      <c r="V118" s="211"/>
      <c r="W118" s="211"/>
      <c r="X118" s="211"/>
      <c r="Y118" s="211"/>
      <c r="Z118" s="211"/>
      <c r="AA118" s="211"/>
      <c r="AB118" s="211"/>
    </row>
    <row r="119" ht="17.25" customHeight="1">
      <c r="A119" s="203" t="s">
        <v>640</v>
      </c>
      <c r="B119" s="203" t="s">
        <v>641</v>
      </c>
      <c r="C119" s="207">
        <v>0.24742268041237114</v>
      </c>
      <c r="D119" s="207"/>
      <c r="E119" s="213">
        <v>3.0</v>
      </c>
      <c r="F119" s="209" t="s">
        <v>643</v>
      </c>
      <c r="G119" s="217">
        <v>2.0</v>
      </c>
      <c r="H119" s="217">
        <v>2.0</v>
      </c>
      <c r="I119" s="217">
        <v>2.0</v>
      </c>
      <c r="J119" s="217">
        <v>2.0</v>
      </c>
      <c r="K119" s="217">
        <v>2.0</v>
      </c>
      <c r="L119" s="217">
        <v>2.0</v>
      </c>
      <c r="M119" s="217">
        <v>2.0</v>
      </c>
      <c r="N119" s="217">
        <v>2.0</v>
      </c>
      <c r="O119" s="217">
        <v>2.0</v>
      </c>
      <c r="P119" s="217">
        <v>2.0</v>
      </c>
      <c r="Q119" s="217">
        <v>2.0</v>
      </c>
      <c r="R119" s="217">
        <v>2.0</v>
      </c>
      <c r="S119" s="217">
        <v>2.0</v>
      </c>
      <c r="T119" s="217">
        <v>2.0</v>
      </c>
      <c r="U119" s="211"/>
      <c r="V119" s="211"/>
      <c r="W119" s="211"/>
      <c r="X119" s="211"/>
      <c r="Y119" s="211"/>
      <c r="Z119" s="211"/>
      <c r="AA119" s="211"/>
      <c r="AB119" s="211"/>
    </row>
    <row r="120" ht="17.25" customHeight="1">
      <c r="A120" s="203" t="s">
        <v>647</v>
      </c>
      <c r="B120" s="203" t="s">
        <v>648</v>
      </c>
      <c r="C120" s="207">
        <v>0.16494845360824742</v>
      </c>
      <c r="D120" s="207"/>
      <c r="E120" s="213">
        <v>2.0</v>
      </c>
      <c r="F120" s="209" t="s">
        <v>290</v>
      </c>
      <c r="G120" s="220">
        <v>1.0</v>
      </c>
      <c r="H120" s="220">
        <v>1.0</v>
      </c>
      <c r="I120" s="220">
        <v>1.0</v>
      </c>
      <c r="J120" s="220">
        <v>1.0</v>
      </c>
      <c r="K120" s="220">
        <v>1.0</v>
      </c>
      <c r="L120" s="220">
        <v>1.0</v>
      </c>
      <c r="M120" s="220">
        <v>1.0</v>
      </c>
      <c r="N120" s="220">
        <v>1.0</v>
      </c>
      <c r="O120" s="220">
        <v>1.0</v>
      </c>
      <c r="P120" s="220">
        <v>1.0</v>
      </c>
      <c r="Q120" s="220">
        <v>1.0</v>
      </c>
      <c r="R120" s="220">
        <v>1.0</v>
      </c>
      <c r="S120" s="220">
        <v>1.0</v>
      </c>
      <c r="T120" s="220">
        <v>1.0</v>
      </c>
      <c r="U120" s="211"/>
      <c r="V120" s="211"/>
      <c r="W120" s="211"/>
      <c r="X120" s="211"/>
      <c r="Y120" s="211"/>
      <c r="Z120" s="211"/>
      <c r="AA120" s="211"/>
      <c r="AB120" s="211"/>
    </row>
    <row r="121" ht="17.25" customHeight="1">
      <c r="A121" s="203" t="s">
        <v>658</v>
      </c>
      <c r="B121" s="203" t="s">
        <v>659</v>
      </c>
      <c r="C121" s="207">
        <v>0.20618556701030927</v>
      </c>
      <c r="D121" s="207"/>
      <c r="E121" s="213">
        <v>6.0</v>
      </c>
      <c r="F121" s="209" t="s">
        <v>661</v>
      </c>
      <c r="G121" s="210">
        <v>10.0</v>
      </c>
      <c r="H121" s="210">
        <v>10.0</v>
      </c>
      <c r="I121" s="210">
        <v>10.0</v>
      </c>
      <c r="J121" s="210">
        <v>10.0</v>
      </c>
      <c r="K121" s="210">
        <v>10.0</v>
      </c>
      <c r="L121" s="210">
        <v>10.0</v>
      </c>
      <c r="M121" s="210">
        <v>10.0</v>
      </c>
      <c r="N121" s="210">
        <v>10.0</v>
      </c>
      <c r="O121" s="210">
        <v>10.0</v>
      </c>
      <c r="P121" s="210">
        <v>10.0</v>
      </c>
      <c r="Q121" s="210">
        <v>10.0</v>
      </c>
      <c r="R121" s="210">
        <v>10.0</v>
      </c>
      <c r="S121" s="210">
        <v>10.0</v>
      </c>
      <c r="T121" s="210">
        <v>10.0</v>
      </c>
      <c r="U121" s="211"/>
      <c r="V121" s="211"/>
      <c r="W121" s="211"/>
      <c r="X121" s="211"/>
      <c r="Y121" s="211"/>
      <c r="Z121" s="211"/>
      <c r="AA121" s="211"/>
      <c r="AB121" s="211"/>
    </row>
    <row r="122" ht="17.25" customHeight="1">
      <c r="A122" s="203" t="s">
        <v>667</v>
      </c>
      <c r="B122" s="203" t="s">
        <v>668</v>
      </c>
      <c r="C122" s="207">
        <v>0.9896907216494846</v>
      </c>
      <c r="D122" s="207"/>
      <c r="E122" s="213">
        <v>8.0</v>
      </c>
      <c r="F122" s="209" t="s">
        <v>661</v>
      </c>
      <c r="G122" s="210">
        <v>12.0</v>
      </c>
      <c r="H122" s="210">
        <v>12.0</v>
      </c>
      <c r="I122" s="210">
        <v>12.0</v>
      </c>
      <c r="J122" s="210">
        <v>12.0</v>
      </c>
      <c r="K122" s="210">
        <v>12.0</v>
      </c>
      <c r="L122" s="210">
        <v>12.0</v>
      </c>
      <c r="M122" s="210">
        <v>12.0</v>
      </c>
      <c r="N122" s="210">
        <v>12.0</v>
      </c>
      <c r="O122" s="210">
        <v>12.0</v>
      </c>
      <c r="P122" s="210">
        <v>6.0</v>
      </c>
      <c r="Q122" s="210">
        <v>6.0</v>
      </c>
      <c r="R122" s="210">
        <v>6.0</v>
      </c>
      <c r="S122" s="210">
        <v>6.0</v>
      </c>
      <c r="T122" s="210">
        <v>6.0</v>
      </c>
      <c r="U122" s="211"/>
      <c r="V122" s="211"/>
      <c r="W122" s="211"/>
      <c r="X122" s="211"/>
      <c r="Y122" s="211"/>
      <c r="Z122" s="211"/>
      <c r="AA122" s="211"/>
      <c r="AB122" s="211"/>
    </row>
    <row r="123" ht="17.25" customHeight="1">
      <c r="A123" s="203" t="s">
        <v>675</v>
      </c>
      <c r="B123" s="203" t="s">
        <v>676</v>
      </c>
      <c r="C123" s="207" t="s">
        <v>1333</v>
      </c>
      <c r="D123" s="207"/>
      <c r="E123" s="209">
        <v>30.0</v>
      </c>
      <c r="F123" s="209" t="s">
        <v>661</v>
      </c>
      <c r="G123" s="210">
        <v>30.0</v>
      </c>
      <c r="H123" s="210">
        <v>30.0</v>
      </c>
      <c r="I123" s="210">
        <v>30.0</v>
      </c>
      <c r="J123" s="210">
        <v>30.0</v>
      </c>
      <c r="K123" s="210">
        <v>30.0</v>
      </c>
      <c r="L123" s="210">
        <v>30.0</v>
      </c>
      <c r="M123" s="210">
        <v>30.0</v>
      </c>
      <c r="N123" s="210">
        <v>30.0</v>
      </c>
      <c r="O123" s="210">
        <v>30.0</v>
      </c>
      <c r="P123" s="210">
        <v>30.0</v>
      </c>
      <c r="Q123" s="210">
        <v>30.0</v>
      </c>
      <c r="R123" s="210">
        <v>30.0</v>
      </c>
      <c r="S123" s="210">
        <v>30.0</v>
      </c>
      <c r="T123" s="210">
        <v>30.0</v>
      </c>
      <c r="U123" s="211"/>
      <c r="V123" s="211"/>
      <c r="W123" s="211"/>
      <c r="X123" s="211"/>
      <c r="Y123" s="211"/>
      <c r="Z123" s="211"/>
      <c r="AA123" s="211"/>
      <c r="AB123" s="211"/>
    </row>
    <row r="124" ht="17.25" customHeight="1">
      <c r="A124" s="203" t="s">
        <v>681</v>
      </c>
      <c r="B124" s="203" t="s">
        <v>683</v>
      </c>
      <c r="C124" s="207" t="s">
        <v>1333</v>
      </c>
      <c r="D124" s="207"/>
      <c r="E124" s="209">
        <v>8.0</v>
      </c>
      <c r="F124" s="209" t="s">
        <v>661</v>
      </c>
      <c r="G124" s="217">
        <v>8.0</v>
      </c>
      <c r="H124" s="217">
        <v>8.0</v>
      </c>
      <c r="I124" s="217">
        <v>8.0</v>
      </c>
      <c r="J124" s="217">
        <v>8.0</v>
      </c>
      <c r="K124" s="217">
        <v>8.0</v>
      </c>
      <c r="L124" s="217">
        <v>8.0</v>
      </c>
      <c r="M124" s="217">
        <v>8.0</v>
      </c>
      <c r="N124" s="217">
        <v>8.0</v>
      </c>
      <c r="O124" s="217">
        <v>8.0</v>
      </c>
      <c r="P124" s="217">
        <v>8.0</v>
      </c>
      <c r="Q124" s="217">
        <v>8.0</v>
      </c>
      <c r="R124" s="217">
        <v>8.0</v>
      </c>
      <c r="S124" s="217">
        <v>8.0</v>
      </c>
      <c r="T124" s="217">
        <v>8.0</v>
      </c>
      <c r="U124" s="211"/>
      <c r="V124" s="211"/>
      <c r="W124" s="211"/>
      <c r="X124" s="211"/>
      <c r="Y124" s="211"/>
      <c r="Z124" s="211"/>
      <c r="AA124" s="211"/>
      <c r="AB124" s="211"/>
    </row>
    <row r="125" ht="17.25" customHeight="1">
      <c r="A125" s="203" t="s">
        <v>692</v>
      </c>
      <c r="B125" s="203" t="s">
        <v>693</v>
      </c>
      <c r="C125" s="207">
        <v>0.041237113402061855</v>
      </c>
      <c r="D125" s="207"/>
      <c r="E125" s="213">
        <v>1.0</v>
      </c>
      <c r="F125" s="209" t="s">
        <v>661</v>
      </c>
      <c r="G125" s="212">
        <v>2.0</v>
      </c>
      <c r="H125" s="212">
        <v>2.0</v>
      </c>
      <c r="I125" s="212">
        <v>2.0</v>
      </c>
      <c r="J125" s="212">
        <v>2.0</v>
      </c>
      <c r="K125" s="212">
        <v>2.0</v>
      </c>
      <c r="L125" s="212">
        <v>2.0</v>
      </c>
      <c r="M125" s="212">
        <v>2.0</v>
      </c>
      <c r="N125" s="212">
        <v>2.0</v>
      </c>
      <c r="O125" s="212">
        <v>2.0</v>
      </c>
      <c r="P125" s="212">
        <v>2.0</v>
      </c>
      <c r="Q125" s="212">
        <v>2.0</v>
      </c>
      <c r="R125" s="212">
        <v>2.0</v>
      </c>
      <c r="S125" s="212">
        <v>1.0</v>
      </c>
      <c r="T125" s="212">
        <v>1.0</v>
      </c>
      <c r="U125" s="211"/>
      <c r="V125" s="211"/>
      <c r="W125" s="211"/>
      <c r="X125" s="211"/>
      <c r="Y125" s="211"/>
      <c r="Z125" s="211"/>
      <c r="AA125" s="211"/>
      <c r="AB125" s="211"/>
    </row>
    <row r="126" ht="17.25" customHeight="1">
      <c r="A126" s="203" t="s">
        <v>654</v>
      </c>
      <c r="B126" s="203" t="s">
        <v>655</v>
      </c>
      <c r="C126" s="207">
        <v>0.41237113402061853</v>
      </c>
      <c r="D126" s="207"/>
      <c r="E126" s="213">
        <v>5.0</v>
      </c>
      <c r="F126" s="209" t="s">
        <v>290</v>
      </c>
      <c r="G126" s="210">
        <v>5.0</v>
      </c>
      <c r="H126" s="210">
        <v>5.0</v>
      </c>
      <c r="I126" s="210">
        <v>5.0</v>
      </c>
      <c r="J126" s="210">
        <v>5.0</v>
      </c>
      <c r="K126" s="210">
        <v>5.0</v>
      </c>
      <c r="L126" s="210">
        <v>5.0</v>
      </c>
      <c r="M126" s="210">
        <v>5.0</v>
      </c>
      <c r="N126" s="210">
        <v>5.0</v>
      </c>
      <c r="O126" s="210">
        <v>5.0</v>
      </c>
      <c r="P126" s="210">
        <v>5.0</v>
      </c>
      <c r="Q126" s="210">
        <v>5.0</v>
      </c>
      <c r="R126" s="210">
        <v>5.0</v>
      </c>
      <c r="S126" s="210">
        <v>5.0</v>
      </c>
      <c r="T126" s="210">
        <v>5.0</v>
      </c>
      <c r="U126" s="211"/>
      <c r="V126" s="211"/>
      <c r="W126" s="211"/>
      <c r="X126" s="211"/>
      <c r="Y126" s="211"/>
      <c r="Z126" s="211"/>
      <c r="AA126" s="211"/>
      <c r="AB126" s="211"/>
    </row>
    <row r="127" ht="17.25" customHeight="1">
      <c r="A127" s="203" t="s">
        <v>271</v>
      </c>
      <c r="B127" s="203" t="s">
        <v>277</v>
      </c>
      <c r="C127" s="207">
        <v>0.9896907216494846</v>
      </c>
      <c r="D127" s="207"/>
      <c r="E127" s="213">
        <v>45.0</v>
      </c>
      <c r="F127" s="209" t="s">
        <v>661</v>
      </c>
      <c r="G127" s="210">
        <v>18.0</v>
      </c>
      <c r="H127" s="210">
        <v>18.0</v>
      </c>
      <c r="I127" s="210">
        <v>18.0</v>
      </c>
      <c r="J127" s="210">
        <v>18.0</v>
      </c>
      <c r="K127" s="210">
        <v>18.0</v>
      </c>
      <c r="L127" s="210">
        <v>18.0</v>
      </c>
      <c r="M127" s="210">
        <v>18.0</v>
      </c>
      <c r="N127" s="210">
        <v>18.0</v>
      </c>
      <c r="O127" s="210">
        <v>18.0</v>
      </c>
      <c r="P127" s="210">
        <v>24.0</v>
      </c>
      <c r="Q127" s="210">
        <v>24.0</v>
      </c>
      <c r="R127" s="210">
        <v>24.0</v>
      </c>
      <c r="S127" s="210">
        <v>24.0</v>
      </c>
      <c r="T127" s="210">
        <v>24.0</v>
      </c>
      <c r="U127" s="211"/>
      <c r="V127" s="211"/>
      <c r="W127" s="211"/>
      <c r="X127" s="211"/>
      <c r="Y127" s="211"/>
      <c r="Z127" s="211"/>
      <c r="AA127" s="211"/>
      <c r="AB127" s="211"/>
    </row>
    <row r="128" ht="17.25" customHeight="1">
      <c r="A128" s="203" t="s">
        <v>710</v>
      </c>
      <c r="B128" s="203" t="s">
        <v>711</v>
      </c>
      <c r="C128" s="207">
        <v>12.371134020618557</v>
      </c>
      <c r="D128" s="207"/>
      <c r="E128" s="213">
        <v>50.0</v>
      </c>
      <c r="F128" s="209" t="s">
        <v>290</v>
      </c>
      <c r="G128" s="212">
        <v>0.0</v>
      </c>
      <c r="H128" s="212">
        <v>0.0</v>
      </c>
      <c r="I128" s="212">
        <v>0.0</v>
      </c>
      <c r="J128" s="212">
        <v>0.0</v>
      </c>
      <c r="K128" s="212">
        <v>0.0</v>
      </c>
      <c r="L128" s="212">
        <v>0.0</v>
      </c>
      <c r="M128" s="212">
        <v>0.0</v>
      </c>
      <c r="N128" s="212">
        <v>0.0</v>
      </c>
      <c r="O128" s="212">
        <v>0.0</v>
      </c>
      <c r="P128" s="210">
        <v>100.0</v>
      </c>
      <c r="Q128" s="210">
        <v>100.0</v>
      </c>
      <c r="R128" s="210">
        <v>100.0</v>
      </c>
      <c r="S128" s="210">
        <v>100.0</v>
      </c>
      <c r="T128" s="210">
        <v>100.0</v>
      </c>
      <c r="U128" s="211"/>
      <c r="V128" s="211"/>
      <c r="W128" s="211"/>
      <c r="X128" s="211"/>
      <c r="Y128" s="211"/>
      <c r="Z128" s="211"/>
      <c r="AA128" s="211"/>
      <c r="AB128" s="211"/>
    </row>
    <row r="129" ht="17.25" customHeight="1">
      <c r="A129" s="203" t="s">
        <v>716</v>
      </c>
      <c r="B129" s="203" t="s">
        <v>718</v>
      </c>
      <c r="C129" s="207">
        <v>2.0618556701030926</v>
      </c>
      <c r="D129" s="207"/>
      <c r="E129" s="213">
        <v>50.0</v>
      </c>
      <c r="F129" s="209" t="s">
        <v>290</v>
      </c>
      <c r="G129" s="210">
        <v>50.0</v>
      </c>
      <c r="H129" s="210">
        <v>50.0</v>
      </c>
      <c r="I129" s="210">
        <v>50.0</v>
      </c>
      <c r="J129" s="210">
        <v>50.0</v>
      </c>
      <c r="K129" s="210">
        <v>50.0</v>
      </c>
      <c r="L129" s="210">
        <v>50.0</v>
      </c>
      <c r="M129" s="210">
        <v>50.0</v>
      </c>
      <c r="N129" s="210">
        <v>50.0</v>
      </c>
      <c r="O129" s="210">
        <v>50.0</v>
      </c>
      <c r="P129" s="210">
        <v>50.0</v>
      </c>
      <c r="Q129" s="210">
        <v>50.0</v>
      </c>
      <c r="R129" s="210">
        <v>50.0</v>
      </c>
      <c r="S129" s="210">
        <v>50.0</v>
      </c>
      <c r="T129" s="210">
        <v>50.0</v>
      </c>
      <c r="U129" s="211"/>
      <c r="V129" s="211"/>
      <c r="W129" s="211"/>
      <c r="X129" s="211"/>
      <c r="Y129" s="211"/>
      <c r="Z129" s="211"/>
      <c r="AA129" s="211"/>
      <c r="AB129" s="211"/>
    </row>
    <row r="130" ht="17.25" customHeight="1">
      <c r="A130" s="203" t="s">
        <v>222</v>
      </c>
      <c r="B130" s="203" t="s">
        <v>230</v>
      </c>
      <c r="C130" s="207">
        <v>5.690721649484536</v>
      </c>
      <c r="D130" s="207"/>
      <c r="E130" s="213">
        <v>60.0</v>
      </c>
      <c r="F130" s="209" t="s">
        <v>661</v>
      </c>
      <c r="G130" s="210">
        <v>32.0</v>
      </c>
      <c r="H130" s="210">
        <v>28.0</v>
      </c>
      <c r="I130" s="210">
        <v>28.0</v>
      </c>
      <c r="J130" s="210">
        <v>28.0</v>
      </c>
      <c r="K130" s="210">
        <v>28.0</v>
      </c>
      <c r="L130" s="210">
        <v>28.0</v>
      </c>
      <c r="M130" s="210">
        <v>28.0</v>
      </c>
      <c r="N130" s="210">
        <v>28.0</v>
      </c>
      <c r="O130" s="210">
        <v>26.0</v>
      </c>
      <c r="P130" s="210">
        <v>26.0</v>
      </c>
      <c r="Q130" s="210">
        <v>24.0</v>
      </c>
      <c r="R130" s="210">
        <v>20.0</v>
      </c>
      <c r="S130" s="210">
        <v>20.0</v>
      </c>
      <c r="T130" s="210">
        <v>20.0</v>
      </c>
      <c r="U130" s="211"/>
      <c r="V130" s="211"/>
      <c r="W130" s="211"/>
      <c r="X130" s="211"/>
      <c r="Y130" s="211"/>
      <c r="Z130" s="211"/>
      <c r="AA130" s="211"/>
      <c r="AB130" s="211"/>
    </row>
    <row r="131" ht="17.25" customHeight="1">
      <c r="A131" s="203" t="s">
        <v>312</v>
      </c>
      <c r="B131" s="203" t="s">
        <v>319</v>
      </c>
      <c r="C131" s="207">
        <v>1.0309278350515463</v>
      </c>
      <c r="D131" s="207"/>
      <c r="E131" s="213">
        <v>17.0</v>
      </c>
      <c r="F131" s="209" t="s">
        <v>661</v>
      </c>
      <c r="G131" s="210">
        <v>12.0</v>
      </c>
      <c r="H131" s="210">
        <v>12.0</v>
      </c>
      <c r="I131" s="210">
        <v>12.0</v>
      </c>
      <c r="J131" s="210">
        <v>12.0</v>
      </c>
      <c r="K131" s="210">
        <v>12.0</v>
      </c>
      <c r="L131" s="210">
        <v>12.0</v>
      </c>
      <c r="M131" s="210">
        <v>12.0</v>
      </c>
      <c r="N131" s="210">
        <v>12.0</v>
      </c>
      <c r="O131" s="210">
        <v>12.0</v>
      </c>
      <c r="P131" s="210">
        <v>12.0</v>
      </c>
      <c r="Q131" s="210">
        <v>12.0</v>
      </c>
      <c r="R131" s="210">
        <v>12.0</v>
      </c>
      <c r="S131" s="217">
        <v>8.0</v>
      </c>
      <c r="T131" s="217">
        <v>8.0</v>
      </c>
      <c r="U131" s="211"/>
      <c r="V131" s="211"/>
      <c r="W131" s="211"/>
      <c r="X131" s="211"/>
      <c r="Y131" s="211"/>
      <c r="Z131" s="211"/>
      <c r="AA131" s="211"/>
      <c r="AB131" s="211"/>
    </row>
    <row r="132" ht="17.25" customHeight="1">
      <c r="A132" s="203" t="s">
        <v>359</v>
      </c>
      <c r="B132" s="203" t="s">
        <v>370</v>
      </c>
      <c r="C132" s="207">
        <v>7.134020618556701</v>
      </c>
      <c r="D132" s="207"/>
      <c r="E132" s="213">
        <v>100.0</v>
      </c>
      <c r="F132" s="209" t="s">
        <v>661</v>
      </c>
      <c r="G132" s="210">
        <v>5.0</v>
      </c>
      <c r="H132" s="210">
        <v>5.0</v>
      </c>
      <c r="I132" s="212">
        <v>0.0</v>
      </c>
      <c r="J132" s="212">
        <v>0.0</v>
      </c>
      <c r="K132" s="210">
        <v>250.0</v>
      </c>
      <c r="L132" s="210">
        <v>250.0</v>
      </c>
      <c r="M132" s="210">
        <v>235.0</v>
      </c>
      <c r="N132" s="210">
        <v>235.0</v>
      </c>
      <c r="O132" s="210">
        <v>235.0</v>
      </c>
      <c r="P132" s="210">
        <v>235.0</v>
      </c>
      <c r="Q132" s="210">
        <v>235.0</v>
      </c>
      <c r="R132" s="210">
        <v>230.0</v>
      </c>
      <c r="S132" s="210">
        <v>230.0</v>
      </c>
      <c r="T132" s="210">
        <v>230.0</v>
      </c>
      <c r="U132" s="211"/>
      <c r="V132" s="211"/>
      <c r="W132" s="211"/>
      <c r="X132" s="211"/>
      <c r="Y132" s="211"/>
      <c r="Z132" s="211"/>
      <c r="AA132" s="211"/>
      <c r="AB132" s="211"/>
    </row>
    <row r="133" ht="17.25" customHeight="1">
      <c r="A133" s="203" t="s">
        <v>748</v>
      </c>
      <c r="B133" s="203" t="s">
        <v>749</v>
      </c>
      <c r="C133" s="207">
        <v>0.08247422680412371</v>
      </c>
      <c r="D133" s="207"/>
      <c r="E133" s="213">
        <v>1.0</v>
      </c>
      <c r="F133" s="209" t="s">
        <v>661</v>
      </c>
      <c r="G133" s="210">
        <v>2.0</v>
      </c>
      <c r="H133" s="210">
        <v>1.0</v>
      </c>
      <c r="I133" s="210">
        <v>1.0</v>
      </c>
      <c r="J133" s="210">
        <v>1.0</v>
      </c>
      <c r="K133" s="210">
        <v>1.0</v>
      </c>
      <c r="L133" s="210">
        <v>1.0</v>
      </c>
      <c r="M133" s="210">
        <v>1.0</v>
      </c>
      <c r="N133" s="210">
        <v>1.0</v>
      </c>
      <c r="O133" s="210">
        <v>1.0</v>
      </c>
      <c r="P133" s="210">
        <v>1.0</v>
      </c>
      <c r="Q133" s="210">
        <v>1.0</v>
      </c>
      <c r="R133" s="210">
        <v>1.0</v>
      </c>
      <c r="S133" s="210">
        <v>1.0</v>
      </c>
      <c r="T133" s="212">
        <v>0.0</v>
      </c>
      <c r="U133" s="211"/>
      <c r="V133" s="211"/>
      <c r="W133" s="211"/>
      <c r="X133" s="211"/>
      <c r="Y133" s="211"/>
      <c r="Z133" s="211"/>
      <c r="AA133" s="211"/>
      <c r="AB133" s="211"/>
    </row>
    <row r="134" ht="17.25" customHeight="1">
      <c r="A134" s="203" t="s">
        <v>756</v>
      </c>
      <c r="B134" s="203" t="s">
        <v>757</v>
      </c>
      <c r="C134" s="207" t="s">
        <v>1333</v>
      </c>
      <c r="D134" s="207"/>
      <c r="E134" s="209">
        <v>2.0</v>
      </c>
      <c r="F134" s="209" t="s">
        <v>643</v>
      </c>
      <c r="G134" s="210">
        <v>2.0</v>
      </c>
      <c r="H134" s="210">
        <v>2.0</v>
      </c>
      <c r="I134" s="210">
        <v>2.0</v>
      </c>
      <c r="J134" s="210">
        <v>2.0</v>
      </c>
      <c r="K134" s="210">
        <v>2.0</v>
      </c>
      <c r="L134" s="210">
        <v>2.0</v>
      </c>
      <c r="M134" s="210">
        <v>2.0</v>
      </c>
      <c r="N134" s="210">
        <v>2.0</v>
      </c>
      <c r="O134" s="210">
        <v>2.0</v>
      </c>
      <c r="P134" s="210">
        <v>2.0</v>
      </c>
      <c r="Q134" s="210">
        <v>2.0</v>
      </c>
      <c r="R134" s="210">
        <v>2.0</v>
      </c>
      <c r="S134" s="210">
        <v>2.0</v>
      </c>
      <c r="T134" s="210">
        <v>2.0</v>
      </c>
      <c r="U134" s="211"/>
      <c r="V134" s="211"/>
      <c r="W134" s="211"/>
      <c r="X134" s="211"/>
      <c r="Y134" s="211"/>
      <c r="Z134" s="211"/>
      <c r="AA134" s="211"/>
      <c r="AB134" s="211"/>
    </row>
    <row r="135" ht="17.25" customHeight="1">
      <c r="A135" s="203" t="s">
        <v>892</v>
      </c>
      <c r="B135" s="203" t="s">
        <v>893</v>
      </c>
      <c r="C135" s="207">
        <v>4.948453608247423</v>
      </c>
      <c r="D135" s="207"/>
      <c r="E135" s="213">
        <v>20.0</v>
      </c>
      <c r="F135" s="209" t="s">
        <v>290</v>
      </c>
      <c r="G135" s="212">
        <v>0.0</v>
      </c>
      <c r="H135" s="212">
        <v>0.0</v>
      </c>
      <c r="I135" s="212">
        <v>0.0</v>
      </c>
      <c r="J135" s="212">
        <v>0.0</v>
      </c>
      <c r="K135" s="212">
        <v>0.0</v>
      </c>
      <c r="L135" s="210">
        <v>40.0</v>
      </c>
      <c r="M135" s="210">
        <v>40.0</v>
      </c>
      <c r="N135" s="210">
        <v>40.0</v>
      </c>
      <c r="O135" s="210">
        <v>40.0</v>
      </c>
      <c r="P135" s="210">
        <v>20.0</v>
      </c>
      <c r="Q135" s="212">
        <v>0.0</v>
      </c>
      <c r="R135" s="212">
        <v>0.0</v>
      </c>
      <c r="S135" s="212">
        <v>0.0</v>
      </c>
      <c r="T135" s="212">
        <v>0.0</v>
      </c>
      <c r="U135" s="211"/>
      <c r="V135" s="211"/>
      <c r="W135" s="211"/>
      <c r="X135" s="211"/>
      <c r="Y135" s="211"/>
      <c r="Z135" s="211"/>
      <c r="AA135" s="211"/>
      <c r="AB135" s="211"/>
    </row>
    <row r="136" ht="17.25" customHeight="1">
      <c r="A136" s="203" t="s">
        <v>406</v>
      </c>
      <c r="B136" s="203" t="s">
        <v>409</v>
      </c>
      <c r="C136" s="207" t="s">
        <v>1333</v>
      </c>
      <c r="D136" s="207"/>
      <c r="E136" s="209">
        <v>0.0</v>
      </c>
      <c r="F136" s="209" t="s">
        <v>616</v>
      </c>
      <c r="G136" s="210">
        <v>5.0</v>
      </c>
      <c r="H136" s="210">
        <v>5.0</v>
      </c>
      <c r="I136" s="210">
        <v>5.0</v>
      </c>
      <c r="J136" s="210">
        <v>5.0</v>
      </c>
      <c r="K136" s="210">
        <v>5.0</v>
      </c>
      <c r="L136" s="210">
        <v>5.0</v>
      </c>
      <c r="M136" s="210">
        <v>5.0</v>
      </c>
      <c r="N136" s="210">
        <v>5.0</v>
      </c>
      <c r="O136" s="210">
        <v>5.0</v>
      </c>
      <c r="P136" s="210">
        <v>5.0</v>
      </c>
      <c r="Q136" s="210">
        <v>5.0</v>
      </c>
      <c r="R136" s="210">
        <v>5.0</v>
      </c>
      <c r="S136" s="210">
        <v>5.0</v>
      </c>
      <c r="T136" s="210">
        <v>5.0</v>
      </c>
      <c r="U136" s="211"/>
      <c r="V136" s="211"/>
      <c r="W136" s="211"/>
      <c r="X136" s="211"/>
      <c r="Y136" s="211"/>
      <c r="Z136" s="211"/>
      <c r="AA136" s="211"/>
      <c r="AB136" s="211"/>
    </row>
    <row r="137" ht="17.25" customHeight="1">
      <c r="A137" s="203" t="s">
        <v>763</v>
      </c>
      <c r="B137" s="203" t="s">
        <v>765</v>
      </c>
      <c r="C137" s="207" t="s">
        <v>1333</v>
      </c>
      <c r="D137" s="207"/>
      <c r="E137" s="209">
        <v>10.0</v>
      </c>
      <c r="F137" s="209" t="s">
        <v>616</v>
      </c>
      <c r="G137" s="210">
        <v>10.0</v>
      </c>
      <c r="H137" s="210">
        <v>10.0</v>
      </c>
      <c r="I137" s="210">
        <v>10.0</v>
      </c>
      <c r="J137" s="210">
        <v>10.0</v>
      </c>
      <c r="K137" s="210">
        <v>10.0</v>
      </c>
      <c r="L137" s="210">
        <v>10.0</v>
      </c>
      <c r="M137" s="210">
        <v>10.0</v>
      </c>
      <c r="N137" s="210">
        <v>10.0</v>
      </c>
      <c r="O137" s="210">
        <v>10.0</v>
      </c>
      <c r="P137" s="210">
        <v>10.0</v>
      </c>
      <c r="Q137" s="210">
        <v>10.0</v>
      </c>
      <c r="R137" s="210">
        <v>10.0</v>
      </c>
      <c r="S137" s="210">
        <v>10.0</v>
      </c>
      <c r="T137" s="210">
        <v>10.0</v>
      </c>
      <c r="U137" s="211"/>
      <c r="V137" s="211"/>
      <c r="W137" s="211"/>
      <c r="X137" s="211"/>
      <c r="Y137" s="211"/>
      <c r="Z137" s="211"/>
      <c r="AA137" s="211"/>
      <c r="AB137" s="211"/>
    </row>
    <row r="138" ht="17.25" customHeight="1">
      <c r="A138" s="203" t="s">
        <v>770</v>
      </c>
      <c r="B138" s="203" t="s">
        <v>771</v>
      </c>
      <c r="C138" s="207" t="s">
        <v>1333</v>
      </c>
      <c r="D138" s="207"/>
      <c r="E138" s="209">
        <v>0.2</v>
      </c>
      <c r="F138" s="209" t="s">
        <v>616</v>
      </c>
      <c r="G138" s="212">
        <v>0.2</v>
      </c>
      <c r="H138" s="212">
        <v>0.2</v>
      </c>
      <c r="I138" s="212">
        <v>0.2</v>
      </c>
      <c r="J138" s="212">
        <v>0.2</v>
      </c>
      <c r="K138" s="212">
        <v>0.2</v>
      </c>
      <c r="L138" s="212">
        <v>0.2</v>
      </c>
      <c r="M138" s="212">
        <v>0.2</v>
      </c>
      <c r="N138" s="212">
        <v>0.2</v>
      </c>
      <c r="O138" s="212">
        <v>0.2</v>
      </c>
      <c r="P138" s="212">
        <v>0.2</v>
      </c>
      <c r="Q138" s="212">
        <v>0.2</v>
      </c>
      <c r="R138" s="212">
        <v>0.2</v>
      </c>
      <c r="S138" s="212">
        <v>0.2</v>
      </c>
      <c r="T138" s="212">
        <v>0.2</v>
      </c>
      <c r="U138" s="211"/>
      <c r="V138" s="211"/>
      <c r="W138" s="211"/>
      <c r="X138" s="211"/>
      <c r="Y138" s="211"/>
      <c r="Z138" s="211"/>
      <c r="AA138" s="211"/>
      <c r="AB138" s="211"/>
    </row>
    <row r="139" ht="17.25" customHeight="1">
      <c r="A139" s="203" t="s">
        <v>776</v>
      </c>
      <c r="B139" s="203" t="s">
        <v>777</v>
      </c>
      <c r="C139" s="207" t="s">
        <v>1333</v>
      </c>
      <c r="D139" s="207"/>
      <c r="E139" s="209">
        <v>1.5</v>
      </c>
      <c r="F139" s="209" t="s">
        <v>290</v>
      </c>
      <c r="G139" s="210">
        <v>1.5</v>
      </c>
      <c r="H139" s="210">
        <v>1.5</v>
      </c>
      <c r="I139" s="210">
        <v>1.5</v>
      </c>
      <c r="J139" s="210">
        <v>1.5</v>
      </c>
      <c r="K139" s="210">
        <v>1.5</v>
      </c>
      <c r="L139" s="210">
        <v>1.5</v>
      </c>
      <c r="M139" s="210">
        <v>1.5</v>
      </c>
      <c r="N139" s="210">
        <v>1.5</v>
      </c>
      <c r="O139" s="210">
        <v>1.5</v>
      </c>
      <c r="P139" s="210">
        <v>1.5</v>
      </c>
      <c r="Q139" s="210">
        <v>1.5</v>
      </c>
      <c r="R139" s="210">
        <v>1.5</v>
      </c>
      <c r="S139" s="210">
        <v>1.5</v>
      </c>
      <c r="T139" s="210">
        <v>1.5</v>
      </c>
      <c r="U139" s="211"/>
      <c r="V139" s="211"/>
      <c r="W139" s="211"/>
      <c r="X139" s="211"/>
      <c r="Y139" s="211"/>
      <c r="Z139" s="211"/>
      <c r="AA139" s="211"/>
      <c r="AB139" s="211"/>
    </row>
    <row r="140" ht="17.25" customHeight="1">
      <c r="A140" s="203" t="s">
        <v>443</v>
      </c>
      <c r="B140" s="203" t="s">
        <v>446</v>
      </c>
      <c r="C140" s="207">
        <v>0.08247422680412371</v>
      </c>
      <c r="D140" s="207"/>
      <c r="E140" s="213">
        <v>4.0</v>
      </c>
      <c r="F140" s="209" t="s">
        <v>661</v>
      </c>
      <c r="G140" s="210">
        <v>5.0</v>
      </c>
      <c r="H140" s="210">
        <v>5.0</v>
      </c>
      <c r="I140" s="210">
        <v>5.0</v>
      </c>
      <c r="J140" s="210">
        <v>5.0</v>
      </c>
      <c r="K140" s="210">
        <v>5.0</v>
      </c>
      <c r="L140" s="210">
        <v>5.0</v>
      </c>
      <c r="M140" s="210">
        <v>5.0</v>
      </c>
      <c r="N140" s="210">
        <v>5.0</v>
      </c>
      <c r="O140" s="210">
        <v>5.0</v>
      </c>
      <c r="P140" s="210">
        <v>5.0</v>
      </c>
      <c r="Q140" s="210">
        <v>5.0</v>
      </c>
      <c r="R140" s="210">
        <v>5.0</v>
      </c>
      <c r="S140" s="210">
        <v>5.0</v>
      </c>
      <c r="T140" s="210">
        <v>5.0</v>
      </c>
      <c r="U140" s="211"/>
      <c r="V140" s="211"/>
      <c r="W140" s="211"/>
      <c r="X140" s="211"/>
      <c r="Y140" s="211"/>
      <c r="Z140" s="211"/>
      <c r="AA140" s="211"/>
      <c r="AB140" s="211"/>
    </row>
    <row r="141" ht="17.25" customHeight="1">
      <c r="A141" s="203" t="s">
        <v>787</v>
      </c>
      <c r="B141" s="203" t="s">
        <v>788</v>
      </c>
      <c r="C141" s="207">
        <v>0.010309278350515464</v>
      </c>
      <c r="D141" s="207"/>
      <c r="E141" s="213">
        <v>0.5</v>
      </c>
      <c r="F141" s="209" t="s">
        <v>290</v>
      </c>
      <c r="G141" s="212">
        <v>0.5</v>
      </c>
      <c r="H141" s="212">
        <v>0.5</v>
      </c>
      <c r="I141" s="212">
        <v>0.5</v>
      </c>
      <c r="J141" s="212">
        <v>0.5</v>
      </c>
      <c r="K141" s="212">
        <v>0.5</v>
      </c>
      <c r="L141" s="212">
        <v>0.5</v>
      </c>
      <c r="M141" s="212">
        <v>0.5</v>
      </c>
      <c r="N141" s="212">
        <v>0.5</v>
      </c>
      <c r="O141" s="212">
        <v>0.5</v>
      </c>
      <c r="P141" s="212">
        <v>0.5</v>
      </c>
      <c r="Q141" s="212">
        <v>0.5</v>
      </c>
      <c r="R141" s="212">
        <v>0.5</v>
      </c>
      <c r="S141" s="212">
        <v>0.5</v>
      </c>
      <c r="T141" s="212">
        <v>0.5</v>
      </c>
      <c r="U141" s="211"/>
      <c r="V141" s="211"/>
      <c r="W141" s="211"/>
      <c r="X141" s="211"/>
      <c r="Y141" s="211"/>
      <c r="Z141" s="211"/>
      <c r="AA141" s="211"/>
      <c r="AB141" s="211"/>
    </row>
    <row r="142" ht="17.25" customHeight="1">
      <c r="A142" s="203" t="s">
        <v>484</v>
      </c>
      <c r="B142" s="203" t="s">
        <v>636</v>
      </c>
      <c r="C142" s="207">
        <v>0.8247422680412371</v>
      </c>
      <c r="D142" s="207"/>
      <c r="E142" s="213">
        <v>20.0</v>
      </c>
      <c r="F142" s="209" t="s">
        <v>290</v>
      </c>
      <c r="G142" s="210">
        <v>20.0</v>
      </c>
      <c r="H142" s="210">
        <v>20.0</v>
      </c>
      <c r="I142" s="210">
        <v>20.0</v>
      </c>
      <c r="J142" s="210">
        <v>20.0</v>
      </c>
      <c r="K142" s="210">
        <v>20.0</v>
      </c>
      <c r="L142" s="210">
        <v>20.0</v>
      </c>
      <c r="M142" s="210">
        <v>20.0</v>
      </c>
      <c r="N142" s="210">
        <v>20.0</v>
      </c>
      <c r="O142" s="210">
        <v>20.0</v>
      </c>
      <c r="P142" s="210">
        <v>20.0</v>
      </c>
      <c r="Q142" s="210">
        <v>20.0</v>
      </c>
      <c r="R142" s="210">
        <v>20.0</v>
      </c>
      <c r="S142" s="210">
        <v>20.0</v>
      </c>
      <c r="T142" s="210">
        <v>20.0</v>
      </c>
      <c r="U142" s="211"/>
      <c r="V142" s="211"/>
      <c r="W142" s="211"/>
      <c r="X142" s="211"/>
      <c r="Y142" s="211"/>
      <c r="Z142" s="211"/>
      <c r="AA142" s="211"/>
      <c r="AB142" s="211"/>
    </row>
    <row r="143" ht="17.25" customHeight="1">
      <c r="A143" s="203" t="s">
        <v>523</v>
      </c>
      <c r="B143" s="203" t="s">
        <v>528</v>
      </c>
      <c r="C143" s="207">
        <v>1.443298969072165</v>
      </c>
      <c r="D143" s="207"/>
      <c r="E143" s="213">
        <v>15.0</v>
      </c>
      <c r="F143" s="209" t="s">
        <v>616</v>
      </c>
      <c r="G143" s="210">
        <v>20.0</v>
      </c>
      <c r="H143" s="210">
        <v>20.0</v>
      </c>
      <c r="I143" s="210">
        <v>20.0</v>
      </c>
      <c r="J143" s="210">
        <v>20.0</v>
      </c>
      <c r="K143" s="210">
        <v>20.0</v>
      </c>
      <c r="L143" s="210">
        <v>20.0</v>
      </c>
      <c r="M143" s="210">
        <v>20.0</v>
      </c>
      <c r="N143" s="210">
        <v>20.0</v>
      </c>
      <c r="O143" s="210">
        <v>20.0</v>
      </c>
      <c r="P143" s="210">
        <v>15.0</v>
      </c>
      <c r="Q143" s="210">
        <v>15.0</v>
      </c>
      <c r="R143" s="210">
        <v>15.0</v>
      </c>
      <c r="S143" s="210">
        <v>15.0</v>
      </c>
      <c r="T143" s="210">
        <v>15.0</v>
      </c>
      <c r="U143" s="211"/>
      <c r="V143" s="211"/>
      <c r="W143" s="211"/>
      <c r="X143" s="211"/>
      <c r="Y143" s="211"/>
      <c r="Z143" s="211"/>
      <c r="AA143" s="211"/>
      <c r="AB143" s="211"/>
    </row>
    <row r="144" ht="17.25" customHeight="1">
      <c r="A144" s="203" t="s">
        <v>562</v>
      </c>
      <c r="B144" s="203" t="s">
        <v>567</v>
      </c>
      <c r="C144" s="207">
        <v>0.4948453608247423</v>
      </c>
      <c r="D144" s="207"/>
      <c r="E144" s="213">
        <v>4.0</v>
      </c>
      <c r="F144" s="209" t="s">
        <v>616</v>
      </c>
      <c r="G144" s="210">
        <v>6.0</v>
      </c>
      <c r="H144" s="210">
        <v>6.0</v>
      </c>
      <c r="I144" s="210">
        <v>6.0</v>
      </c>
      <c r="J144" s="210">
        <v>6.0</v>
      </c>
      <c r="K144" s="210">
        <v>6.0</v>
      </c>
      <c r="L144" s="210">
        <v>6.0</v>
      </c>
      <c r="M144" s="210">
        <v>6.0</v>
      </c>
      <c r="N144" s="210">
        <v>6.0</v>
      </c>
      <c r="O144" s="210">
        <v>6.0</v>
      </c>
      <c r="P144" s="210">
        <v>6.0</v>
      </c>
      <c r="Q144" s="210">
        <v>6.0</v>
      </c>
      <c r="R144" s="210">
        <v>6.0</v>
      </c>
      <c r="S144" s="210">
        <v>5.0</v>
      </c>
      <c r="T144" s="210">
        <v>5.0</v>
      </c>
      <c r="U144" s="211"/>
      <c r="V144" s="211"/>
      <c r="W144" s="211"/>
      <c r="X144" s="211"/>
      <c r="Y144" s="211"/>
      <c r="Z144" s="211"/>
      <c r="AA144" s="211"/>
      <c r="AB144" s="211"/>
    </row>
    <row r="145" ht="17.25" customHeight="1">
      <c r="A145" s="203" t="s">
        <v>598</v>
      </c>
      <c r="B145" s="203" t="s">
        <v>604</v>
      </c>
      <c r="C145" s="207">
        <v>2.268041237113402</v>
      </c>
      <c r="D145" s="207"/>
      <c r="E145" s="213">
        <v>15.0</v>
      </c>
      <c r="F145" s="209" t="s">
        <v>616</v>
      </c>
      <c r="G145" s="210">
        <v>20.0</v>
      </c>
      <c r="H145" s="210">
        <v>20.0</v>
      </c>
      <c r="I145" s="210">
        <v>20.0</v>
      </c>
      <c r="J145" s="210">
        <v>20.0</v>
      </c>
      <c r="K145" s="210">
        <v>20.0</v>
      </c>
      <c r="L145" s="210">
        <v>20.0</v>
      </c>
      <c r="M145" s="210">
        <v>20.0</v>
      </c>
      <c r="N145" s="210">
        <v>20.0</v>
      </c>
      <c r="O145" s="210">
        <v>20.0</v>
      </c>
      <c r="P145" s="210">
        <v>15.0</v>
      </c>
      <c r="Q145" s="210">
        <v>15.0</v>
      </c>
      <c r="R145" s="210">
        <v>15.0</v>
      </c>
      <c r="S145" s="210">
        <v>15.0</v>
      </c>
      <c r="T145" s="210">
        <v>15.0</v>
      </c>
      <c r="U145" s="211"/>
      <c r="V145" s="211"/>
      <c r="W145" s="211"/>
      <c r="X145" s="211"/>
      <c r="Y145" s="211"/>
      <c r="Z145" s="211"/>
      <c r="AA145" s="211"/>
      <c r="AB145" s="211"/>
    </row>
    <row r="146" ht="17.25" customHeight="1">
      <c r="A146" s="203" t="s">
        <v>682</v>
      </c>
      <c r="B146" s="203" t="s">
        <v>690</v>
      </c>
      <c r="C146" s="207">
        <v>0.4536082474226804</v>
      </c>
      <c r="D146" s="207"/>
      <c r="E146" s="213">
        <v>14.0</v>
      </c>
      <c r="F146" s="209" t="s">
        <v>661</v>
      </c>
      <c r="G146" s="210">
        <v>5.0</v>
      </c>
      <c r="H146" s="210">
        <v>5.0</v>
      </c>
      <c r="I146" s="210">
        <v>5.0</v>
      </c>
      <c r="J146" s="210">
        <v>5.0</v>
      </c>
      <c r="K146" s="210">
        <v>5.0</v>
      </c>
      <c r="L146" s="210">
        <v>5.0</v>
      </c>
      <c r="M146" s="210">
        <v>5.0</v>
      </c>
      <c r="N146" s="210">
        <v>5.0</v>
      </c>
      <c r="O146" s="210">
        <v>5.0</v>
      </c>
      <c r="P146" s="210">
        <v>5.0</v>
      </c>
      <c r="Q146" s="210">
        <v>5.0</v>
      </c>
      <c r="R146" s="210">
        <v>5.0</v>
      </c>
      <c r="S146" s="210">
        <v>5.0</v>
      </c>
      <c r="T146" s="210">
        <v>5.0</v>
      </c>
      <c r="U146" s="211"/>
      <c r="V146" s="211"/>
      <c r="W146" s="211"/>
      <c r="X146" s="211"/>
      <c r="Y146" s="211"/>
      <c r="Z146" s="211"/>
      <c r="AA146" s="211"/>
      <c r="AB146" s="211"/>
    </row>
    <row r="147" ht="17.25" customHeight="1">
      <c r="A147" s="203" t="s">
        <v>812</v>
      </c>
      <c r="B147" s="203" t="s">
        <v>813</v>
      </c>
      <c r="C147" s="207">
        <v>6.597938144329897</v>
      </c>
      <c r="D147" s="207"/>
      <c r="E147" s="213">
        <v>100.0</v>
      </c>
      <c r="F147" s="209" t="s">
        <v>661</v>
      </c>
      <c r="G147" s="210">
        <v>125.0</v>
      </c>
      <c r="H147" s="210">
        <v>113.0</v>
      </c>
      <c r="I147" s="210">
        <v>103.0</v>
      </c>
      <c r="J147" s="210">
        <v>103.0</v>
      </c>
      <c r="K147" s="210">
        <v>103.0</v>
      </c>
      <c r="L147" s="210">
        <v>103.0</v>
      </c>
      <c r="M147" s="210">
        <v>103.0</v>
      </c>
      <c r="N147" s="210">
        <v>103.0</v>
      </c>
      <c r="O147" s="210">
        <v>103.0</v>
      </c>
      <c r="P147" s="210">
        <v>103.0</v>
      </c>
      <c r="Q147" s="210">
        <v>103.0</v>
      </c>
      <c r="R147" s="210">
        <v>103.0</v>
      </c>
      <c r="S147" s="210">
        <v>103.0</v>
      </c>
      <c r="T147" s="210">
        <v>103.0</v>
      </c>
      <c r="U147" s="211"/>
      <c r="V147" s="211"/>
      <c r="W147" s="211"/>
      <c r="X147" s="211"/>
      <c r="Y147" s="211"/>
      <c r="Z147" s="211"/>
      <c r="AA147" s="211"/>
      <c r="AB147" s="211"/>
    </row>
    <row r="148" ht="17.25" customHeight="1">
      <c r="A148" s="203" t="s">
        <v>819</v>
      </c>
      <c r="B148" s="203" t="s">
        <v>820</v>
      </c>
      <c r="C148" s="207" t="s">
        <v>1333</v>
      </c>
      <c r="D148" s="207"/>
      <c r="E148" s="209">
        <v>1.0</v>
      </c>
      <c r="F148" s="209" t="s">
        <v>290</v>
      </c>
      <c r="G148" s="220">
        <v>1.0</v>
      </c>
      <c r="H148" s="220">
        <v>1.0</v>
      </c>
      <c r="I148" s="220">
        <v>1.0</v>
      </c>
      <c r="J148" s="220">
        <v>1.0</v>
      </c>
      <c r="K148" s="220">
        <v>1.0</v>
      </c>
      <c r="L148" s="220">
        <v>1.0</v>
      </c>
      <c r="M148" s="220">
        <v>1.0</v>
      </c>
      <c r="N148" s="220">
        <v>1.0</v>
      </c>
      <c r="O148" s="220">
        <v>1.0</v>
      </c>
      <c r="P148" s="220">
        <v>1.0</v>
      </c>
      <c r="Q148" s="220">
        <v>1.0</v>
      </c>
      <c r="R148" s="220">
        <v>1.0</v>
      </c>
      <c r="S148" s="220">
        <v>1.0</v>
      </c>
      <c r="T148" s="220">
        <v>1.0</v>
      </c>
      <c r="U148" s="211"/>
      <c r="V148" s="211"/>
      <c r="W148" s="211"/>
      <c r="X148" s="211"/>
      <c r="Y148" s="211"/>
      <c r="Z148" s="211"/>
      <c r="AA148" s="211"/>
      <c r="AB148" s="211"/>
    </row>
    <row r="149" ht="17.25" customHeight="1">
      <c r="A149" s="203" t="s">
        <v>826</v>
      </c>
      <c r="B149" s="203" t="s">
        <v>828</v>
      </c>
      <c r="C149" s="207" t="s">
        <v>1333</v>
      </c>
      <c r="D149" s="207"/>
      <c r="E149" s="209">
        <v>1.0</v>
      </c>
      <c r="F149" s="209" t="s">
        <v>290</v>
      </c>
      <c r="G149" s="220">
        <v>1.0</v>
      </c>
      <c r="H149" s="220">
        <v>1.0</v>
      </c>
      <c r="I149" s="220">
        <v>1.0</v>
      </c>
      <c r="J149" s="220">
        <v>1.0</v>
      </c>
      <c r="K149" s="220">
        <v>1.0</v>
      </c>
      <c r="L149" s="220">
        <v>1.0</v>
      </c>
      <c r="M149" s="220">
        <v>1.0</v>
      </c>
      <c r="N149" s="220">
        <v>1.0</v>
      </c>
      <c r="O149" s="220">
        <v>1.0</v>
      </c>
      <c r="P149" s="220">
        <v>1.0</v>
      </c>
      <c r="Q149" s="220">
        <v>1.0</v>
      </c>
      <c r="R149" s="220">
        <v>1.0</v>
      </c>
      <c r="S149" s="220">
        <v>1.0</v>
      </c>
      <c r="T149" s="220">
        <v>1.0</v>
      </c>
      <c r="U149" s="211"/>
      <c r="V149" s="211"/>
      <c r="W149" s="211"/>
      <c r="X149" s="211"/>
      <c r="Y149" s="211"/>
      <c r="Z149" s="211"/>
      <c r="AA149" s="211"/>
      <c r="AB149" s="211"/>
    </row>
    <row r="150" ht="17.25" customHeight="1">
      <c r="A150" s="203" t="s">
        <v>831</v>
      </c>
      <c r="B150" s="203" t="s">
        <v>828</v>
      </c>
      <c r="C150" s="207" t="s">
        <v>1333</v>
      </c>
      <c r="D150" s="207"/>
      <c r="E150" s="209">
        <v>1.0</v>
      </c>
      <c r="F150" s="209" t="s">
        <v>290</v>
      </c>
      <c r="G150" s="220">
        <v>1.0</v>
      </c>
      <c r="H150" s="220">
        <v>1.0</v>
      </c>
      <c r="I150" s="220">
        <v>1.0</v>
      </c>
      <c r="J150" s="220">
        <v>1.0</v>
      </c>
      <c r="K150" s="220">
        <v>1.0</v>
      </c>
      <c r="L150" s="220">
        <v>1.0</v>
      </c>
      <c r="M150" s="220">
        <v>1.0</v>
      </c>
      <c r="N150" s="220">
        <v>1.0</v>
      </c>
      <c r="O150" s="220">
        <v>1.0</v>
      </c>
      <c r="P150" s="220">
        <v>1.0</v>
      </c>
      <c r="Q150" s="220">
        <v>1.0</v>
      </c>
      <c r="R150" s="220">
        <v>1.0</v>
      </c>
      <c r="S150" s="220">
        <v>1.0</v>
      </c>
      <c r="T150" s="220">
        <v>1.0</v>
      </c>
      <c r="U150" s="211"/>
      <c r="V150" s="211"/>
      <c r="W150" s="211"/>
      <c r="X150" s="211"/>
      <c r="Y150" s="211"/>
      <c r="Z150" s="211"/>
      <c r="AA150" s="211"/>
      <c r="AB150" s="211"/>
    </row>
    <row r="151" ht="17.25" customHeight="1">
      <c r="A151" s="203" t="s">
        <v>1840</v>
      </c>
      <c r="B151" s="203" t="s">
        <v>1841</v>
      </c>
      <c r="C151" s="207">
        <v>1.0309278350515463</v>
      </c>
      <c r="D151" s="207"/>
      <c r="E151" s="208">
        <v>0.0</v>
      </c>
      <c r="F151" s="209" t="s">
        <v>616</v>
      </c>
      <c r="G151" s="212">
        <v>0.0</v>
      </c>
      <c r="H151" s="212">
        <v>0.0</v>
      </c>
      <c r="I151" s="212">
        <v>0.0</v>
      </c>
      <c r="J151" s="212">
        <v>0.0</v>
      </c>
      <c r="K151" s="212">
        <v>0.0</v>
      </c>
      <c r="L151" s="212">
        <v>0.0</v>
      </c>
      <c r="M151" s="212">
        <v>0.0</v>
      </c>
      <c r="N151" s="212">
        <v>0.0</v>
      </c>
      <c r="O151" s="212">
        <v>0.0</v>
      </c>
      <c r="P151" s="212">
        <v>0.0</v>
      </c>
      <c r="Q151" s="212">
        <v>0.0</v>
      </c>
      <c r="R151" s="212">
        <v>0.0</v>
      </c>
      <c r="S151" s="212">
        <v>0.0</v>
      </c>
      <c r="T151" s="212">
        <v>0.0</v>
      </c>
      <c r="U151" s="211"/>
      <c r="V151" s="211"/>
      <c r="W151" s="211"/>
      <c r="X151" s="211"/>
      <c r="Y151" s="211"/>
      <c r="Z151" s="211"/>
      <c r="AA151" s="211"/>
      <c r="AB151" s="211"/>
    </row>
    <row r="152" ht="17.25" customHeight="1">
      <c r="A152" s="203" t="s">
        <v>1843</v>
      </c>
      <c r="B152" s="203" t="s">
        <v>1845</v>
      </c>
      <c r="C152" s="207">
        <v>0.12371134020618557</v>
      </c>
      <c r="D152" s="207"/>
      <c r="E152" s="208">
        <v>0.0</v>
      </c>
      <c r="F152" s="209" t="s">
        <v>661</v>
      </c>
      <c r="G152" s="212">
        <v>0.0</v>
      </c>
      <c r="H152" s="212">
        <v>0.0</v>
      </c>
      <c r="I152" s="220">
        <v>1.0</v>
      </c>
      <c r="J152" s="220">
        <v>1.0</v>
      </c>
      <c r="K152" s="212">
        <v>0.0</v>
      </c>
      <c r="L152" s="212">
        <v>0.0</v>
      </c>
      <c r="M152" s="212">
        <v>0.0</v>
      </c>
      <c r="N152" s="212">
        <v>0.0</v>
      </c>
      <c r="O152" s="212">
        <v>0.0</v>
      </c>
      <c r="P152" s="212">
        <v>0.0</v>
      </c>
      <c r="Q152" s="212">
        <v>0.0</v>
      </c>
      <c r="R152" s="212">
        <v>0.0</v>
      </c>
      <c r="S152" s="212">
        <v>0.0</v>
      </c>
      <c r="T152" s="212">
        <v>0.0</v>
      </c>
      <c r="U152" s="211"/>
      <c r="V152" s="211"/>
      <c r="W152" s="211"/>
      <c r="X152" s="211"/>
      <c r="Y152" s="211"/>
      <c r="Z152" s="211"/>
      <c r="AA152" s="211"/>
      <c r="AB152" s="211"/>
    </row>
    <row r="153" ht="17.25" customHeight="1">
      <c r="A153" s="203" t="s">
        <v>836</v>
      </c>
      <c r="B153" s="203" t="s">
        <v>837</v>
      </c>
      <c r="C153" s="207">
        <v>0.16494845360824742</v>
      </c>
      <c r="D153" s="207"/>
      <c r="E153" s="213">
        <v>1.0</v>
      </c>
      <c r="F153" s="209" t="s">
        <v>661</v>
      </c>
      <c r="G153" s="220">
        <v>1.0</v>
      </c>
      <c r="H153" s="220">
        <v>1.0</v>
      </c>
      <c r="I153" s="217">
        <v>2.0</v>
      </c>
      <c r="J153" s="217">
        <v>2.0</v>
      </c>
      <c r="K153" s="217">
        <v>2.0</v>
      </c>
      <c r="L153" s="217">
        <v>2.0</v>
      </c>
      <c r="M153" s="217">
        <v>2.0</v>
      </c>
      <c r="N153" s="217">
        <v>2.0</v>
      </c>
      <c r="O153" s="217">
        <v>2.0</v>
      </c>
      <c r="P153" s="217">
        <v>2.0</v>
      </c>
      <c r="Q153" s="217">
        <v>2.0</v>
      </c>
      <c r="R153" s="217">
        <v>2.0</v>
      </c>
      <c r="S153" s="217">
        <v>2.0</v>
      </c>
      <c r="T153" s="217">
        <v>2.0</v>
      </c>
      <c r="U153" s="211"/>
      <c r="V153" s="211"/>
      <c r="W153" s="211"/>
      <c r="X153" s="211"/>
      <c r="Y153" s="211"/>
      <c r="Z153" s="211"/>
      <c r="AA153" s="211"/>
      <c r="AB153" s="211"/>
    </row>
    <row r="154" ht="17.25" customHeight="1">
      <c r="A154" s="203" t="s">
        <v>842</v>
      </c>
      <c r="B154" s="203" t="s">
        <v>843</v>
      </c>
      <c r="C154" s="207">
        <v>0.28865979381443296</v>
      </c>
      <c r="D154" s="207"/>
      <c r="E154" s="213">
        <v>1.0</v>
      </c>
      <c r="F154" s="209" t="s">
        <v>661</v>
      </c>
      <c r="G154" s="212">
        <v>0.0</v>
      </c>
      <c r="H154" s="212">
        <v>0.0</v>
      </c>
      <c r="I154" s="220">
        <v>1.0</v>
      </c>
      <c r="J154" s="220">
        <v>1.0</v>
      </c>
      <c r="K154" s="220">
        <v>1.0</v>
      </c>
      <c r="L154" s="220">
        <v>1.0</v>
      </c>
      <c r="M154" s="220">
        <v>1.0</v>
      </c>
      <c r="N154" s="220">
        <v>1.0</v>
      </c>
      <c r="O154" s="220">
        <v>1.0</v>
      </c>
      <c r="P154" s="220">
        <v>1.0</v>
      </c>
      <c r="Q154" s="220">
        <v>1.0</v>
      </c>
      <c r="R154" s="220">
        <v>1.0</v>
      </c>
      <c r="S154" s="220">
        <v>1.0</v>
      </c>
      <c r="T154" s="220">
        <v>1.0</v>
      </c>
      <c r="U154" s="211"/>
      <c r="V154" s="211"/>
      <c r="W154" s="211"/>
      <c r="X154" s="211"/>
      <c r="Y154" s="211"/>
      <c r="Z154" s="211"/>
      <c r="AA154" s="211"/>
      <c r="AB154" s="211"/>
    </row>
    <row r="155" ht="17.25" customHeight="1">
      <c r="A155" s="203" t="s">
        <v>1855</v>
      </c>
      <c r="B155" s="203" t="s">
        <v>1858</v>
      </c>
      <c r="C155" s="207">
        <v>0.16494845360824742</v>
      </c>
      <c r="D155" s="207"/>
      <c r="E155" s="208">
        <v>0.0</v>
      </c>
      <c r="F155" s="209" t="s">
        <v>661</v>
      </c>
      <c r="G155" s="220">
        <v>1.0</v>
      </c>
      <c r="H155" s="212">
        <v>0.0</v>
      </c>
      <c r="I155" s="212">
        <v>0.0</v>
      </c>
      <c r="J155" s="212">
        <v>0.0</v>
      </c>
      <c r="K155" s="212">
        <v>0.0</v>
      </c>
      <c r="L155" s="212">
        <v>0.0</v>
      </c>
      <c r="M155" s="212">
        <v>0.0</v>
      </c>
      <c r="N155" s="212">
        <v>0.0</v>
      </c>
      <c r="O155" s="212">
        <v>0.0</v>
      </c>
      <c r="P155" s="212">
        <v>0.0</v>
      </c>
      <c r="Q155" s="212">
        <v>0.0</v>
      </c>
      <c r="R155" s="212">
        <v>0.0</v>
      </c>
      <c r="S155" s="212">
        <v>0.0</v>
      </c>
      <c r="T155" s="220">
        <v>1.0</v>
      </c>
      <c r="U155" s="211"/>
      <c r="V155" s="211"/>
      <c r="W155" s="211"/>
      <c r="X155" s="211"/>
      <c r="Y155" s="211"/>
      <c r="Z155" s="211"/>
      <c r="AA155" s="211"/>
      <c r="AB155" s="211"/>
    </row>
    <row r="156" ht="17.25" customHeight="1">
      <c r="A156" s="203" t="s">
        <v>1862</v>
      </c>
      <c r="B156" s="203" t="s">
        <v>1864</v>
      </c>
      <c r="C156" s="207">
        <v>0.08247422680412371</v>
      </c>
      <c r="D156" s="207"/>
      <c r="E156" s="208">
        <v>0.0</v>
      </c>
      <c r="F156" s="209" t="s">
        <v>661</v>
      </c>
      <c r="G156" s="220">
        <v>1.0</v>
      </c>
      <c r="H156" s="220">
        <v>1.0</v>
      </c>
      <c r="I156" s="217">
        <v>2.0</v>
      </c>
      <c r="J156" s="217">
        <v>2.0</v>
      </c>
      <c r="K156" s="220">
        <v>1.0</v>
      </c>
      <c r="L156" s="220">
        <v>1.0</v>
      </c>
      <c r="M156" s="220">
        <v>1.0</v>
      </c>
      <c r="N156" s="220">
        <v>1.0</v>
      </c>
      <c r="O156" s="220">
        <v>1.0</v>
      </c>
      <c r="P156" s="220">
        <v>1.0</v>
      </c>
      <c r="Q156" s="220">
        <v>1.0</v>
      </c>
      <c r="R156" s="220">
        <v>1.0</v>
      </c>
      <c r="S156" s="220">
        <v>1.0</v>
      </c>
      <c r="T156" s="220">
        <v>1.0</v>
      </c>
      <c r="U156" s="211"/>
      <c r="V156" s="211"/>
      <c r="W156" s="211"/>
      <c r="X156" s="211"/>
      <c r="Y156" s="211"/>
      <c r="Z156" s="211"/>
      <c r="AA156" s="211"/>
      <c r="AB156" s="211"/>
    </row>
    <row r="157" ht="17.25" customHeight="1">
      <c r="A157" s="203" t="s">
        <v>1867</v>
      </c>
      <c r="B157" s="203" t="s">
        <v>1868</v>
      </c>
      <c r="C157" s="207">
        <v>0.12371134020618557</v>
      </c>
      <c r="D157" s="207"/>
      <c r="E157" s="208">
        <v>0.0</v>
      </c>
      <c r="F157" s="209" t="s">
        <v>661</v>
      </c>
      <c r="G157" s="212">
        <v>0.0</v>
      </c>
      <c r="H157" s="212">
        <v>0.0</v>
      </c>
      <c r="I157" s="212">
        <v>0.0</v>
      </c>
      <c r="J157" s="212">
        <v>0.0</v>
      </c>
      <c r="K157" s="212">
        <v>0.0</v>
      </c>
      <c r="L157" s="212">
        <v>0.0</v>
      </c>
      <c r="M157" s="212">
        <v>0.0</v>
      </c>
      <c r="N157" s="212">
        <v>0.0</v>
      </c>
      <c r="O157" s="212">
        <v>0.0</v>
      </c>
      <c r="P157" s="212">
        <v>0.0</v>
      </c>
      <c r="Q157" s="212">
        <v>0.0</v>
      </c>
      <c r="R157" s="212">
        <v>0.0</v>
      </c>
      <c r="S157" s="212">
        <v>0.0</v>
      </c>
      <c r="T157" s="212">
        <v>0.0</v>
      </c>
      <c r="U157" s="211"/>
      <c r="V157" s="211"/>
      <c r="W157" s="211"/>
      <c r="X157" s="211"/>
      <c r="Y157" s="211"/>
      <c r="Z157" s="211"/>
      <c r="AA157" s="211"/>
      <c r="AB157" s="211"/>
    </row>
    <row r="158" ht="17.25" customHeight="1">
      <c r="A158" s="203" t="s">
        <v>847</v>
      </c>
      <c r="B158" s="203" t="s">
        <v>849</v>
      </c>
      <c r="C158" s="207">
        <v>0.16494845360824742</v>
      </c>
      <c r="D158" s="207"/>
      <c r="E158" s="213">
        <v>1.0</v>
      </c>
      <c r="F158" s="209" t="s">
        <v>661</v>
      </c>
      <c r="G158" s="220">
        <v>1.0</v>
      </c>
      <c r="H158" s="220">
        <v>1.0</v>
      </c>
      <c r="I158" s="220">
        <v>1.0</v>
      </c>
      <c r="J158" s="220">
        <v>1.0</v>
      </c>
      <c r="K158" s="220">
        <v>1.0</v>
      </c>
      <c r="L158" s="220">
        <v>1.0</v>
      </c>
      <c r="M158" s="220">
        <v>1.0</v>
      </c>
      <c r="N158" s="220">
        <v>1.0</v>
      </c>
      <c r="O158" s="220">
        <v>1.0</v>
      </c>
      <c r="P158" s="220">
        <v>1.0</v>
      </c>
      <c r="Q158" s="220">
        <v>1.0</v>
      </c>
      <c r="R158" s="220">
        <v>1.0</v>
      </c>
      <c r="S158" s="220">
        <v>1.0</v>
      </c>
      <c r="T158" s="217">
        <v>2.0</v>
      </c>
      <c r="U158" s="211"/>
      <c r="V158" s="211"/>
      <c r="W158" s="211"/>
      <c r="X158" s="211"/>
      <c r="Y158" s="211"/>
      <c r="Z158" s="211"/>
      <c r="AA158" s="211"/>
      <c r="AB158" s="211"/>
    </row>
    <row r="159" ht="17.25" customHeight="1">
      <c r="A159" s="203" t="s">
        <v>857</v>
      </c>
      <c r="B159" s="203" t="s">
        <v>859</v>
      </c>
      <c r="C159" s="207">
        <v>0.08247422680412371</v>
      </c>
      <c r="D159" s="207"/>
      <c r="E159" s="213">
        <v>1.0</v>
      </c>
      <c r="F159" s="209" t="s">
        <v>661</v>
      </c>
      <c r="G159" s="220">
        <v>1.0</v>
      </c>
      <c r="H159" s="220">
        <v>1.0</v>
      </c>
      <c r="I159" s="220">
        <v>1.0</v>
      </c>
      <c r="J159" s="220">
        <v>1.0</v>
      </c>
      <c r="K159" s="220">
        <v>1.0</v>
      </c>
      <c r="L159" s="220">
        <v>1.0</v>
      </c>
      <c r="M159" s="220">
        <v>1.0</v>
      </c>
      <c r="N159" s="220">
        <v>1.0</v>
      </c>
      <c r="O159" s="220">
        <v>1.0</v>
      </c>
      <c r="P159" s="212">
        <v>0.0</v>
      </c>
      <c r="Q159" s="212">
        <v>0.0</v>
      </c>
      <c r="R159" s="212">
        <v>0.0</v>
      </c>
      <c r="S159" s="212">
        <v>0.0</v>
      </c>
      <c r="T159" s="212">
        <v>0.0</v>
      </c>
      <c r="U159" s="211"/>
      <c r="V159" s="211"/>
      <c r="W159" s="211"/>
      <c r="X159" s="211"/>
      <c r="Y159" s="211"/>
      <c r="Z159" s="211"/>
      <c r="AA159" s="211"/>
      <c r="AB159" s="211"/>
    </row>
    <row r="160" ht="17.25" customHeight="1">
      <c r="A160" s="203" t="s">
        <v>865</v>
      </c>
      <c r="B160" s="203" t="s">
        <v>866</v>
      </c>
      <c r="C160" s="207" t="s">
        <v>1333</v>
      </c>
      <c r="D160" s="207"/>
      <c r="E160" s="209">
        <v>1.0</v>
      </c>
      <c r="F160" s="209" t="s">
        <v>661</v>
      </c>
      <c r="G160" s="210">
        <v>1.0</v>
      </c>
      <c r="H160" s="210">
        <v>1.0</v>
      </c>
      <c r="I160" s="210">
        <v>1.0</v>
      </c>
      <c r="J160" s="210">
        <v>1.0</v>
      </c>
      <c r="K160" s="210">
        <v>1.0</v>
      </c>
      <c r="L160" s="210">
        <v>1.0</v>
      </c>
      <c r="M160" s="210">
        <v>1.0</v>
      </c>
      <c r="N160" s="210">
        <v>1.0</v>
      </c>
      <c r="O160" s="210">
        <v>1.0</v>
      </c>
      <c r="P160" s="210">
        <v>1.0</v>
      </c>
      <c r="Q160" s="210">
        <v>1.0</v>
      </c>
      <c r="R160" s="210">
        <v>1.0</v>
      </c>
      <c r="S160" s="210">
        <v>1.0</v>
      </c>
      <c r="T160" s="210">
        <v>1.0</v>
      </c>
      <c r="U160" s="211"/>
      <c r="V160" s="211"/>
      <c r="W160" s="211"/>
      <c r="X160" s="211"/>
      <c r="Y160" s="211"/>
      <c r="Z160" s="211"/>
      <c r="AA160" s="211"/>
      <c r="AB160" s="211"/>
    </row>
    <row r="161" ht="17.25" customHeight="1">
      <c r="A161" s="203" t="s">
        <v>638</v>
      </c>
      <c r="B161" s="203" t="s">
        <v>644</v>
      </c>
      <c r="C161" s="207">
        <v>0.053608247422680416</v>
      </c>
      <c r="D161" s="207"/>
      <c r="E161" s="213">
        <v>9.0</v>
      </c>
      <c r="F161" s="209" t="s">
        <v>290</v>
      </c>
      <c r="G161" s="210">
        <v>14.0</v>
      </c>
      <c r="H161" s="210">
        <v>14.0</v>
      </c>
      <c r="I161" s="210">
        <v>14.0</v>
      </c>
      <c r="J161" s="210">
        <v>14.0</v>
      </c>
      <c r="K161" s="210">
        <v>14.0</v>
      </c>
      <c r="L161" s="210">
        <v>14.0</v>
      </c>
      <c r="M161" s="210">
        <v>14.0</v>
      </c>
      <c r="N161" s="210">
        <v>14.0</v>
      </c>
      <c r="O161" s="210">
        <v>14.0</v>
      </c>
      <c r="P161" s="210">
        <v>14.0</v>
      </c>
      <c r="Q161" s="210">
        <v>14.0</v>
      </c>
      <c r="R161" s="210">
        <v>14.0</v>
      </c>
      <c r="S161" s="210">
        <v>14.0</v>
      </c>
      <c r="T161" s="210">
        <v>14.0</v>
      </c>
      <c r="U161" s="211"/>
      <c r="V161" s="211"/>
      <c r="W161" s="211"/>
      <c r="X161" s="211"/>
      <c r="Y161" s="211"/>
      <c r="Z161" s="211"/>
      <c r="AA161" s="211"/>
      <c r="AB161" s="211"/>
    </row>
    <row r="162" ht="17.25" customHeight="1">
      <c r="A162" s="203" t="s">
        <v>1874</v>
      </c>
      <c r="B162" s="203" t="s">
        <v>1875</v>
      </c>
      <c r="C162" s="207">
        <v>0.004123711340206186</v>
      </c>
      <c r="D162" s="207"/>
      <c r="E162" s="208">
        <v>0.0</v>
      </c>
      <c r="F162" s="209" t="s">
        <v>661</v>
      </c>
      <c r="G162" s="210">
        <v>1.0</v>
      </c>
      <c r="H162" s="210">
        <v>1.0</v>
      </c>
      <c r="I162" s="210">
        <v>1.0</v>
      </c>
      <c r="J162" s="210">
        <v>1.0</v>
      </c>
      <c r="K162" s="210">
        <v>1.0</v>
      </c>
      <c r="L162" s="210">
        <v>1.0</v>
      </c>
      <c r="M162" s="210">
        <v>1.0</v>
      </c>
      <c r="N162" s="210">
        <v>1.0</v>
      </c>
      <c r="O162" s="210">
        <v>1.0</v>
      </c>
      <c r="P162" s="210">
        <v>1.0</v>
      </c>
      <c r="Q162" s="210">
        <v>1.0</v>
      </c>
      <c r="R162" s="210">
        <v>1.0</v>
      </c>
      <c r="S162" s="210">
        <v>1.0</v>
      </c>
      <c r="T162" s="210">
        <v>1.0</v>
      </c>
      <c r="U162" s="211"/>
      <c r="V162" s="211"/>
      <c r="W162" s="211"/>
      <c r="X162" s="211"/>
      <c r="Y162" s="211"/>
      <c r="Z162" s="211"/>
      <c r="AA162" s="211"/>
      <c r="AB162" s="211"/>
    </row>
    <row r="163" ht="17.25" customHeight="1">
      <c r="A163" s="203" t="s">
        <v>1877</v>
      </c>
      <c r="B163" s="203" t="s">
        <v>1878</v>
      </c>
      <c r="C163" s="207" t="s">
        <v>1333</v>
      </c>
      <c r="D163" s="207"/>
      <c r="E163" s="209">
        <v>0.0</v>
      </c>
      <c r="F163" s="209" t="s">
        <v>290</v>
      </c>
      <c r="G163" s="212">
        <v>0.0</v>
      </c>
      <c r="H163" s="212">
        <v>0.0</v>
      </c>
      <c r="I163" s="212">
        <v>0.0</v>
      </c>
      <c r="J163" s="212">
        <v>0.0</v>
      </c>
      <c r="K163" s="212">
        <v>0.0</v>
      </c>
      <c r="L163" s="212">
        <v>0.0</v>
      </c>
      <c r="M163" s="212">
        <v>0.0</v>
      </c>
      <c r="N163" s="212">
        <v>0.0</v>
      </c>
      <c r="O163" s="212">
        <v>0.0</v>
      </c>
      <c r="P163" s="212">
        <v>0.0</v>
      </c>
      <c r="Q163" s="212">
        <v>0.0</v>
      </c>
      <c r="R163" s="212">
        <v>0.0</v>
      </c>
      <c r="S163" s="212">
        <v>0.0</v>
      </c>
      <c r="T163" s="212">
        <v>0.0</v>
      </c>
      <c r="U163" s="211"/>
      <c r="V163" s="211"/>
      <c r="W163" s="211"/>
      <c r="X163" s="211"/>
      <c r="Y163" s="211"/>
      <c r="Z163" s="211"/>
      <c r="AA163" s="211"/>
      <c r="AB163" s="211"/>
    </row>
    <row r="164" ht="17.25" customHeight="1">
      <c r="A164" s="203" t="s">
        <v>876</v>
      </c>
      <c r="B164" s="203" t="s">
        <v>878</v>
      </c>
      <c r="C164" s="207">
        <v>0.5855670103092784</v>
      </c>
      <c r="D164" s="207"/>
      <c r="E164" s="213">
        <v>34.0</v>
      </c>
      <c r="F164" s="209" t="s">
        <v>643</v>
      </c>
      <c r="G164" s="210">
        <v>79.0</v>
      </c>
      <c r="H164" s="210">
        <v>79.0</v>
      </c>
      <c r="I164" s="210">
        <v>79.0</v>
      </c>
      <c r="J164" s="210">
        <v>79.0</v>
      </c>
      <c r="K164" s="210">
        <v>79.0</v>
      </c>
      <c r="L164" s="210">
        <v>79.0</v>
      </c>
      <c r="M164" s="210">
        <v>79.0</v>
      </c>
      <c r="N164" s="210">
        <v>79.0</v>
      </c>
      <c r="O164" s="210">
        <v>77.0</v>
      </c>
      <c r="P164" s="210">
        <v>77.0</v>
      </c>
      <c r="Q164" s="210">
        <v>77.0</v>
      </c>
      <c r="R164" s="210">
        <v>73.0</v>
      </c>
      <c r="S164" s="210">
        <v>69.0</v>
      </c>
      <c r="T164" s="210">
        <v>69.0</v>
      </c>
      <c r="U164" s="211"/>
      <c r="V164" s="211"/>
      <c r="W164" s="211"/>
      <c r="X164" s="211"/>
      <c r="Y164" s="211"/>
      <c r="Z164" s="211"/>
      <c r="AA164" s="211"/>
      <c r="AB164" s="211"/>
    </row>
    <row r="165" ht="17.25" customHeight="1">
      <c r="A165" s="203" t="s">
        <v>887</v>
      </c>
      <c r="B165" s="203" t="s">
        <v>888</v>
      </c>
      <c r="C165" s="207" t="s">
        <v>1333</v>
      </c>
      <c r="D165" s="207"/>
      <c r="E165" s="209">
        <v>6.0</v>
      </c>
      <c r="F165" s="209" t="s">
        <v>290</v>
      </c>
      <c r="G165" s="210">
        <v>1.0</v>
      </c>
      <c r="H165" s="210">
        <v>1.0</v>
      </c>
      <c r="I165" s="210">
        <v>1.0</v>
      </c>
      <c r="J165" s="210">
        <v>1.0</v>
      </c>
      <c r="K165" s="210">
        <v>1.0</v>
      </c>
      <c r="L165" s="210">
        <v>1.0</v>
      </c>
      <c r="M165" s="210">
        <v>1.0</v>
      </c>
      <c r="N165" s="210">
        <v>1.0</v>
      </c>
      <c r="O165" s="210">
        <v>1.0</v>
      </c>
      <c r="P165" s="210">
        <v>1.0</v>
      </c>
      <c r="Q165" s="210">
        <v>1.0</v>
      </c>
      <c r="R165" s="210">
        <v>1.0</v>
      </c>
      <c r="S165" s="210">
        <v>1.0</v>
      </c>
      <c r="T165" s="210">
        <v>1.0</v>
      </c>
      <c r="U165" s="211"/>
      <c r="V165" s="211"/>
      <c r="W165" s="211"/>
      <c r="X165" s="211"/>
      <c r="Y165" s="211"/>
      <c r="Z165" s="211"/>
      <c r="AA165" s="211"/>
      <c r="AB165" s="211"/>
    </row>
    <row r="166" ht="17.25" customHeight="1">
      <c r="A166" s="203" t="s">
        <v>301</v>
      </c>
      <c r="B166" s="203" t="s">
        <v>302</v>
      </c>
      <c r="C166" s="207">
        <v>4.317525773195877</v>
      </c>
      <c r="D166" s="207"/>
      <c r="E166" s="213">
        <v>580.0</v>
      </c>
      <c r="F166" s="209" t="s">
        <v>661</v>
      </c>
      <c r="G166" s="210">
        <v>165.0</v>
      </c>
      <c r="H166" s="210">
        <v>160.0</v>
      </c>
      <c r="I166" s="210">
        <v>650.0</v>
      </c>
      <c r="J166" s="210">
        <v>650.0</v>
      </c>
      <c r="K166" s="210">
        <v>627.0</v>
      </c>
      <c r="L166" s="210">
        <v>627.0</v>
      </c>
      <c r="M166" s="210">
        <v>617.0</v>
      </c>
      <c r="N166" s="210">
        <v>617.0</v>
      </c>
      <c r="O166" s="210">
        <v>602.0</v>
      </c>
      <c r="P166" s="210">
        <v>602.0</v>
      </c>
      <c r="Q166" s="210">
        <v>588.0</v>
      </c>
      <c r="R166" s="210">
        <v>588.0</v>
      </c>
      <c r="S166" s="210">
        <v>568.0</v>
      </c>
      <c r="T166" s="210">
        <v>566.0</v>
      </c>
      <c r="U166" s="211"/>
      <c r="V166" s="211"/>
      <c r="W166" s="211"/>
      <c r="X166" s="211"/>
      <c r="Y166" s="211"/>
      <c r="Z166" s="211"/>
      <c r="AA166" s="211"/>
      <c r="AB166" s="211"/>
    </row>
    <row r="167" ht="17.25" customHeight="1">
      <c r="A167" s="203" t="s">
        <v>1880</v>
      </c>
      <c r="B167" s="203" t="s">
        <v>1881</v>
      </c>
      <c r="C167" s="207" t="s">
        <v>1333</v>
      </c>
      <c r="D167" s="207"/>
      <c r="E167" s="209">
        <v>0.0</v>
      </c>
      <c r="F167" s="209" t="s">
        <v>661</v>
      </c>
      <c r="G167" s="210">
        <v>0.0</v>
      </c>
      <c r="H167" s="210">
        <v>0.0</v>
      </c>
      <c r="I167" s="210">
        <v>0.0</v>
      </c>
      <c r="J167" s="210">
        <v>0.0</v>
      </c>
      <c r="K167" s="210">
        <v>0.0</v>
      </c>
      <c r="L167" s="210">
        <v>0.0</v>
      </c>
      <c r="M167" s="210">
        <v>0.0</v>
      </c>
      <c r="N167" s="210">
        <v>0.0</v>
      </c>
      <c r="O167" s="210">
        <v>0.0</v>
      </c>
      <c r="P167" s="210">
        <v>0.0</v>
      </c>
      <c r="Q167" s="210">
        <v>0.0</v>
      </c>
      <c r="R167" s="210">
        <v>0.0</v>
      </c>
      <c r="S167" s="210">
        <v>0.0</v>
      </c>
      <c r="T167" s="210">
        <v>0.0</v>
      </c>
      <c r="U167" s="211"/>
      <c r="V167" s="211"/>
      <c r="W167" s="211"/>
      <c r="X167" s="211"/>
      <c r="Y167" s="211"/>
      <c r="Z167" s="211"/>
      <c r="AA167" s="211"/>
      <c r="AB167" s="211"/>
    </row>
    <row r="168" ht="17.25" customHeight="1">
      <c r="A168" s="203" t="s">
        <v>1883</v>
      </c>
      <c r="B168" s="203" t="s">
        <v>1884</v>
      </c>
      <c r="C168" s="207" t="s">
        <v>1333</v>
      </c>
      <c r="D168" s="207"/>
      <c r="E168" s="209">
        <v>0.0</v>
      </c>
      <c r="F168" s="209" t="s">
        <v>661</v>
      </c>
      <c r="G168" s="210">
        <v>0.0</v>
      </c>
      <c r="H168" s="210">
        <v>0.0</v>
      </c>
      <c r="I168" s="210">
        <v>0.0</v>
      </c>
      <c r="J168" s="210">
        <v>0.0</v>
      </c>
      <c r="K168" s="210">
        <v>0.0</v>
      </c>
      <c r="L168" s="210">
        <v>0.0</v>
      </c>
      <c r="M168" s="210">
        <v>0.0</v>
      </c>
      <c r="N168" s="210">
        <v>0.0</v>
      </c>
      <c r="O168" s="210">
        <v>0.0</v>
      </c>
      <c r="P168" s="210">
        <v>0.0</v>
      </c>
      <c r="Q168" s="210">
        <v>0.0</v>
      </c>
      <c r="R168" s="210">
        <v>0.0</v>
      </c>
      <c r="S168" s="210">
        <v>0.0</v>
      </c>
      <c r="T168" s="210">
        <v>0.0</v>
      </c>
      <c r="U168" s="211"/>
      <c r="V168" s="211"/>
      <c r="W168" s="211"/>
      <c r="X168" s="211"/>
      <c r="Y168" s="211"/>
      <c r="Z168" s="211"/>
      <c r="AA168" s="211"/>
      <c r="AB168" s="211"/>
    </row>
    <row r="169" ht="17.25" customHeight="1">
      <c r="A169" s="203" t="s">
        <v>1886</v>
      </c>
      <c r="B169" s="203" t="s">
        <v>1887</v>
      </c>
      <c r="C169" s="207" t="s">
        <v>1333</v>
      </c>
      <c r="D169" s="207"/>
      <c r="E169" s="209">
        <v>0.0</v>
      </c>
      <c r="F169" s="209" t="s">
        <v>661</v>
      </c>
      <c r="G169" s="210">
        <v>0.0</v>
      </c>
      <c r="H169" s="210">
        <v>0.0</v>
      </c>
      <c r="I169" s="210">
        <v>0.0</v>
      </c>
      <c r="J169" s="210">
        <v>0.0</v>
      </c>
      <c r="K169" s="210">
        <v>0.0</v>
      </c>
      <c r="L169" s="210">
        <v>0.0</v>
      </c>
      <c r="M169" s="210">
        <v>0.0</v>
      </c>
      <c r="N169" s="210">
        <v>0.0</v>
      </c>
      <c r="O169" s="210">
        <v>0.0</v>
      </c>
      <c r="P169" s="210">
        <v>0.0</v>
      </c>
      <c r="Q169" s="210">
        <v>0.0</v>
      </c>
      <c r="R169" s="210">
        <v>0.0</v>
      </c>
      <c r="S169" s="210">
        <v>0.0</v>
      </c>
      <c r="T169" s="210">
        <v>0.0</v>
      </c>
      <c r="U169" s="211"/>
      <c r="V169" s="211"/>
      <c r="W169" s="211"/>
      <c r="X169" s="211"/>
      <c r="Y169" s="211"/>
      <c r="Z169" s="211"/>
      <c r="AA169" s="211"/>
      <c r="AB169" s="211"/>
    </row>
    <row r="170" ht="17.25" customHeight="1">
      <c r="A170" s="203" t="s">
        <v>900</v>
      </c>
      <c r="B170" s="203" t="s">
        <v>902</v>
      </c>
      <c r="C170" s="207">
        <v>0.004123711340206186</v>
      </c>
      <c r="D170" s="207"/>
      <c r="E170" s="213">
        <v>9.0</v>
      </c>
      <c r="F170" s="209" t="s">
        <v>661</v>
      </c>
      <c r="G170" s="210">
        <v>10.0</v>
      </c>
      <c r="H170" s="210">
        <v>10.0</v>
      </c>
      <c r="I170" s="210">
        <v>10.0</v>
      </c>
      <c r="J170" s="210">
        <v>10.0</v>
      </c>
      <c r="K170" s="210">
        <v>10.0</v>
      </c>
      <c r="L170" s="210">
        <v>10.0</v>
      </c>
      <c r="M170" s="210">
        <v>10.0</v>
      </c>
      <c r="N170" s="210">
        <v>10.0</v>
      </c>
      <c r="O170" s="210">
        <v>10.0</v>
      </c>
      <c r="P170" s="210">
        <v>10.0</v>
      </c>
      <c r="Q170" s="210">
        <v>10.0</v>
      </c>
      <c r="R170" s="210">
        <v>10.0</v>
      </c>
      <c r="S170" s="210">
        <v>10.0</v>
      </c>
      <c r="T170" s="210">
        <v>10.0</v>
      </c>
      <c r="U170" s="211"/>
      <c r="V170" s="211"/>
      <c r="W170" s="211"/>
      <c r="X170" s="211"/>
      <c r="Y170" s="211"/>
      <c r="Z170" s="211"/>
      <c r="AA170" s="211"/>
      <c r="AB170" s="211"/>
    </row>
    <row r="171" ht="17.25" customHeight="1">
      <c r="A171" s="203" t="s">
        <v>908</v>
      </c>
      <c r="B171" s="203" t="s">
        <v>910</v>
      </c>
      <c r="C171" s="207" t="s">
        <v>1333</v>
      </c>
      <c r="D171" s="207"/>
      <c r="E171" s="209">
        <v>16.0</v>
      </c>
      <c r="F171" s="209" t="s">
        <v>643</v>
      </c>
      <c r="G171" s="210">
        <v>1.0</v>
      </c>
      <c r="H171" s="210">
        <v>1.0</v>
      </c>
      <c r="I171" s="210">
        <v>1.0</v>
      </c>
      <c r="J171" s="210">
        <v>1.0</v>
      </c>
      <c r="K171" s="210">
        <v>1.0</v>
      </c>
      <c r="L171" s="210">
        <v>1.0</v>
      </c>
      <c r="M171" s="210">
        <v>1.0</v>
      </c>
      <c r="N171" s="210">
        <v>1.0</v>
      </c>
      <c r="O171" s="210">
        <v>1.0</v>
      </c>
      <c r="P171" s="210">
        <v>1.0</v>
      </c>
      <c r="Q171" s="210">
        <v>1.0</v>
      </c>
      <c r="R171" s="210">
        <v>1.0</v>
      </c>
      <c r="S171" s="210">
        <v>1.0</v>
      </c>
      <c r="T171" s="210">
        <v>1.0</v>
      </c>
      <c r="U171" s="211"/>
      <c r="V171" s="211"/>
      <c r="W171" s="211"/>
      <c r="X171" s="211"/>
      <c r="Y171" s="211"/>
      <c r="Z171" s="211"/>
      <c r="AA171" s="211"/>
      <c r="AB171" s="211"/>
    </row>
    <row r="172" ht="17.25" customHeight="1">
      <c r="A172" s="203" t="s">
        <v>916</v>
      </c>
      <c r="B172" s="203" t="s">
        <v>918</v>
      </c>
      <c r="C172" s="207" t="s">
        <v>1333</v>
      </c>
      <c r="D172" s="207"/>
      <c r="E172" s="209">
        <v>3.0</v>
      </c>
      <c r="F172" s="209" t="s">
        <v>290</v>
      </c>
      <c r="G172" s="210">
        <v>3.0</v>
      </c>
      <c r="H172" s="210">
        <v>3.0</v>
      </c>
      <c r="I172" s="210">
        <v>3.0</v>
      </c>
      <c r="J172" s="210">
        <v>3.0</v>
      </c>
      <c r="K172" s="210">
        <v>3.0</v>
      </c>
      <c r="L172" s="210">
        <v>3.0</v>
      </c>
      <c r="M172" s="210">
        <v>3.0</v>
      </c>
      <c r="N172" s="210">
        <v>3.0</v>
      </c>
      <c r="O172" s="210">
        <v>3.0</v>
      </c>
      <c r="P172" s="210">
        <v>3.0</v>
      </c>
      <c r="Q172" s="210">
        <v>3.0</v>
      </c>
      <c r="R172" s="210">
        <v>3.0</v>
      </c>
      <c r="S172" s="210">
        <v>3.0</v>
      </c>
      <c r="T172" s="210">
        <v>3.0</v>
      </c>
      <c r="U172" s="211"/>
      <c r="V172" s="211"/>
      <c r="W172" s="211"/>
      <c r="X172" s="211"/>
      <c r="Y172" s="211"/>
      <c r="Z172" s="211"/>
      <c r="AA172" s="211"/>
      <c r="AB172" s="211"/>
    </row>
    <row r="173" ht="17.25" customHeight="1">
      <c r="A173" s="203" t="s">
        <v>924</v>
      </c>
      <c r="B173" s="203" t="s">
        <v>925</v>
      </c>
      <c r="C173" s="207" t="s">
        <v>1333</v>
      </c>
      <c r="D173" s="207"/>
      <c r="E173" s="209">
        <v>3.0</v>
      </c>
      <c r="F173" s="209" t="s">
        <v>290</v>
      </c>
      <c r="G173" s="210">
        <v>3.0</v>
      </c>
      <c r="H173" s="210">
        <v>3.0</v>
      </c>
      <c r="I173" s="210">
        <v>3.0</v>
      </c>
      <c r="J173" s="210">
        <v>3.0</v>
      </c>
      <c r="K173" s="210">
        <v>3.0</v>
      </c>
      <c r="L173" s="210">
        <v>3.0</v>
      </c>
      <c r="M173" s="210">
        <v>3.0</v>
      </c>
      <c r="N173" s="210">
        <v>3.0</v>
      </c>
      <c r="O173" s="210">
        <v>3.0</v>
      </c>
      <c r="P173" s="210">
        <v>3.0</v>
      </c>
      <c r="Q173" s="210">
        <v>3.0</v>
      </c>
      <c r="R173" s="210">
        <v>3.0</v>
      </c>
      <c r="S173" s="210">
        <v>3.0</v>
      </c>
      <c r="T173" s="210">
        <v>3.0</v>
      </c>
      <c r="U173" s="211"/>
      <c r="V173" s="211"/>
      <c r="W173" s="211"/>
      <c r="X173" s="211"/>
      <c r="Y173" s="211"/>
      <c r="Z173" s="211"/>
      <c r="AA173" s="211"/>
      <c r="AB173" s="211"/>
    </row>
    <row r="174" ht="17.25" customHeight="1">
      <c r="A174" s="203" t="s">
        <v>932</v>
      </c>
      <c r="B174" s="203" t="s">
        <v>933</v>
      </c>
      <c r="C174" s="207">
        <v>19.381443298969074</v>
      </c>
      <c r="D174" s="207"/>
      <c r="E174" s="213">
        <v>400.0</v>
      </c>
      <c r="F174" s="209" t="s">
        <v>22</v>
      </c>
      <c r="G174" s="210">
        <v>1000.0</v>
      </c>
      <c r="H174" s="210">
        <v>1000.0</v>
      </c>
      <c r="I174" s="210">
        <v>1000.0</v>
      </c>
      <c r="J174" s="210">
        <v>1000.0</v>
      </c>
      <c r="K174" s="210">
        <v>1000.0</v>
      </c>
      <c r="L174" s="210">
        <v>1000.0</v>
      </c>
      <c r="M174" s="210">
        <v>1000.0</v>
      </c>
      <c r="N174" s="210">
        <v>1000.0</v>
      </c>
      <c r="O174" s="210">
        <v>1000.0</v>
      </c>
      <c r="P174" s="210">
        <v>1000.0</v>
      </c>
      <c r="Q174" s="210">
        <v>1000.0</v>
      </c>
      <c r="R174" s="210">
        <v>1000.0</v>
      </c>
      <c r="S174" s="210">
        <v>1000.0</v>
      </c>
      <c r="T174" s="210">
        <v>1000.0</v>
      </c>
      <c r="U174" s="211"/>
      <c r="V174" s="211"/>
      <c r="W174" s="211"/>
      <c r="X174" s="211"/>
      <c r="Y174" s="211"/>
      <c r="Z174" s="211"/>
      <c r="AA174" s="211"/>
      <c r="AB174" s="211"/>
    </row>
    <row r="175" ht="17.25" customHeight="1">
      <c r="A175" s="203" t="s">
        <v>938</v>
      </c>
      <c r="B175" s="203" t="s">
        <v>939</v>
      </c>
      <c r="C175" s="207">
        <v>22.948453608247423</v>
      </c>
      <c r="D175" s="207"/>
      <c r="E175" s="213">
        <v>35.0</v>
      </c>
      <c r="F175" s="209" t="s">
        <v>22</v>
      </c>
      <c r="G175" s="210">
        <v>35.0</v>
      </c>
      <c r="H175" s="210">
        <v>35.0</v>
      </c>
      <c r="I175" s="210">
        <v>35.0</v>
      </c>
      <c r="J175" s="210">
        <v>35.0</v>
      </c>
      <c r="K175" s="210">
        <v>35.0</v>
      </c>
      <c r="L175" s="210">
        <v>35.0</v>
      </c>
      <c r="M175" s="210">
        <v>35.0</v>
      </c>
      <c r="N175" s="210">
        <v>35.0</v>
      </c>
      <c r="O175" s="210">
        <v>35.0</v>
      </c>
      <c r="P175" s="210">
        <v>35.0</v>
      </c>
      <c r="Q175" s="210">
        <v>35.0</v>
      </c>
      <c r="R175" s="210">
        <v>35.0</v>
      </c>
      <c r="S175" s="210">
        <v>35.0</v>
      </c>
      <c r="T175" s="210">
        <v>35.0</v>
      </c>
      <c r="U175" s="211"/>
      <c r="V175" s="211"/>
      <c r="W175" s="211"/>
      <c r="X175" s="211"/>
      <c r="Y175" s="211"/>
      <c r="Z175" s="211"/>
      <c r="AA175" s="211"/>
      <c r="AB175" s="211"/>
    </row>
    <row r="176" ht="17.25" customHeight="1">
      <c r="A176" s="203" t="s">
        <v>913</v>
      </c>
      <c r="B176" s="203" t="s">
        <v>915</v>
      </c>
      <c r="C176" s="207">
        <v>4.742268041237113</v>
      </c>
      <c r="D176" s="207"/>
      <c r="E176" s="208">
        <v>0.0</v>
      </c>
      <c r="F176" s="221" t="s">
        <v>22</v>
      </c>
      <c r="G176" s="210">
        <v>650.0</v>
      </c>
      <c r="H176" s="210">
        <v>650.0</v>
      </c>
      <c r="I176" s="210">
        <v>650.0</v>
      </c>
      <c r="J176" s="210">
        <v>650.0</v>
      </c>
      <c r="K176" s="210">
        <v>650.0</v>
      </c>
      <c r="L176" s="210">
        <v>650.0</v>
      </c>
      <c r="M176" s="210">
        <v>650.0</v>
      </c>
      <c r="N176" s="210">
        <v>650.0</v>
      </c>
      <c r="O176" s="210">
        <v>650.0</v>
      </c>
      <c r="P176" s="210">
        <v>650.0</v>
      </c>
      <c r="Q176" s="210">
        <v>650.0</v>
      </c>
      <c r="R176" s="210">
        <v>650.0</v>
      </c>
      <c r="S176" s="210">
        <v>650.0</v>
      </c>
      <c r="T176" s="210">
        <v>650.0</v>
      </c>
      <c r="U176" s="211"/>
      <c r="V176" s="211"/>
      <c r="W176" s="211"/>
      <c r="X176" s="211"/>
      <c r="Y176" s="211"/>
      <c r="Z176" s="211"/>
      <c r="AA176" s="211"/>
      <c r="AB176" s="211"/>
    </row>
    <row r="177" ht="17.25" customHeight="1">
      <c r="A177" s="203" t="s">
        <v>1782</v>
      </c>
      <c r="B177" s="203" t="s">
        <v>1783</v>
      </c>
      <c r="C177" s="207">
        <v>5.773195876288661</v>
      </c>
      <c r="D177" s="207"/>
      <c r="E177" s="208">
        <v>0.0</v>
      </c>
      <c r="F177" s="221" t="s">
        <v>22</v>
      </c>
      <c r="G177" s="210">
        <v>0.0</v>
      </c>
      <c r="H177" s="210">
        <v>0.0</v>
      </c>
      <c r="I177" s="210">
        <v>0.0</v>
      </c>
      <c r="J177" s="210">
        <v>0.0</v>
      </c>
      <c r="K177" s="210">
        <v>0.0</v>
      </c>
      <c r="L177" s="210">
        <v>0.0</v>
      </c>
      <c r="M177" s="210">
        <v>0.0</v>
      </c>
      <c r="N177" s="210">
        <v>0.0</v>
      </c>
      <c r="O177" s="210">
        <v>0.0</v>
      </c>
      <c r="P177" s="210">
        <v>0.0</v>
      </c>
      <c r="Q177" s="210">
        <v>0.0</v>
      </c>
      <c r="R177" s="210">
        <v>0.0</v>
      </c>
      <c r="S177" s="210">
        <v>0.0</v>
      </c>
      <c r="T177" s="210">
        <v>0.0</v>
      </c>
      <c r="U177" s="211"/>
      <c r="V177" s="211"/>
      <c r="W177" s="211"/>
      <c r="X177" s="211"/>
      <c r="Y177" s="211"/>
      <c r="Z177" s="211"/>
      <c r="AA177" s="211"/>
      <c r="AB177" s="211"/>
    </row>
    <row r="178" ht="17.25" customHeight="1">
      <c r="A178" s="203" t="s">
        <v>1588</v>
      </c>
      <c r="B178" s="203" t="s">
        <v>1784</v>
      </c>
      <c r="C178" s="207">
        <v>2.8865979381443303</v>
      </c>
      <c r="D178" s="207"/>
      <c r="E178" s="208">
        <v>0.0</v>
      </c>
      <c r="F178" s="221" t="s">
        <v>22</v>
      </c>
      <c r="G178" s="210">
        <v>0.0</v>
      </c>
      <c r="H178" s="210">
        <v>0.0</v>
      </c>
      <c r="I178" s="210">
        <v>0.0</v>
      </c>
      <c r="J178" s="210">
        <v>0.0</v>
      </c>
      <c r="K178" s="210">
        <v>0.0</v>
      </c>
      <c r="L178" s="210">
        <v>0.0</v>
      </c>
      <c r="M178" s="210">
        <v>0.0</v>
      </c>
      <c r="N178" s="210">
        <v>0.0</v>
      </c>
      <c r="O178" s="210">
        <v>0.0</v>
      </c>
      <c r="P178" s="210">
        <v>0.0</v>
      </c>
      <c r="Q178" s="210">
        <v>0.0</v>
      </c>
      <c r="R178" s="210">
        <v>0.0</v>
      </c>
      <c r="S178" s="210">
        <v>0.0</v>
      </c>
      <c r="T178" s="210">
        <v>0.0</v>
      </c>
      <c r="U178" s="211"/>
      <c r="V178" s="211"/>
      <c r="W178" s="211"/>
      <c r="X178" s="211"/>
      <c r="Y178" s="211"/>
      <c r="Z178" s="211"/>
      <c r="AA178" s="211"/>
      <c r="AB178" s="211"/>
    </row>
    <row r="179" ht="17.25" customHeight="1">
      <c r="A179" s="203" t="s">
        <v>1583</v>
      </c>
      <c r="B179" s="203" t="s">
        <v>1901</v>
      </c>
      <c r="C179" s="207">
        <v>18.556701030927837</v>
      </c>
      <c r="D179" s="207"/>
      <c r="E179" s="208">
        <v>0.0</v>
      </c>
      <c r="F179" s="221" t="s">
        <v>22</v>
      </c>
      <c r="G179" s="210">
        <v>0.0</v>
      </c>
      <c r="H179" s="210">
        <v>0.0</v>
      </c>
      <c r="I179" s="210">
        <v>0.0</v>
      </c>
      <c r="J179" s="210">
        <v>0.0</v>
      </c>
      <c r="K179" s="210">
        <v>0.0</v>
      </c>
      <c r="L179" s="210">
        <v>0.0</v>
      </c>
      <c r="M179" s="210">
        <v>0.0</v>
      </c>
      <c r="N179" s="210">
        <v>0.0</v>
      </c>
      <c r="O179" s="210">
        <v>0.0</v>
      </c>
      <c r="P179" s="210">
        <v>0.0</v>
      </c>
      <c r="Q179" s="210">
        <v>0.0</v>
      </c>
      <c r="R179" s="210">
        <v>0.0</v>
      </c>
      <c r="S179" s="210">
        <v>0.0</v>
      </c>
      <c r="T179" s="210">
        <v>0.0</v>
      </c>
      <c r="U179" s="211"/>
      <c r="V179" s="211"/>
      <c r="W179" s="211"/>
      <c r="X179" s="211"/>
      <c r="Y179" s="211"/>
      <c r="Z179" s="211"/>
      <c r="AA179" s="211"/>
      <c r="AB179" s="211"/>
    </row>
    <row r="180" ht="17.25" customHeight="1">
      <c r="A180" s="203" t="s">
        <v>945</v>
      </c>
      <c r="B180" s="203" t="s">
        <v>946</v>
      </c>
      <c r="C180" s="207">
        <v>2.577319587628866</v>
      </c>
      <c r="D180" s="207"/>
      <c r="E180" s="213">
        <v>25.0</v>
      </c>
      <c r="F180" s="221" t="s">
        <v>616</v>
      </c>
      <c r="G180" s="210">
        <v>25.0</v>
      </c>
      <c r="H180" s="210">
        <v>25.0</v>
      </c>
      <c r="I180" s="210">
        <v>25.0</v>
      </c>
      <c r="J180" s="210">
        <v>25.0</v>
      </c>
      <c r="K180" s="210">
        <v>25.0</v>
      </c>
      <c r="L180" s="210">
        <v>25.0</v>
      </c>
      <c r="M180" s="210">
        <v>25.0</v>
      </c>
      <c r="N180" s="210">
        <v>25.0</v>
      </c>
      <c r="O180" s="210">
        <v>25.0</v>
      </c>
      <c r="P180" s="210">
        <v>25.0</v>
      </c>
      <c r="Q180" s="210">
        <v>25.0</v>
      </c>
      <c r="R180" s="210">
        <v>25.0</v>
      </c>
      <c r="S180" s="210">
        <v>25.0</v>
      </c>
      <c r="T180" s="210">
        <v>25.0</v>
      </c>
      <c r="U180" s="211"/>
      <c r="V180" s="211"/>
      <c r="W180" s="211"/>
      <c r="X180" s="211"/>
      <c r="Y180" s="211"/>
      <c r="Z180" s="211"/>
      <c r="AA180" s="211"/>
      <c r="AB180" s="211"/>
    </row>
    <row r="181" ht="17.25" customHeight="1">
      <c r="A181" s="203" t="s">
        <v>1585</v>
      </c>
      <c r="B181" s="203" t="s">
        <v>1694</v>
      </c>
      <c r="C181" s="207">
        <v>0.0</v>
      </c>
      <c r="D181" s="207"/>
      <c r="E181" s="209">
        <v>0.0</v>
      </c>
      <c r="F181" s="222" t="s">
        <v>22</v>
      </c>
      <c r="G181" s="210">
        <v>0.0</v>
      </c>
      <c r="H181" s="210">
        <v>0.0</v>
      </c>
      <c r="I181" s="210">
        <v>0.0</v>
      </c>
      <c r="J181" s="210">
        <v>0.0</v>
      </c>
      <c r="K181" s="210">
        <v>0.0</v>
      </c>
      <c r="L181" s="210">
        <v>0.0</v>
      </c>
      <c r="M181" s="210">
        <v>0.0</v>
      </c>
      <c r="N181" s="210">
        <v>0.0</v>
      </c>
      <c r="O181" s="210">
        <v>0.0</v>
      </c>
      <c r="P181" s="210">
        <v>0.0</v>
      </c>
      <c r="Q181" s="210">
        <v>0.0</v>
      </c>
      <c r="R181" s="210">
        <v>0.0</v>
      </c>
      <c r="S181" s="210">
        <v>0.0</v>
      </c>
      <c r="T181" s="210">
        <v>0.0</v>
      </c>
      <c r="U181" s="211"/>
      <c r="V181" s="211"/>
      <c r="W181" s="222"/>
      <c r="X181" s="222"/>
      <c r="Y181" s="222"/>
      <c r="Z181" s="222"/>
      <c r="AA181" s="222"/>
      <c r="AB181" s="222"/>
    </row>
    <row r="182" ht="17.25" customHeight="1">
      <c r="A182" s="203" t="s">
        <v>1589</v>
      </c>
      <c r="B182" s="203" t="s">
        <v>1695</v>
      </c>
      <c r="C182" s="207">
        <v>0.0</v>
      </c>
      <c r="D182" s="207"/>
      <c r="E182" s="209">
        <v>0.0</v>
      </c>
      <c r="F182" s="222" t="s">
        <v>22</v>
      </c>
      <c r="G182" s="210">
        <v>0.0</v>
      </c>
      <c r="H182" s="210">
        <v>0.0</v>
      </c>
      <c r="I182" s="210">
        <v>0.0</v>
      </c>
      <c r="J182" s="210">
        <v>0.0</v>
      </c>
      <c r="K182" s="210">
        <v>0.0</v>
      </c>
      <c r="L182" s="210">
        <v>0.0</v>
      </c>
      <c r="M182" s="210">
        <v>0.0</v>
      </c>
      <c r="N182" s="210">
        <v>0.0</v>
      </c>
      <c r="O182" s="210">
        <v>0.0</v>
      </c>
      <c r="P182" s="210">
        <v>0.0</v>
      </c>
      <c r="Q182" s="210">
        <v>0.0</v>
      </c>
      <c r="R182" s="210">
        <v>0.0</v>
      </c>
      <c r="S182" s="210">
        <v>0.0</v>
      </c>
      <c r="T182" s="210">
        <v>0.0</v>
      </c>
      <c r="U182" s="211"/>
      <c r="V182" s="211"/>
      <c r="W182" s="222"/>
      <c r="X182" s="222"/>
      <c r="Y182" s="222"/>
      <c r="Z182" s="222"/>
      <c r="AA182" s="222"/>
      <c r="AB182" s="222"/>
    </row>
    <row r="183" ht="17.25" customHeight="1">
      <c r="A183" s="203" t="s">
        <v>942</v>
      </c>
      <c r="B183" s="203" t="s">
        <v>943</v>
      </c>
      <c r="C183" s="207">
        <v>0.0</v>
      </c>
      <c r="D183" s="207"/>
      <c r="E183" s="209">
        <v>900.0</v>
      </c>
      <c r="F183" s="222" t="s">
        <v>22</v>
      </c>
      <c r="G183" s="210">
        <v>0.0</v>
      </c>
      <c r="H183" s="210">
        <v>0.0</v>
      </c>
      <c r="I183" s="210">
        <v>0.0</v>
      </c>
      <c r="J183" s="210">
        <v>0.0</v>
      </c>
      <c r="K183" s="210">
        <v>0.0</v>
      </c>
      <c r="L183" s="210">
        <v>0.0</v>
      </c>
      <c r="M183" s="210">
        <v>0.0</v>
      </c>
      <c r="N183" s="210">
        <v>0.0</v>
      </c>
      <c r="O183" s="210">
        <v>0.0</v>
      </c>
      <c r="P183" s="210">
        <v>0.0</v>
      </c>
      <c r="Q183" s="210">
        <v>0.0</v>
      </c>
      <c r="R183" s="210">
        <v>0.0</v>
      </c>
      <c r="S183" s="210">
        <v>0.0</v>
      </c>
      <c r="T183" s="210">
        <v>0.0</v>
      </c>
      <c r="U183" s="211"/>
      <c r="V183" s="211"/>
      <c r="W183" s="222"/>
      <c r="X183" s="222"/>
      <c r="Y183" s="222"/>
      <c r="Z183" s="222"/>
      <c r="AA183" s="222"/>
      <c r="AB183" s="222"/>
    </row>
    <row r="184" ht="17.25" customHeight="1">
      <c r="A184" s="203" t="s">
        <v>778</v>
      </c>
      <c r="B184" s="203" t="s">
        <v>779</v>
      </c>
      <c r="C184" s="207">
        <v>0.0</v>
      </c>
      <c r="D184" s="207"/>
      <c r="E184" s="209">
        <v>0.0</v>
      </c>
      <c r="F184" s="222" t="s">
        <v>22</v>
      </c>
      <c r="G184" s="210">
        <v>0.0</v>
      </c>
      <c r="H184" s="210">
        <v>0.0</v>
      </c>
      <c r="I184" s="210">
        <v>0.0</v>
      </c>
      <c r="J184" s="210">
        <v>0.0</v>
      </c>
      <c r="K184" s="210">
        <v>0.0</v>
      </c>
      <c r="L184" s="210">
        <v>0.0</v>
      </c>
      <c r="M184" s="210">
        <v>0.0</v>
      </c>
      <c r="N184" s="210">
        <v>0.0</v>
      </c>
      <c r="O184" s="210">
        <v>0.0</v>
      </c>
      <c r="P184" s="210">
        <v>0.0</v>
      </c>
      <c r="Q184" s="210">
        <v>0.0</v>
      </c>
      <c r="R184" s="210">
        <v>0.0</v>
      </c>
      <c r="S184" s="210">
        <v>0.0</v>
      </c>
      <c r="T184" s="210">
        <v>0.0</v>
      </c>
      <c r="U184" s="211"/>
      <c r="V184" s="211"/>
      <c r="W184" s="222"/>
      <c r="X184" s="222"/>
      <c r="Y184" s="222"/>
      <c r="Z184" s="222"/>
      <c r="AA184" s="222"/>
      <c r="AB184" s="222"/>
    </row>
    <row r="185" ht="17.25" customHeight="1">
      <c r="A185" s="203" t="s">
        <v>951</v>
      </c>
      <c r="B185" s="203" t="s">
        <v>953</v>
      </c>
      <c r="C185" s="207">
        <v>0.0</v>
      </c>
      <c r="D185" s="207"/>
      <c r="E185" s="209">
        <v>990.0</v>
      </c>
      <c r="F185" s="222" t="s">
        <v>22</v>
      </c>
      <c r="G185" s="210">
        <v>2690.0</v>
      </c>
      <c r="H185" s="210">
        <v>2690.0</v>
      </c>
      <c r="I185" s="210">
        <v>2690.0</v>
      </c>
      <c r="J185" s="210">
        <v>2690.0</v>
      </c>
      <c r="K185" s="210">
        <v>2690.0</v>
      </c>
      <c r="L185" s="210">
        <v>2690.0</v>
      </c>
      <c r="M185" s="210">
        <v>2690.0</v>
      </c>
      <c r="N185" s="210">
        <v>2690.0</v>
      </c>
      <c r="O185" s="210">
        <v>2690.0</v>
      </c>
      <c r="P185" s="210">
        <v>2690.0</v>
      </c>
      <c r="Q185" s="210">
        <v>2690.0</v>
      </c>
      <c r="R185" s="210">
        <v>2690.0</v>
      </c>
      <c r="S185" s="210">
        <v>2690.0</v>
      </c>
      <c r="T185" s="210">
        <v>2690.0</v>
      </c>
      <c r="U185" s="211"/>
      <c r="V185" s="211"/>
      <c r="W185" s="222"/>
      <c r="X185" s="222"/>
      <c r="Y185" s="222"/>
      <c r="Z185" s="222"/>
      <c r="AA185" s="222"/>
      <c r="AB185" s="222"/>
    </row>
    <row r="186" ht="17.25" customHeight="1">
      <c r="A186" s="203" t="s">
        <v>1516</v>
      </c>
      <c r="B186" s="203" t="s">
        <v>1517</v>
      </c>
      <c r="C186" s="207">
        <v>0.0</v>
      </c>
      <c r="D186" s="207"/>
      <c r="E186" s="209">
        <v>1100.0</v>
      </c>
      <c r="F186" s="222" t="s">
        <v>22</v>
      </c>
      <c r="G186" s="210">
        <v>1900.0</v>
      </c>
      <c r="H186" s="210">
        <v>1900.0</v>
      </c>
      <c r="I186" s="210">
        <v>1900.0</v>
      </c>
      <c r="J186" s="210">
        <v>1900.0</v>
      </c>
      <c r="K186" s="210">
        <v>0.0</v>
      </c>
      <c r="L186" s="210">
        <v>0.0</v>
      </c>
      <c r="M186" s="210">
        <v>0.0</v>
      </c>
      <c r="N186" s="210">
        <v>0.0</v>
      </c>
      <c r="O186" s="210">
        <v>0.0</v>
      </c>
      <c r="P186" s="210">
        <v>0.0</v>
      </c>
      <c r="Q186" s="210">
        <v>0.0</v>
      </c>
      <c r="R186" s="210">
        <v>0.0</v>
      </c>
      <c r="S186" s="210">
        <v>0.0</v>
      </c>
      <c r="T186" s="210">
        <v>0.0</v>
      </c>
      <c r="U186" s="211"/>
      <c r="V186" s="211"/>
      <c r="W186" s="222"/>
      <c r="X186" s="222"/>
      <c r="Y186" s="222"/>
      <c r="Z186" s="222"/>
      <c r="AA186" s="222"/>
      <c r="AB186" s="222"/>
    </row>
    <row r="187" ht="17.25" customHeight="1">
      <c r="A187" s="203" t="s">
        <v>957</v>
      </c>
      <c r="B187" s="203" t="s">
        <v>958</v>
      </c>
      <c r="C187" s="207">
        <v>0.0</v>
      </c>
      <c r="D187" s="207"/>
      <c r="E187" s="209">
        <v>65.0</v>
      </c>
      <c r="F187" s="222" t="s">
        <v>22</v>
      </c>
      <c r="G187" s="210">
        <v>65.0</v>
      </c>
      <c r="H187" s="210">
        <v>65.0</v>
      </c>
      <c r="I187" s="210">
        <v>65.0</v>
      </c>
      <c r="J187" s="210">
        <v>65.0</v>
      </c>
      <c r="K187" s="210">
        <v>65.0</v>
      </c>
      <c r="L187" s="210">
        <v>65.0</v>
      </c>
      <c r="M187" s="210">
        <v>65.0</v>
      </c>
      <c r="N187" s="210">
        <v>65.0</v>
      </c>
      <c r="O187" s="210">
        <v>65.0</v>
      </c>
      <c r="P187" s="210">
        <v>65.0</v>
      </c>
      <c r="Q187" s="210">
        <v>65.0</v>
      </c>
      <c r="R187" s="210">
        <v>65.0</v>
      </c>
      <c r="S187" s="210">
        <v>65.0</v>
      </c>
      <c r="T187" s="210">
        <v>65.0</v>
      </c>
      <c r="U187" s="211"/>
      <c r="V187" s="211"/>
      <c r="W187" s="222"/>
      <c r="X187" s="222"/>
      <c r="Y187" s="222"/>
      <c r="Z187" s="222"/>
      <c r="AA187" s="222"/>
      <c r="AB187" s="222"/>
    </row>
    <row r="188" ht="17.25" customHeight="1">
      <c r="A188" s="203" t="s">
        <v>1911</v>
      </c>
      <c r="B188" s="203" t="s">
        <v>1913</v>
      </c>
      <c r="C188" s="207">
        <v>0.0</v>
      </c>
      <c r="D188" s="207"/>
      <c r="E188" s="209">
        <v>0.0</v>
      </c>
      <c r="F188" s="222" t="s">
        <v>22</v>
      </c>
      <c r="G188" s="210">
        <v>0.0</v>
      </c>
      <c r="H188" s="210">
        <v>0.0</v>
      </c>
      <c r="I188" s="210">
        <v>0.0</v>
      </c>
      <c r="J188" s="210">
        <v>0.0</v>
      </c>
      <c r="K188" s="210">
        <v>0.0</v>
      </c>
      <c r="L188" s="210">
        <v>0.0</v>
      </c>
      <c r="M188" s="210">
        <v>0.0</v>
      </c>
      <c r="N188" s="210">
        <v>0.0</v>
      </c>
      <c r="O188" s="210">
        <v>0.0</v>
      </c>
      <c r="P188" s="210">
        <v>0.0</v>
      </c>
      <c r="Q188" s="210">
        <v>0.0</v>
      </c>
      <c r="R188" s="210">
        <v>0.0</v>
      </c>
      <c r="S188" s="210">
        <v>0.0</v>
      </c>
      <c r="T188" s="210">
        <v>0.0</v>
      </c>
      <c r="U188" s="211"/>
      <c r="V188" s="211"/>
      <c r="W188" s="222"/>
      <c r="X188" s="222"/>
      <c r="Y188" s="222"/>
      <c r="Z188" s="222"/>
      <c r="AA188" s="222"/>
      <c r="AB188" s="222"/>
    </row>
    <row r="189" ht="17.25" customHeight="1">
      <c r="A189" s="203" t="s">
        <v>1914</v>
      </c>
      <c r="B189" s="203" t="s">
        <v>1915</v>
      </c>
      <c r="C189" s="207">
        <v>0.0</v>
      </c>
      <c r="D189" s="207"/>
      <c r="E189" s="209">
        <v>0.0</v>
      </c>
      <c r="F189" s="222" t="s">
        <v>22</v>
      </c>
      <c r="G189" s="210">
        <v>1670.0</v>
      </c>
      <c r="H189" s="210">
        <v>1670.0</v>
      </c>
      <c r="I189" s="210">
        <v>1670.0</v>
      </c>
      <c r="J189" s="210">
        <v>1670.0</v>
      </c>
      <c r="K189" s="210">
        <v>1670.0</v>
      </c>
      <c r="L189" s="210">
        <v>1670.0</v>
      </c>
      <c r="M189" s="210">
        <v>1670.0</v>
      </c>
      <c r="N189" s="210">
        <v>1670.0</v>
      </c>
      <c r="O189" s="210">
        <v>1670.0</v>
      </c>
      <c r="P189" s="210">
        <v>1670.0</v>
      </c>
      <c r="Q189" s="210">
        <v>1670.0</v>
      </c>
      <c r="R189" s="210">
        <v>1670.0</v>
      </c>
      <c r="S189" s="210">
        <v>1670.0</v>
      </c>
      <c r="T189" s="210">
        <v>1670.0</v>
      </c>
      <c r="U189" s="211"/>
      <c r="V189" s="211"/>
      <c r="W189" s="222"/>
      <c r="X189" s="222"/>
      <c r="Y189" s="222"/>
      <c r="Z189" s="222"/>
      <c r="AA189" s="222"/>
      <c r="AB189" s="222"/>
    </row>
    <row r="190" ht="17.25" customHeight="1">
      <c r="A190" s="203" t="s">
        <v>341</v>
      </c>
      <c r="B190" s="203" t="s">
        <v>342</v>
      </c>
      <c r="C190" s="207">
        <v>0.0</v>
      </c>
      <c r="D190" s="207"/>
      <c r="E190" s="209">
        <v>0.0</v>
      </c>
      <c r="F190" s="222" t="s">
        <v>22</v>
      </c>
      <c r="G190" s="210">
        <v>0.0</v>
      </c>
      <c r="H190" s="210">
        <v>0.0</v>
      </c>
      <c r="I190" s="210">
        <v>0.0</v>
      </c>
      <c r="J190" s="210">
        <v>0.0</v>
      </c>
      <c r="K190" s="210">
        <v>0.0</v>
      </c>
      <c r="L190" s="210">
        <v>0.0</v>
      </c>
      <c r="M190" s="210">
        <v>0.0</v>
      </c>
      <c r="N190" s="210">
        <v>0.0</v>
      </c>
      <c r="O190" s="210">
        <v>0.0</v>
      </c>
      <c r="P190" s="210">
        <v>0.0</v>
      </c>
      <c r="Q190" s="210">
        <v>0.0</v>
      </c>
      <c r="R190" s="210">
        <v>0.0</v>
      </c>
      <c r="S190" s="210">
        <v>0.0</v>
      </c>
      <c r="T190" s="210">
        <v>0.0</v>
      </c>
      <c r="U190" s="211"/>
      <c r="V190" s="211"/>
      <c r="W190" s="222"/>
      <c r="X190" s="222"/>
      <c r="Y190" s="222"/>
      <c r="Z190" s="222"/>
      <c r="AA190" s="222"/>
      <c r="AB190" s="222"/>
    </row>
    <row r="191" ht="17.25" customHeight="1">
      <c r="A191" s="203" t="s">
        <v>1931</v>
      </c>
      <c r="B191" s="203" t="s">
        <v>1934</v>
      </c>
      <c r="C191" s="207" t="s">
        <v>1333</v>
      </c>
      <c r="D191" s="207"/>
      <c r="E191" s="209">
        <v>0.0</v>
      </c>
      <c r="F191" s="222" t="s">
        <v>616</v>
      </c>
      <c r="G191" s="210">
        <v>0.0</v>
      </c>
      <c r="H191" s="210">
        <v>0.0</v>
      </c>
      <c r="I191" s="210">
        <v>0.0</v>
      </c>
      <c r="J191" s="210">
        <v>0.0</v>
      </c>
      <c r="K191" s="210">
        <v>0.0</v>
      </c>
      <c r="L191" s="210">
        <v>0.0</v>
      </c>
      <c r="M191" s="210">
        <v>0.0</v>
      </c>
      <c r="N191" s="210">
        <v>0.0</v>
      </c>
      <c r="O191" s="210">
        <v>0.0</v>
      </c>
      <c r="P191" s="210">
        <v>0.0</v>
      </c>
      <c r="Q191" s="210">
        <v>0.0</v>
      </c>
      <c r="R191" s="210">
        <v>0.0</v>
      </c>
      <c r="S191" s="210">
        <v>0.0</v>
      </c>
      <c r="T191" s="210">
        <v>0.0</v>
      </c>
      <c r="U191" s="211"/>
      <c r="V191" s="211"/>
      <c r="W191" s="222"/>
      <c r="X191" s="222"/>
      <c r="Y191" s="222"/>
      <c r="Z191" s="222"/>
      <c r="AA191" s="222"/>
      <c r="AB191" s="222"/>
    </row>
    <row r="192" ht="17.25" customHeight="1">
      <c r="A192" s="203" t="s">
        <v>139</v>
      </c>
      <c r="B192" s="203" t="s">
        <v>140</v>
      </c>
      <c r="C192" s="207">
        <v>0.0</v>
      </c>
      <c r="D192" s="207"/>
      <c r="E192" s="209">
        <v>0.0</v>
      </c>
      <c r="F192" s="222" t="s">
        <v>22</v>
      </c>
      <c r="G192" s="210">
        <v>0.0</v>
      </c>
      <c r="H192" s="210">
        <v>0.0</v>
      </c>
      <c r="I192" s="210">
        <v>0.0</v>
      </c>
      <c r="J192" s="210">
        <v>0.0</v>
      </c>
      <c r="K192" s="210">
        <v>0.0</v>
      </c>
      <c r="L192" s="210">
        <v>0.0</v>
      </c>
      <c r="M192" s="210">
        <v>0.0</v>
      </c>
      <c r="N192" s="210">
        <v>0.0</v>
      </c>
      <c r="O192" s="210">
        <v>0.0</v>
      </c>
      <c r="P192" s="210">
        <v>0.0</v>
      </c>
      <c r="Q192" s="210">
        <v>0.0</v>
      </c>
      <c r="R192" s="210">
        <v>0.0</v>
      </c>
      <c r="S192" s="210">
        <v>0.0</v>
      </c>
      <c r="T192" s="210">
        <v>0.0</v>
      </c>
      <c r="U192" s="211"/>
      <c r="V192" s="211"/>
      <c r="W192" s="222"/>
      <c r="X192" s="222"/>
      <c r="Y192" s="222"/>
      <c r="Z192" s="222"/>
      <c r="AA192" s="222"/>
      <c r="AB192" s="222"/>
    </row>
    <row r="193" ht="17.25" customHeight="1">
      <c r="A193" s="203" t="s">
        <v>171</v>
      </c>
      <c r="B193" s="203" t="s">
        <v>172</v>
      </c>
      <c r="C193" s="207">
        <v>0.0</v>
      </c>
      <c r="D193" s="207"/>
      <c r="E193" s="209">
        <v>720.0</v>
      </c>
      <c r="F193" s="222" t="s">
        <v>22</v>
      </c>
      <c r="G193" s="210">
        <v>720.0</v>
      </c>
      <c r="H193" s="210">
        <v>720.0</v>
      </c>
      <c r="I193" s="210">
        <v>720.0</v>
      </c>
      <c r="J193" s="210">
        <v>720.0</v>
      </c>
      <c r="K193" s="210">
        <v>720.0</v>
      </c>
      <c r="L193" s="210">
        <v>720.0</v>
      </c>
      <c r="M193" s="210">
        <v>720.0</v>
      </c>
      <c r="N193" s="210">
        <v>720.0</v>
      </c>
      <c r="O193" s="210">
        <v>720.0</v>
      </c>
      <c r="P193" s="210">
        <v>720.0</v>
      </c>
      <c r="Q193" s="210">
        <v>720.0</v>
      </c>
      <c r="R193" s="210">
        <v>720.0</v>
      </c>
      <c r="S193" s="210">
        <v>720.0</v>
      </c>
      <c r="T193" s="210">
        <v>720.0</v>
      </c>
      <c r="U193" s="211"/>
      <c r="V193" s="211"/>
      <c r="W193" s="222"/>
      <c r="X193" s="222"/>
      <c r="Y193" s="222"/>
      <c r="Z193" s="222"/>
      <c r="AA193" s="222"/>
      <c r="AB193" s="222"/>
    </row>
    <row r="194" ht="17.25" customHeight="1">
      <c r="A194" s="203" t="s">
        <v>964</v>
      </c>
      <c r="B194" s="203" t="s">
        <v>965</v>
      </c>
      <c r="C194" s="207">
        <v>1.6494845360824741</v>
      </c>
      <c r="D194" s="207"/>
      <c r="E194" s="213">
        <v>25.0</v>
      </c>
      <c r="F194" s="222" t="s">
        <v>643</v>
      </c>
      <c r="G194" s="210">
        <v>14.0</v>
      </c>
      <c r="H194" s="210">
        <v>14.0</v>
      </c>
      <c r="I194" s="210">
        <v>14.0</v>
      </c>
      <c r="J194" s="210">
        <v>14.0</v>
      </c>
      <c r="K194" s="210">
        <v>10.0</v>
      </c>
      <c r="L194" s="210">
        <v>10.0</v>
      </c>
      <c r="M194" s="210">
        <v>10.0</v>
      </c>
      <c r="N194" s="210">
        <v>10.0</v>
      </c>
      <c r="O194" s="210">
        <v>10.0</v>
      </c>
      <c r="P194" s="210">
        <v>10.0</v>
      </c>
      <c r="Q194" s="210">
        <v>10.0</v>
      </c>
      <c r="R194" s="210">
        <v>10.0</v>
      </c>
      <c r="S194" s="210">
        <v>10.0</v>
      </c>
      <c r="T194" s="210">
        <v>10.0</v>
      </c>
      <c r="U194" s="211"/>
      <c r="V194" s="211"/>
      <c r="W194" s="222"/>
      <c r="X194" s="222"/>
      <c r="Y194" s="222"/>
      <c r="Z194" s="222"/>
      <c r="AA194" s="222"/>
      <c r="AB194" s="222"/>
    </row>
    <row r="195" ht="17.25" customHeight="1">
      <c r="A195" s="203" t="s">
        <v>968</v>
      </c>
      <c r="B195" s="203" t="s">
        <v>969</v>
      </c>
      <c r="C195" s="207">
        <v>0.20618556701030927</v>
      </c>
      <c r="D195" s="207"/>
      <c r="E195" s="213">
        <v>2.0</v>
      </c>
      <c r="F195" s="222" t="s">
        <v>290</v>
      </c>
      <c r="G195" s="210">
        <v>3.0</v>
      </c>
      <c r="H195" s="210">
        <v>3.0</v>
      </c>
      <c r="I195" s="210">
        <v>3.0</v>
      </c>
      <c r="J195" s="210">
        <v>3.0</v>
      </c>
      <c r="K195" s="210">
        <v>3.0</v>
      </c>
      <c r="L195" s="210">
        <v>3.0</v>
      </c>
      <c r="M195" s="210">
        <v>3.0</v>
      </c>
      <c r="N195" s="210">
        <v>3.0</v>
      </c>
      <c r="O195" s="210">
        <v>3.0</v>
      </c>
      <c r="P195" s="210">
        <v>3.0</v>
      </c>
      <c r="Q195" s="210">
        <v>3.0</v>
      </c>
      <c r="R195" s="210">
        <v>3.0</v>
      </c>
      <c r="S195" s="210">
        <v>3.0</v>
      </c>
      <c r="T195" s="210">
        <v>3.0</v>
      </c>
      <c r="U195" s="211"/>
      <c r="V195" s="211"/>
      <c r="W195" s="222"/>
      <c r="X195" s="222"/>
      <c r="Y195" s="222"/>
      <c r="Z195" s="222"/>
      <c r="AA195" s="222"/>
      <c r="AB195" s="222"/>
    </row>
    <row r="196" ht="17.25" customHeight="1">
      <c r="A196" s="203" t="s">
        <v>971</v>
      </c>
      <c r="B196" s="203" t="s">
        <v>972</v>
      </c>
      <c r="C196" s="207">
        <v>0.28865979381443296</v>
      </c>
      <c r="D196" s="207"/>
      <c r="E196" s="213">
        <v>6.0</v>
      </c>
      <c r="F196" s="222" t="s">
        <v>661</v>
      </c>
      <c r="G196" s="210">
        <v>1.0</v>
      </c>
      <c r="H196" s="210">
        <v>1.0</v>
      </c>
      <c r="I196" s="210">
        <v>1.0</v>
      </c>
      <c r="J196" s="210">
        <v>1.0</v>
      </c>
      <c r="K196" s="210">
        <v>1.0</v>
      </c>
      <c r="L196" s="210">
        <v>1.0</v>
      </c>
      <c r="M196" s="210">
        <v>1.0</v>
      </c>
      <c r="N196" s="210">
        <v>1.0</v>
      </c>
      <c r="O196" s="210">
        <v>1.0</v>
      </c>
      <c r="P196" s="210">
        <v>1.0</v>
      </c>
      <c r="Q196" s="210">
        <v>1.0</v>
      </c>
      <c r="R196" s="210">
        <v>1.0</v>
      </c>
      <c r="S196" s="210">
        <v>1.0</v>
      </c>
      <c r="T196" s="210">
        <v>1.0</v>
      </c>
      <c r="U196" s="211"/>
      <c r="V196" s="211"/>
      <c r="W196" s="222"/>
      <c r="X196" s="222"/>
      <c r="Y196" s="222"/>
      <c r="Z196" s="222"/>
      <c r="AA196" s="222"/>
      <c r="AB196" s="222"/>
    </row>
    <row r="197" ht="17.25" customHeight="1">
      <c r="A197" s="203" t="s">
        <v>978</v>
      </c>
      <c r="B197" s="203" t="s">
        <v>979</v>
      </c>
      <c r="C197" s="207">
        <v>1.0309278350515463</v>
      </c>
      <c r="D197" s="207"/>
      <c r="E197" s="213">
        <v>15.0</v>
      </c>
      <c r="F197" s="222" t="s">
        <v>661</v>
      </c>
      <c r="G197" s="210">
        <v>15.0</v>
      </c>
      <c r="H197" s="210">
        <v>15.0</v>
      </c>
      <c r="I197" s="210">
        <v>15.0</v>
      </c>
      <c r="J197" s="210">
        <v>15.0</v>
      </c>
      <c r="K197" s="210">
        <v>15.0</v>
      </c>
      <c r="L197" s="210">
        <v>15.0</v>
      </c>
      <c r="M197" s="210">
        <v>15.0</v>
      </c>
      <c r="N197" s="210">
        <v>15.0</v>
      </c>
      <c r="O197" s="210">
        <v>15.0</v>
      </c>
      <c r="P197" s="210">
        <v>15.0</v>
      </c>
      <c r="Q197" s="210">
        <v>15.0</v>
      </c>
      <c r="R197" s="210">
        <v>15.0</v>
      </c>
      <c r="S197" s="210">
        <v>15.0</v>
      </c>
      <c r="T197" s="210">
        <v>15.0</v>
      </c>
      <c r="U197" s="211"/>
      <c r="V197" s="211"/>
      <c r="W197" s="222"/>
      <c r="X197" s="222"/>
      <c r="Y197" s="222"/>
      <c r="Z197" s="222"/>
      <c r="AA197" s="222"/>
      <c r="AB197" s="222"/>
    </row>
    <row r="198" ht="17.25" customHeight="1">
      <c r="A198" s="203" t="s">
        <v>983</v>
      </c>
      <c r="B198" s="203" t="s">
        <v>984</v>
      </c>
      <c r="C198" s="207" t="s">
        <v>1333</v>
      </c>
      <c r="D198" s="207"/>
      <c r="E198" s="209">
        <v>8.0</v>
      </c>
      <c r="F198" s="222" t="s">
        <v>661</v>
      </c>
      <c r="G198" s="210">
        <v>3.0</v>
      </c>
      <c r="H198" s="210">
        <v>3.0</v>
      </c>
      <c r="I198" s="210">
        <v>3.0</v>
      </c>
      <c r="J198" s="210">
        <v>3.0</v>
      </c>
      <c r="K198" s="210">
        <v>3.0</v>
      </c>
      <c r="L198" s="210">
        <v>3.0</v>
      </c>
      <c r="M198" s="210">
        <v>3.0</v>
      </c>
      <c r="N198" s="210">
        <v>3.0</v>
      </c>
      <c r="O198" s="210">
        <v>3.0</v>
      </c>
      <c r="P198" s="210">
        <v>3.0</v>
      </c>
      <c r="Q198" s="210">
        <v>3.0</v>
      </c>
      <c r="R198" s="210">
        <v>3.0</v>
      </c>
      <c r="S198" s="210">
        <v>3.0</v>
      </c>
      <c r="T198" s="210">
        <v>3.0</v>
      </c>
      <c r="U198" s="211"/>
      <c r="V198" s="211"/>
      <c r="W198" s="222"/>
      <c r="X198" s="222"/>
      <c r="Y198" s="222"/>
      <c r="Z198" s="222"/>
      <c r="AA198" s="222"/>
      <c r="AB198" s="222"/>
    </row>
    <row r="199" ht="17.25" customHeight="1">
      <c r="A199" s="203" t="s">
        <v>988</v>
      </c>
      <c r="B199" s="203" t="s">
        <v>990</v>
      </c>
      <c r="C199" s="207">
        <v>0.0</v>
      </c>
      <c r="D199" s="207"/>
      <c r="E199" s="209">
        <v>2.0</v>
      </c>
      <c r="F199" s="222" t="s">
        <v>661</v>
      </c>
      <c r="G199" s="210">
        <v>0.0</v>
      </c>
      <c r="H199" s="210">
        <v>0.0</v>
      </c>
      <c r="I199" s="210">
        <v>0.0</v>
      </c>
      <c r="J199" s="210">
        <v>0.0</v>
      </c>
      <c r="K199" s="210">
        <v>0.0</v>
      </c>
      <c r="L199" s="210">
        <v>0.0</v>
      </c>
      <c r="M199" s="210">
        <v>0.0</v>
      </c>
      <c r="N199" s="210">
        <v>0.0</v>
      </c>
      <c r="O199" s="210">
        <v>0.0</v>
      </c>
      <c r="P199" s="210">
        <v>0.0</v>
      </c>
      <c r="Q199" s="210">
        <v>0.0</v>
      </c>
      <c r="R199" s="210">
        <v>0.0</v>
      </c>
      <c r="S199" s="210">
        <v>0.0</v>
      </c>
      <c r="T199" s="210">
        <v>0.0</v>
      </c>
      <c r="U199" s="211"/>
      <c r="V199" s="211"/>
      <c r="W199" s="222"/>
      <c r="X199" s="222"/>
      <c r="Y199" s="222"/>
      <c r="Z199" s="222"/>
      <c r="AA199" s="222"/>
      <c r="AB199" s="222"/>
    </row>
    <row r="200" ht="17.25" customHeight="1">
      <c r="A200" s="203" t="s">
        <v>753</v>
      </c>
      <c r="B200" s="203" t="s">
        <v>755</v>
      </c>
      <c r="C200" s="207">
        <v>0.0</v>
      </c>
      <c r="D200" s="207"/>
      <c r="E200" s="209">
        <v>25.0</v>
      </c>
      <c r="F200" s="222" t="s">
        <v>290</v>
      </c>
      <c r="G200" s="210">
        <v>0.0</v>
      </c>
      <c r="H200" s="210">
        <v>0.0</v>
      </c>
      <c r="I200" s="210">
        <v>0.0</v>
      </c>
      <c r="J200" s="210">
        <v>0.0</v>
      </c>
      <c r="K200" s="210">
        <v>0.0</v>
      </c>
      <c r="L200" s="210">
        <v>20.0</v>
      </c>
      <c r="M200" s="210">
        <v>20.0</v>
      </c>
      <c r="N200" s="210">
        <v>20.0</v>
      </c>
      <c r="O200" s="210">
        <v>20.0</v>
      </c>
      <c r="P200" s="210">
        <v>20.0</v>
      </c>
      <c r="Q200" s="210">
        <v>0.0</v>
      </c>
      <c r="R200" s="210">
        <v>0.0</v>
      </c>
      <c r="S200" s="210">
        <v>0.0</v>
      </c>
      <c r="T200" s="210">
        <v>0.0</v>
      </c>
      <c r="U200" s="211"/>
      <c r="V200" s="211"/>
      <c r="W200" s="222"/>
      <c r="X200" s="222"/>
      <c r="Y200" s="222"/>
      <c r="Z200" s="222"/>
      <c r="AA200" s="222"/>
      <c r="AB200" s="222"/>
    </row>
    <row r="201" ht="17.25" customHeight="1">
      <c r="A201" s="203" t="s">
        <v>994</v>
      </c>
      <c r="B201" s="203" t="s">
        <v>995</v>
      </c>
      <c r="C201" s="207">
        <v>0.4948453608247423</v>
      </c>
      <c r="D201" s="207"/>
      <c r="E201" s="213">
        <v>9.0</v>
      </c>
      <c r="F201" s="222" t="s">
        <v>661</v>
      </c>
      <c r="G201" s="210">
        <v>4.0</v>
      </c>
      <c r="H201" s="210">
        <v>4.0</v>
      </c>
      <c r="I201" s="210">
        <v>4.0</v>
      </c>
      <c r="J201" s="210">
        <v>4.0</v>
      </c>
      <c r="K201" s="210">
        <v>3.0</v>
      </c>
      <c r="L201" s="210">
        <v>3.0</v>
      </c>
      <c r="M201" s="210">
        <v>3.0</v>
      </c>
      <c r="N201" s="210">
        <v>3.0</v>
      </c>
      <c r="O201" s="210">
        <v>2.0</v>
      </c>
      <c r="P201" s="210">
        <v>2.0</v>
      </c>
      <c r="Q201" s="210">
        <v>2.0</v>
      </c>
      <c r="R201" s="210">
        <v>2.0</v>
      </c>
      <c r="S201" s="210">
        <v>2.0</v>
      </c>
      <c r="T201" s="210">
        <v>2.0</v>
      </c>
      <c r="U201" s="211"/>
      <c r="V201" s="211"/>
      <c r="W201" s="222"/>
      <c r="X201" s="222"/>
      <c r="Y201" s="222"/>
      <c r="Z201" s="222"/>
      <c r="AA201" s="222"/>
      <c r="AB201" s="222"/>
    </row>
    <row r="202" ht="17.25" customHeight="1">
      <c r="A202" s="203" t="s">
        <v>1614</v>
      </c>
      <c r="B202" s="203" t="s">
        <v>1792</v>
      </c>
      <c r="C202" s="207">
        <v>0.0</v>
      </c>
      <c r="D202" s="207"/>
      <c r="E202" s="209">
        <v>0.0</v>
      </c>
      <c r="F202" s="222" t="s">
        <v>22</v>
      </c>
      <c r="G202" s="210">
        <v>0.0</v>
      </c>
      <c r="H202" s="210">
        <v>0.0</v>
      </c>
      <c r="I202" s="210">
        <v>0.0</v>
      </c>
      <c r="J202" s="210">
        <v>0.0</v>
      </c>
      <c r="K202" s="210">
        <v>0.0</v>
      </c>
      <c r="L202" s="210">
        <v>0.0</v>
      </c>
      <c r="M202" s="210">
        <v>0.0</v>
      </c>
      <c r="N202" s="210">
        <v>0.0</v>
      </c>
      <c r="O202" s="210">
        <v>0.0</v>
      </c>
      <c r="P202" s="210">
        <v>0.0</v>
      </c>
      <c r="Q202" s="210">
        <v>0.0</v>
      </c>
      <c r="R202" s="210">
        <v>0.0</v>
      </c>
      <c r="S202" s="210">
        <v>0.0</v>
      </c>
      <c r="T202" s="210">
        <v>0.0</v>
      </c>
      <c r="U202" s="211"/>
      <c r="V202" s="211"/>
      <c r="W202" s="222"/>
      <c r="X202" s="222"/>
      <c r="Y202" s="222"/>
      <c r="Z202" s="222"/>
      <c r="AA202" s="222"/>
      <c r="AB202" s="222"/>
    </row>
    <row r="203" ht="17.25" customHeight="1">
      <c r="A203" s="203" t="s">
        <v>1917</v>
      </c>
      <c r="B203" s="203" t="s">
        <v>1918</v>
      </c>
      <c r="C203" s="207">
        <v>0.0</v>
      </c>
      <c r="D203" s="207"/>
      <c r="E203" s="209">
        <v>0.0</v>
      </c>
      <c r="F203" s="222" t="s">
        <v>661</v>
      </c>
      <c r="G203" s="210">
        <v>1.0</v>
      </c>
      <c r="H203" s="210">
        <v>0.0</v>
      </c>
      <c r="I203" s="210">
        <v>0.0</v>
      </c>
      <c r="J203" s="210">
        <v>0.0</v>
      </c>
      <c r="K203" s="210">
        <v>0.0</v>
      </c>
      <c r="L203" s="210">
        <v>0.0</v>
      </c>
      <c r="M203" s="210">
        <v>0.0</v>
      </c>
      <c r="N203" s="210">
        <v>0.0</v>
      </c>
      <c r="O203" s="210">
        <v>0.0</v>
      </c>
      <c r="P203" s="210">
        <v>0.0</v>
      </c>
      <c r="Q203" s="210">
        <v>0.0</v>
      </c>
      <c r="R203" s="210">
        <v>0.0</v>
      </c>
      <c r="S203" s="210">
        <v>0.0</v>
      </c>
      <c r="T203" s="210">
        <v>0.0</v>
      </c>
      <c r="U203" s="211"/>
      <c r="V203" s="211"/>
      <c r="W203" s="222"/>
      <c r="X203" s="222"/>
      <c r="Y203" s="222"/>
      <c r="Z203" s="222"/>
      <c r="AA203" s="222"/>
      <c r="AB203" s="222"/>
    </row>
    <row r="204" ht="17.25" customHeight="1">
      <c r="A204" s="203" t="s">
        <v>998</v>
      </c>
      <c r="B204" s="203" t="s">
        <v>999</v>
      </c>
      <c r="C204" s="207">
        <v>0.0</v>
      </c>
      <c r="D204" s="207"/>
      <c r="E204" s="209">
        <v>1.0</v>
      </c>
      <c r="F204" s="222" t="s">
        <v>661</v>
      </c>
      <c r="G204" s="210">
        <v>0.0</v>
      </c>
      <c r="H204" s="210">
        <v>0.0</v>
      </c>
      <c r="I204" s="210">
        <v>0.0</v>
      </c>
      <c r="J204" s="210">
        <v>0.0</v>
      </c>
      <c r="K204" s="210">
        <v>0.0</v>
      </c>
      <c r="L204" s="210">
        <v>0.0</v>
      </c>
      <c r="M204" s="210">
        <v>0.0</v>
      </c>
      <c r="N204" s="210">
        <v>0.0</v>
      </c>
      <c r="O204" s="210">
        <v>0.0</v>
      </c>
      <c r="P204" s="210">
        <v>0.0</v>
      </c>
      <c r="Q204" s="210">
        <v>0.0</v>
      </c>
      <c r="R204" s="210">
        <v>0.0</v>
      </c>
      <c r="S204" s="210">
        <v>0.0</v>
      </c>
      <c r="T204" s="210">
        <v>0.0</v>
      </c>
      <c r="U204" s="211"/>
      <c r="V204" s="211"/>
      <c r="W204" s="222"/>
      <c r="X204" s="222"/>
      <c r="Y204" s="222"/>
      <c r="Z204" s="222"/>
      <c r="AA204" s="222"/>
      <c r="AB204" s="222"/>
    </row>
    <row r="205" ht="17.25" customHeight="1">
      <c r="A205" s="203" t="s">
        <v>1001</v>
      </c>
      <c r="B205" s="203" t="s">
        <v>1002</v>
      </c>
      <c r="C205" s="207">
        <v>0.0</v>
      </c>
      <c r="D205" s="207"/>
      <c r="E205" s="209">
        <v>1.0</v>
      </c>
      <c r="F205" s="222" t="s">
        <v>290</v>
      </c>
      <c r="G205" s="210">
        <v>1.0</v>
      </c>
      <c r="H205" s="210">
        <v>1.0</v>
      </c>
      <c r="I205" s="210">
        <v>1.0</v>
      </c>
      <c r="J205" s="210">
        <v>1.0</v>
      </c>
      <c r="K205" s="210">
        <v>1.0</v>
      </c>
      <c r="L205" s="210">
        <v>1.0</v>
      </c>
      <c r="M205" s="210">
        <v>1.0</v>
      </c>
      <c r="N205" s="210">
        <v>1.0</v>
      </c>
      <c r="O205" s="210">
        <v>1.0</v>
      </c>
      <c r="P205" s="210">
        <v>1.0</v>
      </c>
      <c r="Q205" s="210">
        <v>1.0</v>
      </c>
      <c r="R205" s="210">
        <v>1.0</v>
      </c>
      <c r="S205" s="210">
        <v>1.0</v>
      </c>
      <c r="T205" s="210">
        <v>1.0</v>
      </c>
      <c r="U205" s="211"/>
      <c r="V205" s="211"/>
      <c r="W205" s="222"/>
      <c r="X205" s="222"/>
      <c r="Y205" s="222"/>
      <c r="Z205" s="222"/>
      <c r="AA205" s="222"/>
      <c r="AB205" s="222"/>
    </row>
    <row r="206" ht="17.25" customHeight="1">
      <c r="A206" s="203" t="s">
        <v>1920</v>
      </c>
      <c r="B206" s="203" t="s">
        <v>1921</v>
      </c>
      <c r="C206" s="207">
        <v>0.0</v>
      </c>
      <c r="D206" s="207"/>
      <c r="E206" s="209">
        <v>0.0</v>
      </c>
      <c r="F206" s="222" t="s">
        <v>22</v>
      </c>
      <c r="G206" s="210">
        <v>0.0</v>
      </c>
      <c r="H206" s="210">
        <v>0.0</v>
      </c>
      <c r="I206" s="210">
        <v>0.0</v>
      </c>
      <c r="J206" s="210">
        <v>0.0</v>
      </c>
      <c r="K206" s="210">
        <v>0.0</v>
      </c>
      <c r="L206" s="210">
        <v>0.0</v>
      </c>
      <c r="M206" s="210">
        <v>0.0</v>
      </c>
      <c r="N206" s="210">
        <v>0.0</v>
      </c>
      <c r="O206" s="210">
        <v>0.0</v>
      </c>
      <c r="P206" s="210">
        <v>0.0</v>
      </c>
      <c r="Q206" s="210">
        <v>0.0</v>
      </c>
      <c r="R206" s="210">
        <v>0.0</v>
      </c>
      <c r="S206" s="210">
        <v>0.0</v>
      </c>
      <c r="T206" s="210">
        <v>0.0</v>
      </c>
      <c r="U206" s="222"/>
      <c r="V206" s="222"/>
      <c r="W206" s="222"/>
      <c r="X206" s="222"/>
      <c r="Y206" s="222"/>
      <c r="Z206" s="222"/>
      <c r="AA206" s="222"/>
      <c r="AB206" s="222"/>
    </row>
    <row r="207" ht="17.25" customHeight="1">
      <c r="A207" s="203" t="s">
        <v>1004</v>
      </c>
      <c r="B207" s="203" t="s">
        <v>1005</v>
      </c>
      <c r="C207" s="207" t="s">
        <v>1333</v>
      </c>
      <c r="D207" s="207"/>
      <c r="E207" s="209">
        <v>5.0</v>
      </c>
      <c r="F207" s="222" t="s">
        <v>643</v>
      </c>
      <c r="G207" s="210">
        <v>5.0</v>
      </c>
      <c r="H207" s="210">
        <v>5.0</v>
      </c>
      <c r="I207" s="210">
        <v>5.0</v>
      </c>
      <c r="J207" s="210">
        <v>5.0</v>
      </c>
      <c r="K207" s="210">
        <v>5.0</v>
      </c>
      <c r="L207" s="210">
        <v>5.0</v>
      </c>
      <c r="M207" s="210">
        <v>5.0</v>
      </c>
      <c r="N207" s="210">
        <v>5.0</v>
      </c>
      <c r="O207" s="210">
        <v>5.0</v>
      </c>
      <c r="P207" s="210">
        <v>5.0</v>
      </c>
      <c r="Q207" s="210">
        <v>5.0</v>
      </c>
      <c r="R207" s="210">
        <v>5.0</v>
      </c>
      <c r="S207" s="210">
        <v>5.0</v>
      </c>
      <c r="T207" s="210">
        <v>5.0</v>
      </c>
      <c r="U207" s="222"/>
      <c r="V207" s="222"/>
      <c r="W207" s="222"/>
      <c r="X207" s="222"/>
      <c r="Y207" s="222"/>
      <c r="Z207" s="222"/>
      <c r="AA207" s="222"/>
      <c r="AB207" s="222"/>
    </row>
    <row r="208" ht="17.25" customHeight="1">
      <c r="A208" s="203" t="s">
        <v>1008</v>
      </c>
      <c r="B208" s="203" t="s">
        <v>1009</v>
      </c>
      <c r="C208" s="207">
        <v>0.0</v>
      </c>
      <c r="D208" s="207"/>
      <c r="E208" s="209">
        <v>200.0</v>
      </c>
      <c r="F208" s="222" t="s">
        <v>22</v>
      </c>
      <c r="G208" s="210">
        <v>300.0</v>
      </c>
      <c r="H208" s="210">
        <v>300.0</v>
      </c>
      <c r="I208" s="210">
        <v>300.0</v>
      </c>
      <c r="J208" s="210">
        <v>300.0</v>
      </c>
      <c r="K208" s="210">
        <v>300.0</v>
      </c>
      <c r="L208" s="210">
        <v>300.0</v>
      </c>
      <c r="M208" s="210">
        <v>300.0</v>
      </c>
      <c r="N208" s="210">
        <v>300.0</v>
      </c>
      <c r="O208" s="210">
        <v>300.0</v>
      </c>
      <c r="P208" s="210">
        <v>300.0</v>
      </c>
      <c r="Q208" s="210">
        <v>300.0</v>
      </c>
      <c r="R208" s="210">
        <v>300.0</v>
      </c>
      <c r="S208" s="210">
        <v>300.0</v>
      </c>
      <c r="T208" s="210">
        <v>300.0</v>
      </c>
      <c r="U208" s="222"/>
      <c r="V208" s="222"/>
      <c r="W208" s="222"/>
      <c r="X208" s="222"/>
      <c r="Y208" s="222"/>
      <c r="Z208" s="222"/>
      <c r="AA208" s="222"/>
      <c r="AB208" s="222"/>
    </row>
    <row r="209" ht="17.25" customHeight="1">
      <c r="A209" s="203" t="s">
        <v>1011</v>
      </c>
      <c r="B209" s="203" t="s">
        <v>1012</v>
      </c>
      <c r="C209" s="207">
        <v>0.0</v>
      </c>
      <c r="D209" s="207"/>
      <c r="E209" s="209">
        <v>100.0</v>
      </c>
      <c r="F209" s="222" t="s">
        <v>22</v>
      </c>
      <c r="G209" s="210">
        <v>200.0</v>
      </c>
      <c r="H209" s="210">
        <v>200.0</v>
      </c>
      <c r="I209" s="210">
        <v>200.0</v>
      </c>
      <c r="J209" s="210">
        <v>200.0</v>
      </c>
      <c r="K209" s="210">
        <v>200.0</v>
      </c>
      <c r="L209" s="210">
        <v>200.0</v>
      </c>
      <c r="M209" s="210">
        <v>200.0</v>
      </c>
      <c r="N209" s="210">
        <v>200.0</v>
      </c>
      <c r="O209" s="210">
        <v>200.0</v>
      </c>
      <c r="P209" s="210">
        <v>200.0</v>
      </c>
      <c r="Q209" s="210">
        <v>200.0</v>
      </c>
      <c r="R209" s="210">
        <v>200.0</v>
      </c>
      <c r="S209" s="210">
        <v>200.0</v>
      </c>
      <c r="T209" s="210">
        <v>200.0</v>
      </c>
      <c r="U209" s="222"/>
      <c r="V209" s="222"/>
      <c r="W209" s="222"/>
      <c r="X209" s="222"/>
      <c r="Y209" s="222"/>
      <c r="Z209" s="222"/>
      <c r="AA209" s="222"/>
      <c r="AB209" s="222"/>
    </row>
    <row r="210" ht="17.25" customHeight="1">
      <c r="A210" s="203" t="s">
        <v>1699</v>
      </c>
      <c r="B210" s="203" t="s">
        <v>1700</v>
      </c>
      <c r="C210" s="207">
        <v>0.0</v>
      </c>
      <c r="D210" s="207"/>
      <c r="E210" s="209">
        <v>0.0</v>
      </c>
      <c r="F210" s="222" t="s">
        <v>22</v>
      </c>
      <c r="G210" s="210">
        <v>0.0</v>
      </c>
      <c r="H210" s="210">
        <v>0.0</v>
      </c>
      <c r="I210" s="210">
        <v>0.0</v>
      </c>
      <c r="J210" s="210">
        <v>0.0</v>
      </c>
      <c r="K210" s="210">
        <v>0.0</v>
      </c>
      <c r="L210" s="210">
        <v>0.0</v>
      </c>
      <c r="M210" s="210">
        <v>0.0</v>
      </c>
      <c r="N210" s="210">
        <v>0.0</v>
      </c>
      <c r="O210" s="210">
        <v>0.0</v>
      </c>
      <c r="P210" s="210">
        <v>0.0</v>
      </c>
      <c r="Q210" s="210">
        <v>0.0</v>
      </c>
      <c r="R210" s="210">
        <v>0.0</v>
      </c>
      <c r="S210" s="210">
        <v>0.0</v>
      </c>
      <c r="T210" s="210">
        <v>0.0</v>
      </c>
      <c r="U210" s="222"/>
      <c r="V210" s="222"/>
      <c r="W210" s="222"/>
      <c r="X210" s="222"/>
      <c r="Y210" s="222"/>
      <c r="Z210" s="222"/>
      <c r="AA210" s="222"/>
      <c r="AB210" s="222"/>
    </row>
    <row r="211" ht="17.25" customHeight="1">
      <c r="A211" s="203" t="s">
        <v>1701</v>
      </c>
      <c r="B211" s="203" t="s">
        <v>1702</v>
      </c>
      <c r="C211" s="207">
        <v>0.0</v>
      </c>
      <c r="D211" s="207"/>
      <c r="E211" s="209">
        <v>0.0</v>
      </c>
      <c r="F211" s="222" t="s">
        <v>22</v>
      </c>
      <c r="G211" s="210">
        <v>0.0</v>
      </c>
      <c r="H211" s="210">
        <v>0.0</v>
      </c>
      <c r="I211" s="210">
        <v>0.0</v>
      </c>
      <c r="J211" s="210">
        <v>0.0</v>
      </c>
      <c r="K211" s="210">
        <v>0.0</v>
      </c>
      <c r="L211" s="210">
        <v>0.0</v>
      </c>
      <c r="M211" s="210">
        <v>0.0</v>
      </c>
      <c r="N211" s="210">
        <v>0.0</v>
      </c>
      <c r="O211" s="210">
        <v>0.0</v>
      </c>
      <c r="P211" s="210">
        <v>0.0</v>
      </c>
      <c r="Q211" s="210">
        <v>0.0</v>
      </c>
      <c r="R211" s="210">
        <v>0.0</v>
      </c>
      <c r="S211" s="210">
        <v>0.0</v>
      </c>
      <c r="T211" s="210">
        <v>0.0</v>
      </c>
      <c r="U211" s="222"/>
      <c r="V211" s="222"/>
      <c r="W211" s="222"/>
      <c r="X211" s="222"/>
      <c r="Y211" s="222"/>
      <c r="Z211" s="222"/>
      <c r="AA211" s="222"/>
      <c r="AB211" s="222"/>
    </row>
    <row r="212" ht="17.25" customHeight="1">
      <c r="A212" s="203" t="s">
        <v>1014</v>
      </c>
      <c r="B212" s="203" t="s">
        <v>1015</v>
      </c>
      <c r="C212" s="207">
        <v>0.0</v>
      </c>
      <c r="D212" s="207"/>
      <c r="E212" s="209">
        <v>835.0</v>
      </c>
      <c r="F212" s="222" t="s">
        <v>22</v>
      </c>
      <c r="G212" s="210">
        <v>2210.0</v>
      </c>
      <c r="H212" s="210">
        <v>2210.0</v>
      </c>
      <c r="I212" s="210">
        <v>2210.0</v>
      </c>
      <c r="J212" s="210">
        <v>2210.0</v>
      </c>
      <c r="K212" s="210">
        <v>2210.0</v>
      </c>
      <c r="L212" s="210">
        <v>2210.0</v>
      </c>
      <c r="M212" s="210">
        <v>2210.0</v>
      </c>
      <c r="N212" s="210">
        <v>2210.0</v>
      </c>
      <c r="O212" s="210">
        <v>2210.0</v>
      </c>
      <c r="P212" s="210">
        <v>2210.0</v>
      </c>
      <c r="Q212" s="210">
        <v>2210.0</v>
      </c>
      <c r="R212" s="210">
        <v>2210.0</v>
      </c>
      <c r="S212" s="210">
        <v>2210.0</v>
      </c>
      <c r="T212" s="210">
        <v>1510.0</v>
      </c>
      <c r="U212" s="222"/>
      <c r="V212" s="222"/>
      <c r="W212" s="222"/>
      <c r="X212" s="222"/>
      <c r="Y212" s="222"/>
      <c r="Z212" s="222"/>
      <c r="AA212" s="222"/>
      <c r="AB212" s="222"/>
    </row>
    <row r="213" ht="17.25" customHeight="1">
      <c r="A213" s="203" t="s">
        <v>948</v>
      </c>
      <c r="B213" s="203" t="s">
        <v>952</v>
      </c>
      <c r="C213" s="207">
        <v>0.0</v>
      </c>
      <c r="D213" s="207"/>
      <c r="E213" s="209">
        <v>5.0</v>
      </c>
      <c r="F213" s="222" t="s">
        <v>616</v>
      </c>
      <c r="G213" s="210">
        <v>0.0</v>
      </c>
      <c r="H213" s="210">
        <v>0.0</v>
      </c>
      <c r="I213" s="210">
        <v>0.0</v>
      </c>
      <c r="J213" s="210">
        <v>0.0</v>
      </c>
      <c r="K213" s="210">
        <v>0.0</v>
      </c>
      <c r="L213" s="210">
        <v>5.0</v>
      </c>
      <c r="M213" s="210">
        <v>5.0</v>
      </c>
      <c r="N213" s="210">
        <v>5.0</v>
      </c>
      <c r="O213" s="210">
        <v>5.0</v>
      </c>
      <c r="P213" s="210">
        <v>5.0</v>
      </c>
      <c r="Q213" s="210">
        <v>5.0</v>
      </c>
      <c r="R213" s="210">
        <v>5.0</v>
      </c>
      <c r="S213" s="210">
        <v>5.0</v>
      </c>
      <c r="T213" s="210">
        <v>5.0</v>
      </c>
      <c r="U213" s="222"/>
      <c r="V213" s="222"/>
      <c r="W213" s="222"/>
      <c r="X213" s="222"/>
      <c r="Y213" s="222"/>
      <c r="Z213" s="222"/>
      <c r="AA213" s="222"/>
      <c r="AB213" s="222"/>
    </row>
    <row r="214" ht="17.25" customHeight="1">
      <c r="A214" s="203" t="s">
        <v>1018</v>
      </c>
      <c r="B214" s="203" t="s">
        <v>1019</v>
      </c>
      <c r="C214" s="207">
        <v>0.0</v>
      </c>
      <c r="D214" s="207"/>
      <c r="E214" s="209">
        <v>6.0</v>
      </c>
      <c r="F214" s="222" t="s">
        <v>661</v>
      </c>
      <c r="G214" s="210">
        <v>6.0</v>
      </c>
      <c r="H214" s="210">
        <v>6.0</v>
      </c>
      <c r="I214" s="210">
        <v>6.0</v>
      </c>
      <c r="J214" s="210">
        <v>6.0</v>
      </c>
      <c r="K214" s="210">
        <v>6.0</v>
      </c>
      <c r="L214" s="210">
        <v>6.0</v>
      </c>
      <c r="M214" s="210">
        <v>6.0</v>
      </c>
      <c r="N214" s="210">
        <v>6.0</v>
      </c>
      <c r="O214" s="210">
        <v>6.0</v>
      </c>
      <c r="P214" s="210">
        <v>6.0</v>
      </c>
      <c r="Q214" s="210">
        <v>6.0</v>
      </c>
      <c r="R214" s="210">
        <v>6.0</v>
      </c>
      <c r="S214" s="210">
        <v>6.0</v>
      </c>
      <c r="T214" s="210">
        <v>6.0</v>
      </c>
      <c r="U214" s="222"/>
      <c r="V214" s="222"/>
      <c r="W214" s="222"/>
      <c r="X214" s="222"/>
      <c r="Y214" s="222"/>
      <c r="Z214" s="222"/>
      <c r="AA214" s="222"/>
      <c r="AB214" s="222"/>
    </row>
    <row r="215" ht="17.25" customHeight="1">
      <c r="A215" s="203" t="s">
        <v>1923</v>
      </c>
      <c r="B215" s="203" t="s">
        <v>794</v>
      </c>
      <c r="C215" s="207">
        <v>0.0</v>
      </c>
      <c r="D215" s="207"/>
      <c r="E215" s="209">
        <v>0.0</v>
      </c>
      <c r="F215" s="222" t="s">
        <v>22</v>
      </c>
      <c r="G215" s="210">
        <v>0.0</v>
      </c>
      <c r="H215" s="210">
        <v>0.0</v>
      </c>
      <c r="I215" s="210">
        <v>0.0</v>
      </c>
      <c r="J215" s="210">
        <v>0.0</v>
      </c>
      <c r="K215" s="210">
        <v>0.0</v>
      </c>
      <c r="L215" s="210">
        <v>0.0</v>
      </c>
      <c r="M215" s="210">
        <v>0.0</v>
      </c>
      <c r="N215" s="210">
        <v>0.0</v>
      </c>
      <c r="O215" s="210">
        <v>0.0</v>
      </c>
      <c r="P215" s="210">
        <v>0.0</v>
      </c>
      <c r="Q215" s="210">
        <v>0.0</v>
      </c>
      <c r="R215" s="210">
        <v>0.0</v>
      </c>
      <c r="S215" s="210">
        <v>0.0</v>
      </c>
      <c r="T215" s="210">
        <v>0.0</v>
      </c>
      <c r="U215" s="222"/>
      <c r="V215" s="222"/>
      <c r="W215" s="222"/>
      <c r="X215" s="222"/>
      <c r="Y215" s="222"/>
      <c r="Z215" s="222"/>
      <c r="AA215" s="222"/>
      <c r="AB215" s="222"/>
    </row>
    <row r="216" ht="17.25" customHeight="1">
      <c r="A216" s="203" t="s">
        <v>1021</v>
      </c>
      <c r="B216" s="203" t="s">
        <v>1022</v>
      </c>
      <c r="C216" s="207">
        <v>0.0</v>
      </c>
      <c r="D216" s="207"/>
      <c r="E216" s="209">
        <v>9.0</v>
      </c>
      <c r="F216" s="222" t="s">
        <v>661</v>
      </c>
      <c r="G216" s="210">
        <v>3.0</v>
      </c>
      <c r="H216" s="210">
        <v>3.0</v>
      </c>
      <c r="I216" s="210">
        <v>3.0</v>
      </c>
      <c r="J216" s="210">
        <v>3.0</v>
      </c>
      <c r="K216" s="210">
        <v>3.0</v>
      </c>
      <c r="L216" s="210">
        <v>3.0</v>
      </c>
      <c r="M216" s="210">
        <v>2.0</v>
      </c>
      <c r="N216" s="210">
        <v>2.0</v>
      </c>
      <c r="O216" s="210">
        <v>2.0</v>
      </c>
      <c r="P216" s="210">
        <v>2.0</v>
      </c>
      <c r="Q216" s="210">
        <v>2.0</v>
      </c>
      <c r="R216" s="210">
        <v>2.0</v>
      </c>
      <c r="S216" s="210">
        <v>2.0</v>
      </c>
      <c r="T216" s="210">
        <v>2.0</v>
      </c>
      <c r="U216" s="222"/>
      <c r="V216" s="222"/>
      <c r="W216" s="222"/>
      <c r="X216" s="222"/>
      <c r="Y216" s="222"/>
      <c r="Z216" s="222"/>
      <c r="AA216" s="222"/>
      <c r="AB216" s="222"/>
    </row>
    <row r="217" ht="17.25" customHeight="1">
      <c r="A217" s="203" t="s">
        <v>1024</v>
      </c>
      <c r="B217" s="203" t="s">
        <v>1025</v>
      </c>
      <c r="C217" s="207" t="s">
        <v>1333</v>
      </c>
      <c r="D217" s="207"/>
      <c r="E217" s="209">
        <v>1296.0</v>
      </c>
      <c r="F217" s="222" t="s">
        <v>22</v>
      </c>
      <c r="G217" s="210">
        <v>1296.0</v>
      </c>
      <c r="H217" s="210">
        <v>1296.0</v>
      </c>
      <c r="I217" s="210">
        <v>1296.0</v>
      </c>
      <c r="J217" s="210">
        <v>1296.0</v>
      </c>
      <c r="K217" s="210">
        <v>1296.0</v>
      </c>
      <c r="L217" s="210">
        <v>1296.0</v>
      </c>
      <c r="M217" s="210">
        <v>1296.0</v>
      </c>
      <c r="N217" s="210">
        <v>1296.0</v>
      </c>
      <c r="O217" s="210">
        <v>1296.0</v>
      </c>
      <c r="P217" s="210">
        <v>1296.0</v>
      </c>
      <c r="Q217" s="210">
        <v>1296.0</v>
      </c>
      <c r="R217" s="210">
        <v>1296.0</v>
      </c>
      <c r="S217" s="210">
        <v>1296.0</v>
      </c>
      <c r="T217" s="210">
        <v>1296.0</v>
      </c>
      <c r="U217" s="222"/>
      <c r="V217" s="222"/>
      <c r="W217" s="222"/>
      <c r="X217" s="222"/>
      <c r="Y217" s="222"/>
      <c r="Z217" s="222"/>
      <c r="AA217" s="222"/>
      <c r="AB217" s="222"/>
    </row>
    <row r="218" ht="17.25" customHeight="1">
      <c r="A218" s="203" t="s">
        <v>1027</v>
      </c>
      <c r="B218" s="203" t="s">
        <v>1028</v>
      </c>
      <c r="C218" s="207">
        <v>0.0</v>
      </c>
      <c r="D218" s="207"/>
      <c r="E218" s="209">
        <v>1872.0</v>
      </c>
      <c r="F218" s="222" t="s">
        <v>22</v>
      </c>
      <c r="G218" s="210">
        <v>0.0</v>
      </c>
      <c r="H218" s="210">
        <v>0.0</v>
      </c>
      <c r="I218" s="210">
        <v>0.0</v>
      </c>
      <c r="J218" s="210">
        <v>0.0</v>
      </c>
      <c r="K218" s="210">
        <v>0.0</v>
      </c>
      <c r="L218" s="210">
        <v>0.0</v>
      </c>
      <c r="M218" s="210">
        <v>0.0</v>
      </c>
      <c r="N218" s="210">
        <v>0.0</v>
      </c>
      <c r="O218" s="210">
        <v>0.0</v>
      </c>
      <c r="P218" s="210">
        <v>0.0</v>
      </c>
      <c r="Q218" s="210">
        <v>0.0</v>
      </c>
      <c r="R218" s="210">
        <v>0.0</v>
      </c>
      <c r="S218" s="210">
        <v>0.0</v>
      </c>
      <c r="T218" s="210">
        <v>0.0</v>
      </c>
      <c r="U218" s="222"/>
      <c r="V218" s="222"/>
      <c r="W218" s="222"/>
      <c r="X218" s="222"/>
      <c r="Y218" s="222"/>
      <c r="Z218" s="222"/>
      <c r="AA218" s="222"/>
      <c r="AB218" s="222"/>
    </row>
    <row r="219" ht="17.25" customHeight="1">
      <c r="A219" s="203" t="s">
        <v>701</v>
      </c>
      <c r="B219" s="203" t="s">
        <v>702</v>
      </c>
      <c r="C219" s="207">
        <v>0.0</v>
      </c>
      <c r="D219" s="207"/>
      <c r="E219" s="209">
        <v>0.0</v>
      </c>
      <c r="F219" s="222" t="s">
        <v>22</v>
      </c>
      <c r="G219" s="210">
        <v>288.0</v>
      </c>
      <c r="H219" s="210">
        <v>0.0</v>
      </c>
      <c r="I219" s="210">
        <v>0.0</v>
      </c>
      <c r="J219" s="210">
        <v>0.0</v>
      </c>
      <c r="K219" s="210">
        <v>0.0</v>
      </c>
      <c r="L219" s="210">
        <v>0.0</v>
      </c>
      <c r="M219" s="210">
        <v>0.0</v>
      </c>
      <c r="N219" s="210">
        <v>0.0</v>
      </c>
      <c r="O219" s="210">
        <v>0.0</v>
      </c>
      <c r="P219" s="210">
        <v>0.0</v>
      </c>
      <c r="Q219" s="210">
        <v>0.0</v>
      </c>
      <c r="R219" s="210">
        <v>0.0</v>
      </c>
      <c r="S219" s="210">
        <v>0.0</v>
      </c>
      <c r="T219" s="210">
        <v>0.0</v>
      </c>
      <c r="U219" s="222"/>
      <c r="V219" s="222"/>
      <c r="W219" s="222"/>
      <c r="X219" s="222"/>
      <c r="Y219" s="222"/>
      <c r="Z219" s="222"/>
      <c r="AA219" s="222"/>
      <c r="AB219" s="222"/>
    </row>
    <row r="220" ht="17.25" customHeight="1">
      <c r="A220" s="203" t="s">
        <v>1703</v>
      </c>
      <c r="B220" s="203" t="s">
        <v>1704</v>
      </c>
      <c r="C220" s="207">
        <v>0.0</v>
      </c>
      <c r="D220" s="207"/>
      <c r="E220" s="209">
        <v>0.0</v>
      </c>
      <c r="F220" s="222" t="s">
        <v>22</v>
      </c>
      <c r="G220" s="210">
        <v>11.0</v>
      </c>
      <c r="H220" s="210">
        <v>11.0</v>
      </c>
      <c r="I220" s="210">
        <v>11.0</v>
      </c>
      <c r="J220" s="210">
        <v>11.0</v>
      </c>
      <c r="K220" s="210">
        <v>11.0</v>
      </c>
      <c r="L220" s="210">
        <v>11.0</v>
      </c>
      <c r="M220" s="210">
        <v>11.0</v>
      </c>
      <c r="N220" s="210">
        <v>11.0</v>
      </c>
      <c r="O220" s="210">
        <v>11.0</v>
      </c>
      <c r="P220" s="210">
        <v>11.0</v>
      </c>
      <c r="Q220" s="210">
        <v>11.0</v>
      </c>
      <c r="R220" s="210">
        <v>11.0</v>
      </c>
      <c r="S220" s="210">
        <v>11.0</v>
      </c>
      <c r="T220" s="210">
        <v>11.0</v>
      </c>
      <c r="U220" s="222"/>
      <c r="V220" s="222"/>
      <c r="W220" s="222"/>
      <c r="X220" s="222"/>
      <c r="Y220" s="222"/>
      <c r="Z220" s="222"/>
      <c r="AA220" s="222"/>
      <c r="AB220" s="222"/>
    </row>
    <row r="221" ht="17.25" customHeight="1">
      <c r="A221" s="203" t="s">
        <v>1031</v>
      </c>
      <c r="B221" s="203" t="s">
        <v>1032</v>
      </c>
      <c r="C221" s="207">
        <v>0.0</v>
      </c>
      <c r="D221" s="207"/>
      <c r="E221" s="209">
        <v>2100.0</v>
      </c>
      <c r="F221" s="222" t="s">
        <v>22</v>
      </c>
      <c r="G221" s="210">
        <v>2100.0</v>
      </c>
      <c r="H221" s="210">
        <v>2100.0</v>
      </c>
      <c r="I221" s="210">
        <v>2100.0</v>
      </c>
      <c r="J221" s="210">
        <v>2100.0</v>
      </c>
      <c r="K221" s="210">
        <v>2100.0</v>
      </c>
      <c r="L221" s="210">
        <v>2100.0</v>
      </c>
      <c r="M221" s="210">
        <v>2100.0</v>
      </c>
      <c r="N221" s="210">
        <v>2100.0</v>
      </c>
      <c r="O221" s="210">
        <v>2100.0</v>
      </c>
      <c r="P221" s="210">
        <v>2100.0</v>
      </c>
      <c r="Q221" s="210">
        <v>2100.0</v>
      </c>
      <c r="R221" s="210">
        <v>2100.0</v>
      </c>
      <c r="S221" s="210">
        <v>2100.0</v>
      </c>
      <c r="T221" s="210">
        <v>2100.0</v>
      </c>
      <c r="U221" s="222"/>
      <c r="V221" s="222"/>
      <c r="W221" s="222"/>
      <c r="X221" s="222"/>
      <c r="Y221" s="222"/>
      <c r="Z221" s="222"/>
      <c r="AA221" s="222"/>
      <c r="AB221" s="222"/>
    </row>
    <row r="222" ht="17.25" customHeight="1">
      <c r="A222" s="203" t="s">
        <v>1925</v>
      </c>
      <c r="B222" s="203" t="s">
        <v>1926</v>
      </c>
      <c r="C222" s="207">
        <v>0.0</v>
      </c>
      <c r="D222" s="207"/>
      <c r="E222" s="209">
        <v>0.0</v>
      </c>
      <c r="F222" s="222" t="s">
        <v>290</v>
      </c>
      <c r="G222" s="210">
        <v>0.0</v>
      </c>
      <c r="H222" s="210">
        <v>0.0</v>
      </c>
      <c r="I222" s="210">
        <v>0.0</v>
      </c>
      <c r="J222" s="210">
        <v>0.0</v>
      </c>
      <c r="K222" s="210">
        <v>0.0</v>
      </c>
      <c r="L222" s="210">
        <v>0.0</v>
      </c>
      <c r="M222" s="210">
        <v>0.0</v>
      </c>
      <c r="N222" s="210">
        <v>0.0</v>
      </c>
      <c r="O222" s="210">
        <v>0.0</v>
      </c>
      <c r="P222" s="210">
        <v>0.0</v>
      </c>
      <c r="Q222" s="210">
        <v>0.0</v>
      </c>
      <c r="R222" s="210">
        <v>0.0</v>
      </c>
      <c r="S222" s="210">
        <v>0.0</v>
      </c>
      <c r="T222" s="210">
        <v>0.0</v>
      </c>
      <c r="U222" s="222"/>
      <c r="V222" s="222"/>
      <c r="W222" s="222"/>
      <c r="X222" s="222"/>
      <c r="Y222" s="222"/>
      <c r="Z222" s="222"/>
      <c r="AA222" s="222"/>
      <c r="AB222" s="222"/>
    </row>
    <row r="223" ht="17.25" customHeight="1">
      <c r="A223" s="203" t="s">
        <v>1034</v>
      </c>
      <c r="B223" s="203" t="s">
        <v>1035</v>
      </c>
      <c r="C223" s="207">
        <v>0.0</v>
      </c>
      <c r="D223" s="207"/>
      <c r="E223" s="209">
        <v>90.0</v>
      </c>
      <c r="F223" s="222" t="s">
        <v>22</v>
      </c>
      <c r="G223" s="210">
        <v>0.0</v>
      </c>
      <c r="H223" s="210">
        <v>0.0</v>
      </c>
      <c r="I223" s="210">
        <v>0.0</v>
      </c>
      <c r="J223" s="210">
        <v>0.0</v>
      </c>
      <c r="K223" s="210">
        <v>0.0</v>
      </c>
      <c r="L223" s="210">
        <v>0.0</v>
      </c>
      <c r="M223" s="210">
        <v>0.0</v>
      </c>
      <c r="N223" s="210">
        <v>0.0</v>
      </c>
      <c r="O223" s="210">
        <v>0.0</v>
      </c>
      <c r="P223" s="210">
        <v>0.0</v>
      </c>
      <c r="Q223" s="210">
        <v>0.0</v>
      </c>
      <c r="R223" s="210">
        <v>0.0</v>
      </c>
      <c r="S223" s="210">
        <v>0.0</v>
      </c>
      <c r="T223" s="210">
        <v>0.0</v>
      </c>
      <c r="U223" s="222"/>
      <c r="V223" s="222"/>
      <c r="W223" s="222"/>
      <c r="X223" s="222"/>
      <c r="Y223" s="222"/>
      <c r="Z223" s="222"/>
      <c r="AA223" s="222"/>
      <c r="AB223" s="222"/>
    </row>
    <row r="224" ht="17.25" customHeight="1">
      <c r="A224" s="203" t="s">
        <v>1928</v>
      </c>
      <c r="B224" s="203" t="s">
        <v>1929</v>
      </c>
      <c r="C224" s="207">
        <v>0.0</v>
      </c>
      <c r="D224" s="207"/>
      <c r="E224" s="209">
        <v>0.0</v>
      </c>
      <c r="F224" s="222" t="s">
        <v>616</v>
      </c>
      <c r="G224" s="210">
        <v>0.0</v>
      </c>
      <c r="H224" s="210">
        <v>0.0</v>
      </c>
      <c r="I224" s="210">
        <v>0.0</v>
      </c>
      <c r="J224" s="210">
        <v>0.0</v>
      </c>
      <c r="K224" s="210">
        <v>0.0</v>
      </c>
      <c r="L224" s="210">
        <v>0.0</v>
      </c>
      <c r="M224" s="210">
        <v>0.0</v>
      </c>
      <c r="N224" s="210">
        <v>0.0</v>
      </c>
      <c r="O224" s="210">
        <v>0.0</v>
      </c>
      <c r="P224" s="210">
        <v>0.0</v>
      </c>
      <c r="Q224" s="210">
        <v>0.0</v>
      </c>
      <c r="R224" s="210">
        <v>0.0</v>
      </c>
      <c r="S224" s="210">
        <v>0.0</v>
      </c>
      <c r="T224" s="210">
        <v>0.0</v>
      </c>
      <c r="U224" s="222"/>
      <c r="V224" s="222"/>
      <c r="W224" s="222"/>
      <c r="X224" s="222"/>
      <c r="Y224" s="222"/>
      <c r="Z224" s="222"/>
      <c r="AA224" s="222"/>
      <c r="AB224" s="222"/>
    </row>
    <row r="225" ht="17.25" customHeight="1">
      <c r="A225" s="203" t="s">
        <v>1793</v>
      </c>
      <c r="B225" s="203" t="s">
        <v>1794</v>
      </c>
      <c r="C225" s="207">
        <v>0.0</v>
      </c>
      <c r="D225" s="207"/>
      <c r="E225" s="209">
        <v>0.0</v>
      </c>
      <c r="F225" s="222" t="s">
        <v>22</v>
      </c>
      <c r="G225" s="210">
        <v>0.0</v>
      </c>
      <c r="H225" s="210">
        <v>0.0</v>
      </c>
      <c r="I225" s="210">
        <v>0.0</v>
      </c>
      <c r="J225" s="210">
        <v>0.0</v>
      </c>
      <c r="K225" s="210">
        <v>0.0</v>
      </c>
      <c r="L225" s="210">
        <v>0.0</v>
      </c>
      <c r="M225" s="210">
        <v>0.0</v>
      </c>
      <c r="N225" s="210">
        <v>0.0</v>
      </c>
      <c r="O225" s="210">
        <v>0.0</v>
      </c>
      <c r="P225" s="210">
        <v>0.0</v>
      </c>
      <c r="Q225" s="210">
        <v>0.0</v>
      </c>
      <c r="R225" s="210">
        <v>0.0</v>
      </c>
      <c r="S225" s="210">
        <v>0.0</v>
      </c>
      <c r="T225" s="210">
        <v>0.0</v>
      </c>
      <c r="U225" s="222"/>
      <c r="V225" s="222"/>
      <c r="W225" s="222"/>
      <c r="X225" s="222"/>
      <c r="Y225" s="222"/>
      <c r="Z225" s="222"/>
      <c r="AA225" s="222"/>
      <c r="AB225" s="222"/>
    </row>
    <row r="226" ht="17.25" customHeight="1">
      <c r="A226" s="203" t="s">
        <v>278</v>
      </c>
      <c r="B226" s="203" t="s">
        <v>279</v>
      </c>
      <c r="C226" s="207">
        <v>0.041237113402061855</v>
      </c>
      <c r="D226" s="207"/>
      <c r="E226" s="213">
        <v>6.0</v>
      </c>
      <c r="F226" s="222" t="s">
        <v>290</v>
      </c>
      <c r="G226" s="210">
        <v>4.0</v>
      </c>
      <c r="H226" s="210">
        <v>4.0</v>
      </c>
      <c r="I226" s="210">
        <v>4.0</v>
      </c>
      <c r="J226" s="210">
        <v>4.0</v>
      </c>
      <c r="K226" s="210">
        <v>4.0</v>
      </c>
      <c r="L226" s="210">
        <v>4.0</v>
      </c>
      <c r="M226" s="210">
        <v>4.0</v>
      </c>
      <c r="N226" s="210">
        <v>4.0</v>
      </c>
      <c r="O226" s="210">
        <v>4.0</v>
      </c>
      <c r="P226" s="210">
        <v>4.0</v>
      </c>
      <c r="Q226" s="210">
        <v>4.0</v>
      </c>
      <c r="R226" s="210">
        <v>4.0</v>
      </c>
      <c r="S226" s="210">
        <v>4.0</v>
      </c>
      <c r="T226" s="210">
        <v>4.0</v>
      </c>
      <c r="U226" s="222"/>
      <c r="V226" s="222"/>
      <c r="W226" s="222"/>
      <c r="X226" s="222"/>
      <c r="Y226" s="222"/>
      <c r="Z226" s="222"/>
      <c r="AA226" s="222"/>
      <c r="AB226" s="222"/>
    </row>
    <row r="227" ht="17.25" customHeight="1">
      <c r="A227" s="203" t="s">
        <v>664</v>
      </c>
      <c r="B227" s="203" t="s">
        <v>665</v>
      </c>
      <c r="C227" s="207">
        <v>0.061855670103092786</v>
      </c>
      <c r="D227" s="207"/>
      <c r="E227" s="213">
        <v>2.0</v>
      </c>
      <c r="F227" s="222" t="s">
        <v>290</v>
      </c>
      <c r="G227" s="210">
        <v>4.0</v>
      </c>
      <c r="H227" s="210">
        <v>4.0</v>
      </c>
      <c r="I227" s="210">
        <v>4.0</v>
      </c>
      <c r="J227" s="210">
        <v>4.0</v>
      </c>
      <c r="K227" s="210">
        <v>4.0</v>
      </c>
      <c r="L227" s="210">
        <v>4.0</v>
      </c>
      <c r="M227" s="210">
        <v>4.0</v>
      </c>
      <c r="N227" s="210">
        <v>4.0</v>
      </c>
      <c r="O227" s="210">
        <v>4.0</v>
      </c>
      <c r="P227" s="210">
        <v>4.0</v>
      </c>
      <c r="Q227" s="210">
        <v>4.0</v>
      </c>
      <c r="R227" s="210">
        <v>4.0</v>
      </c>
      <c r="S227" s="210">
        <v>4.0</v>
      </c>
      <c r="T227" s="210">
        <v>4.0</v>
      </c>
      <c r="U227" s="222"/>
      <c r="V227" s="222"/>
      <c r="W227" s="222"/>
      <c r="X227" s="222"/>
      <c r="Y227" s="222"/>
      <c r="Z227" s="222"/>
      <c r="AA227" s="222"/>
      <c r="AB227" s="222"/>
    </row>
    <row r="228" ht="17.25" customHeight="1">
      <c r="A228" s="203" t="s">
        <v>687</v>
      </c>
      <c r="B228" s="203" t="s">
        <v>689</v>
      </c>
      <c r="C228" s="207">
        <v>0.041237113402061855</v>
      </c>
      <c r="D228" s="207"/>
      <c r="E228" s="213">
        <v>5.0</v>
      </c>
      <c r="F228" s="222" t="s">
        <v>290</v>
      </c>
      <c r="G228" s="210">
        <v>4.0</v>
      </c>
      <c r="H228" s="210">
        <v>4.0</v>
      </c>
      <c r="I228" s="210">
        <v>4.0</v>
      </c>
      <c r="J228" s="210">
        <v>4.0</v>
      </c>
      <c r="K228" s="210">
        <v>4.0</v>
      </c>
      <c r="L228" s="210">
        <v>4.0</v>
      </c>
      <c r="M228" s="210">
        <v>4.0</v>
      </c>
      <c r="N228" s="210">
        <v>4.0</v>
      </c>
      <c r="O228" s="210">
        <v>4.0</v>
      </c>
      <c r="P228" s="210">
        <v>4.0</v>
      </c>
      <c r="Q228" s="210">
        <v>4.0</v>
      </c>
      <c r="R228" s="210">
        <v>4.0</v>
      </c>
      <c r="S228" s="210">
        <v>4.0</v>
      </c>
      <c r="T228" s="210">
        <v>4.0</v>
      </c>
      <c r="U228" s="222"/>
      <c r="V228" s="222"/>
      <c r="W228" s="222"/>
      <c r="X228" s="222"/>
      <c r="Y228" s="222"/>
      <c r="Z228" s="222"/>
      <c r="AA228" s="222"/>
      <c r="AB228" s="222"/>
    </row>
    <row r="229" ht="17.25" customHeight="1">
      <c r="A229" s="203" t="s">
        <v>269</v>
      </c>
      <c r="B229" s="203" t="s">
        <v>270</v>
      </c>
      <c r="C229" s="207">
        <v>0.061855670103092786</v>
      </c>
      <c r="D229" s="207"/>
      <c r="E229" s="213">
        <v>4.0</v>
      </c>
      <c r="F229" s="222" t="s">
        <v>290</v>
      </c>
      <c r="G229" s="210">
        <v>4.0</v>
      </c>
      <c r="H229" s="210">
        <v>4.0</v>
      </c>
      <c r="I229" s="210">
        <v>4.0</v>
      </c>
      <c r="J229" s="210">
        <v>4.0</v>
      </c>
      <c r="K229" s="210">
        <v>4.0</v>
      </c>
      <c r="L229" s="210">
        <v>4.0</v>
      </c>
      <c r="M229" s="210">
        <v>4.0</v>
      </c>
      <c r="N229" s="210">
        <v>4.0</v>
      </c>
      <c r="O229" s="210">
        <v>4.0</v>
      </c>
      <c r="P229" s="210">
        <v>4.0</v>
      </c>
      <c r="Q229" s="210">
        <v>4.0</v>
      </c>
      <c r="R229" s="210">
        <v>4.0</v>
      </c>
      <c r="S229" s="210">
        <v>4.0</v>
      </c>
      <c r="T229" s="210">
        <v>4.0</v>
      </c>
      <c r="U229" s="222"/>
      <c r="V229" s="222"/>
      <c r="W229" s="222"/>
      <c r="X229" s="222"/>
      <c r="Y229" s="222"/>
      <c r="Z229" s="222"/>
      <c r="AA229" s="222"/>
      <c r="AB229" s="222"/>
    </row>
    <row r="230" ht="17.25" customHeight="1">
      <c r="A230" s="203" t="s">
        <v>672</v>
      </c>
      <c r="B230" s="203" t="s">
        <v>673</v>
      </c>
      <c r="C230" s="207">
        <v>0.08247422680412371</v>
      </c>
      <c r="D230" s="207"/>
      <c r="E230" s="213">
        <v>5.0</v>
      </c>
      <c r="F230" s="222" t="s">
        <v>290</v>
      </c>
      <c r="G230" s="210">
        <v>4.0</v>
      </c>
      <c r="H230" s="210">
        <v>4.0</v>
      </c>
      <c r="I230" s="210">
        <v>4.0</v>
      </c>
      <c r="J230" s="210">
        <v>4.0</v>
      </c>
      <c r="K230" s="210">
        <v>4.0</v>
      </c>
      <c r="L230" s="210">
        <v>4.0</v>
      </c>
      <c r="M230" s="210">
        <v>4.0</v>
      </c>
      <c r="N230" s="210">
        <v>4.0</v>
      </c>
      <c r="O230" s="210">
        <v>4.0</v>
      </c>
      <c r="P230" s="210">
        <v>4.0</v>
      </c>
      <c r="Q230" s="210">
        <v>4.0</v>
      </c>
      <c r="R230" s="210">
        <v>4.0</v>
      </c>
      <c r="S230" s="210">
        <v>4.0</v>
      </c>
      <c r="T230" s="210">
        <v>4.0</v>
      </c>
      <c r="U230" s="222"/>
      <c r="V230" s="222"/>
      <c r="W230" s="222"/>
      <c r="X230" s="222"/>
      <c r="Y230" s="222"/>
      <c r="Z230" s="222"/>
      <c r="AA230" s="222"/>
      <c r="AB230" s="222"/>
    </row>
    <row r="231" ht="17.25" customHeight="1">
      <c r="A231" s="203" t="s">
        <v>147</v>
      </c>
      <c r="B231" s="203" t="s">
        <v>148</v>
      </c>
      <c r="C231" s="207">
        <v>129.27835051546393</v>
      </c>
      <c r="D231" s="207"/>
      <c r="E231" s="208">
        <v>0.0</v>
      </c>
      <c r="F231" s="222" t="s">
        <v>22</v>
      </c>
      <c r="G231" s="212">
        <v>0.0</v>
      </c>
      <c r="H231" s="212">
        <v>0.0</v>
      </c>
      <c r="I231" s="212">
        <v>0.0</v>
      </c>
      <c r="J231" s="212">
        <v>0.0</v>
      </c>
      <c r="K231" s="212">
        <v>0.0</v>
      </c>
      <c r="L231" s="212">
        <v>0.0</v>
      </c>
      <c r="M231" s="212">
        <v>0.0</v>
      </c>
      <c r="N231" s="212">
        <v>0.0</v>
      </c>
      <c r="O231" s="212">
        <v>0.0</v>
      </c>
      <c r="P231" s="212">
        <v>0.0</v>
      </c>
      <c r="Q231" s="212">
        <v>0.0</v>
      </c>
      <c r="R231" s="212">
        <v>0.0</v>
      </c>
      <c r="S231" s="212">
        <v>0.0</v>
      </c>
      <c r="T231" s="212">
        <v>0.0</v>
      </c>
      <c r="U231" s="222"/>
      <c r="V231" s="222"/>
      <c r="W231" s="222"/>
      <c r="X231" s="222"/>
      <c r="Y231" s="222"/>
      <c r="Z231" s="222"/>
      <c r="AA231" s="222"/>
      <c r="AB231" s="222"/>
    </row>
    <row r="232" ht="17.25" customHeight="1">
      <c r="A232" s="203" t="s">
        <v>1039</v>
      </c>
      <c r="B232" s="203" t="s">
        <v>1040</v>
      </c>
      <c r="C232" s="207">
        <v>0.30927835051546393</v>
      </c>
      <c r="D232" s="207"/>
      <c r="E232" s="213">
        <v>6.0</v>
      </c>
      <c r="F232" s="222" t="s">
        <v>643</v>
      </c>
      <c r="G232" s="210">
        <v>4.0</v>
      </c>
      <c r="H232" s="210">
        <v>4.0</v>
      </c>
      <c r="I232" s="210">
        <v>4.0</v>
      </c>
      <c r="J232" s="210">
        <v>4.0</v>
      </c>
      <c r="K232" s="210">
        <v>3.0</v>
      </c>
      <c r="L232" s="210">
        <v>3.0</v>
      </c>
      <c r="M232" s="210">
        <v>3.0</v>
      </c>
      <c r="N232" s="210">
        <v>3.0</v>
      </c>
      <c r="O232" s="210">
        <v>3.0</v>
      </c>
      <c r="P232" s="210">
        <v>3.0</v>
      </c>
      <c r="Q232" s="210">
        <v>3.0</v>
      </c>
      <c r="R232" s="210">
        <v>3.0</v>
      </c>
      <c r="S232" s="210">
        <v>3.0</v>
      </c>
      <c r="T232" s="210">
        <v>3.0</v>
      </c>
      <c r="U232" s="222"/>
      <c r="V232" s="222"/>
      <c r="W232" s="222"/>
      <c r="X232" s="222"/>
      <c r="Y232" s="222"/>
      <c r="Z232" s="222"/>
      <c r="AA232" s="222"/>
      <c r="AB232" s="222"/>
    </row>
    <row r="233" ht="17.25" customHeight="1">
      <c r="A233" s="203" t="s">
        <v>1042</v>
      </c>
      <c r="B233" s="203" t="s">
        <v>1043</v>
      </c>
      <c r="C233" s="207">
        <v>30.927835051546392</v>
      </c>
      <c r="D233" s="207"/>
      <c r="E233" s="213">
        <v>250.0</v>
      </c>
      <c r="F233" s="222" t="s">
        <v>22</v>
      </c>
      <c r="G233" s="210">
        <v>0.0</v>
      </c>
      <c r="H233" s="210">
        <v>0.0</v>
      </c>
      <c r="I233" s="210">
        <v>0.0</v>
      </c>
      <c r="J233" s="210">
        <v>0.0</v>
      </c>
      <c r="K233" s="210">
        <v>0.0</v>
      </c>
      <c r="L233" s="210">
        <v>0.0</v>
      </c>
      <c r="M233" s="210">
        <v>0.0</v>
      </c>
      <c r="N233" s="210">
        <v>0.0</v>
      </c>
      <c r="O233" s="210">
        <v>0.0</v>
      </c>
      <c r="P233" s="210">
        <v>0.0</v>
      </c>
      <c r="Q233" s="210">
        <v>0.0</v>
      </c>
      <c r="R233" s="210">
        <v>0.0</v>
      </c>
      <c r="S233" s="210">
        <v>0.0</v>
      </c>
      <c r="T233" s="210">
        <v>0.0</v>
      </c>
      <c r="U233" s="222"/>
      <c r="V233" s="222"/>
      <c r="W233" s="222"/>
      <c r="X233" s="222"/>
      <c r="Y233" s="222"/>
      <c r="Z233" s="222"/>
      <c r="AA233" s="222"/>
      <c r="AB233" s="222"/>
    </row>
    <row r="234" ht="17.25" customHeight="1">
      <c r="A234" s="203" t="s">
        <v>901</v>
      </c>
      <c r="B234" s="203" t="s">
        <v>904</v>
      </c>
      <c r="C234" s="207">
        <v>0.0</v>
      </c>
      <c r="D234" s="207"/>
      <c r="E234" s="209">
        <v>20.0</v>
      </c>
      <c r="F234" s="222" t="s">
        <v>290</v>
      </c>
      <c r="G234" s="210">
        <v>20.0</v>
      </c>
      <c r="H234" s="210">
        <v>20.0</v>
      </c>
      <c r="I234" s="210">
        <v>20.0</v>
      </c>
      <c r="J234" s="210">
        <v>20.0</v>
      </c>
      <c r="K234" s="210">
        <v>20.0</v>
      </c>
      <c r="L234" s="210">
        <v>20.0</v>
      </c>
      <c r="M234" s="210">
        <v>20.0</v>
      </c>
      <c r="N234" s="210">
        <v>20.0</v>
      </c>
      <c r="O234" s="210">
        <v>20.0</v>
      </c>
      <c r="P234" s="210">
        <v>20.0</v>
      </c>
      <c r="Q234" s="210">
        <v>20.0</v>
      </c>
      <c r="R234" s="210">
        <v>20.0</v>
      </c>
      <c r="S234" s="210">
        <v>20.0</v>
      </c>
      <c r="T234" s="210">
        <v>20.0</v>
      </c>
      <c r="U234" s="222"/>
      <c r="V234" s="222"/>
      <c r="W234" s="222"/>
      <c r="X234" s="222"/>
      <c r="Y234" s="222"/>
      <c r="Z234" s="222"/>
      <c r="AA234" s="222"/>
      <c r="AB234" s="222"/>
    </row>
    <row r="235" ht="17.25" customHeight="1">
      <c r="A235" s="203" t="s">
        <v>1706</v>
      </c>
      <c r="B235" s="203" t="s">
        <v>1707</v>
      </c>
      <c r="C235" s="207">
        <v>0.0</v>
      </c>
      <c r="D235" s="207"/>
      <c r="E235" s="209">
        <v>0.0</v>
      </c>
      <c r="F235" s="222" t="s">
        <v>22</v>
      </c>
      <c r="G235" s="210">
        <v>0.0</v>
      </c>
      <c r="H235" s="210">
        <v>0.0</v>
      </c>
      <c r="I235" s="210">
        <v>0.0</v>
      </c>
      <c r="J235" s="210">
        <v>0.0</v>
      </c>
      <c r="K235" s="210">
        <v>0.0</v>
      </c>
      <c r="L235" s="210">
        <v>0.0</v>
      </c>
      <c r="M235" s="210">
        <v>0.0</v>
      </c>
      <c r="N235" s="210">
        <v>0.0</v>
      </c>
      <c r="O235" s="210">
        <v>0.0</v>
      </c>
      <c r="P235" s="210">
        <v>0.0</v>
      </c>
      <c r="Q235" s="210">
        <v>0.0</v>
      </c>
      <c r="R235" s="210">
        <v>0.0</v>
      </c>
      <c r="S235" s="210">
        <v>0.0</v>
      </c>
      <c r="T235" s="210">
        <v>0.0</v>
      </c>
      <c r="U235" s="222"/>
      <c r="V235" s="222"/>
      <c r="W235" s="222"/>
      <c r="X235" s="222"/>
      <c r="Y235" s="222"/>
      <c r="Z235" s="222"/>
      <c r="AA235" s="222"/>
      <c r="AB235" s="222"/>
    </row>
    <row r="236" ht="17.25" customHeight="1">
      <c r="A236" s="203" t="s">
        <v>1045</v>
      </c>
      <c r="B236" s="203" t="s">
        <v>1046</v>
      </c>
      <c r="C236" s="207">
        <v>0.0</v>
      </c>
      <c r="D236" s="207"/>
      <c r="E236" s="209">
        <v>950.0</v>
      </c>
      <c r="F236" s="222" t="s">
        <v>22</v>
      </c>
      <c r="G236" s="210">
        <v>5000.0</v>
      </c>
      <c r="H236" s="210">
        <v>5000.0</v>
      </c>
      <c r="I236" s="210">
        <v>5000.0</v>
      </c>
      <c r="J236" s="210">
        <v>5000.0</v>
      </c>
      <c r="K236" s="210">
        <v>4000.0</v>
      </c>
      <c r="L236" s="210">
        <v>4000.0</v>
      </c>
      <c r="M236" s="210">
        <v>2400.0</v>
      </c>
      <c r="N236" s="210">
        <v>2400.0</v>
      </c>
      <c r="O236" s="210">
        <v>2400.0</v>
      </c>
      <c r="P236" s="210">
        <v>2400.0</v>
      </c>
      <c r="Q236" s="210">
        <v>2400.0</v>
      </c>
      <c r="R236" s="210">
        <v>2400.0</v>
      </c>
      <c r="S236" s="210">
        <v>2400.0</v>
      </c>
      <c r="T236" s="210">
        <v>2400.0</v>
      </c>
      <c r="U236" s="222"/>
      <c r="V236" s="222"/>
      <c r="W236" s="222"/>
      <c r="X236" s="222"/>
      <c r="Y236" s="222"/>
      <c r="Z236" s="222"/>
      <c r="AA236" s="222"/>
      <c r="AB236" s="222"/>
    </row>
    <row r="237" ht="17.25" customHeight="1">
      <c r="A237" s="203" t="s">
        <v>1932</v>
      </c>
      <c r="B237" s="203" t="s">
        <v>1933</v>
      </c>
      <c r="C237" s="207">
        <v>0.0</v>
      </c>
      <c r="D237" s="207"/>
      <c r="E237" s="209">
        <v>0.0</v>
      </c>
      <c r="F237" s="222" t="s">
        <v>22</v>
      </c>
      <c r="G237" s="210">
        <v>0.0</v>
      </c>
      <c r="H237" s="210">
        <v>0.0</v>
      </c>
      <c r="I237" s="210">
        <v>1440.0</v>
      </c>
      <c r="J237" s="210">
        <v>1440.0</v>
      </c>
      <c r="K237" s="210">
        <v>720.0</v>
      </c>
      <c r="L237" s="210">
        <v>720.0</v>
      </c>
      <c r="M237" s="210">
        <v>720.0</v>
      </c>
      <c r="N237" s="210">
        <v>720.0</v>
      </c>
      <c r="O237" s="210">
        <v>720.0</v>
      </c>
      <c r="P237" s="210">
        <v>720.0</v>
      </c>
      <c r="Q237" s="210">
        <v>720.0</v>
      </c>
      <c r="R237" s="210">
        <v>720.0</v>
      </c>
      <c r="S237" s="210">
        <v>720.0</v>
      </c>
      <c r="T237" s="210">
        <v>720.0</v>
      </c>
      <c r="U237" s="222"/>
      <c r="V237" s="222"/>
      <c r="W237" s="222"/>
      <c r="X237" s="222"/>
      <c r="Y237" s="222"/>
      <c r="Z237" s="222"/>
      <c r="AA237" s="222"/>
      <c r="AB237" s="222"/>
    </row>
    <row r="238" ht="17.25" customHeight="1">
      <c r="A238" s="203" t="s">
        <v>1795</v>
      </c>
      <c r="B238" s="203" t="s">
        <v>1796</v>
      </c>
      <c r="C238" s="207">
        <v>0.0</v>
      </c>
      <c r="D238" s="207"/>
      <c r="E238" s="209">
        <v>0.0</v>
      </c>
      <c r="F238" s="222" t="s">
        <v>22</v>
      </c>
      <c r="G238" s="210">
        <v>0.0</v>
      </c>
      <c r="H238" s="210">
        <v>0.0</v>
      </c>
      <c r="I238" s="210">
        <v>700.0</v>
      </c>
      <c r="J238" s="210">
        <v>700.0</v>
      </c>
      <c r="K238" s="210">
        <v>0.0</v>
      </c>
      <c r="L238" s="210">
        <v>0.0</v>
      </c>
      <c r="M238" s="210">
        <v>0.0</v>
      </c>
      <c r="N238" s="210">
        <v>0.0</v>
      </c>
      <c r="O238" s="210">
        <v>0.0</v>
      </c>
      <c r="P238" s="210">
        <v>0.0</v>
      </c>
      <c r="Q238" s="210">
        <v>0.0</v>
      </c>
      <c r="R238" s="210">
        <v>0.0</v>
      </c>
      <c r="S238" s="210">
        <v>0.0</v>
      </c>
      <c r="T238" s="210">
        <v>0.0</v>
      </c>
      <c r="U238" s="222"/>
      <c r="V238" s="222"/>
      <c r="W238" s="222"/>
      <c r="X238" s="222"/>
      <c r="Y238" s="222"/>
      <c r="Z238" s="222"/>
      <c r="AA238" s="222"/>
      <c r="AB238" s="222"/>
    </row>
    <row r="239" ht="17.25" customHeight="1">
      <c r="A239" s="203" t="s">
        <v>1935</v>
      </c>
      <c r="B239" s="203" t="s">
        <v>1936</v>
      </c>
      <c r="C239" s="207">
        <v>0.0</v>
      </c>
      <c r="D239" s="207"/>
      <c r="E239" s="209">
        <v>0.0</v>
      </c>
      <c r="F239" s="222" t="s">
        <v>22</v>
      </c>
      <c r="G239" s="210">
        <v>0.0</v>
      </c>
      <c r="H239" s="210">
        <v>0.0</v>
      </c>
      <c r="I239" s="210">
        <v>200.0</v>
      </c>
      <c r="J239" s="210">
        <v>200.0</v>
      </c>
      <c r="K239" s="210">
        <v>0.0</v>
      </c>
      <c r="L239" s="210">
        <v>0.0</v>
      </c>
      <c r="M239" s="210">
        <v>0.0</v>
      </c>
      <c r="N239" s="210">
        <v>0.0</v>
      </c>
      <c r="O239" s="210">
        <v>0.0</v>
      </c>
      <c r="P239" s="210">
        <v>0.0</v>
      </c>
      <c r="Q239" s="210">
        <v>0.0</v>
      </c>
      <c r="R239" s="210">
        <v>0.0</v>
      </c>
      <c r="S239" s="210">
        <v>0.0</v>
      </c>
      <c r="T239" s="210">
        <v>0.0</v>
      </c>
      <c r="U239" s="222"/>
      <c r="V239" s="222"/>
      <c r="W239" s="222"/>
      <c r="X239" s="222"/>
      <c r="Y239" s="222"/>
      <c r="Z239" s="222"/>
      <c r="AA239" s="222"/>
      <c r="AB239" s="222"/>
    </row>
    <row r="240" ht="17.25" customHeight="1">
      <c r="A240" s="203" t="s">
        <v>1938</v>
      </c>
      <c r="B240" s="203" t="s">
        <v>1939</v>
      </c>
      <c r="C240" s="207">
        <v>0.0</v>
      </c>
      <c r="D240" s="207"/>
      <c r="E240" s="209">
        <v>0.0</v>
      </c>
      <c r="F240" s="222" t="s">
        <v>22</v>
      </c>
      <c r="G240" s="210">
        <v>0.0</v>
      </c>
      <c r="H240" s="210">
        <v>0.0</v>
      </c>
      <c r="I240" s="210">
        <v>500.0</v>
      </c>
      <c r="J240" s="210">
        <v>500.0</v>
      </c>
      <c r="K240" s="210">
        <v>0.0</v>
      </c>
      <c r="L240" s="210">
        <v>0.0</v>
      </c>
      <c r="M240" s="210">
        <v>0.0</v>
      </c>
      <c r="N240" s="210">
        <v>0.0</v>
      </c>
      <c r="O240" s="210">
        <v>0.0</v>
      </c>
      <c r="P240" s="210">
        <v>0.0</v>
      </c>
      <c r="Q240" s="210">
        <v>0.0</v>
      </c>
      <c r="R240" s="210">
        <v>0.0</v>
      </c>
      <c r="S240" s="210">
        <v>0.0</v>
      </c>
      <c r="T240" s="210">
        <v>0.0</v>
      </c>
      <c r="U240" s="222"/>
      <c r="V240" s="222"/>
      <c r="W240" s="222"/>
      <c r="X240" s="222"/>
      <c r="Y240" s="222"/>
      <c r="Z240" s="222"/>
      <c r="AA240" s="222"/>
      <c r="AB240" s="222"/>
    </row>
    <row r="241" ht="17.25" customHeight="1">
      <c r="A241" s="203" t="s">
        <v>517</v>
      </c>
      <c r="B241" s="203" t="s">
        <v>518</v>
      </c>
      <c r="C241" s="207">
        <v>0.0</v>
      </c>
      <c r="D241" s="207"/>
      <c r="E241" s="209">
        <v>40.0</v>
      </c>
      <c r="F241" s="222" t="s">
        <v>290</v>
      </c>
      <c r="G241" s="210">
        <v>0.0</v>
      </c>
      <c r="H241" s="210">
        <v>0.0</v>
      </c>
      <c r="I241" s="210">
        <v>0.0</v>
      </c>
      <c r="J241" s="210">
        <v>0.0</v>
      </c>
      <c r="K241" s="210">
        <v>0.0</v>
      </c>
      <c r="L241" s="210">
        <v>20.0</v>
      </c>
      <c r="M241" s="210">
        <v>0.0</v>
      </c>
      <c r="N241" s="210">
        <v>0.0</v>
      </c>
      <c r="O241" s="210">
        <v>0.0</v>
      </c>
      <c r="P241" s="210">
        <v>0.0</v>
      </c>
      <c r="Q241" s="210">
        <v>0.0</v>
      </c>
      <c r="R241" s="210">
        <v>0.0</v>
      </c>
      <c r="S241" s="210">
        <v>0.0</v>
      </c>
      <c r="T241" s="210">
        <v>0.0</v>
      </c>
      <c r="U241" s="222"/>
      <c r="V241" s="222"/>
      <c r="W241" s="222"/>
      <c r="X241" s="222"/>
      <c r="Y241" s="222"/>
      <c r="Z241" s="222"/>
      <c r="AA241" s="222"/>
      <c r="AB241" s="222"/>
    </row>
    <row r="242" ht="17.25" customHeight="1">
      <c r="A242" s="203" t="s">
        <v>1940</v>
      </c>
      <c r="B242" s="203" t="s">
        <v>1941</v>
      </c>
      <c r="C242" s="207">
        <v>0.0</v>
      </c>
      <c r="D242" s="207"/>
      <c r="E242" s="209">
        <v>0.0</v>
      </c>
      <c r="F242" s="222" t="s">
        <v>22</v>
      </c>
      <c r="G242" s="210">
        <v>0.0</v>
      </c>
      <c r="H242" s="210">
        <v>0.0</v>
      </c>
      <c r="I242" s="210">
        <v>0.0</v>
      </c>
      <c r="J242" s="210">
        <v>0.0</v>
      </c>
      <c r="K242" s="210">
        <v>0.0</v>
      </c>
      <c r="L242" s="210">
        <v>0.0</v>
      </c>
      <c r="M242" s="210">
        <v>6295.0</v>
      </c>
      <c r="N242" s="210">
        <v>6295.0</v>
      </c>
      <c r="O242" s="210">
        <v>30302.0</v>
      </c>
      <c r="P242" s="210">
        <v>30302.0</v>
      </c>
      <c r="Q242" s="210">
        <v>31572.0</v>
      </c>
      <c r="R242" s="210">
        <v>31572.0</v>
      </c>
      <c r="S242" s="210">
        <v>31572.0</v>
      </c>
      <c r="T242" s="210">
        <v>31572.0</v>
      </c>
      <c r="U242" s="222"/>
      <c r="V242" s="222"/>
      <c r="W242" s="222"/>
      <c r="X242" s="222"/>
      <c r="Y242" s="222"/>
      <c r="Z242" s="222"/>
      <c r="AA242" s="222"/>
      <c r="AB242" s="222"/>
    </row>
    <row r="243" ht="17.25" customHeight="1">
      <c r="A243" s="224" t="s">
        <v>1048</v>
      </c>
      <c r="B243" s="224" t="s">
        <v>1049</v>
      </c>
      <c r="C243" s="225">
        <v>0.0</v>
      </c>
      <c r="D243" s="225"/>
      <c r="E243" s="226">
        <v>275.0</v>
      </c>
      <c r="F243" s="227" t="s">
        <v>290</v>
      </c>
      <c r="G243" s="228">
        <v>0.0</v>
      </c>
      <c r="H243" s="228">
        <v>0.0</v>
      </c>
      <c r="I243" s="228">
        <v>0.0</v>
      </c>
      <c r="J243" s="228">
        <v>0.0</v>
      </c>
      <c r="K243" s="228">
        <v>0.0</v>
      </c>
      <c r="L243" s="228">
        <v>0.0</v>
      </c>
      <c r="M243" s="228">
        <v>275.0</v>
      </c>
      <c r="N243" s="228">
        <v>275.0</v>
      </c>
      <c r="O243" s="228">
        <v>275.0</v>
      </c>
      <c r="P243" s="228">
        <v>275.0</v>
      </c>
      <c r="Q243" s="228">
        <v>275.0</v>
      </c>
      <c r="R243" s="228">
        <v>275.0</v>
      </c>
      <c r="S243" s="228">
        <v>275.0</v>
      </c>
      <c r="T243" s="228">
        <v>275.0</v>
      </c>
      <c r="U243" s="227"/>
      <c r="V243" s="227"/>
      <c r="W243" s="227"/>
      <c r="X243" s="227"/>
      <c r="Y243" s="227"/>
      <c r="Z243" s="227"/>
      <c r="AA243" s="227"/>
      <c r="AB243" s="227"/>
    </row>
    <row r="244" ht="17.25" customHeight="1">
      <c r="A244" s="224" t="s">
        <v>1786</v>
      </c>
      <c r="B244" s="224" t="s">
        <v>1787</v>
      </c>
      <c r="C244" s="225">
        <v>0.0</v>
      </c>
      <c r="D244" s="225"/>
      <c r="E244" s="226">
        <v>0.0</v>
      </c>
      <c r="F244" s="227" t="s">
        <v>22</v>
      </c>
      <c r="G244" s="228">
        <v>0.0</v>
      </c>
      <c r="H244" s="228">
        <v>0.0</v>
      </c>
      <c r="I244" s="228">
        <v>0.0</v>
      </c>
      <c r="J244" s="228">
        <v>0.0</v>
      </c>
      <c r="K244" s="228">
        <v>0.0</v>
      </c>
      <c r="L244" s="228">
        <v>0.0</v>
      </c>
      <c r="M244" s="228">
        <v>625.0</v>
      </c>
      <c r="N244" s="228">
        <v>625.0</v>
      </c>
      <c r="O244" s="228">
        <v>625.0</v>
      </c>
      <c r="P244" s="228">
        <v>625.0</v>
      </c>
      <c r="Q244" s="228">
        <v>625.0</v>
      </c>
      <c r="R244" s="228">
        <v>625.0</v>
      </c>
      <c r="S244" s="228">
        <v>625.0</v>
      </c>
      <c r="T244" s="228">
        <v>625.0</v>
      </c>
      <c r="U244" s="227"/>
      <c r="V244" s="227"/>
      <c r="W244" s="227"/>
      <c r="X244" s="227"/>
      <c r="Y244" s="227"/>
      <c r="Z244" s="227"/>
      <c r="AA244" s="227"/>
      <c r="AB244" s="227"/>
    </row>
    <row r="245" ht="17.25" customHeight="1">
      <c r="A245" s="224" t="s">
        <v>1708</v>
      </c>
      <c r="B245" s="224" t="s">
        <v>1709</v>
      </c>
      <c r="C245" s="225">
        <v>0.0</v>
      </c>
      <c r="D245" s="225"/>
      <c r="E245" s="226">
        <v>0.0</v>
      </c>
      <c r="F245" s="227" t="s">
        <v>22</v>
      </c>
      <c r="G245" s="228">
        <v>0.0</v>
      </c>
      <c r="H245" s="228">
        <v>0.0</v>
      </c>
      <c r="I245" s="228">
        <v>0.0</v>
      </c>
      <c r="J245" s="228">
        <v>0.0</v>
      </c>
      <c r="K245" s="228">
        <v>0.0</v>
      </c>
      <c r="L245" s="228">
        <v>0.0</v>
      </c>
      <c r="M245" s="228">
        <v>0.0</v>
      </c>
      <c r="N245" s="228">
        <v>0.0</v>
      </c>
      <c r="O245" s="228">
        <v>0.0</v>
      </c>
      <c r="P245" s="228">
        <v>0.0</v>
      </c>
      <c r="Q245" s="228">
        <v>0.0</v>
      </c>
      <c r="R245" s="228">
        <v>0.0</v>
      </c>
      <c r="S245" s="228">
        <v>0.0</v>
      </c>
      <c r="T245" s="228">
        <v>0.0</v>
      </c>
      <c r="U245" s="227"/>
      <c r="V245" s="227"/>
      <c r="W245" s="227"/>
      <c r="X245" s="227"/>
      <c r="Y245" s="227"/>
      <c r="Z245" s="227"/>
      <c r="AA245" s="227"/>
      <c r="AB245" s="227"/>
    </row>
    <row r="246" ht="17.25" customHeight="1">
      <c r="A246" s="224" t="s">
        <v>1051</v>
      </c>
      <c r="B246" s="224" t="s">
        <v>1052</v>
      </c>
      <c r="C246" s="225">
        <v>0.0</v>
      </c>
      <c r="D246" s="225"/>
      <c r="E246" s="226">
        <v>17.0</v>
      </c>
      <c r="F246" s="227" t="s">
        <v>290</v>
      </c>
      <c r="G246" s="228">
        <v>0.0</v>
      </c>
      <c r="H246" s="228">
        <v>0.0</v>
      </c>
      <c r="I246" s="228">
        <v>0.0</v>
      </c>
      <c r="J246" s="228">
        <v>0.0</v>
      </c>
      <c r="K246" s="228">
        <v>0.0</v>
      </c>
      <c r="L246" s="228">
        <v>0.0</v>
      </c>
      <c r="M246" s="228">
        <v>0.0</v>
      </c>
      <c r="N246" s="228">
        <v>0.0</v>
      </c>
      <c r="O246" s="228">
        <v>0.0</v>
      </c>
      <c r="P246" s="228">
        <v>5.0</v>
      </c>
      <c r="Q246" s="228">
        <v>5.0</v>
      </c>
      <c r="R246" s="228">
        <v>5.0</v>
      </c>
      <c r="S246" s="228">
        <v>5.0</v>
      </c>
      <c r="T246" s="228">
        <v>5.0</v>
      </c>
      <c r="U246" s="227"/>
      <c r="V246" s="227"/>
      <c r="W246" s="227"/>
      <c r="X246" s="227"/>
      <c r="Y246" s="227"/>
      <c r="Z246" s="227"/>
      <c r="AA246" s="227"/>
      <c r="AB246" s="227"/>
    </row>
    <row r="247" ht="17.25" customHeight="1">
      <c r="A247" s="224" t="s">
        <v>1944</v>
      </c>
      <c r="B247" s="224" t="s">
        <v>1945</v>
      </c>
      <c r="C247" s="225">
        <v>0.0</v>
      </c>
      <c r="D247" s="225"/>
      <c r="E247" s="226">
        <v>0.0</v>
      </c>
      <c r="F247" s="227" t="s">
        <v>290</v>
      </c>
      <c r="G247" s="228">
        <v>0.0</v>
      </c>
      <c r="H247" s="228">
        <v>0.0</v>
      </c>
      <c r="I247" s="228">
        <v>0.0</v>
      </c>
      <c r="J247" s="228">
        <v>0.0</v>
      </c>
      <c r="K247" s="228">
        <v>0.0</v>
      </c>
      <c r="L247" s="228">
        <v>0.0</v>
      </c>
      <c r="M247" s="228">
        <v>0.0</v>
      </c>
      <c r="N247" s="228">
        <v>0.0</v>
      </c>
      <c r="O247" s="228">
        <v>0.0</v>
      </c>
      <c r="P247" s="228">
        <v>0.0</v>
      </c>
      <c r="Q247" s="228">
        <v>1.0</v>
      </c>
      <c r="R247" s="228">
        <v>1.0</v>
      </c>
      <c r="S247" s="228">
        <v>0.0</v>
      </c>
      <c r="T247" s="228">
        <v>0.0</v>
      </c>
      <c r="U247" s="227"/>
      <c r="V247" s="227"/>
      <c r="W247" s="227"/>
      <c r="X247" s="227"/>
      <c r="Y247" s="227"/>
      <c r="Z247" s="227"/>
      <c r="AA247" s="227"/>
      <c r="AB247" s="227"/>
    </row>
    <row r="248" ht="17.25" customHeight="1">
      <c r="A248" s="224" t="s">
        <v>975</v>
      </c>
      <c r="B248" s="224" t="s">
        <v>976</v>
      </c>
      <c r="C248" s="225">
        <v>0.0</v>
      </c>
      <c r="D248" s="225"/>
      <c r="E248" s="226">
        <v>80.0</v>
      </c>
      <c r="F248" s="227" t="s">
        <v>661</v>
      </c>
      <c r="G248" s="228">
        <v>0.0</v>
      </c>
      <c r="H248" s="228">
        <v>0.0</v>
      </c>
      <c r="I248" s="228">
        <v>0.0</v>
      </c>
      <c r="J248" s="228">
        <v>0.0</v>
      </c>
      <c r="K248" s="228">
        <v>0.0</v>
      </c>
      <c r="L248" s="228">
        <v>0.0</v>
      </c>
      <c r="M248" s="228">
        <v>0.0</v>
      </c>
      <c r="N248" s="228">
        <v>0.0</v>
      </c>
      <c r="O248" s="228">
        <v>0.0</v>
      </c>
      <c r="P248" s="228">
        <v>0.0</v>
      </c>
      <c r="Q248" s="228">
        <v>50.0</v>
      </c>
      <c r="R248" s="228">
        <v>50.0</v>
      </c>
      <c r="S248" s="228">
        <v>50.0</v>
      </c>
      <c r="T248" s="228">
        <v>50.0</v>
      </c>
      <c r="U248" s="227"/>
      <c r="V248" s="227"/>
      <c r="W248" s="227"/>
      <c r="X248" s="227"/>
      <c r="Y248" s="227"/>
      <c r="Z248" s="227"/>
      <c r="AA248" s="227"/>
      <c r="AB248" s="227"/>
    </row>
    <row r="249" ht="17.25" customHeight="1">
      <c r="A249" s="224" t="s">
        <v>1710</v>
      </c>
      <c r="B249" s="224" t="s">
        <v>1711</v>
      </c>
      <c r="C249" s="225">
        <v>0.0</v>
      </c>
      <c r="D249" s="225"/>
      <c r="E249" s="226">
        <v>0.0</v>
      </c>
      <c r="F249" s="227" t="s">
        <v>22</v>
      </c>
      <c r="G249" s="228">
        <v>0.0</v>
      </c>
      <c r="H249" s="228">
        <v>0.0</v>
      </c>
      <c r="I249" s="228">
        <v>0.0</v>
      </c>
      <c r="J249" s="228">
        <v>0.0</v>
      </c>
      <c r="K249" s="228">
        <v>0.0</v>
      </c>
      <c r="L249" s="228">
        <v>0.0</v>
      </c>
      <c r="M249" s="228">
        <v>0.0</v>
      </c>
      <c r="N249" s="228">
        <v>0.0</v>
      </c>
      <c r="O249" s="228">
        <v>0.0</v>
      </c>
      <c r="P249" s="228">
        <v>0.0</v>
      </c>
      <c r="Q249" s="228">
        <v>0.0</v>
      </c>
      <c r="R249" s="228">
        <v>3000.0</v>
      </c>
      <c r="S249" s="228">
        <v>3000.0</v>
      </c>
      <c r="T249" s="228">
        <v>3000.0</v>
      </c>
      <c r="U249" s="227"/>
      <c r="V249" s="227"/>
      <c r="W249" s="227"/>
      <c r="X249" s="227"/>
      <c r="Y249" s="227"/>
      <c r="Z249" s="227"/>
      <c r="AA249" s="227"/>
      <c r="AB249" s="227"/>
    </row>
    <row r="250" ht="17.25" customHeight="1">
      <c r="A250" s="224" t="s">
        <v>1055</v>
      </c>
      <c r="B250" s="224" t="s">
        <v>1056</v>
      </c>
      <c r="C250" s="225">
        <v>0.0</v>
      </c>
      <c r="D250" s="225"/>
      <c r="E250" s="226">
        <v>300.0</v>
      </c>
      <c r="F250" s="227" t="s">
        <v>22</v>
      </c>
      <c r="G250" s="228">
        <v>0.0</v>
      </c>
      <c r="H250" s="228">
        <v>0.0</v>
      </c>
      <c r="I250" s="228">
        <v>0.0</v>
      </c>
      <c r="J250" s="228">
        <v>0.0</v>
      </c>
      <c r="K250" s="228">
        <v>0.0</v>
      </c>
      <c r="L250" s="228">
        <v>0.0</v>
      </c>
      <c r="M250" s="228">
        <v>0.0</v>
      </c>
      <c r="N250" s="228">
        <v>0.0</v>
      </c>
      <c r="O250" s="228">
        <v>0.0</v>
      </c>
      <c r="P250" s="228">
        <v>0.0</v>
      </c>
      <c r="Q250" s="228">
        <v>0.0</v>
      </c>
      <c r="R250" s="228">
        <v>600.0</v>
      </c>
      <c r="S250" s="228">
        <v>600.0</v>
      </c>
      <c r="T250" s="228">
        <v>600.0</v>
      </c>
      <c r="U250" s="227"/>
      <c r="V250" s="227"/>
      <c r="W250" s="227"/>
      <c r="X250" s="227"/>
      <c r="Y250" s="227"/>
      <c r="Z250" s="227"/>
      <c r="AA250" s="227"/>
      <c r="AB250" s="227"/>
    </row>
    <row r="251" ht="17.25" customHeight="1">
      <c r="A251" s="224" t="s">
        <v>1946</v>
      </c>
      <c r="B251" s="224" t="s">
        <v>1947</v>
      </c>
      <c r="C251" s="225">
        <v>0.0</v>
      </c>
      <c r="D251" s="225"/>
      <c r="E251" s="226">
        <v>0.0</v>
      </c>
      <c r="F251" s="227" t="s">
        <v>22</v>
      </c>
      <c r="G251" s="228">
        <v>0.0</v>
      </c>
      <c r="H251" s="228">
        <v>0.0</v>
      </c>
      <c r="I251" s="228">
        <v>0.0</v>
      </c>
      <c r="J251" s="228">
        <v>0.0</v>
      </c>
      <c r="K251" s="228">
        <v>0.0</v>
      </c>
      <c r="L251" s="228">
        <v>0.0</v>
      </c>
      <c r="M251" s="228">
        <v>0.0</v>
      </c>
      <c r="N251" s="228">
        <v>0.0</v>
      </c>
      <c r="O251" s="228">
        <v>0.0</v>
      </c>
      <c r="P251" s="228">
        <v>0.0</v>
      </c>
      <c r="Q251" s="228">
        <v>0.0</v>
      </c>
      <c r="R251" s="228">
        <v>2880.0</v>
      </c>
      <c r="S251" s="228">
        <v>2880.0</v>
      </c>
      <c r="T251" s="228">
        <v>0.0</v>
      </c>
      <c r="U251" s="227"/>
      <c r="V251" s="227"/>
      <c r="W251" s="227"/>
      <c r="X251" s="227"/>
      <c r="Y251" s="227"/>
      <c r="Z251" s="227"/>
      <c r="AA251" s="227"/>
      <c r="AB251" s="227"/>
    </row>
    <row r="252" ht="17.25" customHeight="1">
      <c r="A252" s="224" t="s">
        <v>1713</v>
      </c>
      <c r="B252" s="224" t="s">
        <v>1714</v>
      </c>
      <c r="C252" s="225">
        <v>0.0</v>
      </c>
      <c r="D252" s="225"/>
      <c r="E252" s="226">
        <v>0.0</v>
      </c>
      <c r="F252" s="227" t="s">
        <v>22</v>
      </c>
      <c r="G252" s="228">
        <v>0.0</v>
      </c>
      <c r="H252" s="228">
        <v>0.0</v>
      </c>
      <c r="I252" s="228">
        <v>0.0</v>
      </c>
      <c r="J252" s="228">
        <v>0.0</v>
      </c>
      <c r="K252" s="228">
        <v>0.0</v>
      </c>
      <c r="L252" s="228">
        <v>0.0</v>
      </c>
      <c r="M252" s="228">
        <v>0.0</v>
      </c>
      <c r="N252" s="228">
        <v>0.0</v>
      </c>
      <c r="O252" s="228">
        <v>0.0</v>
      </c>
      <c r="P252" s="228">
        <v>0.0</v>
      </c>
      <c r="Q252" s="228">
        <v>0.0</v>
      </c>
      <c r="R252" s="228">
        <v>5475.0</v>
      </c>
      <c r="S252" s="228">
        <v>5475.0</v>
      </c>
      <c r="T252" s="228">
        <v>2800.0</v>
      </c>
      <c r="U252" s="227"/>
      <c r="V252" s="227"/>
      <c r="W252" s="227"/>
      <c r="X252" s="227"/>
      <c r="Y252" s="227"/>
      <c r="Z252" s="227"/>
      <c r="AA252" s="227"/>
      <c r="AB252" s="227"/>
    </row>
    <row r="253" ht="17.25" customHeight="1">
      <c r="A253" s="224" t="s">
        <v>1948</v>
      </c>
      <c r="B253" s="224" t="s">
        <v>1949</v>
      </c>
      <c r="C253" s="225">
        <v>0.0</v>
      </c>
      <c r="D253" s="225"/>
      <c r="E253" s="226">
        <v>0.0</v>
      </c>
      <c r="F253" s="227" t="s">
        <v>290</v>
      </c>
      <c r="G253" s="228">
        <v>0.0</v>
      </c>
      <c r="H253" s="228">
        <v>0.0</v>
      </c>
      <c r="I253" s="228">
        <v>0.0</v>
      </c>
      <c r="J253" s="228">
        <v>0.0</v>
      </c>
      <c r="K253" s="228">
        <v>0.0</v>
      </c>
      <c r="L253" s="228">
        <v>0.0</v>
      </c>
      <c r="M253" s="228">
        <v>0.0</v>
      </c>
      <c r="N253" s="228">
        <v>0.0</v>
      </c>
      <c r="O253" s="228">
        <v>0.0</v>
      </c>
      <c r="P253" s="228">
        <v>0.0</v>
      </c>
      <c r="Q253" s="228">
        <v>0.0</v>
      </c>
      <c r="R253" s="228">
        <v>0.0</v>
      </c>
      <c r="S253" s="228">
        <v>1.0</v>
      </c>
      <c r="T253" s="228">
        <v>0.0</v>
      </c>
      <c r="U253" s="227"/>
      <c r="V253" s="227"/>
      <c r="W253" s="227"/>
      <c r="X253" s="227"/>
      <c r="Y253" s="227"/>
      <c r="Z253" s="227"/>
      <c r="AA253" s="227"/>
      <c r="AB253" s="227"/>
    </row>
    <row r="254" ht="17.25" customHeight="1">
      <c r="A254" s="224" t="s">
        <v>1950</v>
      </c>
      <c r="B254" s="224" t="s">
        <v>1951</v>
      </c>
      <c r="C254" s="225">
        <v>0.0</v>
      </c>
      <c r="D254" s="225"/>
      <c r="E254" s="226">
        <v>0.0</v>
      </c>
      <c r="F254" s="227" t="s">
        <v>290</v>
      </c>
      <c r="G254" s="228">
        <v>0.0</v>
      </c>
      <c r="H254" s="228">
        <v>0.0</v>
      </c>
      <c r="I254" s="228">
        <v>0.0</v>
      </c>
      <c r="J254" s="228">
        <v>0.0</v>
      </c>
      <c r="K254" s="228">
        <v>0.0</v>
      </c>
      <c r="L254" s="228">
        <v>0.0</v>
      </c>
      <c r="M254" s="228">
        <v>0.0</v>
      </c>
      <c r="N254" s="228">
        <v>0.0</v>
      </c>
      <c r="O254" s="228">
        <v>0.0</v>
      </c>
      <c r="P254" s="228">
        <v>0.0</v>
      </c>
      <c r="Q254" s="228">
        <v>0.0</v>
      </c>
      <c r="R254" s="228">
        <v>0.0</v>
      </c>
      <c r="S254" s="228">
        <v>0.0</v>
      </c>
      <c r="T254" s="228">
        <v>1.0</v>
      </c>
      <c r="U254" s="227"/>
      <c r="V254" s="227"/>
      <c r="W254" s="227"/>
      <c r="X254" s="227"/>
      <c r="Y254" s="227"/>
      <c r="Z254" s="227"/>
      <c r="AA254" s="227"/>
      <c r="AB254" s="227"/>
    </row>
    <row r="255" ht="17.25" customHeight="1">
      <c r="A255" s="224" t="s">
        <v>1058</v>
      </c>
      <c r="B255" s="224" t="s">
        <v>1059</v>
      </c>
      <c r="C255" s="225" t="s">
        <v>1333</v>
      </c>
      <c r="D255" s="225"/>
      <c r="E255" s="226">
        <v>1.0</v>
      </c>
      <c r="F255" s="227" t="s">
        <v>661</v>
      </c>
      <c r="G255" s="228">
        <v>0.0</v>
      </c>
      <c r="H255" s="228">
        <v>0.0</v>
      </c>
      <c r="I255" s="228">
        <v>0.0</v>
      </c>
      <c r="J255" s="228">
        <v>0.0</v>
      </c>
      <c r="K255" s="228">
        <v>0.0</v>
      </c>
      <c r="L255" s="228">
        <v>0.0</v>
      </c>
      <c r="M255" s="228">
        <v>0.0</v>
      </c>
      <c r="N255" s="228">
        <v>0.0</v>
      </c>
      <c r="O255" s="228">
        <v>0.0</v>
      </c>
      <c r="P255" s="228">
        <v>0.0</v>
      </c>
      <c r="Q255" s="228">
        <v>0.0</v>
      </c>
      <c r="R255" s="228">
        <v>0.0</v>
      </c>
      <c r="S255" s="228">
        <v>0.0</v>
      </c>
      <c r="T255" s="228">
        <v>1.0</v>
      </c>
      <c r="U255" s="227"/>
      <c r="V255" s="227"/>
      <c r="W255" s="227"/>
      <c r="X255" s="227"/>
      <c r="Y255" s="227"/>
      <c r="Z255" s="227"/>
      <c r="AA255" s="227"/>
      <c r="AB255" s="227"/>
    </row>
    <row r="256" ht="17.25" customHeight="1">
      <c r="A256" s="224" t="s">
        <v>1061</v>
      </c>
      <c r="B256" s="224" t="s">
        <v>1062</v>
      </c>
      <c r="C256" s="225">
        <v>0.0</v>
      </c>
      <c r="D256" s="225"/>
      <c r="E256" s="226">
        <v>1.0</v>
      </c>
      <c r="F256" s="227" t="s">
        <v>661</v>
      </c>
      <c r="G256" s="228">
        <v>0.0</v>
      </c>
      <c r="H256" s="228">
        <v>0.0</v>
      </c>
      <c r="I256" s="228">
        <v>0.0</v>
      </c>
      <c r="J256" s="228">
        <v>0.0</v>
      </c>
      <c r="K256" s="228">
        <v>0.0</v>
      </c>
      <c r="L256" s="228">
        <v>0.0</v>
      </c>
      <c r="M256" s="228">
        <v>0.0</v>
      </c>
      <c r="N256" s="228">
        <v>0.0</v>
      </c>
      <c r="O256" s="228">
        <v>0.0</v>
      </c>
      <c r="P256" s="228">
        <v>0.0</v>
      </c>
      <c r="Q256" s="228">
        <v>0.0</v>
      </c>
      <c r="R256" s="228">
        <v>0.0</v>
      </c>
      <c r="S256" s="228">
        <v>0.0</v>
      </c>
      <c r="T256" s="228">
        <v>1.0</v>
      </c>
      <c r="U256" s="227"/>
      <c r="V256" s="227"/>
      <c r="W256" s="227"/>
      <c r="X256" s="227"/>
      <c r="Y256" s="227"/>
      <c r="Z256" s="227"/>
      <c r="AA256" s="227"/>
      <c r="AB256" s="227"/>
    </row>
    <row r="257" ht="17.25" customHeight="1">
      <c r="A257" s="224" t="s">
        <v>1064</v>
      </c>
      <c r="B257" s="224" t="s">
        <v>1065</v>
      </c>
      <c r="C257" s="225">
        <v>0.0</v>
      </c>
      <c r="D257" s="225"/>
      <c r="E257" s="226">
        <v>1500.0</v>
      </c>
      <c r="F257" s="227" t="s">
        <v>22</v>
      </c>
      <c r="G257" s="229"/>
      <c r="H257" s="229"/>
      <c r="I257" s="229"/>
      <c r="J257" s="229"/>
      <c r="K257" s="229"/>
      <c r="L257" s="229"/>
      <c r="M257" s="229"/>
      <c r="N257" s="229"/>
      <c r="O257" s="229"/>
      <c r="P257" s="229"/>
      <c r="Q257" s="229"/>
      <c r="R257" s="229"/>
      <c r="S257" s="229"/>
      <c r="T257" s="229"/>
      <c r="U257" s="227"/>
      <c r="V257" s="227"/>
      <c r="W257" s="227"/>
      <c r="X257" s="227"/>
      <c r="Y257" s="227"/>
      <c r="Z257" s="227"/>
      <c r="AA257" s="227"/>
      <c r="AB257" s="227"/>
    </row>
    <row r="258" ht="17.25" customHeight="1">
      <c r="A258" s="224" t="s">
        <v>989</v>
      </c>
      <c r="B258" s="224" t="s">
        <v>991</v>
      </c>
      <c r="C258" s="225">
        <v>0.0</v>
      </c>
      <c r="D258" s="225"/>
      <c r="E258" s="226">
        <v>15.0</v>
      </c>
      <c r="F258" s="227" t="s">
        <v>290</v>
      </c>
      <c r="G258" s="229"/>
      <c r="H258" s="229"/>
      <c r="I258" s="229"/>
      <c r="J258" s="229"/>
      <c r="K258" s="229"/>
      <c r="L258" s="229"/>
      <c r="M258" s="229"/>
      <c r="N258" s="229"/>
      <c r="O258" s="229"/>
      <c r="P258" s="229"/>
      <c r="Q258" s="229"/>
      <c r="R258" s="229"/>
      <c r="S258" s="229"/>
      <c r="T258" s="229"/>
      <c r="U258" s="227"/>
      <c r="V258" s="227"/>
      <c r="W258" s="227"/>
      <c r="X258" s="227"/>
      <c r="Y258" s="227"/>
      <c r="Z258" s="227"/>
      <c r="AA258" s="227"/>
      <c r="AB258" s="227"/>
    </row>
    <row r="259" ht="17.25" customHeight="1">
      <c r="A259" s="224" t="s">
        <v>1067</v>
      </c>
      <c r="B259" s="224" t="s">
        <v>1068</v>
      </c>
      <c r="C259" s="225" t="s">
        <v>1333</v>
      </c>
      <c r="D259" s="225"/>
      <c r="E259" s="226">
        <v>10.0</v>
      </c>
      <c r="F259" s="227" t="s">
        <v>661</v>
      </c>
      <c r="G259" s="229"/>
      <c r="H259" s="229"/>
      <c r="I259" s="229"/>
      <c r="J259" s="229"/>
      <c r="K259" s="229"/>
      <c r="L259" s="229"/>
      <c r="M259" s="229"/>
      <c r="N259" s="229"/>
      <c r="O259" s="229"/>
      <c r="P259" s="229"/>
      <c r="Q259" s="229"/>
      <c r="R259" s="229"/>
      <c r="S259" s="229"/>
      <c r="T259" s="229"/>
      <c r="U259" s="227"/>
      <c r="V259" s="227"/>
      <c r="W259" s="227"/>
      <c r="X259" s="227"/>
      <c r="Y259" s="227"/>
      <c r="Z259" s="227"/>
      <c r="AA259" s="227"/>
      <c r="AB259" s="227"/>
    </row>
    <row r="260" ht="17.25" customHeight="1">
      <c r="A260" s="224" t="s">
        <v>1071</v>
      </c>
      <c r="B260" s="224" t="s">
        <v>1072</v>
      </c>
      <c r="C260" s="225">
        <v>0.0</v>
      </c>
      <c r="D260" s="225"/>
      <c r="E260" s="226">
        <v>200.0</v>
      </c>
      <c r="F260" s="227" t="s">
        <v>22</v>
      </c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29"/>
      <c r="T260" s="229"/>
      <c r="U260" s="227"/>
      <c r="V260" s="227"/>
      <c r="W260" s="227"/>
      <c r="X260" s="227"/>
      <c r="Y260" s="227"/>
      <c r="Z260" s="227"/>
      <c r="AA260" s="227"/>
      <c r="AB260" s="227"/>
    </row>
    <row r="261" ht="17.25" customHeight="1">
      <c r="A261" s="224" t="s">
        <v>1952</v>
      </c>
      <c r="B261" s="224" t="s">
        <v>1953</v>
      </c>
      <c r="C261" s="225">
        <v>0.0</v>
      </c>
      <c r="D261" s="225"/>
      <c r="E261" s="226">
        <v>0.0</v>
      </c>
      <c r="F261" s="227" t="s">
        <v>643</v>
      </c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29"/>
      <c r="T261" s="229"/>
      <c r="U261" s="227"/>
      <c r="V261" s="227"/>
      <c r="W261" s="227"/>
      <c r="X261" s="227"/>
      <c r="Y261" s="227"/>
      <c r="Z261" s="227"/>
      <c r="AA261" s="227"/>
      <c r="AB261" s="227"/>
    </row>
    <row r="262" ht="17.25" customHeight="1">
      <c r="A262" s="224" t="s">
        <v>1954</v>
      </c>
      <c r="B262" s="224" t="s">
        <v>1955</v>
      </c>
      <c r="C262" s="225">
        <v>0.0</v>
      </c>
      <c r="D262" s="225"/>
      <c r="E262" s="226">
        <v>0.0</v>
      </c>
      <c r="F262" s="227" t="s">
        <v>22</v>
      </c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29"/>
      <c r="T262" s="229"/>
      <c r="U262" s="227"/>
      <c r="V262" s="227"/>
      <c r="W262" s="227"/>
      <c r="X262" s="227"/>
      <c r="Y262" s="227"/>
      <c r="Z262" s="227"/>
      <c r="AA262" s="227"/>
      <c r="AB262" s="227"/>
    </row>
    <row r="263" ht="17.25" customHeight="1">
      <c r="A263" s="224" t="s">
        <v>1715</v>
      </c>
      <c r="B263" s="224" t="s">
        <v>1716</v>
      </c>
      <c r="C263" s="225">
        <v>0.0</v>
      </c>
      <c r="D263" s="225"/>
      <c r="E263" s="226">
        <v>0.0</v>
      </c>
      <c r="F263" s="227" t="s">
        <v>22</v>
      </c>
      <c r="G263" s="229"/>
      <c r="H263" s="229"/>
      <c r="I263" s="229"/>
      <c r="J263" s="229"/>
      <c r="K263" s="229"/>
      <c r="L263" s="229"/>
      <c r="M263" s="229"/>
      <c r="N263" s="229"/>
      <c r="O263" s="229"/>
      <c r="P263" s="229"/>
      <c r="Q263" s="229"/>
      <c r="R263" s="229"/>
      <c r="S263" s="229"/>
      <c r="T263" s="229"/>
      <c r="U263" s="227"/>
      <c r="V263" s="227"/>
      <c r="W263" s="227"/>
      <c r="X263" s="227"/>
      <c r="Y263" s="227"/>
      <c r="Z263" s="227"/>
      <c r="AA263" s="227"/>
      <c r="AB263" s="227"/>
    </row>
    <row r="264" ht="17.25" customHeight="1">
      <c r="A264" s="224" t="s">
        <v>1074</v>
      </c>
      <c r="B264" s="224" t="s">
        <v>1075</v>
      </c>
      <c r="C264" s="225">
        <v>0.0</v>
      </c>
      <c r="D264" s="225"/>
      <c r="E264" s="226">
        <v>0.0</v>
      </c>
      <c r="F264" s="227" t="s">
        <v>22</v>
      </c>
      <c r="G264" s="229"/>
      <c r="H264" s="229"/>
      <c r="I264" s="229"/>
      <c r="J264" s="229"/>
      <c r="K264" s="229"/>
      <c r="L264" s="229"/>
      <c r="M264" s="229"/>
      <c r="N264" s="229"/>
      <c r="O264" s="229"/>
      <c r="P264" s="229"/>
      <c r="Q264" s="229"/>
      <c r="R264" s="229"/>
      <c r="S264" s="229"/>
      <c r="T264" s="229"/>
      <c r="U264" s="227"/>
      <c r="V264" s="227"/>
      <c r="W264" s="227"/>
      <c r="X264" s="227"/>
      <c r="Y264" s="227"/>
      <c r="Z264" s="227"/>
      <c r="AA264" s="227"/>
      <c r="AB264" s="227"/>
    </row>
    <row r="265" ht="17.25" customHeight="1">
      <c r="A265" s="224" t="s">
        <v>1717</v>
      </c>
      <c r="B265" s="224" t="s">
        <v>1718</v>
      </c>
      <c r="C265" s="225">
        <v>0.0</v>
      </c>
      <c r="D265" s="225"/>
      <c r="E265" s="226">
        <v>0.0</v>
      </c>
      <c r="F265" s="227" t="s">
        <v>22</v>
      </c>
      <c r="G265" s="229"/>
      <c r="H265" s="229"/>
      <c r="I265" s="229"/>
      <c r="J265" s="229"/>
      <c r="K265" s="229"/>
      <c r="L265" s="229"/>
      <c r="M265" s="229"/>
      <c r="N265" s="229"/>
      <c r="O265" s="229"/>
      <c r="P265" s="229"/>
      <c r="Q265" s="229"/>
      <c r="R265" s="229"/>
      <c r="S265" s="229"/>
      <c r="T265" s="229"/>
      <c r="U265" s="227"/>
      <c r="V265" s="227"/>
      <c r="W265" s="227"/>
      <c r="X265" s="227"/>
      <c r="Y265" s="227"/>
      <c r="Z265" s="227"/>
      <c r="AA265" s="227"/>
      <c r="AB265" s="227"/>
    </row>
    <row r="266" ht="17.25" customHeight="1">
      <c r="A266" s="224" t="s">
        <v>1077</v>
      </c>
      <c r="B266" s="224" t="s">
        <v>1078</v>
      </c>
      <c r="C266" s="225">
        <v>0.0</v>
      </c>
      <c r="D266" s="225"/>
      <c r="E266" s="226">
        <v>1080.0</v>
      </c>
      <c r="F266" s="227" t="s">
        <v>22</v>
      </c>
      <c r="G266" s="229"/>
      <c r="H266" s="229"/>
      <c r="I266" s="229"/>
      <c r="J266" s="229"/>
      <c r="K266" s="229"/>
      <c r="L266" s="229"/>
      <c r="M266" s="229"/>
      <c r="N266" s="229"/>
      <c r="O266" s="229"/>
      <c r="P266" s="229"/>
      <c r="Q266" s="229"/>
      <c r="R266" s="229"/>
      <c r="S266" s="229"/>
      <c r="T266" s="229"/>
      <c r="U266" s="227"/>
      <c r="V266" s="227"/>
      <c r="W266" s="227"/>
      <c r="X266" s="227"/>
      <c r="Y266" s="227"/>
      <c r="Z266" s="227"/>
      <c r="AA266" s="227"/>
      <c r="AB266" s="227"/>
    </row>
    <row r="267" ht="17.25" customHeight="1">
      <c r="A267" s="224" t="s">
        <v>1956</v>
      </c>
      <c r="B267" s="224" t="s">
        <v>1957</v>
      </c>
      <c r="C267" s="225">
        <v>0.0</v>
      </c>
      <c r="D267" s="225"/>
      <c r="E267" s="226">
        <v>0.0</v>
      </c>
      <c r="F267" s="227" t="s">
        <v>22</v>
      </c>
      <c r="G267" s="229"/>
      <c r="H267" s="229"/>
      <c r="I267" s="229"/>
      <c r="J267" s="229"/>
      <c r="K267" s="229"/>
      <c r="L267" s="229"/>
      <c r="M267" s="229"/>
      <c r="N267" s="229"/>
      <c r="O267" s="229"/>
      <c r="P267" s="229"/>
      <c r="Q267" s="229"/>
      <c r="R267" s="229"/>
      <c r="S267" s="229"/>
      <c r="T267" s="229"/>
      <c r="U267" s="227"/>
      <c r="V267" s="227"/>
      <c r="W267" s="227"/>
      <c r="X267" s="227"/>
      <c r="Y267" s="227"/>
      <c r="Z267" s="227"/>
      <c r="AA267" s="227"/>
      <c r="AB267" s="227"/>
    </row>
    <row r="268" ht="17.25" customHeight="1">
      <c r="A268" s="224" t="s">
        <v>1080</v>
      </c>
      <c r="B268" s="224" t="s">
        <v>1081</v>
      </c>
      <c r="C268" s="225" t="s">
        <v>1333</v>
      </c>
      <c r="D268" s="225"/>
      <c r="E268" s="226">
        <v>110.0</v>
      </c>
      <c r="F268" s="227" t="s">
        <v>290</v>
      </c>
      <c r="G268" s="229"/>
      <c r="H268" s="229"/>
      <c r="I268" s="229"/>
      <c r="J268" s="229"/>
      <c r="K268" s="229"/>
      <c r="L268" s="229"/>
      <c r="M268" s="229"/>
      <c r="N268" s="229"/>
      <c r="O268" s="229"/>
      <c r="P268" s="229"/>
      <c r="Q268" s="229"/>
      <c r="R268" s="229"/>
      <c r="S268" s="229"/>
      <c r="T268" s="229"/>
      <c r="U268" s="227"/>
      <c r="V268" s="227"/>
      <c r="W268" s="227"/>
      <c r="X268" s="227"/>
      <c r="Y268" s="227"/>
      <c r="Z268" s="227"/>
      <c r="AA268" s="227"/>
      <c r="AB268" s="227"/>
    </row>
    <row r="269" ht="17.25" customHeight="1">
      <c r="A269" s="224" t="s">
        <v>728</v>
      </c>
      <c r="B269" s="224" t="s">
        <v>729</v>
      </c>
      <c r="C269" s="225">
        <v>0.0</v>
      </c>
      <c r="D269" s="225"/>
      <c r="E269" s="226">
        <v>10.0</v>
      </c>
      <c r="F269" s="227" t="s">
        <v>661</v>
      </c>
      <c r="G269" s="229"/>
      <c r="H269" s="229"/>
      <c r="I269" s="229"/>
      <c r="J269" s="229"/>
      <c r="K269" s="229"/>
      <c r="L269" s="229"/>
      <c r="M269" s="229"/>
      <c r="N269" s="229"/>
      <c r="O269" s="229"/>
      <c r="P269" s="229"/>
      <c r="Q269" s="229"/>
      <c r="R269" s="229"/>
      <c r="S269" s="229"/>
      <c r="T269" s="229"/>
      <c r="U269" s="227"/>
      <c r="V269" s="227"/>
      <c r="W269" s="227"/>
      <c r="X269" s="227"/>
      <c r="Y269" s="227"/>
      <c r="Z269" s="227"/>
      <c r="AA269" s="227"/>
      <c r="AB269" s="227"/>
    </row>
    <row r="270" ht="17.25" customHeight="1">
      <c r="A270" s="224" t="s">
        <v>733</v>
      </c>
      <c r="B270" s="224" t="s">
        <v>739</v>
      </c>
      <c r="C270" s="225">
        <v>0.0</v>
      </c>
      <c r="D270" s="225"/>
      <c r="E270" s="226">
        <v>4.0</v>
      </c>
      <c r="F270" s="227" t="s">
        <v>661</v>
      </c>
      <c r="G270" s="229"/>
      <c r="H270" s="229"/>
      <c r="I270" s="229"/>
      <c r="J270" s="229"/>
      <c r="K270" s="229"/>
      <c r="L270" s="229"/>
      <c r="M270" s="229"/>
      <c r="N270" s="229"/>
      <c r="O270" s="229"/>
      <c r="P270" s="229"/>
      <c r="Q270" s="229"/>
      <c r="R270" s="229"/>
      <c r="S270" s="229"/>
      <c r="T270" s="229"/>
      <c r="U270" s="227"/>
      <c r="V270" s="227"/>
      <c r="W270" s="227"/>
      <c r="X270" s="227"/>
      <c r="Y270" s="227"/>
      <c r="Z270" s="227"/>
      <c r="AA270" s="227"/>
      <c r="AB270" s="227"/>
    </row>
    <row r="271" ht="17.25" customHeight="1">
      <c r="A271" s="224" t="s">
        <v>1958</v>
      </c>
      <c r="B271" s="224" t="s">
        <v>1959</v>
      </c>
      <c r="C271" s="225">
        <v>0.0</v>
      </c>
      <c r="D271" s="225"/>
      <c r="E271" s="226">
        <v>0.0</v>
      </c>
      <c r="F271" s="227" t="s">
        <v>661</v>
      </c>
      <c r="G271" s="229"/>
      <c r="H271" s="229"/>
      <c r="I271" s="229"/>
      <c r="J271" s="229"/>
      <c r="K271" s="229"/>
      <c r="L271" s="229"/>
      <c r="M271" s="229"/>
      <c r="N271" s="229"/>
      <c r="O271" s="229"/>
      <c r="P271" s="229"/>
      <c r="Q271" s="229"/>
      <c r="R271" s="229"/>
      <c r="S271" s="229"/>
      <c r="T271" s="229"/>
      <c r="U271" s="227"/>
      <c r="V271" s="227"/>
      <c r="W271" s="227"/>
      <c r="X271" s="227"/>
      <c r="Y271" s="227"/>
      <c r="Z271" s="227"/>
      <c r="AA271" s="227"/>
      <c r="AB271" s="227"/>
    </row>
    <row r="272" ht="17.25" customHeight="1">
      <c r="A272" s="224" t="s">
        <v>1960</v>
      </c>
      <c r="B272" s="224" t="s">
        <v>1961</v>
      </c>
      <c r="C272" s="225">
        <v>0.0</v>
      </c>
      <c r="D272" s="225"/>
      <c r="E272" s="226">
        <v>0.0</v>
      </c>
      <c r="F272" s="227" t="s">
        <v>661</v>
      </c>
      <c r="G272" s="229"/>
      <c r="H272" s="229"/>
      <c r="I272" s="229"/>
      <c r="J272" s="229"/>
      <c r="K272" s="229"/>
      <c r="L272" s="229"/>
      <c r="M272" s="229"/>
      <c r="N272" s="229"/>
      <c r="O272" s="229"/>
      <c r="P272" s="229"/>
      <c r="Q272" s="229"/>
      <c r="R272" s="229"/>
      <c r="S272" s="229"/>
      <c r="T272" s="229"/>
      <c r="U272" s="227"/>
      <c r="V272" s="227"/>
      <c r="W272" s="227"/>
      <c r="X272" s="227"/>
      <c r="Y272" s="227"/>
      <c r="Z272" s="227"/>
      <c r="AA272" s="227"/>
      <c r="AB272" s="227"/>
    </row>
    <row r="273" ht="17.25" customHeight="1">
      <c r="A273" s="224" t="s">
        <v>1962</v>
      </c>
      <c r="B273" s="224" t="s">
        <v>1963</v>
      </c>
      <c r="C273" s="225">
        <v>0.0</v>
      </c>
      <c r="D273" s="225"/>
      <c r="E273" s="226">
        <v>0.0</v>
      </c>
      <c r="F273" s="227" t="s">
        <v>661</v>
      </c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  <c r="Q273" s="229"/>
      <c r="R273" s="229"/>
      <c r="S273" s="229"/>
      <c r="T273" s="229"/>
      <c r="U273" s="227"/>
      <c r="V273" s="227"/>
      <c r="W273" s="227"/>
      <c r="X273" s="227"/>
      <c r="Y273" s="227"/>
      <c r="Z273" s="227"/>
      <c r="AA273" s="227"/>
      <c r="AB273" s="227"/>
    </row>
    <row r="274" ht="17.25" customHeight="1">
      <c r="A274" s="224" t="s">
        <v>45</v>
      </c>
      <c r="B274" s="224" t="s">
        <v>47</v>
      </c>
      <c r="C274" s="225">
        <v>0.0</v>
      </c>
      <c r="D274" s="225"/>
      <c r="E274" s="226">
        <v>0.0</v>
      </c>
      <c r="F274" s="227" t="s">
        <v>661</v>
      </c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7"/>
      <c r="V274" s="227"/>
      <c r="W274" s="227"/>
      <c r="X274" s="227"/>
      <c r="Y274" s="227"/>
      <c r="Z274" s="227"/>
      <c r="AA274" s="227"/>
      <c r="AB274" s="227"/>
    </row>
    <row r="275" ht="17.25" customHeight="1">
      <c r="A275" s="224" t="s">
        <v>1085</v>
      </c>
      <c r="B275" s="224" t="s">
        <v>1086</v>
      </c>
      <c r="C275" s="225">
        <v>0.0</v>
      </c>
      <c r="D275" s="225"/>
      <c r="E275" s="226">
        <v>15800.0</v>
      </c>
      <c r="F275" s="227" t="s">
        <v>661</v>
      </c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7"/>
      <c r="V275" s="227"/>
      <c r="W275" s="227"/>
      <c r="X275" s="227"/>
      <c r="Y275" s="227"/>
      <c r="Z275" s="227"/>
      <c r="AA275" s="227"/>
      <c r="AB275" s="227"/>
    </row>
    <row r="276" ht="17.25" customHeight="1">
      <c r="A276" s="224" t="s">
        <v>1719</v>
      </c>
      <c r="B276" s="224" t="s">
        <v>1720</v>
      </c>
      <c r="C276" s="225" t="s">
        <v>1333</v>
      </c>
      <c r="D276" s="225"/>
      <c r="E276" s="226">
        <v>0.0</v>
      </c>
      <c r="F276" s="227" t="s">
        <v>22</v>
      </c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7"/>
      <c r="V276" s="227"/>
      <c r="W276" s="227"/>
      <c r="X276" s="227"/>
      <c r="Y276" s="227"/>
      <c r="Z276" s="227"/>
      <c r="AA276" s="227"/>
      <c r="AB276" s="227"/>
    </row>
    <row r="277" ht="17.25" customHeight="1">
      <c r="A277" s="224" t="s">
        <v>1088</v>
      </c>
      <c r="B277" s="224" t="s">
        <v>1089</v>
      </c>
      <c r="C277" s="225">
        <v>0.0</v>
      </c>
      <c r="D277" s="225"/>
      <c r="E277" s="226">
        <v>200.0</v>
      </c>
      <c r="F277" s="227" t="s">
        <v>22</v>
      </c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7"/>
      <c r="V277" s="227"/>
      <c r="W277" s="227"/>
      <c r="X277" s="227"/>
      <c r="Y277" s="227"/>
      <c r="Z277" s="227"/>
      <c r="AA277" s="227"/>
      <c r="AB277" s="227"/>
    </row>
    <row r="278" ht="17.25" customHeight="1">
      <c r="A278" s="224" t="s">
        <v>95</v>
      </c>
      <c r="B278" s="224" t="s">
        <v>97</v>
      </c>
      <c r="C278" s="224">
        <v>0.0</v>
      </c>
      <c r="D278" s="224"/>
      <c r="E278" s="230">
        <v>500.0</v>
      </c>
      <c r="F278" s="231" t="s">
        <v>22</v>
      </c>
      <c r="G278" s="232"/>
      <c r="H278" s="232"/>
      <c r="I278" s="232"/>
      <c r="J278" s="232"/>
      <c r="K278" s="232"/>
      <c r="L278" s="232"/>
      <c r="M278" s="232"/>
      <c r="N278" s="232"/>
      <c r="O278" s="232"/>
      <c r="P278" s="232"/>
      <c r="Q278" s="232"/>
      <c r="R278" s="232"/>
      <c r="S278" s="232"/>
      <c r="T278" s="232"/>
      <c r="U278" s="231"/>
      <c r="V278" s="231"/>
      <c r="W278" s="231"/>
      <c r="X278" s="231"/>
      <c r="Y278" s="231"/>
      <c r="Z278" s="231"/>
      <c r="AA278" s="231"/>
      <c r="AB278" s="231"/>
    </row>
    <row r="279" ht="17.25" customHeight="1">
      <c r="A279" s="224" t="s">
        <v>1965</v>
      </c>
      <c r="B279" s="224" t="s">
        <v>1966</v>
      </c>
      <c r="C279" s="224">
        <v>0.0</v>
      </c>
      <c r="D279" s="224"/>
      <c r="E279" s="230">
        <v>0.0</v>
      </c>
      <c r="F279" s="231" t="s">
        <v>661</v>
      </c>
      <c r="G279" s="232"/>
      <c r="H279" s="232"/>
      <c r="I279" s="232"/>
      <c r="J279" s="232"/>
      <c r="K279" s="232"/>
      <c r="L279" s="232"/>
      <c r="M279" s="232"/>
      <c r="N279" s="232"/>
      <c r="O279" s="232"/>
      <c r="P279" s="232"/>
      <c r="Q279" s="232"/>
      <c r="R279" s="232"/>
      <c r="S279" s="232"/>
      <c r="T279" s="232"/>
      <c r="U279" s="231"/>
      <c r="V279" s="231"/>
      <c r="W279" s="231"/>
      <c r="X279" s="231"/>
      <c r="Y279" s="231"/>
      <c r="Z279" s="231"/>
      <c r="AA279" s="231"/>
      <c r="AB279" s="231"/>
    </row>
    <row r="280" ht="17.25" customHeight="1">
      <c r="A280" s="224" t="s">
        <v>1967</v>
      </c>
      <c r="B280" s="224" t="s">
        <v>1968</v>
      </c>
      <c r="C280" s="224">
        <v>0.0</v>
      </c>
      <c r="D280" s="224"/>
      <c r="E280" s="230">
        <v>0.0</v>
      </c>
      <c r="F280" s="231" t="s">
        <v>22</v>
      </c>
      <c r="G280" s="232"/>
      <c r="H280" s="232"/>
      <c r="I280" s="232"/>
      <c r="J280" s="232"/>
      <c r="K280" s="232"/>
      <c r="L280" s="232"/>
      <c r="M280" s="232"/>
      <c r="N280" s="232"/>
      <c r="O280" s="232"/>
      <c r="P280" s="232"/>
      <c r="Q280" s="232"/>
      <c r="R280" s="232"/>
      <c r="S280" s="232"/>
      <c r="T280" s="232"/>
      <c r="U280" s="231"/>
      <c r="V280" s="231"/>
      <c r="W280" s="231"/>
      <c r="X280" s="231"/>
      <c r="Y280" s="231"/>
      <c r="Z280" s="231"/>
      <c r="AA280" s="231"/>
      <c r="AB280" s="231"/>
    </row>
    <row r="281" ht="17.25" customHeight="1">
      <c r="A281" s="224" t="s">
        <v>1091</v>
      </c>
      <c r="B281" s="224" t="s">
        <v>1092</v>
      </c>
      <c r="C281" s="224">
        <v>0.0</v>
      </c>
      <c r="D281" s="224"/>
      <c r="E281" s="230">
        <v>52.0</v>
      </c>
      <c r="F281" s="231" t="s">
        <v>22</v>
      </c>
      <c r="G281" s="232"/>
      <c r="H281" s="232"/>
      <c r="I281" s="232"/>
      <c r="J281" s="232"/>
      <c r="K281" s="232"/>
      <c r="L281" s="232"/>
      <c r="M281" s="232"/>
      <c r="N281" s="232"/>
      <c r="O281" s="232"/>
      <c r="P281" s="232"/>
      <c r="Q281" s="232"/>
      <c r="R281" s="232"/>
      <c r="S281" s="232"/>
      <c r="T281" s="232"/>
      <c r="U281" s="231"/>
      <c r="V281" s="231"/>
      <c r="W281" s="231"/>
      <c r="X281" s="231"/>
      <c r="Y281" s="231"/>
      <c r="Z281" s="231"/>
      <c r="AA281" s="231"/>
      <c r="AB281" s="231"/>
    </row>
    <row r="282" ht="17.25" customHeight="1">
      <c r="A282" s="224" t="s">
        <v>1969</v>
      </c>
      <c r="B282" s="224" t="s">
        <v>1970</v>
      </c>
      <c r="C282" s="224">
        <v>0.0</v>
      </c>
      <c r="D282" s="224"/>
      <c r="E282" s="230">
        <v>0.0</v>
      </c>
      <c r="F282" s="231" t="s">
        <v>290</v>
      </c>
      <c r="G282" s="232"/>
      <c r="H282" s="232"/>
      <c r="I282" s="232"/>
      <c r="J282" s="232"/>
      <c r="K282" s="232"/>
      <c r="L282" s="232"/>
      <c r="M282" s="232"/>
      <c r="N282" s="232"/>
      <c r="O282" s="232"/>
      <c r="P282" s="232"/>
      <c r="Q282" s="232"/>
      <c r="R282" s="232"/>
      <c r="S282" s="232"/>
      <c r="T282" s="232"/>
      <c r="U282" s="231"/>
      <c r="V282" s="231"/>
      <c r="W282" s="231"/>
      <c r="X282" s="231"/>
      <c r="Y282" s="231"/>
      <c r="Z282" s="231"/>
      <c r="AA282" s="231"/>
      <c r="AB282" s="231"/>
    </row>
    <row r="283" ht="17.25" customHeight="1">
      <c r="A283" s="224" t="s">
        <v>1971</v>
      </c>
      <c r="B283" s="224" t="s">
        <v>1972</v>
      </c>
      <c r="C283" s="224">
        <v>0.0</v>
      </c>
      <c r="D283" s="224"/>
      <c r="E283" s="230">
        <v>0.0</v>
      </c>
      <c r="F283" s="231" t="s">
        <v>290</v>
      </c>
      <c r="G283" s="232"/>
      <c r="H283" s="232"/>
      <c r="I283" s="232"/>
      <c r="J283" s="232"/>
      <c r="K283" s="232"/>
      <c r="L283" s="232"/>
      <c r="M283" s="232"/>
      <c r="N283" s="232"/>
      <c r="O283" s="232"/>
      <c r="P283" s="232"/>
      <c r="Q283" s="232"/>
      <c r="R283" s="232"/>
      <c r="S283" s="232"/>
      <c r="T283" s="232"/>
      <c r="U283" s="231"/>
      <c r="V283" s="231"/>
      <c r="W283" s="231"/>
      <c r="X283" s="231"/>
      <c r="Y283" s="231"/>
      <c r="Z283" s="231"/>
      <c r="AA283" s="231"/>
      <c r="AB283" s="231"/>
    </row>
    <row r="284" ht="17.25" customHeight="1">
      <c r="A284" s="224" t="s">
        <v>1973</v>
      </c>
      <c r="B284" s="224" t="s">
        <v>1974</v>
      </c>
      <c r="C284" s="224">
        <v>0.0</v>
      </c>
      <c r="D284" s="224"/>
      <c r="E284" s="230">
        <v>0.0</v>
      </c>
      <c r="F284" s="231" t="s">
        <v>290</v>
      </c>
      <c r="G284" s="232"/>
      <c r="H284" s="232"/>
      <c r="I284" s="232"/>
      <c r="J284" s="232"/>
      <c r="K284" s="232"/>
      <c r="L284" s="232"/>
      <c r="M284" s="232"/>
      <c r="N284" s="232"/>
      <c r="O284" s="232"/>
      <c r="P284" s="232"/>
      <c r="Q284" s="232"/>
      <c r="R284" s="232"/>
      <c r="S284" s="232"/>
      <c r="T284" s="232"/>
      <c r="U284" s="231"/>
      <c r="V284" s="231"/>
      <c r="W284" s="231"/>
      <c r="X284" s="231"/>
      <c r="Y284" s="231"/>
      <c r="Z284" s="231"/>
      <c r="AA284" s="231"/>
      <c r="AB284" s="231"/>
    </row>
    <row r="285" ht="17.25" customHeight="1">
      <c r="A285" s="224" t="s">
        <v>872</v>
      </c>
      <c r="B285" s="224" t="s">
        <v>873</v>
      </c>
      <c r="C285" s="224" t="s">
        <v>1333</v>
      </c>
      <c r="D285" s="224"/>
      <c r="E285" s="230">
        <v>800.0</v>
      </c>
      <c r="F285" s="231" t="s">
        <v>22</v>
      </c>
      <c r="G285" s="232"/>
      <c r="H285" s="232"/>
      <c r="I285" s="232"/>
      <c r="J285" s="232"/>
      <c r="K285" s="232"/>
      <c r="L285" s="232"/>
      <c r="M285" s="232"/>
      <c r="N285" s="232"/>
      <c r="O285" s="232"/>
      <c r="P285" s="232"/>
      <c r="Q285" s="232"/>
      <c r="R285" s="232"/>
      <c r="S285" s="232"/>
      <c r="T285" s="232"/>
      <c r="U285" s="231"/>
      <c r="V285" s="231"/>
      <c r="W285" s="231"/>
      <c r="X285" s="231"/>
      <c r="Y285" s="231"/>
      <c r="Z285" s="231"/>
      <c r="AA285" s="231"/>
      <c r="AB285" s="231"/>
    </row>
    <row r="286" ht="17.25" customHeight="1">
      <c r="A286" s="224" t="s">
        <v>1095</v>
      </c>
      <c r="B286" s="224" t="s">
        <v>1096</v>
      </c>
      <c r="C286" s="224" t="s">
        <v>1333</v>
      </c>
      <c r="D286" s="224"/>
      <c r="E286" s="230">
        <v>1.0</v>
      </c>
      <c r="F286" s="231" t="s">
        <v>290</v>
      </c>
      <c r="G286" s="232"/>
      <c r="H286" s="232"/>
      <c r="I286" s="232"/>
      <c r="J286" s="232"/>
      <c r="K286" s="232"/>
      <c r="L286" s="232"/>
      <c r="M286" s="232"/>
      <c r="N286" s="232"/>
      <c r="O286" s="232"/>
      <c r="P286" s="232"/>
      <c r="Q286" s="232"/>
      <c r="R286" s="232"/>
      <c r="S286" s="232"/>
      <c r="T286" s="232"/>
      <c r="U286" s="231"/>
      <c r="V286" s="231"/>
      <c r="W286" s="231"/>
      <c r="X286" s="231"/>
      <c r="Y286" s="231"/>
      <c r="Z286" s="231"/>
      <c r="AA286" s="231"/>
      <c r="AB286" s="231"/>
    </row>
    <row r="287" ht="17.25" customHeight="1">
      <c r="A287" s="224" t="s">
        <v>1098</v>
      </c>
      <c r="B287" s="224" t="s">
        <v>1099</v>
      </c>
      <c r="C287" s="224">
        <v>0.0</v>
      </c>
      <c r="D287" s="224"/>
      <c r="E287" s="230">
        <v>6700.0</v>
      </c>
      <c r="F287" s="231" t="s">
        <v>22</v>
      </c>
      <c r="G287" s="232"/>
      <c r="H287" s="232"/>
      <c r="I287" s="232"/>
      <c r="J287" s="232"/>
      <c r="K287" s="232"/>
      <c r="L287" s="232"/>
      <c r="M287" s="232"/>
      <c r="N287" s="232"/>
      <c r="O287" s="232"/>
      <c r="P287" s="232"/>
      <c r="Q287" s="232"/>
      <c r="R287" s="232"/>
      <c r="S287" s="232"/>
      <c r="T287" s="232"/>
      <c r="U287" s="231"/>
      <c r="V287" s="231"/>
      <c r="W287" s="231"/>
      <c r="X287" s="231"/>
      <c r="Y287" s="231"/>
      <c r="Z287" s="231"/>
      <c r="AA287" s="231"/>
      <c r="AB287" s="231"/>
    </row>
    <row r="288" ht="17.25" customHeight="1">
      <c r="A288" s="224" t="s">
        <v>593</v>
      </c>
      <c r="B288" s="224" t="s">
        <v>594</v>
      </c>
      <c r="C288" s="224">
        <v>0.0</v>
      </c>
      <c r="D288" s="224"/>
      <c r="E288" s="230">
        <v>0.0</v>
      </c>
      <c r="F288" s="231" t="s">
        <v>22</v>
      </c>
      <c r="G288" s="232"/>
      <c r="H288" s="232"/>
      <c r="I288" s="232"/>
      <c r="J288" s="232"/>
      <c r="K288" s="232"/>
      <c r="L288" s="232"/>
      <c r="M288" s="232"/>
      <c r="N288" s="232"/>
      <c r="O288" s="232"/>
      <c r="P288" s="232"/>
      <c r="Q288" s="232"/>
      <c r="R288" s="232"/>
      <c r="S288" s="232"/>
      <c r="T288" s="232"/>
      <c r="U288" s="231"/>
      <c r="V288" s="231"/>
      <c r="W288" s="231"/>
      <c r="X288" s="231"/>
      <c r="Y288" s="231"/>
      <c r="Z288" s="231"/>
      <c r="AA288" s="231"/>
      <c r="AB288" s="231"/>
    </row>
    <row r="289" ht="17.25" customHeight="1">
      <c r="A289" s="224" t="s">
        <v>1722</v>
      </c>
      <c r="B289" s="224" t="s">
        <v>1723</v>
      </c>
      <c r="C289" s="224">
        <v>0.0</v>
      </c>
      <c r="D289" s="224"/>
      <c r="E289" s="230">
        <v>0.0</v>
      </c>
      <c r="F289" s="231" t="s">
        <v>22</v>
      </c>
      <c r="G289" s="232"/>
      <c r="H289" s="232"/>
      <c r="I289" s="232"/>
      <c r="J289" s="232"/>
      <c r="K289" s="232"/>
      <c r="L289" s="232"/>
      <c r="M289" s="232"/>
      <c r="N289" s="232"/>
      <c r="O289" s="232"/>
      <c r="P289" s="232"/>
      <c r="Q289" s="232"/>
      <c r="R289" s="232"/>
      <c r="S289" s="232"/>
      <c r="T289" s="232"/>
      <c r="U289" s="231"/>
      <c r="V289" s="231"/>
      <c r="W289" s="231"/>
      <c r="X289" s="231"/>
      <c r="Y289" s="231"/>
      <c r="Z289" s="231"/>
      <c r="AA289" s="231"/>
      <c r="AB289" s="231"/>
    </row>
    <row r="290" ht="17.25" customHeight="1">
      <c r="A290" s="224" t="s">
        <v>1724</v>
      </c>
      <c r="B290" s="224" t="s">
        <v>1725</v>
      </c>
      <c r="C290" s="224">
        <v>0.0</v>
      </c>
      <c r="D290" s="224"/>
      <c r="E290" s="230">
        <v>0.0</v>
      </c>
      <c r="F290" s="231" t="s">
        <v>22</v>
      </c>
      <c r="G290" s="232"/>
      <c r="H290" s="232"/>
      <c r="I290" s="232"/>
      <c r="J290" s="232"/>
      <c r="K290" s="232"/>
      <c r="L290" s="232"/>
      <c r="M290" s="232"/>
      <c r="N290" s="232"/>
      <c r="O290" s="232"/>
      <c r="P290" s="232"/>
      <c r="Q290" s="232"/>
      <c r="R290" s="232"/>
      <c r="S290" s="232"/>
      <c r="T290" s="232"/>
      <c r="U290" s="231"/>
      <c r="V290" s="231"/>
      <c r="W290" s="231"/>
      <c r="X290" s="231"/>
      <c r="Y290" s="231"/>
      <c r="Z290" s="231"/>
      <c r="AA290" s="231"/>
      <c r="AB290" s="231"/>
    </row>
    <row r="291" ht="17.25" customHeight="1">
      <c r="A291" s="224" t="s">
        <v>1976</v>
      </c>
      <c r="B291" s="224" t="s">
        <v>1977</v>
      </c>
      <c r="C291" s="224">
        <v>0.0</v>
      </c>
      <c r="D291" s="224"/>
      <c r="E291" s="230">
        <v>0.0</v>
      </c>
      <c r="F291" s="231" t="s">
        <v>22</v>
      </c>
      <c r="G291" s="232"/>
      <c r="H291" s="232"/>
      <c r="I291" s="232"/>
      <c r="J291" s="232"/>
      <c r="K291" s="232"/>
      <c r="L291" s="232"/>
      <c r="M291" s="232"/>
      <c r="N291" s="232"/>
      <c r="O291" s="232"/>
      <c r="P291" s="232"/>
      <c r="Q291" s="232"/>
      <c r="R291" s="232"/>
      <c r="S291" s="232"/>
      <c r="T291" s="232"/>
      <c r="U291" s="231"/>
      <c r="V291" s="231"/>
      <c r="W291" s="231"/>
      <c r="X291" s="231"/>
      <c r="Y291" s="231"/>
      <c r="Z291" s="231"/>
      <c r="AA291" s="231"/>
      <c r="AB291" s="231"/>
    </row>
    <row r="292" ht="17.25" customHeight="1">
      <c r="A292" s="224" t="s">
        <v>1101</v>
      </c>
      <c r="B292" s="224" t="s">
        <v>1102</v>
      </c>
      <c r="C292" s="224">
        <v>0.0</v>
      </c>
      <c r="D292" s="224"/>
      <c r="E292" s="230">
        <v>864.0</v>
      </c>
      <c r="F292" s="231" t="s">
        <v>22</v>
      </c>
      <c r="G292" s="232"/>
      <c r="H292" s="232"/>
      <c r="I292" s="232"/>
      <c r="J292" s="232"/>
      <c r="K292" s="232"/>
      <c r="L292" s="232"/>
      <c r="M292" s="232"/>
      <c r="N292" s="232"/>
      <c r="O292" s="232"/>
      <c r="P292" s="232"/>
      <c r="Q292" s="232"/>
      <c r="R292" s="232"/>
      <c r="S292" s="232"/>
      <c r="T292" s="232"/>
      <c r="U292" s="231"/>
      <c r="V292" s="231"/>
      <c r="W292" s="231"/>
      <c r="X292" s="231"/>
      <c r="Y292" s="231"/>
      <c r="Z292" s="231"/>
      <c r="AA292" s="231"/>
      <c r="AB292" s="231"/>
    </row>
    <row r="293" ht="17.25" customHeight="1">
      <c r="A293" s="224" t="s">
        <v>1726</v>
      </c>
      <c r="B293" s="224" t="s">
        <v>1727</v>
      </c>
      <c r="C293" s="224">
        <v>0.0</v>
      </c>
      <c r="D293" s="224"/>
      <c r="E293" s="230">
        <v>0.0</v>
      </c>
      <c r="F293" s="231" t="s">
        <v>22</v>
      </c>
      <c r="G293" s="232"/>
      <c r="H293" s="232"/>
      <c r="I293" s="232"/>
      <c r="J293" s="232"/>
      <c r="K293" s="232"/>
      <c r="L293" s="232"/>
      <c r="M293" s="232"/>
      <c r="N293" s="232"/>
      <c r="O293" s="232"/>
      <c r="P293" s="232"/>
      <c r="Q293" s="232"/>
      <c r="R293" s="232"/>
      <c r="S293" s="232"/>
      <c r="T293" s="232"/>
      <c r="U293" s="231"/>
      <c r="V293" s="231"/>
      <c r="W293" s="231"/>
      <c r="X293" s="231"/>
      <c r="Y293" s="231"/>
      <c r="Z293" s="231"/>
      <c r="AA293" s="231"/>
      <c r="AB293" s="231"/>
    </row>
    <row r="294" ht="17.25" customHeight="1">
      <c r="A294" s="224" t="s">
        <v>1104</v>
      </c>
      <c r="B294" s="224" t="s">
        <v>1106</v>
      </c>
      <c r="C294" s="224" t="s">
        <v>1333</v>
      </c>
      <c r="D294" s="224"/>
      <c r="E294" s="230">
        <v>0.0</v>
      </c>
      <c r="F294" s="231" t="s">
        <v>22</v>
      </c>
      <c r="G294" s="232"/>
      <c r="H294" s="232"/>
      <c r="I294" s="232"/>
      <c r="J294" s="232"/>
      <c r="K294" s="232"/>
      <c r="L294" s="232"/>
      <c r="M294" s="232"/>
      <c r="N294" s="232"/>
      <c r="O294" s="232"/>
      <c r="P294" s="232"/>
      <c r="Q294" s="232"/>
      <c r="R294" s="232"/>
      <c r="S294" s="232"/>
      <c r="T294" s="232"/>
      <c r="U294" s="231"/>
      <c r="V294" s="231"/>
      <c r="W294" s="231"/>
      <c r="X294" s="231"/>
      <c r="Y294" s="231"/>
      <c r="Z294" s="231"/>
      <c r="AA294" s="231"/>
      <c r="AB294" s="231"/>
    </row>
    <row r="295" ht="17.25" customHeight="1">
      <c r="A295" s="224" t="s">
        <v>1108</v>
      </c>
      <c r="B295" s="224" t="s">
        <v>1109</v>
      </c>
      <c r="C295" s="224">
        <v>0.0</v>
      </c>
      <c r="D295" s="224"/>
      <c r="E295" s="230">
        <v>144.0</v>
      </c>
      <c r="F295" s="231" t="s">
        <v>22</v>
      </c>
      <c r="G295" s="232"/>
      <c r="H295" s="232"/>
      <c r="I295" s="232"/>
      <c r="J295" s="232"/>
      <c r="K295" s="232"/>
      <c r="L295" s="232"/>
      <c r="M295" s="232"/>
      <c r="N295" s="232"/>
      <c r="O295" s="232"/>
      <c r="P295" s="232"/>
      <c r="Q295" s="232"/>
      <c r="R295" s="232"/>
      <c r="S295" s="232"/>
      <c r="T295" s="232"/>
      <c r="U295" s="231"/>
      <c r="V295" s="231"/>
      <c r="W295" s="231"/>
      <c r="X295" s="231"/>
      <c r="Y295" s="231"/>
      <c r="Z295" s="231"/>
      <c r="AA295" s="231"/>
      <c r="AB295" s="231"/>
    </row>
    <row r="296" ht="17.25" customHeight="1">
      <c r="A296" s="224" t="s">
        <v>1111</v>
      </c>
      <c r="B296" s="224" t="s">
        <v>1112</v>
      </c>
      <c r="C296" s="224">
        <v>0.0</v>
      </c>
      <c r="D296" s="224"/>
      <c r="E296" s="230">
        <v>1152.0</v>
      </c>
      <c r="F296" s="231" t="s">
        <v>22</v>
      </c>
      <c r="G296" s="232"/>
      <c r="H296" s="232"/>
      <c r="I296" s="232"/>
      <c r="J296" s="232"/>
      <c r="K296" s="232"/>
      <c r="L296" s="232"/>
      <c r="M296" s="232"/>
      <c r="N296" s="232"/>
      <c r="O296" s="232"/>
      <c r="P296" s="232"/>
      <c r="Q296" s="232"/>
      <c r="R296" s="232"/>
      <c r="S296" s="232"/>
      <c r="T296" s="232"/>
      <c r="U296" s="231"/>
      <c r="V296" s="231"/>
      <c r="W296" s="231"/>
      <c r="X296" s="231"/>
      <c r="Y296" s="231"/>
      <c r="Z296" s="231"/>
      <c r="AA296" s="231"/>
      <c r="AB296" s="231"/>
    </row>
    <row r="297" ht="17.25" customHeight="1">
      <c r="A297" s="224" t="s">
        <v>215</v>
      </c>
      <c r="B297" s="224" t="s">
        <v>216</v>
      </c>
      <c r="C297" s="224">
        <v>0.0</v>
      </c>
      <c r="D297" s="224"/>
      <c r="E297" s="230">
        <v>0.0</v>
      </c>
      <c r="F297" s="231" t="s">
        <v>22</v>
      </c>
      <c r="G297" s="232"/>
      <c r="H297" s="232"/>
      <c r="I297" s="232"/>
      <c r="J297" s="232"/>
      <c r="K297" s="232"/>
      <c r="L297" s="232"/>
      <c r="M297" s="232"/>
      <c r="N297" s="232"/>
      <c r="O297" s="232"/>
      <c r="P297" s="232"/>
      <c r="Q297" s="232"/>
      <c r="R297" s="232"/>
      <c r="S297" s="232"/>
      <c r="T297" s="232"/>
      <c r="U297" s="231"/>
      <c r="V297" s="231"/>
      <c r="W297" s="231"/>
      <c r="X297" s="231"/>
      <c r="Y297" s="231"/>
      <c r="Z297" s="231"/>
      <c r="AA297" s="231"/>
      <c r="AB297" s="231"/>
    </row>
    <row r="298" ht="17.25" customHeight="1">
      <c r="A298" s="224" t="s">
        <v>1114</v>
      </c>
      <c r="B298" s="224" t="s">
        <v>1115</v>
      </c>
      <c r="C298" s="224" t="s">
        <v>1333</v>
      </c>
      <c r="D298" s="224"/>
      <c r="E298" s="230">
        <v>0.0</v>
      </c>
      <c r="F298" s="231" t="s">
        <v>22</v>
      </c>
      <c r="G298" s="232"/>
      <c r="H298" s="232"/>
      <c r="I298" s="232"/>
      <c r="J298" s="232"/>
      <c r="K298" s="232"/>
      <c r="L298" s="232"/>
      <c r="M298" s="232"/>
      <c r="N298" s="232"/>
      <c r="O298" s="232"/>
      <c r="P298" s="232"/>
      <c r="Q298" s="232"/>
      <c r="R298" s="232"/>
      <c r="S298" s="232"/>
      <c r="T298" s="232"/>
      <c r="U298" s="231"/>
      <c r="V298" s="231"/>
      <c r="W298" s="231"/>
      <c r="X298" s="231"/>
      <c r="Y298" s="231"/>
      <c r="Z298" s="231"/>
      <c r="AA298" s="231"/>
      <c r="AB298" s="231"/>
    </row>
    <row r="299" ht="17.25" customHeight="1">
      <c r="A299" s="224" t="s">
        <v>1117</v>
      </c>
      <c r="B299" s="224" t="s">
        <v>1118</v>
      </c>
      <c r="C299" s="224">
        <v>0.0</v>
      </c>
      <c r="D299" s="224"/>
      <c r="E299" s="230">
        <v>800.0</v>
      </c>
      <c r="F299" s="231" t="s">
        <v>22</v>
      </c>
      <c r="G299" s="232"/>
      <c r="H299" s="232"/>
      <c r="I299" s="232"/>
      <c r="J299" s="232"/>
      <c r="K299" s="232"/>
      <c r="L299" s="232"/>
      <c r="M299" s="232"/>
      <c r="N299" s="232"/>
      <c r="O299" s="232"/>
      <c r="P299" s="232"/>
      <c r="Q299" s="232"/>
      <c r="R299" s="232"/>
      <c r="S299" s="232"/>
      <c r="T299" s="232"/>
      <c r="U299" s="231"/>
      <c r="V299" s="231"/>
      <c r="W299" s="231"/>
      <c r="X299" s="231"/>
      <c r="Y299" s="231"/>
      <c r="Z299" s="231"/>
      <c r="AA299" s="231"/>
      <c r="AB299" s="231"/>
    </row>
    <row r="300" ht="17.25" customHeight="1">
      <c r="A300" s="224" t="s">
        <v>1120</v>
      </c>
      <c r="B300" s="224" t="s">
        <v>1121</v>
      </c>
      <c r="C300" s="224">
        <v>0.0</v>
      </c>
      <c r="D300" s="224"/>
      <c r="E300" s="230">
        <v>0.95</v>
      </c>
      <c r="F300" s="231" t="s">
        <v>616</v>
      </c>
      <c r="G300" s="232"/>
      <c r="H300" s="232"/>
      <c r="I300" s="232"/>
      <c r="J300" s="232"/>
      <c r="K300" s="232"/>
      <c r="L300" s="232"/>
      <c r="M300" s="232"/>
      <c r="N300" s="232"/>
      <c r="O300" s="232"/>
      <c r="P300" s="232"/>
      <c r="Q300" s="232"/>
      <c r="R300" s="232"/>
      <c r="S300" s="232"/>
      <c r="T300" s="232"/>
      <c r="U300" s="231"/>
      <c r="V300" s="231"/>
      <c r="W300" s="231"/>
      <c r="X300" s="231"/>
      <c r="Y300" s="231"/>
      <c r="Z300" s="231"/>
      <c r="AA300" s="231"/>
      <c r="AB300" s="231"/>
    </row>
    <row r="301" ht="17.25" customHeight="1">
      <c r="A301" s="203" t="s">
        <v>1124</v>
      </c>
      <c r="B301" s="203" t="s">
        <v>1125</v>
      </c>
      <c r="C301" s="203" t="s">
        <v>1333</v>
      </c>
      <c r="D301" s="203"/>
      <c r="E301" s="233">
        <v>80.0</v>
      </c>
      <c r="F301" s="234" t="s">
        <v>661</v>
      </c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4"/>
      <c r="V301" s="234"/>
      <c r="W301" s="234"/>
      <c r="X301" s="234"/>
      <c r="Y301" s="234"/>
      <c r="Z301" s="234"/>
      <c r="AA301" s="234"/>
      <c r="AB301" s="234"/>
    </row>
    <row r="302" ht="17.25" customHeight="1">
      <c r="A302" s="203" t="s">
        <v>1127</v>
      </c>
      <c r="B302" s="203" t="s">
        <v>1128</v>
      </c>
      <c r="C302" s="203" t="s">
        <v>1333</v>
      </c>
      <c r="D302" s="203"/>
      <c r="E302" s="233">
        <v>180.0</v>
      </c>
      <c r="F302" s="234" t="s">
        <v>661</v>
      </c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4"/>
      <c r="V302" s="234"/>
      <c r="W302" s="234"/>
      <c r="X302" s="234"/>
      <c r="Y302" s="234"/>
      <c r="Z302" s="234"/>
      <c r="AA302" s="234"/>
      <c r="AB302" s="234"/>
    </row>
    <row r="303" ht="17.25" customHeight="1">
      <c r="A303" s="203" t="s">
        <v>1130</v>
      </c>
      <c r="B303" s="203" t="s">
        <v>1131</v>
      </c>
      <c r="C303" s="203">
        <v>0.0</v>
      </c>
      <c r="D303" s="203"/>
      <c r="E303" s="233">
        <v>3.0</v>
      </c>
      <c r="F303" s="234" t="s">
        <v>290</v>
      </c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4"/>
      <c r="V303" s="234"/>
      <c r="W303" s="234"/>
      <c r="X303" s="234"/>
      <c r="Y303" s="234"/>
      <c r="Z303" s="234"/>
      <c r="AA303" s="234"/>
      <c r="AB303" s="234"/>
    </row>
    <row r="304" ht="17.25" customHeight="1">
      <c r="A304" s="203" t="s">
        <v>1133</v>
      </c>
      <c r="B304" s="203" t="s">
        <v>1134</v>
      </c>
      <c r="C304" s="203">
        <v>0.0</v>
      </c>
      <c r="D304" s="203"/>
      <c r="E304" s="233">
        <v>2.0</v>
      </c>
      <c r="F304" s="234" t="s">
        <v>643</v>
      </c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4"/>
      <c r="V304" s="234"/>
      <c r="W304" s="234"/>
      <c r="X304" s="234"/>
      <c r="Y304" s="234"/>
      <c r="Z304" s="234"/>
      <c r="AA304" s="234"/>
      <c r="AB304" s="234"/>
    </row>
    <row r="305" ht="17.25" customHeight="1">
      <c r="A305" s="203" t="s">
        <v>1979</v>
      </c>
      <c r="B305" s="203" t="s">
        <v>1980</v>
      </c>
      <c r="C305" s="203">
        <v>0.0</v>
      </c>
      <c r="D305" s="203"/>
      <c r="E305" s="233">
        <v>0.0</v>
      </c>
      <c r="F305" s="234" t="s">
        <v>22</v>
      </c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4"/>
      <c r="V305" s="234"/>
      <c r="W305" s="234"/>
      <c r="X305" s="234"/>
      <c r="Y305" s="234"/>
      <c r="Z305" s="234"/>
      <c r="AA305" s="234"/>
      <c r="AB305" s="234"/>
    </row>
    <row r="306" ht="17.25" customHeight="1">
      <c r="A306" s="203" t="s">
        <v>1136</v>
      </c>
      <c r="B306" s="203" t="s">
        <v>1137</v>
      </c>
      <c r="C306" s="203">
        <v>0.0</v>
      </c>
      <c r="D306" s="203"/>
      <c r="E306" s="233">
        <v>2.0</v>
      </c>
      <c r="F306" s="234" t="s">
        <v>290</v>
      </c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4"/>
      <c r="V306" s="234"/>
      <c r="W306" s="234"/>
      <c r="X306" s="234"/>
      <c r="Y306" s="234"/>
      <c r="Z306" s="234"/>
      <c r="AA306" s="234"/>
      <c r="AB306" s="234"/>
    </row>
    <row r="307" ht="17.25" customHeight="1">
      <c r="A307" s="203" t="s">
        <v>1981</v>
      </c>
      <c r="B307" s="203" t="s">
        <v>1982</v>
      </c>
      <c r="C307" s="203">
        <v>0.0</v>
      </c>
      <c r="D307" s="203"/>
      <c r="E307" s="233">
        <v>0.0</v>
      </c>
      <c r="F307" s="234" t="s">
        <v>22</v>
      </c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4"/>
      <c r="V307" s="234"/>
      <c r="W307" s="234"/>
      <c r="X307" s="234"/>
      <c r="Y307" s="234"/>
      <c r="Z307" s="234"/>
      <c r="AA307" s="234"/>
      <c r="AB307" s="234"/>
    </row>
    <row r="308" ht="17.25" customHeight="1">
      <c r="A308" s="203" t="s">
        <v>1141</v>
      </c>
      <c r="B308" s="203" t="s">
        <v>1143</v>
      </c>
      <c r="C308" s="203">
        <v>0.0</v>
      </c>
      <c r="D308" s="203"/>
      <c r="E308" s="233">
        <v>1440.0</v>
      </c>
      <c r="F308" s="234" t="s">
        <v>22</v>
      </c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4"/>
      <c r="V308" s="234"/>
      <c r="W308" s="234"/>
      <c r="X308" s="234"/>
      <c r="Y308" s="234"/>
      <c r="Z308" s="234"/>
      <c r="AA308" s="234"/>
      <c r="AB308" s="234"/>
    </row>
    <row r="309" ht="17.25" customHeight="1">
      <c r="A309" s="203" t="s">
        <v>1983</v>
      </c>
      <c r="B309" s="203" t="s">
        <v>1984</v>
      </c>
      <c r="C309" s="203">
        <v>0.0</v>
      </c>
      <c r="D309" s="203"/>
      <c r="E309" s="233">
        <v>0.0</v>
      </c>
      <c r="F309" s="234" t="s">
        <v>22</v>
      </c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4"/>
      <c r="V309" s="234"/>
      <c r="W309" s="234"/>
      <c r="X309" s="234"/>
      <c r="Y309" s="234"/>
      <c r="Z309" s="234"/>
      <c r="AA309" s="234"/>
      <c r="AB309" s="234"/>
    </row>
    <row r="310" ht="17.25" customHeight="1">
      <c r="A310" s="203" t="s">
        <v>1985</v>
      </c>
      <c r="B310" s="203" t="s">
        <v>1986</v>
      </c>
      <c r="C310" s="203">
        <v>0.0</v>
      </c>
      <c r="D310" s="203"/>
      <c r="E310" s="233">
        <v>0.0</v>
      </c>
      <c r="F310" s="234" t="s">
        <v>290</v>
      </c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4"/>
      <c r="V310" s="234"/>
      <c r="W310" s="234"/>
      <c r="X310" s="234"/>
      <c r="Y310" s="234"/>
      <c r="Z310" s="234"/>
      <c r="AA310" s="234"/>
      <c r="AB310" s="234"/>
    </row>
    <row r="311" ht="17.25" customHeight="1">
      <c r="A311" s="203" t="s">
        <v>308</v>
      </c>
      <c r="B311" s="203" t="s">
        <v>309</v>
      </c>
      <c r="C311" s="203">
        <v>0.0</v>
      </c>
      <c r="D311" s="203"/>
      <c r="E311" s="233">
        <v>0.0</v>
      </c>
      <c r="F311" s="234" t="s">
        <v>22</v>
      </c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4"/>
      <c r="V311" s="234"/>
      <c r="W311" s="234"/>
      <c r="X311" s="234"/>
      <c r="Y311" s="234"/>
      <c r="Z311" s="234"/>
      <c r="AA311" s="234"/>
      <c r="AB311" s="234"/>
    </row>
    <row r="312" ht="17.25" customHeight="1">
      <c r="A312" s="203" t="s">
        <v>1151</v>
      </c>
      <c r="B312" s="203" t="s">
        <v>1152</v>
      </c>
      <c r="C312" s="203" t="s">
        <v>1333</v>
      </c>
      <c r="D312" s="203"/>
      <c r="E312" s="233">
        <v>1296.0</v>
      </c>
      <c r="F312" s="234" t="s">
        <v>22</v>
      </c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4"/>
      <c r="V312" s="234"/>
      <c r="W312" s="234"/>
      <c r="X312" s="234"/>
      <c r="Y312" s="234"/>
      <c r="Z312" s="234"/>
      <c r="AA312" s="234"/>
      <c r="AB312" s="234"/>
    </row>
    <row r="313" ht="17.25" customHeight="1">
      <c r="A313" s="203" t="s">
        <v>1154</v>
      </c>
      <c r="B313" s="203" t="s">
        <v>1155</v>
      </c>
      <c r="C313" s="203" t="s">
        <v>1333</v>
      </c>
      <c r="D313" s="203"/>
      <c r="E313" s="233">
        <v>1296.0</v>
      </c>
      <c r="F313" s="234" t="s">
        <v>22</v>
      </c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4"/>
      <c r="V313" s="234"/>
      <c r="W313" s="234"/>
      <c r="X313" s="234"/>
      <c r="Y313" s="234"/>
      <c r="Z313" s="234"/>
      <c r="AA313" s="234"/>
      <c r="AB313" s="234"/>
    </row>
    <row r="314" ht="17.25" customHeight="1">
      <c r="A314" s="203" t="s">
        <v>1375</v>
      </c>
      <c r="B314" s="203" t="s">
        <v>1376</v>
      </c>
      <c r="C314" s="203">
        <v>0.0</v>
      </c>
      <c r="D314" s="203"/>
      <c r="E314" s="233">
        <v>0.0</v>
      </c>
      <c r="F314" s="234" t="s">
        <v>616</v>
      </c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4"/>
      <c r="V314" s="234"/>
      <c r="W314" s="234"/>
      <c r="X314" s="234"/>
      <c r="Y314" s="234"/>
      <c r="Z314" s="234"/>
      <c r="AA314" s="234"/>
      <c r="AB314" s="234"/>
    </row>
    <row r="315" ht="17.25" customHeight="1">
      <c r="A315" s="203" t="s">
        <v>1728</v>
      </c>
      <c r="B315" s="203" t="s">
        <v>1729</v>
      </c>
      <c r="C315" s="203">
        <v>0.0</v>
      </c>
      <c r="D315" s="203"/>
      <c r="E315" s="233">
        <v>0.0</v>
      </c>
      <c r="F315" s="234" t="s">
        <v>22</v>
      </c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4"/>
      <c r="V315" s="234"/>
      <c r="W315" s="234"/>
      <c r="X315" s="234"/>
      <c r="Y315" s="234"/>
      <c r="Z315" s="234"/>
      <c r="AA315" s="234"/>
      <c r="AB315" s="234"/>
    </row>
    <row r="316" ht="17.25" customHeight="1">
      <c r="A316" s="207" t="s">
        <v>1158</v>
      </c>
      <c r="B316" s="203" t="s">
        <v>1159</v>
      </c>
      <c r="C316" s="203" t="s">
        <v>1333</v>
      </c>
      <c r="D316" s="203"/>
      <c r="E316" s="233">
        <v>300.0</v>
      </c>
      <c r="F316" s="234" t="s">
        <v>22</v>
      </c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4"/>
      <c r="V316" s="234"/>
      <c r="W316" s="234"/>
      <c r="X316" s="234"/>
      <c r="Y316" s="234"/>
      <c r="Z316" s="234"/>
      <c r="AA316" s="234"/>
      <c r="AB316" s="234"/>
    </row>
    <row r="317" ht="17.25" customHeight="1">
      <c r="A317" s="207" t="s">
        <v>1988</v>
      </c>
      <c r="B317" s="203" t="s">
        <v>1989</v>
      </c>
      <c r="C317" s="203">
        <v>0.0</v>
      </c>
      <c r="D317" s="203"/>
      <c r="E317" s="233">
        <v>0.0</v>
      </c>
      <c r="F317" s="234" t="s">
        <v>22</v>
      </c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4"/>
      <c r="V317" s="234"/>
      <c r="W317" s="234"/>
      <c r="X317" s="234"/>
      <c r="Y317" s="234"/>
      <c r="Z317" s="234"/>
      <c r="AA317" s="234"/>
      <c r="AB317" s="234"/>
    </row>
    <row r="318" ht="17.25" customHeight="1">
      <c r="A318" s="207" t="s">
        <v>1990</v>
      </c>
      <c r="B318" s="207" t="s">
        <v>1991</v>
      </c>
      <c r="C318" s="207">
        <v>0.0</v>
      </c>
      <c r="D318" s="207"/>
      <c r="E318" s="209">
        <v>0.0</v>
      </c>
      <c r="F318" s="222" t="s">
        <v>22</v>
      </c>
      <c r="G318" s="236"/>
      <c r="H318" s="236"/>
      <c r="I318" s="236"/>
      <c r="J318" s="236"/>
      <c r="K318" s="236"/>
      <c r="L318" s="236"/>
      <c r="M318" s="236"/>
      <c r="N318" s="236"/>
      <c r="O318" s="236"/>
      <c r="P318" s="236"/>
      <c r="Q318" s="236"/>
      <c r="R318" s="236"/>
      <c r="S318" s="236"/>
      <c r="T318" s="236"/>
      <c r="U318" s="222"/>
      <c r="V318" s="222"/>
      <c r="W318" s="222"/>
      <c r="X318" s="222"/>
      <c r="Y318" s="222"/>
      <c r="Z318" s="222"/>
      <c r="AA318" s="222"/>
      <c r="AB318" s="222"/>
    </row>
    <row r="319" ht="17.25" customHeight="1">
      <c r="A319" s="207" t="s">
        <v>734</v>
      </c>
      <c r="B319" s="207" t="s">
        <v>736</v>
      </c>
      <c r="C319" s="207" t="s">
        <v>1333</v>
      </c>
      <c r="D319" s="207"/>
      <c r="E319" s="209">
        <v>1000.0</v>
      </c>
      <c r="F319" s="222" t="s">
        <v>22</v>
      </c>
      <c r="G319" s="236"/>
      <c r="H319" s="236"/>
      <c r="I319" s="236"/>
      <c r="J319" s="236"/>
      <c r="K319" s="236"/>
      <c r="L319" s="236"/>
      <c r="M319" s="236"/>
      <c r="N319" s="236"/>
      <c r="O319" s="236"/>
      <c r="P319" s="236"/>
      <c r="Q319" s="236"/>
      <c r="R319" s="236"/>
      <c r="S319" s="236"/>
      <c r="T319" s="236"/>
      <c r="U319" s="222"/>
      <c r="V319" s="222"/>
      <c r="W319" s="222"/>
      <c r="X319" s="222"/>
      <c r="Y319" s="222"/>
      <c r="Z319" s="222"/>
      <c r="AA319" s="222"/>
      <c r="AB319" s="222"/>
    </row>
    <row r="320" ht="17.25" customHeight="1">
      <c r="A320" s="207" t="s">
        <v>1161</v>
      </c>
      <c r="B320" s="207" t="s">
        <v>1112</v>
      </c>
      <c r="C320" s="207">
        <v>0.0</v>
      </c>
      <c r="D320" s="207"/>
      <c r="E320" s="209">
        <v>1800.0</v>
      </c>
      <c r="F320" s="222" t="s">
        <v>22</v>
      </c>
      <c r="G320" s="236"/>
      <c r="H320" s="236"/>
      <c r="I320" s="236"/>
      <c r="J320" s="236"/>
      <c r="K320" s="236"/>
      <c r="L320" s="236"/>
      <c r="M320" s="236"/>
      <c r="N320" s="236"/>
      <c r="O320" s="236"/>
      <c r="P320" s="236"/>
      <c r="Q320" s="236"/>
      <c r="R320" s="236"/>
      <c r="S320" s="236"/>
      <c r="T320" s="236"/>
      <c r="U320" s="222"/>
      <c r="V320" s="222"/>
      <c r="W320" s="222"/>
      <c r="X320" s="222"/>
      <c r="Y320" s="222"/>
      <c r="Z320" s="222"/>
      <c r="AA320" s="222"/>
      <c r="AB320" s="222"/>
    </row>
    <row r="321" ht="17.25" customHeight="1">
      <c r="A321" s="207" t="s">
        <v>1992</v>
      </c>
      <c r="B321" s="207" t="s">
        <v>1993</v>
      </c>
      <c r="C321" s="207">
        <v>0.0</v>
      </c>
      <c r="D321" s="207"/>
      <c r="E321" s="209">
        <v>0.0</v>
      </c>
      <c r="F321" s="222" t="s">
        <v>22</v>
      </c>
      <c r="G321" s="236"/>
      <c r="H321" s="236"/>
      <c r="I321" s="236"/>
      <c r="J321" s="236"/>
      <c r="K321" s="236"/>
      <c r="L321" s="236"/>
      <c r="M321" s="236"/>
      <c r="N321" s="236"/>
      <c r="O321" s="236"/>
      <c r="P321" s="236"/>
      <c r="Q321" s="236"/>
      <c r="R321" s="236"/>
      <c r="S321" s="236"/>
      <c r="T321" s="236"/>
      <c r="U321" s="222"/>
      <c r="V321" s="222"/>
      <c r="W321" s="222"/>
      <c r="X321" s="222"/>
      <c r="Y321" s="222"/>
      <c r="Z321" s="222"/>
      <c r="AA321" s="222"/>
      <c r="AB321" s="222"/>
    </row>
    <row r="322" ht="17.25" customHeight="1">
      <c r="A322" s="207" t="s">
        <v>1163</v>
      </c>
      <c r="B322" s="207" t="s">
        <v>1164</v>
      </c>
      <c r="C322" s="207">
        <v>0.0</v>
      </c>
      <c r="D322" s="207"/>
      <c r="E322" s="209">
        <v>75.0</v>
      </c>
      <c r="F322" s="222" t="s">
        <v>22</v>
      </c>
      <c r="G322" s="236"/>
      <c r="H322" s="236"/>
      <c r="I322" s="236"/>
      <c r="J322" s="236"/>
      <c r="K322" s="236"/>
      <c r="L322" s="236"/>
      <c r="M322" s="236"/>
      <c r="N322" s="236"/>
      <c r="O322" s="236"/>
      <c r="P322" s="236"/>
      <c r="Q322" s="236"/>
      <c r="R322" s="236"/>
      <c r="S322" s="236"/>
      <c r="T322" s="236"/>
      <c r="U322" s="222"/>
      <c r="V322" s="222"/>
      <c r="W322" s="222"/>
      <c r="X322" s="222"/>
      <c r="Y322" s="222"/>
      <c r="Z322" s="222"/>
      <c r="AA322" s="222"/>
      <c r="AB322" s="222"/>
    </row>
    <row r="323" ht="17.25" customHeight="1">
      <c r="A323" s="207" t="s">
        <v>1170</v>
      </c>
      <c r="B323" s="207" t="s">
        <v>1172</v>
      </c>
      <c r="C323" s="207">
        <v>0.0</v>
      </c>
      <c r="D323" s="207"/>
      <c r="E323" s="209">
        <v>2060.0</v>
      </c>
      <c r="F323" s="222" t="s">
        <v>22</v>
      </c>
      <c r="G323" s="236"/>
      <c r="H323" s="236"/>
      <c r="I323" s="236"/>
      <c r="J323" s="236"/>
      <c r="K323" s="236"/>
      <c r="L323" s="236"/>
      <c r="M323" s="236"/>
      <c r="N323" s="236"/>
      <c r="O323" s="236"/>
      <c r="P323" s="236"/>
      <c r="Q323" s="236"/>
      <c r="R323" s="236"/>
      <c r="S323" s="236"/>
      <c r="T323" s="236"/>
      <c r="U323" s="222"/>
      <c r="V323" s="222"/>
      <c r="W323" s="222"/>
      <c r="X323" s="222"/>
      <c r="Y323" s="222"/>
      <c r="Z323" s="222"/>
      <c r="AA323" s="222"/>
      <c r="AB323" s="222"/>
    </row>
    <row r="324" ht="17.25" customHeight="1">
      <c r="A324" s="207" t="s">
        <v>1180</v>
      </c>
      <c r="B324" s="207" t="s">
        <v>1181</v>
      </c>
      <c r="C324" s="207">
        <v>0.0</v>
      </c>
      <c r="D324" s="207"/>
      <c r="E324" s="209">
        <v>300.0</v>
      </c>
      <c r="F324" s="222" t="s">
        <v>22</v>
      </c>
      <c r="G324" s="236"/>
      <c r="H324" s="236"/>
      <c r="I324" s="236"/>
      <c r="J324" s="236"/>
      <c r="K324" s="236"/>
      <c r="L324" s="236"/>
      <c r="M324" s="236"/>
      <c r="N324" s="236"/>
      <c r="O324" s="236"/>
      <c r="P324" s="236"/>
      <c r="Q324" s="236"/>
      <c r="R324" s="236"/>
      <c r="S324" s="236"/>
      <c r="T324" s="236"/>
      <c r="U324" s="222"/>
      <c r="V324" s="222"/>
      <c r="W324" s="222"/>
      <c r="X324" s="222"/>
      <c r="Y324" s="222"/>
      <c r="Z324" s="222"/>
      <c r="AA324" s="222"/>
      <c r="AB324" s="222"/>
    </row>
    <row r="325" ht="17.25" customHeight="1">
      <c r="A325" s="207" t="s">
        <v>1183</v>
      </c>
      <c r="B325" s="207" t="s">
        <v>1184</v>
      </c>
      <c r="C325" s="207" t="s">
        <v>1333</v>
      </c>
      <c r="D325" s="207"/>
      <c r="E325" s="209">
        <v>100.0</v>
      </c>
      <c r="F325" s="222" t="s">
        <v>22</v>
      </c>
      <c r="G325" s="236"/>
      <c r="H325" s="236"/>
      <c r="I325" s="236"/>
      <c r="J325" s="236"/>
      <c r="K325" s="236"/>
      <c r="L325" s="236"/>
      <c r="M325" s="236"/>
      <c r="N325" s="236"/>
      <c r="O325" s="236"/>
      <c r="P325" s="236"/>
      <c r="Q325" s="236"/>
      <c r="R325" s="236"/>
      <c r="S325" s="236"/>
      <c r="T325" s="236"/>
      <c r="U325" s="222"/>
      <c r="V325" s="222"/>
      <c r="W325" s="222"/>
      <c r="X325" s="222"/>
      <c r="Y325" s="222"/>
      <c r="Z325" s="222"/>
      <c r="AA325" s="222"/>
      <c r="AB325" s="222"/>
    </row>
    <row r="326" ht="17.25" customHeight="1">
      <c r="A326" s="207" t="s">
        <v>1732</v>
      </c>
      <c r="B326" s="207" t="s">
        <v>1733</v>
      </c>
      <c r="C326" s="207">
        <v>0.0</v>
      </c>
      <c r="D326" s="207"/>
      <c r="E326" s="209">
        <v>0.0</v>
      </c>
      <c r="F326" s="222" t="s">
        <v>22</v>
      </c>
      <c r="G326" s="236"/>
      <c r="H326" s="236"/>
      <c r="I326" s="236"/>
      <c r="J326" s="236"/>
      <c r="K326" s="236"/>
      <c r="L326" s="236"/>
      <c r="M326" s="236"/>
      <c r="N326" s="236"/>
      <c r="O326" s="236"/>
      <c r="P326" s="236"/>
      <c r="Q326" s="236"/>
      <c r="R326" s="236"/>
      <c r="S326" s="236"/>
      <c r="T326" s="236"/>
      <c r="U326" s="222"/>
      <c r="V326" s="222"/>
      <c r="W326" s="222"/>
      <c r="X326" s="222"/>
      <c r="Y326" s="222"/>
      <c r="Z326" s="222"/>
      <c r="AA326" s="222"/>
      <c r="AB326" s="222"/>
    </row>
    <row r="327" ht="17.25" customHeight="1">
      <c r="A327" s="207" t="s">
        <v>123</v>
      </c>
      <c r="B327" s="207" t="s">
        <v>124</v>
      </c>
      <c r="C327" s="207">
        <v>0.0</v>
      </c>
      <c r="D327" s="207"/>
      <c r="E327" s="209">
        <v>1600.0</v>
      </c>
      <c r="F327" s="222" t="s">
        <v>22</v>
      </c>
      <c r="G327" s="236"/>
      <c r="H327" s="236"/>
      <c r="I327" s="236"/>
      <c r="J327" s="236"/>
      <c r="K327" s="236"/>
      <c r="L327" s="236"/>
      <c r="M327" s="236"/>
      <c r="N327" s="236"/>
      <c r="O327" s="236"/>
      <c r="P327" s="236"/>
      <c r="Q327" s="236"/>
      <c r="R327" s="236"/>
      <c r="S327" s="236"/>
      <c r="T327" s="236"/>
      <c r="U327" s="222"/>
      <c r="V327" s="222"/>
      <c r="W327" s="222"/>
      <c r="X327" s="222"/>
      <c r="Y327" s="222"/>
      <c r="Z327" s="222"/>
      <c r="AA327" s="222"/>
      <c r="AB327" s="222"/>
    </row>
    <row r="328" ht="17.25" customHeight="1">
      <c r="A328" s="207" t="s">
        <v>1994</v>
      </c>
      <c r="B328" s="207" t="s">
        <v>1996</v>
      </c>
      <c r="C328" s="207">
        <v>0.0</v>
      </c>
      <c r="D328" s="207"/>
      <c r="E328" s="209">
        <v>0.0</v>
      </c>
      <c r="F328" s="222" t="s">
        <v>290</v>
      </c>
      <c r="G328" s="236"/>
      <c r="H328" s="236"/>
      <c r="I328" s="236"/>
      <c r="J328" s="236"/>
      <c r="K328" s="236"/>
      <c r="L328" s="236"/>
      <c r="M328" s="236"/>
      <c r="N328" s="236"/>
      <c r="O328" s="236"/>
      <c r="P328" s="236"/>
      <c r="Q328" s="236"/>
      <c r="R328" s="236"/>
      <c r="S328" s="236"/>
      <c r="T328" s="236"/>
      <c r="U328" s="222"/>
      <c r="V328" s="222"/>
      <c r="W328" s="222"/>
      <c r="X328" s="222"/>
      <c r="Y328" s="222"/>
      <c r="Z328" s="222"/>
      <c r="AA328" s="222"/>
      <c r="AB328" s="222"/>
    </row>
    <row r="329" ht="17.25" customHeight="1">
      <c r="A329" s="207" t="s">
        <v>1998</v>
      </c>
      <c r="B329" s="207" t="s">
        <v>1999</v>
      </c>
      <c r="C329" s="207">
        <v>0.0</v>
      </c>
      <c r="D329" s="207"/>
      <c r="E329" s="209">
        <v>0.0</v>
      </c>
      <c r="F329" s="222" t="s">
        <v>290</v>
      </c>
      <c r="G329" s="236"/>
      <c r="H329" s="236"/>
      <c r="I329" s="236"/>
      <c r="J329" s="236"/>
      <c r="K329" s="236"/>
      <c r="L329" s="236"/>
      <c r="M329" s="236"/>
      <c r="N329" s="236"/>
      <c r="O329" s="236"/>
      <c r="P329" s="236"/>
      <c r="Q329" s="236"/>
      <c r="R329" s="236"/>
      <c r="S329" s="236"/>
      <c r="T329" s="236"/>
      <c r="U329" s="222"/>
      <c r="V329" s="222"/>
      <c r="W329" s="222"/>
      <c r="X329" s="222"/>
      <c r="Y329" s="222"/>
      <c r="Z329" s="222"/>
      <c r="AA329" s="222"/>
      <c r="AB329" s="222"/>
    </row>
    <row r="330" ht="17.25" customHeight="1">
      <c r="A330" s="207" t="s">
        <v>1191</v>
      </c>
      <c r="B330" s="207" t="s">
        <v>1192</v>
      </c>
      <c r="C330" s="207">
        <v>0.0</v>
      </c>
      <c r="D330" s="207"/>
      <c r="E330" s="209">
        <v>2.0</v>
      </c>
      <c r="F330" s="222" t="s">
        <v>290</v>
      </c>
      <c r="G330" s="236"/>
      <c r="H330" s="236"/>
      <c r="I330" s="236"/>
      <c r="J330" s="236"/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22"/>
      <c r="V330" s="222"/>
      <c r="W330" s="222"/>
      <c r="X330" s="222"/>
      <c r="Y330" s="222"/>
      <c r="Z330" s="222"/>
      <c r="AA330" s="222"/>
      <c r="AB330" s="222"/>
    </row>
    <row r="331" ht="17.25" customHeight="1">
      <c r="A331" s="207" t="s">
        <v>61</v>
      </c>
      <c r="B331" s="207" t="s">
        <v>62</v>
      </c>
      <c r="C331" s="207">
        <v>0.0</v>
      </c>
      <c r="D331" s="207"/>
      <c r="E331" s="209">
        <v>0.0</v>
      </c>
      <c r="F331" s="222" t="s">
        <v>22</v>
      </c>
      <c r="G331" s="236"/>
      <c r="H331" s="236"/>
      <c r="I331" s="236"/>
      <c r="J331" s="236"/>
      <c r="K331" s="236"/>
      <c r="L331" s="236"/>
      <c r="M331" s="236"/>
      <c r="N331" s="236"/>
      <c r="O331" s="236"/>
      <c r="P331" s="236"/>
      <c r="Q331" s="236"/>
      <c r="R331" s="236"/>
      <c r="S331" s="236"/>
      <c r="T331" s="236"/>
      <c r="U331" s="222"/>
      <c r="V331" s="222"/>
      <c r="W331" s="222"/>
      <c r="X331" s="222"/>
      <c r="Y331" s="222"/>
      <c r="Z331" s="222"/>
      <c r="AA331" s="222"/>
      <c r="AB331" s="222"/>
    </row>
    <row r="332" ht="17.25" customHeight="1">
      <c r="A332" s="207" t="s">
        <v>2000</v>
      </c>
      <c r="B332" s="207" t="s">
        <v>2001</v>
      </c>
      <c r="C332" s="207">
        <v>0.0</v>
      </c>
      <c r="D332" s="207"/>
      <c r="E332" s="209">
        <v>0.0</v>
      </c>
      <c r="F332" s="222" t="s">
        <v>22</v>
      </c>
      <c r="G332" s="236"/>
      <c r="H332" s="236"/>
      <c r="I332" s="236"/>
      <c r="J332" s="236"/>
      <c r="K332" s="236"/>
      <c r="L332" s="236"/>
      <c r="M332" s="236"/>
      <c r="N332" s="236"/>
      <c r="O332" s="236"/>
      <c r="P332" s="236"/>
      <c r="Q332" s="236"/>
      <c r="R332" s="236"/>
      <c r="S332" s="236"/>
      <c r="T332" s="236"/>
      <c r="U332" s="222"/>
      <c r="V332" s="222"/>
      <c r="W332" s="222"/>
      <c r="X332" s="222"/>
      <c r="Y332" s="222"/>
      <c r="Z332" s="222"/>
      <c r="AA332" s="222"/>
      <c r="AB332" s="222"/>
    </row>
    <row r="333" ht="17.25" customHeight="1">
      <c r="A333" s="207" t="s">
        <v>2002</v>
      </c>
      <c r="B333" s="207" t="s">
        <v>2004</v>
      </c>
      <c r="C333" s="207">
        <v>0.0</v>
      </c>
      <c r="D333" s="207"/>
      <c r="E333" s="209">
        <v>0.0</v>
      </c>
      <c r="F333" s="222" t="s">
        <v>661</v>
      </c>
      <c r="G333" s="236"/>
      <c r="H333" s="236"/>
      <c r="I333" s="236"/>
      <c r="J333" s="236"/>
      <c r="K333" s="236"/>
      <c r="L333" s="236"/>
      <c r="M333" s="236"/>
      <c r="N333" s="236"/>
      <c r="O333" s="236"/>
      <c r="P333" s="236"/>
      <c r="Q333" s="236"/>
      <c r="R333" s="236"/>
      <c r="S333" s="236"/>
      <c r="T333" s="236"/>
      <c r="U333" s="222"/>
      <c r="V333" s="222"/>
      <c r="W333" s="222"/>
      <c r="X333" s="222"/>
      <c r="Y333" s="222"/>
      <c r="Z333" s="222"/>
      <c r="AA333" s="222"/>
      <c r="AB333" s="222"/>
    </row>
    <row r="334" ht="17.25" customHeight="1">
      <c r="A334" s="207" t="s">
        <v>1195</v>
      </c>
      <c r="B334" s="207" t="s">
        <v>1196</v>
      </c>
      <c r="C334" s="207" t="s">
        <v>1333</v>
      </c>
      <c r="D334" s="207"/>
      <c r="E334" s="209">
        <v>2.0</v>
      </c>
      <c r="F334" s="222" t="s">
        <v>290</v>
      </c>
      <c r="G334" s="236"/>
      <c r="H334" s="236"/>
      <c r="I334" s="236"/>
      <c r="J334" s="236"/>
      <c r="K334" s="236"/>
      <c r="L334" s="236"/>
      <c r="M334" s="236"/>
      <c r="N334" s="236"/>
      <c r="O334" s="236"/>
      <c r="P334" s="236"/>
      <c r="Q334" s="236"/>
      <c r="R334" s="236"/>
      <c r="S334" s="236"/>
      <c r="T334" s="236"/>
      <c r="U334" s="222"/>
      <c r="V334" s="222"/>
      <c r="W334" s="222"/>
      <c r="X334" s="222"/>
      <c r="Y334" s="222"/>
      <c r="Z334" s="222"/>
      <c r="AA334" s="222"/>
      <c r="AB334" s="222"/>
    </row>
    <row r="335" ht="17.25" customHeight="1">
      <c r="A335" s="207" t="s">
        <v>1200</v>
      </c>
      <c r="B335" s="207" t="s">
        <v>1201</v>
      </c>
      <c r="C335" s="207">
        <v>0.0</v>
      </c>
      <c r="D335" s="207"/>
      <c r="E335" s="209">
        <v>2.0</v>
      </c>
      <c r="F335" s="222" t="s">
        <v>661</v>
      </c>
      <c r="G335" s="236"/>
      <c r="H335" s="236"/>
      <c r="I335" s="236"/>
      <c r="J335" s="236"/>
      <c r="K335" s="236"/>
      <c r="L335" s="236"/>
      <c r="M335" s="236"/>
      <c r="N335" s="236"/>
      <c r="O335" s="236"/>
      <c r="P335" s="236"/>
      <c r="Q335" s="236"/>
      <c r="R335" s="236"/>
      <c r="S335" s="236"/>
      <c r="T335" s="236"/>
      <c r="U335" s="222"/>
      <c r="V335" s="222"/>
      <c r="W335" s="222"/>
      <c r="X335" s="222"/>
      <c r="Y335" s="222"/>
      <c r="Z335" s="222"/>
      <c r="AA335" s="222"/>
      <c r="AB335" s="222"/>
    </row>
    <row r="336" ht="17.25" customHeight="1">
      <c r="A336" s="207" t="s">
        <v>1208</v>
      </c>
      <c r="B336" s="207" t="s">
        <v>1210</v>
      </c>
      <c r="C336" s="207" t="s">
        <v>1333</v>
      </c>
      <c r="D336" s="207"/>
      <c r="E336" s="209">
        <v>100.0</v>
      </c>
      <c r="F336" s="222" t="s">
        <v>22</v>
      </c>
      <c r="G336" s="236"/>
      <c r="H336" s="236"/>
      <c r="I336" s="236"/>
      <c r="J336" s="236"/>
      <c r="K336" s="236"/>
      <c r="L336" s="236"/>
      <c r="M336" s="236"/>
      <c r="N336" s="236"/>
      <c r="O336" s="236"/>
      <c r="P336" s="236"/>
      <c r="Q336" s="236"/>
      <c r="R336" s="236"/>
      <c r="S336" s="236"/>
      <c r="T336" s="236"/>
      <c r="U336" s="222"/>
      <c r="V336" s="222"/>
      <c r="W336" s="222"/>
      <c r="X336" s="222"/>
      <c r="Y336" s="222"/>
      <c r="Z336" s="222"/>
      <c r="AA336" s="222"/>
      <c r="AB336" s="222"/>
    </row>
    <row r="337" ht="17.25" customHeight="1">
      <c r="A337" s="207" t="s">
        <v>1212</v>
      </c>
      <c r="B337" s="207" t="s">
        <v>1213</v>
      </c>
      <c r="C337" s="207" t="s">
        <v>1333</v>
      </c>
      <c r="D337" s="207"/>
      <c r="E337" s="209">
        <v>100.0</v>
      </c>
      <c r="F337" s="222" t="s">
        <v>22</v>
      </c>
      <c r="G337" s="236"/>
      <c r="H337" s="236"/>
      <c r="I337" s="236"/>
      <c r="J337" s="236"/>
      <c r="K337" s="236"/>
      <c r="L337" s="236"/>
      <c r="M337" s="236"/>
      <c r="N337" s="236"/>
      <c r="O337" s="236"/>
      <c r="P337" s="236"/>
      <c r="Q337" s="236"/>
      <c r="R337" s="236"/>
      <c r="S337" s="236"/>
      <c r="T337" s="236"/>
      <c r="U337" s="222"/>
      <c r="V337" s="222"/>
      <c r="W337" s="222"/>
      <c r="X337" s="222"/>
      <c r="Y337" s="222"/>
      <c r="Z337" s="222"/>
      <c r="AA337" s="222"/>
      <c r="AB337" s="222"/>
    </row>
    <row r="338" ht="17.25" customHeight="1">
      <c r="A338" s="25" t="s">
        <v>760</v>
      </c>
      <c r="B338" s="25" t="s">
        <v>762</v>
      </c>
      <c r="C338" s="25">
        <v>0.0</v>
      </c>
      <c r="D338" s="25"/>
      <c r="E338" s="237">
        <v>0.0</v>
      </c>
      <c r="F338" s="26" t="s">
        <v>22</v>
      </c>
      <c r="U338" s="26"/>
      <c r="V338" s="26"/>
      <c r="W338" s="26"/>
      <c r="X338" s="26"/>
      <c r="Y338" s="26"/>
      <c r="Z338" s="26"/>
      <c r="AA338" s="26"/>
      <c r="AB338" s="26"/>
    </row>
    <row r="339" ht="17.25" customHeight="1">
      <c r="A339" s="25" t="s">
        <v>1215</v>
      </c>
      <c r="B339" s="25" t="s">
        <v>1216</v>
      </c>
      <c r="C339" s="25" t="s">
        <v>1333</v>
      </c>
      <c r="D339" s="25"/>
      <c r="E339" s="237">
        <v>2.0</v>
      </c>
      <c r="F339" s="26" t="s">
        <v>661</v>
      </c>
      <c r="U339" s="26"/>
      <c r="V339" s="26"/>
      <c r="W339" s="26"/>
      <c r="X339" s="26"/>
      <c r="Y339" s="26"/>
      <c r="Z339" s="26"/>
      <c r="AA339" s="26"/>
      <c r="AB339" s="26"/>
    </row>
    <row r="340" ht="17.25" customHeight="1">
      <c r="A340" s="25" t="s">
        <v>1221</v>
      </c>
      <c r="B340" s="25" t="s">
        <v>1222</v>
      </c>
      <c r="C340" s="25" t="s">
        <v>1333</v>
      </c>
      <c r="D340" s="25"/>
      <c r="E340" s="237">
        <v>2.0</v>
      </c>
      <c r="F340" s="26" t="s">
        <v>661</v>
      </c>
      <c r="U340" s="26"/>
      <c r="V340" s="26"/>
      <c r="W340" s="26"/>
      <c r="X340" s="26"/>
      <c r="Y340" s="26"/>
      <c r="Z340" s="26"/>
      <c r="AA340" s="26"/>
      <c r="AB340" s="26"/>
    </row>
    <row r="341" ht="17.25" customHeight="1">
      <c r="A341" s="25" t="s">
        <v>2005</v>
      </c>
      <c r="B341" s="25" t="s">
        <v>2006</v>
      </c>
      <c r="C341" s="25">
        <v>0.0</v>
      </c>
      <c r="D341" s="25"/>
      <c r="E341" s="237">
        <v>0.0</v>
      </c>
      <c r="F341" s="26" t="s">
        <v>22</v>
      </c>
      <c r="U341" s="26"/>
      <c r="V341" s="26"/>
      <c r="W341" s="26"/>
      <c r="X341" s="26"/>
      <c r="Y341" s="26"/>
      <c r="Z341" s="26"/>
      <c r="AA341" s="26"/>
      <c r="AB341" s="26"/>
    </row>
    <row r="342" ht="17.25" customHeight="1">
      <c r="A342" s="25" t="s">
        <v>2008</v>
      </c>
      <c r="B342" s="25" t="s">
        <v>2009</v>
      </c>
      <c r="C342" s="25" t="s">
        <v>1333</v>
      </c>
      <c r="D342" s="25"/>
      <c r="E342" s="237">
        <v>0.0</v>
      </c>
      <c r="F342" s="26" t="s">
        <v>22</v>
      </c>
      <c r="U342" s="26"/>
      <c r="V342" s="26"/>
      <c r="W342" s="26"/>
      <c r="X342" s="26"/>
      <c r="Y342" s="26"/>
      <c r="Z342" s="26"/>
      <c r="AA342" s="26"/>
      <c r="AB342" s="26"/>
    </row>
    <row r="343" ht="17.25" customHeight="1">
      <c r="A343" s="25" t="s">
        <v>1224</v>
      </c>
      <c r="B343" s="25" t="s">
        <v>1226</v>
      </c>
      <c r="C343" s="25">
        <v>0.0</v>
      </c>
      <c r="D343" s="25"/>
      <c r="E343" s="237">
        <v>4700.0</v>
      </c>
      <c r="F343" s="26" t="s">
        <v>22</v>
      </c>
      <c r="U343" s="26"/>
      <c r="V343" s="26"/>
      <c r="W343" s="26"/>
      <c r="X343" s="26"/>
      <c r="Y343" s="26"/>
      <c r="Z343" s="26"/>
      <c r="AA343" s="26"/>
      <c r="AB343" s="26"/>
    </row>
    <row r="344" ht="17.25" customHeight="1">
      <c r="A344" s="25" t="s">
        <v>854</v>
      </c>
      <c r="B344" s="25" t="s">
        <v>855</v>
      </c>
      <c r="C344" s="25">
        <v>0.0</v>
      </c>
      <c r="D344" s="25"/>
      <c r="E344" s="237">
        <v>1200.0</v>
      </c>
      <c r="F344" s="26" t="s">
        <v>22</v>
      </c>
      <c r="U344" s="26"/>
      <c r="V344" s="26"/>
      <c r="W344" s="26"/>
      <c r="X344" s="26"/>
      <c r="Y344" s="26"/>
      <c r="Z344" s="26"/>
      <c r="AA344" s="26"/>
      <c r="AB344" s="26"/>
    </row>
    <row r="345" ht="17.25" customHeight="1">
      <c r="A345" s="25" t="s">
        <v>1230</v>
      </c>
      <c r="B345" s="25" t="s">
        <v>1231</v>
      </c>
      <c r="C345" s="25">
        <v>0.0</v>
      </c>
      <c r="D345" s="25"/>
      <c r="E345" s="237">
        <v>48.0</v>
      </c>
      <c r="F345" s="26" t="s">
        <v>661</v>
      </c>
      <c r="U345" s="26"/>
      <c r="V345" s="26"/>
      <c r="W345" s="26"/>
      <c r="X345" s="26"/>
      <c r="Y345" s="26"/>
      <c r="Z345" s="26"/>
      <c r="AA345" s="26"/>
      <c r="AB345" s="26"/>
    </row>
    <row r="346" ht="17.25" customHeight="1">
      <c r="A346" s="25" t="s">
        <v>2010</v>
      </c>
      <c r="B346" s="25" t="s">
        <v>2011</v>
      </c>
      <c r="C346" s="25">
        <v>0.0</v>
      </c>
      <c r="D346" s="25"/>
      <c r="E346" s="237">
        <v>0.0</v>
      </c>
      <c r="F346" s="26" t="s">
        <v>290</v>
      </c>
      <c r="U346" s="26"/>
      <c r="V346" s="26"/>
      <c r="W346" s="26"/>
      <c r="X346" s="26"/>
      <c r="Y346" s="26"/>
      <c r="Z346" s="26"/>
      <c r="AA346" s="26"/>
      <c r="AB346" s="26"/>
    </row>
    <row r="347" ht="17.25" customHeight="1">
      <c r="A347" s="25" t="s">
        <v>79</v>
      </c>
      <c r="B347" s="25" t="s">
        <v>80</v>
      </c>
      <c r="C347" s="25">
        <v>0.0</v>
      </c>
      <c r="D347" s="25"/>
      <c r="E347" s="237">
        <v>700.0</v>
      </c>
      <c r="F347" s="26" t="s">
        <v>22</v>
      </c>
      <c r="U347" s="26"/>
      <c r="V347" s="26"/>
      <c r="W347" s="26"/>
      <c r="X347" s="26"/>
      <c r="Y347" s="26"/>
      <c r="Z347" s="26"/>
      <c r="AA347" s="26"/>
      <c r="AB347" s="26"/>
    </row>
    <row r="348" ht="17.25" customHeight="1">
      <c r="A348" s="25" t="s">
        <v>424</v>
      </c>
      <c r="B348" s="25" t="s">
        <v>425</v>
      </c>
      <c r="C348" s="25">
        <v>0.0</v>
      </c>
      <c r="D348" s="25"/>
      <c r="E348" s="237">
        <v>9000.0</v>
      </c>
      <c r="F348" s="26" t="s">
        <v>22</v>
      </c>
      <c r="U348" s="26"/>
      <c r="V348" s="26"/>
      <c r="W348" s="26"/>
      <c r="X348" s="26"/>
      <c r="Y348" s="26"/>
      <c r="Z348" s="26"/>
      <c r="AA348" s="26"/>
      <c r="AB348" s="26"/>
    </row>
    <row r="349" ht="17.25" customHeight="1">
      <c r="A349" s="25" t="s">
        <v>1237</v>
      </c>
      <c r="B349" s="25" t="s">
        <v>1238</v>
      </c>
      <c r="C349" s="25" t="s">
        <v>1333</v>
      </c>
      <c r="D349" s="25"/>
      <c r="E349" s="237">
        <v>720.0</v>
      </c>
      <c r="F349" s="26" t="s">
        <v>22</v>
      </c>
      <c r="U349" s="26"/>
      <c r="V349" s="26"/>
      <c r="W349" s="26"/>
      <c r="X349" s="26"/>
      <c r="Y349" s="26"/>
      <c r="Z349" s="26"/>
      <c r="AA349" s="26"/>
      <c r="AB349" s="26"/>
    </row>
    <row r="350" ht="17.25" customHeight="1">
      <c r="A350" s="25" t="s">
        <v>1240</v>
      </c>
      <c r="B350" s="25" t="s">
        <v>1241</v>
      </c>
      <c r="C350" s="25">
        <v>0.0</v>
      </c>
      <c r="D350" s="25"/>
      <c r="E350" s="237">
        <v>700.0</v>
      </c>
      <c r="F350" s="26" t="s">
        <v>22</v>
      </c>
      <c r="U350" s="26"/>
      <c r="V350" s="26"/>
      <c r="W350" s="26"/>
      <c r="X350" s="26"/>
      <c r="Y350" s="26"/>
      <c r="Z350" s="26"/>
      <c r="AA350" s="26"/>
      <c r="AB350" s="26"/>
    </row>
    <row r="351" ht="17.25" customHeight="1">
      <c r="A351" s="25" t="s">
        <v>1244</v>
      </c>
      <c r="B351" s="25" t="s">
        <v>1245</v>
      </c>
      <c r="C351" s="25" t="s">
        <v>1333</v>
      </c>
      <c r="D351" s="25"/>
      <c r="E351" s="237">
        <v>6.0</v>
      </c>
      <c r="F351" s="26" t="s">
        <v>661</v>
      </c>
      <c r="U351" s="26"/>
      <c r="V351" s="26"/>
      <c r="W351" s="26"/>
      <c r="X351" s="26"/>
      <c r="Y351" s="26"/>
      <c r="Z351" s="26"/>
      <c r="AA351" s="26"/>
      <c r="AB351" s="26"/>
    </row>
    <row r="352" ht="17.25" customHeight="1">
      <c r="A352" s="25" t="s">
        <v>2012</v>
      </c>
      <c r="B352" s="25" t="s">
        <v>2013</v>
      </c>
      <c r="C352" s="25" t="s">
        <v>1333</v>
      </c>
      <c r="D352" s="25"/>
      <c r="E352" s="237">
        <v>0.0</v>
      </c>
      <c r="F352" s="26" t="s">
        <v>290</v>
      </c>
      <c r="U352" s="26"/>
      <c r="V352" s="26"/>
      <c r="W352" s="26"/>
      <c r="X352" s="26"/>
      <c r="Y352" s="26"/>
      <c r="Z352" s="26"/>
      <c r="AA352" s="26"/>
      <c r="AB352" s="26"/>
    </row>
    <row r="353" ht="17.25" customHeight="1">
      <c r="A353" s="25" t="s">
        <v>163</v>
      </c>
      <c r="B353" s="25" t="s">
        <v>1737</v>
      </c>
      <c r="C353" s="25" t="s">
        <v>1333</v>
      </c>
      <c r="D353" s="25"/>
      <c r="E353" s="237">
        <v>4000.0</v>
      </c>
      <c r="F353" s="26" t="s">
        <v>22</v>
      </c>
      <c r="U353" s="26"/>
      <c r="V353" s="26"/>
      <c r="W353" s="26"/>
      <c r="X353" s="26"/>
      <c r="Y353" s="26"/>
      <c r="Z353" s="26"/>
      <c r="AA353" s="26"/>
      <c r="AB353" s="26"/>
    </row>
    <row r="354" ht="17.25" customHeight="1">
      <c r="A354" s="25" t="s">
        <v>1250</v>
      </c>
      <c r="B354" s="25" t="s">
        <v>1251</v>
      </c>
      <c r="C354" s="25" t="s">
        <v>1333</v>
      </c>
      <c r="D354" s="25"/>
      <c r="E354" s="237">
        <v>100.0</v>
      </c>
      <c r="F354" s="26" t="s">
        <v>22</v>
      </c>
      <c r="U354" s="26"/>
      <c r="V354" s="26"/>
      <c r="W354" s="26"/>
      <c r="X354" s="26"/>
      <c r="Y354" s="26"/>
      <c r="Z354" s="26"/>
      <c r="AA354" s="26"/>
      <c r="AB354" s="26"/>
    </row>
    <row r="355" ht="17.25" customHeight="1">
      <c r="A355" s="25" t="s">
        <v>1253</v>
      </c>
      <c r="B355" s="25" t="s">
        <v>1254</v>
      </c>
      <c r="C355" s="25" t="s">
        <v>1333</v>
      </c>
      <c r="D355" s="25"/>
      <c r="E355" s="237">
        <v>792.0</v>
      </c>
      <c r="F355" s="26" t="s">
        <v>22</v>
      </c>
      <c r="U355" s="26"/>
      <c r="V355" s="26"/>
      <c r="W355" s="26"/>
      <c r="X355" s="26"/>
      <c r="Y355" s="26"/>
      <c r="Z355" s="26"/>
      <c r="AA355" s="26"/>
      <c r="AB355" s="26"/>
    </row>
    <row r="356" ht="17.25" customHeight="1">
      <c r="A356" s="25" t="s">
        <v>187</v>
      </c>
      <c r="B356" s="25" t="s">
        <v>188</v>
      </c>
      <c r="C356" s="25" t="s">
        <v>1333</v>
      </c>
      <c r="D356" s="25"/>
      <c r="E356" s="237">
        <v>0.0</v>
      </c>
      <c r="F356" s="26" t="s">
        <v>22</v>
      </c>
      <c r="U356" s="26"/>
      <c r="V356" s="26"/>
      <c r="W356" s="26"/>
      <c r="X356" s="26"/>
      <c r="Y356" s="26"/>
      <c r="Z356" s="26"/>
      <c r="AA356" s="26"/>
      <c r="AB356" s="26"/>
    </row>
    <row r="357" ht="17.25" customHeight="1">
      <c r="A357" s="25" t="s">
        <v>1256</v>
      </c>
      <c r="B357" s="25" t="s">
        <v>1257</v>
      </c>
      <c r="C357" s="25" t="s">
        <v>1333</v>
      </c>
      <c r="D357" s="25"/>
      <c r="E357" s="237">
        <v>6.0</v>
      </c>
      <c r="F357" s="26" t="s">
        <v>290</v>
      </c>
      <c r="U357" s="26"/>
      <c r="V357" s="26"/>
      <c r="W357" s="26"/>
      <c r="X357" s="26"/>
      <c r="Y357" s="26"/>
      <c r="Z357" s="26"/>
      <c r="AA357" s="26"/>
      <c r="AB357" s="26"/>
    </row>
    <row r="358" ht="17.25" customHeight="1">
      <c r="A358" s="25" t="s">
        <v>1260</v>
      </c>
      <c r="B358" s="25" t="s">
        <v>1261</v>
      </c>
      <c r="C358" s="25" t="s">
        <v>1333</v>
      </c>
      <c r="D358" s="25"/>
      <c r="E358" s="237">
        <v>1.0</v>
      </c>
      <c r="F358" s="26" t="s">
        <v>290</v>
      </c>
      <c r="U358" s="26"/>
      <c r="V358" s="26"/>
      <c r="W358" s="26"/>
      <c r="X358" s="26"/>
      <c r="Y358" s="26"/>
      <c r="Z358" s="26"/>
      <c r="AA358" s="26"/>
      <c r="AB358" s="26"/>
    </row>
    <row r="359" ht="17.25" customHeight="1">
      <c r="A359" s="25" t="s">
        <v>1265</v>
      </c>
      <c r="B359" s="25" t="s">
        <v>1266</v>
      </c>
      <c r="C359" s="25" t="s">
        <v>1333</v>
      </c>
      <c r="D359" s="25"/>
      <c r="E359" s="237">
        <v>1.0</v>
      </c>
      <c r="F359" s="26" t="s">
        <v>290</v>
      </c>
      <c r="U359" s="26"/>
      <c r="V359" s="26"/>
      <c r="W359" s="26"/>
      <c r="X359" s="26"/>
      <c r="Y359" s="26"/>
      <c r="Z359" s="26"/>
      <c r="AA359" s="26"/>
      <c r="AB359" s="26"/>
    </row>
    <row r="360" ht="17.25" customHeight="1">
      <c r="A360" s="25" t="s">
        <v>1739</v>
      </c>
      <c r="B360" s="25" t="s">
        <v>1740</v>
      </c>
      <c r="C360" s="25" t="s">
        <v>1333</v>
      </c>
      <c r="D360" s="25"/>
      <c r="E360" s="237">
        <v>0.0</v>
      </c>
      <c r="F360" s="26" t="s">
        <v>22</v>
      </c>
      <c r="U360" s="26"/>
      <c r="V360" s="26"/>
      <c r="W360" s="26"/>
      <c r="X360" s="26"/>
      <c r="Y360" s="26"/>
      <c r="Z360" s="26"/>
      <c r="AA360" s="26"/>
      <c r="AB360" s="26"/>
    </row>
    <row r="361" ht="17.25" customHeight="1">
      <c r="A361" s="25" t="s">
        <v>1269</v>
      </c>
      <c r="B361" s="25" t="s">
        <v>1270</v>
      </c>
      <c r="C361" s="25" t="s">
        <v>1333</v>
      </c>
      <c r="D361" s="25"/>
      <c r="E361" s="237">
        <v>2.0</v>
      </c>
      <c r="F361" s="26" t="s">
        <v>616</v>
      </c>
      <c r="U361" s="26"/>
      <c r="V361" s="26"/>
      <c r="W361" s="26"/>
      <c r="X361" s="26"/>
      <c r="Y361" s="26"/>
      <c r="Z361" s="26"/>
      <c r="AA361" s="26"/>
      <c r="AB361" s="26"/>
    </row>
    <row r="362" ht="17.25" customHeight="1">
      <c r="A362" s="25" t="s">
        <v>2016</v>
      </c>
      <c r="B362" s="25" t="s">
        <v>2017</v>
      </c>
      <c r="C362" s="25" t="s">
        <v>1333</v>
      </c>
      <c r="D362" s="25"/>
      <c r="E362" s="237">
        <v>0.0</v>
      </c>
      <c r="F362" s="26" t="s">
        <v>643</v>
      </c>
      <c r="U362" s="26"/>
      <c r="V362" s="26"/>
      <c r="W362" s="26"/>
      <c r="X362" s="26"/>
      <c r="Y362" s="26"/>
      <c r="Z362" s="26"/>
      <c r="AA362" s="26"/>
      <c r="AB362" s="26"/>
    </row>
    <row r="363" ht="17.25" customHeight="1">
      <c r="A363" s="25" t="s">
        <v>1741</v>
      </c>
      <c r="B363" s="25" t="s">
        <v>1742</v>
      </c>
      <c r="C363" s="25" t="s">
        <v>1333</v>
      </c>
      <c r="D363" s="25"/>
      <c r="E363" s="237">
        <v>0.0</v>
      </c>
      <c r="F363" s="26" t="s">
        <v>22</v>
      </c>
      <c r="U363" s="26"/>
      <c r="V363" s="26"/>
      <c r="W363" s="26"/>
      <c r="X363" s="26"/>
      <c r="Y363" s="26"/>
      <c r="Z363" s="26"/>
      <c r="AA363" s="26"/>
      <c r="AB363" s="26"/>
    </row>
    <row r="364" ht="17.25" customHeight="1">
      <c r="A364" s="25" t="s">
        <v>1743</v>
      </c>
      <c r="B364" s="25" t="s">
        <v>1744</v>
      </c>
      <c r="C364" s="25" t="s">
        <v>1333</v>
      </c>
      <c r="D364" s="25"/>
      <c r="E364" s="237">
        <v>0.0</v>
      </c>
      <c r="F364" s="26" t="s">
        <v>22</v>
      </c>
      <c r="U364" s="26"/>
      <c r="V364" s="26"/>
      <c r="W364" s="26"/>
      <c r="X364" s="26"/>
      <c r="Y364" s="26"/>
      <c r="Z364" s="26"/>
      <c r="AA364" s="26"/>
      <c r="AB364" s="26"/>
    </row>
    <row r="365" ht="17.25" customHeight="1">
      <c r="A365" s="25" t="s">
        <v>1746</v>
      </c>
      <c r="B365" s="25" t="s">
        <v>1747</v>
      </c>
      <c r="C365" s="25" t="s">
        <v>1333</v>
      </c>
      <c r="D365" s="25"/>
      <c r="E365" s="237">
        <v>0.0</v>
      </c>
      <c r="F365" s="26" t="s">
        <v>22</v>
      </c>
      <c r="U365" s="26"/>
      <c r="V365" s="26"/>
      <c r="W365" s="26"/>
      <c r="X365" s="26"/>
      <c r="Y365" s="26"/>
      <c r="Z365" s="26"/>
      <c r="AA365" s="26"/>
      <c r="AB365" s="26"/>
    </row>
    <row r="366" ht="17.25" customHeight="1">
      <c r="A366" s="25" t="s">
        <v>1272</v>
      </c>
      <c r="B366" s="25" t="s">
        <v>1273</v>
      </c>
      <c r="C366" s="25" t="s">
        <v>1333</v>
      </c>
      <c r="D366" s="25"/>
      <c r="E366" s="237">
        <v>3887.0</v>
      </c>
      <c r="F366" s="26" t="s">
        <v>22</v>
      </c>
      <c r="U366" s="26"/>
      <c r="V366" s="26"/>
      <c r="W366" s="26"/>
      <c r="X366" s="26"/>
      <c r="Y366" s="26"/>
      <c r="Z366" s="26"/>
      <c r="AA366" s="26"/>
      <c r="AB366" s="26"/>
    </row>
    <row r="367" ht="17.25" customHeight="1">
      <c r="A367" s="25" t="s">
        <v>1275</v>
      </c>
      <c r="B367" s="25" t="s">
        <v>1276</v>
      </c>
      <c r="C367" s="25" t="s">
        <v>1333</v>
      </c>
      <c r="D367" s="25"/>
      <c r="E367" s="237">
        <v>700.0</v>
      </c>
      <c r="F367" s="26" t="s">
        <v>22</v>
      </c>
      <c r="U367" s="26"/>
      <c r="V367" s="26"/>
      <c r="W367" s="26"/>
      <c r="X367" s="26"/>
      <c r="Y367" s="26"/>
      <c r="Z367" s="26"/>
      <c r="AA367" s="26"/>
      <c r="AB367" s="26"/>
    </row>
    <row r="368" ht="17.25" customHeight="1">
      <c r="A368" s="25" t="s">
        <v>1749</v>
      </c>
      <c r="B368" s="25" t="s">
        <v>1751</v>
      </c>
      <c r="C368" s="25" t="s">
        <v>1333</v>
      </c>
      <c r="D368" s="25"/>
      <c r="E368" s="237">
        <v>0.0</v>
      </c>
      <c r="F368" s="26" t="s">
        <v>22</v>
      </c>
      <c r="U368" s="26"/>
      <c r="V368" s="26"/>
      <c r="W368" s="26"/>
      <c r="X368" s="26"/>
      <c r="Y368" s="26"/>
      <c r="Z368" s="26"/>
      <c r="AA368" s="26"/>
      <c r="AB368" s="26"/>
    </row>
    <row r="369" ht="17.25" customHeight="1">
      <c r="A369" s="25" t="s">
        <v>1278</v>
      </c>
      <c r="B369" s="25" t="s">
        <v>1279</v>
      </c>
      <c r="C369" s="25" t="s">
        <v>1333</v>
      </c>
      <c r="D369" s="25"/>
      <c r="E369" s="237">
        <v>400.0</v>
      </c>
      <c r="F369" s="26" t="s">
        <v>22</v>
      </c>
      <c r="U369" s="26"/>
      <c r="V369" s="26"/>
      <c r="W369" s="26"/>
      <c r="X369" s="26"/>
      <c r="Y369" s="26"/>
      <c r="Z369" s="26"/>
      <c r="AA369" s="26"/>
      <c r="AB369" s="26"/>
    </row>
    <row r="370" ht="17.25" customHeight="1">
      <c r="A370" s="25" t="s">
        <v>1281</v>
      </c>
      <c r="B370" s="25" t="s">
        <v>1282</v>
      </c>
      <c r="C370" s="25" t="s">
        <v>1333</v>
      </c>
      <c r="D370" s="25"/>
      <c r="E370" s="237">
        <v>1500.0</v>
      </c>
      <c r="F370" s="26" t="s">
        <v>22</v>
      </c>
      <c r="U370" s="26"/>
      <c r="V370" s="26"/>
      <c r="W370" s="26"/>
      <c r="X370" s="26"/>
      <c r="Y370" s="26"/>
      <c r="Z370" s="26"/>
      <c r="AA370" s="26"/>
      <c r="AB370" s="26"/>
    </row>
    <row r="371" ht="17.25" customHeight="1">
      <c r="A371" s="25" t="s">
        <v>1285</v>
      </c>
      <c r="B371" s="25" t="s">
        <v>1286</v>
      </c>
      <c r="C371" s="25" t="s">
        <v>1333</v>
      </c>
      <c r="D371" s="25"/>
      <c r="E371" s="237">
        <v>300.0</v>
      </c>
      <c r="F371" s="26" t="s">
        <v>22</v>
      </c>
      <c r="U371" s="26"/>
      <c r="V371" s="26"/>
      <c r="W371" s="26"/>
      <c r="X371" s="26"/>
      <c r="Y371" s="26"/>
      <c r="Z371" s="26"/>
      <c r="AA371" s="26"/>
      <c r="AB371" s="26"/>
    </row>
    <row r="372" ht="17.25" customHeight="1">
      <c r="A372" s="25" t="s">
        <v>1291</v>
      </c>
      <c r="B372" s="25" t="s">
        <v>1292</v>
      </c>
      <c r="C372" s="25" t="s">
        <v>1333</v>
      </c>
      <c r="D372" s="25"/>
      <c r="E372" s="237">
        <v>720.0</v>
      </c>
      <c r="F372" s="26" t="s">
        <v>22</v>
      </c>
      <c r="U372" s="26"/>
      <c r="V372" s="26"/>
      <c r="W372" s="26"/>
      <c r="X372" s="26"/>
      <c r="Y372" s="26"/>
      <c r="Z372" s="26"/>
      <c r="AA372" s="26"/>
      <c r="AB372" s="26"/>
    </row>
    <row r="373" ht="17.25" customHeight="1">
      <c r="A373" s="25" t="s">
        <v>1295</v>
      </c>
      <c r="B373" s="25" t="s">
        <v>1296</v>
      </c>
      <c r="C373" s="25" t="s">
        <v>1333</v>
      </c>
      <c r="D373" s="25"/>
      <c r="E373" s="237">
        <v>1.0</v>
      </c>
      <c r="F373" s="26" t="s">
        <v>290</v>
      </c>
      <c r="U373" s="26"/>
      <c r="V373" s="26"/>
      <c r="W373" s="26"/>
      <c r="X373" s="26"/>
      <c r="Y373" s="26"/>
      <c r="Z373" s="26"/>
      <c r="AA373" s="26"/>
      <c r="AB373" s="26"/>
    </row>
    <row r="374" ht="17.25" customHeight="1">
      <c r="A374" s="25" t="s">
        <v>2019</v>
      </c>
      <c r="B374" s="25" t="s">
        <v>2020</v>
      </c>
      <c r="C374" s="25" t="s">
        <v>1333</v>
      </c>
      <c r="D374" s="25"/>
      <c r="E374" s="237">
        <v>0.0</v>
      </c>
      <c r="F374" s="26" t="s">
        <v>22</v>
      </c>
      <c r="U374" s="26"/>
      <c r="V374" s="26"/>
      <c r="W374" s="26"/>
      <c r="X374" s="26"/>
      <c r="Y374" s="26"/>
      <c r="Z374" s="26"/>
      <c r="AA374" s="26"/>
      <c r="AB374" s="26"/>
    </row>
    <row r="375" ht="17.25" customHeight="1">
      <c r="A375" s="25" t="s">
        <v>415</v>
      </c>
      <c r="B375" s="25" t="s">
        <v>416</v>
      </c>
      <c r="C375" s="25" t="s">
        <v>1333</v>
      </c>
      <c r="D375" s="25"/>
      <c r="E375" s="237">
        <v>250.0</v>
      </c>
      <c r="F375" s="26" t="s">
        <v>22</v>
      </c>
      <c r="U375" s="26"/>
      <c r="V375" s="26"/>
      <c r="W375" s="26"/>
      <c r="X375" s="26"/>
      <c r="Y375" s="26"/>
      <c r="Z375" s="26"/>
      <c r="AA375" s="26"/>
      <c r="AB375" s="26"/>
    </row>
    <row r="376" ht="17.25" customHeight="1">
      <c r="A376" s="25" t="s">
        <v>1752</v>
      </c>
      <c r="B376" s="25" t="s">
        <v>1753</v>
      </c>
      <c r="C376" s="25" t="s">
        <v>1333</v>
      </c>
      <c r="D376" s="25"/>
      <c r="E376" s="237">
        <v>0.0</v>
      </c>
      <c r="F376" s="26" t="s">
        <v>22</v>
      </c>
      <c r="U376" s="26"/>
      <c r="V376" s="26"/>
      <c r="W376" s="26"/>
      <c r="X376" s="26"/>
      <c r="Y376" s="26"/>
      <c r="Z376" s="26"/>
      <c r="AA376" s="26"/>
      <c r="AB376" s="26"/>
    </row>
    <row r="377" ht="17.25" customHeight="1">
      <c r="A377" s="25" t="s">
        <v>1754</v>
      </c>
      <c r="B377" s="25" t="s">
        <v>1755</v>
      </c>
      <c r="C377" s="25" t="s">
        <v>1333</v>
      </c>
      <c r="D377" s="25"/>
      <c r="E377" s="237">
        <v>0.0</v>
      </c>
      <c r="F377" s="26" t="s">
        <v>22</v>
      </c>
      <c r="U377" s="26"/>
      <c r="V377" s="26"/>
      <c r="W377" s="26"/>
      <c r="X377" s="26"/>
      <c r="Y377" s="26"/>
      <c r="Z377" s="26"/>
      <c r="AA377" s="26"/>
      <c r="AB377" s="26"/>
    </row>
    <row r="378" ht="17.25" customHeight="1">
      <c r="A378" s="25" t="s">
        <v>1299</v>
      </c>
      <c r="B378" s="25" t="s">
        <v>1300</v>
      </c>
      <c r="C378" s="25" t="s">
        <v>1333</v>
      </c>
      <c r="D378" s="25"/>
      <c r="E378" s="237">
        <v>560.0</v>
      </c>
      <c r="F378" s="26" t="s">
        <v>22</v>
      </c>
      <c r="U378" s="26"/>
      <c r="V378" s="26"/>
      <c r="W378" s="26"/>
      <c r="X378" s="26"/>
      <c r="Y378" s="26"/>
      <c r="Z378" s="26"/>
      <c r="AA378" s="26"/>
      <c r="AB378" s="26"/>
    </row>
    <row r="379" ht="17.25" customHeight="1">
      <c r="A379" s="25" t="s">
        <v>1302</v>
      </c>
      <c r="B379" s="25" t="s">
        <v>1303</v>
      </c>
      <c r="C379" s="25" t="s">
        <v>1333</v>
      </c>
      <c r="D379" s="25"/>
      <c r="E379" s="237">
        <v>1000.0</v>
      </c>
      <c r="F379" s="26" t="s">
        <v>22</v>
      </c>
      <c r="U379" s="26"/>
      <c r="V379" s="26"/>
      <c r="W379" s="26"/>
      <c r="X379" s="26"/>
      <c r="Y379" s="26"/>
      <c r="Z379" s="26"/>
      <c r="AA379" s="26"/>
      <c r="AB379" s="26"/>
    </row>
    <row r="380" ht="17.25" customHeight="1">
      <c r="A380" s="25" t="s">
        <v>2021</v>
      </c>
      <c r="B380" s="25" t="s">
        <v>2022</v>
      </c>
      <c r="C380" s="25" t="s">
        <v>1333</v>
      </c>
      <c r="D380" s="25"/>
      <c r="E380" s="237">
        <v>0.0</v>
      </c>
      <c r="F380" s="26" t="s">
        <v>22</v>
      </c>
      <c r="U380" s="26"/>
      <c r="V380" s="26"/>
      <c r="W380" s="26"/>
      <c r="X380" s="26"/>
      <c r="Y380" s="26"/>
      <c r="Z380" s="26"/>
      <c r="AA380" s="26"/>
      <c r="AB380" s="26"/>
    </row>
    <row r="381" ht="17.25" customHeight="1">
      <c r="A381" s="25" t="s">
        <v>1306</v>
      </c>
      <c r="B381" s="25" t="s">
        <v>1307</v>
      </c>
      <c r="C381" s="25" t="s">
        <v>1333</v>
      </c>
      <c r="D381" s="25"/>
      <c r="E381" s="237">
        <v>1048.0</v>
      </c>
      <c r="F381" s="26" t="s">
        <v>22</v>
      </c>
      <c r="U381" s="26"/>
      <c r="V381" s="26"/>
      <c r="W381" s="26"/>
      <c r="X381" s="26"/>
      <c r="Y381" s="26"/>
      <c r="Z381" s="26"/>
      <c r="AA381" s="26"/>
      <c r="AB381" s="26"/>
    </row>
    <row r="382" ht="17.25" customHeight="1">
      <c r="A382" s="25" t="s">
        <v>538</v>
      </c>
      <c r="B382" s="25" t="s">
        <v>539</v>
      </c>
      <c r="C382" s="25" t="s">
        <v>1333</v>
      </c>
      <c r="D382" s="25"/>
      <c r="E382" s="237">
        <v>576.0</v>
      </c>
      <c r="F382" s="26" t="s">
        <v>22</v>
      </c>
      <c r="U382" s="26"/>
      <c r="V382" s="26"/>
      <c r="W382" s="26"/>
      <c r="X382" s="26"/>
      <c r="Y382" s="26"/>
      <c r="Z382" s="26"/>
      <c r="AA382" s="26"/>
      <c r="AB382" s="26"/>
    </row>
    <row r="383" ht="17.25" customHeight="1">
      <c r="A383" s="25" t="s">
        <v>1310</v>
      </c>
      <c r="B383" s="25" t="s">
        <v>1311</v>
      </c>
      <c r="C383" s="25" t="s">
        <v>1333</v>
      </c>
      <c r="D383" s="25"/>
      <c r="E383" s="237">
        <v>3225.0</v>
      </c>
      <c r="F383" s="26" t="s">
        <v>22</v>
      </c>
      <c r="U383" s="26"/>
      <c r="V383" s="26"/>
      <c r="W383" s="26"/>
      <c r="X383" s="26"/>
      <c r="Y383" s="26"/>
      <c r="Z383" s="26"/>
      <c r="AA383" s="26"/>
      <c r="AB383" s="26"/>
    </row>
    <row r="384" ht="17.25" customHeight="1">
      <c r="A384" s="25" t="s">
        <v>2023</v>
      </c>
      <c r="B384" s="25" t="s">
        <v>2024</v>
      </c>
      <c r="C384" s="25" t="s">
        <v>1333</v>
      </c>
      <c r="D384" s="25"/>
      <c r="E384" s="237">
        <v>0.0</v>
      </c>
      <c r="F384" s="26" t="s">
        <v>22</v>
      </c>
      <c r="U384" s="26"/>
      <c r="V384" s="26"/>
      <c r="W384" s="26"/>
      <c r="X384" s="26"/>
      <c r="Y384" s="26"/>
      <c r="Z384" s="26"/>
      <c r="AA384" s="26"/>
      <c r="AB384" s="26"/>
    </row>
    <row r="385" ht="17.25" customHeight="1">
      <c r="A385" s="25" t="s">
        <v>1314</v>
      </c>
      <c r="B385" s="25" t="s">
        <v>1315</v>
      </c>
      <c r="C385" s="25" t="s">
        <v>1333</v>
      </c>
      <c r="D385" s="25"/>
      <c r="E385" s="237">
        <v>0.0</v>
      </c>
      <c r="F385" s="26" t="s">
        <v>22</v>
      </c>
      <c r="U385" s="26"/>
      <c r="V385" s="26"/>
      <c r="W385" s="26"/>
      <c r="X385" s="26"/>
      <c r="Y385" s="26"/>
      <c r="Z385" s="26"/>
      <c r="AA385" s="26"/>
      <c r="AB385" s="26"/>
    </row>
    <row r="386" ht="17.25" customHeight="1">
      <c r="A386" s="25" t="s">
        <v>70</v>
      </c>
      <c r="B386" s="25" t="s">
        <v>71</v>
      </c>
      <c r="C386" s="25" t="s">
        <v>1333</v>
      </c>
      <c r="D386" s="25"/>
      <c r="E386" s="237">
        <v>0.0</v>
      </c>
      <c r="F386" s="26" t="s">
        <v>22</v>
      </c>
      <c r="U386" s="26"/>
      <c r="V386" s="26"/>
      <c r="W386" s="26"/>
      <c r="X386" s="26"/>
      <c r="Y386" s="26"/>
      <c r="Z386" s="26"/>
      <c r="AA386" s="26"/>
      <c r="AB386" s="26"/>
    </row>
    <row r="387" ht="17.25" customHeight="1">
      <c r="A387" s="25" t="s">
        <v>1471</v>
      </c>
      <c r="B387" s="25" t="s">
        <v>1472</v>
      </c>
      <c r="C387" s="25" t="s">
        <v>1333</v>
      </c>
      <c r="D387" s="25"/>
      <c r="E387" s="237">
        <v>0.0</v>
      </c>
      <c r="F387" s="26" t="s">
        <v>290</v>
      </c>
      <c r="U387" s="26"/>
      <c r="V387" s="26"/>
      <c r="W387" s="26"/>
      <c r="X387" s="26"/>
      <c r="Y387" s="26"/>
      <c r="Z387" s="26"/>
      <c r="AA387" s="26"/>
      <c r="AB387" s="26"/>
    </row>
    <row r="388" ht="17.25" customHeight="1">
      <c r="A388" s="25" t="s">
        <v>1462</v>
      </c>
      <c r="B388" s="25" t="s">
        <v>1463</v>
      </c>
      <c r="C388" s="25" t="s">
        <v>1333</v>
      </c>
      <c r="D388" s="25"/>
      <c r="E388" s="237">
        <v>0.0</v>
      </c>
      <c r="F388" s="26" t="s">
        <v>290</v>
      </c>
      <c r="U388" s="26"/>
      <c r="V388" s="26"/>
      <c r="W388" s="26"/>
      <c r="X388" s="26"/>
      <c r="Y388" s="26"/>
      <c r="Z388" s="26"/>
      <c r="AA388" s="26"/>
      <c r="AB388" s="26"/>
    </row>
    <row r="389" ht="17.25" customHeight="1">
      <c r="A389" s="25" t="s">
        <v>1447</v>
      </c>
      <c r="B389" s="25" t="s">
        <v>1449</v>
      </c>
      <c r="C389" s="25" t="s">
        <v>1333</v>
      </c>
      <c r="D389" s="25"/>
      <c r="E389" s="237">
        <v>0.0</v>
      </c>
      <c r="F389" s="26" t="s">
        <v>290</v>
      </c>
      <c r="U389" s="26"/>
      <c r="V389" s="26"/>
      <c r="W389" s="26"/>
      <c r="X389" s="26"/>
      <c r="Y389" s="26"/>
      <c r="Z389" s="26"/>
      <c r="AA389" s="26"/>
      <c r="AB389" s="26"/>
    </row>
    <row r="390" ht="17.25" customHeight="1">
      <c r="A390" s="25" t="s">
        <v>1433</v>
      </c>
      <c r="B390" s="25" t="s">
        <v>1435</v>
      </c>
      <c r="C390" s="25" t="s">
        <v>1333</v>
      </c>
      <c r="D390" s="25"/>
      <c r="E390" s="237">
        <v>0.0</v>
      </c>
      <c r="F390" s="26" t="s">
        <v>290</v>
      </c>
      <c r="U390" s="26"/>
      <c r="V390" s="26"/>
      <c r="W390" s="26"/>
      <c r="X390" s="26"/>
      <c r="Y390" s="26"/>
      <c r="Z390" s="26"/>
      <c r="AA390" s="26"/>
      <c r="AB390" s="26"/>
    </row>
    <row r="391" ht="17.25" customHeight="1">
      <c r="A391" s="25" t="s">
        <v>1426</v>
      </c>
      <c r="B391" s="25" t="s">
        <v>1428</v>
      </c>
      <c r="C391" s="25" t="s">
        <v>1333</v>
      </c>
      <c r="D391" s="25"/>
      <c r="E391" s="237">
        <v>0.0</v>
      </c>
      <c r="F391" s="26" t="s">
        <v>290</v>
      </c>
      <c r="U391" s="26"/>
      <c r="V391" s="26"/>
      <c r="W391" s="26"/>
      <c r="X391" s="26"/>
      <c r="Y391" s="26"/>
      <c r="Z391" s="26"/>
      <c r="AA391" s="26"/>
      <c r="AB391" s="26"/>
    </row>
    <row r="392" ht="17.25" customHeight="1">
      <c r="A392" s="25" t="s">
        <v>1415</v>
      </c>
      <c r="B392" s="25" t="s">
        <v>1420</v>
      </c>
      <c r="C392" s="25" t="s">
        <v>1333</v>
      </c>
      <c r="D392" s="25"/>
      <c r="E392" s="237">
        <v>0.0</v>
      </c>
      <c r="F392" s="26" t="s">
        <v>290</v>
      </c>
      <c r="U392" s="26"/>
      <c r="V392" s="26"/>
      <c r="W392" s="26"/>
      <c r="X392" s="26"/>
      <c r="Y392" s="26"/>
      <c r="Z392" s="26"/>
      <c r="AA392" s="26"/>
      <c r="AB392" s="26"/>
    </row>
    <row r="393" ht="17.25" customHeight="1">
      <c r="A393" s="25" t="s">
        <v>1404</v>
      </c>
      <c r="B393" s="25" t="s">
        <v>1407</v>
      </c>
      <c r="C393" s="25" t="s">
        <v>1333</v>
      </c>
      <c r="D393" s="25"/>
      <c r="E393" s="237">
        <v>0.0</v>
      </c>
      <c r="F393" s="26" t="s">
        <v>290</v>
      </c>
      <c r="U393" s="26"/>
      <c r="V393" s="26"/>
      <c r="W393" s="26"/>
      <c r="X393" s="26"/>
      <c r="Y393" s="26"/>
      <c r="Z393" s="26"/>
      <c r="AA393" s="26"/>
      <c r="AB393" s="26"/>
    </row>
    <row r="394" ht="17.25" customHeight="1">
      <c r="A394" s="25" t="s">
        <v>87</v>
      </c>
      <c r="B394" s="25" t="s">
        <v>88</v>
      </c>
      <c r="C394" s="25" t="s">
        <v>1333</v>
      </c>
      <c r="D394" s="25"/>
      <c r="E394" s="237">
        <v>800.0</v>
      </c>
      <c r="F394" s="26" t="s">
        <v>22</v>
      </c>
      <c r="U394" s="26"/>
      <c r="V394" s="26"/>
      <c r="W394" s="26"/>
      <c r="X394" s="26"/>
      <c r="Y394" s="26"/>
      <c r="Z394" s="26"/>
      <c r="AA394" s="26"/>
      <c r="AB394" s="26"/>
    </row>
    <row r="395" ht="17.25" customHeight="1">
      <c r="A395" s="25" t="s">
        <v>1762</v>
      </c>
      <c r="B395" s="25" t="s">
        <v>1763</v>
      </c>
      <c r="C395" s="25" t="s">
        <v>1333</v>
      </c>
      <c r="D395" s="25"/>
      <c r="E395" s="237">
        <v>0.0</v>
      </c>
      <c r="F395" s="26" t="s">
        <v>22</v>
      </c>
      <c r="U395" s="26"/>
      <c r="V395" s="26"/>
      <c r="W395" s="26"/>
      <c r="X395" s="26"/>
      <c r="Y395" s="26"/>
      <c r="Z395" s="26"/>
      <c r="AA395" s="26"/>
      <c r="AB395" s="26"/>
    </row>
    <row r="396" ht="17.25" customHeight="1">
      <c r="A396" s="25" t="s">
        <v>1764</v>
      </c>
      <c r="B396" s="25" t="s">
        <v>1765</v>
      </c>
      <c r="C396" s="25" t="s">
        <v>1333</v>
      </c>
      <c r="D396" s="25"/>
      <c r="E396" s="237">
        <v>0.0</v>
      </c>
      <c r="F396" s="26" t="s">
        <v>22</v>
      </c>
      <c r="U396" s="26"/>
      <c r="V396" s="26"/>
      <c r="W396" s="26"/>
      <c r="X396" s="26"/>
      <c r="Y396" s="26"/>
      <c r="Z396" s="26"/>
      <c r="AA396" s="26"/>
      <c r="AB396" s="26"/>
    </row>
    <row r="397" ht="17.25" customHeight="1">
      <c r="A397" s="25" t="s">
        <v>1317</v>
      </c>
      <c r="B397" s="25" t="s">
        <v>1318</v>
      </c>
      <c r="C397" s="25" t="s">
        <v>1333</v>
      </c>
      <c r="D397" s="25"/>
      <c r="E397" s="237">
        <v>1600.0</v>
      </c>
      <c r="F397" s="26" t="s">
        <v>22</v>
      </c>
      <c r="U397" s="26"/>
      <c r="V397" s="26"/>
      <c r="W397" s="26"/>
      <c r="X397" s="26"/>
      <c r="Y397" s="26"/>
      <c r="Z397" s="26"/>
      <c r="AA397" s="26"/>
      <c r="AB397" s="26"/>
    </row>
    <row r="398" ht="17.25" customHeight="1">
      <c r="A398" s="25" t="s">
        <v>1766</v>
      </c>
      <c r="B398" s="25" t="s">
        <v>1767</v>
      </c>
      <c r="C398" s="25" t="s">
        <v>1333</v>
      </c>
      <c r="D398" s="25"/>
      <c r="E398" s="237">
        <v>0.0</v>
      </c>
      <c r="F398" s="26" t="s">
        <v>22</v>
      </c>
      <c r="U398" s="26"/>
      <c r="V398" s="26"/>
      <c r="W398" s="26"/>
      <c r="X398" s="26"/>
      <c r="Y398" s="26"/>
      <c r="Z398" s="26"/>
      <c r="AA398" s="26"/>
      <c r="AB398" s="26"/>
    </row>
    <row r="399" ht="17.25" customHeight="1">
      <c r="A399" s="25" t="s">
        <v>1320</v>
      </c>
      <c r="B399" s="25" t="s">
        <v>1321</v>
      </c>
      <c r="C399" s="25" t="s">
        <v>1333</v>
      </c>
      <c r="D399" s="25"/>
      <c r="E399" s="237">
        <v>4.5</v>
      </c>
      <c r="F399" s="26" t="s">
        <v>290</v>
      </c>
      <c r="U399" s="26"/>
      <c r="V399" s="26"/>
      <c r="W399" s="26"/>
      <c r="X399" s="26"/>
      <c r="Y399" s="26"/>
      <c r="Z399" s="26"/>
      <c r="AA399" s="26"/>
      <c r="AB399" s="26"/>
    </row>
    <row r="400" ht="17.25" customHeight="1">
      <c r="A400" s="25" t="s">
        <v>53</v>
      </c>
      <c r="B400" s="25" t="s">
        <v>54</v>
      </c>
      <c r="C400" s="25" t="s">
        <v>1333</v>
      </c>
      <c r="D400" s="25"/>
      <c r="E400" s="237">
        <v>0.0</v>
      </c>
      <c r="F400" s="26" t="s">
        <v>22</v>
      </c>
      <c r="U400" s="26"/>
      <c r="V400" s="26"/>
      <c r="W400" s="26"/>
      <c r="X400" s="26"/>
      <c r="Y400" s="26"/>
      <c r="Z400" s="26"/>
      <c r="AA400" s="26"/>
      <c r="AB400" s="26"/>
    </row>
    <row r="401" ht="17.25" customHeight="1">
      <c r="A401" s="25" t="s">
        <v>223</v>
      </c>
      <c r="B401" s="25" t="s">
        <v>224</v>
      </c>
      <c r="C401" s="25" t="s">
        <v>1333</v>
      </c>
      <c r="D401" s="25"/>
      <c r="E401" s="237">
        <v>300.0</v>
      </c>
      <c r="F401" s="26" t="s">
        <v>22</v>
      </c>
      <c r="U401" s="26"/>
      <c r="V401" s="26"/>
      <c r="W401" s="26"/>
      <c r="X401" s="26"/>
      <c r="Y401" s="26"/>
      <c r="Z401" s="26"/>
      <c r="AA401" s="26"/>
      <c r="AB401" s="26"/>
    </row>
    <row r="402" ht="17.25" customHeight="1">
      <c r="A402" s="25" t="s">
        <v>1770</v>
      </c>
      <c r="B402" s="25" t="s">
        <v>1771</v>
      </c>
      <c r="C402" s="25" t="s">
        <v>1333</v>
      </c>
      <c r="D402" s="25"/>
      <c r="E402" s="237">
        <v>10500.0</v>
      </c>
      <c r="F402" s="26" t="s">
        <v>22</v>
      </c>
      <c r="U402" s="26"/>
      <c r="V402" s="26"/>
      <c r="W402" s="26"/>
      <c r="X402" s="26"/>
      <c r="Y402" s="26"/>
      <c r="Z402" s="26"/>
      <c r="AA402" s="26"/>
      <c r="AB402" s="26"/>
    </row>
    <row r="403" ht="17.25" customHeight="1">
      <c r="A403" s="25" t="s">
        <v>1773</v>
      </c>
      <c r="B403" s="25" t="s">
        <v>1774</v>
      </c>
      <c r="C403" s="25" t="s">
        <v>1333</v>
      </c>
      <c r="D403" s="25"/>
      <c r="E403" s="237">
        <v>8000.0</v>
      </c>
      <c r="F403" s="26" t="s">
        <v>22</v>
      </c>
      <c r="U403" s="26"/>
      <c r="V403" s="26"/>
      <c r="W403" s="26"/>
      <c r="X403" s="26"/>
      <c r="Y403" s="26"/>
      <c r="Z403" s="26"/>
      <c r="AA403" s="26"/>
      <c r="AB403" s="26"/>
    </row>
    <row r="404" ht="17.25" customHeight="1">
      <c r="A404" s="25" t="s">
        <v>2030</v>
      </c>
      <c r="B404" s="25" t="s">
        <v>2031</v>
      </c>
      <c r="C404" s="25" t="s">
        <v>1333</v>
      </c>
      <c r="D404" s="25"/>
      <c r="E404" s="237">
        <v>720.0</v>
      </c>
      <c r="F404" s="26" t="s">
        <v>22</v>
      </c>
      <c r="U404" s="26"/>
      <c r="V404" s="26"/>
      <c r="W404" s="26"/>
      <c r="X404" s="26"/>
      <c r="Y404" s="26"/>
      <c r="Z404" s="26"/>
      <c r="AA404" s="26"/>
      <c r="AB404" s="26"/>
    </row>
    <row r="405" ht="17.25" customHeight="1">
      <c r="A405" s="25" t="s">
        <v>1775</v>
      </c>
      <c r="B405" s="25" t="s">
        <v>1776</v>
      </c>
      <c r="C405" s="25" t="s">
        <v>1333</v>
      </c>
      <c r="D405" s="25"/>
      <c r="E405" s="237">
        <v>0.0</v>
      </c>
      <c r="F405" s="26" t="s">
        <v>22</v>
      </c>
      <c r="U405" s="26"/>
      <c r="V405" s="26"/>
      <c r="W405" s="26"/>
      <c r="X405" s="26"/>
      <c r="Y405" s="26"/>
      <c r="Z405" s="26"/>
      <c r="AA405" s="26"/>
      <c r="AB405" s="26"/>
    </row>
    <row r="406" ht="17.25" customHeight="1">
      <c r="A406" s="25" t="s">
        <v>2033</v>
      </c>
      <c r="B406" s="25" t="s">
        <v>1348</v>
      </c>
      <c r="C406" s="25" t="s">
        <v>1333</v>
      </c>
      <c r="D406" s="25"/>
      <c r="E406" s="237">
        <v>720.0</v>
      </c>
      <c r="F406" s="26" t="s">
        <v>22</v>
      </c>
      <c r="U406" s="26"/>
      <c r="V406" s="26"/>
      <c r="W406" s="26"/>
      <c r="X406" s="26"/>
      <c r="Y406" s="26"/>
      <c r="Z406" s="26"/>
      <c r="AA406" s="26"/>
      <c r="AB406" s="26"/>
    </row>
    <row r="407" ht="17.25" customHeight="1">
      <c r="A407" s="25" t="s">
        <v>317</v>
      </c>
      <c r="B407" s="25" t="s">
        <v>318</v>
      </c>
      <c r="C407" s="25" t="s">
        <v>1333</v>
      </c>
      <c r="D407" s="25"/>
      <c r="E407" s="237">
        <v>0.0</v>
      </c>
      <c r="F407" s="26" t="s">
        <v>22</v>
      </c>
      <c r="U407" s="26"/>
      <c r="V407" s="26"/>
      <c r="W407" s="26"/>
      <c r="X407" s="26"/>
      <c r="Y407" s="26"/>
      <c r="Z407" s="26"/>
      <c r="AA407" s="26"/>
      <c r="AB407" s="26"/>
    </row>
    <row r="408" ht="17.25" customHeight="1">
      <c r="A408" s="25" t="s">
        <v>356</v>
      </c>
      <c r="B408" s="25" t="s">
        <v>358</v>
      </c>
      <c r="C408" s="25" t="s">
        <v>1333</v>
      </c>
      <c r="D408" s="25"/>
      <c r="E408" s="237">
        <v>0.0</v>
      </c>
      <c r="F408" s="26" t="s">
        <v>22</v>
      </c>
      <c r="U408" s="26"/>
      <c r="V408" s="26"/>
      <c r="W408" s="26"/>
      <c r="X408" s="26"/>
      <c r="Y408" s="26"/>
      <c r="Z408" s="26"/>
      <c r="AA408" s="26"/>
      <c r="AB408" s="26"/>
    </row>
    <row r="409" ht="17.25" customHeight="1">
      <c r="A409" s="25" t="s">
        <v>328</v>
      </c>
      <c r="B409" s="25" t="s">
        <v>329</v>
      </c>
      <c r="C409" s="25" t="s">
        <v>1333</v>
      </c>
      <c r="D409" s="25"/>
      <c r="E409" s="237">
        <v>1500.0</v>
      </c>
      <c r="F409" s="26" t="s">
        <v>22</v>
      </c>
      <c r="U409" s="26"/>
      <c r="V409" s="26"/>
      <c r="W409" s="26"/>
      <c r="X409" s="26"/>
      <c r="Y409" s="26"/>
      <c r="Z409" s="26"/>
      <c r="AA409" s="26"/>
      <c r="AB409" s="26"/>
    </row>
    <row r="410" ht="17.25" customHeight="1">
      <c r="A410" s="25" t="s">
        <v>1393</v>
      </c>
      <c r="B410" s="25" t="s">
        <v>2035</v>
      </c>
      <c r="C410" s="25" t="s">
        <v>1333</v>
      </c>
      <c r="D410" s="25"/>
      <c r="E410" s="237">
        <v>500.0</v>
      </c>
      <c r="F410" s="26" t="s">
        <v>22</v>
      </c>
      <c r="U410" s="26"/>
      <c r="V410" s="26"/>
      <c r="W410" s="26"/>
      <c r="X410" s="26"/>
      <c r="Y410" s="26"/>
      <c r="Z410" s="26"/>
      <c r="AA410" s="26"/>
      <c r="AB410" s="26"/>
    </row>
    <row r="411" ht="17.25" customHeight="1">
      <c r="A411" s="25" t="s">
        <v>1400</v>
      </c>
      <c r="B411" s="25" t="s">
        <v>1401</v>
      </c>
      <c r="C411" s="25" t="s">
        <v>1333</v>
      </c>
      <c r="D411" s="25"/>
      <c r="E411" s="237">
        <v>0.0</v>
      </c>
      <c r="F411" s="26" t="s">
        <v>290</v>
      </c>
      <c r="U411" s="26"/>
      <c r="V411" s="26"/>
      <c r="W411" s="26"/>
      <c r="X411" s="26"/>
      <c r="Y411" s="26"/>
      <c r="Z411" s="26"/>
      <c r="AA411" s="26"/>
      <c r="AB411" s="26"/>
    </row>
    <row r="412" ht="17.25" customHeight="1">
      <c r="A412" s="25" t="s">
        <v>1408</v>
      </c>
      <c r="B412" s="25" t="s">
        <v>1409</v>
      </c>
      <c r="C412" s="25" t="s">
        <v>1333</v>
      </c>
      <c r="D412" s="25"/>
      <c r="E412" s="237">
        <v>500.0</v>
      </c>
      <c r="F412" s="26" t="s">
        <v>22</v>
      </c>
      <c r="U412" s="26"/>
      <c r="V412" s="26"/>
      <c r="W412" s="26"/>
      <c r="X412" s="26"/>
      <c r="Y412" s="26"/>
      <c r="Z412" s="26"/>
      <c r="AA412" s="26"/>
      <c r="AB412" s="26"/>
    </row>
    <row r="413" ht="17.25" customHeight="1">
      <c r="A413" s="25" t="s">
        <v>472</v>
      </c>
      <c r="B413" s="25" t="s">
        <v>475</v>
      </c>
      <c r="C413" s="25" t="s">
        <v>1333</v>
      </c>
      <c r="D413" s="25"/>
      <c r="E413" s="237">
        <v>0.0</v>
      </c>
      <c r="F413" s="26" t="s">
        <v>22</v>
      </c>
      <c r="U413" s="26"/>
      <c r="V413" s="26"/>
      <c r="W413" s="26"/>
      <c r="X413" s="26"/>
      <c r="Y413" s="26"/>
      <c r="Z413" s="26"/>
      <c r="AA413" s="26"/>
      <c r="AB413" s="26"/>
    </row>
    <row r="414" ht="17.25" customHeight="1">
      <c r="A414" s="25" t="s">
        <v>2036</v>
      </c>
      <c r="B414" s="25" t="s">
        <v>2037</v>
      </c>
      <c r="C414" s="25" t="s">
        <v>1333</v>
      </c>
      <c r="D414" s="25"/>
      <c r="E414" s="237">
        <v>0.0</v>
      </c>
      <c r="F414" s="26" t="s">
        <v>22</v>
      </c>
      <c r="U414" s="26"/>
      <c r="V414" s="26"/>
      <c r="W414" s="26"/>
      <c r="X414" s="26"/>
      <c r="Y414" s="26"/>
      <c r="Z414" s="26"/>
      <c r="AA414" s="26"/>
      <c r="AB414" s="26"/>
    </row>
    <row r="415" ht="17.25" customHeight="1">
      <c r="A415" s="25" t="s">
        <v>481</v>
      </c>
      <c r="B415" s="25" t="s">
        <v>483</v>
      </c>
      <c r="C415" s="25" t="s">
        <v>1333</v>
      </c>
      <c r="D415" s="25"/>
      <c r="E415" s="237">
        <v>0.0</v>
      </c>
      <c r="F415" s="26" t="s">
        <v>22</v>
      </c>
      <c r="U415" s="26"/>
      <c r="V415" s="26"/>
      <c r="W415" s="26"/>
      <c r="X415" s="26"/>
      <c r="Y415" s="26"/>
      <c r="Z415" s="26"/>
      <c r="AA415" s="26"/>
      <c r="AB415" s="26"/>
    </row>
    <row r="416" ht="17.25" customHeight="1">
      <c r="A416" s="25" t="s">
        <v>492</v>
      </c>
      <c r="B416" s="25" t="s">
        <v>493</v>
      </c>
      <c r="C416" s="25" t="s">
        <v>1333</v>
      </c>
      <c r="D416" s="25"/>
      <c r="E416" s="237">
        <v>0.0</v>
      </c>
      <c r="F416" s="26" t="s">
        <v>22</v>
      </c>
      <c r="U416" s="26"/>
      <c r="V416" s="26"/>
      <c r="W416" s="26"/>
      <c r="X416" s="26"/>
      <c r="Y416" s="26"/>
      <c r="Z416" s="26"/>
      <c r="AA416" s="26"/>
      <c r="AB416" s="26"/>
    </row>
    <row r="417" ht="17.25" customHeight="1">
      <c r="A417" s="25" t="s">
        <v>501</v>
      </c>
      <c r="B417" s="25" t="s">
        <v>502</v>
      </c>
      <c r="C417" s="25" t="s">
        <v>1333</v>
      </c>
      <c r="D417" s="25"/>
      <c r="E417" s="237">
        <v>100.0</v>
      </c>
      <c r="F417" s="26" t="s">
        <v>22</v>
      </c>
      <c r="U417" s="26"/>
      <c r="V417" s="26"/>
      <c r="W417" s="26"/>
      <c r="X417" s="26"/>
      <c r="Y417" s="26"/>
      <c r="Z417" s="26"/>
      <c r="AA417" s="26"/>
      <c r="AB417" s="26"/>
    </row>
    <row r="418" ht="17.25" customHeight="1">
      <c r="A418" s="25" t="s">
        <v>584</v>
      </c>
      <c r="B418" s="25" t="s">
        <v>585</v>
      </c>
      <c r="C418" s="25" t="s">
        <v>1333</v>
      </c>
      <c r="D418" s="25"/>
      <c r="E418" s="237">
        <v>0.0</v>
      </c>
      <c r="F418" s="26" t="s">
        <v>22</v>
      </c>
      <c r="U418" s="26"/>
      <c r="V418" s="26"/>
      <c r="W418" s="26"/>
      <c r="X418" s="26"/>
      <c r="Y418" s="26"/>
      <c r="Z418" s="26"/>
      <c r="AA418" s="26"/>
      <c r="AB418" s="26"/>
    </row>
    <row r="419" ht="17.25" customHeight="1">
      <c r="A419" s="25" t="s">
        <v>1445</v>
      </c>
      <c r="B419" s="25" t="s">
        <v>1446</v>
      </c>
      <c r="C419" s="25" t="s">
        <v>1333</v>
      </c>
      <c r="D419" s="25"/>
      <c r="E419" s="237">
        <v>60000.0</v>
      </c>
      <c r="F419" s="26" t="s">
        <v>22</v>
      </c>
      <c r="U419" s="26"/>
      <c r="V419" s="26"/>
      <c r="W419" s="26"/>
      <c r="X419" s="26"/>
      <c r="Y419" s="26"/>
      <c r="Z419" s="26"/>
      <c r="AA419" s="26"/>
      <c r="AB419" s="26"/>
    </row>
    <row r="420" ht="17.25" customHeight="1">
      <c r="A420" s="25" t="s">
        <v>799</v>
      </c>
      <c r="B420" s="25" t="s">
        <v>800</v>
      </c>
      <c r="C420" s="25" t="s">
        <v>1333</v>
      </c>
      <c r="D420" s="25"/>
      <c r="E420" s="237">
        <v>0.0</v>
      </c>
      <c r="F420" s="26" t="s">
        <v>22</v>
      </c>
      <c r="U420" s="26"/>
      <c r="V420" s="26"/>
      <c r="W420" s="26"/>
      <c r="X420" s="26"/>
      <c r="Y420" s="26"/>
      <c r="Z420" s="26"/>
      <c r="AA420" s="26"/>
      <c r="AB420" s="26"/>
    </row>
    <row r="421" ht="17.25" customHeight="1">
      <c r="A421" s="25" t="s">
        <v>814</v>
      </c>
      <c r="B421" s="25" t="s">
        <v>815</v>
      </c>
      <c r="C421" s="25" t="s">
        <v>1333</v>
      </c>
      <c r="D421" s="25"/>
      <c r="E421" s="237">
        <v>2.0</v>
      </c>
      <c r="F421" s="26" t="s">
        <v>290</v>
      </c>
      <c r="U421" s="26"/>
      <c r="V421" s="26"/>
      <c r="W421" s="26"/>
      <c r="X421" s="26"/>
      <c r="Y421" s="26"/>
      <c r="Z421" s="26"/>
      <c r="AA421" s="26"/>
      <c r="AB421" s="26"/>
    </row>
    <row r="422" ht="17.25" customHeight="1">
      <c r="A422" s="25" t="s">
        <v>823</v>
      </c>
      <c r="B422" s="25" t="s">
        <v>824</v>
      </c>
      <c r="C422" s="25" t="s">
        <v>1333</v>
      </c>
      <c r="D422" s="25"/>
      <c r="E422" s="237">
        <v>0.0</v>
      </c>
      <c r="F422" s="26" t="s">
        <v>290</v>
      </c>
      <c r="U422" s="26"/>
      <c r="V422" s="26"/>
      <c r="W422" s="26"/>
      <c r="X422" s="26"/>
      <c r="Y422" s="26"/>
      <c r="Z422" s="26"/>
      <c r="AA422" s="26"/>
      <c r="AB422" s="26"/>
    </row>
    <row r="423" ht="17.25" customHeight="1">
      <c r="A423" s="25" t="s">
        <v>883</v>
      </c>
      <c r="B423" s="25" t="s">
        <v>884</v>
      </c>
      <c r="C423" s="25" t="s">
        <v>1333</v>
      </c>
      <c r="D423" s="25"/>
      <c r="E423" s="237">
        <v>0.0</v>
      </c>
      <c r="F423" s="26" t="s">
        <v>22</v>
      </c>
      <c r="U423" s="26"/>
      <c r="V423" s="26"/>
      <c r="W423" s="26"/>
      <c r="X423" s="26"/>
      <c r="Y423" s="26"/>
      <c r="Z423" s="26"/>
      <c r="AA423" s="26"/>
      <c r="AB423" s="26"/>
    </row>
    <row r="424" ht="17.25" customHeight="1">
      <c r="A424" s="25" t="s">
        <v>1505</v>
      </c>
      <c r="B424" s="25" t="s">
        <v>1506</v>
      </c>
      <c r="C424" s="25" t="s">
        <v>1333</v>
      </c>
      <c r="D424" s="25"/>
      <c r="E424" s="237">
        <v>1.0</v>
      </c>
      <c r="F424" s="26" t="s">
        <v>290</v>
      </c>
      <c r="U424" s="26"/>
      <c r="V424" s="26"/>
      <c r="W424" s="26"/>
      <c r="X424" s="26"/>
      <c r="Y424" s="26"/>
      <c r="Z424" s="26"/>
      <c r="AA424" s="26"/>
      <c r="AB424" s="26"/>
    </row>
    <row r="425" ht="17.25" customHeight="1">
      <c r="A425" s="25" t="s">
        <v>1509</v>
      </c>
      <c r="B425" s="25" t="s">
        <v>1510</v>
      </c>
      <c r="C425" s="25" t="s">
        <v>1333</v>
      </c>
      <c r="D425" s="25"/>
      <c r="E425" s="237">
        <v>1.0</v>
      </c>
      <c r="F425" s="26" t="s">
        <v>290</v>
      </c>
      <c r="U425" s="26"/>
      <c r="V425" s="26"/>
      <c r="W425" s="26"/>
      <c r="X425" s="26"/>
      <c r="Y425" s="26"/>
      <c r="Z425" s="26"/>
      <c r="AA425" s="26"/>
      <c r="AB425" s="26"/>
    </row>
    <row r="426" ht="17.25" customHeight="1">
      <c r="A426" s="25" t="s">
        <v>1333</v>
      </c>
      <c r="B426" s="25" t="s">
        <v>1333</v>
      </c>
      <c r="C426" s="25" t="s">
        <v>1333</v>
      </c>
      <c r="D426" s="25"/>
      <c r="F426" s="26"/>
      <c r="U426" s="26"/>
      <c r="V426" s="26"/>
      <c r="W426" s="26"/>
      <c r="X426" s="26"/>
      <c r="Y426" s="26"/>
      <c r="Z426" s="26"/>
      <c r="AA426" s="26"/>
      <c r="AB426" s="26"/>
    </row>
    <row r="427" ht="17.25" customHeight="1">
      <c r="A427" s="25" t="s">
        <v>1333</v>
      </c>
      <c r="B427" s="25" t="s">
        <v>1333</v>
      </c>
      <c r="C427" s="25" t="s">
        <v>1333</v>
      </c>
      <c r="D427" s="25"/>
      <c r="F427" s="26"/>
      <c r="U427" s="26"/>
      <c r="V427" s="26"/>
      <c r="W427" s="26"/>
      <c r="X427" s="26"/>
      <c r="Y427" s="26"/>
      <c r="Z427" s="26"/>
      <c r="AA427" s="26"/>
      <c r="AB427" s="26"/>
    </row>
    <row r="428" ht="17.25" customHeight="1">
      <c r="A428" s="25" t="s">
        <v>1333</v>
      </c>
      <c r="B428" s="25" t="s">
        <v>1333</v>
      </c>
      <c r="C428" s="25" t="s">
        <v>1333</v>
      </c>
      <c r="D428" s="25"/>
      <c r="F428" s="26"/>
      <c r="U428" s="26"/>
      <c r="V428" s="26"/>
      <c r="W428" s="26"/>
      <c r="X428" s="26"/>
      <c r="Y428" s="26"/>
      <c r="Z428" s="26"/>
      <c r="AA428" s="26"/>
      <c r="AB428" s="26"/>
    </row>
    <row r="429" ht="17.25" customHeight="1">
      <c r="A429" s="25" t="s">
        <v>1333</v>
      </c>
      <c r="B429" s="25" t="s">
        <v>1333</v>
      </c>
      <c r="C429" s="25" t="s">
        <v>1333</v>
      </c>
      <c r="D429" s="25"/>
      <c r="F429" s="26"/>
      <c r="U429" s="26"/>
      <c r="V429" s="26"/>
      <c r="W429" s="26"/>
      <c r="X429" s="26"/>
      <c r="Y429" s="26"/>
      <c r="Z429" s="26"/>
      <c r="AA429" s="26"/>
      <c r="AB429" s="26"/>
    </row>
    <row r="430" ht="17.25" customHeight="1">
      <c r="A430" s="25" t="s">
        <v>1333</v>
      </c>
      <c r="B430" s="25" t="s">
        <v>1333</v>
      </c>
      <c r="C430" s="25" t="s">
        <v>1333</v>
      </c>
      <c r="D430" s="25"/>
      <c r="F430" s="26"/>
      <c r="U430" s="26"/>
      <c r="V430" s="26"/>
      <c r="W430" s="26"/>
      <c r="X430" s="26"/>
      <c r="Y430" s="26"/>
      <c r="Z430" s="26"/>
      <c r="AA430" s="26"/>
      <c r="AB430" s="26"/>
    </row>
    <row r="431" ht="17.25" customHeight="1">
      <c r="A431" s="25" t="s">
        <v>1333</v>
      </c>
      <c r="B431" s="25" t="s">
        <v>1333</v>
      </c>
      <c r="C431" s="25" t="s">
        <v>1333</v>
      </c>
      <c r="D431" s="25"/>
      <c r="F431" s="26"/>
      <c r="U431" s="26"/>
      <c r="V431" s="26"/>
      <c r="W431" s="26"/>
      <c r="X431" s="26"/>
      <c r="Y431" s="26"/>
      <c r="Z431" s="26"/>
      <c r="AA431" s="26"/>
      <c r="AB431" s="26"/>
    </row>
    <row r="432" ht="17.25" customHeight="1">
      <c r="A432" s="25" t="s">
        <v>1333</v>
      </c>
      <c r="B432" s="25" t="s">
        <v>1333</v>
      </c>
      <c r="C432" s="25" t="s">
        <v>1333</v>
      </c>
      <c r="D432" s="25"/>
      <c r="F432" s="26"/>
      <c r="U432" s="26"/>
      <c r="V432" s="26"/>
      <c r="W432" s="26"/>
      <c r="X432" s="26"/>
      <c r="Y432" s="26"/>
      <c r="Z432" s="26"/>
      <c r="AA432" s="26"/>
      <c r="AB432" s="26"/>
    </row>
    <row r="433" ht="17.25" customHeight="1">
      <c r="A433" s="25" t="s">
        <v>1333</v>
      </c>
      <c r="B433" s="25" t="s">
        <v>1333</v>
      </c>
      <c r="C433" s="25" t="s">
        <v>1333</v>
      </c>
      <c r="D433" s="25"/>
      <c r="F433" s="26"/>
      <c r="U433" s="26"/>
      <c r="V433" s="26"/>
      <c r="W433" s="26"/>
      <c r="X433" s="26"/>
      <c r="Y433" s="26"/>
      <c r="Z433" s="26"/>
      <c r="AA433" s="26"/>
      <c r="AB433" s="26"/>
    </row>
    <row r="434" ht="17.25" customHeight="1">
      <c r="A434" s="25" t="s">
        <v>1333</v>
      </c>
      <c r="B434" s="25" t="s">
        <v>1333</v>
      </c>
      <c r="C434" s="25" t="s">
        <v>1333</v>
      </c>
      <c r="D434" s="25"/>
      <c r="F434" s="26"/>
      <c r="U434" s="26"/>
      <c r="V434" s="26"/>
      <c r="W434" s="26"/>
      <c r="X434" s="26"/>
      <c r="Y434" s="26"/>
      <c r="Z434" s="26"/>
      <c r="AA434" s="26"/>
      <c r="AB434" s="26"/>
    </row>
    <row r="435" ht="17.25" customHeight="1">
      <c r="A435" s="25" t="s">
        <v>1333</v>
      </c>
      <c r="B435" s="25" t="s">
        <v>1333</v>
      </c>
      <c r="C435" s="25" t="s">
        <v>1333</v>
      </c>
      <c r="D435" s="25"/>
      <c r="F435" s="26"/>
      <c r="U435" s="26"/>
      <c r="V435" s="26"/>
      <c r="W435" s="26"/>
      <c r="X435" s="26"/>
      <c r="Y435" s="26"/>
      <c r="Z435" s="26"/>
      <c r="AA435" s="26"/>
      <c r="AB435" s="26"/>
    </row>
    <row r="436" ht="17.25" customHeight="1">
      <c r="A436" s="25" t="s">
        <v>1333</v>
      </c>
      <c r="B436" s="25" t="s">
        <v>1333</v>
      </c>
      <c r="C436" s="25" t="s">
        <v>1333</v>
      </c>
      <c r="D436" s="25"/>
      <c r="F436" s="26"/>
      <c r="U436" s="26"/>
      <c r="V436" s="26"/>
      <c r="W436" s="26"/>
      <c r="X436" s="26"/>
      <c r="Y436" s="26"/>
      <c r="Z436" s="26"/>
      <c r="AA436" s="26"/>
      <c r="AB436" s="26"/>
    </row>
    <row r="437" ht="17.25" customHeight="1">
      <c r="A437" s="25" t="s">
        <v>1333</v>
      </c>
      <c r="B437" s="25" t="s">
        <v>1333</v>
      </c>
      <c r="C437" s="25" t="s">
        <v>1333</v>
      </c>
      <c r="D437" s="25"/>
      <c r="F437" s="26"/>
      <c r="U437" s="26"/>
      <c r="V437" s="26"/>
      <c r="W437" s="26"/>
      <c r="X437" s="26"/>
      <c r="Y437" s="26"/>
      <c r="Z437" s="26"/>
      <c r="AA437" s="26"/>
      <c r="AB437" s="26"/>
    </row>
    <row r="438" ht="17.25" customHeight="1">
      <c r="A438" s="25" t="s">
        <v>1333</v>
      </c>
      <c r="B438" s="25" t="s">
        <v>1333</v>
      </c>
      <c r="C438" s="25" t="s">
        <v>1333</v>
      </c>
      <c r="D438" s="25"/>
      <c r="F438" s="26"/>
      <c r="U438" s="26"/>
      <c r="V438" s="26"/>
      <c r="W438" s="26"/>
      <c r="X438" s="26"/>
      <c r="Y438" s="26"/>
      <c r="Z438" s="26"/>
      <c r="AA438" s="26"/>
      <c r="AB438" s="26"/>
    </row>
    <row r="439" ht="17.25" customHeight="1">
      <c r="A439" s="25" t="s">
        <v>1333</v>
      </c>
      <c r="B439" s="25" t="s">
        <v>1333</v>
      </c>
      <c r="C439" s="25" t="s">
        <v>1333</v>
      </c>
      <c r="D439" s="25"/>
      <c r="F439" s="26"/>
      <c r="U439" s="26"/>
      <c r="V439" s="26"/>
      <c r="W439" s="26"/>
      <c r="X439" s="26"/>
      <c r="Y439" s="26"/>
      <c r="Z439" s="26"/>
      <c r="AA439" s="26"/>
      <c r="AB439" s="26"/>
    </row>
    <row r="440" ht="17.25" customHeight="1">
      <c r="A440" s="25" t="s">
        <v>1333</v>
      </c>
      <c r="B440" s="25" t="s">
        <v>1333</v>
      </c>
      <c r="C440" s="25" t="s">
        <v>1333</v>
      </c>
      <c r="D440" s="25"/>
      <c r="F440" s="26"/>
      <c r="U440" s="26"/>
      <c r="V440" s="26"/>
      <c r="W440" s="26"/>
      <c r="X440" s="26"/>
      <c r="Y440" s="26"/>
      <c r="Z440" s="26"/>
      <c r="AA440" s="26"/>
      <c r="AB440" s="26"/>
    </row>
    <row r="441" ht="17.25" customHeight="1">
      <c r="A441" s="25" t="s">
        <v>1333</v>
      </c>
      <c r="B441" s="25" t="s">
        <v>1333</v>
      </c>
      <c r="C441" s="25" t="s">
        <v>1333</v>
      </c>
      <c r="D441" s="25"/>
      <c r="F441" s="26"/>
      <c r="U441" s="26"/>
      <c r="V441" s="26"/>
      <c r="W441" s="26"/>
      <c r="X441" s="26"/>
      <c r="Y441" s="26"/>
      <c r="Z441" s="26"/>
      <c r="AA441" s="26"/>
      <c r="AB441" s="26"/>
    </row>
    <row r="442" ht="17.25" customHeight="1">
      <c r="A442" s="25" t="s">
        <v>1333</v>
      </c>
      <c r="B442" s="25" t="s">
        <v>1333</v>
      </c>
      <c r="C442" s="25" t="s">
        <v>1333</v>
      </c>
      <c r="D442" s="25"/>
      <c r="F442" s="26"/>
      <c r="U442" s="26"/>
      <c r="V442" s="26"/>
      <c r="W442" s="26"/>
      <c r="X442" s="26"/>
      <c r="Y442" s="26"/>
      <c r="Z442" s="26"/>
      <c r="AA442" s="26"/>
      <c r="AB442" s="26"/>
    </row>
    <row r="443" ht="17.25" customHeight="1">
      <c r="A443" s="25" t="s">
        <v>1333</v>
      </c>
      <c r="B443" s="25" t="s">
        <v>1333</v>
      </c>
      <c r="C443" s="25" t="s">
        <v>1333</v>
      </c>
      <c r="D443" s="25"/>
      <c r="F443" s="26"/>
      <c r="U443" s="26"/>
      <c r="V443" s="26"/>
      <c r="W443" s="26"/>
      <c r="X443" s="26"/>
      <c r="Y443" s="26"/>
      <c r="Z443" s="26"/>
      <c r="AA443" s="26"/>
      <c r="AB443" s="26"/>
    </row>
    <row r="444" ht="17.25" customHeight="1">
      <c r="A444" s="25" t="s">
        <v>1333</v>
      </c>
      <c r="B444" s="25" t="s">
        <v>1333</v>
      </c>
      <c r="C444" s="25" t="s">
        <v>1333</v>
      </c>
      <c r="D444" s="25"/>
      <c r="F444" s="26"/>
      <c r="U444" s="26"/>
      <c r="V444" s="26"/>
      <c r="W444" s="26"/>
      <c r="X444" s="26"/>
      <c r="Y444" s="26"/>
      <c r="Z444" s="26"/>
      <c r="AA444" s="26"/>
      <c r="AB444" s="26"/>
    </row>
    <row r="445" ht="17.25" customHeight="1">
      <c r="A445" s="25" t="s">
        <v>1333</v>
      </c>
      <c r="B445" s="25" t="s">
        <v>1333</v>
      </c>
      <c r="C445" s="25" t="s">
        <v>1333</v>
      </c>
      <c r="D445" s="25"/>
      <c r="F445" s="26"/>
      <c r="U445" s="26"/>
      <c r="V445" s="26"/>
      <c r="W445" s="26"/>
      <c r="X445" s="26"/>
      <c r="Y445" s="26"/>
      <c r="Z445" s="26"/>
      <c r="AA445" s="26"/>
      <c r="AB445" s="26"/>
    </row>
    <row r="446" ht="17.25" customHeight="1">
      <c r="A446" s="25" t="s">
        <v>1333</v>
      </c>
      <c r="B446" s="25" t="s">
        <v>1333</v>
      </c>
      <c r="C446" s="25" t="s">
        <v>1333</v>
      </c>
      <c r="D446" s="25"/>
      <c r="F446" s="26"/>
      <c r="U446" s="26"/>
      <c r="V446" s="26"/>
      <c r="W446" s="26"/>
      <c r="X446" s="26"/>
      <c r="Y446" s="26"/>
      <c r="Z446" s="26"/>
      <c r="AA446" s="26"/>
      <c r="AB446" s="26"/>
    </row>
    <row r="447" ht="17.25" customHeight="1">
      <c r="A447" s="25" t="s">
        <v>1333</v>
      </c>
      <c r="B447" s="25" t="s">
        <v>1333</v>
      </c>
      <c r="C447" s="25" t="s">
        <v>1333</v>
      </c>
      <c r="D447" s="25"/>
      <c r="F447" s="26"/>
      <c r="U447" s="26"/>
      <c r="V447" s="26"/>
      <c r="W447" s="26"/>
      <c r="X447" s="26"/>
      <c r="Y447" s="26"/>
      <c r="Z447" s="26"/>
      <c r="AA447" s="26"/>
      <c r="AB447" s="26"/>
    </row>
    <row r="448" ht="17.25" customHeight="1">
      <c r="A448" s="25" t="s">
        <v>1333</v>
      </c>
      <c r="B448" s="25" t="s">
        <v>1333</v>
      </c>
      <c r="C448" s="25" t="s">
        <v>1333</v>
      </c>
      <c r="D448" s="25"/>
      <c r="F448" s="26"/>
      <c r="U448" s="26"/>
      <c r="V448" s="26"/>
      <c r="W448" s="26"/>
      <c r="X448" s="26"/>
      <c r="Y448" s="26"/>
      <c r="Z448" s="26"/>
      <c r="AA448" s="26"/>
      <c r="AB448" s="26"/>
    </row>
    <row r="449" ht="17.25" customHeight="1">
      <c r="A449" s="25" t="s">
        <v>1333</v>
      </c>
      <c r="B449" s="25" t="s">
        <v>1333</v>
      </c>
      <c r="C449" s="25" t="s">
        <v>1333</v>
      </c>
      <c r="D449" s="25"/>
      <c r="F449" s="26"/>
      <c r="U449" s="26"/>
      <c r="V449" s="26"/>
      <c r="W449" s="26"/>
      <c r="X449" s="26"/>
      <c r="Y449" s="26"/>
      <c r="Z449" s="26"/>
      <c r="AA449" s="26"/>
      <c r="AB449" s="26"/>
    </row>
    <row r="450" ht="17.25" customHeight="1">
      <c r="A450" s="25" t="s">
        <v>1333</v>
      </c>
      <c r="B450" s="25" t="s">
        <v>1333</v>
      </c>
      <c r="C450" s="25" t="s">
        <v>1333</v>
      </c>
      <c r="D450" s="25"/>
      <c r="F450" s="26"/>
      <c r="U450" s="26"/>
      <c r="V450" s="26"/>
      <c r="W450" s="26"/>
      <c r="X450" s="26"/>
      <c r="Y450" s="26"/>
      <c r="Z450" s="26"/>
      <c r="AA450" s="26"/>
      <c r="AB450" s="26"/>
    </row>
    <row r="451" ht="17.25" customHeight="1">
      <c r="A451" s="25" t="s">
        <v>1333</v>
      </c>
      <c r="B451" s="25" t="s">
        <v>1333</v>
      </c>
      <c r="C451" s="25" t="s">
        <v>1333</v>
      </c>
      <c r="D451" s="25"/>
      <c r="F451" s="26"/>
      <c r="U451" s="26"/>
      <c r="V451" s="26"/>
      <c r="W451" s="26"/>
      <c r="X451" s="26"/>
      <c r="Y451" s="26"/>
      <c r="Z451" s="26"/>
      <c r="AA451" s="26"/>
      <c r="AB451" s="26"/>
    </row>
    <row r="452" ht="17.25" customHeight="1">
      <c r="A452" s="25" t="s">
        <v>1333</v>
      </c>
      <c r="B452" s="25" t="s">
        <v>1333</v>
      </c>
      <c r="C452" s="25" t="s">
        <v>1333</v>
      </c>
      <c r="D452" s="25"/>
      <c r="F452" s="26"/>
      <c r="U452" s="26"/>
      <c r="V452" s="26"/>
      <c r="W452" s="26"/>
      <c r="X452" s="26"/>
      <c r="Y452" s="26"/>
      <c r="Z452" s="26"/>
      <c r="AA452" s="26"/>
      <c r="AB452" s="26"/>
    </row>
    <row r="453" ht="17.25" customHeight="1">
      <c r="A453" s="25" t="s">
        <v>1333</v>
      </c>
      <c r="B453" s="25" t="s">
        <v>1333</v>
      </c>
      <c r="C453" s="25" t="s">
        <v>1333</v>
      </c>
      <c r="D453" s="25"/>
      <c r="F453" s="26"/>
      <c r="U453" s="26"/>
      <c r="V453" s="26"/>
      <c r="W453" s="26"/>
      <c r="X453" s="26"/>
      <c r="Y453" s="26"/>
      <c r="Z453" s="26"/>
      <c r="AA453" s="26"/>
      <c r="AB453" s="26"/>
    </row>
    <row r="454" ht="17.25" customHeight="1">
      <c r="A454" s="25" t="s">
        <v>1333</v>
      </c>
      <c r="B454" s="25" t="s">
        <v>1333</v>
      </c>
      <c r="C454" s="25" t="s">
        <v>1333</v>
      </c>
      <c r="D454" s="25"/>
      <c r="F454" s="26"/>
      <c r="U454" s="26"/>
      <c r="V454" s="26"/>
      <c r="W454" s="26"/>
      <c r="X454" s="26"/>
      <c r="Y454" s="26"/>
      <c r="Z454" s="26"/>
      <c r="AA454" s="26"/>
      <c r="AB454" s="26"/>
    </row>
    <row r="455" ht="17.25" customHeight="1">
      <c r="A455" s="25" t="s">
        <v>1333</v>
      </c>
      <c r="B455" s="25" t="s">
        <v>1333</v>
      </c>
      <c r="C455" s="25" t="s">
        <v>1333</v>
      </c>
      <c r="D455" s="25"/>
      <c r="F455" s="26"/>
      <c r="U455" s="26"/>
      <c r="V455" s="26"/>
      <c r="W455" s="26"/>
      <c r="X455" s="26"/>
      <c r="Y455" s="26"/>
      <c r="Z455" s="26"/>
      <c r="AA455" s="26"/>
      <c r="AB455" s="26"/>
    </row>
    <row r="456" ht="17.25" customHeight="1">
      <c r="A456" s="25" t="s">
        <v>1333</v>
      </c>
      <c r="B456" s="25" t="s">
        <v>1333</v>
      </c>
      <c r="C456" s="25" t="s">
        <v>1333</v>
      </c>
      <c r="D456" s="25"/>
      <c r="F456" s="26"/>
      <c r="U456" s="26"/>
      <c r="V456" s="26"/>
      <c r="W456" s="26"/>
      <c r="X456" s="26"/>
      <c r="Y456" s="26"/>
      <c r="Z456" s="26"/>
      <c r="AA456" s="26"/>
      <c r="AB456" s="26"/>
    </row>
    <row r="457" ht="17.25" customHeight="1">
      <c r="A457" s="25" t="s">
        <v>1333</v>
      </c>
      <c r="B457" s="25" t="s">
        <v>1333</v>
      </c>
      <c r="C457" s="25" t="s">
        <v>1333</v>
      </c>
      <c r="D457" s="25"/>
      <c r="F457" s="26"/>
      <c r="U457" s="26"/>
      <c r="V457" s="26"/>
      <c r="W457" s="26"/>
      <c r="X457" s="26"/>
      <c r="Y457" s="26"/>
      <c r="Z457" s="26"/>
      <c r="AA457" s="26"/>
      <c r="AB457" s="26"/>
    </row>
    <row r="458" ht="17.25" customHeight="1">
      <c r="A458" s="25" t="s">
        <v>1333</v>
      </c>
      <c r="B458" s="25" t="s">
        <v>1333</v>
      </c>
      <c r="C458" s="25" t="s">
        <v>1333</v>
      </c>
      <c r="D458" s="25"/>
      <c r="F458" s="26"/>
      <c r="U458" s="26"/>
      <c r="V458" s="26"/>
      <c r="W458" s="26"/>
      <c r="X458" s="26"/>
      <c r="Y458" s="26"/>
      <c r="Z458" s="26"/>
      <c r="AA458" s="26"/>
      <c r="AB458" s="26"/>
    </row>
    <row r="459" ht="17.25" customHeight="1">
      <c r="A459" s="25" t="s">
        <v>1333</v>
      </c>
      <c r="B459" s="25" t="s">
        <v>1333</v>
      </c>
      <c r="C459" s="25" t="s">
        <v>1333</v>
      </c>
      <c r="D459" s="25"/>
      <c r="F459" s="26"/>
      <c r="U459" s="26"/>
      <c r="V459" s="26"/>
      <c r="W459" s="26"/>
      <c r="X459" s="26"/>
      <c r="Y459" s="26"/>
      <c r="Z459" s="26"/>
      <c r="AA459" s="26"/>
      <c r="AB459" s="26"/>
    </row>
    <row r="460" ht="17.25" customHeight="1">
      <c r="A460" s="25" t="s">
        <v>1333</v>
      </c>
      <c r="B460" s="25" t="s">
        <v>1333</v>
      </c>
      <c r="C460" s="25" t="s">
        <v>1333</v>
      </c>
      <c r="D460" s="25"/>
      <c r="F460" s="26"/>
      <c r="U460" s="26"/>
      <c r="V460" s="26"/>
      <c r="W460" s="26"/>
      <c r="X460" s="26"/>
      <c r="Y460" s="26"/>
      <c r="Z460" s="26"/>
      <c r="AA460" s="26"/>
      <c r="AB460" s="26"/>
    </row>
    <row r="461" ht="17.25" customHeight="1">
      <c r="A461" s="25" t="s">
        <v>1333</v>
      </c>
      <c r="B461" s="25" t="s">
        <v>1333</v>
      </c>
      <c r="C461" s="25" t="s">
        <v>1333</v>
      </c>
      <c r="D461" s="25"/>
      <c r="F461" s="26"/>
      <c r="U461" s="26"/>
      <c r="V461" s="26"/>
      <c r="W461" s="26"/>
      <c r="X461" s="26"/>
      <c r="Y461" s="26"/>
      <c r="Z461" s="26"/>
      <c r="AA461" s="26"/>
      <c r="AB461" s="26"/>
    </row>
    <row r="462" ht="17.25" customHeight="1">
      <c r="A462" s="25" t="s">
        <v>1333</v>
      </c>
      <c r="B462" s="25" t="s">
        <v>1333</v>
      </c>
      <c r="C462" s="25" t="s">
        <v>1333</v>
      </c>
      <c r="D462" s="25"/>
      <c r="F462" s="26"/>
      <c r="U462" s="26"/>
      <c r="V462" s="26"/>
      <c r="W462" s="26"/>
      <c r="X462" s="26"/>
      <c r="Y462" s="26"/>
      <c r="Z462" s="26"/>
      <c r="AA462" s="26"/>
      <c r="AB462" s="26"/>
    </row>
    <row r="463" ht="17.25" customHeight="1">
      <c r="A463" s="25" t="s">
        <v>1333</v>
      </c>
      <c r="B463" s="25" t="s">
        <v>1333</v>
      </c>
      <c r="C463" s="25" t="s">
        <v>1333</v>
      </c>
      <c r="D463" s="25"/>
      <c r="F463" s="26"/>
      <c r="U463" s="26"/>
      <c r="V463" s="26"/>
      <c r="W463" s="26"/>
      <c r="X463" s="26"/>
      <c r="Y463" s="26"/>
      <c r="Z463" s="26"/>
      <c r="AA463" s="26"/>
      <c r="AB463" s="26"/>
    </row>
    <row r="464" ht="17.25" customHeight="1">
      <c r="A464" s="25" t="s">
        <v>1333</v>
      </c>
      <c r="B464" s="25" t="s">
        <v>1333</v>
      </c>
      <c r="C464" s="25" t="s">
        <v>1333</v>
      </c>
      <c r="D464" s="25"/>
      <c r="F464" s="26"/>
      <c r="U464" s="26"/>
      <c r="V464" s="26"/>
      <c r="W464" s="26"/>
      <c r="X464" s="26"/>
      <c r="Y464" s="26"/>
      <c r="Z464" s="26"/>
      <c r="AA464" s="26"/>
      <c r="AB464" s="26"/>
    </row>
    <row r="465" ht="17.25" customHeight="1">
      <c r="A465" s="25" t="s">
        <v>1333</v>
      </c>
      <c r="B465" s="25" t="s">
        <v>1333</v>
      </c>
      <c r="C465" s="25" t="s">
        <v>1333</v>
      </c>
      <c r="D465" s="25"/>
      <c r="F465" s="26"/>
      <c r="U465" s="26"/>
      <c r="V465" s="26"/>
      <c r="W465" s="26"/>
      <c r="X465" s="26"/>
      <c r="Y465" s="26"/>
      <c r="Z465" s="26"/>
      <c r="AA465" s="26"/>
      <c r="AB465" s="26"/>
    </row>
    <row r="466" ht="17.25" customHeight="1">
      <c r="A466" s="25" t="s">
        <v>1333</v>
      </c>
      <c r="B466" s="25" t="s">
        <v>1333</v>
      </c>
      <c r="C466" s="25" t="s">
        <v>1333</v>
      </c>
      <c r="D466" s="25"/>
      <c r="F466" s="26"/>
      <c r="U466" s="26"/>
      <c r="V466" s="26"/>
      <c r="W466" s="26"/>
      <c r="X466" s="26"/>
      <c r="Y466" s="26"/>
      <c r="Z466" s="26"/>
      <c r="AA466" s="26"/>
      <c r="AB466" s="26"/>
    </row>
    <row r="467" ht="17.25" customHeight="1">
      <c r="A467" s="25" t="s">
        <v>1333</v>
      </c>
      <c r="B467" s="25" t="s">
        <v>1333</v>
      </c>
      <c r="C467" s="25" t="s">
        <v>1333</v>
      </c>
      <c r="D467" s="25"/>
      <c r="F467" s="26"/>
      <c r="U467" s="26"/>
      <c r="V467" s="26"/>
      <c r="W467" s="26"/>
      <c r="X467" s="26"/>
      <c r="Y467" s="26"/>
      <c r="Z467" s="26"/>
      <c r="AA467" s="26"/>
      <c r="AB467" s="26"/>
    </row>
    <row r="468" ht="17.25" customHeight="1">
      <c r="A468" s="25" t="s">
        <v>1333</v>
      </c>
      <c r="B468" s="25" t="s">
        <v>1333</v>
      </c>
      <c r="C468" s="25" t="s">
        <v>1333</v>
      </c>
      <c r="D468" s="25"/>
      <c r="F468" s="26"/>
      <c r="U468" s="26"/>
      <c r="V468" s="26"/>
      <c r="W468" s="26"/>
      <c r="X468" s="26"/>
      <c r="Y468" s="26"/>
      <c r="Z468" s="26"/>
      <c r="AA468" s="26"/>
      <c r="AB468" s="26"/>
    </row>
    <row r="469" ht="17.25" customHeight="1">
      <c r="A469" s="25" t="s">
        <v>1333</v>
      </c>
      <c r="B469" s="25" t="s">
        <v>1333</v>
      </c>
      <c r="C469" s="25" t="s">
        <v>1333</v>
      </c>
      <c r="D469" s="25"/>
      <c r="F469" s="26"/>
      <c r="U469" s="26"/>
      <c r="V469" s="26"/>
      <c r="W469" s="26"/>
      <c r="X469" s="26"/>
      <c r="Y469" s="26"/>
      <c r="Z469" s="26"/>
      <c r="AA469" s="26"/>
      <c r="AB469" s="26"/>
    </row>
    <row r="470" ht="17.25" customHeight="1">
      <c r="A470" s="25" t="s">
        <v>1333</v>
      </c>
      <c r="B470" s="25" t="s">
        <v>1333</v>
      </c>
      <c r="C470" s="25" t="s">
        <v>1333</v>
      </c>
      <c r="D470" s="25"/>
      <c r="F470" s="26"/>
      <c r="U470" s="26"/>
      <c r="V470" s="26"/>
      <c r="W470" s="26"/>
      <c r="X470" s="26"/>
      <c r="Y470" s="26"/>
      <c r="Z470" s="26"/>
      <c r="AA470" s="26"/>
      <c r="AB470" s="26"/>
    </row>
    <row r="471" ht="17.25" customHeight="1">
      <c r="A471" s="25" t="s">
        <v>1333</v>
      </c>
      <c r="B471" s="25" t="s">
        <v>1333</v>
      </c>
      <c r="C471" s="25" t="s">
        <v>1333</v>
      </c>
      <c r="D471" s="25"/>
      <c r="F471" s="26"/>
      <c r="U471" s="26"/>
      <c r="V471" s="26"/>
      <c r="W471" s="26"/>
      <c r="X471" s="26"/>
      <c r="Y471" s="26"/>
      <c r="Z471" s="26"/>
      <c r="AA471" s="26"/>
      <c r="AB471" s="26"/>
    </row>
    <row r="472" ht="17.25" customHeight="1">
      <c r="A472" s="25" t="s">
        <v>1333</v>
      </c>
      <c r="B472" s="25" t="s">
        <v>1333</v>
      </c>
      <c r="C472" s="25" t="s">
        <v>1333</v>
      </c>
      <c r="D472" s="25"/>
      <c r="F472" s="26"/>
      <c r="U472" s="26"/>
      <c r="V472" s="26"/>
      <c r="W472" s="26"/>
      <c r="X472" s="26"/>
      <c r="Y472" s="26"/>
      <c r="Z472" s="26"/>
      <c r="AA472" s="26"/>
      <c r="AB472" s="26"/>
    </row>
    <row r="473" ht="17.25" customHeight="1">
      <c r="A473" s="25" t="s">
        <v>1333</v>
      </c>
      <c r="B473" s="25" t="s">
        <v>1333</v>
      </c>
      <c r="C473" s="25" t="s">
        <v>1333</v>
      </c>
      <c r="D473" s="25"/>
      <c r="F473" s="26"/>
      <c r="U473" s="26"/>
      <c r="V473" s="26"/>
      <c r="W473" s="26"/>
      <c r="X473" s="26"/>
      <c r="Y473" s="26"/>
      <c r="Z473" s="26"/>
      <c r="AA473" s="26"/>
      <c r="AB473" s="26"/>
    </row>
    <row r="474" ht="17.25" customHeight="1">
      <c r="A474" s="25" t="s">
        <v>1333</v>
      </c>
      <c r="B474" s="25" t="s">
        <v>1333</v>
      </c>
      <c r="C474" s="25" t="s">
        <v>1333</v>
      </c>
      <c r="D474" s="25"/>
      <c r="F474" s="26"/>
      <c r="U474" s="26"/>
      <c r="V474" s="26"/>
      <c r="W474" s="26"/>
      <c r="X474" s="26"/>
      <c r="Y474" s="26"/>
      <c r="Z474" s="26"/>
      <c r="AA474" s="26"/>
      <c r="AB474" s="26"/>
    </row>
    <row r="475" ht="17.25" customHeight="1">
      <c r="A475" s="25" t="s">
        <v>1333</v>
      </c>
      <c r="B475" s="25" t="s">
        <v>1333</v>
      </c>
      <c r="C475" s="25" t="s">
        <v>1333</v>
      </c>
      <c r="D475" s="25"/>
      <c r="F475" s="26"/>
      <c r="U475" s="26"/>
      <c r="V475" s="26"/>
      <c r="W475" s="26"/>
      <c r="X475" s="26"/>
      <c r="Y475" s="26"/>
      <c r="Z475" s="26"/>
      <c r="AA475" s="26"/>
      <c r="AB475" s="26"/>
    </row>
    <row r="476" ht="17.25" customHeight="1">
      <c r="A476" s="25" t="s">
        <v>1333</v>
      </c>
      <c r="B476" s="25" t="s">
        <v>1333</v>
      </c>
      <c r="C476" s="25" t="s">
        <v>1333</v>
      </c>
      <c r="D476" s="25"/>
      <c r="F476" s="26"/>
      <c r="U476" s="26"/>
      <c r="V476" s="26"/>
      <c r="W476" s="26"/>
      <c r="X476" s="26"/>
      <c r="Y476" s="26"/>
      <c r="Z476" s="26"/>
      <c r="AA476" s="26"/>
      <c r="AB476" s="26"/>
    </row>
    <row r="477" ht="17.25" customHeight="1">
      <c r="A477" s="25" t="s">
        <v>1333</v>
      </c>
      <c r="B477" s="25" t="s">
        <v>1333</v>
      </c>
      <c r="C477" s="25" t="s">
        <v>1333</v>
      </c>
      <c r="D477" s="25"/>
      <c r="F477" s="26"/>
      <c r="U477" s="26"/>
      <c r="V477" s="26"/>
      <c r="W477" s="26"/>
      <c r="X477" s="26"/>
      <c r="Y477" s="26"/>
      <c r="Z477" s="26"/>
      <c r="AA477" s="26"/>
      <c r="AB477" s="26"/>
    </row>
    <row r="478" ht="17.25" customHeight="1">
      <c r="A478" s="25" t="s">
        <v>1333</v>
      </c>
      <c r="B478" s="25" t="s">
        <v>1333</v>
      </c>
      <c r="C478" s="25" t="s">
        <v>1333</v>
      </c>
      <c r="D478" s="25"/>
      <c r="F478" s="26"/>
      <c r="U478" s="26"/>
      <c r="V478" s="26"/>
      <c r="W478" s="26"/>
      <c r="X478" s="26"/>
      <c r="Y478" s="26"/>
      <c r="Z478" s="26"/>
      <c r="AA478" s="26"/>
      <c r="AB478" s="26"/>
    </row>
    <row r="479" ht="17.25" customHeight="1">
      <c r="A479" s="25" t="s">
        <v>1333</v>
      </c>
      <c r="B479" s="25" t="s">
        <v>1333</v>
      </c>
      <c r="C479" s="25" t="s">
        <v>1333</v>
      </c>
      <c r="D479" s="25"/>
      <c r="F479" s="26"/>
      <c r="U479" s="26"/>
      <c r="V479" s="26"/>
      <c r="W479" s="26"/>
      <c r="X479" s="26"/>
      <c r="Y479" s="26"/>
      <c r="Z479" s="26"/>
      <c r="AA479" s="26"/>
      <c r="AB479" s="26"/>
    </row>
    <row r="480" ht="17.25" customHeight="1">
      <c r="A480" s="25" t="s">
        <v>1333</v>
      </c>
      <c r="B480" s="25" t="s">
        <v>1333</v>
      </c>
      <c r="C480" s="25" t="s">
        <v>1333</v>
      </c>
      <c r="D480" s="25"/>
      <c r="F480" s="26"/>
      <c r="U480" s="26"/>
      <c r="V480" s="26"/>
      <c r="W480" s="26"/>
      <c r="X480" s="26"/>
      <c r="Y480" s="26"/>
      <c r="Z480" s="26"/>
      <c r="AA480" s="26"/>
      <c r="AB480" s="26"/>
    </row>
    <row r="481" ht="17.25" customHeight="1">
      <c r="A481" s="25" t="s">
        <v>1333</v>
      </c>
      <c r="B481" s="25" t="s">
        <v>1333</v>
      </c>
      <c r="C481" s="25" t="s">
        <v>1333</v>
      </c>
      <c r="D481" s="25"/>
      <c r="F481" s="26"/>
      <c r="U481" s="26"/>
      <c r="V481" s="26"/>
      <c r="W481" s="26"/>
      <c r="X481" s="26"/>
      <c r="Y481" s="26"/>
      <c r="Z481" s="26"/>
      <c r="AA481" s="26"/>
      <c r="AB481" s="26"/>
    </row>
    <row r="482" ht="17.25" customHeight="1">
      <c r="A482" s="25" t="s">
        <v>1333</v>
      </c>
      <c r="B482" s="25" t="s">
        <v>1333</v>
      </c>
      <c r="C482" s="25" t="s">
        <v>1333</v>
      </c>
      <c r="D482" s="25"/>
      <c r="F482" s="26"/>
      <c r="U482" s="26"/>
      <c r="V482" s="26"/>
      <c r="W482" s="26"/>
      <c r="X482" s="26"/>
      <c r="Y482" s="26"/>
      <c r="Z482" s="26"/>
      <c r="AA482" s="26"/>
      <c r="AB482" s="26"/>
    </row>
    <row r="483" ht="17.25" customHeight="1">
      <c r="A483" s="25" t="s">
        <v>1333</v>
      </c>
      <c r="B483" s="25" t="s">
        <v>1333</v>
      </c>
      <c r="C483" s="25" t="s">
        <v>1333</v>
      </c>
      <c r="D483" s="25"/>
      <c r="F483" s="26"/>
      <c r="U483" s="26"/>
      <c r="V483" s="26"/>
      <c r="W483" s="26"/>
      <c r="X483" s="26"/>
      <c r="Y483" s="26"/>
      <c r="Z483" s="26"/>
      <c r="AA483" s="26"/>
      <c r="AB483" s="26"/>
    </row>
    <row r="484" ht="17.25" customHeight="1">
      <c r="A484" s="25" t="s">
        <v>1333</v>
      </c>
      <c r="B484" s="25" t="s">
        <v>1333</v>
      </c>
      <c r="C484" s="25" t="s">
        <v>1333</v>
      </c>
      <c r="D484" s="25"/>
      <c r="F484" s="26"/>
      <c r="U484" s="26"/>
      <c r="V484" s="26"/>
      <c r="W484" s="26"/>
      <c r="X484" s="26"/>
      <c r="Y484" s="26"/>
      <c r="Z484" s="26"/>
      <c r="AA484" s="26"/>
      <c r="AB484" s="26"/>
    </row>
    <row r="485" ht="17.25" customHeight="1">
      <c r="A485" s="25" t="s">
        <v>1333</v>
      </c>
      <c r="B485" s="25" t="s">
        <v>1333</v>
      </c>
      <c r="C485" s="25" t="s">
        <v>1333</v>
      </c>
      <c r="D485" s="25"/>
      <c r="F485" s="26"/>
      <c r="U485" s="26"/>
      <c r="V485" s="26"/>
      <c r="W485" s="26"/>
      <c r="X485" s="26"/>
      <c r="Y485" s="26"/>
      <c r="Z485" s="26"/>
      <c r="AA485" s="26"/>
      <c r="AB485" s="26"/>
    </row>
    <row r="486" ht="17.25" customHeight="1">
      <c r="A486" s="25" t="s">
        <v>1333</v>
      </c>
      <c r="B486" s="25" t="s">
        <v>1333</v>
      </c>
      <c r="C486" s="25" t="s">
        <v>1333</v>
      </c>
      <c r="D486" s="25"/>
      <c r="F486" s="26"/>
      <c r="U486" s="26"/>
      <c r="V486" s="26"/>
      <c r="W486" s="26"/>
      <c r="X486" s="26"/>
      <c r="Y486" s="26"/>
      <c r="Z486" s="26"/>
      <c r="AA486" s="26"/>
      <c r="AB486" s="26"/>
    </row>
    <row r="487" ht="17.25" customHeight="1">
      <c r="A487" s="25" t="s">
        <v>1333</v>
      </c>
      <c r="B487" s="25" t="s">
        <v>1333</v>
      </c>
      <c r="C487" s="25" t="s">
        <v>1333</v>
      </c>
      <c r="D487" s="25"/>
      <c r="F487" s="26"/>
      <c r="U487" s="26"/>
      <c r="V487" s="26"/>
      <c r="W487" s="26"/>
      <c r="X487" s="26"/>
      <c r="Y487" s="26"/>
      <c r="Z487" s="26"/>
      <c r="AA487" s="26"/>
      <c r="AB487" s="26"/>
    </row>
    <row r="488" ht="17.25" customHeight="1">
      <c r="A488" s="25" t="s">
        <v>1333</v>
      </c>
      <c r="B488" s="25" t="s">
        <v>1333</v>
      </c>
      <c r="C488" s="25" t="s">
        <v>1333</v>
      </c>
      <c r="D488" s="25"/>
      <c r="F488" s="26"/>
      <c r="U488" s="26"/>
      <c r="V488" s="26"/>
      <c r="W488" s="26"/>
      <c r="X488" s="26"/>
      <c r="Y488" s="26"/>
      <c r="Z488" s="26"/>
      <c r="AA488" s="26"/>
      <c r="AB488" s="26"/>
    </row>
    <row r="489" ht="17.25" customHeight="1">
      <c r="A489" s="25" t="s">
        <v>1333</v>
      </c>
      <c r="B489" s="25" t="s">
        <v>1333</v>
      </c>
      <c r="C489" s="25" t="s">
        <v>1333</v>
      </c>
      <c r="D489" s="25"/>
      <c r="F489" s="26"/>
      <c r="U489" s="26"/>
      <c r="V489" s="26"/>
      <c r="W489" s="26"/>
      <c r="X489" s="26"/>
      <c r="Y489" s="26"/>
      <c r="Z489" s="26"/>
      <c r="AA489" s="26"/>
      <c r="AB489" s="26"/>
    </row>
    <row r="490" ht="17.25" customHeight="1">
      <c r="A490" s="25" t="s">
        <v>1333</v>
      </c>
      <c r="B490" s="25" t="s">
        <v>1333</v>
      </c>
      <c r="C490" s="25" t="s">
        <v>1333</v>
      </c>
      <c r="D490" s="25"/>
      <c r="F490" s="26"/>
      <c r="U490" s="26"/>
      <c r="V490" s="26"/>
      <c r="W490" s="26"/>
      <c r="X490" s="26"/>
      <c r="Y490" s="26"/>
      <c r="Z490" s="26"/>
      <c r="AA490" s="26"/>
      <c r="AB490" s="26"/>
    </row>
    <row r="491" ht="17.25" customHeight="1">
      <c r="A491" s="25" t="s">
        <v>1333</v>
      </c>
      <c r="B491" s="25" t="s">
        <v>1333</v>
      </c>
      <c r="C491" s="25" t="s">
        <v>1333</v>
      </c>
      <c r="D491" s="25"/>
      <c r="F491" s="26"/>
      <c r="U491" s="26"/>
      <c r="V491" s="26"/>
      <c r="W491" s="26"/>
      <c r="X491" s="26"/>
      <c r="Y491" s="26"/>
      <c r="Z491" s="26"/>
      <c r="AA491" s="26"/>
      <c r="AB491" s="26"/>
    </row>
    <row r="492" ht="17.25" customHeight="1">
      <c r="A492" s="25" t="s">
        <v>1333</v>
      </c>
      <c r="B492" s="25" t="s">
        <v>1333</v>
      </c>
      <c r="C492" s="25" t="s">
        <v>1333</v>
      </c>
      <c r="D492" s="25"/>
      <c r="F492" s="26"/>
      <c r="U492" s="26"/>
      <c r="V492" s="26"/>
      <c r="W492" s="26"/>
      <c r="X492" s="26"/>
      <c r="Y492" s="26"/>
      <c r="Z492" s="26"/>
      <c r="AA492" s="26"/>
      <c r="AB492" s="26"/>
    </row>
    <row r="493" ht="17.25" customHeight="1">
      <c r="A493" s="25" t="s">
        <v>1333</v>
      </c>
      <c r="B493" s="25" t="s">
        <v>1333</v>
      </c>
      <c r="C493" s="25" t="s">
        <v>1333</v>
      </c>
      <c r="D493" s="25"/>
      <c r="F493" s="26"/>
      <c r="U493" s="26"/>
      <c r="V493" s="26"/>
      <c r="W493" s="26"/>
      <c r="X493" s="26"/>
      <c r="Y493" s="26"/>
      <c r="Z493" s="26"/>
      <c r="AA493" s="26"/>
      <c r="AB493" s="26"/>
    </row>
    <row r="494" ht="17.25" customHeight="1">
      <c r="A494" s="25" t="s">
        <v>1333</v>
      </c>
      <c r="B494" s="25" t="s">
        <v>1333</v>
      </c>
      <c r="C494" s="25" t="s">
        <v>1333</v>
      </c>
      <c r="D494" s="25"/>
      <c r="F494" s="26"/>
      <c r="U494" s="26"/>
      <c r="V494" s="26"/>
      <c r="W494" s="26"/>
      <c r="X494" s="26"/>
      <c r="Y494" s="26"/>
      <c r="Z494" s="26"/>
      <c r="AA494" s="26"/>
      <c r="AB494" s="26"/>
    </row>
    <row r="495" ht="17.25" customHeight="1">
      <c r="A495" s="25" t="s">
        <v>1333</v>
      </c>
      <c r="B495" s="25" t="s">
        <v>1333</v>
      </c>
      <c r="C495" s="25" t="s">
        <v>1333</v>
      </c>
      <c r="D495" s="25"/>
      <c r="F495" s="26"/>
      <c r="U495" s="26"/>
      <c r="V495" s="26"/>
      <c r="W495" s="26"/>
      <c r="X495" s="26"/>
      <c r="Y495" s="26"/>
      <c r="Z495" s="26"/>
      <c r="AA495" s="26"/>
      <c r="AB495" s="26"/>
    </row>
    <row r="496" ht="17.25" customHeight="1">
      <c r="A496" s="25" t="s">
        <v>1333</v>
      </c>
      <c r="B496" s="25" t="s">
        <v>1333</v>
      </c>
      <c r="C496" s="25" t="s">
        <v>1333</v>
      </c>
      <c r="D496" s="25"/>
      <c r="F496" s="26"/>
      <c r="U496" s="26"/>
      <c r="V496" s="26"/>
      <c r="W496" s="26"/>
      <c r="X496" s="26"/>
      <c r="Y496" s="26"/>
      <c r="Z496" s="26"/>
      <c r="AA496" s="26"/>
      <c r="AB496" s="26"/>
    </row>
    <row r="497" ht="17.25" customHeight="1">
      <c r="A497" s="25" t="s">
        <v>1333</v>
      </c>
      <c r="B497" s="25" t="s">
        <v>1333</v>
      </c>
      <c r="C497" s="25" t="s">
        <v>1333</v>
      </c>
      <c r="D497" s="25"/>
      <c r="F497" s="26"/>
      <c r="U497" s="26"/>
      <c r="V497" s="26"/>
      <c r="W497" s="26"/>
      <c r="X497" s="26"/>
      <c r="Y497" s="26"/>
      <c r="Z497" s="26"/>
      <c r="AA497" s="26"/>
      <c r="AB497" s="26"/>
    </row>
    <row r="498" ht="17.25" customHeight="1">
      <c r="A498" s="25" t="s">
        <v>1333</v>
      </c>
      <c r="B498" s="25" t="s">
        <v>1333</v>
      </c>
      <c r="C498" s="25" t="s">
        <v>1333</v>
      </c>
      <c r="D498" s="25"/>
      <c r="F498" s="26"/>
      <c r="U498" s="26"/>
      <c r="V498" s="26"/>
      <c r="W498" s="26"/>
      <c r="X498" s="26"/>
      <c r="Y498" s="26"/>
      <c r="Z498" s="26"/>
      <c r="AA498" s="26"/>
      <c r="AB498" s="26"/>
    </row>
    <row r="499" ht="17.25" customHeight="1">
      <c r="A499" s="25" t="s">
        <v>1333</v>
      </c>
      <c r="B499" s="25" t="s">
        <v>1333</v>
      </c>
      <c r="C499" s="25" t="s">
        <v>1333</v>
      </c>
      <c r="D499" s="25"/>
      <c r="F499" s="26"/>
      <c r="U499" s="26"/>
      <c r="V499" s="26"/>
      <c r="W499" s="26"/>
      <c r="X499" s="26"/>
      <c r="Y499" s="26"/>
      <c r="Z499" s="26"/>
      <c r="AA499" s="26"/>
      <c r="AB499" s="26"/>
    </row>
    <row r="500" ht="17.25" customHeight="1">
      <c r="A500" s="25" t="s">
        <v>1333</v>
      </c>
      <c r="B500" s="25" t="s">
        <v>1333</v>
      </c>
      <c r="C500" s="25" t="s">
        <v>1333</v>
      </c>
      <c r="D500" s="25"/>
      <c r="F500" s="26"/>
      <c r="U500" s="26"/>
      <c r="V500" s="26"/>
      <c r="W500" s="26"/>
      <c r="X500" s="26"/>
      <c r="Y500" s="26"/>
      <c r="Z500" s="26"/>
      <c r="AA500" s="26"/>
      <c r="AB500" s="26"/>
    </row>
    <row r="501" ht="17.25" customHeight="1">
      <c r="A501" s="25" t="s">
        <v>1333</v>
      </c>
      <c r="B501" s="25" t="s">
        <v>1333</v>
      </c>
      <c r="C501" s="25" t="s">
        <v>1333</v>
      </c>
      <c r="D501" s="25"/>
      <c r="F501" s="26"/>
      <c r="U501" s="26"/>
      <c r="V501" s="26"/>
      <c r="W501" s="26"/>
      <c r="X501" s="26"/>
      <c r="Y501" s="26"/>
      <c r="Z501" s="26"/>
      <c r="AA501" s="26"/>
      <c r="AB501" s="26"/>
    </row>
    <row r="502" ht="17.25" customHeight="1">
      <c r="A502" s="25" t="s">
        <v>1333</v>
      </c>
      <c r="B502" s="25" t="s">
        <v>1333</v>
      </c>
      <c r="C502" s="25" t="s">
        <v>1333</v>
      </c>
      <c r="D502" s="25"/>
      <c r="F502" s="26"/>
      <c r="U502" s="26"/>
      <c r="V502" s="26"/>
      <c r="W502" s="26"/>
      <c r="X502" s="26"/>
      <c r="Y502" s="26"/>
      <c r="Z502" s="26"/>
      <c r="AA502" s="26"/>
      <c r="AB502" s="26"/>
    </row>
    <row r="503" ht="17.25" customHeight="1">
      <c r="A503" s="25" t="s">
        <v>1333</v>
      </c>
      <c r="B503" s="25" t="s">
        <v>1333</v>
      </c>
      <c r="C503" s="25" t="s">
        <v>1333</v>
      </c>
      <c r="D503" s="25"/>
      <c r="F503" s="26"/>
      <c r="U503" s="26"/>
      <c r="V503" s="26"/>
      <c r="W503" s="26"/>
      <c r="X503" s="26"/>
      <c r="Y503" s="26"/>
      <c r="Z503" s="26"/>
      <c r="AA503" s="26"/>
      <c r="AB503" s="26"/>
    </row>
    <row r="504" ht="17.25" customHeight="1">
      <c r="A504" s="25" t="s">
        <v>1333</v>
      </c>
      <c r="B504" s="25" t="s">
        <v>1333</v>
      </c>
      <c r="C504" s="25" t="s">
        <v>1333</v>
      </c>
      <c r="D504" s="25"/>
      <c r="F504" s="26"/>
      <c r="U504" s="26"/>
      <c r="V504" s="26"/>
      <c r="W504" s="26"/>
      <c r="X504" s="26"/>
      <c r="Y504" s="26"/>
      <c r="Z504" s="26"/>
      <c r="AA504" s="26"/>
      <c r="AB504" s="26"/>
    </row>
    <row r="505" ht="17.25" customHeight="1">
      <c r="A505" s="25" t="s">
        <v>1333</v>
      </c>
      <c r="B505" s="25" t="s">
        <v>1333</v>
      </c>
      <c r="C505" s="25" t="s">
        <v>1333</v>
      </c>
      <c r="D505" s="25"/>
      <c r="F505" s="26"/>
      <c r="U505" s="26"/>
      <c r="V505" s="26"/>
      <c r="W505" s="26"/>
      <c r="X505" s="26"/>
      <c r="Y505" s="26"/>
      <c r="Z505" s="26"/>
      <c r="AA505" s="26"/>
      <c r="AB505" s="26"/>
    </row>
    <row r="506" ht="17.25" customHeight="1">
      <c r="A506" s="25" t="s">
        <v>1333</v>
      </c>
      <c r="B506" s="25" t="s">
        <v>1333</v>
      </c>
      <c r="C506" s="25" t="s">
        <v>1333</v>
      </c>
      <c r="D506" s="25"/>
      <c r="F506" s="26"/>
      <c r="U506" s="26"/>
      <c r="V506" s="26"/>
      <c r="W506" s="26"/>
      <c r="X506" s="26"/>
      <c r="Y506" s="26"/>
      <c r="Z506" s="26"/>
      <c r="AA506" s="26"/>
      <c r="AB506" s="26"/>
    </row>
    <row r="507" ht="17.25" customHeight="1">
      <c r="A507" s="25" t="s">
        <v>1333</v>
      </c>
      <c r="B507" s="25" t="s">
        <v>1333</v>
      </c>
      <c r="C507" s="25" t="s">
        <v>1333</v>
      </c>
      <c r="D507" s="25"/>
      <c r="F507" s="26"/>
      <c r="U507" s="26"/>
      <c r="V507" s="26"/>
      <c r="W507" s="26"/>
      <c r="X507" s="26"/>
      <c r="Y507" s="26"/>
      <c r="Z507" s="26"/>
      <c r="AA507" s="26"/>
      <c r="AB507" s="26"/>
    </row>
    <row r="508" ht="17.25" customHeight="1">
      <c r="A508" s="25" t="s">
        <v>1333</v>
      </c>
      <c r="B508" s="25" t="s">
        <v>1333</v>
      </c>
      <c r="C508" s="25" t="s">
        <v>1333</v>
      </c>
      <c r="D508" s="25"/>
      <c r="F508" s="26"/>
      <c r="U508" s="26"/>
      <c r="V508" s="26"/>
      <c r="W508" s="26"/>
      <c r="X508" s="26"/>
      <c r="Y508" s="26"/>
      <c r="Z508" s="26"/>
      <c r="AA508" s="26"/>
      <c r="AB508" s="26"/>
    </row>
    <row r="509" ht="17.25" customHeight="1">
      <c r="A509" s="25" t="s">
        <v>1333</v>
      </c>
      <c r="B509" s="25" t="s">
        <v>1333</v>
      </c>
      <c r="C509" s="25" t="s">
        <v>1333</v>
      </c>
      <c r="D509" s="25"/>
      <c r="F509" s="26"/>
      <c r="U509" s="26"/>
      <c r="V509" s="26"/>
      <c r="W509" s="26"/>
      <c r="X509" s="26"/>
      <c r="Y509" s="26"/>
      <c r="Z509" s="26"/>
      <c r="AA509" s="26"/>
      <c r="AB509" s="26"/>
    </row>
    <row r="510" ht="17.25" customHeight="1">
      <c r="A510" s="25" t="s">
        <v>1333</v>
      </c>
      <c r="B510" s="25" t="s">
        <v>1333</v>
      </c>
      <c r="C510" s="25" t="s">
        <v>1333</v>
      </c>
      <c r="D510" s="25"/>
      <c r="F510" s="26"/>
      <c r="U510" s="26"/>
      <c r="V510" s="26"/>
      <c r="W510" s="26"/>
      <c r="X510" s="26"/>
      <c r="Y510" s="26"/>
      <c r="Z510" s="26"/>
      <c r="AA510" s="26"/>
      <c r="AB510" s="26"/>
    </row>
    <row r="511" ht="17.25" customHeight="1">
      <c r="A511" s="25" t="s">
        <v>1333</v>
      </c>
      <c r="B511" s="25" t="s">
        <v>1333</v>
      </c>
      <c r="C511" s="25" t="s">
        <v>1333</v>
      </c>
      <c r="D511" s="25"/>
      <c r="F511" s="26"/>
      <c r="U511" s="26"/>
      <c r="V511" s="26"/>
      <c r="W511" s="26"/>
      <c r="X511" s="26"/>
      <c r="Y511" s="26"/>
      <c r="Z511" s="26"/>
      <c r="AA511" s="26"/>
      <c r="AB511" s="26"/>
    </row>
    <row r="512" ht="17.25" customHeight="1">
      <c r="A512" s="25" t="s">
        <v>1333</v>
      </c>
      <c r="B512" s="25" t="s">
        <v>1333</v>
      </c>
      <c r="C512" s="25" t="s">
        <v>1333</v>
      </c>
      <c r="D512" s="25"/>
      <c r="F512" s="26"/>
      <c r="U512" s="26"/>
      <c r="V512" s="26"/>
      <c r="W512" s="26"/>
      <c r="X512" s="26"/>
      <c r="Y512" s="26"/>
      <c r="Z512" s="26"/>
      <c r="AA512" s="26"/>
      <c r="AB512" s="26"/>
    </row>
    <row r="513" ht="17.25" customHeight="1">
      <c r="A513" s="25" t="s">
        <v>1333</v>
      </c>
      <c r="B513" s="25" t="s">
        <v>1333</v>
      </c>
      <c r="C513" s="25" t="s">
        <v>1333</v>
      </c>
      <c r="D513" s="25"/>
      <c r="F513" s="26"/>
      <c r="U513" s="26"/>
      <c r="V513" s="26"/>
      <c r="W513" s="26"/>
      <c r="X513" s="26"/>
      <c r="Y513" s="26"/>
      <c r="Z513" s="26"/>
      <c r="AA513" s="26"/>
      <c r="AB513" s="26"/>
    </row>
    <row r="514" ht="17.25" customHeight="1">
      <c r="A514" s="25" t="s">
        <v>1333</v>
      </c>
      <c r="B514" s="25" t="s">
        <v>1333</v>
      </c>
      <c r="C514" s="25" t="s">
        <v>1333</v>
      </c>
      <c r="D514" s="25"/>
      <c r="F514" s="26"/>
      <c r="U514" s="26"/>
      <c r="V514" s="26"/>
      <c r="W514" s="26"/>
      <c r="X514" s="26"/>
      <c r="Y514" s="26"/>
      <c r="Z514" s="26"/>
      <c r="AA514" s="26"/>
      <c r="AB514" s="26"/>
    </row>
    <row r="515" ht="17.25" customHeight="1">
      <c r="A515" s="25" t="s">
        <v>1333</v>
      </c>
      <c r="B515" s="25" t="s">
        <v>1333</v>
      </c>
      <c r="C515" s="25" t="s">
        <v>1333</v>
      </c>
      <c r="D515" s="25"/>
      <c r="F515" s="26"/>
      <c r="U515" s="26"/>
      <c r="V515" s="26"/>
      <c r="W515" s="26"/>
      <c r="X515" s="26"/>
      <c r="Y515" s="26"/>
      <c r="Z515" s="26"/>
      <c r="AA515" s="26"/>
      <c r="AB515" s="26"/>
    </row>
    <row r="516" ht="17.25" customHeight="1">
      <c r="A516" s="25" t="s">
        <v>1333</v>
      </c>
      <c r="B516" s="25" t="s">
        <v>1333</v>
      </c>
      <c r="C516" s="25" t="s">
        <v>1333</v>
      </c>
      <c r="D516" s="25"/>
      <c r="F516" s="26"/>
      <c r="U516" s="26"/>
      <c r="V516" s="26"/>
      <c r="W516" s="26"/>
      <c r="X516" s="26"/>
      <c r="Y516" s="26"/>
      <c r="Z516" s="26"/>
      <c r="AA516" s="26"/>
      <c r="AB516" s="26"/>
    </row>
    <row r="517" ht="17.25" customHeight="1">
      <c r="A517" s="25" t="s">
        <v>1333</v>
      </c>
      <c r="B517" s="25" t="s">
        <v>1333</v>
      </c>
      <c r="C517" s="25" t="s">
        <v>1333</v>
      </c>
      <c r="D517" s="25"/>
      <c r="F517" s="26"/>
      <c r="U517" s="26"/>
      <c r="V517" s="26"/>
      <c r="W517" s="26"/>
      <c r="X517" s="26"/>
      <c r="Y517" s="26"/>
      <c r="Z517" s="26"/>
      <c r="AA517" s="26"/>
      <c r="AB517" s="26"/>
    </row>
    <row r="518" ht="17.25" customHeight="1">
      <c r="A518" s="25" t="s">
        <v>1333</v>
      </c>
      <c r="B518" s="25" t="s">
        <v>1333</v>
      </c>
      <c r="C518" s="25" t="s">
        <v>1333</v>
      </c>
      <c r="D518" s="25"/>
      <c r="F518" s="26"/>
      <c r="U518" s="26"/>
      <c r="V518" s="26"/>
      <c r="W518" s="26"/>
      <c r="X518" s="26"/>
      <c r="Y518" s="26"/>
      <c r="Z518" s="26"/>
      <c r="AA518" s="26"/>
      <c r="AB518" s="26"/>
    </row>
    <row r="519" ht="17.25" customHeight="1">
      <c r="A519" s="25" t="s">
        <v>1333</v>
      </c>
      <c r="B519" s="25" t="s">
        <v>1333</v>
      </c>
      <c r="C519" s="25" t="s">
        <v>1333</v>
      </c>
      <c r="D519" s="25"/>
      <c r="F519" s="26"/>
      <c r="U519" s="26"/>
      <c r="V519" s="26"/>
      <c r="W519" s="26"/>
      <c r="X519" s="26"/>
      <c r="Y519" s="26"/>
      <c r="Z519" s="26"/>
      <c r="AA519" s="26"/>
      <c r="AB519" s="26"/>
    </row>
    <row r="520" ht="17.25" customHeight="1">
      <c r="A520" s="25" t="s">
        <v>1333</v>
      </c>
      <c r="B520" s="25" t="s">
        <v>1333</v>
      </c>
      <c r="C520" s="25" t="s">
        <v>1333</v>
      </c>
      <c r="D520" s="25"/>
      <c r="F520" s="26"/>
      <c r="U520" s="26"/>
      <c r="V520" s="26"/>
      <c r="W520" s="26"/>
      <c r="X520" s="26"/>
      <c r="Y520" s="26"/>
      <c r="Z520" s="26"/>
      <c r="AA520" s="26"/>
      <c r="AB520" s="26"/>
    </row>
    <row r="521" ht="17.25" customHeight="1">
      <c r="A521" s="25" t="s">
        <v>1333</v>
      </c>
      <c r="B521" s="25" t="s">
        <v>1333</v>
      </c>
      <c r="C521" s="25" t="s">
        <v>1333</v>
      </c>
      <c r="D521" s="25"/>
      <c r="F521" s="26"/>
      <c r="U521" s="26"/>
      <c r="V521" s="26"/>
      <c r="W521" s="26"/>
      <c r="X521" s="26"/>
      <c r="Y521" s="26"/>
      <c r="Z521" s="26"/>
      <c r="AA521" s="26"/>
      <c r="AB521" s="26"/>
    </row>
    <row r="522" ht="17.25" customHeight="1">
      <c r="A522" s="25" t="s">
        <v>1333</v>
      </c>
      <c r="B522" s="25" t="s">
        <v>1333</v>
      </c>
      <c r="C522" s="25" t="s">
        <v>1333</v>
      </c>
      <c r="D522" s="25"/>
      <c r="F522" s="26"/>
      <c r="U522" s="26"/>
      <c r="V522" s="26"/>
      <c r="W522" s="26"/>
      <c r="X522" s="26"/>
      <c r="Y522" s="26"/>
      <c r="Z522" s="26"/>
      <c r="AA522" s="26"/>
      <c r="AB522" s="26"/>
    </row>
    <row r="523" ht="17.25" customHeight="1">
      <c r="A523" s="25" t="s">
        <v>1333</v>
      </c>
      <c r="B523" s="25" t="s">
        <v>1333</v>
      </c>
      <c r="C523" s="25" t="s">
        <v>1333</v>
      </c>
      <c r="D523" s="25"/>
      <c r="F523" s="26"/>
      <c r="U523" s="26"/>
      <c r="V523" s="26"/>
      <c r="W523" s="26"/>
      <c r="X523" s="26"/>
      <c r="Y523" s="26"/>
      <c r="Z523" s="26"/>
      <c r="AA523" s="26"/>
      <c r="AB523" s="26"/>
    </row>
    <row r="524" ht="17.25" customHeight="1">
      <c r="A524" s="25" t="s">
        <v>1333</v>
      </c>
      <c r="B524" s="25" t="s">
        <v>1333</v>
      </c>
      <c r="C524" s="25" t="s">
        <v>1333</v>
      </c>
      <c r="D524" s="25"/>
      <c r="F524" s="26"/>
      <c r="U524" s="26"/>
      <c r="V524" s="26"/>
      <c r="W524" s="26"/>
      <c r="X524" s="26"/>
      <c r="Y524" s="26"/>
      <c r="Z524" s="26"/>
      <c r="AA524" s="26"/>
      <c r="AB524" s="26"/>
    </row>
    <row r="525" ht="17.25" customHeight="1">
      <c r="A525" s="25" t="s">
        <v>1333</v>
      </c>
      <c r="B525" s="25" t="s">
        <v>1333</v>
      </c>
      <c r="C525" s="25" t="s">
        <v>1333</v>
      </c>
      <c r="D525" s="25"/>
      <c r="F525" s="26"/>
      <c r="U525" s="26"/>
      <c r="V525" s="26"/>
      <c r="W525" s="26"/>
      <c r="X525" s="26"/>
      <c r="Y525" s="26"/>
      <c r="Z525" s="26"/>
      <c r="AA525" s="26"/>
      <c r="AB525" s="26"/>
    </row>
    <row r="526" ht="17.25" customHeight="1">
      <c r="A526" s="25" t="s">
        <v>1333</v>
      </c>
      <c r="B526" s="25" t="s">
        <v>1333</v>
      </c>
      <c r="C526" s="25" t="s">
        <v>1333</v>
      </c>
      <c r="D526" s="25"/>
      <c r="F526" s="26"/>
      <c r="U526" s="26"/>
      <c r="V526" s="26"/>
      <c r="W526" s="26"/>
      <c r="X526" s="26"/>
      <c r="Y526" s="26"/>
      <c r="Z526" s="26"/>
      <c r="AA526" s="26"/>
      <c r="AB526" s="26"/>
    </row>
    <row r="527" ht="17.25" customHeight="1">
      <c r="A527" s="25" t="s">
        <v>1333</v>
      </c>
      <c r="B527" s="25" t="s">
        <v>1333</v>
      </c>
      <c r="C527" s="25" t="s">
        <v>1333</v>
      </c>
      <c r="D527" s="25"/>
      <c r="F527" s="26"/>
      <c r="U527" s="26"/>
      <c r="V527" s="26"/>
      <c r="W527" s="26"/>
      <c r="X527" s="26"/>
      <c r="Y527" s="26"/>
      <c r="Z527" s="26"/>
      <c r="AA527" s="26"/>
      <c r="AB527" s="26"/>
    </row>
    <row r="528" ht="17.25" customHeight="1">
      <c r="A528" s="25" t="s">
        <v>1333</v>
      </c>
      <c r="B528" s="25" t="s">
        <v>1333</v>
      </c>
      <c r="C528" s="25" t="s">
        <v>1333</v>
      </c>
      <c r="D528" s="25"/>
      <c r="F528" s="26"/>
      <c r="U528" s="26"/>
      <c r="V528" s="26"/>
      <c r="W528" s="26"/>
      <c r="X528" s="26"/>
      <c r="Y528" s="26"/>
      <c r="Z528" s="26"/>
      <c r="AA528" s="26"/>
      <c r="AB528" s="26"/>
    </row>
    <row r="529" ht="17.25" customHeight="1">
      <c r="A529" s="25" t="s">
        <v>1333</v>
      </c>
      <c r="B529" s="25" t="s">
        <v>1333</v>
      </c>
      <c r="C529" s="25" t="s">
        <v>1333</v>
      </c>
      <c r="D529" s="25"/>
      <c r="F529" s="26"/>
      <c r="U529" s="26"/>
      <c r="V529" s="26"/>
      <c r="W529" s="26"/>
      <c r="X529" s="26"/>
      <c r="Y529" s="26"/>
      <c r="Z529" s="26"/>
      <c r="AA529" s="26"/>
      <c r="AB529" s="26"/>
    </row>
    <row r="530" ht="17.25" customHeight="1">
      <c r="A530" s="25" t="s">
        <v>1333</v>
      </c>
      <c r="B530" s="25" t="s">
        <v>1333</v>
      </c>
      <c r="C530" s="25" t="s">
        <v>1333</v>
      </c>
      <c r="D530" s="25"/>
      <c r="F530" s="26"/>
      <c r="U530" s="26"/>
      <c r="V530" s="26"/>
      <c r="W530" s="26"/>
      <c r="X530" s="26"/>
      <c r="Y530" s="26"/>
      <c r="Z530" s="26"/>
      <c r="AA530" s="26"/>
      <c r="AB530" s="26"/>
    </row>
    <row r="531" ht="17.25" customHeight="1">
      <c r="A531" s="25" t="s">
        <v>1333</v>
      </c>
      <c r="B531" s="25" t="s">
        <v>1333</v>
      </c>
      <c r="C531" s="25" t="s">
        <v>1333</v>
      </c>
      <c r="D531" s="25"/>
      <c r="F531" s="26"/>
      <c r="U531" s="26"/>
      <c r="V531" s="26"/>
      <c r="W531" s="26"/>
      <c r="X531" s="26"/>
      <c r="Y531" s="26"/>
      <c r="Z531" s="26"/>
      <c r="AA531" s="26"/>
      <c r="AB531" s="26"/>
    </row>
    <row r="532" ht="17.25" customHeight="1">
      <c r="A532" s="25" t="s">
        <v>1333</v>
      </c>
      <c r="B532" s="25" t="s">
        <v>1333</v>
      </c>
      <c r="C532" s="25" t="s">
        <v>1333</v>
      </c>
      <c r="D532" s="25"/>
      <c r="F532" s="26"/>
      <c r="U532" s="26"/>
      <c r="V532" s="26"/>
      <c r="W532" s="26"/>
      <c r="X532" s="26"/>
      <c r="Y532" s="26"/>
      <c r="Z532" s="26"/>
      <c r="AA532" s="26"/>
      <c r="AB532" s="26"/>
    </row>
    <row r="533" ht="17.25" customHeight="1">
      <c r="A533" s="25" t="s">
        <v>1333</v>
      </c>
      <c r="B533" s="25" t="s">
        <v>1333</v>
      </c>
      <c r="C533" s="25" t="s">
        <v>1333</v>
      </c>
      <c r="D533" s="25"/>
      <c r="F533" s="26"/>
      <c r="U533" s="26"/>
      <c r="V533" s="26"/>
      <c r="W533" s="26"/>
      <c r="X533" s="26"/>
      <c r="Y533" s="26"/>
      <c r="Z533" s="26"/>
      <c r="AA533" s="26"/>
      <c r="AB533" s="26"/>
    </row>
    <row r="534" ht="17.25" customHeight="1">
      <c r="A534" s="25" t="s">
        <v>1333</v>
      </c>
      <c r="B534" s="25" t="s">
        <v>1333</v>
      </c>
      <c r="C534" s="25" t="s">
        <v>1333</v>
      </c>
      <c r="D534" s="25"/>
      <c r="F534" s="26"/>
      <c r="U534" s="26"/>
      <c r="V534" s="26"/>
      <c r="W534" s="26"/>
      <c r="X534" s="26"/>
      <c r="Y534" s="26"/>
      <c r="Z534" s="26"/>
      <c r="AA534" s="26"/>
      <c r="AB534" s="26"/>
    </row>
    <row r="535" ht="17.25" customHeight="1">
      <c r="A535" s="25" t="s">
        <v>1333</v>
      </c>
      <c r="B535" s="25" t="s">
        <v>1333</v>
      </c>
      <c r="C535" s="25" t="s">
        <v>1333</v>
      </c>
      <c r="D535" s="25"/>
      <c r="F535" s="26"/>
      <c r="U535" s="26"/>
      <c r="V535" s="26"/>
      <c r="W535" s="26"/>
      <c r="X535" s="26"/>
      <c r="Y535" s="26"/>
      <c r="Z535" s="26"/>
      <c r="AA535" s="26"/>
      <c r="AB535" s="26"/>
    </row>
    <row r="536" ht="17.25" customHeight="1">
      <c r="A536" s="25" t="s">
        <v>1333</v>
      </c>
      <c r="B536" s="25" t="s">
        <v>1333</v>
      </c>
      <c r="C536" s="25" t="s">
        <v>1333</v>
      </c>
      <c r="D536" s="25"/>
      <c r="F536" s="26"/>
      <c r="U536" s="26"/>
      <c r="V536" s="26"/>
      <c r="W536" s="26"/>
      <c r="X536" s="26"/>
      <c r="Y536" s="26"/>
      <c r="Z536" s="26"/>
      <c r="AA536" s="26"/>
      <c r="AB536" s="26"/>
    </row>
    <row r="537" ht="17.25" customHeight="1">
      <c r="A537" s="25" t="s">
        <v>1333</v>
      </c>
      <c r="B537" s="25" t="s">
        <v>1333</v>
      </c>
      <c r="C537" s="25" t="s">
        <v>1333</v>
      </c>
      <c r="D537" s="25"/>
      <c r="F537" s="26"/>
      <c r="U537" s="26"/>
      <c r="V537" s="26"/>
      <c r="W537" s="26"/>
      <c r="X537" s="26"/>
      <c r="Y537" s="26"/>
      <c r="Z537" s="26"/>
      <c r="AA537" s="26"/>
      <c r="AB537" s="26"/>
    </row>
    <row r="538" ht="17.25" customHeight="1">
      <c r="A538" s="25" t="s">
        <v>1333</v>
      </c>
      <c r="B538" s="25" t="s">
        <v>1333</v>
      </c>
      <c r="C538" s="25" t="s">
        <v>1333</v>
      </c>
      <c r="D538" s="25"/>
      <c r="F538" s="26"/>
      <c r="U538" s="26"/>
      <c r="V538" s="26"/>
      <c r="W538" s="26"/>
      <c r="X538" s="26"/>
      <c r="Y538" s="26"/>
      <c r="Z538" s="26"/>
      <c r="AA538" s="26"/>
      <c r="AB538" s="26"/>
    </row>
    <row r="539" ht="17.25" customHeight="1">
      <c r="A539" s="25" t="s">
        <v>1333</v>
      </c>
      <c r="B539" s="25" t="s">
        <v>1333</v>
      </c>
      <c r="C539" s="25" t="s">
        <v>1333</v>
      </c>
      <c r="D539" s="25"/>
      <c r="F539" s="26"/>
      <c r="U539" s="26"/>
      <c r="V539" s="26"/>
      <c r="W539" s="26"/>
      <c r="X539" s="26"/>
      <c r="Y539" s="26"/>
      <c r="Z539" s="26"/>
      <c r="AA539" s="26"/>
      <c r="AB539" s="26"/>
    </row>
    <row r="540" ht="17.25" customHeight="1">
      <c r="A540" s="25" t="s">
        <v>1333</v>
      </c>
      <c r="B540" s="25" t="s">
        <v>1333</v>
      </c>
      <c r="C540" s="25" t="s">
        <v>1333</v>
      </c>
      <c r="D540" s="25"/>
      <c r="F540" s="26"/>
      <c r="U540" s="26"/>
      <c r="V540" s="26"/>
      <c r="W540" s="26"/>
      <c r="X540" s="26"/>
      <c r="Y540" s="26"/>
      <c r="Z540" s="26"/>
      <c r="AA540" s="26"/>
      <c r="AB540" s="26"/>
    </row>
    <row r="541" ht="17.25" customHeight="1">
      <c r="A541" s="25" t="s">
        <v>1333</v>
      </c>
      <c r="B541" s="25" t="s">
        <v>1333</v>
      </c>
      <c r="C541" s="25" t="s">
        <v>1333</v>
      </c>
      <c r="D541" s="25"/>
      <c r="F541" s="26"/>
      <c r="U541" s="26"/>
      <c r="V541" s="26"/>
      <c r="W541" s="26"/>
      <c r="X541" s="26"/>
      <c r="Y541" s="26"/>
      <c r="Z541" s="26"/>
      <c r="AA541" s="26"/>
      <c r="AB541" s="26"/>
    </row>
    <row r="542" ht="17.25" customHeight="1">
      <c r="A542" s="25" t="s">
        <v>1333</v>
      </c>
      <c r="B542" s="25" t="s">
        <v>1333</v>
      </c>
      <c r="C542" s="25" t="s">
        <v>1333</v>
      </c>
      <c r="D542" s="25"/>
      <c r="F542" s="26"/>
      <c r="U542" s="26"/>
      <c r="V542" s="26"/>
      <c r="W542" s="26"/>
      <c r="X542" s="26"/>
      <c r="Y542" s="26"/>
      <c r="Z542" s="26"/>
      <c r="AA542" s="26"/>
      <c r="AB542" s="26"/>
    </row>
    <row r="543" ht="17.25" customHeight="1">
      <c r="A543" s="25" t="s">
        <v>1333</v>
      </c>
      <c r="B543" s="25" t="s">
        <v>1333</v>
      </c>
      <c r="C543" s="25" t="s">
        <v>1333</v>
      </c>
      <c r="D543" s="25"/>
      <c r="F543" s="26"/>
      <c r="U543" s="26"/>
      <c r="V543" s="26"/>
      <c r="W543" s="26"/>
      <c r="X543" s="26"/>
      <c r="Y543" s="26"/>
      <c r="Z543" s="26"/>
      <c r="AA543" s="26"/>
      <c r="AB543" s="26"/>
    </row>
    <row r="544" ht="17.25" customHeight="1">
      <c r="A544" s="25" t="s">
        <v>1333</v>
      </c>
      <c r="B544" s="25" t="s">
        <v>1333</v>
      </c>
      <c r="C544" s="25" t="s">
        <v>1333</v>
      </c>
      <c r="D544" s="25"/>
      <c r="F544" s="26"/>
      <c r="U544" s="26"/>
      <c r="V544" s="26"/>
      <c r="W544" s="26"/>
      <c r="X544" s="26"/>
      <c r="Y544" s="26"/>
      <c r="Z544" s="26"/>
      <c r="AA544" s="26"/>
      <c r="AB544" s="26"/>
    </row>
    <row r="545" ht="17.25" customHeight="1">
      <c r="A545" s="25" t="s">
        <v>1333</v>
      </c>
      <c r="B545" s="25" t="s">
        <v>1333</v>
      </c>
      <c r="C545" s="25" t="s">
        <v>1333</v>
      </c>
      <c r="D545" s="25"/>
      <c r="F545" s="26"/>
      <c r="U545" s="26"/>
      <c r="V545" s="26"/>
      <c r="W545" s="26"/>
      <c r="X545" s="26"/>
      <c r="Y545" s="26"/>
      <c r="Z545" s="26"/>
      <c r="AA545" s="26"/>
      <c r="AB545" s="26"/>
    </row>
    <row r="546" ht="17.25" customHeight="1">
      <c r="A546" s="25" t="s">
        <v>1333</v>
      </c>
      <c r="B546" s="25" t="s">
        <v>1333</v>
      </c>
      <c r="C546" s="25" t="s">
        <v>1333</v>
      </c>
      <c r="D546" s="25"/>
      <c r="F546" s="26"/>
      <c r="U546" s="26"/>
      <c r="V546" s="26"/>
      <c r="W546" s="26"/>
      <c r="X546" s="26"/>
      <c r="Y546" s="26"/>
      <c r="Z546" s="26"/>
      <c r="AA546" s="26"/>
      <c r="AB546" s="26"/>
    </row>
    <row r="547" ht="17.25" customHeight="1">
      <c r="A547" s="25" t="s">
        <v>1333</v>
      </c>
      <c r="B547" s="25" t="s">
        <v>1333</v>
      </c>
      <c r="C547" s="25" t="s">
        <v>1333</v>
      </c>
      <c r="D547" s="25"/>
      <c r="F547" s="26"/>
      <c r="U547" s="26"/>
      <c r="V547" s="26"/>
      <c r="W547" s="26"/>
      <c r="X547" s="26"/>
      <c r="Y547" s="26"/>
      <c r="Z547" s="26"/>
      <c r="AA547" s="26"/>
      <c r="AB547" s="26"/>
    </row>
    <row r="548" ht="17.25" customHeight="1">
      <c r="A548" s="25" t="s">
        <v>1333</v>
      </c>
      <c r="B548" s="25" t="s">
        <v>1333</v>
      </c>
      <c r="C548" s="25" t="s">
        <v>1333</v>
      </c>
      <c r="D548" s="25"/>
      <c r="F548" s="26"/>
      <c r="U548" s="26"/>
      <c r="V548" s="26"/>
      <c r="W548" s="26"/>
      <c r="X548" s="26"/>
      <c r="Y548" s="26"/>
      <c r="Z548" s="26"/>
      <c r="AA548" s="26"/>
      <c r="AB548" s="26"/>
    </row>
    <row r="549" ht="17.25" customHeight="1">
      <c r="A549" s="25" t="s">
        <v>1333</v>
      </c>
      <c r="B549" s="25" t="s">
        <v>1333</v>
      </c>
      <c r="C549" s="25" t="s">
        <v>1333</v>
      </c>
      <c r="D549" s="25"/>
      <c r="F549" s="26"/>
      <c r="U549" s="26"/>
      <c r="V549" s="26"/>
      <c r="W549" s="26"/>
      <c r="X549" s="26"/>
      <c r="Y549" s="26"/>
      <c r="Z549" s="26"/>
      <c r="AA549" s="26"/>
      <c r="AB549" s="26"/>
    </row>
    <row r="550" ht="17.25" customHeight="1">
      <c r="A550" s="25" t="s">
        <v>1333</v>
      </c>
      <c r="B550" s="25" t="s">
        <v>1333</v>
      </c>
      <c r="C550" s="25" t="s">
        <v>1333</v>
      </c>
      <c r="D550" s="25"/>
      <c r="F550" s="26"/>
      <c r="U550" s="26"/>
      <c r="V550" s="26"/>
      <c r="W550" s="26"/>
      <c r="X550" s="26"/>
      <c r="Y550" s="26"/>
      <c r="Z550" s="26"/>
      <c r="AA550" s="26"/>
      <c r="AB550" s="26"/>
    </row>
    <row r="551" ht="17.25" customHeight="1">
      <c r="A551" s="25" t="s">
        <v>1333</v>
      </c>
      <c r="B551" s="25" t="s">
        <v>1333</v>
      </c>
      <c r="C551" s="25" t="s">
        <v>1333</v>
      </c>
      <c r="D551" s="25"/>
      <c r="F551" s="26"/>
      <c r="U551" s="26"/>
      <c r="V551" s="26"/>
      <c r="W551" s="26"/>
      <c r="X551" s="26"/>
      <c r="Y551" s="26"/>
      <c r="Z551" s="26"/>
      <c r="AA551" s="26"/>
      <c r="AB551" s="26"/>
    </row>
    <row r="552" ht="17.25" customHeight="1">
      <c r="A552" s="25" t="s">
        <v>1333</v>
      </c>
      <c r="B552" s="25" t="s">
        <v>1333</v>
      </c>
      <c r="C552" s="25" t="s">
        <v>1333</v>
      </c>
      <c r="D552" s="25"/>
      <c r="F552" s="26"/>
      <c r="U552" s="26"/>
      <c r="V552" s="26"/>
      <c r="W552" s="26"/>
      <c r="X552" s="26"/>
      <c r="Y552" s="26"/>
      <c r="Z552" s="26"/>
      <c r="AA552" s="26"/>
      <c r="AB552" s="26"/>
    </row>
    <row r="553" ht="17.25" customHeight="1">
      <c r="A553" s="25" t="s">
        <v>1333</v>
      </c>
      <c r="B553" s="25" t="s">
        <v>1333</v>
      </c>
      <c r="C553" s="25" t="s">
        <v>1333</v>
      </c>
      <c r="D553" s="25"/>
      <c r="F553" s="26"/>
      <c r="U553" s="26"/>
      <c r="V553" s="26"/>
      <c r="W553" s="26"/>
      <c r="X553" s="26"/>
      <c r="Y553" s="26"/>
      <c r="Z553" s="26"/>
      <c r="AA553" s="26"/>
      <c r="AB553" s="26"/>
    </row>
    <row r="554" ht="17.25" customHeight="1">
      <c r="A554" s="25" t="s">
        <v>1333</v>
      </c>
      <c r="B554" s="25" t="s">
        <v>1333</v>
      </c>
      <c r="C554" s="25" t="s">
        <v>1333</v>
      </c>
      <c r="D554" s="25"/>
      <c r="F554" s="26"/>
      <c r="U554" s="26"/>
      <c r="V554" s="26"/>
      <c r="W554" s="26"/>
      <c r="X554" s="26"/>
      <c r="Y554" s="26"/>
      <c r="Z554" s="26"/>
      <c r="AA554" s="26"/>
      <c r="AB554" s="26"/>
    </row>
    <row r="555" ht="17.25" customHeight="1">
      <c r="A555" s="25" t="s">
        <v>1333</v>
      </c>
      <c r="B555" s="25" t="s">
        <v>1333</v>
      </c>
      <c r="C555" s="25" t="s">
        <v>1333</v>
      </c>
      <c r="D555" s="25"/>
      <c r="F555" s="26"/>
      <c r="U555" s="26"/>
      <c r="V555" s="26"/>
      <c r="W555" s="26"/>
      <c r="X555" s="26"/>
      <c r="Y555" s="26"/>
      <c r="Z555" s="26"/>
      <c r="AA555" s="26"/>
      <c r="AB555" s="26"/>
    </row>
    <row r="556" ht="17.25" customHeight="1">
      <c r="A556" s="25" t="s">
        <v>1333</v>
      </c>
      <c r="B556" s="25" t="s">
        <v>1333</v>
      </c>
      <c r="C556" s="25" t="s">
        <v>1333</v>
      </c>
      <c r="D556" s="25"/>
      <c r="F556" s="26"/>
      <c r="U556" s="26"/>
      <c r="V556" s="26"/>
      <c r="W556" s="26"/>
      <c r="X556" s="26"/>
      <c r="Y556" s="26"/>
      <c r="Z556" s="26"/>
      <c r="AA556" s="26"/>
      <c r="AB556" s="26"/>
    </row>
    <row r="557" ht="17.25" customHeight="1">
      <c r="A557" s="25" t="s">
        <v>1333</v>
      </c>
      <c r="B557" s="25" t="s">
        <v>1333</v>
      </c>
      <c r="C557" s="25" t="s">
        <v>1333</v>
      </c>
      <c r="D557" s="25"/>
      <c r="F557" s="26"/>
      <c r="U557" s="26"/>
      <c r="V557" s="26"/>
      <c r="W557" s="26"/>
      <c r="X557" s="26"/>
      <c r="Y557" s="26"/>
      <c r="Z557" s="26"/>
      <c r="AA557" s="26"/>
      <c r="AB557" s="26"/>
    </row>
    <row r="558" ht="17.25" customHeight="1">
      <c r="A558" s="25" t="s">
        <v>1333</v>
      </c>
      <c r="B558" s="25" t="s">
        <v>1333</v>
      </c>
      <c r="C558" s="25" t="s">
        <v>1333</v>
      </c>
      <c r="D558" s="25"/>
      <c r="F558" s="26"/>
      <c r="U558" s="26"/>
      <c r="V558" s="26"/>
      <c r="W558" s="26"/>
      <c r="X558" s="26"/>
      <c r="Y558" s="26"/>
      <c r="Z558" s="26"/>
      <c r="AA558" s="26"/>
      <c r="AB558" s="26"/>
    </row>
    <row r="559" ht="17.25" customHeight="1">
      <c r="A559" s="25" t="s">
        <v>1333</v>
      </c>
      <c r="B559" s="25" t="s">
        <v>1333</v>
      </c>
      <c r="C559" s="25" t="s">
        <v>1333</v>
      </c>
      <c r="D559" s="25"/>
      <c r="F559" s="26"/>
      <c r="U559" s="26"/>
      <c r="V559" s="26"/>
      <c r="W559" s="26"/>
      <c r="X559" s="26"/>
      <c r="Y559" s="26"/>
      <c r="Z559" s="26"/>
      <c r="AA559" s="26"/>
      <c r="AB559" s="26"/>
    </row>
    <row r="560" ht="17.25" customHeight="1">
      <c r="A560" s="25" t="s">
        <v>1333</v>
      </c>
      <c r="B560" s="25" t="s">
        <v>1333</v>
      </c>
      <c r="C560" s="25" t="s">
        <v>1333</v>
      </c>
      <c r="D560" s="25"/>
      <c r="F560" s="26"/>
      <c r="U560" s="26"/>
      <c r="V560" s="26"/>
      <c r="W560" s="26"/>
      <c r="X560" s="26"/>
      <c r="Y560" s="26"/>
      <c r="Z560" s="26"/>
      <c r="AA560" s="26"/>
      <c r="AB560" s="26"/>
    </row>
    <row r="561" ht="17.25" customHeight="1">
      <c r="A561" s="25" t="s">
        <v>1333</v>
      </c>
      <c r="B561" s="25" t="s">
        <v>1333</v>
      </c>
      <c r="C561" s="25" t="s">
        <v>1333</v>
      </c>
      <c r="D561" s="25"/>
      <c r="F561" s="26"/>
      <c r="U561" s="26"/>
      <c r="V561" s="26"/>
      <c r="W561" s="26"/>
      <c r="X561" s="26"/>
      <c r="Y561" s="26"/>
      <c r="Z561" s="26"/>
      <c r="AA561" s="26"/>
      <c r="AB561" s="26"/>
    </row>
    <row r="562" ht="17.25" customHeight="1">
      <c r="A562" s="25" t="s">
        <v>1333</v>
      </c>
      <c r="B562" s="25" t="s">
        <v>1333</v>
      </c>
      <c r="C562" s="25" t="s">
        <v>1333</v>
      </c>
      <c r="D562" s="25"/>
      <c r="F562" s="26"/>
      <c r="U562" s="26"/>
      <c r="V562" s="26"/>
      <c r="W562" s="26"/>
      <c r="X562" s="26"/>
      <c r="Y562" s="26"/>
      <c r="Z562" s="26"/>
      <c r="AA562" s="26"/>
      <c r="AB562" s="26"/>
    </row>
    <row r="563" ht="17.25" customHeight="1">
      <c r="A563" s="25" t="s">
        <v>1333</v>
      </c>
      <c r="B563" s="25" t="s">
        <v>1333</v>
      </c>
      <c r="C563" s="25" t="s">
        <v>1333</v>
      </c>
      <c r="D563" s="25"/>
      <c r="F563" s="26"/>
      <c r="U563" s="26"/>
      <c r="V563" s="26"/>
      <c r="W563" s="26"/>
      <c r="X563" s="26"/>
      <c r="Y563" s="26"/>
      <c r="Z563" s="26"/>
      <c r="AA563" s="26"/>
      <c r="AB563" s="26"/>
    </row>
    <row r="564" ht="17.25" customHeight="1">
      <c r="A564" s="25" t="s">
        <v>1333</v>
      </c>
      <c r="B564" s="25" t="s">
        <v>1333</v>
      </c>
      <c r="C564" s="25" t="s">
        <v>1333</v>
      </c>
      <c r="D564" s="25"/>
      <c r="F564" s="26"/>
      <c r="U564" s="26"/>
      <c r="V564" s="26"/>
      <c r="W564" s="26"/>
      <c r="X564" s="26"/>
      <c r="Y564" s="26"/>
      <c r="Z564" s="26"/>
      <c r="AA564" s="26"/>
      <c r="AB564" s="26"/>
    </row>
    <row r="565" ht="17.25" customHeight="1">
      <c r="A565" s="25" t="s">
        <v>1333</v>
      </c>
      <c r="B565" s="25" t="s">
        <v>1333</v>
      </c>
      <c r="C565" s="25" t="s">
        <v>1333</v>
      </c>
      <c r="D565" s="25"/>
      <c r="F565" s="26"/>
      <c r="U565" s="26"/>
      <c r="V565" s="26"/>
      <c r="W565" s="26"/>
      <c r="X565" s="26"/>
      <c r="Y565" s="26"/>
      <c r="Z565" s="26"/>
      <c r="AA565" s="26"/>
      <c r="AB565" s="26"/>
    </row>
    <row r="566" ht="17.25" customHeight="1">
      <c r="A566" s="25" t="s">
        <v>1333</v>
      </c>
      <c r="B566" s="25" t="s">
        <v>1333</v>
      </c>
      <c r="C566" s="25" t="s">
        <v>1333</v>
      </c>
      <c r="D566" s="25"/>
      <c r="F566" s="26"/>
      <c r="U566" s="26"/>
      <c r="V566" s="26"/>
      <c r="W566" s="26"/>
      <c r="X566" s="26"/>
      <c r="Y566" s="26"/>
      <c r="Z566" s="26"/>
      <c r="AA566" s="26"/>
      <c r="AB566" s="26"/>
    </row>
    <row r="567" ht="17.25" customHeight="1">
      <c r="A567" s="25" t="s">
        <v>1333</v>
      </c>
      <c r="B567" s="25" t="s">
        <v>1333</v>
      </c>
      <c r="C567" s="25" t="s">
        <v>1333</v>
      </c>
      <c r="D567" s="25"/>
      <c r="F567" s="26"/>
      <c r="U567" s="26"/>
      <c r="V567" s="26"/>
      <c r="W567" s="26"/>
      <c r="X567" s="26"/>
      <c r="Y567" s="26"/>
      <c r="Z567" s="26"/>
      <c r="AA567" s="26"/>
      <c r="AB567" s="26"/>
    </row>
    <row r="568" ht="17.25" customHeight="1">
      <c r="A568" s="25" t="s">
        <v>1333</v>
      </c>
      <c r="B568" s="25" t="s">
        <v>1333</v>
      </c>
      <c r="C568" s="25" t="s">
        <v>1333</v>
      </c>
      <c r="D568" s="25"/>
      <c r="F568" s="26"/>
      <c r="U568" s="26"/>
      <c r="V568" s="26"/>
      <c r="W568" s="26"/>
      <c r="X568" s="26"/>
      <c r="Y568" s="26"/>
      <c r="Z568" s="26"/>
      <c r="AA568" s="26"/>
      <c r="AB568" s="26"/>
    </row>
    <row r="569" ht="17.25" customHeight="1">
      <c r="A569" s="25" t="s">
        <v>1333</v>
      </c>
      <c r="B569" s="25" t="s">
        <v>1333</v>
      </c>
      <c r="C569" s="25" t="s">
        <v>1333</v>
      </c>
      <c r="D569" s="25"/>
      <c r="F569" s="26"/>
      <c r="U569" s="26"/>
      <c r="V569" s="26"/>
      <c r="W569" s="26"/>
      <c r="X569" s="26"/>
      <c r="Y569" s="26"/>
      <c r="Z569" s="26"/>
      <c r="AA569" s="26"/>
      <c r="AB569" s="26"/>
    </row>
    <row r="570" ht="17.25" customHeight="1">
      <c r="A570" s="25" t="s">
        <v>1333</v>
      </c>
      <c r="B570" s="25" t="s">
        <v>1333</v>
      </c>
      <c r="C570" s="25" t="s">
        <v>1333</v>
      </c>
      <c r="D570" s="25"/>
      <c r="F570" s="26"/>
      <c r="U570" s="26"/>
      <c r="V570" s="26"/>
      <c r="W570" s="26"/>
      <c r="X570" s="26"/>
      <c r="Y570" s="26"/>
      <c r="Z570" s="26"/>
      <c r="AA570" s="26"/>
      <c r="AB570" s="26"/>
    </row>
    <row r="571" ht="17.25" customHeight="1">
      <c r="A571" s="25" t="s">
        <v>1333</v>
      </c>
      <c r="B571" s="25" t="s">
        <v>1333</v>
      </c>
      <c r="C571" s="25" t="s">
        <v>1333</v>
      </c>
      <c r="D571" s="25"/>
      <c r="F571" s="26"/>
      <c r="U571" s="26"/>
      <c r="V571" s="26"/>
      <c r="W571" s="26"/>
      <c r="X571" s="26"/>
      <c r="Y571" s="26"/>
      <c r="Z571" s="26"/>
      <c r="AA571" s="26"/>
      <c r="AB571" s="26"/>
    </row>
    <row r="572" ht="17.25" customHeight="1">
      <c r="A572" s="25" t="s">
        <v>1333</v>
      </c>
      <c r="B572" s="25" t="s">
        <v>1333</v>
      </c>
      <c r="C572" s="25" t="s">
        <v>1333</v>
      </c>
      <c r="D572" s="25"/>
      <c r="F572" s="26"/>
      <c r="U572" s="26"/>
      <c r="V572" s="26"/>
      <c r="W572" s="26"/>
      <c r="X572" s="26"/>
      <c r="Y572" s="26"/>
      <c r="Z572" s="26"/>
      <c r="AA572" s="26"/>
      <c r="AB572" s="26"/>
    </row>
    <row r="573" ht="17.25" customHeight="1">
      <c r="A573" s="25" t="s">
        <v>1333</v>
      </c>
      <c r="B573" s="25" t="s">
        <v>1333</v>
      </c>
      <c r="C573" s="25" t="s">
        <v>1333</v>
      </c>
      <c r="D573" s="25"/>
      <c r="F573" s="26"/>
      <c r="U573" s="26"/>
      <c r="V573" s="26"/>
      <c r="W573" s="26"/>
      <c r="X573" s="26"/>
      <c r="Y573" s="26"/>
      <c r="Z573" s="26"/>
      <c r="AA573" s="26"/>
      <c r="AB573" s="26"/>
    </row>
    <row r="574" ht="17.25" customHeight="1">
      <c r="A574" s="25" t="s">
        <v>1333</v>
      </c>
      <c r="B574" s="25" t="s">
        <v>1333</v>
      </c>
      <c r="C574" s="25" t="s">
        <v>1333</v>
      </c>
      <c r="D574" s="25"/>
      <c r="F574" s="26"/>
      <c r="U574" s="26"/>
      <c r="V574" s="26"/>
      <c r="W574" s="26"/>
      <c r="X574" s="26"/>
      <c r="Y574" s="26"/>
      <c r="Z574" s="26"/>
      <c r="AA574" s="26"/>
      <c r="AB574" s="26"/>
    </row>
    <row r="575" ht="17.25" customHeight="1">
      <c r="A575" s="25" t="s">
        <v>1333</v>
      </c>
      <c r="B575" s="25" t="s">
        <v>1333</v>
      </c>
      <c r="C575" s="25" t="s">
        <v>1333</v>
      </c>
      <c r="D575" s="25"/>
      <c r="F575" s="26"/>
      <c r="U575" s="26"/>
      <c r="V575" s="26"/>
      <c r="W575" s="26"/>
      <c r="X575" s="26"/>
      <c r="Y575" s="26"/>
      <c r="Z575" s="26"/>
      <c r="AA575" s="26"/>
      <c r="AB575" s="26"/>
    </row>
    <row r="576" ht="17.25" customHeight="1">
      <c r="A576" s="25" t="s">
        <v>1333</v>
      </c>
      <c r="B576" s="25" t="s">
        <v>1333</v>
      </c>
      <c r="C576" s="25" t="s">
        <v>1333</v>
      </c>
      <c r="D576" s="25"/>
      <c r="F576" s="26"/>
      <c r="U576" s="26"/>
      <c r="V576" s="26"/>
      <c r="W576" s="26"/>
      <c r="X576" s="26"/>
      <c r="Y576" s="26"/>
      <c r="Z576" s="26"/>
      <c r="AA576" s="26"/>
      <c r="AB576" s="26"/>
    </row>
    <row r="577" ht="17.25" customHeight="1">
      <c r="A577" s="25" t="s">
        <v>1333</v>
      </c>
      <c r="B577" s="25" t="s">
        <v>1333</v>
      </c>
      <c r="C577" s="25" t="s">
        <v>1333</v>
      </c>
      <c r="D577" s="25"/>
      <c r="F577" s="26"/>
      <c r="U577" s="26"/>
      <c r="V577" s="26"/>
      <c r="W577" s="26"/>
      <c r="X577" s="26"/>
      <c r="Y577" s="26"/>
      <c r="Z577" s="26"/>
      <c r="AA577" s="26"/>
      <c r="AB577" s="26"/>
    </row>
    <row r="578" ht="17.25" customHeight="1">
      <c r="A578" s="25" t="s">
        <v>1333</v>
      </c>
      <c r="B578" s="25" t="s">
        <v>1333</v>
      </c>
      <c r="C578" s="25" t="s">
        <v>1333</v>
      </c>
      <c r="D578" s="25"/>
      <c r="F578" s="26"/>
      <c r="U578" s="26"/>
      <c r="V578" s="26"/>
      <c r="W578" s="26"/>
      <c r="X578" s="26"/>
      <c r="Y578" s="26"/>
      <c r="Z578" s="26"/>
      <c r="AA578" s="26"/>
      <c r="AB578" s="26"/>
    </row>
    <row r="579" ht="17.25" customHeight="1">
      <c r="A579" s="25" t="s">
        <v>1333</v>
      </c>
      <c r="B579" s="25" t="s">
        <v>1333</v>
      </c>
      <c r="C579" s="25" t="s">
        <v>1333</v>
      </c>
      <c r="D579" s="25"/>
      <c r="F579" s="26"/>
      <c r="U579" s="26"/>
      <c r="V579" s="26"/>
      <c r="W579" s="26"/>
      <c r="X579" s="26"/>
      <c r="Y579" s="26"/>
      <c r="Z579" s="26"/>
      <c r="AA579" s="26"/>
      <c r="AB579" s="26"/>
    </row>
    <row r="580" ht="17.25" customHeight="1">
      <c r="A580" s="25" t="s">
        <v>1333</v>
      </c>
      <c r="B580" s="25" t="s">
        <v>1333</v>
      </c>
      <c r="C580" s="25" t="s">
        <v>1333</v>
      </c>
      <c r="D580" s="25"/>
      <c r="F580" s="26"/>
      <c r="U580" s="26"/>
      <c r="V580" s="26"/>
      <c r="W580" s="26"/>
      <c r="X580" s="26"/>
      <c r="Y580" s="26"/>
      <c r="Z580" s="26"/>
      <c r="AA580" s="26"/>
      <c r="AB580" s="26"/>
    </row>
    <row r="581" ht="17.25" customHeight="1">
      <c r="A581" s="25" t="s">
        <v>1333</v>
      </c>
      <c r="B581" s="25" t="s">
        <v>1333</v>
      </c>
      <c r="C581" s="25" t="s">
        <v>1333</v>
      </c>
      <c r="D581" s="25"/>
      <c r="F581" s="26"/>
      <c r="U581" s="26"/>
      <c r="V581" s="26"/>
      <c r="W581" s="26"/>
      <c r="X581" s="26"/>
      <c r="Y581" s="26"/>
      <c r="Z581" s="26"/>
      <c r="AA581" s="26"/>
      <c r="AB581" s="26"/>
    </row>
    <row r="582" ht="17.25" customHeight="1">
      <c r="A582" s="25" t="s">
        <v>1333</v>
      </c>
      <c r="B582" s="25" t="s">
        <v>1333</v>
      </c>
      <c r="C582" s="25" t="s">
        <v>1333</v>
      </c>
      <c r="D582" s="25"/>
      <c r="F582" s="26"/>
      <c r="U582" s="26"/>
      <c r="V582" s="26"/>
      <c r="W582" s="26"/>
      <c r="X582" s="26"/>
      <c r="Y582" s="26"/>
      <c r="Z582" s="26"/>
      <c r="AA582" s="26"/>
      <c r="AB582" s="26"/>
    </row>
    <row r="583" ht="17.25" customHeight="1">
      <c r="A583" s="25" t="s">
        <v>1333</v>
      </c>
      <c r="B583" s="25" t="s">
        <v>1333</v>
      </c>
      <c r="C583" s="25" t="s">
        <v>1333</v>
      </c>
      <c r="D583" s="25"/>
      <c r="F583" s="26"/>
      <c r="U583" s="26"/>
      <c r="V583" s="26"/>
      <c r="W583" s="26"/>
      <c r="X583" s="26"/>
      <c r="Y583" s="26"/>
      <c r="Z583" s="26"/>
      <c r="AA583" s="26"/>
      <c r="AB583" s="26"/>
    </row>
    <row r="584" ht="17.25" customHeight="1">
      <c r="A584" s="25" t="s">
        <v>1333</v>
      </c>
      <c r="B584" s="25" t="s">
        <v>1333</v>
      </c>
      <c r="C584" s="25" t="s">
        <v>1333</v>
      </c>
      <c r="D584" s="25"/>
      <c r="F584" s="26"/>
      <c r="U584" s="26"/>
      <c r="V584" s="26"/>
      <c r="W584" s="26"/>
      <c r="X584" s="26"/>
      <c r="Y584" s="26"/>
      <c r="Z584" s="26"/>
      <c r="AA584" s="26"/>
      <c r="AB584" s="26"/>
    </row>
    <row r="585" ht="17.25" customHeight="1">
      <c r="A585" s="25" t="s">
        <v>1333</v>
      </c>
      <c r="B585" s="25" t="s">
        <v>1333</v>
      </c>
      <c r="C585" s="25" t="s">
        <v>1333</v>
      </c>
      <c r="D585" s="25"/>
      <c r="F585" s="26"/>
      <c r="U585" s="26"/>
      <c r="V585" s="26"/>
      <c r="W585" s="26"/>
      <c r="X585" s="26"/>
      <c r="Y585" s="26"/>
      <c r="Z585" s="26"/>
      <c r="AA585" s="26"/>
      <c r="AB585" s="26"/>
    </row>
    <row r="586" ht="17.25" customHeight="1">
      <c r="A586" s="25" t="s">
        <v>1333</v>
      </c>
      <c r="B586" s="25" t="s">
        <v>1333</v>
      </c>
      <c r="C586" s="25" t="s">
        <v>1333</v>
      </c>
      <c r="D586" s="25"/>
      <c r="F586" s="26"/>
      <c r="U586" s="26"/>
      <c r="V586" s="26"/>
      <c r="W586" s="26"/>
      <c r="X586" s="26"/>
      <c r="Y586" s="26"/>
      <c r="Z586" s="26"/>
      <c r="AA586" s="26"/>
      <c r="AB586" s="26"/>
    </row>
    <row r="587" ht="17.25" customHeight="1">
      <c r="A587" s="25" t="s">
        <v>1333</v>
      </c>
      <c r="B587" s="25" t="s">
        <v>1333</v>
      </c>
      <c r="C587" s="25" t="s">
        <v>1333</v>
      </c>
      <c r="D587" s="25"/>
      <c r="F587" s="26"/>
      <c r="U587" s="26"/>
      <c r="V587" s="26"/>
      <c r="W587" s="26"/>
      <c r="X587" s="26"/>
      <c r="Y587" s="26"/>
      <c r="Z587" s="26"/>
      <c r="AA587" s="26"/>
      <c r="AB587" s="26"/>
    </row>
    <row r="588" ht="17.25" customHeight="1">
      <c r="A588" s="25" t="s">
        <v>1333</v>
      </c>
      <c r="B588" s="25" t="s">
        <v>1333</v>
      </c>
      <c r="C588" s="25" t="s">
        <v>1333</v>
      </c>
      <c r="D588" s="25"/>
      <c r="F588" s="26"/>
      <c r="U588" s="26"/>
      <c r="V588" s="26"/>
      <c r="W588" s="26"/>
      <c r="X588" s="26"/>
      <c r="Y588" s="26"/>
      <c r="Z588" s="26"/>
      <c r="AA588" s="26"/>
      <c r="AB588" s="26"/>
    </row>
    <row r="589" ht="17.25" customHeight="1">
      <c r="A589" s="25" t="s">
        <v>1333</v>
      </c>
      <c r="B589" s="25" t="s">
        <v>1333</v>
      </c>
      <c r="C589" s="25" t="s">
        <v>1333</v>
      </c>
      <c r="D589" s="25"/>
      <c r="F589" s="26"/>
      <c r="U589" s="26"/>
      <c r="V589" s="26"/>
      <c r="W589" s="26"/>
      <c r="X589" s="26"/>
      <c r="Y589" s="26"/>
      <c r="Z589" s="26"/>
      <c r="AA589" s="26"/>
      <c r="AB589" s="26"/>
    </row>
    <row r="590" ht="17.25" customHeight="1">
      <c r="A590" s="25" t="s">
        <v>1333</v>
      </c>
      <c r="B590" s="25" t="s">
        <v>1333</v>
      </c>
      <c r="C590" s="25" t="s">
        <v>1333</v>
      </c>
      <c r="D590" s="25"/>
      <c r="F590" s="26"/>
      <c r="U590" s="26"/>
      <c r="V590" s="26"/>
      <c r="W590" s="26"/>
      <c r="X590" s="26"/>
      <c r="Y590" s="26"/>
      <c r="Z590" s="26"/>
      <c r="AA590" s="26"/>
      <c r="AB590" s="26"/>
    </row>
    <row r="591" ht="17.25" customHeight="1">
      <c r="A591" s="25" t="s">
        <v>1333</v>
      </c>
      <c r="B591" s="25" t="s">
        <v>1333</v>
      </c>
      <c r="C591" s="25" t="s">
        <v>1333</v>
      </c>
      <c r="D591" s="25"/>
      <c r="F591" s="26"/>
      <c r="U591" s="26"/>
      <c r="V591" s="26"/>
      <c r="W591" s="26"/>
      <c r="X591" s="26"/>
      <c r="Y591" s="26"/>
      <c r="Z591" s="26"/>
      <c r="AA591" s="26"/>
      <c r="AB591" s="26"/>
    </row>
    <row r="592" ht="17.25" customHeight="1">
      <c r="A592" s="25" t="s">
        <v>1333</v>
      </c>
      <c r="B592" s="25" t="s">
        <v>1333</v>
      </c>
      <c r="C592" s="25" t="s">
        <v>1333</v>
      </c>
      <c r="D592" s="25"/>
      <c r="F592" s="26"/>
      <c r="U592" s="26"/>
      <c r="V592" s="26"/>
      <c r="W592" s="26"/>
      <c r="X592" s="26"/>
      <c r="Y592" s="26"/>
      <c r="Z592" s="26"/>
      <c r="AA592" s="26"/>
      <c r="AB592" s="26"/>
    </row>
    <row r="593" ht="17.25" customHeight="1">
      <c r="A593" s="25" t="s">
        <v>1333</v>
      </c>
      <c r="B593" s="25" t="s">
        <v>1333</v>
      </c>
      <c r="C593" s="25" t="s">
        <v>1333</v>
      </c>
      <c r="D593" s="25"/>
      <c r="F593" s="26"/>
      <c r="U593" s="26"/>
      <c r="V593" s="26"/>
      <c r="W593" s="26"/>
      <c r="X593" s="26"/>
      <c r="Y593" s="26"/>
      <c r="Z593" s="26"/>
      <c r="AA593" s="26"/>
      <c r="AB593" s="26"/>
    </row>
    <row r="594" ht="17.25" customHeight="1">
      <c r="A594" s="25" t="s">
        <v>1333</v>
      </c>
      <c r="B594" s="25" t="s">
        <v>1333</v>
      </c>
      <c r="C594" s="25" t="s">
        <v>1333</v>
      </c>
      <c r="D594" s="25"/>
      <c r="F594" s="26"/>
      <c r="U594" s="26"/>
      <c r="V594" s="26"/>
      <c r="W594" s="26"/>
      <c r="X594" s="26"/>
      <c r="Y594" s="26"/>
      <c r="Z594" s="26"/>
      <c r="AA594" s="26"/>
      <c r="AB594" s="26"/>
    </row>
    <row r="595" ht="17.25" customHeight="1">
      <c r="A595" s="25" t="s">
        <v>1333</v>
      </c>
      <c r="B595" s="25" t="s">
        <v>1333</v>
      </c>
      <c r="C595" s="25" t="s">
        <v>1333</v>
      </c>
      <c r="D595" s="25"/>
      <c r="F595" s="26"/>
      <c r="U595" s="26"/>
      <c r="V595" s="26"/>
      <c r="W595" s="26"/>
      <c r="X595" s="26"/>
      <c r="Y595" s="26"/>
      <c r="Z595" s="26"/>
      <c r="AA595" s="26"/>
      <c r="AB595" s="26"/>
    </row>
    <row r="596" ht="17.25" customHeight="1">
      <c r="A596" s="25" t="s">
        <v>1333</v>
      </c>
      <c r="B596" s="25" t="s">
        <v>1333</v>
      </c>
      <c r="C596" s="25" t="s">
        <v>1333</v>
      </c>
      <c r="D596" s="25"/>
      <c r="F596" s="26"/>
      <c r="U596" s="26"/>
      <c r="V596" s="26"/>
      <c r="W596" s="26"/>
      <c r="X596" s="26"/>
      <c r="Y596" s="26"/>
      <c r="Z596" s="26"/>
      <c r="AA596" s="26"/>
      <c r="AB596" s="26"/>
    </row>
    <row r="597" ht="17.25" customHeight="1">
      <c r="A597" s="25" t="s">
        <v>1333</v>
      </c>
      <c r="B597" s="25" t="s">
        <v>1333</v>
      </c>
      <c r="C597" s="25" t="s">
        <v>1333</v>
      </c>
      <c r="D597" s="25"/>
      <c r="F597" s="26"/>
      <c r="U597" s="26"/>
      <c r="V597" s="26"/>
      <c r="W597" s="26"/>
      <c r="X597" s="26"/>
      <c r="Y597" s="26"/>
      <c r="Z597" s="26"/>
      <c r="AA597" s="26"/>
      <c r="AB597" s="26"/>
    </row>
    <row r="598" ht="17.25" customHeight="1">
      <c r="A598" s="25" t="s">
        <v>1333</v>
      </c>
      <c r="B598" s="25" t="s">
        <v>1333</v>
      </c>
      <c r="C598" s="25" t="s">
        <v>1333</v>
      </c>
      <c r="D598" s="25"/>
      <c r="F598" s="26"/>
      <c r="U598" s="26"/>
      <c r="V598" s="26"/>
      <c r="W598" s="26"/>
      <c r="X598" s="26"/>
      <c r="Y598" s="26"/>
      <c r="Z598" s="26"/>
      <c r="AA598" s="26"/>
      <c r="AB598" s="26"/>
    </row>
    <row r="599" ht="17.25" customHeight="1">
      <c r="A599" s="25" t="s">
        <v>1333</v>
      </c>
      <c r="B599" s="25" t="s">
        <v>1333</v>
      </c>
      <c r="C599" s="25" t="s">
        <v>1333</v>
      </c>
      <c r="D599" s="25"/>
      <c r="F599" s="26"/>
      <c r="U599" s="26"/>
      <c r="V599" s="26"/>
      <c r="W599" s="26"/>
      <c r="X599" s="26"/>
      <c r="Y599" s="26"/>
      <c r="Z599" s="26"/>
      <c r="AA599" s="26"/>
      <c r="AB599" s="26"/>
    </row>
    <row r="600" ht="17.25" customHeight="1">
      <c r="A600" s="25" t="s">
        <v>1333</v>
      </c>
      <c r="B600" s="25" t="s">
        <v>1333</v>
      </c>
      <c r="C600" s="25" t="s">
        <v>1333</v>
      </c>
      <c r="D600" s="25"/>
      <c r="F600" s="26"/>
      <c r="U600" s="26"/>
      <c r="V600" s="26"/>
      <c r="W600" s="26"/>
      <c r="X600" s="26"/>
      <c r="Y600" s="26"/>
      <c r="Z600" s="26"/>
      <c r="AA600" s="26"/>
      <c r="AB600" s="26"/>
    </row>
    <row r="601" ht="17.25" customHeight="1">
      <c r="A601" s="25" t="s">
        <v>1333</v>
      </c>
      <c r="B601" s="25" t="s">
        <v>1333</v>
      </c>
      <c r="C601" s="25" t="s">
        <v>1333</v>
      </c>
      <c r="D601" s="25"/>
      <c r="F601" s="26"/>
      <c r="U601" s="26"/>
      <c r="V601" s="26"/>
      <c r="W601" s="26"/>
      <c r="X601" s="26"/>
      <c r="Y601" s="26"/>
      <c r="Z601" s="26"/>
      <c r="AA601" s="26"/>
      <c r="AB601" s="26"/>
    </row>
    <row r="602" ht="17.25" customHeight="1">
      <c r="A602" s="25" t="s">
        <v>1333</v>
      </c>
      <c r="B602" s="25" t="s">
        <v>1333</v>
      </c>
      <c r="C602" s="25" t="s">
        <v>1333</v>
      </c>
      <c r="D602" s="25"/>
      <c r="F602" s="26"/>
      <c r="U602" s="26"/>
      <c r="V602" s="26"/>
      <c r="W602" s="26"/>
      <c r="X602" s="26"/>
      <c r="Y602" s="26"/>
      <c r="Z602" s="26"/>
      <c r="AA602" s="26"/>
      <c r="AB602" s="26"/>
    </row>
    <row r="603" ht="17.25" customHeight="1">
      <c r="A603" s="25" t="s">
        <v>1333</v>
      </c>
      <c r="B603" s="25" t="s">
        <v>1333</v>
      </c>
      <c r="C603" s="25" t="s">
        <v>1333</v>
      </c>
      <c r="D603" s="25"/>
      <c r="F603" s="26"/>
      <c r="U603" s="26"/>
      <c r="V603" s="26"/>
      <c r="W603" s="26"/>
      <c r="X603" s="26"/>
      <c r="Y603" s="26"/>
      <c r="Z603" s="26"/>
      <c r="AA603" s="26"/>
      <c r="AB603" s="26"/>
    </row>
    <row r="604" ht="17.25" customHeight="1">
      <c r="A604" s="25" t="s">
        <v>1333</v>
      </c>
      <c r="B604" s="25" t="s">
        <v>1333</v>
      </c>
      <c r="C604" s="25" t="s">
        <v>1333</v>
      </c>
      <c r="D604" s="25"/>
      <c r="F604" s="26"/>
      <c r="U604" s="26"/>
      <c r="V604" s="26"/>
      <c r="W604" s="26"/>
      <c r="X604" s="26"/>
      <c r="Y604" s="26"/>
      <c r="Z604" s="26"/>
      <c r="AA604" s="26"/>
      <c r="AB604" s="26"/>
    </row>
    <row r="605" ht="17.25" customHeight="1">
      <c r="A605" s="25" t="s">
        <v>1333</v>
      </c>
      <c r="B605" s="25" t="s">
        <v>1333</v>
      </c>
      <c r="C605" s="25" t="s">
        <v>1333</v>
      </c>
      <c r="D605" s="25"/>
      <c r="F605" s="26"/>
      <c r="U605" s="26"/>
      <c r="V605" s="26"/>
      <c r="W605" s="26"/>
      <c r="X605" s="26"/>
      <c r="Y605" s="26"/>
      <c r="Z605" s="26"/>
      <c r="AA605" s="26"/>
      <c r="AB605" s="26"/>
    </row>
    <row r="606" ht="17.25" customHeight="1">
      <c r="A606" s="25" t="s">
        <v>1333</v>
      </c>
      <c r="B606" s="25" t="s">
        <v>1333</v>
      </c>
      <c r="C606" s="25" t="s">
        <v>1333</v>
      </c>
      <c r="D606" s="25"/>
      <c r="F606" s="26"/>
      <c r="U606" s="26"/>
      <c r="V606" s="26"/>
      <c r="W606" s="26"/>
      <c r="X606" s="26"/>
      <c r="Y606" s="26"/>
      <c r="Z606" s="26"/>
      <c r="AA606" s="26"/>
      <c r="AB606" s="26"/>
    </row>
    <row r="607" ht="17.25" customHeight="1">
      <c r="A607" s="25" t="s">
        <v>1333</v>
      </c>
      <c r="B607" s="25" t="s">
        <v>1333</v>
      </c>
      <c r="C607" s="25" t="s">
        <v>1333</v>
      </c>
      <c r="D607" s="25"/>
      <c r="F607" s="26"/>
      <c r="U607" s="26"/>
      <c r="V607" s="26"/>
      <c r="W607" s="26"/>
      <c r="X607" s="26"/>
      <c r="Y607" s="26"/>
      <c r="Z607" s="26"/>
      <c r="AA607" s="26"/>
      <c r="AB607" s="26"/>
    </row>
    <row r="608" ht="17.25" customHeight="1">
      <c r="A608" s="25" t="s">
        <v>1333</v>
      </c>
      <c r="B608" s="25" t="s">
        <v>1333</v>
      </c>
      <c r="C608" s="25" t="s">
        <v>1333</v>
      </c>
      <c r="D608" s="25"/>
      <c r="F608" s="26"/>
      <c r="U608" s="26"/>
      <c r="V608" s="26"/>
      <c r="W608" s="26"/>
      <c r="X608" s="26"/>
      <c r="Y608" s="26"/>
      <c r="Z608" s="26"/>
      <c r="AA608" s="26"/>
      <c r="AB608" s="26"/>
    </row>
    <row r="609" ht="17.25" customHeight="1">
      <c r="A609" s="25" t="s">
        <v>1333</v>
      </c>
      <c r="B609" s="25" t="s">
        <v>1333</v>
      </c>
      <c r="C609" s="25" t="s">
        <v>1333</v>
      </c>
      <c r="D609" s="25"/>
      <c r="F609" s="26"/>
      <c r="U609" s="26"/>
      <c r="V609" s="26"/>
      <c r="W609" s="26"/>
      <c r="X609" s="26"/>
      <c r="Y609" s="26"/>
      <c r="Z609" s="26"/>
      <c r="AA609" s="26"/>
      <c r="AB609" s="26"/>
    </row>
    <row r="610" ht="17.25" customHeight="1">
      <c r="A610" s="25" t="s">
        <v>1333</v>
      </c>
      <c r="B610" s="25" t="s">
        <v>1333</v>
      </c>
      <c r="C610" s="25" t="s">
        <v>1333</v>
      </c>
      <c r="D610" s="25"/>
      <c r="F610" s="26"/>
      <c r="U610" s="26"/>
      <c r="V610" s="26"/>
      <c r="W610" s="26"/>
      <c r="X610" s="26"/>
      <c r="Y610" s="26"/>
      <c r="Z610" s="26"/>
      <c r="AA610" s="26"/>
      <c r="AB610" s="26"/>
    </row>
    <row r="611" ht="17.25" customHeight="1">
      <c r="A611" s="25" t="s">
        <v>1333</v>
      </c>
      <c r="B611" s="25" t="s">
        <v>1333</v>
      </c>
      <c r="C611" s="25" t="s">
        <v>1333</v>
      </c>
      <c r="D611" s="25"/>
      <c r="F611" s="26"/>
      <c r="U611" s="26"/>
      <c r="V611" s="26"/>
      <c r="W611" s="26"/>
      <c r="X611" s="26"/>
      <c r="Y611" s="26"/>
      <c r="Z611" s="26"/>
      <c r="AA611" s="26"/>
      <c r="AB611" s="26"/>
    </row>
    <row r="612" ht="17.25" customHeight="1">
      <c r="A612" s="25" t="s">
        <v>1333</v>
      </c>
      <c r="B612" s="25" t="s">
        <v>1333</v>
      </c>
      <c r="C612" s="25" t="s">
        <v>1333</v>
      </c>
      <c r="D612" s="25"/>
      <c r="F612" s="26"/>
      <c r="U612" s="26"/>
      <c r="V612" s="26"/>
      <c r="W612" s="26"/>
      <c r="X612" s="26"/>
      <c r="Y612" s="26"/>
      <c r="Z612" s="26"/>
      <c r="AA612" s="26"/>
      <c r="AB612" s="26"/>
    </row>
    <row r="613" ht="17.25" customHeight="1">
      <c r="A613" s="25" t="s">
        <v>1333</v>
      </c>
      <c r="B613" s="25" t="s">
        <v>1333</v>
      </c>
      <c r="C613" s="25" t="s">
        <v>1333</v>
      </c>
      <c r="D613" s="25"/>
      <c r="F613" s="26"/>
      <c r="U613" s="26"/>
      <c r="V613" s="26"/>
      <c r="W613" s="26"/>
      <c r="X613" s="26"/>
      <c r="Y613" s="26"/>
      <c r="Z613" s="26"/>
      <c r="AA613" s="26"/>
      <c r="AB613" s="26"/>
    </row>
    <row r="614" ht="17.25" customHeight="1">
      <c r="A614" s="25" t="s">
        <v>1333</v>
      </c>
      <c r="B614" s="25" t="s">
        <v>1333</v>
      </c>
      <c r="C614" s="25" t="s">
        <v>1333</v>
      </c>
      <c r="D614" s="25"/>
      <c r="F614" s="26"/>
      <c r="U614" s="26"/>
      <c r="V614" s="26"/>
      <c r="W614" s="26"/>
      <c r="X614" s="26"/>
      <c r="Y614" s="26"/>
      <c r="Z614" s="26"/>
      <c r="AA614" s="26"/>
      <c r="AB614" s="26"/>
    </row>
    <row r="615" ht="17.25" customHeight="1">
      <c r="A615" s="25" t="s">
        <v>1333</v>
      </c>
      <c r="B615" s="25" t="s">
        <v>1333</v>
      </c>
      <c r="C615" s="25" t="s">
        <v>1333</v>
      </c>
      <c r="D615" s="25"/>
      <c r="F615" s="26"/>
      <c r="U615" s="26"/>
      <c r="V615" s="26"/>
      <c r="W615" s="26"/>
      <c r="X615" s="26"/>
      <c r="Y615" s="26"/>
      <c r="Z615" s="26"/>
      <c r="AA615" s="26"/>
      <c r="AB615" s="26"/>
    </row>
    <row r="616" ht="17.25" customHeight="1">
      <c r="A616" s="25" t="s">
        <v>1333</v>
      </c>
      <c r="B616" s="25" t="s">
        <v>1333</v>
      </c>
      <c r="C616" s="25" t="s">
        <v>1333</v>
      </c>
      <c r="D616" s="25"/>
      <c r="F616" s="26"/>
      <c r="U616" s="26"/>
      <c r="V616" s="26"/>
      <c r="W616" s="26"/>
      <c r="X616" s="26"/>
      <c r="Y616" s="26"/>
      <c r="Z616" s="26"/>
      <c r="AA616" s="26"/>
      <c r="AB616" s="26"/>
    </row>
    <row r="617" ht="17.25" customHeight="1">
      <c r="A617" s="25" t="s">
        <v>1333</v>
      </c>
      <c r="B617" s="25" t="s">
        <v>1333</v>
      </c>
      <c r="C617" s="25" t="s">
        <v>1333</v>
      </c>
      <c r="D617" s="25"/>
      <c r="F617" s="26"/>
      <c r="U617" s="26"/>
      <c r="V617" s="26"/>
      <c r="W617" s="26"/>
      <c r="X617" s="26"/>
      <c r="Y617" s="26"/>
      <c r="Z617" s="26"/>
      <c r="AA617" s="26"/>
      <c r="AB617" s="26"/>
    </row>
    <row r="618" ht="17.25" customHeight="1">
      <c r="A618" s="25" t="s">
        <v>1333</v>
      </c>
      <c r="B618" s="25" t="s">
        <v>1333</v>
      </c>
      <c r="C618" s="25" t="s">
        <v>1333</v>
      </c>
      <c r="D618" s="25"/>
      <c r="F618" s="26"/>
      <c r="U618" s="26"/>
      <c r="V618" s="26"/>
      <c r="W618" s="26"/>
      <c r="X618" s="26"/>
      <c r="Y618" s="26"/>
      <c r="Z618" s="26"/>
      <c r="AA618" s="26"/>
      <c r="AB618" s="26"/>
    </row>
    <row r="619" ht="17.25" customHeight="1">
      <c r="A619" s="25" t="s">
        <v>1333</v>
      </c>
      <c r="B619" s="25" t="s">
        <v>1333</v>
      </c>
      <c r="C619" s="25" t="s">
        <v>1333</v>
      </c>
      <c r="D619" s="25"/>
      <c r="F619" s="26"/>
      <c r="U619" s="26"/>
      <c r="V619" s="26"/>
      <c r="W619" s="26"/>
      <c r="X619" s="26"/>
      <c r="Y619" s="26"/>
      <c r="Z619" s="26"/>
      <c r="AA619" s="26"/>
      <c r="AB619" s="26"/>
    </row>
    <row r="620" ht="17.25" customHeight="1">
      <c r="A620" s="25" t="s">
        <v>1333</v>
      </c>
      <c r="B620" s="25" t="s">
        <v>1333</v>
      </c>
      <c r="C620" s="25" t="s">
        <v>1333</v>
      </c>
      <c r="D620" s="25"/>
      <c r="F620" s="26"/>
      <c r="U620" s="26"/>
      <c r="V620" s="26"/>
      <c r="W620" s="26"/>
      <c r="X620" s="26"/>
      <c r="Y620" s="26"/>
      <c r="Z620" s="26"/>
      <c r="AA620" s="26"/>
      <c r="AB620" s="26"/>
    </row>
    <row r="621" ht="17.25" customHeight="1">
      <c r="A621" s="25" t="s">
        <v>1333</v>
      </c>
      <c r="B621" s="25" t="s">
        <v>1333</v>
      </c>
      <c r="C621" s="25" t="s">
        <v>1333</v>
      </c>
      <c r="D621" s="25"/>
      <c r="F621" s="26"/>
      <c r="U621" s="26"/>
      <c r="V621" s="26"/>
      <c r="W621" s="26"/>
      <c r="X621" s="26"/>
      <c r="Y621" s="26"/>
      <c r="Z621" s="26"/>
      <c r="AA621" s="26"/>
      <c r="AB621" s="26"/>
    </row>
    <row r="622" ht="17.25" customHeight="1">
      <c r="A622" s="25" t="s">
        <v>1333</v>
      </c>
      <c r="B622" s="25" t="s">
        <v>1333</v>
      </c>
      <c r="C622" s="25" t="s">
        <v>1333</v>
      </c>
      <c r="D622" s="25"/>
      <c r="F622" s="26"/>
      <c r="U622" s="26"/>
      <c r="V622" s="26"/>
      <c r="W622" s="26"/>
      <c r="X622" s="26"/>
      <c r="Y622" s="26"/>
      <c r="Z622" s="26"/>
      <c r="AA622" s="26"/>
      <c r="AB622" s="26"/>
    </row>
    <row r="623" ht="17.25" customHeight="1">
      <c r="A623" s="25" t="s">
        <v>1333</v>
      </c>
      <c r="B623" s="25" t="s">
        <v>1333</v>
      </c>
      <c r="C623" s="25" t="s">
        <v>1333</v>
      </c>
      <c r="D623" s="25"/>
      <c r="F623" s="26"/>
      <c r="U623" s="26"/>
      <c r="V623" s="26"/>
      <c r="W623" s="26"/>
      <c r="X623" s="26"/>
      <c r="Y623" s="26"/>
      <c r="Z623" s="26"/>
      <c r="AA623" s="26"/>
      <c r="AB623" s="26"/>
    </row>
    <row r="624" ht="17.25" customHeight="1">
      <c r="A624" s="25" t="s">
        <v>1333</v>
      </c>
      <c r="B624" s="25" t="s">
        <v>1333</v>
      </c>
      <c r="C624" s="25" t="s">
        <v>1333</v>
      </c>
      <c r="D624" s="25"/>
      <c r="F624" s="26"/>
      <c r="U624" s="26"/>
      <c r="V624" s="26"/>
      <c r="W624" s="26"/>
      <c r="X624" s="26"/>
      <c r="Y624" s="26"/>
      <c r="Z624" s="26"/>
      <c r="AA624" s="26"/>
      <c r="AB624" s="26"/>
    </row>
    <row r="625" ht="17.25" customHeight="1">
      <c r="A625" s="25" t="s">
        <v>1333</v>
      </c>
      <c r="B625" s="25" t="s">
        <v>1333</v>
      </c>
      <c r="C625" s="25" t="s">
        <v>1333</v>
      </c>
      <c r="D625" s="25"/>
      <c r="F625" s="26"/>
      <c r="U625" s="26"/>
      <c r="V625" s="26"/>
      <c r="W625" s="26"/>
      <c r="X625" s="26"/>
      <c r="Y625" s="26"/>
      <c r="Z625" s="26"/>
      <c r="AA625" s="26"/>
      <c r="AB625" s="26"/>
    </row>
    <row r="626" ht="17.25" customHeight="1">
      <c r="A626" s="25" t="s">
        <v>1333</v>
      </c>
      <c r="B626" s="25" t="s">
        <v>1333</v>
      </c>
      <c r="C626" s="25" t="s">
        <v>1333</v>
      </c>
      <c r="D626" s="25"/>
      <c r="F626" s="26"/>
      <c r="U626" s="26"/>
      <c r="V626" s="26"/>
      <c r="W626" s="26"/>
      <c r="X626" s="26"/>
      <c r="Y626" s="26"/>
      <c r="Z626" s="26"/>
      <c r="AA626" s="26"/>
      <c r="AB626" s="26"/>
    </row>
    <row r="627" ht="17.25" customHeight="1">
      <c r="A627" s="25" t="s">
        <v>1333</v>
      </c>
      <c r="B627" s="25" t="s">
        <v>1333</v>
      </c>
      <c r="C627" s="25" t="s">
        <v>1333</v>
      </c>
      <c r="D627" s="25"/>
      <c r="F627" s="26"/>
      <c r="U627" s="26"/>
      <c r="V627" s="26"/>
      <c r="W627" s="26"/>
      <c r="X627" s="26"/>
      <c r="Y627" s="26"/>
      <c r="Z627" s="26"/>
      <c r="AA627" s="26"/>
      <c r="AB627" s="26"/>
    </row>
    <row r="628" ht="17.25" customHeight="1">
      <c r="A628" s="25" t="s">
        <v>1333</v>
      </c>
      <c r="B628" s="25" t="s">
        <v>1333</v>
      </c>
      <c r="C628" s="25" t="s">
        <v>1333</v>
      </c>
      <c r="D628" s="25"/>
      <c r="F628" s="26"/>
      <c r="U628" s="26"/>
      <c r="V628" s="26"/>
      <c r="W628" s="26"/>
      <c r="X628" s="26"/>
      <c r="Y628" s="26"/>
      <c r="Z628" s="26"/>
      <c r="AA628" s="26"/>
      <c r="AB628" s="26"/>
    </row>
    <row r="629" ht="17.25" customHeight="1">
      <c r="A629" s="25" t="s">
        <v>1333</v>
      </c>
      <c r="B629" s="25" t="s">
        <v>1333</v>
      </c>
      <c r="C629" s="25" t="s">
        <v>1333</v>
      </c>
      <c r="D629" s="25"/>
      <c r="F629" s="26"/>
      <c r="U629" s="26"/>
      <c r="V629" s="26"/>
      <c r="W629" s="26"/>
      <c r="X629" s="26"/>
      <c r="Y629" s="26"/>
      <c r="Z629" s="26"/>
      <c r="AA629" s="26"/>
      <c r="AB629" s="26"/>
    </row>
    <row r="630" ht="17.25" customHeight="1">
      <c r="A630" s="25" t="s">
        <v>1333</v>
      </c>
      <c r="B630" s="25" t="s">
        <v>1333</v>
      </c>
      <c r="C630" s="25" t="s">
        <v>1333</v>
      </c>
      <c r="D630" s="25"/>
      <c r="F630" s="26"/>
      <c r="U630" s="26"/>
      <c r="V630" s="26"/>
      <c r="W630" s="26"/>
      <c r="X630" s="26"/>
      <c r="Y630" s="26"/>
      <c r="Z630" s="26"/>
      <c r="AA630" s="26"/>
      <c r="AB630" s="26"/>
    </row>
    <row r="631" ht="17.25" customHeight="1">
      <c r="A631" s="25" t="s">
        <v>1333</v>
      </c>
      <c r="B631" s="25" t="s">
        <v>1333</v>
      </c>
      <c r="C631" s="25" t="s">
        <v>1333</v>
      </c>
      <c r="D631" s="25"/>
      <c r="F631" s="26"/>
      <c r="U631" s="26"/>
      <c r="V631" s="26"/>
      <c r="W631" s="26"/>
      <c r="X631" s="26"/>
      <c r="Y631" s="26"/>
      <c r="Z631" s="26"/>
      <c r="AA631" s="26"/>
      <c r="AB631" s="26"/>
    </row>
    <row r="632" ht="17.25" customHeight="1">
      <c r="A632" s="25" t="s">
        <v>1333</v>
      </c>
      <c r="B632" s="25" t="s">
        <v>1333</v>
      </c>
      <c r="C632" s="25" t="s">
        <v>1333</v>
      </c>
      <c r="D632" s="25"/>
      <c r="F632" s="26"/>
      <c r="U632" s="26"/>
      <c r="V632" s="26"/>
      <c r="W632" s="26"/>
      <c r="X632" s="26"/>
      <c r="Y632" s="26"/>
      <c r="Z632" s="26"/>
      <c r="AA632" s="26"/>
      <c r="AB632" s="26"/>
    </row>
    <row r="633" ht="17.25" customHeight="1">
      <c r="A633" s="25" t="s">
        <v>1333</v>
      </c>
      <c r="B633" s="25" t="s">
        <v>1333</v>
      </c>
      <c r="C633" s="25" t="s">
        <v>1333</v>
      </c>
      <c r="D633" s="25"/>
      <c r="F633" s="26"/>
      <c r="U633" s="26"/>
      <c r="V633" s="26"/>
      <c r="W633" s="26"/>
      <c r="X633" s="26"/>
      <c r="Y633" s="26"/>
      <c r="Z633" s="26"/>
      <c r="AA633" s="26"/>
      <c r="AB633" s="26"/>
    </row>
    <row r="634" ht="17.25" customHeight="1">
      <c r="A634" s="25" t="s">
        <v>1333</v>
      </c>
      <c r="B634" s="25" t="s">
        <v>1333</v>
      </c>
      <c r="C634" s="25" t="s">
        <v>1333</v>
      </c>
      <c r="D634" s="25"/>
      <c r="F634" s="26"/>
      <c r="U634" s="26"/>
      <c r="V634" s="26"/>
      <c r="W634" s="26"/>
      <c r="X634" s="26"/>
      <c r="Y634" s="26"/>
      <c r="Z634" s="26"/>
      <c r="AA634" s="26"/>
      <c r="AB634" s="26"/>
    </row>
    <row r="635" ht="17.25" customHeight="1">
      <c r="A635" s="25" t="s">
        <v>1333</v>
      </c>
      <c r="B635" s="25" t="s">
        <v>1333</v>
      </c>
      <c r="C635" s="25" t="s">
        <v>1333</v>
      </c>
      <c r="D635" s="25"/>
      <c r="F635" s="26"/>
      <c r="U635" s="26"/>
      <c r="V635" s="26"/>
      <c r="W635" s="26"/>
      <c r="X635" s="26"/>
      <c r="Y635" s="26"/>
      <c r="Z635" s="26"/>
      <c r="AA635" s="26"/>
      <c r="AB635" s="26"/>
    </row>
    <row r="636" ht="17.25" customHeight="1">
      <c r="A636" s="25" t="s">
        <v>1333</v>
      </c>
      <c r="B636" s="25" t="s">
        <v>1333</v>
      </c>
      <c r="C636" s="25" t="s">
        <v>1333</v>
      </c>
      <c r="D636" s="25"/>
      <c r="F636" s="26"/>
      <c r="U636" s="26"/>
      <c r="V636" s="26"/>
      <c r="W636" s="26"/>
      <c r="X636" s="26"/>
      <c r="Y636" s="26"/>
      <c r="Z636" s="26"/>
      <c r="AA636" s="26"/>
      <c r="AB636" s="26"/>
    </row>
    <row r="637" ht="17.25" customHeight="1">
      <c r="A637" s="25" t="s">
        <v>1333</v>
      </c>
      <c r="B637" s="25" t="s">
        <v>1333</v>
      </c>
      <c r="C637" s="25" t="s">
        <v>1333</v>
      </c>
      <c r="D637" s="25"/>
      <c r="F637" s="26"/>
      <c r="U637" s="26"/>
      <c r="V637" s="26"/>
      <c r="W637" s="26"/>
      <c r="X637" s="26"/>
      <c r="Y637" s="26"/>
      <c r="Z637" s="26"/>
      <c r="AA637" s="26"/>
      <c r="AB637" s="26"/>
    </row>
    <row r="638" ht="17.25" customHeight="1">
      <c r="A638" s="25" t="s">
        <v>1333</v>
      </c>
      <c r="B638" s="25" t="s">
        <v>1333</v>
      </c>
      <c r="C638" s="25" t="s">
        <v>1333</v>
      </c>
      <c r="D638" s="25"/>
      <c r="F638" s="26"/>
      <c r="U638" s="26"/>
      <c r="V638" s="26"/>
      <c r="W638" s="26"/>
      <c r="X638" s="26"/>
      <c r="Y638" s="26"/>
      <c r="Z638" s="26"/>
      <c r="AA638" s="26"/>
      <c r="AB638" s="26"/>
    </row>
    <row r="639" ht="17.25" customHeight="1">
      <c r="A639" s="25" t="s">
        <v>1333</v>
      </c>
      <c r="B639" s="25" t="s">
        <v>1333</v>
      </c>
      <c r="C639" s="25" t="s">
        <v>1333</v>
      </c>
      <c r="D639" s="25"/>
      <c r="F639" s="26"/>
      <c r="U639" s="26"/>
      <c r="V639" s="26"/>
      <c r="W639" s="26"/>
      <c r="X639" s="26"/>
      <c r="Y639" s="26"/>
      <c r="Z639" s="26"/>
      <c r="AA639" s="26"/>
      <c r="AB639" s="26"/>
    </row>
    <row r="640" ht="17.25" customHeight="1">
      <c r="A640" s="25" t="s">
        <v>1333</v>
      </c>
      <c r="B640" s="25" t="s">
        <v>1333</v>
      </c>
      <c r="C640" s="25" t="s">
        <v>1333</v>
      </c>
      <c r="D640" s="25"/>
      <c r="F640" s="26"/>
      <c r="U640" s="26"/>
      <c r="V640" s="26"/>
      <c r="W640" s="26"/>
      <c r="X640" s="26"/>
      <c r="Y640" s="26"/>
      <c r="Z640" s="26"/>
      <c r="AA640" s="26"/>
      <c r="AB640" s="26"/>
    </row>
    <row r="641" ht="17.25" customHeight="1">
      <c r="A641" s="25" t="s">
        <v>1333</v>
      </c>
      <c r="B641" s="25" t="s">
        <v>1333</v>
      </c>
      <c r="C641" s="25" t="s">
        <v>1333</v>
      </c>
      <c r="D641" s="25"/>
      <c r="F641" s="26"/>
      <c r="U641" s="26"/>
      <c r="V641" s="26"/>
      <c r="W641" s="26"/>
      <c r="X641" s="26"/>
      <c r="Y641" s="26"/>
      <c r="Z641" s="26"/>
      <c r="AA641" s="26"/>
      <c r="AB641" s="26"/>
    </row>
    <row r="642" ht="17.25" customHeight="1">
      <c r="A642" s="25" t="s">
        <v>1333</v>
      </c>
      <c r="B642" s="25" t="s">
        <v>1333</v>
      </c>
      <c r="C642" s="25" t="s">
        <v>1333</v>
      </c>
      <c r="D642" s="25"/>
      <c r="F642" s="26"/>
      <c r="U642" s="26"/>
      <c r="V642" s="26"/>
      <c r="W642" s="26"/>
      <c r="X642" s="26"/>
      <c r="Y642" s="26"/>
      <c r="Z642" s="26"/>
      <c r="AA642" s="26"/>
      <c r="AB642" s="26"/>
    </row>
    <row r="643" ht="17.25" customHeight="1">
      <c r="A643" s="25" t="s">
        <v>1333</v>
      </c>
      <c r="B643" s="25" t="s">
        <v>1333</v>
      </c>
      <c r="C643" s="25" t="s">
        <v>1333</v>
      </c>
      <c r="D643" s="25"/>
      <c r="F643" s="26"/>
      <c r="U643" s="26"/>
      <c r="V643" s="26"/>
      <c r="W643" s="26"/>
      <c r="X643" s="26"/>
      <c r="Y643" s="26"/>
      <c r="Z643" s="26"/>
      <c r="AA643" s="26"/>
      <c r="AB643" s="26"/>
    </row>
    <row r="644" ht="17.25" customHeight="1">
      <c r="A644" s="25" t="s">
        <v>1333</v>
      </c>
      <c r="B644" s="25" t="s">
        <v>1333</v>
      </c>
      <c r="C644" s="25" t="s">
        <v>1333</v>
      </c>
      <c r="D644" s="25"/>
      <c r="F644" s="26"/>
      <c r="U644" s="26"/>
      <c r="V644" s="26"/>
      <c r="W644" s="26"/>
      <c r="X644" s="26"/>
      <c r="Y644" s="26"/>
      <c r="Z644" s="26"/>
      <c r="AA644" s="26"/>
      <c r="AB644" s="26"/>
    </row>
    <row r="645" ht="17.25" customHeight="1">
      <c r="A645" s="25" t="s">
        <v>1333</v>
      </c>
      <c r="B645" s="25" t="s">
        <v>1333</v>
      </c>
      <c r="C645" s="25" t="s">
        <v>1333</v>
      </c>
      <c r="D645" s="25"/>
      <c r="F645" s="26"/>
      <c r="U645" s="26"/>
      <c r="V645" s="26"/>
      <c r="W645" s="26"/>
      <c r="X645" s="26"/>
      <c r="Y645" s="26"/>
      <c r="Z645" s="26"/>
      <c r="AA645" s="26"/>
      <c r="AB645" s="26"/>
    </row>
    <row r="646" ht="17.25" customHeight="1">
      <c r="A646" s="25" t="s">
        <v>1333</v>
      </c>
      <c r="B646" s="25" t="s">
        <v>1333</v>
      </c>
      <c r="C646" s="25" t="s">
        <v>1333</v>
      </c>
      <c r="D646" s="25"/>
      <c r="F646" s="26"/>
      <c r="U646" s="26"/>
      <c r="V646" s="26"/>
      <c r="W646" s="26"/>
      <c r="X646" s="26"/>
      <c r="Y646" s="26"/>
      <c r="Z646" s="26"/>
      <c r="AA646" s="26"/>
      <c r="AB646" s="26"/>
    </row>
    <row r="647" ht="17.25" customHeight="1">
      <c r="A647" s="25" t="s">
        <v>1333</v>
      </c>
      <c r="B647" s="25" t="s">
        <v>1333</v>
      </c>
      <c r="C647" s="25" t="s">
        <v>1333</v>
      </c>
      <c r="D647" s="25"/>
      <c r="F647" s="26"/>
      <c r="U647" s="26"/>
      <c r="V647" s="26"/>
      <c r="W647" s="26"/>
      <c r="X647" s="26"/>
      <c r="Y647" s="26"/>
      <c r="Z647" s="26"/>
      <c r="AA647" s="26"/>
      <c r="AB647" s="26"/>
    </row>
    <row r="648" ht="17.25" customHeight="1">
      <c r="A648" s="25" t="s">
        <v>1333</v>
      </c>
      <c r="B648" s="25" t="s">
        <v>1333</v>
      </c>
      <c r="C648" s="25" t="s">
        <v>1333</v>
      </c>
      <c r="D648" s="25"/>
      <c r="F648" s="26"/>
      <c r="U648" s="26"/>
      <c r="V648" s="26"/>
      <c r="W648" s="26"/>
      <c r="X648" s="26"/>
      <c r="Y648" s="26"/>
      <c r="Z648" s="26"/>
      <c r="AA648" s="26"/>
      <c r="AB648" s="26"/>
    </row>
    <row r="649" ht="17.25" customHeight="1">
      <c r="A649" s="25" t="s">
        <v>1333</v>
      </c>
      <c r="B649" s="25" t="s">
        <v>1333</v>
      </c>
      <c r="C649" s="25" t="s">
        <v>1333</v>
      </c>
      <c r="D649" s="25"/>
      <c r="F649" s="26"/>
      <c r="U649" s="26"/>
      <c r="V649" s="26"/>
      <c r="W649" s="26"/>
      <c r="X649" s="26"/>
      <c r="Y649" s="26"/>
      <c r="Z649" s="26"/>
      <c r="AA649" s="26"/>
      <c r="AB649" s="26"/>
    </row>
    <row r="650" ht="17.25" customHeight="1">
      <c r="A650" s="25" t="s">
        <v>1333</v>
      </c>
      <c r="B650" s="25" t="s">
        <v>1333</v>
      </c>
      <c r="C650" s="25" t="s">
        <v>1333</v>
      </c>
      <c r="D650" s="25"/>
      <c r="F650" s="26"/>
      <c r="U650" s="26"/>
      <c r="V650" s="26"/>
      <c r="W650" s="26"/>
      <c r="X650" s="26"/>
      <c r="Y650" s="26"/>
      <c r="Z650" s="26"/>
      <c r="AA650" s="26"/>
      <c r="AB650" s="26"/>
    </row>
    <row r="651" ht="17.25" customHeight="1">
      <c r="A651" s="25" t="s">
        <v>1333</v>
      </c>
      <c r="B651" s="25" t="s">
        <v>1333</v>
      </c>
      <c r="C651" s="25" t="s">
        <v>1333</v>
      </c>
      <c r="D651" s="25"/>
      <c r="F651" s="26"/>
      <c r="U651" s="26"/>
      <c r="V651" s="26"/>
      <c r="W651" s="26"/>
      <c r="X651" s="26"/>
      <c r="Y651" s="26"/>
      <c r="Z651" s="26"/>
      <c r="AA651" s="26"/>
      <c r="AB651" s="26"/>
    </row>
    <row r="652" ht="17.25" customHeight="1">
      <c r="A652" s="25" t="s">
        <v>1333</v>
      </c>
      <c r="B652" s="25" t="s">
        <v>1333</v>
      </c>
      <c r="C652" s="25" t="s">
        <v>1333</v>
      </c>
      <c r="D652" s="25"/>
      <c r="F652" s="26"/>
      <c r="U652" s="26"/>
      <c r="V652" s="26"/>
      <c r="W652" s="26"/>
      <c r="X652" s="26"/>
      <c r="Y652" s="26"/>
      <c r="Z652" s="26"/>
      <c r="AA652" s="26"/>
      <c r="AB652" s="26"/>
    </row>
    <row r="653" ht="17.25" customHeight="1">
      <c r="A653" s="25" t="s">
        <v>1333</v>
      </c>
      <c r="B653" s="25" t="s">
        <v>1333</v>
      </c>
      <c r="C653" s="25" t="s">
        <v>1333</v>
      </c>
      <c r="D653" s="25"/>
      <c r="F653" s="26"/>
      <c r="U653" s="26"/>
      <c r="V653" s="26"/>
      <c r="W653" s="26"/>
      <c r="X653" s="26"/>
      <c r="Y653" s="26"/>
      <c r="Z653" s="26"/>
      <c r="AA653" s="26"/>
      <c r="AB653" s="26"/>
    </row>
    <row r="654" ht="17.25" customHeight="1">
      <c r="A654" s="25" t="s">
        <v>1333</v>
      </c>
      <c r="B654" s="25" t="s">
        <v>1333</v>
      </c>
      <c r="C654" s="25" t="s">
        <v>1333</v>
      </c>
      <c r="D654" s="25"/>
      <c r="F654" s="26"/>
      <c r="U654" s="26"/>
      <c r="V654" s="26"/>
      <c r="W654" s="26"/>
      <c r="X654" s="26"/>
      <c r="Y654" s="26"/>
      <c r="Z654" s="26"/>
      <c r="AA654" s="26"/>
      <c r="AB654" s="26"/>
    </row>
    <row r="655" ht="17.25" customHeight="1">
      <c r="A655" s="25" t="s">
        <v>1333</v>
      </c>
      <c r="B655" s="25" t="s">
        <v>1333</v>
      </c>
      <c r="C655" s="25" t="s">
        <v>1333</v>
      </c>
      <c r="D655" s="25"/>
      <c r="F655" s="26"/>
      <c r="U655" s="26"/>
      <c r="V655" s="26"/>
      <c r="W655" s="26"/>
      <c r="X655" s="26"/>
      <c r="Y655" s="26"/>
      <c r="Z655" s="26"/>
      <c r="AA655" s="26"/>
      <c r="AB655" s="26"/>
    </row>
    <row r="656" ht="17.25" customHeight="1">
      <c r="A656" s="25" t="s">
        <v>1333</v>
      </c>
      <c r="B656" s="25" t="s">
        <v>1333</v>
      </c>
      <c r="C656" s="25" t="s">
        <v>1333</v>
      </c>
      <c r="D656" s="25"/>
      <c r="F656" s="26"/>
      <c r="U656" s="26"/>
      <c r="V656" s="26"/>
      <c r="W656" s="26"/>
      <c r="X656" s="26"/>
      <c r="Y656" s="26"/>
      <c r="Z656" s="26"/>
      <c r="AA656" s="26"/>
      <c r="AB656" s="26"/>
    </row>
    <row r="657" ht="17.25" customHeight="1">
      <c r="A657" s="25" t="s">
        <v>1333</v>
      </c>
      <c r="B657" s="25" t="s">
        <v>1333</v>
      </c>
      <c r="C657" s="25" t="s">
        <v>1333</v>
      </c>
      <c r="D657" s="25"/>
      <c r="F657" s="26"/>
      <c r="U657" s="26"/>
      <c r="V657" s="26"/>
      <c r="W657" s="26"/>
      <c r="X657" s="26"/>
      <c r="Y657" s="26"/>
      <c r="Z657" s="26"/>
      <c r="AA657" s="26"/>
      <c r="AB657" s="26"/>
    </row>
    <row r="658" ht="17.25" customHeight="1">
      <c r="A658" s="25" t="s">
        <v>1333</v>
      </c>
      <c r="B658" s="25" t="s">
        <v>1333</v>
      </c>
      <c r="C658" s="25" t="s">
        <v>1333</v>
      </c>
      <c r="D658" s="25"/>
      <c r="F658" s="26"/>
      <c r="U658" s="26"/>
      <c r="V658" s="26"/>
      <c r="W658" s="26"/>
      <c r="X658" s="26"/>
      <c r="Y658" s="26"/>
      <c r="Z658" s="26"/>
      <c r="AA658" s="26"/>
      <c r="AB658" s="26"/>
    </row>
    <row r="659" ht="17.25" customHeight="1">
      <c r="A659" s="25" t="s">
        <v>1333</v>
      </c>
      <c r="B659" s="25" t="s">
        <v>1333</v>
      </c>
      <c r="C659" s="25" t="s">
        <v>1333</v>
      </c>
      <c r="D659" s="25"/>
      <c r="F659" s="26"/>
      <c r="U659" s="26"/>
      <c r="V659" s="26"/>
      <c r="W659" s="26"/>
      <c r="X659" s="26"/>
      <c r="Y659" s="26"/>
      <c r="Z659" s="26"/>
      <c r="AA659" s="26"/>
      <c r="AB659" s="26"/>
    </row>
    <row r="660" ht="17.25" customHeight="1">
      <c r="A660" s="25" t="s">
        <v>1333</v>
      </c>
      <c r="B660" s="25" t="s">
        <v>1333</v>
      </c>
      <c r="C660" s="25" t="s">
        <v>1333</v>
      </c>
      <c r="D660" s="25"/>
      <c r="F660" s="26"/>
      <c r="U660" s="26"/>
      <c r="V660" s="26"/>
      <c r="W660" s="26"/>
      <c r="X660" s="26"/>
      <c r="Y660" s="26"/>
      <c r="Z660" s="26"/>
      <c r="AA660" s="26"/>
      <c r="AB660" s="26"/>
    </row>
    <row r="661" ht="17.25" customHeight="1">
      <c r="A661" s="25" t="s">
        <v>1333</v>
      </c>
      <c r="B661" s="25" t="s">
        <v>1333</v>
      </c>
      <c r="C661" s="25" t="s">
        <v>1333</v>
      </c>
      <c r="D661" s="25"/>
      <c r="F661" s="26"/>
      <c r="U661" s="26"/>
      <c r="V661" s="26"/>
      <c r="W661" s="26"/>
      <c r="X661" s="26"/>
      <c r="Y661" s="26"/>
      <c r="Z661" s="26"/>
      <c r="AA661" s="26"/>
      <c r="AB661" s="26"/>
    </row>
    <row r="662" ht="17.25" customHeight="1">
      <c r="A662" s="25" t="s">
        <v>1333</v>
      </c>
      <c r="B662" s="25" t="s">
        <v>1333</v>
      </c>
      <c r="C662" s="25" t="s">
        <v>1333</v>
      </c>
      <c r="D662" s="25"/>
      <c r="F662" s="26"/>
      <c r="U662" s="26"/>
      <c r="V662" s="26"/>
      <c r="W662" s="26"/>
      <c r="X662" s="26"/>
      <c r="Y662" s="26"/>
      <c r="Z662" s="26"/>
      <c r="AA662" s="26"/>
      <c r="AB662" s="26"/>
    </row>
    <row r="663" ht="17.25" customHeight="1">
      <c r="A663" s="25" t="s">
        <v>1333</v>
      </c>
      <c r="B663" s="25" t="s">
        <v>1333</v>
      </c>
      <c r="C663" s="25" t="s">
        <v>1333</v>
      </c>
      <c r="D663" s="25"/>
      <c r="F663" s="26"/>
      <c r="U663" s="26"/>
      <c r="V663" s="26"/>
      <c r="W663" s="26"/>
      <c r="X663" s="26"/>
      <c r="Y663" s="26"/>
      <c r="Z663" s="26"/>
      <c r="AA663" s="26"/>
      <c r="AB663" s="26"/>
    </row>
    <row r="664" ht="17.25" customHeight="1">
      <c r="A664" s="25" t="s">
        <v>1333</v>
      </c>
      <c r="B664" s="25" t="s">
        <v>1333</v>
      </c>
      <c r="C664" s="25" t="s">
        <v>1333</v>
      </c>
      <c r="D664" s="25"/>
      <c r="F664" s="26"/>
      <c r="U664" s="26"/>
      <c r="V664" s="26"/>
      <c r="W664" s="26"/>
      <c r="X664" s="26"/>
      <c r="Y664" s="26"/>
      <c r="Z664" s="26"/>
      <c r="AA664" s="26"/>
      <c r="AB664" s="26"/>
    </row>
    <row r="665" ht="17.25" customHeight="1">
      <c r="A665" s="25" t="s">
        <v>1333</v>
      </c>
      <c r="B665" s="25" t="s">
        <v>1333</v>
      </c>
      <c r="C665" s="25" t="s">
        <v>1333</v>
      </c>
      <c r="D665" s="25"/>
      <c r="F665" s="26"/>
      <c r="U665" s="26"/>
      <c r="V665" s="26"/>
      <c r="W665" s="26"/>
      <c r="X665" s="26"/>
      <c r="Y665" s="26"/>
      <c r="Z665" s="26"/>
      <c r="AA665" s="26"/>
      <c r="AB665" s="26"/>
    </row>
    <row r="666" ht="17.25" customHeight="1">
      <c r="A666" s="25" t="s">
        <v>1333</v>
      </c>
      <c r="B666" s="25" t="s">
        <v>1333</v>
      </c>
      <c r="C666" s="25" t="s">
        <v>1333</v>
      </c>
      <c r="D666" s="25"/>
      <c r="F666" s="26"/>
      <c r="U666" s="26"/>
      <c r="V666" s="26"/>
      <c r="W666" s="26"/>
      <c r="X666" s="26"/>
      <c r="Y666" s="26"/>
      <c r="Z666" s="26"/>
      <c r="AA666" s="26"/>
      <c r="AB666" s="26"/>
    </row>
    <row r="667" ht="17.25" customHeight="1">
      <c r="A667" s="25" t="s">
        <v>1333</v>
      </c>
      <c r="B667" s="25" t="s">
        <v>1333</v>
      </c>
      <c r="C667" s="25" t="s">
        <v>1333</v>
      </c>
      <c r="D667" s="25"/>
      <c r="F667" s="26"/>
      <c r="U667" s="26"/>
      <c r="V667" s="26"/>
      <c r="W667" s="26"/>
      <c r="X667" s="26"/>
      <c r="Y667" s="26"/>
      <c r="Z667" s="26"/>
      <c r="AA667" s="26"/>
      <c r="AB667" s="26"/>
    </row>
    <row r="668" ht="17.25" customHeight="1">
      <c r="A668" s="25" t="s">
        <v>1333</v>
      </c>
      <c r="B668" s="25" t="s">
        <v>1333</v>
      </c>
      <c r="C668" s="25" t="s">
        <v>1333</v>
      </c>
      <c r="D668" s="25"/>
      <c r="F668" s="26"/>
      <c r="U668" s="26"/>
      <c r="V668" s="26"/>
      <c r="W668" s="26"/>
      <c r="X668" s="26"/>
      <c r="Y668" s="26"/>
      <c r="Z668" s="26"/>
      <c r="AA668" s="26"/>
      <c r="AB668" s="26"/>
    </row>
    <row r="669" ht="17.25" customHeight="1">
      <c r="A669" s="25" t="s">
        <v>1333</v>
      </c>
      <c r="B669" s="25" t="s">
        <v>1333</v>
      </c>
      <c r="C669" s="25" t="s">
        <v>1333</v>
      </c>
      <c r="D669" s="25"/>
      <c r="F669" s="26"/>
      <c r="U669" s="26"/>
      <c r="V669" s="26"/>
      <c r="W669" s="26"/>
      <c r="X669" s="26"/>
      <c r="Y669" s="26"/>
      <c r="Z669" s="26"/>
      <c r="AA669" s="26"/>
      <c r="AB669" s="26"/>
    </row>
    <row r="670" ht="17.25" customHeight="1">
      <c r="A670" s="25" t="s">
        <v>1333</v>
      </c>
      <c r="B670" s="25" t="s">
        <v>1333</v>
      </c>
      <c r="C670" s="25" t="s">
        <v>1333</v>
      </c>
      <c r="D670" s="25"/>
      <c r="F670" s="26"/>
      <c r="U670" s="26"/>
      <c r="V670" s="26"/>
      <c r="W670" s="26"/>
      <c r="X670" s="26"/>
      <c r="Y670" s="26"/>
      <c r="Z670" s="26"/>
      <c r="AA670" s="26"/>
      <c r="AB670" s="26"/>
    </row>
    <row r="671" ht="17.25" customHeight="1">
      <c r="A671" s="25" t="s">
        <v>1333</v>
      </c>
      <c r="B671" s="25" t="s">
        <v>1333</v>
      </c>
      <c r="C671" s="25" t="s">
        <v>1333</v>
      </c>
      <c r="D671" s="25"/>
      <c r="F671" s="26"/>
      <c r="U671" s="26"/>
      <c r="V671" s="26"/>
      <c r="W671" s="26"/>
      <c r="X671" s="26"/>
      <c r="Y671" s="26"/>
      <c r="Z671" s="26"/>
      <c r="AA671" s="26"/>
      <c r="AB671" s="26"/>
    </row>
    <row r="672" ht="17.25" customHeight="1">
      <c r="A672" s="25" t="s">
        <v>1333</v>
      </c>
      <c r="B672" s="25" t="s">
        <v>1333</v>
      </c>
      <c r="C672" s="25" t="s">
        <v>1333</v>
      </c>
      <c r="D672" s="25"/>
      <c r="F672" s="26"/>
      <c r="U672" s="26"/>
      <c r="V672" s="26"/>
      <c r="W672" s="26"/>
      <c r="X672" s="26"/>
      <c r="Y672" s="26"/>
      <c r="Z672" s="26"/>
      <c r="AA672" s="26"/>
      <c r="AB672" s="26"/>
    </row>
    <row r="673" ht="17.25" customHeight="1">
      <c r="A673" s="25" t="s">
        <v>1333</v>
      </c>
      <c r="B673" s="25" t="s">
        <v>1333</v>
      </c>
      <c r="C673" s="25" t="s">
        <v>1333</v>
      </c>
      <c r="D673" s="25"/>
      <c r="F673" s="26"/>
      <c r="U673" s="26"/>
      <c r="V673" s="26"/>
      <c r="W673" s="26"/>
      <c r="X673" s="26"/>
      <c r="Y673" s="26"/>
      <c r="Z673" s="26"/>
      <c r="AA673" s="26"/>
      <c r="AB673" s="26"/>
    </row>
    <row r="674" ht="17.25" customHeight="1">
      <c r="A674" s="25" t="s">
        <v>1333</v>
      </c>
      <c r="B674" s="25" t="s">
        <v>1333</v>
      </c>
      <c r="C674" s="25" t="s">
        <v>1333</v>
      </c>
      <c r="D674" s="25"/>
      <c r="F674" s="26"/>
      <c r="U674" s="26"/>
      <c r="V674" s="26"/>
      <c r="W674" s="26"/>
      <c r="X674" s="26"/>
      <c r="Y674" s="26"/>
      <c r="Z674" s="26"/>
      <c r="AA674" s="26"/>
      <c r="AB674" s="26"/>
    </row>
    <row r="675" ht="17.25" customHeight="1">
      <c r="A675" s="25" t="s">
        <v>1333</v>
      </c>
      <c r="B675" s="25" t="s">
        <v>1333</v>
      </c>
      <c r="C675" s="25" t="s">
        <v>1333</v>
      </c>
      <c r="D675" s="25"/>
      <c r="F675" s="26"/>
      <c r="U675" s="26"/>
      <c r="V675" s="26"/>
      <c r="W675" s="26"/>
      <c r="X675" s="26"/>
      <c r="Y675" s="26"/>
      <c r="Z675" s="26"/>
      <c r="AA675" s="26"/>
      <c r="AB675" s="26"/>
    </row>
    <row r="676" ht="17.25" customHeight="1">
      <c r="A676" s="25" t="s">
        <v>1333</v>
      </c>
      <c r="B676" s="25" t="s">
        <v>1333</v>
      </c>
      <c r="C676" s="25" t="s">
        <v>1333</v>
      </c>
      <c r="D676" s="25"/>
      <c r="F676" s="26"/>
      <c r="U676" s="26"/>
      <c r="V676" s="26"/>
      <c r="W676" s="26"/>
      <c r="X676" s="26"/>
      <c r="Y676" s="26"/>
      <c r="Z676" s="26"/>
      <c r="AA676" s="26"/>
      <c r="AB676" s="26"/>
    </row>
    <row r="677" ht="17.25" customHeight="1">
      <c r="A677" s="25" t="s">
        <v>1333</v>
      </c>
      <c r="B677" s="25" t="s">
        <v>1333</v>
      </c>
      <c r="C677" s="25" t="s">
        <v>1333</v>
      </c>
      <c r="D677" s="25"/>
      <c r="F677" s="26"/>
      <c r="U677" s="26"/>
      <c r="V677" s="26"/>
      <c r="W677" s="26"/>
      <c r="X677" s="26"/>
      <c r="Y677" s="26"/>
      <c r="Z677" s="26"/>
      <c r="AA677" s="26"/>
      <c r="AB677" s="26"/>
    </row>
    <row r="678" ht="17.25" customHeight="1">
      <c r="A678" s="25" t="s">
        <v>1333</v>
      </c>
      <c r="B678" s="25" t="s">
        <v>1333</v>
      </c>
      <c r="C678" s="25" t="s">
        <v>1333</v>
      </c>
      <c r="D678" s="25"/>
      <c r="F678" s="26"/>
      <c r="U678" s="26"/>
      <c r="V678" s="26"/>
      <c r="W678" s="26"/>
      <c r="X678" s="26"/>
      <c r="Y678" s="26"/>
      <c r="Z678" s="26"/>
      <c r="AA678" s="26"/>
      <c r="AB678" s="26"/>
    </row>
    <row r="679" ht="17.25" customHeight="1">
      <c r="A679" s="25" t="s">
        <v>1333</v>
      </c>
      <c r="B679" s="25" t="s">
        <v>1333</v>
      </c>
      <c r="C679" s="25" t="s">
        <v>1333</v>
      </c>
      <c r="D679" s="25"/>
      <c r="F679" s="26"/>
      <c r="U679" s="26"/>
      <c r="V679" s="26"/>
      <c r="W679" s="26"/>
      <c r="X679" s="26"/>
      <c r="Y679" s="26"/>
      <c r="Z679" s="26"/>
      <c r="AA679" s="26"/>
      <c r="AB679" s="26"/>
    </row>
    <row r="680" ht="17.25" customHeight="1">
      <c r="A680" s="25" t="s">
        <v>1333</v>
      </c>
      <c r="B680" s="25" t="s">
        <v>1333</v>
      </c>
      <c r="C680" s="25" t="s">
        <v>1333</v>
      </c>
      <c r="D680" s="25"/>
      <c r="F680" s="26"/>
      <c r="U680" s="26"/>
      <c r="V680" s="26"/>
      <c r="W680" s="26"/>
      <c r="X680" s="26"/>
      <c r="Y680" s="26"/>
      <c r="Z680" s="26"/>
      <c r="AA680" s="26"/>
      <c r="AB680" s="26"/>
    </row>
    <row r="681" ht="17.25" customHeight="1">
      <c r="A681" s="25" t="s">
        <v>1333</v>
      </c>
      <c r="B681" s="25" t="s">
        <v>1333</v>
      </c>
      <c r="C681" s="25" t="s">
        <v>1333</v>
      </c>
      <c r="D681" s="25"/>
      <c r="F681" s="26"/>
      <c r="U681" s="26"/>
      <c r="V681" s="26"/>
      <c r="W681" s="26"/>
      <c r="X681" s="26"/>
      <c r="Y681" s="26"/>
      <c r="Z681" s="26"/>
      <c r="AA681" s="26"/>
      <c r="AB681" s="26"/>
    </row>
    <row r="682" ht="17.25" customHeight="1">
      <c r="A682" s="25" t="s">
        <v>1333</v>
      </c>
      <c r="B682" s="25" t="s">
        <v>1333</v>
      </c>
      <c r="C682" s="25" t="s">
        <v>1333</v>
      </c>
      <c r="D682" s="25"/>
      <c r="F682" s="26"/>
      <c r="U682" s="26"/>
      <c r="V682" s="26"/>
      <c r="W682" s="26"/>
      <c r="X682" s="26"/>
      <c r="Y682" s="26"/>
      <c r="Z682" s="26"/>
      <c r="AA682" s="26"/>
      <c r="AB682" s="26"/>
    </row>
    <row r="683" ht="17.25" customHeight="1">
      <c r="A683" s="25" t="s">
        <v>1333</v>
      </c>
      <c r="B683" s="25" t="s">
        <v>1333</v>
      </c>
      <c r="C683" s="25" t="s">
        <v>1333</v>
      </c>
      <c r="D683" s="25"/>
      <c r="F683" s="26"/>
      <c r="U683" s="26"/>
      <c r="V683" s="26"/>
      <c r="W683" s="26"/>
      <c r="X683" s="26"/>
      <c r="Y683" s="26"/>
      <c r="Z683" s="26"/>
      <c r="AA683" s="26"/>
      <c r="AB683" s="26"/>
    </row>
    <row r="684" ht="17.25" customHeight="1">
      <c r="A684" s="25" t="s">
        <v>1333</v>
      </c>
      <c r="B684" s="25" t="s">
        <v>1333</v>
      </c>
      <c r="C684" s="25" t="s">
        <v>1333</v>
      </c>
      <c r="D684" s="25"/>
      <c r="F684" s="26"/>
      <c r="U684" s="26"/>
      <c r="V684" s="26"/>
      <c r="W684" s="26"/>
      <c r="X684" s="26"/>
      <c r="Y684" s="26"/>
      <c r="Z684" s="26"/>
      <c r="AA684" s="26"/>
      <c r="AB684" s="26"/>
    </row>
    <row r="685" ht="17.25" customHeight="1">
      <c r="A685" s="25" t="s">
        <v>1333</v>
      </c>
      <c r="B685" s="25" t="s">
        <v>1333</v>
      </c>
      <c r="C685" s="25" t="s">
        <v>1333</v>
      </c>
      <c r="D685" s="25"/>
      <c r="F685" s="26"/>
      <c r="U685" s="26"/>
      <c r="V685" s="26"/>
      <c r="W685" s="26"/>
      <c r="X685" s="26"/>
      <c r="Y685" s="26"/>
      <c r="Z685" s="26"/>
      <c r="AA685" s="26"/>
      <c r="AB685" s="26"/>
    </row>
    <row r="686" ht="17.25" customHeight="1">
      <c r="A686" s="25" t="s">
        <v>1333</v>
      </c>
      <c r="B686" s="25" t="s">
        <v>1333</v>
      </c>
      <c r="C686" s="25" t="s">
        <v>1333</v>
      </c>
      <c r="D686" s="25"/>
      <c r="F686" s="26"/>
      <c r="U686" s="26"/>
      <c r="V686" s="26"/>
      <c r="W686" s="26"/>
      <c r="X686" s="26"/>
      <c r="Y686" s="26"/>
      <c r="Z686" s="26"/>
      <c r="AA686" s="26"/>
      <c r="AB686" s="26"/>
    </row>
    <row r="687" ht="17.25" customHeight="1">
      <c r="A687" s="25" t="s">
        <v>1333</v>
      </c>
      <c r="B687" s="25" t="s">
        <v>1333</v>
      </c>
      <c r="C687" s="25" t="s">
        <v>1333</v>
      </c>
      <c r="D687" s="25"/>
      <c r="F687" s="26"/>
      <c r="U687" s="26"/>
      <c r="V687" s="26"/>
      <c r="W687" s="26"/>
      <c r="X687" s="26"/>
      <c r="Y687" s="26"/>
      <c r="Z687" s="26"/>
      <c r="AA687" s="26"/>
      <c r="AB687" s="26"/>
    </row>
    <row r="688" ht="17.25" customHeight="1">
      <c r="A688" s="25" t="s">
        <v>1333</v>
      </c>
      <c r="B688" s="25" t="s">
        <v>1333</v>
      </c>
      <c r="C688" s="25" t="s">
        <v>1333</v>
      </c>
      <c r="D688" s="25"/>
      <c r="F688" s="26"/>
      <c r="U688" s="26"/>
      <c r="V688" s="26"/>
      <c r="W688" s="26"/>
      <c r="X688" s="26"/>
      <c r="Y688" s="26"/>
      <c r="Z688" s="26"/>
      <c r="AA688" s="26"/>
      <c r="AB688" s="26"/>
    </row>
    <row r="689" ht="17.25" customHeight="1">
      <c r="A689" s="25" t="s">
        <v>1333</v>
      </c>
      <c r="B689" s="25" t="s">
        <v>1333</v>
      </c>
      <c r="C689" s="25" t="s">
        <v>1333</v>
      </c>
      <c r="D689" s="25"/>
      <c r="F689" s="26"/>
      <c r="U689" s="26"/>
      <c r="V689" s="26"/>
      <c r="W689" s="26"/>
      <c r="X689" s="26"/>
      <c r="Y689" s="26"/>
      <c r="Z689" s="26"/>
      <c r="AA689" s="26"/>
      <c r="AB689" s="26"/>
    </row>
    <row r="690" ht="17.25" customHeight="1">
      <c r="A690" s="25" t="s">
        <v>1333</v>
      </c>
      <c r="B690" s="25" t="s">
        <v>1333</v>
      </c>
      <c r="C690" s="25" t="s">
        <v>1333</v>
      </c>
      <c r="D690" s="25"/>
      <c r="F690" s="26"/>
      <c r="U690" s="26"/>
      <c r="V690" s="26"/>
      <c r="W690" s="26"/>
      <c r="X690" s="26"/>
      <c r="Y690" s="26"/>
      <c r="Z690" s="26"/>
      <c r="AA690" s="26"/>
      <c r="AB690" s="26"/>
    </row>
    <row r="691" ht="17.25" customHeight="1">
      <c r="A691" s="25" t="s">
        <v>1333</v>
      </c>
      <c r="B691" s="25" t="s">
        <v>1333</v>
      </c>
      <c r="C691" s="25" t="s">
        <v>1333</v>
      </c>
      <c r="D691" s="25"/>
      <c r="F691" s="26"/>
      <c r="U691" s="26"/>
      <c r="V691" s="26"/>
      <c r="W691" s="26"/>
      <c r="X691" s="26"/>
      <c r="Y691" s="26"/>
      <c r="Z691" s="26"/>
      <c r="AA691" s="26"/>
      <c r="AB691" s="26"/>
    </row>
    <row r="692" ht="17.25" customHeight="1">
      <c r="A692" s="25" t="s">
        <v>1333</v>
      </c>
      <c r="B692" s="25" t="s">
        <v>1333</v>
      </c>
      <c r="C692" s="25" t="s">
        <v>1333</v>
      </c>
      <c r="D692" s="25"/>
      <c r="F692" s="26"/>
      <c r="U692" s="26"/>
      <c r="V692" s="26"/>
      <c r="W692" s="26"/>
      <c r="X692" s="26"/>
      <c r="Y692" s="26"/>
      <c r="Z692" s="26"/>
      <c r="AA692" s="26"/>
      <c r="AB692" s="26"/>
    </row>
    <row r="693" ht="17.25" customHeight="1">
      <c r="A693" s="25" t="s">
        <v>1333</v>
      </c>
      <c r="B693" s="25" t="s">
        <v>1333</v>
      </c>
      <c r="C693" s="25" t="s">
        <v>1333</v>
      </c>
      <c r="D693" s="25"/>
      <c r="F693" s="26"/>
      <c r="U693" s="26"/>
      <c r="V693" s="26"/>
      <c r="W693" s="26"/>
      <c r="X693" s="26"/>
      <c r="Y693" s="26"/>
      <c r="Z693" s="26"/>
      <c r="AA693" s="26"/>
      <c r="AB693" s="26"/>
    </row>
    <row r="694" ht="17.25" customHeight="1">
      <c r="A694" s="25" t="s">
        <v>1333</v>
      </c>
      <c r="B694" s="25" t="s">
        <v>1333</v>
      </c>
      <c r="C694" s="25" t="s">
        <v>1333</v>
      </c>
      <c r="D694" s="25"/>
      <c r="F694" s="26"/>
      <c r="U694" s="26"/>
      <c r="V694" s="26"/>
      <c r="W694" s="26"/>
      <c r="X694" s="26"/>
      <c r="Y694" s="26"/>
      <c r="Z694" s="26"/>
      <c r="AA694" s="26"/>
      <c r="AB694" s="26"/>
    </row>
    <row r="695" ht="17.25" customHeight="1">
      <c r="A695" s="25" t="s">
        <v>1333</v>
      </c>
      <c r="B695" s="25" t="s">
        <v>1333</v>
      </c>
      <c r="C695" s="25" t="s">
        <v>1333</v>
      </c>
      <c r="D695" s="25"/>
      <c r="F695" s="26"/>
      <c r="U695" s="26"/>
      <c r="V695" s="26"/>
      <c r="W695" s="26"/>
      <c r="X695" s="26"/>
      <c r="Y695" s="26"/>
      <c r="Z695" s="26"/>
      <c r="AA695" s="26"/>
      <c r="AB695" s="26"/>
    </row>
    <row r="696" ht="17.25" customHeight="1">
      <c r="A696" s="25" t="s">
        <v>1333</v>
      </c>
      <c r="B696" s="25" t="s">
        <v>1333</v>
      </c>
      <c r="C696" s="25" t="s">
        <v>1333</v>
      </c>
      <c r="D696" s="25"/>
      <c r="F696" s="26"/>
      <c r="U696" s="26"/>
      <c r="V696" s="26"/>
      <c r="W696" s="26"/>
      <c r="X696" s="26"/>
      <c r="Y696" s="26"/>
      <c r="Z696" s="26"/>
      <c r="AA696" s="26"/>
      <c r="AB696" s="26"/>
    </row>
    <row r="697" ht="17.25" customHeight="1">
      <c r="A697" s="25" t="s">
        <v>1333</v>
      </c>
      <c r="B697" s="25" t="s">
        <v>1333</v>
      </c>
      <c r="C697" s="25" t="s">
        <v>1333</v>
      </c>
      <c r="D697" s="25"/>
      <c r="F697" s="26"/>
      <c r="U697" s="26"/>
      <c r="V697" s="26"/>
      <c r="W697" s="26"/>
      <c r="X697" s="26"/>
      <c r="Y697" s="26"/>
      <c r="Z697" s="26"/>
      <c r="AA697" s="26"/>
      <c r="AB697" s="26"/>
    </row>
    <row r="698" ht="17.25" customHeight="1">
      <c r="A698" s="25" t="s">
        <v>1333</v>
      </c>
      <c r="B698" s="25" t="s">
        <v>1333</v>
      </c>
      <c r="C698" s="25" t="s">
        <v>1333</v>
      </c>
      <c r="D698" s="25"/>
      <c r="F698" s="26"/>
      <c r="U698" s="26"/>
      <c r="V698" s="26"/>
      <c r="W698" s="26"/>
      <c r="X698" s="26"/>
      <c r="Y698" s="26"/>
      <c r="Z698" s="26"/>
      <c r="AA698" s="26"/>
      <c r="AB698" s="26"/>
    </row>
    <row r="699" ht="17.25" customHeight="1">
      <c r="A699" s="25" t="s">
        <v>1333</v>
      </c>
      <c r="B699" s="25" t="s">
        <v>1333</v>
      </c>
      <c r="C699" s="25" t="s">
        <v>1333</v>
      </c>
      <c r="D699" s="25"/>
      <c r="F699" s="26"/>
      <c r="U699" s="26"/>
      <c r="V699" s="26"/>
      <c r="W699" s="26"/>
      <c r="X699" s="26"/>
      <c r="Y699" s="26"/>
      <c r="Z699" s="26"/>
      <c r="AA699" s="26"/>
      <c r="AB699" s="26"/>
    </row>
    <row r="700" ht="17.25" customHeight="1">
      <c r="A700" s="25" t="s">
        <v>1333</v>
      </c>
      <c r="B700" s="25" t="s">
        <v>1333</v>
      </c>
      <c r="C700" s="25" t="s">
        <v>1333</v>
      </c>
      <c r="D700" s="25"/>
      <c r="F700" s="26"/>
      <c r="U700" s="26"/>
      <c r="V700" s="26"/>
      <c r="W700" s="26"/>
      <c r="X700" s="26"/>
      <c r="Y700" s="26"/>
      <c r="Z700" s="26"/>
      <c r="AA700" s="26"/>
      <c r="AB700" s="26"/>
    </row>
    <row r="701" ht="17.25" customHeight="1">
      <c r="A701" s="25" t="s">
        <v>1333</v>
      </c>
      <c r="B701" s="25" t="s">
        <v>1333</v>
      </c>
      <c r="C701" s="25" t="s">
        <v>1333</v>
      </c>
      <c r="D701" s="25"/>
      <c r="F701" s="26"/>
      <c r="U701" s="26"/>
      <c r="V701" s="26"/>
      <c r="W701" s="26"/>
      <c r="X701" s="26"/>
      <c r="Y701" s="26"/>
      <c r="Z701" s="26"/>
      <c r="AA701" s="26"/>
      <c r="AB701" s="26"/>
    </row>
    <row r="702" ht="17.25" customHeight="1">
      <c r="A702" s="25" t="s">
        <v>1333</v>
      </c>
      <c r="B702" s="25" t="s">
        <v>1333</v>
      </c>
      <c r="C702" s="25" t="s">
        <v>1333</v>
      </c>
      <c r="D702" s="25"/>
      <c r="F702" s="26"/>
      <c r="U702" s="26"/>
      <c r="V702" s="26"/>
      <c r="W702" s="26"/>
      <c r="X702" s="26"/>
      <c r="Y702" s="26"/>
      <c r="Z702" s="26"/>
      <c r="AA702" s="26"/>
      <c r="AB702" s="26"/>
    </row>
    <row r="703" ht="17.25" customHeight="1">
      <c r="A703" s="25" t="s">
        <v>1333</v>
      </c>
      <c r="B703" s="25" t="s">
        <v>1333</v>
      </c>
      <c r="C703" s="25" t="s">
        <v>1333</v>
      </c>
      <c r="D703" s="25"/>
      <c r="F703" s="26"/>
      <c r="U703" s="26"/>
      <c r="V703" s="26"/>
      <c r="W703" s="26"/>
      <c r="X703" s="26"/>
      <c r="Y703" s="26"/>
      <c r="Z703" s="26"/>
      <c r="AA703" s="26"/>
      <c r="AB703" s="26"/>
    </row>
    <row r="704" ht="17.25" customHeight="1">
      <c r="A704" s="25" t="s">
        <v>1333</v>
      </c>
      <c r="B704" s="25" t="s">
        <v>1333</v>
      </c>
      <c r="C704" s="25" t="s">
        <v>1333</v>
      </c>
      <c r="D704" s="25"/>
      <c r="F704" s="26"/>
      <c r="U704" s="26"/>
      <c r="V704" s="26"/>
      <c r="W704" s="26"/>
      <c r="X704" s="26"/>
      <c r="Y704" s="26"/>
      <c r="Z704" s="26"/>
      <c r="AA704" s="26"/>
      <c r="AB704" s="26"/>
    </row>
    <row r="705" ht="17.25" customHeight="1">
      <c r="A705" s="25" t="s">
        <v>1333</v>
      </c>
      <c r="B705" s="25" t="s">
        <v>1333</v>
      </c>
      <c r="C705" s="25" t="s">
        <v>1333</v>
      </c>
      <c r="D705" s="25"/>
      <c r="F705" s="26"/>
      <c r="U705" s="26"/>
      <c r="V705" s="26"/>
      <c r="W705" s="26"/>
      <c r="X705" s="26"/>
      <c r="Y705" s="26"/>
      <c r="Z705" s="26"/>
      <c r="AA705" s="26"/>
      <c r="AB705" s="26"/>
    </row>
    <row r="706" ht="17.25" customHeight="1">
      <c r="A706" s="25" t="s">
        <v>1333</v>
      </c>
      <c r="B706" s="25" t="s">
        <v>1333</v>
      </c>
      <c r="C706" s="25" t="s">
        <v>1333</v>
      </c>
      <c r="D706" s="25"/>
      <c r="F706" s="26"/>
      <c r="U706" s="26"/>
      <c r="V706" s="26"/>
      <c r="W706" s="26"/>
      <c r="X706" s="26"/>
      <c r="Y706" s="26"/>
      <c r="Z706" s="26"/>
      <c r="AA706" s="26"/>
      <c r="AB706" s="26"/>
    </row>
    <row r="707" ht="17.25" customHeight="1">
      <c r="A707" s="25" t="s">
        <v>1333</v>
      </c>
      <c r="B707" s="25" t="s">
        <v>1333</v>
      </c>
      <c r="C707" s="25" t="s">
        <v>1333</v>
      </c>
      <c r="D707" s="25"/>
      <c r="F707" s="26"/>
      <c r="U707" s="26"/>
      <c r="V707" s="26"/>
      <c r="W707" s="26"/>
      <c r="X707" s="26"/>
      <c r="Y707" s="26"/>
      <c r="Z707" s="26"/>
      <c r="AA707" s="26"/>
      <c r="AB707" s="26"/>
    </row>
    <row r="708" ht="17.25" customHeight="1">
      <c r="A708" s="25" t="s">
        <v>1333</v>
      </c>
      <c r="B708" s="25" t="s">
        <v>1333</v>
      </c>
      <c r="C708" s="25" t="s">
        <v>1333</v>
      </c>
      <c r="D708" s="25"/>
      <c r="F708" s="26"/>
      <c r="U708" s="26"/>
      <c r="V708" s="26"/>
      <c r="W708" s="26"/>
      <c r="X708" s="26"/>
      <c r="Y708" s="26"/>
      <c r="Z708" s="26"/>
      <c r="AA708" s="26"/>
      <c r="AB708" s="26"/>
    </row>
    <row r="709" ht="17.25" customHeight="1">
      <c r="A709" s="25" t="s">
        <v>1333</v>
      </c>
      <c r="B709" s="25" t="s">
        <v>1333</v>
      </c>
      <c r="C709" s="25" t="s">
        <v>1333</v>
      </c>
      <c r="D709" s="25"/>
      <c r="F709" s="26"/>
      <c r="U709" s="26"/>
      <c r="V709" s="26"/>
      <c r="W709" s="26"/>
      <c r="X709" s="26"/>
      <c r="Y709" s="26"/>
      <c r="Z709" s="26"/>
      <c r="AA709" s="26"/>
      <c r="AB709" s="26"/>
    </row>
    <row r="710" ht="17.25" customHeight="1">
      <c r="A710" s="25" t="s">
        <v>1333</v>
      </c>
      <c r="B710" s="25" t="s">
        <v>1333</v>
      </c>
      <c r="C710" s="25" t="s">
        <v>1333</v>
      </c>
      <c r="D710" s="25"/>
      <c r="F710" s="26"/>
      <c r="U710" s="26"/>
      <c r="V710" s="26"/>
      <c r="W710" s="26"/>
      <c r="X710" s="26"/>
      <c r="Y710" s="26"/>
      <c r="Z710" s="26"/>
      <c r="AA710" s="26"/>
      <c r="AB710" s="26"/>
    </row>
    <row r="711" ht="17.25" customHeight="1">
      <c r="A711" s="25" t="s">
        <v>1333</v>
      </c>
      <c r="B711" s="25" t="s">
        <v>1333</v>
      </c>
      <c r="C711" s="25" t="s">
        <v>1333</v>
      </c>
      <c r="D711" s="25"/>
      <c r="F711" s="26"/>
      <c r="U711" s="26"/>
      <c r="V711" s="26"/>
      <c r="W711" s="26"/>
      <c r="X711" s="26"/>
      <c r="Y711" s="26"/>
      <c r="Z711" s="26"/>
      <c r="AA711" s="26"/>
      <c r="AB711" s="26"/>
    </row>
    <row r="712" ht="17.25" customHeight="1">
      <c r="A712" s="25" t="s">
        <v>1333</v>
      </c>
      <c r="B712" s="25" t="s">
        <v>1333</v>
      </c>
      <c r="C712" s="25" t="s">
        <v>1333</v>
      </c>
      <c r="D712" s="25"/>
      <c r="F712" s="26"/>
      <c r="U712" s="26"/>
      <c r="V712" s="26"/>
      <c r="W712" s="26"/>
      <c r="X712" s="26"/>
      <c r="Y712" s="26"/>
      <c r="Z712" s="26"/>
      <c r="AA712" s="26"/>
      <c r="AB712" s="26"/>
    </row>
    <row r="713" ht="17.25" customHeight="1">
      <c r="A713" s="25" t="s">
        <v>1333</v>
      </c>
      <c r="B713" s="25" t="s">
        <v>1333</v>
      </c>
      <c r="C713" s="25" t="s">
        <v>1333</v>
      </c>
      <c r="D713" s="25"/>
      <c r="F713" s="26"/>
      <c r="U713" s="26"/>
      <c r="V713" s="26"/>
      <c r="W713" s="26"/>
      <c r="X713" s="26"/>
      <c r="Y713" s="26"/>
      <c r="Z713" s="26"/>
      <c r="AA713" s="26"/>
      <c r="AB713" s="26"/>
    </row>
    <row r="714" ht="17.25" customHeight="1">
      <c r="A714" s="25" t="s">
        <v>1333</v>
      </c>
      <c r="B714" s="25" t="s">
        <v>1333</v>
      </c>
      <c r="C714" s="25" t="s">
        <v>1333</v>
      </c>
      <c r="D714" s="25"/>
      <c r="F714" s="26"/>
      <c r="U714" s="26"/>
      <c r="V714" s="26"/>
      <c r="W714" s="26"/>
      <c r="X714" s="26"/>
      <c r="Y714" s="26"/>
      <c r="Z714" s="26"/>
      <c r="AA714" s="26"/>
      <c r="AB714" s="26"/>
    </row>
    <row r="715" ht="17.25" customHeight="1">
      <c r="A715" s="25" t="s">
        <v>1333</v>
      </c>
      <c r="B715" s="25" t="s">
        <v>1333</v>
      </c>
      <c r="C715" s="25" t="s">
        <v>1333</v>
      </c>
      <c r="D715" s="25"/>
      <c r="F715" s="26"/>
      <c r="U715" s="26"/>
      <c r="V715" s="26"/>
      <c r="W715" s="26"/>
      <c r="X715" s="26"/>
      <c r="Y715" s="26"/>
      <c r="Z715" s="26"/>
      <c r="AA715" s="26"/>
      <c r="AB715" s="26"/>
    </row>
    <row r="716" ht="17.25" customHeight="1">
      <c r="A716" s="25" t="s">
        <v>1333</v>
      </c>
      <c r="B716" s="25" t="s">
        <v>1333</v>
      </c>
      <c r="C716" s="25" t="s">
        <v>1333</v>
      </c>
      <c r="D716" s="25"/>
      <c r="F716" s="26"/>
      <c r="U716" s="26"/>
      <c r="V716" s="26"/>
      <c r="W716" s="26"/>
      <c r="X716" s="26"/>
      <c r="Y716" s="26"/>
      <c r="Z716" s="26"/>
      <c r="AA716" s="26"/>
      <c r="AB716" s="26"/>
    </row>
    <row r="717" ht="17.25" customHeight="1">
      <c r="A717" s="25" t="s">
        <v>1333</v>
      </c>
      <c r="B717" s="25" t="s">
        <v>1333</v>
      </c>
      <c r="C717" s="25" t="s">
        <v>1333</v>
      </c>
      <c r="D717" s="25"/>
      <c r="F717" s="26"/>
      <c r="U717" s="26"/>
      <c r="V717" s="26"/>
      <c r="W717" s="26"/>
      <c r="X717" s="26"/>
      <c r="Y717" s="26"/>
      <c r="Z717" s="26"/>
      <c r="AA717" s="26"/>
      <c r="AB717" s="26"/>
    </row>
    <row r="718" ht="17.25" customHeight="1">
      <c r="A718" s="25" t="s">
        <v>1333</v>
      </c>
      <c r="B718" s="25" t="s">
        <v>1333</v>
      </c>
      <c r="C718" s="25" t="s">
        <v>1333</v>
      </c>
      <c r="D718" s="25"/>
      <c r="F718" s="26"/>
      <c r="U718" s="26"/>
      <c r="V718" s="26"/>
      <c r="W718" s="26"/>
      <c r="X718" s="26"/>
      <c r="Y718" s="26"/>
      <c r="Z718" s="26"/>
      <c r="AA718" s="26"/>
      <c r="AB718" s="26"/>
    </row>
    <row r="719" ht="17.25" customHeight="1">
      <c r="A719" s="25" t="s">
        <v>1333</v>
      </c>
      <c r="B719" s="25" t="s">
        <v>1333</v>
      </c>
      <c r="C719" s="25" t="s">
        <v>1333</v>
      </c>
      <c r="D719" s="25"/>
      <c r="F719" s="26"/>
      <c r="U719" s="26"/>
      <c r="V719" s="26"/>
      <c r="W719" s="26"/>
      <c r="X719" s="26"/>
      <c r="Y719" s="26"/>
      <c r="Z719" s="26"/>
      <c r="AA719" s="26"/>
      <c r="AB719" s="26"/>
    </row>
    <row r="720" ht="17.25" customHeight="1">
      <c r="A720" s="25" t="s">
        <v>1333</v>
      </c>
      <c r="B720" s="25" t="s">
        <v>1333</v>
      </c>
      <c r="C720" s="25" t="s">
        <v>1333</v>
      </c>
      <c r="D720" s="25"/>
      <c r="F720" s="26"/>
      <c r="U720" s="26"/>
      <c r="V720" s="26"/>
      <c r="W720" s="26"/>
      <c r="X720" s="26"/>
      <c r="Y720" s="26"/>
      <c r="Z720" s="26"/>
      <c r="AA720" s="26"/>
      <c r="AB720" s="26"/>
    </row>
    <row r="721" ht="17.25" customHeight="1">
      <c r="A721" s="25" t="s">
        <v>1333</v>
      </c>
      <c r="B721" s="25" t="s">
        <v>1333</v>
      </c>
      <c r="C721" s="25" t="s">
        <v>1333</v>
      </c>
      <c r="D721" s="25"/>
      <c r="F721" s="26"/>
      <c r="U721" s="26"/>
      <c r="V721" s="26"/>
      <c r="W721" s="26"/>
      <c r="X721" s="26"/>
      <c r="Y721" s="26"/>
      <c r="Z721" s="26"/>
      <c r="AA721" s="26"/>
      <c r="AB721" s="26"/>
    </row>
    <row r="722" ht="17.25" customHeight="1">
      <c r="A722" s="25" t="s">
        <v>1333</v>
      </c>
      <c r="B722" s="25" t="s">
        <v>1333</v>
      </c>
      <c r="C722" s="25" t="s">
        <v>1333</v>
      </c>
      <c r="D722" s="25"/>
      <c r="F722" s="26"/>
      <c r="U722" s="26"/>
      <c r="V722" s="26"/>
      <c r="W722" s="26"/>
      <c r="X722" s="26"/>
      <c r="Y722" s="26"/>
      <c r="Z722" s="26"/>
      <c r="AA722" s="26"/>
      <c r="AB722" s="26"/>
    </row>
    <row r="723" ht="17.25" customHeight="1">
      <c r="A723" s="25" t="s">
        <v>1333</v>
      </c>
      <c r="B723" s="25" t="s">
        <v>1333</v>
      </c>
      <c r="C723" s="25" t="s">
        <v>1333</v>
      </c>
      <c r="D723" s="25"/>
      <c r="F723" s="26"/>
      <c r="U723" s="26"/>
      <c r="V723" s="26"/>
      <c r="W723" s="26"/>
      <c r="X723" s="26"/>
      <c r="Y723" s="26"/>
      <c r="Z723" s="26"/>
      <c r="AA723" s="26"/>
      <c r="AB723" s="26"/>
    </row>
    <row r="724" ht="17.25" customHeight="1">
      <c r="A724" s="25" t="s">
        <v>1333</v>
      </c>
      <c r="B724" s="25" t="s">
        <v>1333</v>
      </c>
      <c r="C724" s="25" t="s">
        <v>1333</v>
      </c>
      <c r="D724" s="25"/>
      <c r="F724" s="26"/>
      <c r="U724" s="26"/>
      <c r="V724" s="26"/>
      <c r="W724" s="26"/>
      <c r="X724" s="26"/>
      <c r="Y724" s="26"/>
      <c r="Z724" s="26"/>
      <c r="AA724" s="26"/>
      <c r="AB724" s="26"/>
    </row>
    <row r="725" ht="17.25" customHeight="1">
      <c r="A725" s="25" t="s">
        <v>1333</v>
      </c>
      <c r="B725" s="25" t="s">
        <v>1333</v>
      </c>
      <c r="C725" s="25" t="s">
        <v>1333</v>
      </c>
      <c r="D725" s="25"/>
      <c r="F725" s="26"/>
      <c r="U725" s="26"/>
      <c r="V725" s="26"/>
      <c r="W725" s="26"/>
      <c r="X725" s="26"/>
      <c r="Y725" s="26"/>
      <c r="Z725" s="26"/>
      <c r="AA725" s="26"/>
      <c r="AB725" s="26"/>
    </row>
    <row r="726" ht="17.25" customHeight="1">
      <c r="A726" s="25" t="s">
        <v>1333</v>
      </c>
      <c r="B726" s="25" t="s">
        <v>1333</v>
      </c>
      <c r="C726" s="25" t="s">
        <v>1333</v>
      </c>
      <c r="D726" s="25"/>
      <c r="F726" s="26"/>
      <c r="U726" s="26"/>
      <c r="V726" s="26"/>
      <c r="W726" s="26"/>
      <c r="X726" s="26"/>
      <c r="Y726" s="26"/>
      <c r="Z726" s="26"/>
      <c r="AA726" s="26"/>
      <c r="AB726" s="26"/>
    </row>
    <row r="727" ht="17.25" customHeight="1">
      <c r="A727" s="25" t="s">
        <v>1333</v>
      </c>
      <c r="B727" s="25" t="s">
        <v>1333</v>
      </c>
      <c r="C727" s="25" t="s">
        <v>1333</v>
      </c>
      <c r="D727" s="25"/>
      <c r="F727" s="26"/>
      <c r="U727" s="26"/>
      <c r="V727" s="26"/>
      <c r="W727" s="26"/>
      <c r="X727" s="26"/>
      <c r="Y727" s="26"/>
      <c r="Z727" s="26"/>
      <c r="AA727" s="26"/>
      <c r="AB727" s="26"/>
    </row>
    <row r="728" ht="17.25" customHeight="1">
      <c r="A728" s="25" t="s">
        <v>1333</v>
      </c>
      <c r="B728" s="25" t="s">
        <v>1333</v>
      </c>
      <c r="C728" s="25" t="s">
        <v>1333</v>
      </c>
      <c r="D728" s="25"/>
      <c r="F728" s="26"/>
      <c r="U728" s="26"/>
      <c r="V728" s="26"/>
      <c r="W728" s="26"/>
      <c r="X728" s="26"/>
      <c r="Y728" s="26"/>
      <c r="Z728" s="26"/>
      <c r="AA728" s="26"/>
      <c r="AB728" s="26"/>
    </row>
    <row r="729" ht="17.25" customHeight="1">
      <c r="A729" s="25" t="s">
        <v>1333</v>
      </c>
      <c r="B729" s="25" t="s">
        <v>1333</v>
      </c>
      <c r="C729" s="25" t="s">
        <v>1333</v>
      </c>
      <c r="D729" s="25"/>
      <c r="F729" s="26"/>
      <c r="U729" s="26"/>
      <c r="V729" s="26"/>
      <c r="W729" s="26"/>
      <c r="X729" s="26"/>
      <c r="Y729" s="26"/>
      <c r="Z729" s="26"/>
      <c r="AA729" s="26"/>
      <c r="AB729" s="26"/>
    </row>
    <row r="730" ht="17.25" customHeight="1">
      <c r="A730" s="25" t="s">
        <v>1333</v>
      </c>
      <c r="B730" s="25" t="s">
        <v>1333</v>
      </c>
      <c r="C730" s="25" t="s">
        <v>1333</v>
      </c>
      <c r="D730" s="25"/>
      <c r="F730" s="26"/>
      <c r="U730" s="26"/>
      <c r="V730" s="26"/>
      <c r="W730" s="26"/>
      <c r="X730" s="26"/>
      <c r="Y730" s="26"/>
      <c r="Z730" s="26"/>
      <c r="AA730" s="26"/>
      <c r="AB730" s="26"/>
    </row>
    <row r="731" ht="17.25" customHeight="1">
      <c r="A731" s="25" t="s">
        <v>1333</v>
      </c>
      <c r="B731" s="25" t="s">
        <v>1333</v>
      </c>
      <c r="C731" s="25" t="s">
        <v>1333</v>
      </c>
      <c r="D731" s="25"/>
      <c r="F731" s="26"/>
      <c r="U731" s="26"/>
      <c r="V731" s="26"/>
      <c r="W731" s="26"/>
      <c r="X731" s="26"/>
      <c r="Y731" s="26"/>
      <c r="Z731" s="26"/>
      <c r="AA731" s="26"/>
      <c r="AB731" s="26"/>
    </row>
    <row r="732" ht="17.25" customHeight="1">
      <c r="A732" s="25" t="s">
        <v>1333</v>
      </c>
      <c r="B732" s="25" t="s">
        <v>1333</v>
      </c>
      <c r="C732" s="25" t="s">
        <v>1333</v>
      </c>
      <c r="D732" s="25"/>
      <c r="F732" s="26"/>
      <c r="U732" s="26"/>
      <c r="V732" s="26"/>
      <c r="W732" s="26"/>
      <c r="X732" s="26"/>
      <c r="Y732" s="26"/>
      <c r="Z732" s="26"/>
      <c r="AA732" s="26"/>
      <c r="AB732" s="26"/>
    </row>
    <row r="733" ht="17.25" customHeight="1">
      <c r="A733" s="25" t="s">
        <v>1333</v>
      </c>
      <c r="B733" s="25" t="s">
        <v>1333</v>
      </c>
      <c r="C733" s="25" t="s">
        <v>1333</v>
      </c>
      <c r="D733" s="25"/>
      <c r="F733" s="26"/>
      <c r="U733" s="26"/>
      <c r="V733" s="26"/>
      <c r="W733" s="26"/>
      <c r="X733" s="26"/>
      <c r="Y733" s="26"/>
      <c r="Z733" s="26"/>
      <c r="AA733" s="26"/>
      <c r="AB733" s="26"/>
    </row>
    <row r="734" ht="17.25" customHeight="1">
      <c r="A734" s="25" t="s">
        <v>1333</v>
      </c>
      <c r="B734" s="25" t="s">
        <v>1333</v>
      </c>
      <c r="C734" s="25" t="s">
        <v>1333</v>
      </c>
      <c r="D734" s="25"/>
      <c r="F734" s="26"/>
      <c r="U734" s="26"/>
      <c r="V734" s="26"/>
      <c r="W734" s="26"/>
      <c r="X734" s="26"/>
      <c r="Y734" s="26"/>
      <c r="Z734" s="26"/>
      <c r="AA734" s="26"/>
      <c r="AB734" s="26"/>
    </row>
    <row r="735" ht="17.25" customHeight="1">
      <c r="A735" s="25" t="s">
        <v>1333</v>
      </c>
      <c r="B735" s="25" t="s">
        <v>1333</v>
      </c>
      <c r="C735" s="25" t="s">
        <v>1333</v>
      </c>
      <c r="D735" s="25"/>
      <c r="F735" s="26"/>
      <c r="U735" s="26"/>
      <c r="V735" s="26"/>
      <c r="W735" s="26"/>
      <c r="X735" s="26"/>
      <c r="Y735" s="26"/>
      <c r="Z735" s="26"/>
      <c r="AA735" s="26"/>
      <c r="AB735" s="26"/>
    </row>
    <row r="736" ht="17.25" customHeight="1">
      <c r="A736" s="25" t="s">
        <v>1333</v>
      </c>
      <c r="B736" s="25" t="s">
        <v>1333</v>
      </c>
      <c r="C736" s="25" t="s">
        <v>1333</v>
      </c>
      <c r="D736" s="25"/>
      <c r="F736" s="26"/>
      <c r="U736" s="26"/>
      <c r="V736" s="26"/>
      <c r="W736" s="26"/>
      <c r="X736" s="26"/>
      <c r="Y736" s="26"/>
      <c r="Z736" s="26"/>
      <c r="AA736" s="26"/>
      <c r="AB736" s="26"/>
    </row>
    <row r="737" ht="17.25" customHeight="1">
      <c r="A737" s="25" t="s">
        <v>1333</v>
      </c>
      <c r="B737" s="25" t="s">
        <v>1333</v>
      </c>
      <c r="C737" s="25" t="s">
        <v>1333</v>
      </c>
      <c r="D737" s="25"/>
      <c r="F737" s="26"/>
      <c r="U737" s="26"/>
      <c r="V737" s="26"/>
      <c r="W737" s="26"/>
      <c r="X737" s="26"/>
      <c r="Y737" s="26"/>
      <c r="Z737" s="26"/>
      <c r="AA737" s="26"/>
      <c r="AB737" s="26"/>
    </row>
    <row r="738" ht="17.25" customHeight="1">
      <c r="A738" s="25" t="s">
        <v>1333</v>
      </c>
      <c r="B738" s="25" t="s">
        <v>1333</v>
      </c>
      <c r="C738" s="25" t="s">
        <v>1333</v>
      </c>
      <c r="D738" s="25"/>
      <c r="F738" s="26"/>
      <c r="U738" s="26"/>
      <c r="V738" s="26"/>
      <c r="W738" s="26"/>
      <c r="X738" s="26"/>
      <c r="Y738" s="26"/>
      <c r="Z738" s="26"/>
      <c r="AA738" s="26"/>
      <c r="AB738" s="26"/>
    </row>
    <row r="739" ht="17.25" customHeight="1">
      <c r="A739" s="25" t="s">
        <v>1333</v>
      </c>
      <c r="B739" s="25" t="s">
        <v>1333</v>
      </c>
      <c r="C739" s="25" t="s">
        <v>1333</v>
      </c>
      <c r="D739" s="25"/>
      <c r="F739" s="26"/>
      <c r="U739" s="26"/>
      <c r="V739" s="26"/>
      <c r="W739" s="26"/>
      <c r="X739" s="26"/>
      <c r="Y739" s="26"/>
      <c r="Z739" s="26"/>
      <c r="AA739" s="26"/>
      <c r="AB739" s="26"/>
    </row>
    <row r="740" ht="17.25" customHeight="1">
      <c r="A740" s="25" t="s">
        <v>1333</v>
      </c>
      <c r="B740" s="25" t="s">
        <v>1333</v>
      </c>
      <c r="C740" s="25" t="s">
        <v>1333</v>
      </c>
      <c r="D740" s="25"/>
      <c r="F740" s="26"/>
      <c r="U740" s="26"/>
      <c r="V740" s="26"/>
      <c r="W740" s="26"/>
      <c r="X740" s="26"/>
      <c r="Y740" s="26"/>
      <c r="Z740" s="26"/>
      <c r="AA740" s="26"/>
      <c r="AB740" s="26"/>
    </row>
    <row r="741" ht="17.25" customHeight="1">
      <c r="A741" s="25" t="s">
        <v>1333</v>
      </c>
      <c r="B741" s="25" t="s">
        <v>1333</v>
      </c>
      <c r="C741" s="25" t="s">
        <v>1333</v>
      </c>
      <c r="D741" s="25"/>
      <c r="F741" s="26"/>
      <c r="U741" s="26"/>
      <c r="V741" s="26"/>
      <c r="W741" s="26"/>
      <c r="X741" s="26"/>
      <c r="Y741" s="26"/>
      <c r="Z741" s="26"/>
      <c r="AA741" s="26"/>
      <c r="AB741" s="26"/>
    </row>
    <row r="742" ht="17.25" customHeight="1">
      <c r="A742" s="25" t="s">
        <v>1333</v>
      </c>
      <c r="B742" s="25" t="s">
        <v>1333</v>
      </c>
      <c r="C742" s="25" t="s">
        <v>1333</v>
      </c>
      <c r="D742" s="25"/>
      <c r="F742" s="26"/>
      <c r="U742" s="26"/>
      <c r="V742" s="26"/>
      <c r="W742" s="26"/>
      <c r="X742" s="26"/>
      <c r="Y742" s="26"/>
      <c r="Z742" s="26"/>
      <c r="AA742" s="26"/>
      <c r="AB742" s="26"/>
    </row>
    <row r="743" ht="17.25" customHeight="1">
      <c r="A743" s="25" t="s">
        <v>1333</v>
      </c>
      <c r="B743" s="25" t="s">
        <v>1333</v>
      </c>
      <c r="C743" s="25" t="s">
        <v>1333</v>
      </c>
      <c r="D743" s="25"/>
      <c r="F743" s="26"/>
      <c r="U743" s="26"/>
      <c r="V743" s="26"/>
      <c r="W743" s="26"/>
      <c r="X743" s="26"/>
      <c r="Y743" s="26"/>
      <c r="Z743" s="26"/>
      <c r="AA743" s="26"/>
      <c r="AB743" s="26"/>
    </row>
    <row r="744" ht="17.25" customHeight="1">
      <c r="A744" s="25" t="s">
        <v>1333</v>
      </c>
      <c r="B744" s="25" t="s">
        <v>1333</v>
      </c>
      <c r="C744" s="25" t="s">
        <v>1333</v>
      </c>
      <c r="D744" s="25"/>
      <c r="F744" s="26"/>
      <c r="U744" s="26"/>
      <c r="V744" s="26"/>
      <c r="W744" s="26"/>
      <c r="X744" s="26"/>
      <c r="Y744" s="26"/>
      <c r="Z744" s="26"/>
      <c r="AA744" s="26"/>
      <c r="AB744" s="26"/>
    </row>
    <row r="745" ht="17.25" customHeight="1">
      <c r="A745" s="25" t="s">
        <v>1333</v>
      </c>
      <c r="B745" s="25" t="s">
        <v>1333</v>
      </c>
      <c r="C745" s="25" t="s">
        <v>1333</v>
      </c>
      <c r="D745" s="25"/>
      <c r="F745" s="26"/>
      <c r="U745" s="26"/>
      <c r="V745" s="26"/>
      <c r="W745" s="26"/>
      <c r="X745" s="26"/>
      <c r="Y745" s="26"/>
      <c r="Z745" s="26"/>
      <c r="AA745" s="26"/>
      <c r="AB745" s="26"/>
    </row>
    <row r="746" ht="17.25" customHeight="1">
      <c r="A746" s="25" t="s">
        <v>1333</v>
      </c>
      <c r="B746" s="25" t="s">
        <v>1333</v>
      </c>
      <c r="C746" s="25" t="s">
        <v>1333</v>
      </c>
      <c r="D746" s="25"/>
      <c r="F746" s="26"/>
      <c r="U746" s="26"/>
      <c r="V746" s="26"/>
      <c r="W746" s="26"/>
      <c r="X746" s="26"/>
      <c r="Y746" s="26"/>
      <c r="Z746" s="26"/>
      <c r="AA746" s="26"/>
      <c r="AB746" s="26"/>
    </row>
    <row r="747" ht="17.25" customHeight="1">
      <c r="A747" s="25" t="s">
        <v>1333</v>
      </c>
      <c r="B747" s="25" t="s">
        <v>1333</v>
      </c>
      <c r="C747" s="25" t="s">
        <v>1333</v>
      </c>
      <c r="D747" s="25"/>
      <c r="F747" s="26"/>
      <c r="U747" s="26"/>
      <c r="V747" s="26"/>
      <c r="W747" s="26"/>
      <c r="X747" s="26"/>
      <c r="Y747" s="26"/>
      <c r="Z747" s="26"/>
      <c r="AA747" s="26"/>
      <c r="AB747" s="26"/>
    </row>
    <row r="748" ht="17.25" customHeight="1">
      <c r="A748" s="25" t="s">
        <v>1333</v>
      </c>
      <c r="B748" s="25" t="s">
        <v>1333</v>
      </c>
      <c r="C748" s="25" t="s">
        <v>1333</v>
      </c>
      <c r="D748" s="25"/>
      <c r="F748" s="26"/>
      <c r="U748" s="26"/>
      <c r="V748" s="26"/>
      <c r="W748" s="26"/>
      <c r="X748" s="26"/>
      <c r="Y748" s="26"/>
      <c r="Z748" s="26"/>
      <c r="AA748" s="26"/>
      <c r="AB748" s="26"/>
    </row>
    <row r="749" ht="17.25" customHeight="1">
      <c r="A749" s="25" t="s">
        <v>1333</v>
      </c>
      <c r="B749" s="25" t="s">
        <v>1333</v>
      </c>
      <c r="C749" s="25" t="s">
        <v>1333</v>
      </c>
      <c r="D749" s="25"/>
      <c r="F749" s="26"/>
      <c r="U749" s="26"/>
      <c r="V749" s="26"/>
      <c r="W749" s="26"/>
      <c r="X749" s="26"/>
      <c r="Y749" s="26"/>
      <c r="Z749" s="26"/>
      <c r="AA749" s="26"/>
      <c r="AB749" s="26"/>
    </row>
    <row r="750" ht="17.25" customHeight="1">
      <c r="A750" s="25" t="s">
        <v>1333</v>
      </c>
      <c r="B750" s="25" t="s">
        <v>1333</v>
      </c>
      <c r="C750" s="25" t="s">
        <v>1333</v>
      </c>
      <c r="D750" s="25"/>
      <c r="F750" s="26"/>
      <c r="U750" s="26"/>
      <c r="V750" s="26"/>
      <c r="W750" s="26"/>
      <c r="X750" s="26"/>
      <c r="Y750" s="26"/>
      <c r="Z750" s="26"/>
      <c r="AA750" s="26"/>
      <c r="AB750" s="26"/>
    </row>
    <row r="751" ht="17.25" customHeight="1">
      <c r="A751" s="25" t="s">
        <v>1333</v>
      </c>
      <c r="B751" s="25" t="s">
        <v>1333</v>
      </c>
      <c r="C751" s="25" t="s">
        <v>1333</v>
      </c>
      <c r="D751" s="25"/>
      <c r="F751" s="26"/>
      <c r="U751" s="26"/>
      <c r="V751" s="26"/>
      <c r="W751" s="26"/>
      <c r="X751" s="26"/>
      <c r="Y751" s="26"/>
      <c r="Z751" s="26"/>
      <c r="AA751" s="26"/>
      <c r="AB751" s="26"/>
    </row>
    <row r="752" ht="17.25" customHeight="1">
      <c r="A752" s="25" t="s">
        <v>1333</v>
      </c>
      <c r="B752" s="25" t="s">
        <v>1333</v>
      </c>
      <c r="C752" s="25" t="s">
        <v>1333</v>
      </c>
      <c r="D752" s="25"/>
      <c r="F752" s="26"/>
      <c r="U752" s="26"/>
      <c r="V752" s="26"/>
      <c r="W752" s="26"/>
      <c r="X752" s="26"/>
      <c r="Y752" s="26"/>
      <c r="Z752" s="26"/>
      <c r="AA752" s="26"/>
      <c r="AB752" s="26"/>
    </row>
    <row r="753" ht="17.25" customHeight="1">
      <c r="A753" s="25" t="s">
        <v>1333</v>
      </c>
      <c r="B753" s="25" t="s">
        <v>1333</v>
      </c>
      <c r="C753" s="25" t="s">
        <v>1333</v>
      </c>
      <c r="D753" s="25"/>
      <c r="F753" s="26"/>
      <c r="U753" s="26"/>
      <c r="V753" s="26"/>
      <c r="W753" s="26"/>
      <c r="X753" s="26"/>
      <c r="Y753" s="26"/>
      <c r="Z753" s="26"/>
      <c r="AA753" s="26"/>
      <c r="AB753" s="26"/>
    </row>
    <row r="754" ht="17.25" customHeight="1">
      <c r="A754" s="25" t="s">
        <v>1333</v>
      </c>
      <c r="B754" s="25" t="s">
        <v>1333</v>
      </c>
      <c r="C754" s="25" t="s">
        <v>1333</v>
      </c>
      <c r="D754" s="25"/>
      <c r="F754" s="26"/>
      <c r="U754" s="26"/>
      <c r="V754" s="26"/>
      <c r="W754" s="26"/>
      <c r="X754" s="26"/>
      <c r="Y754" s="26"/>
      <c r="Z754" s="26"/>
      <c r="AA754" s="26"/>
      <c r="AB754" s="26"/>
    </row>
    <row r="755" ht="17.25" customHeight="1">
      <c r="A755" s="25" t="s">
        <v>1333</v>
      </c>
      <c r="B755" s="25" t="s">
        <v>1333</v>
      </c>
      <c r="C755" s="25" t="s">
        <v>1333</v>
      </c>
      <c r="D755" s="25"/>
      <c r="F755" s="26"/>
      <c r="U755" s="26"/>
      <c r="V755" s="26"/>
      <c r="W755" s="26"/>
      <c r="X755" s="26"/>
      <c r="Y755" s="26"/>
      <c r="Z755" s="26"/>
      <c r="AA755" s="26"/>
      <c r="AB755" s="26"/>
    </row>
    <row r="756" ht="17.25" customHeight="1">
      <c r="A756" s="25" t="s">
        <v>1333</v>
      </c>
      <c r="B756" s="25" t="s">
        <v>1333</v>
      </c>
      <c r="C756" s="25" t="s">
        <v>1333</v>
      </c>
      <c r="D756" s="25"/>
      <c r="F756" s="26"/>
      <c r="U756" s="26"/>
      <c r="V756" s="26"/>
      <c r="W756" s="26"/>
      <c r="X756" s="26"/>
      <c r="Y756" s="26"/>
      <c r="Z756" s="26"/>
      <c r="AA756" s="26"/>
      <c r="AB756" s="26"/>
    </row>
    <row r="757" ht="17.25" customHeight="1">
      <c r="A757" s="25" t="s">
        <v>1333</v>
      </c>
      <c r="B757" s="25" t="s">
        <v>1333</v>
      </c>
      <c r="C757" s="25" t="s">
        <v>1333</v>
      </c>
      <c r="D757" s="25"/>
      <c r="F757" s="26"/>
      <c r="U757" s="26"/>
      <c r="V757" s="26"/>
      <c r="W757" s="26"/>
      <c r="X757" s="26"/>
      <c r="Y757" s="26"/>
      <c r="Z757" s="26"/>
      <c r="AA757" s="26"/>
      <c r="AB757" s="26"/>
    </row>
    <row r="758" ht="17.25" customHeight="1">
      <c r="A758" s="25" t="s">
        <v>1333</v>
      </c>
      <c r="B758" s="25" t="s">
        <v>1333</v>
      </c>
      <c r="C758" s="25" t="s">
        <v>1333</v>
      </c>
      <c r="D758" s="25"/>
      <c r="F758" s="26"/>
      <c r="U758" s="26"/>
      <c r="V758" s="26"/>
      <c r="W758" s="26"/>
      <c r="X758" s="26"/>
      <c r="Y758" s="26"/>
      <c r="Z758" s="26"/>
      <c r="AA758" s="26"/>
      <c r="AB758" s="26"/>
    </row>
    <row r="759" ht="17.25" customHeight="1">
      <c r="A759" s="25" t="s">
        <v>1333</v>
      </c>
      <c r="B759" s="25" t="s">
        <v>1333</v>
      </c>
      <c r="C759" s="25" t="s">
        <v>1333</v>
      </c>
      <c r="D759" s="25"/>
      <c r="F759" s="26"/>
      <c r="U759" s="26"/>
      <c r="V759" s="26"/>
      <c r="W759" s="26"/>
      <c r="X759" s="26"/>
      <c r="Y759" s="26"/>
      <c r="Z759" s="26"/>
      <c r="AA759" s="26"/>
      <c r="AB759" s="26"/>
    </row>
    <row r="760" ht="17.25" customHeight="1">
      <c r="A760" s="25" t="s">
        <v>1333</v>
      </c>
      <c r="B760" s="25" t="s">
        <v>1333</v>
      </c>
      <c r="C760" s="25" t="s">
        <v>1333</v>
      </c>
      <c r="D760" s="25"/>
      <c r="F760" s="26"/>
      <c r="U760" s="26"/>
      <c r="V760" s="26"/>
      <c r="W760" s="26"/>
      <c r="X760" s="26"/>
      <c r="Y760" s="26"/>
      <c r="Z760" s="26"/>
      <c r="AA760" s="26"/>
      <c r="AB760" s="26"/>
    </row>
    <row r="761" ht="17.25" customHeight="1">
      <c r="A761" s="25" t="s">
        <v>1333</v>
      </c>
      <c r="B761" s="25" t="s">
        <v>1333</v>
      </c>
      <c r="C761" s="25" t="s">
        <v>1333</v>
      </c>
      <c r="D761" s="25"/>
      <c r="F761" s="26"/>
      <c r="U761" s="26"/>
      <c r="V761" s="26"/>
      <c r="W761" s="26"/>
      <c r="X761" s="26"/>
      <c r="Y761" s="26"/>
      <c r="Z761" s="26"/>
      <c r="AA761" s="26"/>
      <c r="AB761" s="26"/>
    </row>
    <row r="762" ht="17.25" customHeight="1">
      <c r="A762" s="25" t="s">
        <v>1333</v>
      </c>
      <c r="B762" s="25" t="s">
        <v>1333</v>
      </c>
      <c r="C762" s="25" t="s">
        <v>1333</v>
      </c>
      <c r="D762" s="25"/>
      <c r="F762" s="26"/>
      <c r="U762" s="26"/>
      <c r="V762" s="26"/>
      <c r="W762" s="26"/>
      <c r="X762" s="26"/>
      <c r="Y762" s="26"/>
      <c r="Z762" s="26"/>
      <c r="AA762" s="26"/>
      <c r="AB762" s="26"/>
    </row>
    <row r="763" ht="17.25" customHeight="1">
      <c r="A763" s="25" t="s">
        <v>1333</v>
      </c>
      <c r="B763" s="25" t="s">
        <v>1333</v>
      </c>
      <c r="C763" s="25" t="s">
        <v>1333</v>
      </c>
      <c r="D763" s="25"/>
      <c r="F763" s="26"/>
      <c r="U763" s="26"/>
      <c r="V763" s="26"/>
      <c r="W763" s="26"/>
      <c r="X763" s="26"/>
      <c r="Y763" s="26"/>
      <c r="Z763" s="26"/>
      <c r="AA763" s="26"/>
      <c r="AB763" s="26"/>
    </row>
    <row r="764" ht="17.25" customHeight="1">
      <c r="A764" s="25" t="s">
        <v>1333</v>
      </c>
      <c r="B764" s="25" t="s">
        <v>1333</v>
      </c>
      <c r="C764" s="25" t="s">
        <v>1333</v>
      </c>
      <c r="D764" s="25"/>
      <c r="F764" s="26"/>
      <c r="U764" s="26"/>
      <c r="V764" s="26"/>
      <c r="W764" s="26"/>
      <c r="X764" s="26"/>
      <c r="Y764" s="26"/>
      <c r="Z764" s="26"/>
      <c r="AA764" s="26"/>
      <c r="AB764" s="26"/>
    </row>
    <row r="765" ht="17.25" customHeight="1">
      <c r="A765" s="25" t="s">
        <v>1333</v>
      </c>
      <c r="B765" s="25" t="s">
        <v>1333</v>
      </c>
      <c r="C765" s="25" t="s">
        <v>1333</v>
      </c>
      <c r="D765" s="25"/>
      <c r="F765" s="26"/>
      <c r="U765" s="26"/>
      <c r="V765" s="26"/>
      <c r="W765" s="26"/>
      <c r="X765" s="26"/>
      <c r="Y765" s="26"/>
      <c r="Z765" s="26"/>
      <c r="AA765" s="26"/>
      <c r="AB765" s="26"/>
    </row>
    <row r="766" ht="17.25" customHeight="1">
      <c r="A766" s="25" t="s">
        <v>1333</v>
      </c>
      <c r="B766" s="25" t="s">
        <v>1333</v>
      </c>
      <c r="C766" s="25" t="s">
        <v>1333</v>
      </c>
      <c r="D766" s="25"/>
      <c r="F766" s="26"/>
      <c r="U766" s="26"/>
      <c r="V766" s="26"/>
      <c r="W766" s="26"/>
      <c r="X766" s="26"/>
      <c r="Y766" s="26"/>
      <c r="Z766" s="26"/>
      <c r="AA766" s="26"/>
      <c r="AB766" s="26"/>
    </row>
    <row r="767" ht="17.25" customHeight="1">
      <c r="A767" s="25" t="s">
        <v>1333</v>
      </c>
      <c r="B767" s="25" t="s">
        <v>1333</v>
      </c>
      <c r="C767" s="25" t="s">
        <v>1333</v>
      </c>
      <c r="D767" s="25"/>
      <c r="F767" s="26"/>
      <c r="U767" s="26"/>
      <c r="V767" s="26"/>
      <c r="W767" s="26"/>
      <c r="X767" s="26"/>
      <c r="Y767" s="26"/>
      <c r="Z767" s="26"/>
      <c r="AA767" s="26"/>
      <c r="AB767" s="26"/>
    </row>
    <row r="768" ht="17.25" customHeight="1">
      <c r="A768" s="25" t="s">
        <v>1333</v>
      </c>
      <c r="B768" s="25" t="s">
        <v>1333</v>
      </c>
      <c r="C768" s="25" t="s">
        <v>1333</v>
      </c>
      <c r="D768" s="25"/>
      <c r="F768" s="26"/>
      <c r="U768" s="26"/>
      <c r="V768" s="26"/>
      <c r="W768" s="26"/>
      <c r="X768" s="26"/>
      <c r="Y768" s="26"/>
      <c r="Z768" s="26"/>
      <c r="AA768" s="26"/>
      <c r="AB768" s="26"/>
    </row>
    <row r="769" ht="17.25" customHeight="1">
      <c r="A769" s="25" t="s">
        <v>1333</v>
      </c>
      <c r="B769" s="25" t="s">
        <v>1333</v>
      </c>
      <c r="C769" s="25" t="s">
        <v>1333</v>
      </c>
      <c r="D769" s="25"/>
      <c r="F769" s="26"/>
      <c r="U769" s="26"/>
      <c r="V769" s="26"/>
      <c r="W769" s="26"/>
      <c r="X769" s="26"/>
      <c r="Y769" s="26"/>
      <c r="Z769" s="26"/>
      <c r="AA769" s="26"/>
      <c r="AB769" s="26"/>
    </row>
    <row r="770" ht="17.25" customHeight="1">
      <c r="A770" s="25" t="s">
        <v>1333</v>
      </c>
      <c r="B770" s="25" t="s">
        <v>1333</v>
      </c>
      <c r="C770" s="25" t="s">
        <v>1333</v>
      </c>
      <c r="D770" s="25"/>
      <c r="F770" s="26"/>
      <c r="U770" s="26"/>
      <c r="V770" s="26"/>
      <c r="W770" s="26"/>
      <c r="X770" s="26"/>
      <c r="Y770" s="26"/>
      <c r="Z770" s="26"/>
      <c r="AA770" s="26"/>
      <c r="AB770" s="26"/>
    </row>
    <row r="771" ht="17.25" customHeight="1">
      <c r="A771" s="25" t="s">
        <v>1333</v>
      </c>
      <c r="B771" s="25" t="s">
        <v>1333</v>
      </c>
      <c r="C771" s="25" t="s">
        <v>1333</v>
      </c>
      <c r="D771" s="25"/>
      <c r="F771" s="26"/>
      <c r="U771" s="26"/>
      <c r="V771" s="26"/>
      <c r="W771" s="26"/>
      <c r="X771" s="26"/>
      <c r="Y771" s="26"/>
      <c r="Z771" s="26"/>
      <c r="AA771" s="26"/>
      <c r="AB771" s="26"/>
    </row>
    <row r="772" ht="17.25" customHeight="1">
      <c r="A772" s="25" t="s">
        <v>1333</v>
      </c>
      <c r="B772" s="25" t="s">
        <v>1333</v>
      </c>
      <c r="C772" s="25" t="s">
        <v>1333</v>
      </c>
      <c r="D772" s="25"/>
      <c r="F772" s="26"/>
      <c r="U772" s="26"/>
      <c r="V772" s="26"/>
      <c r="W772" s="26"/>
      <c r="X772" s="26"/>
      <c r="Y772" s="26"/>
      <c r="Z772" s="26"/>
      <c r="AA772" s="26"/>
      <c r="AB772" s="26"/>
    </row>
    <row r="773" ht="17.25" customHeight="1">
      <c r="A773" s="25" t="s">
        <v>1333</v>
      </c>
      <c r="B773" s="25" t="s">
        <v>1333</v>
      </c>
      <c r="C773" s="25" t="s">
        <v>1333</v>
      </c>
      <c r="D773" s="25"/>
      <c r="F773" s="26"/>
      <c r="U773" s="26"/>
      <c r="V773" s="26"/>
      <c r="W773" s="26"/>
      <c r="X773" s="26"/>
      <c r="Y773" s="26"/>
      <c r="Z773" s="26"/>
      <c r="AA773" s="26"/>
      <c r="AB773" s="26"/>
    </row>
    <row r="774" ht="17.25" customHeight="1">
      <c r="A774" s="25" t="s">
        <v>1333</v>
      </c>
      <c r="B774" s="25" t="s">
        <v>1333</v>
      </c>
      <c r="C774" s="25" t="s">
        <v>1333</v>
      </c>
      <c r="D774" s="25"/>
      <c r="F774" s="26"/>
      <c r="U774" s="26"/>
      <c r="V774" s="26"/>
      <c r="W774" s="26"/>
      <c r="X774" s="26"/>
      <c r="Y774" s="26"/>
      <c r="Z774" s="26"/>
      <c r="AA774" s="26"/>
      <c r="AB774" s="26"/>
    </row>
    <row r="775" ht="17.25" customHeight="1">
      <c r="A775" s="25" t="s">
        <v>1333</v>
      </c>
      <c r="B775" s="25" t="s">
        <v>1333</v>
      </c>
      <c r="C775" s="25" t="s">
        <v>1333</v>
      </c>
      <c r="D775" s="25"/>
      <c r="F775" s="26"/>
      <c r="U775" s="26"/>
      <c r="V775" s="26"/>
      <c r="W775" s="26"/>
      <c r="X775" s="26"/>
      <c r="Y775" s="26"/>
      <c r="Z775" s="26"/>
      <c r="AA775" s="26"/>
      <c r="AB775" s="26"/>
    </row>
    <row r="776" ht="17.25" customHeight="1">
      <c r="A776" s="25" t="s">
        <v>1333</v>
      </c>
      <c r="B776" s="25" t="s">
        <v>1333</v>
      </c>
      <c r="C776" s="25" t="s">
        <v>1333</v>
      </c>
      <c r="D776" s="25"/>
      <c r="F776" s="26"/>
      <c r="U776" s="26"/>
      <c r="V776" s="26"/>
      <c r="W776" s="26"/>
      <c r="X776" s="26"/>
      <c r="Y776" s="26"/>
      <c r="Z776" s="26"/>
      <c r="AA776" s="26"/>
      <c r="AB776" s="26"/>
    </row>
    <row r="777" ht="17.25" customHeight="1">
      <c r="A777" s="25" t="s">
        <v>1333</v>
      </c>
      <c r="B777" s="25" t="s">
        <v>1333</v>
      </c>
      <c r="C777" s="25" t="s">
        <v>1333</v>
      </c>
      <c r="D777" s="25"/>
      <c r="F777" s="26"/>
      <c r="U777" s="26"/>
      <c r="V777" s="26"/>
      <c r="W777" s="26"/>
      <c r="X777" s="26"/>
      <c r="Y777" s="26"/>
      <c r="Z777" s="26"/>
      <c r="AA777" s="26"/>
      <c r="AB777" s="26"/>
    </row>
    <row r="778" ht="17.25" customHeight="1">
      <c r="A778" s="25" t="s">
        <v>1333</v>
      </c>
      <c r="B778" s="25" t="s">
        <v>1333</v>
      </c>
      <c r="C778" s="25" t="s">
        <v>1333</v>
      </c>
      <c r="D778" s="25"/>
      <c r="F778" s="26"/>
      <c r="U778" s="26"/>
      <c r="V778" s="26"/>
      <c r="W778" s="26"/>
      <c r="X778" s="26"/>
      <c r="Y778" s="26"/>
      <c r="Z778" s="26"/>
      <c r="AA778" s="26"/>
      <c r="AB778" s="26"/>
    </row>
    <row r="779" ht="17.25" customHeight="1">
      <c r="A779" s="25" t="s">
        <v>1333</v>
      </c>
      <c r="B779" s="25" t="s">
        <v>1333</v>
      </c>
      <c r="C779" s="25" t="s">
        <v>1333</v>
      </c>
      <c r="D779" s="25"/>
      <c r="F779" s="26"/>
      <c r="U779" s="26"/>
      <c r="V779" s="26"/>
      <c r="W779" s="26"/>
      <c r="X779" s="26"/>
      <c r="Y779" s="26"/>
      <c r="Z779" s="26"/>
      <c r="AA779" s="26"/>
      <c r="AB779" s="26"/>
    </row>
    <row r="780" ht="17.25" customHeight="1">
      <c r="A780" s="25" t="s">
        <v>1333</v>
      </c>
      <c r="B780" s="25" t="s">
        <v>1333</v>
      </c>
      <c r="C780" s="25" t="s">
        <v>1333</v>
      </c>
      <c r="D780" s="25"/>
      <c r="F780" s="26"/>
      <c r="U780" s="26"/>
      <c r="V780" s="26"/>
      <c r="W780" s="26"/>
      <c r="X780" s="26"/>
      <c r="Y780" s="26"/>
      <c r="Z780" s="26"/>
      <c r="AA780" s="26"/>
      <c r="AB780" s="26"/>
    </row>
    <row r="781" ht="17.25" customHeight="1">
      <c r="A781" s="25" t="s">
        <v>1333</v>
      </c>
      <c r="B781" s="25" t="s">
        <v>1333</v>
      </c>
      <c r="C781" s="25" t="s">
        <v>1333</v>
      </c>
      <c r="D781" s="25"/>
      <c r="F781" s="26"/>
      <c r="U781" s="26"/>
      <c r="V781" s="26"/>
      <c r="W781" s="26"/>
      <c r="X781" s="26"/>
      <c r="Y781" s="26"/>
      <c r="Z781" s="26"/>
      <c r="AA781" s="26"/>
      <c r="AB781" s="26"/>
    </row>
    <row r="782" ht="17.25" customHeight="1">
      <c r="A782" s="25" t="s">
        <v>1333</v>
      </c>
      <c r="B782" s="25" t="s">
        <v>1333</v>
      </c>
      <c r="C782" s="25" t="s">
        <v>1333</v>
      </c>
      <c r="D782" s="25"/>
      <c r="F782" s="26"/>
      <c r="U782" s="26"/>
      <c r="V782" s="26"/>
      <c r="W782" s="26"/>
      <c r="X782" s="26"/>
      <c r="Y782" s="26"/>
      <c r="Z782" s="26"/>
      <c r="AA782" s="26"/>
      <c r="AB782" s="26"/>
    </row>
    <row r="783" ht="17.25" customHeight="1">
      <c r="A783" s="25" t="s">
        <v>1333</v>
      </c>
      <c r="B783" s="25" t="s">
        <v>1333</v>
      </c>
      <c r="C783" s="25" t="s">
        <v>1333</v>
      </c>
      <c r="D783" s="25"/>
      <c r="F783" s="26"/>
      <c r="U783" s="26"/>
      <c r="V783" s="26"/>
      <c r="W783" s="26"/>
      <c r="X783" s="26"/>
      <c r="Y783" s="26"/>
      <c r="Z783" s="26"/>
      <c r="AA783" s="26"/>
      <c r="AB783" s="26"/>
    </row>
    <row r="784" ht="17.25" customHeight="1">
      <c r="A784" s="25" t="s">
        <v>1333</v>
      </c>
      <c r="B784" s="25" t="s">
        <v>1333</v>
      </c>
      <c r="C784" s="25" t="s">
        <v>1333</v>
      </c>
      <c r="D784" s="25"/>
      <c r="F784" s="26"/>
      <c r="U784" s="26"/>
      <c r="V784" s="26"/>
      <c r="W784" s="26"/>
      <c r="X784" s="26"/>
      <c r="Y784" s="26"/>
      <c r="Z784" s="26"/>
      <c r="AA784" s="26"/>
      <c r="AB784" s="26"/>
    </row>
    <row r="785" ht="17.25" customHeight="1">
      <c r="A785" s="25" t="s">
        <v>1333</v>
      </c>
      <c r="B785" s="25" t="s">
        <v>1333</v>
      </c>
      <c r="C785" s="25" t="s">
        <v>1333</v>
      </c>
      <c r="D785" s="25"/>
      <c r="F785" s="26"/>
      <c r="U785" s="26"/>
      <c r="V785" s="26"/>
      <c r="W785" s="26"/>
      <c r="X785" s="26"/>
      <c r="Y785" s="26"/>
      <c r="Z785" s="26"/>
      <c r="AA785" s="26"/>
      <c r="AB785" s="26"/>
    </row>
    <row r="786" ht="17.25" customHeight="1">
      <c r="A786" s="25" t="s">
        <v>1333</v>
      </c>
      <c r="B786" s="25" t="s">
        <v>1333</v>
      </c>
      <c r="C786" s="25" t="s">
        <v>1333</v>
      </c>
      <c r="D786" s="25"/>
      <c r="F786" s="26"/>
      <c r="U786" s="26"/>
      <c r="V786" s="26"/>
      <c r="W786" s="26"/>
      <c r="X786" s="26"/>
      <c r="Y786" s="26"/>
      <c r="Z786" s="26"/>
      <c r="AA786" s="26"/>
      <c r="AB786" s="26"/>
    </row>
    <row r="787" ht="17.25" customHeight="1">
      <c r="A787" s="25" t="s">
        <v>1333</v>
      </c>
      <c r="B787" s="25" t="s">
        <v>1333</v>
      </c>
      <c r="C787" s="25" t="s">
        <v>1333</v>
      </c>
      <c r="D787" s="25"/>
      <c r="F787" s="26"/>
      <c r="U787" s="26"/>
      <c r="V787" s="26"/>
      <c r="W787" s="26"/>
      <c r="X787" s="26"/>
      <c r="Y787" s="26"/>
      <c r="Z787" s="26"/>
      <c r="AA787" s="26"/>
      <c r="AB787" s="26"/>
    </row>
    <row r="788" ht="17.25" customHeight="1">
      <c r="A788" s="25" t="s">
        <v>1333</v>
      </c>
      <c r="B788" s="25" t="s">
        <v>1333</v>
      </c>
      <c r="C788" s="25" t="s">
        <v>1333</v>
      </c>
      <c r="D788" s="25"/>
      <c r="F788" s="26"/>
      <c r="U788" s="26"/>
      <c r="V788" s="26"/>
      <c r="W788" s="26"/>
      <c r="X788" s="26"/>
      <c r="Y788" s="26"/>
      <c r="Z788" s="26"/>
      <c r="AA788" s="26"/>
      <c r="AB788" s="26"/>
    </row>
    <row r="789" ht="17.25" customHeight="1">
      <c r="A789" s="25" t="s">
        <v>1333</v>
      </c>
      <c r="B789" s="25" t="s">
        <v>1333</v>
      </c>
      <c r="C789" s="25" t="s">
        <v>1333</v>
      </c>
      <c r="D789" s="25"/>
      <c r="F789" s="26"/>
      <c r="U789" s="26"/>
      <c r="V789" s="26"/>
      <c r="W789" s="26"/>
      <c r="X789" s="26"/>
      <c r="Y789" s="26"/>
      <c r="Z789" s="26"/>
      <c r="AA789" s="26"/>
      <c r="AB789" s="26"/>
    </row>
    <row r="790" ht="17.25" customHeight="1">
      <c r="A790" s="25" t="s">
        <v>1333</v>
      </c>
      <c r="B790" s="25" t="s">
        <v>1333</v>
      </c>
      <c r="C790" s="25" t="s">
        <v>1333</v>
      </c>
      <c r="D790" s="25"/>
      <c r="F790" s="26"/>
      <c r="U790" s="26"/>
      <c r="V790" s="26"/>
      <c r="W790" s="26"/>
      <c r="X790" s="26"/>
      <c r="Y790" s="26"/>
      <c r="Z790" s="26"/>
      <c r="AA790" s="26"/>
      <c r="AB790" s="26"/>
    </row>
    <row r="791" ht="17.25" customHeight="1">
      <c r="A791" s="25" t="s">
        <v>1333</v>
      </c>
      <c r="B791" s="25" t="s">
        <v>1333</v>
      </c>
      <c r="C791" s="25" t="s">
        <v>1333</v>
      </c>
      <c r="D791" s="25"/>
      <c r="F791" s="26"/>
      <c r="U791" s="26"/>
      <c r="V791" s="26"/>
      <c r="W791" s="26"/>
      <c r="X791" s="26"/>
      <c r="Y791" s="26"/>
      <c r="Z791" s="26"/>
      <c r="AA791" s="26"/>
      <c r="AB791" s="26"/>
    </row>
    <row r="792" ht="17.25" customHeight="1">
      <c r="A792" s="25" t="s">
        <v>1333</v>
      </c>
      <c r="B792" s="25" t="s">
        <v>1333</v>
      </c>
      <c r="C792" s="25" t="s">
        <v>1333</v>
      </c>
      <c r="D792" s="25"/>
      <c r="F792" s="26"/>
      <c r="U792" s="26"/>
      <c r="V792" s="26"/>
      <c r="W792" s="26"/>
      <c r="X792" s="26"/>
      <c r="Y792" s="26"/>
      <c r="Z792" s="26"/>
      <c r="AA792" s="26"/>
      <c r="AB792" s="26"/>
    </row>
    <row r="793" ht="17.25" customHeight="1">
      <c r="A793" s="25" t="s">
        <v>1333</v>
      </c>
      <c r="B793" s="25" t="s">
        <v>1333</v>
      </c>
      <c r="C793" s="25" t="s">
        <v>1333</v>
      </c>
      <c r="D793" s="25"/>
      <c r="F793" s="26"/>
      <c r="U793" s="26"/>
      <c r="V793" s="26"/>
      <c r="W793" s="26"/>
      <c r="X793" s="26"/>
      <c r="Y793" s="26"/>
      <c r="Z793" s="26"/>
      <c r="AA793" s="26"/>
      <c r="AB793" s="26"/>
    </row>
    <row r="794" ht="17.25" customHeight="1">
      <c r="A794" s="25" t="s">
        <v>1333</v>
      </c>
      <c r="B794" s="25" t="s">
        <v>1333</v>
      </c>
      <c r="C794" s="25" t="s">
        <v>1333</v>
      </c>
      <c r="D794" s="25"/>
      <c r="F794" s="26"/>
      <c r="U794" s="26"/>
      <c r="V794" s="26"/>
      <c r="W794" s="26"/>
      <c r="X794" s="26"/>
      <c r="Y794" s="26"/>
      <c r="Z794" s="26"/>
      <c r="AA794" s="26"/>
      <c r="AB794" s="26"/>
    </row>
    <row r="795" ht="17.25" customHeight="1">
      <c r="A795" s="25" t="s">
        <v>1333</v>
      </c>
      <c r="B795" s="25" t="s">
        <v>1333</v>
      </c>
      <c r="C795" s="25" t="s">
        <v>1333</v>
      </c>
      <c r="D795" s="25"/>
      <c r="F795" s="26"/>
      <c r="U795" s="26"/>
      <c r="V795" s="26"/>
      <c r="W795" s="26"/>
      <c r="X795" s="26"/>
      <c r="Y795" s="26"/>
      <c r="Z795" s="26"/>
      <c r="AA795" s="26"/>
      <c r="AB795" s="26"/>
    </row>
    <row r="796" ht="17.25" customHeight="1">
      <c r="A796" s="25" t="s">
        <v>1333</v>
      </c>
      <c r="B796" s="25" t="s">
        <v>1333</v>
      </c>
      <c r="C796" s="25" t="s">
        <v>1333</v>
      </c>
      <c r="D796" s="25"/>
      <c r="F796" s="26"/>
      <c r="U796" s="26"/>
      <c r="V796" s="26"/>
      <c r="W796" s="26"/>
      <c r="X796" s="26"/>
      <c r="Y796" s="26"/>
      <c r="Z796" s="26"/>
      <c r="AA796" s="26"/>
      <c r="AB796" s="26"/>
    </row>
    <row r="797" ht="17.25" customHeight="1">
      <c r="A797" s="25" t="s">
        <v>1333</v>
      </c>
      <c r="B797" s="25" t="s">
        <v>1333</v>
      </c>
      <c r="C797" s="25" t="s">
        <v>1333</v>
      </c>
      <c r="D797" s="25"/>
      <c r="F797" s="26"/>
      <c r="U797" s="26"/>
      <c r="V797" s="26"/>
      <c r="W797" s="26"/>
      <c r="X797" s="26"/>
      <c r="Y797" s="26"/>
      <c r="Z797" s="26"/>
      <c r="AA797" s="26"/>
      <c r="AB797" s="26"/>
    </row>
    <row r="798" ht="17.25" customHeight="1">
      <c r="A798" s="25" t="s">
        <v>1333</v>
      </c>
      <c r="B798" s="25" t="s">
        <v>1333</v>
      </c>
      <c r="C798" s="25" t="s">
        <v>1333</v>
      </c>
      <c r="D798" s="25"/>
      <c r="F798" s="26"/>
      <c r="U798" s="26"/>
      <c r="V798" s="26"/>
      <c r="W798" s="26"/>
      <c r="X798" s="26"/>
      <c r="Y798" s="26"/>
      <c r="Z798" s="26"/>
      <c r="AA798" s="26"/>
      <c r="AB798" s="26"/>
    </row>
    <row r="799" ht="17.25" customHeight="1">
      <c r="A799" s="25" t="s">
        <v>1333</v>
      </c>
      <c r="B799" s="25" t="s">
        <v>1333</v>
      </c>
      <c r="C799" s="25" t="s">
        <v>1333</v>
      </c>
      <c r="D799" s="25"/>
      <c r="F799" s="26"/>
      <c r="U799" s="26"/>
      <c r="V799" s="26"/>
      <c r="W799" s="26"/>
      <c r="X799" s="26"/>
      <c r="Y799" s="26"/>
      <c r="Z799" s="26"/>
      <c r="AA799" s="26"/>
      <c r="AB799" s="26"/>
    </row>
    <row r="800" ht="17.25" customHeight="1">
      <c r="A800" s="25" t="s">
        <v>1333</v>
      </c>
      <c r="B800" s="25" t="s">
        <v>1333</v>
      </c>
      <c r="C800" s="25" t="s">
        <v>1333</v>
      </c>
      <c r="D800" s="25"/>
      <c r="F800" s="26"/>
      <c r="U800" s="26"/>
      <c r="V800" s="26"/>
      <c r="W800" s="26"/>
      <c r="X800" s="26"/>
      <c r="Y800" s="26"/>
      <c r="Z800" s="26"/>
      <c r="AA800" s="26"/>
      <c r="AB800" s="26"/>
    </row>
    <row r="801" ht="17.25" customHeight="1">
      <c r="A801" s="25" t="s">
        <v>1333</v>
      </c>
      <c r="B801" s="25" t="s">
        <v>1333</v>
      </c>
      <c r="C801" s="25" t="s">
        <v>1333</v>
      </c>
      <c r="D801" s="25"/>
      <c r="F801" s="26"/>
      <c r="U801" s="26"/>
      <c r="V801" s="26"/>
      <c r="W801" s="26"/>
      <c r="X801" s="26"/>
      <c r="Y801" s="26"/>
      <c r="Z801" s="26"/>
      <c r="AA801" s="26"/>
      <c r="AB801" s="26"/>
    </row>
    <row r="802" ht="17.25" customHeight="1">
      <c r="A802" s="25" t="s">
        <v>1333</v>
      </c>
      <c r="B802" s="25" t="s">
        <v>1333</v>
      </c>
      <c r="C802" s="25" t="s">
        <v>1333</v>
      </c>
      <c r="D802" s="25"/>
      <c r="F802" s="26"/>
      <c r="U802" s="26"/>
      <c r="V802" s="26"/>
      <c r="W802" s="26"/>
      <c r="X802" s="26"/>
      <c r="Y802" s="26"/>
      <c r="Z802" s="26"/>
      <c r="AA802" s="26"/>
      <c r="AB802" s="26"/>
    </row>
    <row r="803" ht="17.25" customHeight="1">
      <c r="A803" s="25" t="s">
        <v>1333</v>
      </c>
      <c r="B803" s="25" t="s">
        <v>1333</v>
      </c>
      <c r="C803" s="25" t="s">
        <v>1333</v>
      </c>
      <c r="D803" s="25"/>
      <c r="F803" s="26"/>
      <c r="U803" s="26"/>
      <c r="V803" s="26"/>
      <c r="W803" s="26"/>
      <c r="X803" s="26"/>
      <c r="Y803" s="26"/>
      <c r="Z803" s="26"/>
      <c r="AA803" s="26"/>
      <c r="AB803" s="26"/>
    </row>
    <row r="804" ht="17.25" customHeight="1">
      <c r="A804" s="25" t="s">
        <v>1333</v>
      </c>
      <c r="B804" s="25" t="s">
        <v>1333</v>
      </c>
      <c r="C804" s="25" t="s">
        <v>1333</v>
      </c>
      <c r="D804" s="25"/>
      <c r="F804" s="26"/>
      <c r="U804" s="26"/>
      <c r="V804" s="26"/>
      <c r="W804" s="26"/>
      <c r="X804" s="26"/>
      <c r="Y804" s="26"/>
      <c r="Z804" s="26"/>
      <c r="AA804" s="26"/>
      <c r="AB804" s="26"/>
    </row>
    <row r="805" ht="17.25" customHeight="1">
      <c r="A805" s="25" t="s">
        <v>1333</v>
      </c>
      <c r="B805" s="25" t="s">
        <v>1333</v>
      </c>
      <c r="C805" s="25" t="s">
        <v>1333</v>
      </c>
      <c r="D805" s="25"/>
      <c r="F805" s="26"/>
      <c r="U805" s="26"/>
      <c r="V805" s="26"/>
      <c r="W805" s="26"/>
      <c r="X805" s="26"/>
      <c r="Y805" s="26"/>
      <c r="Z805" s="26"/>
      <c r="AA805" s="26"/>
      <c r="AB805" s="26"/>
    </row>
    <row r="806" ht="17.25" customHeight="1">
      <c r="A806" s="25" t="s">
        <v>1333</v>
      </c>
      <c r="B806" s="25" t="s">
        <v>1333</v>
      </c>
      <c r="C806" s="25" t="s">
        <v>1333</v>
      </c>
      <c r="D806" s="25"/>
      <c r="F806" s="26"/>
      <c r="U806" s="26"/>
      <c r="V806" s="26"/>
      <c r="W806" s="26"/>
      <c r="X806" s="26"/>
      <c r="Y806" s="26"/>
      <c r="Z806" s="26"/>
      <c r="AA806" s="26"/>
      <c r="AB806" s="26"/>
    </row>
    <row r="807" ht="17.25" customHeight="1">
      <c r="A807" s="25" t="s">
        <v>1333</v>
      </c>
      <c r="B807" s="25" t="s">
        <v>1333</v>
      </c>
      <c r="C807" s="25" t="s">
        <v>1333</v>
      </c>
      <c r="D807" s="25"/>
      <c r="F807" s="26"/>
      <c r="U807" s="26"/>
      <c r="V807" s="26"/>
      <c r="W807" s="26"/>
      <c r="X807" s="26"/>
      <c r="Y807" s="26"/>
      <c r="Z807" s="26"/>
      <c r="AA807" s="26"/>
      <c r="AB807" s="26"/>
    </row>
    <row r="808" ht="17.25" customHeight="1">
      <c r="A808" s="25" t="s">
        <v>1333</v>
      </c>
      <c r="B808" s="25" t="s">
        <v>1333</v>
      </c>
      <c r="C808" s="25" t="s">
        <v>1333</v>
      </c>
      <c r="D808" s="25"/>
      <c r="F808" s="26"/>
      <c r="U808" s="26"/>
      <c r="V808" s="26"/>
      <c r="W808" s="26"/>
      <c r="X808" s="26"/>
      <c r="Y808" s="26"/>
      <c r="Z808" s="26"/>
      <c r="AA808" s="26"/>
      <c r="AB808" s="26"/>
    </row>
    <row r="809" ht="17.25" customHeight="1">
      <c r="A809" s="25" t="s">
        <v>1333</v>
      </c>
      <c r="B809" s="25" t="s">
        <v>1333</v>
      </c>
      <c r="C809" s="25" t="s">
        <v>1333</v>
      </c>
      <c r="D809" s="25"/>
      <c r="F809" s="26"/>
      <c r="U809" s="26"/>
      <c r="V809" s="26"/>
      <c r="W809" s="26"/>
      <c r="X809" s="26"/>
      <c r="Y809" s="26"/>
      <c r="Z809" s="26"/>
      <c r="AA809" s="26"/>
      <c r="AB809" s="26"/>
    </row>
    <row r="810" ht="17.25" customHeight="1">
      <c r="A810" s="25" t="s">
        <v>1333</v>
      </c>
      <c r="B810" s="25" t="s">
        <v>1333</v>
      </c>
      <c r="C810" s="25" t="s">
        <v>1333</v>
      </c>
      <c r="D810" s="25"/>
      <c r="F810" s="26"/>
      <c r="U810" s="26"/>
      <c r="V810" s="26"/>
      <c r="W810" s="26"/>
      <c r="X810" s="26"/>
      <c r="Y810" s="26"/>
      <c r="Z810" s="26"/>
      <c r="AA810" s="26"/>
      <c r="AB810" s="26"/>
    </row>
    <row r="811" ht="17.25" customHeight="1">
      <c r="A811" s="25" t="s">
        <v>1333</v>
      </c>
      <c r="B811" s="25" t="s">
        <v>1333</v>
      </c>
      <c r="C811" s="25" t="s">
        <v>1333</v>
      </c>
      <c r="D811" s="25"/>
      <c r="F811" s="26"/>
      <c r="U811" s="26"/>
      <c r="V811" s="26"/>
      <c r="W811" s="26"/>
      <c r="X811" s="26"/>
      <c r="Y811" s="26"/>
      <c r="Z811" s="26"/>
      <c r="AA811" s="26"/>
      <c r="AB811" s="26"/>
    </row>
    <row r="812" ht="17.25" customHeight="1">
      <c r="A812" s="25" t="s">
        <v>1333</v>
      </c>
      <c r="B812" s="25" t="s">
        <v>1333</v>
      </c>
      <c r="C812" s="25" t="s">
        <v>1333</v>
      </c>
      <c r="D812" s="25"/>
      <c r="F812" s="26"/>
      <c r="U812" s="26"/>
      <c r="V812" s="26"/>
      <c r="W812" s="26"/>
      <c r="X812" s="26"/>
      <c r="Y812" s="26"/>
      <c r="Z812" s="26"/>
      <c r="AA812" s="26"/>
      <c r="AB812" s="26"/>
    </row>
    <row r="813" ht="17.25" customHeight="1">
      <c r="A813" s="25" t="s">
        <v>1333</v>
      </c>
      <c r="B813" s="25" t="s">
        <v>1333</v>
      </c>
      <c r="C813" s="25" t="s">
        <v>1333</v>
      </c>
      <c r="D813" s="25"/>
      <c r="F813" s="26"/>
      <c r="U813" s="26"/>
      <c r="V813" s="26"/>
      <c r="W813" s="26"/>
      <c r="X813" s="26"/>
      <c r="Y813" s="26"/>
      <c r="Z813" s="26"/>
      <c r="AA813" s="26"/>
      <c r="AB813" s="26"/>
    </row>
    <row r="814" ht="17.25" customHeight="1">
      <c r="A814" s="25" t="s">
        <v>1333</v>
      </c>
      <c r="B814" s="25" t="s">
        <v>1333</v>
      </c>
      <c r="C814" s="25" t="s">
        <v>1333</v>
      </c>
      <c r="D814" s="25"/>
      <c r="F814" s="26"/>
      <c r="U814" s="26"/>
      <c r="V814" s="26"/>
      <c r="W814" s="26"/>
      <c r="X814" s="26"/>
      <c r="Y814" s="26"/>
      <c r="Z814" s="26"/>
      <c r="AA814" s="26"/>
      <c r="AB814" s="26"/>
    </row>
    <row r="815" ht="17.25" customHeight="1">
      <c r="A815" s="25" t="s">
        <v>1333</v>
      </c>
      <c r="B815" s="25" t="s">
        <v>1333</v>
      </c>
      <c r="C815" s="25" t="s">
        <v>1333</v>
      </c>
      <c r="D815" s="25"/>
      <c r="F815" s="26"/>
      <c r="U815" s="26"/>
      <c r="V815" s="26"/>
      <c r="W815" s="26"/>
      <c r="X815" s="26"/>
      <c r="Y815" s="26"/>
      <c r="Z815" s="26"/>
      <c r="AA815" s="26"/>
      <c r="AB815" s="26"/>
    </row>
    <row r="816" ht="17.25" customHeight="1">
      <c r="A816" s="25" t="s">
        <v>1333</v>
      </c>
      <c r="B816" s="25" t="s">
        <v>1333</v>
      </c>
      <c r="C816" s="25" t="s">
        <v>1333</v>
      </c>
      <c r="D816" s="25"/>
      <c r="F816" s="26"/>
      <c r="U816" s="26"/>
      <c r="V816" s="26"/>
      <c r="W816" s="26"/>
      <c r="X816" s="26"/>
      <c r="Y816" s="26"/>
      <c r="Z816" s="26"/>
      <c r="AA816" s="26"/>
      <c r="AB816" s="26"/>
    </row>
    <row r="817" ht="17.25" customHeight="1">
      <c r="A817" s="25" t="s">
        <v>1333</v>
      </c>
      <c r="B817" s="25" t="s">
        <v>1333</v>
      </c>
      <c r="C817" s="25" t="s">
        <v>1333</v>
      </c>
      <c r="D817" s="25"/>
      <c r="F817" s="26"/>
      <c r="U817" s="26"/>
      <c r="V817" s="26"/>
      <c r="W817" s="26"/>
      <c r="X817" s="26"/>
      <c r="Y817" s="26"/>
      <c r="Z817" s="26"/>
      <c r="AA817" s="26"/>
      <c r="AB817" s="26"/>
    </row>
    <row r="818" ht="17.25" customHeight="1">
      <c r="A818" s="25" t="s">
        <v>1333</v>
      </c>
      <c r="B818" s="25" t="s">
        <v>1333</v>
      </c>
      <c r="C818" s="25" t="s">
        <v>1333</v>
      </c>
      <c r="D818" s="25"/>
      <c r="F818" s="26"/>
      <c r="U818" s="26"/>
      <c r="V818" s="26"/>
      <c r="W818" s="26"/>
      <c r="X818" s="26"/>
      <c r="Y818" s="26"/>
      <c r="Z818" s="26"/>
      <c r="AA818" s="26"/>
      <c r="AB818" s="26"/>
    </row>
    <row r="819" ht="17.25" customHeight="1">
      <c r="A819" s="25" t="s">
        <v>1333</v>
      </c>
      <c r="B819" s="25" t="s">
        <v>1333</v>
      </c>
      <c r="C819" s="25" t="s">
        <v>1333</v>
      </c>
      <c r="D819" s="25"/>
      <c r="F819" s="26"/>
      <c r="U819" s="26"/>
      <c r="V819" s="26"/>
      <c r="W819" s="26"/>
      <c r="X819" s="26"/>
      <c r="Y819" s="26"/>
      <c r="Z819" s="26"/>
      <c r="AA819" s="26"/>
      <c r="AB819" s="26"/>
    </row>
    <row r="820" ht="17.25" customHeight="1">
      <c r="A820" s="25" t="s">
        <v>1333</v>
      </c>
      <c r="B820" s="25" t="s">
        <v>1333</v>
      </c>
      <c r="C820" s="25" t="s">
        <v>1333</v>
      </c>
      <c r="D820" s="25"/>
      <c r="F820" s="26"/>
      <c r="U820" s="26"/>
      <c r="V820" s="26"/>
      <c r="W820" s="26"/>
      <c r="X820" s="26"/>
      <c r="Y820" s="26"/>
      <c r="Z820" s="26"/>
      <c r="AA820" s="26"/>
      <c r="AB820" s="26"/>
    </row>
    <row r="821" ht="17.25" customHeight="1">
      <c r="A821" s="25" t="s">
        <v>1333</v>
      </c>
      <c r="B821" s="25" t="s">
        <v>1333</v>
      </c>
      <c r="C821" s="25" t="s">
        <v>1333</v>
      </c>
      <c r="D821" s="25"/>
      <c r="F821" s="26"/>
      <c r="U821" s="26"/>
      <c r="V821" s="26"/>
      <c r="W821" s="26"/>
      <c r="X821" s="26"/>
      <c r="Y821" s="26"/>
      <c r="Z821" s="26"/>
      <c r="AA821" s="26"/>
      <c r="AB821" s="26"/>
    </row>
    <row r="822" ht="17.25" customHeight="1">
      <c r="A822" s="25" t="s">
        <v>1333</v>
      </c>
      <c r="B822" s="25" t="s">
        <v>1333</v>
      </c>
      <c r="C822" s="25" t="s">
        <v>1333</v>
      </c>
      <c r="D822" s="25"/>
      <c r="F822" s="26"/>
      <c r="U822" s="26"/>
      <c r="V822" s="26"/>
      <c r="W822" s="26"/>
      <c r="X822" s="26"/>
      <c r="Y822" s="26"/>
      <c r="Z822" s="26"/>
      <c r="AA822" s="26"/>
      <c r="AB822" s="26"/>
    </row>
    <row r="823" ht="17.25" customHeight="1">
      <c r="A823" s="25" t="s">
        <v>1333</v>
      </c>
      <c r="B823" s="25" t="s">
        <v>1333</v>
      </c>
      <c r="C823" s="25" t="s">
        <v>1333</v>
      </c>
      <c r="D823" s="25"/>
      <c r="F823" s="26"/>
      <c r="U823" s="26"/>
      <c r="V823" s="26"/>
      <c r="W823" s="26"/>
      <c r="X823" s="26"/>
      <c r="Y823" s="26"/>
      <c r="Z823" s="26"/>
      <c r="AA823" s="26"/>
      <c r="AB823" s="26"/>
    </row>
    <row r="824" ht="17.25" customHeight="1">
      <c r="A824" s="25" t="s">
        <v>1333</v>
      </c>
      <c r="B824" s="25" t="s">
        <v>1333</v>
      </c>
      <c r="C824" s="25" t="s">
        <v>1333</v>
      </c>
      <c r="D824" s="25"/>
      <c r="F824" s="26"/>
      <c r="U824" s="26"/>
      <c r="V824" s="26"/>
      <c r="W824" s="26"/>
      <c r="X824" s="26"/>
      <c r="Y824" s="26"/>
      <c r="Z824" s="26"/>
      <c r="AA824" s="26"/>
      <c r="AB824" s="26"/>
    </row>
    <row r="825" ht="17.25" customHeight="1">
      <c r="A825" s="25" t="s">
        <v>1333</v>
      </c>
      <c r="B825" s="25" t="s">
        <v>1333</v>
      </c>
      <c r="C825" s="25" t="s">
        <v>1333</v>
      </c>
      <c r="D825" s="25"/>
      <c r="F825" s="26"/>
      <c r="U825" s="26"/>
      <c r="V825" s="26"/>
      <c r="W825" s="26"/>
      <c r="X825" s="26"/>
      <c r="Y825" s="26"/>
      <c r="Z825" s="26"/>
      <c r="AA825" s="26"/>
      <c r="AB825" s="26"/>
    </row>
    <row r="826" ht="17.25" customHeight="1">
      <c r="A826" s="25" t="s">
        <v>1333</v>
      </c>
      <c r="B826" s="25" t="s">
        <v>1333</v>
      </c>
      <c r="C826" s="25" t="s">
        <v>1333</v>
      </c>
      <c r="D826" s="25"/>
      <c r="F826" s="26"/>
      <c r="U826" s="26"/>
      <c r="V826" s="26"/>
      <c r="W826" s="26"/>
      <c r="X826" s="26"/>
      <c r="Y826" s="26"/>
      <c r="Z826" s="26"/>
      <c r="AA826" s="26"/>
      <c r="AB826" s="26"/>
    </row>
    <row r="827" ht="17.25" customHeight="1">
      <c r="A827" s="25" t="s">
        <v>1333</v>
      </c>
      <c r="B827" s="25" t="s">
        <v>1333</v>
      </c>
      <c r="C827" s="25" t="s">
        <v>1333</v>
      </c>
      <c r="D827" s="25"/>
      <c r="F827" s="26"/>
      <c r="U827" s="26"/>
      <c r="V827" s="26"/>
      <c r="W827" s="26"/>
      <c r="X827" s="26"/>
      <c r="Y827" s="26"/>
      <c r="Z827" s="26"/>
      <c r="AA827" s="26"/>
      <c r="AB827" s="26"/>
    </row>
    <row r="828" ht="17.25" customHeight="1">
      <c r="A828" s="25" t="s">
        <v>1333</v>
      </c>
      <c r="B828" s="25" t="s">
        <v>1333</v>
      </c>
      <c r="C828" s="25" t="s">
        <v>1333</v>
      </c>
      <c r="D828" s="25"/>
      <c r="F828" s="26"/>
      <c r="U828" s="26"/>
      <c r="V828" s="26"/>
      <c r="W828" s="26"/>
      <c r="X828" s="26"/>
      <c r="Y828" s="26"/>
      <c r="Z828" s="26"/>
      <c r="AA828" s="26"/>
      <c r="AB828" s="26"/>
    </row>
    <row r="829" ht="17.25" customHeight="1">
      <c r="A829" s="25" t="s">
        <v>1333</v>
      </c>
      <c r="B829" s="25" t="s">
        <v>1333</v>
      </c>
      <c r="C829" s="25" t="s">
        <v>1333</v>
      </c>
      <c r="D829" s="25"/>
      <c r="F829" s="26"/>
      <c r="U829" s="26"/>
      <c r="V829" s="26"/>
      <c r="W829" s="26"/>
      <c r="X829" s="26"/>
      <c r="Y829" s="26"/>
      <c r="Z829" s="26"/>
      <c r="AA829" s="26"/>
      <c r="AB829" s="26"/>
    </row>
    <row r="830" ht="17.25" customHeight="1">
      <c r="A830" s="25" t="s">
        <v>1333</v>
      </c>
      <c r="B830" s="25" t="s">
        <v>1333</v>
      </c>
      <c r="C830" s="25" t="s">
        <v>1333</v>
      </c>
      <c r="D830" s="25"/>
      <c r="F830" s="26"/>
      <c r="U830" s="26"/>
      <c r="V830" s="26"/>
      <c r="W830" s="26"/>
      <c r="X830" s="26"/>
      <c r="Y830" s="26"/>
      <c r="Z830" s="26"/>
      <c r="AA830" s="26"/>
      <c r="AB830" s="26"/>
    </row>
    <row r="831" ht="17.25" customHeight="1">
      <c r="A831" s="25" t="s">
        <v>1333</v>
      </c>
      <c r="B831" s="25" t="s">
        <v>1333</v>
      </c>
      <c r="C831" s="25" t="s">
        <v>1333</v>
      </c>
      <c r="D831" s="25"/>
      <c r="F831" s="26"/>
      <c r="U831" s="26"/>
      <c r="V831" s="26"/>
      <c r="W831" s="26"/>
      <c r="X831" s="26"/>
      <c r="Y831" s="26"/>
      <c r="Z831" s="26"/>
      <c r="AA831" s="26"/>
      <c r="AB831" s="26"/>
    </row>
    <row r="832" ht="17.25" customHeight="1">
      <c r="A832" s="25" t="s">
        <v>1333</v>
      </c>
      <c r="B832" s="25" t="s">
        <v>1333</v>
      </c>
      <c r="C832" s="25" t="s">
        <v>1333</v>
      </c>
      <c r="D832" s="25"/>
      <c r="F832" s="26"/>
      <c r="U832" s="26"/>
      <c r="V832" s="26"/>
      <c r="W832" s="26"/>
      <c r="X832" s="26"/>
      <c r="Y832" s="26"/>
      <c r="Z832" s="26"/>
      <c r="AA832" s="26"/>
      <c r="AB832" s="26"/>
    </row>
    <row r="833" ht="17.25" customHeight="1">
      <c r="A833" s="25" t="s">
        <v>1333</v>
      </c>
      <c r="B833" s="25" t="s">
        <v>1333</v>
      </c>
      <c r="C833" s="25" t="s">
        <v>1333</v>
      </c>
      <c r="D833" s="25"/>
      <c r="F833" s="26"/>
      <c r="U833" s="26"/>
      <c r="V833" s="26"/>
      <c r="W833" s="26"/>
      <c r="X833" s="26"/>
      <c r="Y833" s="26"/>
      <c r="Z833" s="26"/>
      <c r="AA833" s="26"/>
      <c r="AB833" s="26"/>
    </row>
    <row r="834" ht="17.25" customHeight="1">
      <c r="A834" s="25" t="s">
        <v>1333</v>
      </c>
      <c r="B834" s="25" t="s">
        <v>1333</v>
      </c>
      <c r="C834" s="25" t="s">
        <v>1333</v>
      </c>
      <c r="D834" s="25"/>
      <c r="F834" s="26"/>
      <c r="U834" s="26"/>
      <c r="V834" s="26"/>
      <c r="W834" s="26"/>
      <c r="X834" s="26"/>
      <c r="Y834" s="26"/>
      <c r="Z834" s="26"/>
      <c r="AA834" s="26"/>
      <c r="AB834" s="26"/>
    </row>
    <row r="835" ht="17.25" customHeight="1">
      <c r="A835" s="25" t="s">
        <v>1333</v>
      </c>
      <c r="B835" s="25" t="s">
        <v>1333</v>
      </c>
      <c r="C835" s="25" t="s">
        <v>1333</v>
      </c>
      <c r="D835" s="25"/>
      <c r="F835" s="26"/>
      <c r="U835" s="26"/>
      <c r="V835" s="26"/>
      <c r="W835" s="26"/>
      <c r="X835" s="26"/>
      <c r="Y835" s="26"/>
      <c r="Z835" s="26"/>
      <c r="AA835" s="26"/>
      <c r="AB835" s="26"/>
    </row>
    <row r="836" ht="17.25" customHeight="1">
      <c r="A836" s="25" t="s">
        <v>1333</v>
      </c>
      <c r="B836" s="25" t="s">
        <v>1333</v>
      </c>
      <c r="C836" s="25" t="s">
        <v>1333</v>
      </c>
      <c r="D836" s="25"/>
      <c r="F836" s="26"/>
      <c r="U836" s="26"/>
      <c r="V836" s="26"/>
      <c r="W836" s="26"/>
      <c r="X836" s="26"/>
      <c r="Y836" s="26"/>
      <c r="Z836" s="26"/>
      <c r="AA836" s="26"/>
      <c r="AB836" s="26"/>
    </row>
    <row r="837" ht="17.25" customHeight="1">
      <c r="A837" s="25" t="s">
        <v>1333</v>
      </c>
      <c r="B837" s="25" t="s">
        <v>1333</v>
      </c>
      <c r="C837" s="25" t="s">
        <v>1333</v>
      </c>
      <c r="D837" s="25"/>
      <c r="F837" s="26"/>
      <c r="U837" s="26"/>
      <c r="V837" s="26"/>
      <c r="W837" s="26"/>
      <c r="X837" s="26"/>
      <c r="Y837" s="26"/>
      <c r="Z837" s="26"/>
      <c r="AA837" s="26"/>
      <c r="AB837" s="26"/>
    </row>
    <row r="838" ht="17.25" customHeight="1">
      <c r="A838" s="25" t="s">
        <v>1333</v>
      </c>
      <c r="B838" s="25" t="s">
        <v>1333</v>
      </c>
      <c r="C838" s="25" t="s">
        <v>1333</v>
      </c>
      <c r="D838" s="25"/>
      <c r="F838" s="26"/>
      <c r="U838" s="26"/>
      <c r="V838" s="26"/>
      <c r="W838" s="26"/>
      <c r="X838" s="26"/>
      <c r="Y838" s="26"/>
      <c r="Z838" s="26"/>
      <c r="AA838" s="26"/>
      <c r="AB838" s="26"/>
    </row>
    <row r="839" ht="17.25" customHeight="1">
      <c r="A839" s="25" t="s">
        <v>1333</v>
      </c>
      <c r="B839" s="25" t="s">
        <v>1333</v>
      </c>
      <c r="C839" s="25" t="s">
        <v>1333</v>
      </c>
      <c r="D839" s="25"/>
      <c r="F839" s="26"/>
      <c r="U839" s="26"/>
      <c r="V839" s="26"/>
      <c r="W839" s="26"/>
      <c r="X839" s="26"/>
      <c r="Y839" s="26"/>
      <c r="Z839" s="26"/>
      <c r="AA839" s="26"/>
      <c r="AB839" s="26"/>
    </row>
    <row r="840" ht="17.25" customHeight="1">
      <c r="A840" s="25" t="s">
        <v>1333</v>
      </c>
      <c r="B840" s="25" t="s">
        <v>1333</v>
      </c>
      <c r="C840" s="25" t="s">
        <v>1333</v>
      </c>
      <c r="D840" s="25"/>
      <c r="F840" s="26"/>
      <c r="U840" s="26"/>
      <c r="V840" s="26"/>
      <c r="W840" s="26"/>
      <c r="X840" s="26"/>
      <c r="Y840" s="26"/>
      <c r="Z840" s="26"/>
      <c r="AA840" s="26"/>
      <c r="AB840" s="26"/>
    </row>
    <row r="841" ht="17.25" customHeight="1">
      <c r="A841" s="25" t="s">
        <v>1333</v>
      </c>
      <c r="B841" s="25" t="s">
        <v>1333</v>
      </c>
      <c r="C841" s="25" t="s">
        <v>1333</v>
      </c>
      <c r="D841" s="25"/>
      <c r="F841" s="26"/>
      <c r="U841" s="26"/>
      <c r="V841" s="26"/>
      <c r="W841" s="26"/>
      <c r="X841" s="26"/>
      <c r="Y841" s="26"/>
      <c r="Z841" s="26"/>
      <c r="AA841" s="26"/>
      <c r="AB841" s="26"/>
    </row>
    <row r="842" ht="17.25" customHeight="1">
      <c r="A842" s="25" t="s">
        <v>1333</v>
      </c>
      <c r="B842" s="25" t="s">
        <v>1333</v>
      </c>
      <c r="C842" s="25" t="s">
        <v>1333</v>
      </c>
      <c r="D842" s="25"/>
      <c r="F842" s="26"/>
      <c r="U842" s="26"/>
      <c r="V842" s="26"/>
      <c r="W842" s="26"/>
      <c r="X842" s="26"/>
      <c r="Y842" s="26"/>
      <c r="Z842" s="26"/>
      <c r="AA842" s="26"/>
      <c r="AB842" s="26"/>
    </row>
    <row r="843" ht="17.25" customHeight="1">
      <c r="A843" s="25" t="s">
        <v>1333</v>
      </c>
      <c r="B843" s="25" t="s">
        <v>1333</v>
      </c>
      <c r="C843" s="25" t="s">
        <v>1333</v>
      </c>
      <c r="D843" s="25"/>
      <c r="F843" s="26"/>
      <c r="U843" s="26"/>
      <c r="V843" s="26"/>
      <c r="W843" s="26"/>
      <c r="X843" s="26"/>
      <c r="Y843" s="26"/>
      <c r="Z843" s="26"/>
      <c r="AA843" s="26"/>
      <c r="AB843" s="26"/>
    </row>
    <row r="844" ht="17.25" customHeight="1">
      <c r="A844" s="25" t="s">
        <v>1333</v>
      </c>
      <c r="B844" s="25" t="s">
        <v>1333</v>
      </c>
      <c r="C844" s="25" t="s">
        <v>1333</v>
      </c>
      <c r="D844" s="25"/>
      <c r="F844" s="26"/>
      <c r="U844" s="26"/>
      <c r="V844" s="26"/>
      <c r="W844" s="26"/>
      <c r="X844" s="26"/>
      <c r="Y844" s="26"/>
      <c r="Z844" s="26"/>
      <c r="AA844" s="26"/>
      <c r="AB844" s="26"/>
    </row>
    <row r="845" ht="17.25" customHeight="1">
      <c r="A845" s="25" t="s">
        <v>1333</v>
      </c>
      <c r="B845" s="25" t="s">
        <v>1333</v>
      </c>
      <c r="C845" s="25" t="s">
        <v>1333</v>
      </c>
      <c r="D845" s="25"/>
      <c r="F845" s="26"/>
      <c r="U845" s="26"/>
      <c r="V845" s="26"/>
      <c r="W845" s="26"/>
      <c r="X845" s="26"/>
      <c r="Y845" s="26"/>
      <c r="Z845" s="26"/>
      <c r="AA845" s="26"/>
      <c r="AB845" s="26"/>
    </row>
    <row r="846" ht="17.25" customHeight="1">
      <c r="A846" s="25" t="s">
        <v>1333</v>
      </c>
      <c r="B846" s="25" t="s">
        <v>1333</v>
      </c>
      <c r="C846" s="25" t="s">
        <v>1333</v>
      </c>
      <c r="D846" s="25"/>
      <c r="F846" s="26"/>
      <c r="U846" s="26"/>
      <c r="V846" s="26"/>
      <c r="W846" s="26"/>
      <c r="X846" s="26"/>
      <c r="Y846" s="26"/>
      <c r="Z846" s="26"/>
      <c r="AA846" s="26"/>
      <c r="AB846" s="26"/>
    </row>
    <row r="847" ht="17.25" customHeight="1">
      <c r="A847" s="25" t="s">
        <v>1333</v>
      </c>
      <c r="B847" s="25" t="s">
        <v>1333</v>
      </c>
      <c r="C847" s="25" t="s">
        <v>1333</v>
      </c>
      <c r="D847" s="25"/>
      <c r="F847" s="26"/>
      <c r="U847" s="26"/>
      <c r="V847" s="26"/>
      <c r="W847" s="26"/>
      <c r="X847" s="26"/>
      <c r="Y847" s="26"/>
      <c r="Z847" s="26"/>
      <c r="AA847" s="26"/>
      <c r="AB847" s="26"/>
    </row>
    <row r="848" ht="17.25" customHeight="1">
      <c r="A848" s="25" t="s">
        <v>1333</v>
      </c>
      <c r="B848" s="25" t="s">
        <v>1333</v>
      </c>
      <c r="C848" s="25" t="s">
        <v>1333</v>
      </c>
      <c r="D848" s="25"/>
      <c r="F848" s="26"/>
      <c r="U848" s="26"/>
      <c r="V848" s="26"/>
      <c r="W848" s="26"/>
      <c r="X848" s="26"/>
      <c r="Y848" s="26"/>
      <c r="Z848" s="26"/>
      <c r="AA848" s="26"/>
      <c r="AB848" s="26"/>
    </row>
    <row r="849" ht="17.25" customHeight="1">
      <c r="A849" s="25" t="s">
        <v>1333</v>
      </c>
      <c r="B849" s="25" t="s">
        <v>1333</v>
      </c>
      <c r="C849" s="25" t="s">
        <v>1333</v>
      </c>
      <c r="D849" s="25"/>
      <c r="F849" s="26"/>
      <c r="U849" s="26"/>
      <c r="V849" s="26"/>
      <c r="W849" s="26"/>
      <c r="X849" s="26"/>
      <c r="Y849" s="26"/>
      <c r="Z849" s="26"/>
      <c r="AA849" s="26"/>
      <c r="AB849" s="26"/>
    </row>
    <row r="850" ht="17.25" customHeight="1">
      <c r="A850" s="25" t="s">
        <v>1333</v>
      </c>
      <c r="B850" s="25" t="s">
        <v>1333</v>
      </c>
      <c r="C850" s="25" t="s">
        <v>1333</v>
      </c>
      <c r="D850" s="25"/>
      <c r="F850" s="26"/>
      <c r="U850" s="26"/>
      <c r="V850" s="26"/>
      <c r="W850" s="26"/>
      <c r="X850" s="26"/>
      <c r="Y850" s="26"/>
      <c r="Z850" s="26"/>
      <c r="AA850" s="26"/>
      <c r="AB850" s="26"/>
    </row>
    <row r="851" ht="17.25" customHeight="1">
      <c r="A851" s="25" t="s">
        <v>1333</v>
      </c>
      <c r="B851" s="25" t="s">
        <v>1333</v>
      </c>
      <c r="C851" s="25" t="s">
        <v>1333</v>
      </c>
      <c r="D851" s="25"/>
      <c r="F851" s="26"/>
      <c r="U851" s="26"/>
      <c r="V851" s="26"/>
      <c r="W851" s="26"/>
      <c r="X851" s="26"/>
      <c r="Y851" s="26"/>
      <c r="Z851" s="26"/>
      <c r="AA851" s="26"/>
      <c r="AB851" s="26"/>
    </row>
    <row r="852" ht="17.25" customHeight="1">
      <c r="A852" s="25" t="s">
        <v>1333</v>
      </c>
      <c r="B852" s="25" t="s">
        <v>1333</v>
      </c>
      <c r="C852" s="25" t="s">
        <v>1333</v>
      </c>
      <c r="D852" s="25"/>
      <c r="F852" s="26"/>
      <c r="U852" s="26"/>
      <c r="V852" s="26"/>
      <c r="W852" s="26"/>
      <c r="X852" s="26"/>
      <c r="Y852" s="26"/>
      <c r="Z852" s="26"/>
      <c r="AA852" s="26"/>
      <c r="AB852" s="26"/>
    </row>
    <row r="853" ht="17.25" customHeight="1">
      <c r="A853" s="25" t="s">
        <v>1333</v>
      </c>
      <c r="B853" s="25" t="s">
        <v>1333</v>
      </c>
      <c r="C853" s="25" t="s">
        <v>1333</v>
      </c>
      <c r="D853" s="25"/>
      <c r="F853" s="26"/>
      <c r="U853" s="26"/>
      <c r="V853" s="26"/>
      <c r="W853" s="26"/>
      <c r="X853" s="26"/>
      <c r="Y853" s="26"/>
      <c r="Z853" s="26"/>
      <c r="AA853" s="26"/>
      <c r="AB853" s="26"/>
    </row>
    <row r="854" ht="17.25" customHeight="1">
      <c r="A854" s="25" t="s">
        <v>1333</v>
      </c>
      <c r="B854" s="25" t="s">
        <v>1333</v>
      </c>
      <c r="C854" s="25" t="s">
        <v>1333</v>
      </c>
      <c r="D854" s="25"/>
      <c r="F854" s="26"/>
      <c r="U854" s="26"/>
      <c r="V854" s="26"/>
      <c r="W854" s="26"/>
      <c r="X854" s="26"/>
      <c r="Y854" s="26"/>
      <c r="Z854" s="26"/>
      <c r="AA854" s="26"/>
      <c r="AB854" s="26"/>
    </row>
    <row r="855" ht="17.25" customHeight="1">
      <c r="A855" s="25" t="s">
        <v>1333</v>
      </c>
      <c r="B855" s="25" t="s">
        <v>1333</v>
      </c>
      <c r="C855" s="25" t="s">
        <v>1333</v>
      </c>
      <c r="D855" s="25"/>
      <c r="F855" s="26"/>
      <c r="U855" s="26"/>
      <c r="V855" s="26"/>
      <c r="W855" s="26"/>
      <c r="X855" s="26"/>
      <c r="Y855" s="26"/>
      <c r="Z855" s="26"/>
      <c r="AA855" s="26"/>
      <c r="AB855" s="26"/>
    </row>
    <row r="856" ht="17.25" customHeight="1">
      <c r="A856" s="25" t="s">
        <v>1333</v>
      </c>
      <c r="B856" s="25" t="s">
        <v>1333</v>
      </c>
      <c r="C856" s="25" t="s">
        <v>1333</v>
      </c>
      <c r="D856" s="25"/>
      <c r="F856" s="26"/>
      <c r="U856" s="26"/>
      <c r="V856" s="26"/>
      <c r="W856" s="26"/>
      <c r="X856" s="26"/>
      <c r="Y856" s="26"/>
      <c r="Z856" s="26"/>
      <c r="AA856" s="26"/>
      <c r="AB856" s="26"/>
    </row>
    <row r="857" ht="17.25" customHeight="1">
      <c r="A857" s="25" t="s">
        <v>1333</v>
      </c>
      <c r="B857" s="25" t="s">
        <v>1333</v>
      </c>
      <c r="C857" s="25" t="s">
        <v>1333</v>
      </c>
      <c r="D857" s="25"/>
      <c r="F857" s="26"/>
      <c r="U857" s="26"/>
      <c r="V857" s="26"/>
      <c r="W857" s="26"/>
      <c r="X857" s="26"/>
      <c r="Y857" s="26"/>
      <c r="Z857" s="26"/>
      <c r="AA857" s="26"/>
      <c r="AB857" s="26"/>
    </row>
    <row r="858" ht="17.25" customHeight="1">
      <c r="A858" s="25" t="s">
        <v>1333</v>
      </c>
      <c r="B858" s="25" t="s">
        <v>1333</v>
      </c>
      <c r="C858" s="25" t="s">
        <v>1333</v>
      </c>
      <c r="D858" s="25"/>
      <c r="F858" s="26"/>
      <c r="U858" s="26"/>
      <c r="V858" s="26"/>
      <c r="W858" s="26"/>
      <c r="X858" s="26"/>
      <c r="Y858" s="26"/>
      <c r="Z858" s="26"/>
      <c r="AA858" s="26"/>
      <c r="AB858" s="26"/>
    </row>
    <row r="859" ht="17.25" customHeight="1">
      <c r="A859" s="25" t="s">
        <v>1333</v>
      </c>
      <c r="B859" s="25" t="s">
        <v>1333</v>
      </c>
      <c r="C859" s="25" t="s">
        <v>1333</v>
      </c>
      <c r="D859" s="25"/>
      <c r="F859" s="26"/>
      <c r="U859" s="26"/>
      <c r="V859" s="26"/>
      <c r="W859" s="26"/>
      <c r="X859" s="26"/>
      <c r="Y859" s="26"/>
      <c r="Z859" s="26"/>
      <c r="AA859" s="26"/>
      <c r="AB859" s="26"/>
    </row>
    <row r="860" ht="17.25" customHeight="1">
      <c r="A860" s="25" t="s">
        <v>1333</v>
      </c>
      <c r="B860" s="25" t="s">
        <v>1333</v>
      </c>
      <c r="C860" s="25" t="s">
        <v>1333</v>
      </c>
      <c r="D860" s="25"/>
      <c r="F860" s="26"/>
      <c r="U860" s="26"/>
      <c r="V860" s="26"/>
      <c r="W860" s="26"/>
      <c r="X860" s="26"/>
      <c r="Y860" s="26"/>
      <c r="Z860" s="26"/>
      <c r="AA860" s="26"/>
      <c r="AB860" s="26"/>
    </row>
    <row r="861" ht="17.25" customHeight="1">
      <c r="A861" s="25" t="s">
        <v>1333</v>
      </c>
      <c r="B861" s="25" t="s">
        <v>1333</v>
      </c>
      <c r="C861" s="25" t="s">
        <v>1333</v>
      </c>
      <c r="D861" s="25"/>
      <c r="F861" s="26"/>
      <c r="U861" s="26"/>
      <c r="V861" s="26"/>
      <c r="W861" s="26"/>
      <c r="X861" s="26"/>
      <c r="Y861" s="26"/>
      <c r="Z861" s="26"/>
      <c r="AA861" s="26"/>
      <c r="AB861" s="26"/>
    </row>
    <row r="862" ht="17.25" customHeight="1">
      <c r="A862" s="25" t="s">
        <v>1333</v>
      </c>
      <c r="B862" s="25" t="s">
        <v>1333</v>
      </c>
      <c r="C862" s="25" t="s">
        <v>1333</v>
      </c>
      <c r="D862" s="25"/>
      <c r="F862" s="26"/>
      <c r="U862" s="26"/>
      <c r="V862" s="26"/>
      <c r="W862" s="26"/>
      <c r="X862" s="26"/>
      <c r="Y862" s="26"/>
      <c r="Z862" s="26"/>
      <c r="AA862" s="26"/>
      <c r="AB862" s="26"/>
    </row>
    <row r="863" ht="17.25" customHeight="1">
      <c r="A863" s="25" t="s">
        <v>1333</v>
      </c>
      <c r="B863" s="25" t="s">
        <v>1333</v>
      </c>
      <c r="C863" s="25" t="s">
        <v>1333</v>
      </c>
      <c r="D863" s="25"/>
      <c r="F863" s="26"/>
      <c r="U863" s="26"/>
      <c r="V863" s="26"/>
      <c r="W863" s="26"/>
      <c r="X863" s="26"/>
      <c r="Y863" s="26"/>
      <c r="Z863" s="26"/>
      <c r="AA863" s="26"/>
      <c r="AB863" s="26"/>
    </row>
    <row r="864" ht="17.25" customHeight="1">
      <c r="A864" s="25" t="s">
        <v>1333</v>
      </c>
      <c r="B864" s="25" t="s">
        <v>1333</v>
      </c>
      <c r="C864" s="25" t="s">
        <v>1333</v>
      </c>
      <c r="D864" s="25"/>
      <c r="F864" s="26"/>
      <c r="U864" s="26"/>
      <c r="V864" s="26"/>
      <c r="W864" s="26"/>
      <c r="X864" s="26"/>
      <c r="Y864" s="26"/>
      <c r="Z864" s="26"/>
      <c r="AA864" s="26"/>
      <c r="AB864" s="26"/>
    </row>
    <row r="865" ht="17.25" customHeight="1">
      <c r="A865" s="25" t="s">
        <v>1333</v>
      </c>
      <c r="B865" s="25" t="s">
        <v>1333</v>
      </c>
      <c r="C865" s="25" t="s">
        <v>1333</v>
      </c>
      <c r="D865" s="25"/>
      <c r="F865" s="26"/>
      <c r="U865" s="26"/>
      <c r="V865" s="26"/>
      <c r="W865" s="26"/>
      <c r="X865" s="26"/>
      <c r="Y865" s="26"/>
      <c r="Z865" s="26"/>
      <c r="AA865" s="26"/>
      <c r="AB865" s="26"/>
    </row>
    <row r="866" ht="17.25" customHeight="1">
      <c r="A866" s="25" t="s">
        <v>1333</v>
      </c>
      <c r="B866" s="25" t="s">
        <v>1333</v>
      </c>
      <c r="C866" s="25" t="s">
        <v>1333</v>
      </c>
      <c r="D866" s="25"/>
      <c r="F866" s="26"/>
      <c r="U866" s="26"/>
      <c r="V866" s="26"/>
      <c r="W866" s="26"/>
      <c r="X866" s="26"/>
      <c r="Y866" s="26"/>
      <c r="Z866" s="26"/>
      <c r="AA866" s="26"/>
      <c r="AB866" s="26"/>
    </row>
    <row r="867" ht="17.25" customHeight="1">
      <c r="A867" s="25" t="s">
        <v>1333</v>
      </c>
      <c r="B867" s="25" t="s">
        <v>1333</v>
      </c>
      <c r="C867" s="25" t="s">
        <v>1333</v>
      </c>
      <c r="D867" s="25"/>
      <c r="F867" s="26"/>
      <c r="U867" s="26"/>
      <c r="V867" s="26"/>
      <c r="W867" s="26"/>
      <c r="X867" s="26"/>
      <c r="Y867" s="26"/>
      <c r="Z867" s="26"/>
      <c r="AA867" s="26"/>
      <c r="AB867" s="26"/>
    </row>
    <row r="868" ht="17.25" customHeight="1">
      <c r="A868" s="25" t="s">
        <v>1333</v>
      </c>
      <c r="B868" s="25" t="s">
        <v>1333</v>
      </c>
      <c r="C868" s="25" t="s">
        <v>1333</v>
      </c>
      <c r="D868" s="25"/>
      <c r="F868" s="26"/>
      <c r="U868" s="26"/>
      <c r="V868" s="26"/>
      <c r="W868" s="26"/>
      <c r="X868" s="26"/>
      <c r="Y868" s="26"/>
      <c r="Z868" s="26"/>
      <c r="AA868" s="26"/>
      <c r="AB868" s="26"/>
    </row>
    <row r="869" ht="17.25" customHeight="1">
      <c r="A869" s="25" t="s">
        <v>1333</v>
      </c>
      <c r="B869" s="25" t="s">
        <v>1333</v>
      </c>
      <c r="C869" s="25" t="s">
        <v>1333</v>
      </c>
      <c r="D869" s="25"/>
      <c r="F869" s="26"/>
      <c r="U869" s="26"/>
      <c r="V869" s="26"/>
      <c r="W869" s="26"/>
      <c r="X869" s="26"/>
      <c r="Y869" s="26"/>
      <c r="Z869" s="26"/>
      <c r="AA869" s="26"/>
      <c r="AB869" s="26"/>
    </row>
    <row r="870" ht="17.25" customHeight="1">
      <c r="A870" s="25" t="s">
        <v>1333</v>
      </c>
      <c r="B870" s="25" t="s">
        <v>1333</v>
      </c>
      <c r="C870" s="25" t="s">
        <v>1333</v>
      </c>
      <c r="D870" s="25"/>
      <c r="F870" s="26"/>
      <c r="U870" s="26"/>
      <c r="V870" s="26"/>
      <c r="W870" s="26"/>
      <c r="X870" s="26"/>
      <c r="Y870" s="26"/>
      <c r="Z870" s="26"/>
      <c r="AA870" s="26"/>
      <c r="AB870" s="26"/>
    </row>
    <row r="871" ht="17.25" customHeight="1">
      <c r="A871" s="25" t="s">
        <v>1333</v>
      </c>
      <c r="B871" s="25" t="s">
        <v>1333</v>
      </c>
      <c r="C871" s="25" t="s">
        <v>1333</v>
      </c>
      <c r="D871" s="25"/>
      <c r="F871" s="26"/>
      <c r="U871" s="26"/>
      <c r="V871" s="26"/>
      <c r="W871" s="26"/>
      <c r="X871" s="26"/>
      <c r="Y871" s="26"/>
      <c r="Z871" s="26"/>
      <c r="AA871" s="26"/>
      <c r="AB871" s="26"/>
    </row>
    <row r="872" ht="17.25" customHeight="1">
      <c r="A872" s="25" t="s">
        <v>1333</v>
      </c>
      <c r="B872" s="25" t="s">
        <v>1333</v>
      </c>
      <c r="C872" s="25" t="s">
        <v>1333</v>
      </c>
      <c r="D872" s="25"/>
      <c r="F872" s="26"/>
      <c r="U872" s="26"/>
      <c r="V872" s="26"/>
      <c r="W872" s="26"/>
      <c r="X872" s="26"/>
      <c r="Y872" s="26"/>
      <c r="Z872" s="26"/>
      <c r="AA872" s="26"/>
      <c r="AB872" s="26"/>
    </row>
    <row r="873" ht="17.25" customHeight="1">
      <c r="A873" s="25" t="s">
        <v>1333</v>
      </c>
      <c r="B873" s="25" t="s">
        <v>1333</v>
      </c>
      <c r="C873" s="25" t="s">
        <v>1333</v>
      </c>
      <c r="D873" s="25"/>
      <c r="F873" s="26"/>
      <c r="U873" s="26"/>
      <c r="V873" s="26"/>
      <c r="W873" s="26"/>
      <c r="X873" s="26"/>
      <c r="Y873" s="26"/>
      <c r="Z873" s="26"/>
      <c r="AA873" s="26"/>
      <c r="AB873" s="26"/>
    </row>
    <row r="874" ht="17.25" customHeight="1">
      <c r="A874" s="25" t="s">
        <v>1333</v>
      </c>
      <c r="B874" s="25" t="s">
        <v>1333</v>
      </c>
      <c r="C874" s="25" t="s">
        <v>1333</v>
      </c>
      <c r="D874" s="25"/>
      <c r="F874" s="26"/>
      <c r="U874" s="26"/>
      <c r="V874" s="26"/>
      <c r="W874" s="26"/>
      <c r="X874" s="26"/>
      <c r="Y874" s="26"/>
      <c r="Z874" s="26"/>
      <c r="AA874" s="26"/>
      <c r="AB874" s="26"/>
    </row>
    <row r="875" ht="17.25" customHeight="1">
      <c r="A875" s="25" t="s">
        <v>1333</v>
      </c>
      <c r="B875" s="25" t="s">
        <v>1333</v>
      </c>
      <c r="C875" s="25" t="s">
        <v>1333</v>
      </c>
      <c r="D875" s="25"/>
      <c r="F875" s="26"/>
      <c r="U875" s="26"/>
      <c r="V875" s="26"/>
      <c r="W875" s="26"/>
      <c r="X875" s="26"/>
      <c r="Y875" s="26"/>
      <c r="Z875" s="26"/>
      <c r="AA875" s="26"/>
      <c r="AB875" s="26"/>
    </row>
    <row r="876" ht="17.25" customHeight="1">
      <c r="A876" s="25" t="s">
        <v>1333</v>
      </c>
      <c r="B876" s="25" t="s">
        <v>1333</v>
      </c>
      <c r="C876" s="25" t="s">
        <v>1333</v>
      </c>
      <c r="D876" s="25"/>
      <c r="F876" s="26"/>
      <c r="U876" s="26"/>
      <c r="V876" s="26"/>
      <c r="W876" s="26"/>
      <c r="X876" s="26"/>
      <c r="Y876" s="26"/>
      <c r="Z876" s="26"/>
      <c r="AA876" s="26"/>
      <c r="AB876" s="26"/>
    </row>
    <row r="877" ht="17.25" customHeight="1">
      <c r="A877" s="25" t="s">
        <v>1333</v>
      </c>
      <c r="B877" s="25" t="s">
        <v>1333</v>
      </c>
      <c r="C877" s="25" t="s">
        <v>1333</v>
      </c>
      <c r="D877" s="25"/>
      <c r="F877" s="26"/>
      <c r="U877" s="26"/>
      <c r="V877" s="26"/>
      <c r="W877" s="26"/>
      <c r="X877" s="26"/>
      <c r="Y877" s="26"/>
      <c r="Z877" s="26"/>
      <c r="AA877" s="26"/>
      <c r="AB877" s="26"/>
    </row>
    <row r="878" ht="17.25" customHeight="1">
      <c r="A878" s="25" t="s">
        <v>1333</v>
      </c>
      <c r="B878" s="25" t="s">
        <v>1333</v>
      </c>
      <c r="C878" s="25" t="s">
        <v>1333</v>
      </c>
      <c r="D878" s="25"/>
      <c r="F878" s="26"/>
      <c r="U878" s="26"/>
      <c r="V878" s="26"/>
      <c r="W878" s="26"/>
      <c r="X878" s="26"/>
      <c r="Y878" s="26"/>
      <c r="Z878" s="26"/>
      <c r="AA878" s="26"/>
      <c r="AB878" s="26"/>
    </row>
    <row r="879" ht="17.25" customHeight="1">
      <c r="A879" s="25" t="s">
        <v>1333</v>
      </c>
      <c r="B879" s="25" t="s">
        <v>1333</v>
      </c>
      <c r="C879" s="25" t="s">
        <v>1333</v>
      </c>
      <c r="D879" s="25"/>
      <c r="F879" s="26"/>
      <c r="U879" s="26"/>
      <c r="V879" s="26"/>
      <c r="W879" s="26"/>
      <c r="X879" s="26"/>
      <c r="Y879" s="26"/>
      <c r="Z879" s="26"/>
      <c r="AA879" s="26"/>
      <c r="AB879" s="26"/>
    </row>
    <row r="880" ht="17.25" customHeight="1">
      <c r="A880" s="25" t="s">
        <v>1333</v>
      </c>
      <c r="B880" s="25" t="s">
        <v>1333</v>
      </c>
      <c r="C880" s="25" t="s">
        <v>1333</v>
      </c>
      <c r="D880" s="25"/>
      <c r="F880" s="26"/>
      <c r="U880" s="26"/>
      <c r="V880" s="26"/>
      <c r="W880" s="26"/>
      <c r="X880" s="26"/>
      <c r="Y880" s="26"/>
      <c r="Z880" s="26"/>
      <c r="AA880" s="26"/>
      <c r="AB880" s="26"/>
    </row>
    <row r="881" ht="17.25" customHeight="1">
      <c r="A881" s="25" t="s">
        <v>1333</v>
      </c>
      <c r="B881" s="25" t="s">
        <v>1333</v>
      </c>
      <c r="C881" s="25" t="s">
        <v>1333</v>
      </c>
      <c r="D881" s="25"/>
      <c r="F881" s="26"/>
      <c r="U881" s="26"/>
      <c r="V881" s="26"/>
      <c r="W881" s="26"/>
      <c r="X881" s="26"/>
      <c r="Y881" s="26"/>
      <c r="Z881" s="26"/>
      <c r="AA881" s="26"/>
      <c r="AB881" s="26"/>
    </row>
    <row r="882" ht="17.25" customHeight="1">
      <c r="A882" s="25" t="s">
        <v>1333</v>
      </c>
      <c r="B882" s="25" t="s">
        <v>1333</v>
      </c>
      <c r="C882" s="25" t="s">
        <v>1333</v>
      </c>
      <c r="D882" s="25"/>
      <c r="F882" s="26"/>
      <c r="U882" s="26"/>
      <c r="V882" s="26"/>
      <c r="W882" s="26"/>
      <c r="X882" s="26"/>
      <c r="Y882" s="26"/>
      <c r="Z882" s="26"/>
      <c r="AA882" s="26"/>
      <c r="AB882" s="26"/>
    </row>
    <row r="883" ht="17.25" customHeight="1">
      <c r="A883" s="25" t="s">
        <v>1333</v>
      </c>
      <c r="B883" s="25" t="s">
        <v>1333</v>
      </c>
      <c r="C883" s="25" t="s">
        <v>1333</v>
      </c>
      <c r="D883" s="25"/>
      <c r="F883" s="26"/>
      <c r="U883" s="26"/>
      <c r="V883" s="26"/>
      <c r="W883" s="26"/>
      <c r="X883" s="26"/>
      <c r="Y883" s="26"/>
      <c r="Z883" s="26"/>
      <c r="AA883" s="26"/>
      <c r="AB883" s="26"/>
    </row>
    <row r="884" ht="17.25" customHeight="1">
      <c r="A884" s="25" t="s">
        <v>1333</v>
      </c>
      <c r="B884" s="25" t="s">
        <v>1333</v>
      </c>
      <c r="C884" s="25" t="s">
        <v>1333</v>
      </c>
      <c r="D884" s="25"/>
      <c r="F884" s="26"/>
      <c r="U884" s="26"/>
      <c r="V884" s="26"/>
      <c r="W884" s="26"/>
      <c r="X884" s="26"/>
      <c r="Y884" s="26"/>
      <c r="Z884" s="26"/>
      <c r="AA884" s="26"/>
      <c r="AB884" s="26"/>
    </row>
    <row r="885" ht="17.25" customHeight="1">
      <c r="A885" s="25" t="s">
        <v>1333</v>
      </c>
      <c r="B885" s="25" t="s">
        <v>1333</v>
      </c>
      <c r="C885" s="25" t="s">
        <v>1333</v>
      </c>
      <c r="D885" s="25"/>
      <c r="F885" s="26"/>
      <c r="U885" s="26"/>
      <c r="V885" s="26"/>
      <c r="W885" s="26"/>
      <c r="X885" s="26"/>
      <c r="Y885" s="26"/>
      <c r="Z885" s="26"/>
      <c r="AA885" s="26"/>
      <c r="AB885" s="26"/>
    </row>
    <row r="886" ht="17.25" customHeight="1">
      <c r="A886" s="25" t="s">
        <v>1333</v>
      </c>
      <c r="B886" s="25" t="s">
        <v>1333</v>
      </c>
      <c r="C886" s="25" t="s">
        <v>1333</v>
      </c>
      <c r="D886" s="25"/>
      <c r="F886" s="26"/>
      <c r="U886" s="26"/>
      <c r="V886" s="26"/>
      <c r="W886" s="26"/>
      <c r="X886" s="26"/>
      <c r="Y886" s="26"/>
      <c r="Z886" s="26"/>
      <c r="AA886" s="26"/>
      <c r="AB886" s="26"/>
    </row>
    <row r="887" ht="17.25" customHeight="1">
      <c r="A887" s="25" t="s">
        <v>1333</v>
      </c>
      <c r="B887" s="25" t="s">
        <v>1333</v>
      </c>
      <c r="C887" s="25" t="s">
        <v>1333</v>
      </c>
      <c r="D887" s="25"/>
      <c r="F887" s="26"/>
      <c r="U887" s="26"/>
      <c r="V887" s="26"/>
      <c r="W887" s="26"/>
      <c r="X887" s="26"/>
      <c r="Y887" s="26"/>
      <c r="Z887" s="26"/>
      <c r="AA887" s="26"/>
      <c r="AB887" s="26"/>
    </row>
    <row r="888" ht="17.25" customHeight="1">
      <c r="A888" s="25" t="s">
        <v>1333</v>
      </c>
      <c r="B888" s="25" t="s">
        <v>1333</v>
      </c>
      <c r="C888" s="25" t="s">
        <v>1333</v>
      </c>
      <c r="D888" s="25"/>
      <c r="F888" s="26"/>
      <c r="U888" s="26"/>
      <c r="V888" s="26"/>
      <c r="W888" s="26"/>
      <c r="X888" s="26"/>
      <c r="Y888" s="26"/>
      <c r="Z888" s="26"/>
      <c r="AA888" s="26"/>
      <c r="AB888" s="26"/>
    </row>
    <row r="889" ht="17.25" customHeight="1">
      <c r="A889" s="25" t="s">
        <v>1333</v>
      </c>
      <c r="B889" s="25" t="s">
        <v>1333</v>
      </c>
      <c r="C889" s="25" t="s">
        <v>1333</v>
      </c>
      <c r="D889" s="25"/>
      <c r="F889" s="26"/>
      <c r="U889" s="26"/>
      <c r="V889" s="26"/>
      <c r="W889" s="26"/>
      <c r="X889" s="26"/>
      <c r="Y889" s="26"/>
      <c r="Z889" s="26"/>
      <c r="AA889" s="26"/>
      <c r="AB889" s="26"/>
    </row>
    <row r="890" ht="17.25" customHeight="1">
      <c r="A890" s="25" t="s">
        <v>1333</v>
      </c>
      <c r="B890" s="25" t="s">
        <v>1333</v>
      </c>
      <c r="C890" s="25" t="s">
        <v>1333</v>
      </c>
      <c r="D890" s="25"/>
      <c r="F890" s="26"/>
      <c r="U890" s="26"/>
      <c r="V890" s="26"/>
      <c r="W890" s="26"/>
      <c r="X890" s="26"/>
      <c r="Y890" s="26"/>
      <c r="Z890" s="26"/>
      <c r="AA890" s="26"/>
      <c r="AB890" s="26"/>
    </row>
    <row r="891" ht="17.25" customHeight="1">
      <c r="A891" s="25" t="s">
        <v>1333</v>
      </c>
      <c r="B891" s="25" t="s">
        <v>1333</v>
      </c>
      <c r="C891" s="25" t="s">
        <v>1333</v>
      </c>
      <c r="D891" s="25"/>
      <c r="F891" s="26"/>
      <c r="U891" s="26"/>
      <c r="V891" s="26"/>
      <c r="W891" s="26"/>
      <c r="X891" s="26"/>
      <c r="Y891" s="26"/>
      <c r="Z891" s="26"/>
      <c r="AA891" s="26"/>
      <c r="AB891" s="26"/>
    </row>
    <row r="892" ht="17.25" customHeight="1">
      <c r="A892" s="25" t="s">
        <v>1333</v>
      </c>
      <c r="B892" s="25" t="s">
        <v>1333</v>
      </c>
      <c r="C892" s="25" t="s">
        <v>1333</v>
      </c>
      <c r="D892" s="25"/>
      <c r="F892" s="26"/>
      <c r="U892" s="26"/>
      <c r="V892" s="26"/>
      <c r="W892" s="26"/>
      <c r="X892" s="26"/>
      <c r="Y892" s="26"/>
      <c r="Z892" s="26"/>
      <c r="AA892" s="26"/>
      <c r="AB892" s="26"/>
    </row>
    <row r="893" ht="17.25" customHeight="1">
      <c r="A893" s="25" t="s">
        <v>1333</v>
      </c>
      <c r="B893" s="25" t="s">
        <v>1333</v>
      </c>
      <c r="C893" s="25" t="s">
        <v>1333</v>
      </c>
      <c r="D893" s="25"/>
      <c r="F893" s="26"/>
      <c r="U893" s="26"/>
      <c r="V893" s="26"/>
      <c r="W893" s="26"/>
      <c r="X893" s="26"/>
      <c r="Y893" s="26"/>
      <c r="Z893" s="26"/>
      <c r="AA893" s="26"/>
      <c r="AB893" s="26"/>
    </row>
    <row r="894" ht="17.25" customHeight="1">
      <c r="A894" s="25" t="s">
        <v>1333</v>
      </c>
      <c r="B894" s="25" t="s">
        <v>1333</v>
      </c>
      <c r="C894" s="25" t="s">
        <v>1333</v>
      </c>
      <c r="D894" s="25"/>
      <c r="F894" s="26"/>
      <c r="U894" s="26"/>
      <c r="V894" s="26"/>
      <c r="W894" s="26"/>
      <c r="X894" s="26"/>
      <c r="Y894" s="26"/>
      <c r="Z894" s="26"/>
      <c r="AA894" s="26"/>
      <c r="AB894" s="26"/>
    </row>
    <row r="895" ht="17.25" customHeight="1">
      <c r="A895" s="25" t="s">
        <v>1333</v>
      </c>
      <c r="B895" s="25" t="s">
        <v>1333</v>
      </c>
      <c r="C895" s="25" t="s">
        <v>1333</v>
      </c>
      <c r="D895" s="25"/>
      <c r="F895" s="26"/>
      <c r="U895" s="26"/>
      <c r="V895" s="26"/>
      <c r="W895" s="26"/>
      <c r="X895" s="26"/>
      <c r="Y895" s="26"/>
      <c r="Z895" s="26"/>
      <c r="AA895" s="26"/>
      <c r="AB895" s="26"/>
    </row>
    <row r="896" ht="17.25" customHeight="1">
      <c r="A896" s="25" t="s">
        <v>1333</v>
      </c>
      <c r="B896" s="25" t="s">
        <v>1333</v>
      </c>
      <c r="C896" s="25" t="s">
        <v>1333</v>
      </c>
      <c r="D896" s="25"/>
      <c r="F896" s="26"/>
      <c r="U896" s="26"/>
      <c r="V896" s="26"/>
      <c r="W896" s="26"/>
      <c r="X896" s="26"/>
      <c r="Y896" s="26"/>
      <c r="Z896" s="26"/>
      <c r="AA896" s="26"/>
      <c r="AB896" s="26"/>
    </row>
    <row r="897" ht="17.25" customHeight="1">
      <c r="A897" s="25" t="s">
        <v>1333</v>
      </c>
      <c r="B897" s="25" t="s">
        <v>1333</v>
      </c>
      <c r="C897" s="25" t="s">
        <v>1333</v>
      </c>
      <c r="D897" s="25"/>
      <c r="F897" s="26"/>
      <c r="U897" s="26"/>
      <c r="V897" s="26"/>
      <c r="W897" s="26"/>
      <c r="X897" s="26"/>
      <c r="Y897" s="26"/>
      <c r="Z897" s="26"/>
      <c r="AA897" s="26"/>
      <c r="AB897" s="26"/>
    </row>
    <row r="898" ht="17.25" customHeight="1">
      <c r="A898" s="25" t="s">
        <v>1333</v>
      </c>
      <c r="B898" s="25" t="s">
        <v>1333</v>
      </c>
      <c r="C898" s="25" t="s">
        <v>1333</v>
      </c>
      <c r="D898" s="25"/>
      <c r="F898" s="26"/>
      <c r="U898" s="26"/>
      <c r="V898" s="26"/>
      <c r="W898" s="26"/>
      <c r="X898" s="26"/>
      <c r="Y898" s="26"/>
      <c r="Z898" s="26"/>
      <c r="AA898" s="26"/>
      <c r="AB898" s="26"/>
    </row>
    <row r="899" ht="17.25" customHeight="1">
      <c r="A899" s="25" t="s">
        <v>1333</v>
      </c>
      <c r="B899" s="25" t="s">
        <v>1333</v>
      </c>
      <c r="C899" s="25" t="s">
        <v>1333</v>
      </c>
      <c r="D899" s="25"/>
      <c r="F899" s="26"/>
      <c r="U899" s="26"/>
      <c r="V899" s="26"/>
      <c r="W899" s="26"/>
      <c r="X899" s="26"/>
      <c r="Y899" s="26"/>
      <c r="Z899" s="26"/>
      <c r="AA899" s="26"/>
      <c r="AB899" s="26"/>
    </row>
    <row r="900" ht="17.25" customHeight="1">
      <c r="A900" s="25" t="s">
        <v>1333</v>
      </c>
      <c r="B900" s="25" t="s">
        <v>1333</v>
      </c>
      <c r="C900" s="25" t="s">
        <v>1333</v>
      </c>
      <c r="D900" s="25"/>
      <c r="F900" s="26"/>
      <c r="U900" s="26"/>
      <c r="V900" s="26"/>
      <c r="W900" s="26"/>
      <c r="X900" s="26"/>
      <c r="Y900" s="26"/>
      <c r="Z900" s="26"/>
      <c r="AA900" s="26"/>
      <c r="AB900" s="26"/>
    </row>
    <row r="901" ht="17.25" customHeight="1">
      <c r="A901" s="25" t="s">
        <v>1333</v>
      </c>
      <c r="B901" s="25" t="s">
        <v>1333</v>
      </c>
      <c r="C901" s="25" t="s">
        <v>1333</v>
      </c>
      <c r="D901" s="25"/>
      <c r="F901" s="26"/>
      <c r="U901" s="26"/>
      <c r="V901" s="26"/>
      <c r="W901" s="26"/>
      <c r="X901" s="26"/>
      <c r="Y901" s="26"/>
      <c r="Z901" s="26"/>
      <c r="AA901" s="26"/>
      <c r="AB901" s="26"/>
    </row>
    <row r="902" ht="17.25" customHeight="1">
      <c r="A902" s="25" t="s">
        <v>1333</v>
      </c>
      <c r="B902" s="25" t="s">
        <v>1333</v>
      </c>
      <c r="C902" s="25" t="s">
        <v>1333</v>
      </c>
      <c r="D902" s="25"/>
      <c r="F902" s="26"/>
      <c r="U902" s="26"/>
      <c r="V902" s="26"/>
      <c r="W902" s="26"/>
      <c r="X902" s="26"/>
      <c r="Y902" s="26"/>
      <c r="Z902" s="26"/>
      <c r="AA902" s="26"/>
      <c r="AB902" s="26"/>
    </row>
    <row r="903" ht="17.25" customHeight="1">
      <c r="A903" s="25" t="s">
        <v>1333</v>
      </c>
      <c r="B903" s="25" t="s">
        <v>1333</v>
      </c>
      <c r="C903" s="25" t="s">
        <v>1333</v>
      </c>
      <c r="D903" s="25"/>
      <c r="F903" s="26"/>
      <c r="U903" s="26"/>
      <c r="V903" s="26"/>
      <c r="W903" s="26"/>
      <c r="X903" s="26"/>
      <c r="Y903" s="26"/>
      <c r="Z903" s="26"/>
      <c r="AA903" s="26"/>
      <c r="AB903" s="26"/>
    </row>
    <row r="904" ht="17.25" customHeight="1">
      <c r="A904" s="25" t="s">
        <v>1333</v>
      </c>
      <c r="B904" s="25" t="s">
        <v>1333</v>
      </c>
      <c r="C904" s="25" t="s">
        <v>1333</v>
      </c>
      <c r="D904" s="25"/>
      <c r="F904" s="26"/>
      <c r="U904" s="26"/>
      <c r="V904" s="26"/>
      <c r="W904" s="26"/>
      <c r="X904" s="26"/>
      <c r="Y904" s="26"/>
      <c r="Z904" s="26"/>
      <c r="AA904" s="26"/>
      <c r="AB904" s="26"/>
    </row>
    <row r="905" ht="17.25" customHeight="1">
      <c r="A905" s="25" t="s">
        <v>1333</v>
      </c>
      <c r="B905" s="25" t="s">
        <v>1333</v>
      </c>
      <c r="C905" s="25" t="s">
        <v>1333</v>
      </c>
      <c r="D905" s="25"/>
      <c r="F905" s="26"/>
      <c r="U905" s="26"/>
      <c r="V905" s="26"/>
      <c r="W905" s="26"/>
      <c r="X905" s="26"/>
      <c r="Y905" s="26"/>
      <c r="Z905" s="26"/>
      <c r="AA905" s="26"/>
      <c r="AB905" s="26"/>
    </row>
    <row r="906" ht="17.25" customHeight="1">
      <c r="A906" s="25" t="s">
        <v>1333</v>
      </c>
      <c r="B906" s="25" t="s">
        <v>1333</v>
      </c>
      <c r="C906" s="25" t="s">
        <v>1333</v>
      </c>
      <c r="D906" s="25"/>
      <c r="F906" s="26"/>
      <c r="U906" s="26"/>
      <c r="V906" s="26"/>
      <c r="W906" s="26"/>
      <c r="X906" s="26"/>
      <c r="Y906" s="26"/>
      <c r="Z906" s="26"/>
      <c r="AA906" s="26"/>
      <c r="AB906" s="26"/>
    </row>
    <row r="907" ht="17.25" customHeight="1">
      <c r="A907" s="25" t="s">
        <v>1333</v>
      </c>
      <c r="B907" s="25" t="s">
        <v>1333</v>
      </c>
      <c r="C907" s="25" t="s">
        <v>1333</v>
      </c>
      <c r="D907" s="25"/>
      <c r="F907" s="26"/>
      <c r="U907" s="26"/>
      <c r="V907" s="26"/>
      <c r="W907" s="26"/>
      <c r="X907" s="26"/>
      <c r="Y907" s="26"/>
      <c r="Z907" s="26"/>
      <c r="AA907" s="26"/>
      <c r="AB907" s="26"/>
    </row>
    <row r="908" ht="17.25" customHeight="1">
      <c r="A908" s="25" t="s">
        <v>1333</v>
      </c>
      <c r="B908" s="25" t="s">
        <v>1333</v>
      </c>
      <c r="C908" s="25" t="s">
        <v>1333</v>
      </c>
      <c r="D908" s="25"/>
      <c r="F908" s="26"/>
      <c r="U908" s="26"/>
      <c r="V908" s="26"/>
      <c r="W908" s="26"/>
      <c r="X908" s="26"/>
      <c r="Y908" s="26"/>
      <c r="Z908" s="26"/>
      <c r="AA908" s="26"/>
      <c r="AB908" s="26"/>
    </row>
    <row r="909" ht="17.25" customHeight="1">
      <c r="A909" s="25" t="s">
        <v>1333</v>
      </c>
      <c r="B909" s="25" t="s">
        <v>1333</v>
      </c>
      <c r="C909" s="25" t="s">
        <v>1333</v>
      </c>
      <c r="D909" s="25"/>
      <c r="F909" s="26"/>
      <c r="U909" s="26"/>
      <c r="V909" s="26"/>
      <c r="W909" s="26"/>
      <c r="X909" s="26"/>
      <c r="Y909" s="26"/>
      <c r="Z909" s="26"/>
      <c r="AA909" s="26"/>
      <c r="AB909" s="26"/>
    </row>
    <row r="910" ht="17.25" customHeight="1">
      <c r="A910" s="25" t="s">
        <v>1333</v>
      </c>
      <c r="B910" s="25" t="s">
        <v>1333</v>
      </c>
      <c r="C910" s="25" t="s">
        <v>1333</v>
      </c>
      <c r="D910" s="25"/>
      <c r="F910" s="26"/>
      <c r="U910" s="26"/>
      <c r="V910" s="26"/>
      <c r="W910" s="26"/>
      <c r="X910" s="26"/>
      <c r="Y910" s="26"/>
      <c r="Z910" s="26"/>
      <c r="AA910" s="26"/>
      <c r="AB910" s="26"/>
    </row>
    <row r="911" ht="17.25" customHeight="1">
      <c r="A911" s="25" t="s">
        <v>1333</v>
      </c>
      <c r="B911" s="25" t="s">
        <v>1333</v>
      </c>
      <c r="C911" s="25" t="s">
        <v>1333</v>
      </c>
      <c r="D911" s="25"/>
      <c r="F911" s="26"/>
      <c r="U911" s="26"/>
      <c r="V911" s="26"/>
      <c r="W911" s="26"/>
      <c r="X911" s="26"/>
      <c r="Y911" s="26"/>
      <c r="Z911" s="26"/>
      <c r="AA911" s="26"/>
      <c r="AB911" s="26"/>
    </row>
    <row r="912" ht="17.25" customHeight="1">
      <c r="A912" s="25" t="s">
        <v>1333</v>
      </c>
      <c r="B912" s="25" t="s">
        <v>1333</v>
      </c>
      <c r="C912" s="25" t="s">
        <v>1333</v>
      </c>
      <c r="D912" s="25"/>
      <c r="F912" s="26"/>
      <c r="U912" s="26"/>
      <c r="V912" s="26"/>
      <c r="W912" s="26"/>
      <c r="X912" s="26"/>
      <c r="Y912" s="26"/>
      <c r="Z912" s="26"/>
      <c r="AA912" s="26"/>
      <c r="AB912" s="26"/>
    </row>
    <row r="913" ht="17.25" customHeight="1">
      <c r="A913" s="25" t="s">
        <v>1333</v>
      </c>
      <c r="B913" s="25" t="s">
        <v>1333</v>
      </c>
      <c r="C913" s="25" t="s">
        <v>1333</v>
      </c>
      <c r="D913" s="25"/>
      <c r="F913" s="26"/>
      <c r="U913" s="26"/>
      <c r="V913" s="26"/>
      <c r="W913" s="26"/>
      <c r="X913" s="26"/>
      <c r="Y913" s="26"/>
      <c r="Z913" s="26"/>
      <c r="AA913" s="26"/>
      <c r="AB913" s="26"/>
    </row>
    <row r="914" ht="17.25" customHeight="1">
      <c r="A914" s="25" t="s">
        <v>1333</v>
      </c>
      <c r="B914" s="25" t="s">
        <v>1333</v>
      </c>
      <c r="C914" s="25" t="s">
        <v>1333</v>
      </c>
      <c r="D914" s="25"/>
      <c r="F914" s="26"/>
      <c r="U914" s="26"/>
      <c r="V914" s="26"/>
      <c r="W914" s="26"/>
      <c r="X914" s="26"/>
      <c r="Y914" s="26"/>
      <c r="Z914" s="26"/>
      <c r="AA914" s="26"/>
      <c r="AB914" s="26"/>
    </row>
    <row r="915" ht="17.25" customHeight="1">
      <c r="A915" s="25" t="s">
        <v>1333</v>
      </c>
      <c r="B915" s="25" t="s">
        <v>1333</v>
      </c>
      <c r="C915" s="25" t="s">
        <v>1333</v>
      </c>
      <c r="D915" s="25"/>
      <c r="F915" s="26"/>
      <c r="U915" s="26"/>
      <c r="V915" s="26"/>
      <c r="W915" s="26"/>
      <c r="X915" s="26"/>
      <c r="Y915" s="26"/>
      <c r="Z915" s="26"/>
      <c r="AA915" s="26"/>
      <c r="AB915" s="26"/>
    </row>
    <row r="916" ht="17.25" customHeight="1">
      <c r="A916" s="25" t="s">
        <v>1333</v>
      </c>
      <c r="B916" s="25" t="s">
        <v>1333</v>
      </c>
      <c r="C916" s="25" t="s">
        <v>1333</v>
      </c>
      <c r="D916" s="25"/>
      <c r="F916" s="26"/>
      <c r="U916" s="26"/>
      <c r="V916" s="26"/>
      <c r="W916" s="26"/>
      <c r="X916" s="26"/>
      <c r="Y916" s="26"/>
      <c r="Z916" s="26"/>
      <c r="AA916" s="26"/>
      <c r="AB916" s="26"/>
    </row>
    <row r="917" ht="17.25" customHeight="1">
      <c r="A917" s="25" t="s">
        <v>1333</v>
      </c>
      <c r="B917" s="25" t="s">
        <v>1333</v>
      </c>
      <c r="C917" s="25" t="s">
        <v>1333</v>
      </c>
      <c r="D917" s="25"/>
      <c r="F917" s="26"/>
      <c r="U917" s="26"/>
      <c r="V917" s="26"/>
      <c r="W917" s="26"/>
      <c r="X917" s="26"/>
      <c r="Y917" s="26"/>
      <c r="Z917" s="26"/>
      <c r="AA917" s="26"/>
      <c r="AB917" s="26"/>
    </row>
    <row r="918" ht="17.25" customHeight="1">
      <c r="A918" s="25" t="s">
        <v>1333</v>
      </c>
      <c r="B918" s="25" t="s">
        <v>1333</v>
      </c>
      <c r="C918" s="25" t="s">
        <v>1333</v>
      </c>
      <c r="D918" s="25"/>
      <c r="F918" s="26"/>
      <c r="U918" s="26"/>
      <c r="V918" s="26"/>
      <c r="W918" s="26"/>
      <c r="X918" s="26"/>
      <c r="Y918" s="26"/>
      <c r="Z918" s="26"/>
      <c r="AA918" s="26"/>
      <c r="AB918" s="26"/>
    </row>
    <row r="919" ht="17.25" customHeight="1">
      <c r="A919" s="25" t="s">
        <v>1333</v>
      </c>
      <c r="B919" s="25" t="s">
        <v>1333</v>
      </c>
      <c r="C919" s="25" t="s">
        <v>1333</v>
      </c>
      <c r="D919" s="25"/>
      <c r="F919" s="26"/>
      <c r="U919" s="26"/>
      <c r="V919" s="26"/>
      <c r="W919" s="26"/>
      <c r="X919" s="26"/>
      <c r="Y919" s="26"/>
      <c r="Z919" s="26"/>
      <c r="AA919" s="26"/>
      <c r="AB919" s="26"/>
    </row>
    <row r="920" ht="17.25" customHeight="1">
      <c r="A920" s="25" t="s">
        <v>1333</v>
      </c>
      <c r="B920" s="25" t="s">
        <v>1333</v>
      </c>
      <c r="C920" s="25" t="s">
        <v>1333</v>
      </c>
      <c r="D920" s="25"/>
      <c r="F920" s="26"/>
      <c r="U920" s="26"/>
      <c r="V920" s="26"/>
      <c r="W920" s="26"/>
      <c r="X920" s="26"/>
      <c r="Y920" s="26"/>
      <c r="Z920" s="26"/>
      <c r="AA920" s="26"/>
      <c r="AB920" s="26"/>
    </row>
    <row r="921" ht="17.25" customHeight="1">
      <c r="A921" s="25" t="s">
        <v>1333</v>
      </c>
      <c r="B921" s="25" t="s">
        <v>1333</v>
      </c>
      <c r="C921" s="25" t="s">
        <v>1333</v>
      </c>
      <c r="D921" s="25"/>
      <c r="F921" s="26"/>
      <c r="U921" s="26"/>
      <c r="V921" s="26"/>
      <c r="W921" s="26"/>
      <c r="X921" s="26"/>
      <c r="Y921" s="26"/>
      <c r="Z921" s="26"/>
      <c r="AA921" s="26"/>
      <c r="AB921" s="26"/>
    </row>
    <row r="922" ht="17.25" customHeight="1">
      <c r="A922" s="25" t="s">
        <v>1333</v>
      </c>
      <c r="B922" s="25" t="s">
        <v>1333</v>
      </c>
      <c r="C922" s="25" t="s">
        <v>1333</v>
      </c>
      <c r="D922" s="25"/>
      <c r="F922" s="26"/>
      <c r="U922" s="26"/>
      <c r="V922" s="26"/>
      <c r="W922" s="26"/>
      <c r="X922" s="26"/>
      <c r="Y922" s="26"/>
      <c r="Z922" s="26"/>
      <c r="AA922" s="26"/>
      <c r="AB922" s="26"/>
    </row>
    <row r="923" ht="17.25" customHeight="1">
      <c r="A923" s="25" t="s">
        <v>1333</v>
      </c>
      <c r="B923" s="25" t="s">
        <v>1333</v>
      </c>
      <c r="C923" s="25" t="s">
        <v>1333</v>
      </c>
      <c r="D923" s="25"/>
      <c r="F923" s="26"/>
      <c r="U923" s="26"/>
      <c r="V923" s="26"/>
      <c r="W923" s="26"/>
      <c r="X923" s="26"/>
      <c r="Y923" s="26"/>
      <c r="Z923" s="26"/>
      <c r="AA923" s="26"/>
      <c r="AB923" s="26"/>
    </row>
    <row r="924" ht="17.25" customHeight="1">
      <c r="A924" s="25" t="s">
        <v>1333</v>
      </c>
      <c r="B924" s="25" t="s">
        <v>1333</v>
      </c>
      <c r="C924" s="25" t="s">
        <v>1333</v>
      </c>
      <c r="D924" s="25"/>
      <c r="F924" s="26"/>
      <c r="U924" s="26"/>
      <c r="V924" s="26"/>
      <c r="W924" s="26"/>
      <c r="X924" s="26"/>
      <c r="Y924" s="26"/>
      <c r="Z924" s="26"/>
      <c r="AA924" s="26"/>
      <c r="AB924" s="26"/>
    </row>
    <row r="925" ht="17.25" customHeight="1">
      <c r="A925" s="25" t="s">
        <v>1333</v>
      </c>
      <c r="B925" s="25" t="s">
        <v>1333</v>
      </c>
      <c r="C925" s="25" t="s">
        <v>1333</v>
      </c>
      <c r="D925" s="25"/>
      <c r="F925" s="26"/>
      <c r="U925" s="26"/>
      <c r="V925" s="26"/>
      <c r="W925" s="26"/>
      <c r="X925" s="26"/>
      <c r="Y925" s="26"/>
      <c r="Z925" s="26"/>
      <c r="AA925" s="26"/>
      <c r="AB925" s="26"/>
    </row>
    <row r="926" ht="17.25" customHeight="1">
      <c r="A926" s="25" t="s">
        <v>1333</v>
      </c>
      <c r="B926" s="25" t="s">
        <v>1333</v>
      </c>
      <c r="C926" s="25" t="s">
        <v>1333</v>
      </c>
      <c r="D926" s="25"/>
      <c r="F926" s="26"/>
      <c r="U926" s="26"/>
      <c r="V926" s="26"/>
      <c r="W926" s="26"/>
      <c r="X926" s="26"/>
      <c r="Y926" s="26"/>
      <c r="Z926" s="26"/>
      <c r="AA926" s="26"/>
      <c r="AB926" s="26"/>
    </row>
    <row r="927" ht="17.25" customHeight="1">
      <c r="A927" s="25" t="s">
        <v>1333</v>
      </c>
      <c r="B927" s="25" t="s">
        <v>1333</v>
      </c>
      <c r="C927" s="25" t="s">
        <v>1333</v>
      </c>
      <c r="D927" s="25"/>
      <c r="F927" s="26"/>
      <c r="U927" s="26"/>
      <c r="V927" s="26"/>
      <c r="W927" s="26"/>
      <c r="X927" s="26"/>
      <c r="Y927" s="26"/>
      <c r="Z927" s="26"/>
      <c r="AA927" s="26"/>
      <c r="AB927" s="26"/>
    </row>
    <row r="928" ht="17.25" customHeight="1">
      <c r="A928" s="25" t="s">
        <v>1333</v>
      </c>
      <c r="B928" s="25" t="s">
        <v>1333</v>
      </c>
      <c r="C928" s="25" t="s">
        <v>1333</v>
      </c>
      <c r="D928" s="25"/>
      <c r="F928" s="26"/>
      <c r="U928" s="26"/>
      <c r="V928" s="26"/>
      <c r="W928" s="26"/>
      <c r="X928" s="26"/>
      <c r="Y928" s="26"/>
      <c r="Z928" s="26"/>
      <c r="AA928" s="26"/>
      <c r="AB928" s="26"/>
    </row>
    <row r="929" ht="17.25" customHeight="1">
      <c r="A929" s="25" t="s">
        <v>1333</v>
      </c>
      <c r="B929" s="25" t="s">
        <v>1333</v>
      </c>
      <c r="C929" s="25" t="s">
        <v>1333</v>
      </c>
      <c r="D929" s="25"/>
      <c r="F929" s="26"/>
      <c r="U929" s="26"/>
      <c r="V929" s="26"/>
      <c r="W929" s="26"/>
      <c r="X929" s="26"/>
      <c r="Y929" s="26"/>
      <c r="Z929" s="26"/>
      <c r="AA929" s="26"/>
      <c r="AB929" s="26"/>
    </row>
    <row r="930" ht="17.25" customHeight="1">
      <c r="A930" s="25" t="s">
        <v>1333</v>
      </c>
      <c r="B930" s="25" t="s">
        <v>1333</v>
      </c>
      <c r="C930" s="25" t="s">
        <v>1333</v>
      </c>
      <c r="D930" s="25"/>
      <c r="F930" s="26"/>
      <c r="U930" s="26"/>
      <c r="V930" s="26"/>
      <c r="W930" s="26"/>
      <c r="X930" s="26"/>
      <c r="Y930" s="26"/>
      <c r="Z930" s="26"/>
      <c r="AA930" s="26"/>
      <c r="AB930" s="26"/>
    </row>
    <row r="931" ht="17.25" customHeight="1">
      <c r="A931" s="25" t="s">
        <v>1333</v>
      </c>
      <c r="B931" s="25" t="s">
        <v>1333</v>
      </c>
      <c r="C931" s="25" t="s">
        <v>1333</v>
      </c>
      <c r="D931" s="25"/>
      <c r="F931" s="26"/>
      <c r="U931" s="26"/>
      <c r="V931" s="26"/>
      <c r="W931" s="26"/>
      <c r="X931" s="26"/>
      <c r="Y931" s="26"/>
      <c r="Z931" s="26"/>
      <c r="AA931" s="26"/>
      <c r="AB931" s="26"/>
    </row>
    <row r="932" ht="17.25" customHeight="1">
      <c r="A932" s="25" t="s">
        <v>1333</v>
      </c>
      <c r="B932" s="25" t="s">
        <v>1333</v>
      </c>
      <c r="C932" s="25" t="s">
        <v>1333</v>
      </c>
      <c r="D932" s="25"/>
      <c r="F932" s="26"/>
      <c r="U932" s="26"/>
      <c r="V932" s="26"/>
      <c r="W932" s="26"/>
      <c r="X932" s="26"/>
      <c r="Y932" s="26"/>
      <c r="Z932" s="26"/>
      <c r="AA932" s="26"/>
      <c r="AB932" s="26"/>
    </row>
    <row r="933" ht="17.25" customHeight="1">
      <c r="A933" s="25" t="s">
        <v>1333</v>
      </c>
      <c r="B933" s="25" t="s">
        <v>1333</v>
      </c>
      <c r="C933" s="25" t="s">
        <v>1333</v>
      </c>
      <c r="D933" s="25"/>
      <c r="F933" s="26"/>
      <c r="U933" s="26"/>
      <c r="V933" s="26"/>
      <c r="W933" s="26"/>
      <c r="X933" s="26"/>
      <c r="Y933" s="26"/>
      <c r="Z933" s="26"/>
      <c r="AA933" s="26"/>
      <c r="AB933" s="26"/>
    </row>
    <row r="934" ht="17.25" customHeight="1">
      <c r="A934" s="25" t="s">
        <v>1333</v>
      </c>
      <c r="B934" s="25" t="s">
        <v>1333</v>
      </c>
      <c r="C934" s="25" t="s">
        <v>1333</v>
      </c>
      <c r="D934" s="25"/>
      <c r="F934" s="26"/>
      <c r="U934" s="26"/>
      <c r="V934" s="26"/>
      <c r="W934" s="26"/>
      <c r="X934" s="26"/>
      <c r="Y934" s="26"/>
      <c r="Z934" s="26"/>
      <c r="AA934" s="26"/>
      <c r="AB934" s="26"/>
    </row>
    <row r="935" ht="17.25" customHeight="1">
      <c r="A935" s="25" t="s">
        <v>1333</v>
      </c>
      <c r="B935" s="25" t="s">
        <v>1333</v>
      </c>
      <c r="C935" s="25" t="s">
        <v>1333</v>
      </c>
      <c r="D935" s="25"/>
      <c r="F935" s="26"/>
      <c r="U935" s="26"/>
      <c r="V935" s="26"/>
      <c r="W935" s="26"/>
      <c r="X935" s="26"/>
      <c r="Y935" s="26"/>
      <c r="Z935" s="26"/>
      <c r="AA935" s="26"/>
      <c r="AB935" s="26"/>
    </row>
    <row r="936" ht="17.25" customHeight="1">
      <c r="A936" s="25" t="s">
        <v>1333</v>
      </c>
      <c r="B936" s="25" t="s">
        <v>1333</v>
      </c>
      <c r="C936" s="25" t="s">
        <v>1333</v>
      </c>
      <c r="D936" s="25"/>
      <c r="F936" s="26"/>
      <c r="U936" s="26"/>
      <c r="V936" s="26"/>
      <c r="W936" s="26"/>
      <c r="X936" s="26"/>
      <c r="Y936" s="26"/>
      <c r="Z936" s="26"/>
      <c r="AA936" s="26"/>
      <c r="AB936" s="26"/>
    </row>
    <row r="937" ht="17.25" customHeight="1">
      <c r="A937" s="25" t="s">
        <v>1333</v>
      </c>
      <c r="B937" s="25" t="s">
        <v>1333</v>
      </c>
      <c r="C937" s="25" t="s">
        <v>1333</v>
      </c>
      <c r="D937" s="25"/>
      <c r="F937" s="26"/>
      <c r="U937" s="26"/>
      <c r="V937" s="26"/>
      <c r="W937" s="26"/>
      <c r="X937" s="26"/>
      <c r="Y937" s="26"/>
      <c r="Z937" s="26"/>
      <c r="AA937" s="26"/>
      <c r="AB937" s="26"/>
    </row>
    <row r="938" ht="17.25" customHeight="1">
      <c r="A938" s="25" t="s">
        <v>1333</v>
      </c>
      <c r="B938" s="25" t="s">
        <v>1333</v>
      </c>
      <c r="C938" s="25" t="s">
        <v>1333</v>
      </c>
      <c r="D938" s="25"/>
      <c r="F938" s="26"/>
      <c r="U938" s="26"/>
      <c r="V938" s="26"/>
      <c r="W938" s="26"/>
      <c r="X938" s="26"/>
      <c r="Y938" s="26"/>
      <c r="Z938" s="26"/>
      <c r="AA938" s="26"/>
      <c r="AB938" s="26"/>
    </row>
    <row r="939" ht="17.25" customHeight="1">
      <c r="A939" s="25" t="s">
        <v>1333</v>
      </c>
      <c r="B939" s="25" t="s">
        <v>1333</v>
      </c>
      <c r="C939" s="25" t="s">
        <v>1333</v>
      </c>
      <c r="D939" s="25"/>
      <c r="F939" s="26"/>
      <c r="U939" s="26"/>
      <c r="V939" s="26"/>
      <c r="W939" s="26"/>
      <c r="X939" s="26"/>
      <c r="Y939" s="26"/>
      <c r="Z939" s="26"/>
      <c r="AA939" s="26"/>
      <c r="AB939" s="26"/>
    </row>
    <row r="940" ht="17.25" customHeight="1">
      <c r="A940" s="25" t="s">
        <v>1333</v>
      </c>
      <c r="B940" s="25" t="s">
        <v>1333</v>
      </c>
      <c r="C940" s="25" t="s">
        <v>1333</v>
      </c>
      <c r="D940" s="25"/>
      <c r="F940" s="26"/>
      <c r="U940" s="26"/>
      <c r="V940" s="26"/>
      <c r="W940" s="26"/>
      <c r="X940" s="26"/>
      <c r="Y940" s="26"/>
      <c r="Z940" s="26"/>
      <c r="AA940" s="26"/>
      <c r="AB940" s="26"/>
    </row>
    <row r="941" ht="17.25" customHeight="1">
      <c r="A941" s="25" t="s">
        <v>1333</v>
      </c>
      <c r="B941" s="25" t="s">
        <v>1333</v>
      </c>
      <c r="C941" s="25" t="s">
        <v>1333</v>
      </c>
      <c r="D941" s="25"/>
      <c r="F941" s="26"/>
      <c r="U941" s="26"/>
      <c r="V941" s="26"/>
      <c r="W941" s="26"/>
      <c r="X941" s="26"/>
      <c r="Y941" s="26"/>
      <c r="Z941" s="26"/>
      <c r="AA941" s="26"/>
      <c r="AB941" s="26"/>
    </row>
    <row r="942" ht="17.25" customHeight="1">
      <c r="A942" s="25" t="s">
        <v>1333</v>
      </c>
      <c r="B942" s="25" t="s">
        <v>1333</v>
      </c>
      <c r="C942" s="25" t="s">
        <v>1333</v>
      </c>
      <c r="D942" s="25"/>
      <c r="F942" s="26"/>
      <c r="U942" s="26"/>
      <c r="V942" s="26"/>
      <c r="W942" s="26"/>
      <c r="X942" s="26"/>
      <c r="Y942" s="26"/>
      <c r="Z942" s="26"/>
      <c r="AA942" s="26"/>
      <c r="AB942" s="26"/>
    </row>
    <row r="943" ht="17.25" customHeight="1">
      <c r="A943" s="25" t="s">
        <v>1333</v>
      </c>
      <c r="B943" s="25" t="s">
        <v>1333</v>
      </c>
      <c r="C943" s="25" t="s">
        <v>1333</v>
      </c>
      <c r="D943" s="25"/>
      <c r="F943" s="26"/>
      <c r="U943" s="26"/>
      <c r="V943" s="26"/>
      <c r="W943" s="26"/>
      <c r="X943" s="26"/>
      <c r="Y943" s="26"/>
      <c r="Z943" s="26"/>
      <c r="AA943" s="26"/>
      <c r="AB943" s="26"/>
    </row>
    <row r="944" ht="17.25" customHeight="1">
      <c r="A944" s="25" t="s">
        <v>1333</v>
      </c>
      <c r="B944" s="25" t="s">
        <v>1333</v>
      </c>
      <c r="C944" s="25" t="s">
        <v>1333</v>
      </c>
      <c r="D944" s="25"/>
      <c r="F944" s="26"/>
      <c r="U944" s="26"/>
      <c r="V944" s="26"/>
      <c r="W944" s="26"/>
      <c r="X944" s="26"/>
      <c r="Y944" s="26"/>
      <c r="Z944" s="26"/>
      <c r="AA944" s="26"/>
      <c r="AB944" s="26"/>
    </row>
    <row r="945" ht="17.25" customHeight="1">
      <c r="A945" s="25" t="s">
        <v>1333</v>
      </c>
      <c r="B945" s="25" t="s">
        <v>1333</v>
      </c>
      <c r="C945" s="25" t="s">
        <v>1333</v>
      </c>
      <c r="D945" s="25"/>
      <c r="F945" s="26"/>
      <c r="U945" s="26"/>
      <c r="V945" s="26"/>
      <c r="W945" s="26"/>
      <c r="X945" s="26"/>
      <c r="Y945" s="26"/>
      <c r="Z945" s="26"/>
      <c r="AA945" s="26"/>
      <c r="AB945" s="26"/>
    </row>
    <row r="946" ht="17.25" customHeight="1">
      <c r="A946" s="25" t="s">
        <v>1333</v>
      </c>
      <c r="B946" s="25" t="s">
        <v>1333</v>
      </c>
      <c r="C946" s="25" t="s">
        <v>1333</v>
      </c>
      <c r="D946" s="25"/>
      <c r="F946" s="26"/>
      <c r="U946" s="26"/>
      <c r="V946" s="26"/>
      <c r="W946" s="26"/>
      <c r="X946" s="26"/>
      <c r="Y946" s="26"/>
      <c r="Z946" s="26"/>
      <c r="AA946" s="26"/>
      <c r="AB946" s="26"/>
    </row>
    <row r="947" ht="17.25" customHeight="1">
      <c r="A947" s="25" t="s">
        <v>1333</v>
      </c>
      <c r="B947" s="25" t="s">
        <v>1333</v>
      </c>
      <c r="C947" s="25" t="s">
        <v>1333</v>
      </c>
      <c r="D947" s="25"/>
      <c r="F947" s="26"/>
      <c r="U947" s="26"/>
      <c r="V947" s="26"/>
      <c r="W947" s="26"/>
      <c r="X947" s="26"/>
      <c r="Y947" s="26"/>
      <c r="Z947" s="26"/>
      <c r="AA947" s="26"/>
      <c r="AB947" s="26"/>
    </row>
    <row r="948" ht="17.25" customHeight="1">
      <c r="A948" s="25" t="s">
        <v>1333</v>
      </c>
      <c r="B948" s="25" t="s">
        <v>1333</v>
      </c>
      <c r="C948" s="25" t="s">
        <v>1333</v>
      </c>
      <c r="D948" s="25"/>
      <c r="F948" s="26"/>
      <c r="U948" s="26"/>
      <c r="V948" s="26"/>
      <c r="W948" s="26"/>
      <c r="X948" s="26"/>
      <c r="Y948" s="26"/>
      <c r="Z948" s="26"/>
      <c r="AA948" s="26"/>
      <c r="AB948" s="26"/>
    </row>
    <row r="949" ht="17.25" customHeight="1">
      <c r="A949" s="25" t="s">
        <v>1333</v>
      </c>
      <c r="B949" s="25" t="s">
        <v>1333</v>
      </c>
      <c r="C949" s="25" t="s">
        <v>1333</v>
      </c>
      <c r="D949" s="25"/>
      <c r="F949" s="26"/>
      <c r="U949" s="26"/>
      <c r="V949" s="26"/>
      <c r="W949" s="26"/>
      <c r="X949" s="26"/>
      <c r="Y949" s="26"/>
      <c r="Z949" s="26"/>
      <c r="AA949" s="26"/>
      <c r="AB949" s="26"/>
    </row>
    <row r="950" ht="17.25" customHeight="1">
      <c r="A950" s="25" t="s">
        <v>1333</v>
      </c>
      <c r="B950" s="25" t="s">
        <v>1333</v>
      </c>
      <c r="C950" s="25" t="s">
        <v>1333</v>
      </c>
      <c r="D950" s="25"/>
      <c r="F950" s="26"/>
      <c r="U950" s="26"/>
      <c r="V950" s="26"/>
      <c r="W950" s="26"/>
      <c r="X950" s="26"/>
      <c r="Y950" s="26"/>
      <c r="Z950" s="26"/>
      <c r="AA950" s="26"/>
      <c r="AB950" s="26"/>
    </row>
    <row r="951" ht="17.25" customHeight="1">
      <c r="A951" s="25" t="s">
        <v>1333</v>
      </c>
      <c r="B951" s="25" t="s">
        <v>1333</v>
      </c>
      <c r="C951" s="25" t="s">
        <v>1333</v>
      </c>
      <c r="D951" s="25"/>
      <c r="F951" s="26"/>
      <c r="U951" s="26"/>
      <c r="V951" s="26"/>
      <c r="W951" s="26"/>
      <c r="X951" s="26"/>
      <c r="Y951" s="26"/>
      <c r="Z951" s="26"/>
      <c r="AA951" s="26"/>
      <c r="AB951" s="26"/>
    </row>
    <row r="952" ht="17.25" customHeight="1">
      <c r="A952" s="25" t="s">
        <v>1333</v>
      </c>
      <c r="B952" s="25" t="s">
        <v>1333</v>
      </c>
      <c r="C952" s="25" t="s">
        <v>1333</v>
      </c>
      <c r="D952" s="25"/>
      <c r="F952" s="26"/>
      <c r="U952" s="26"/>
      <c r="V952" s="26"/>
      <c r="W952" s="26"/>
      <c r="X952" s="26"/>
      <c r="Y952" s="26"/>
      <c r="Z952" s="26"/>
      <c r="AA952" s="26"/>
      <c r="AB952" s="26"/>
    </row>
    <row r="953" ht="17.25" customHeight="1">
      <c r="A953" s="25" t="s">
        <v>1333</v>
      </c>
      <c r="B953" s="25" t="s">
        <v>1333</v>
      </c>
      <c r="C953" s="25" t="s">
        <v>1333</v>
      </c>
      <c r="D953" s="25"/>
      <c r="F953" s="26"/>
      <c r="U953" s="26"/>
      <c r="V953" s="26"/>
      <c r="W953" s="26"/>
      <c r="X953" s="26"/>
      <c r="Y953" s="26"/>
      <c r="Z953" s="26"/>
      <c r="AA953" s="26"/>
      <c r="AB953" s="26"/>
    </row>
    <row r="954" ht="17.25" customHeight="1">
      <c r="A954" s="25" t="s">
        <v>1333</v>
      </c>
      <c r="B954" s="25" t="s">
        <v>1333</v>
      </c>
      <c r="C954" s="25" t="s">
        <v>1333</v>
      </c>
      <c r="D954" s="25"/>
      <c r="F954" s="26"/>
      <c r="U954" s="26"/>
      <c r="V954" s="26"/>
      <c r="W954" s="26"/>
      <c r="X954" s="26"/>
      <c r="Y954" s="26"/>
      <c r="Z954" s="26"/>
      <c r="AA954" s="26"/>
      <c r="AB954" s="26"/>
    </row>
    <row r="955" ht="17.25" customHeight="1">
      <c r="A955" s="25" t="s">
        <v>1333</v>
      </c>
      <c r="B955" s="25" t="s">
        <v>1333</v>
      </c>
      <c r="C955" s="25" t="s">
        <v>1333</v>
      </c>
      <c r="D955" s="25"/>
      <c r="F955" s="26"/>
      <c r="U955" s="26"/>
      <c r="V955" s="26"/>
      <c r="W955" s="26"/>
      <c r="X955" s="26"/>
      <c r="Y955" s="26"/>
      <c r="Z955" s="26"/>
      <c r="AA955" s="26"/>
      <c r="AB955" s="26"/>
    </row>
    <row r="956" ht="17.25" customHeight="1">
      <c r="A956" s="25" t="s">
        <v>1333</v>
      </c>
      <c r="B956" s="25" t="s">
        <v>1333</v>
      </c>
      <c r="C956" s="25" t="s">
        <v>1333</v>
      </c>
      <c r="D956" s="25"/>
      <c r="F956" s="26"/>
      <c r="U956" s="26"/>
      <c r="V956" s="26"/>
      <c r="W956" s="26"/>
      <c r="X956" s="26"/>
      <c r="Y956" s="26"/>
      <c r="Z956" s="26"/>
      <c r="AA956" s="26"/>
      <c r="AB956" s="26"/>
    </row>
    <row r="957" ht="17.25" customHeight="1">
      <c r="A957" s="25" t="s">
        <v>1333</v>
      </c>
      <c r="B957" s="25" t="s">
        <v>1333</v>
      </c>
      <c r="C957" s="25" t="s">
        <v>1333</v>
      </c>
      <c r="D957" s="25"/>
      <c r="F957" s="26"/>
      <c r="U957" s="26"/>
      <c r="V957" s="26"/>
      <c r="W957" s="26"/>
      <c r="X957" s="26"/>
      <c r="Y957" s="26"/>
      <c r="Z957" s="26"/>
      <c r="AA957" s="26"/>
      <c r="AB957" s="26"/>
    </row>
    <row r="958" ht="17.25" customHeight="1">
      <c r="A958" s="25" t="s">
        <v>1333</v>
      </c>
      <c r="B958" s="25" t="s">
        <v>1333</v>
      </c>
      <c r="C958" s="25" t="s">
        <v>1333</v>
      </c>
      <c r="D958" s="25"/>
      <c r="F958" s="26"/>
      <c r="U958" s="26"/>
      <c r="V958" s="26"/>
      <c r="W958" s="26"/>
      <c r="X958" s="26"/>
      <c r="Y958" s="26"/>
      <c r="Z958" s="26"/>
      <c r="AA958" s="26"/>
      <c r="AB958" s="26"/>
    </row>
    <row r="959" ht="17.25" customHeight="1">
      <c r="A959" s="25" t="s">
        <v>1333</v>
      </c>
      <c r="B959" s="25" t="s">
        <v>1333</v>
      </c>
      <c r="C959" s="25" t="s">
        <v>1333</v>
      </c>
      <c r="D959" s="25"/>
      <c r="F959" s="26"/>
      <c r="U959" s="26"/>
      <c r="V959" s="26"/>
      <c r="W959" s="26"/>
      <c r="X959" s="26"/>
      <c r="Y959" s="26"/>
      <c r="Z959" s="26"/>
      <c r="AA959" s="26"/>
      <c r="AB959" s="26"/>
    </row>
    <row r="960" ht="17.25" customHeight="1">
      <c r="A960" s="25" t="s">
        <v>1333</v>
      </c>
      <c r="B960" s="25" t="s">
        <v>1333</v>
      </c>
      <c r="C960" s="25" t="s">
        <v>1333</v>
      </c>
      <c r="D960" s="25"/>
      <c r="F960" s="26"/>
      <c r="U960" s="26"/>
      <c r="V960" s="26"/>
      <c r="W960" s="26"/>
      <c r="X960" s="26"/>
      <c r="Y960" s="26"/>
      <c r="Z960" s="26"/>
      <c r="AA960" s="26"/>
      <c r="AB960" s="26"/>
    </row>
    <row r="961" ht="17.25" customHeight="1">
      <c r="A961" s="25" t="s">
        <v>1333</v>
      </c>
      <c r="B961" s="25" t="s">
        <v>1333</v>
      </c>
      <c r="C961" s="25" t="s">
        <v>1333</v>
      </c>
      <c r="D961" s="25"/>
      <c r="F961" s="26"/>
      <c r="U961" s="26"/>
      <c r="V961" s="26"/>
      <c r="W961" s="26"/>
      <c r="X961" s="26"/>
      <c r="Y961" s="26"/>
      <c r="Z961" s="26"/>
      <c r="AA961" s="26"/>
      <c r="AB961" s="26"/>
    </row>
    <row r="962" ht="17.25" customHeight="1">
      <c r="A962" s="25" t="s">
        <v>1333</v>
      </c>
      <c r="B962" s="25" t="s">
        <v>1333</v>
      </c>
      <c r="C962" s="25" t="s">
        <v>1333</v>
      </c>
      <c r="D962" s="25"/>
      <c r="F962" s="26"/>
      <c r="U962" s="26"/>
      <c r="V962" s="26"/>
      <c r="W962" s="26"/>
      <c r="X962" s="26"/>
      <c r="Y962" s="26"/>
      <c r="Z962" s="26"/>
      <c r="AA962" s="26"/>
      <c r="AB962" s="26"/>
    </row>
    <row r="963" ht="17.25" customHeight="1">
      <c r="A963" s="25" t="s">
        <v>1333</v>
      </c>
      <c r="B963" s="25" t="s">
        <v>1333</v>
      </c>
      <c r="C963" s="25" t="s">
        <v>1333</v>
      </c>
      <c r="D963" s="25"/>
      <c r="F963" s="26"/>
      <c r="U963" s="26"/>
      <c r="V963" s="26"/>
      <c r="W963" s="26"/>
      <c r="X963" s="26"/>
      <c r="Y963" s="26"/>
      <c r="Z963" s="26"/>
      <c r="AA963" s="26"/>
      <c r="AB963" s="26"/>
    </row>
    <row r="964" ht="17.25" customHeight="1">
      <c r="A964" s="25" t="s">
        <v>1333</v>
      </c>
      <c r="B964" s="25" t="s">
        <v>1333</v>
      </c>
      <c r="C964" s="25" t="s">
        <v>1333</v>
      </c>
      <c r="D964" s="25"/>
      <c r="F964" s="26"/>
      <c r="U964" s="26"/>
      <c r="V964" s="26"/>
      <c r="W964" s="26"/>
      <c r="X964" s="26"/>
      <c r="Y964" s="26"/>
      <c r="Z964" s="26"/>
      <c r="AA964" s="26"/>
      <c r="AB964" s="26"/>
    </row>
    <row r="965" ht="17.25" customHeight="1">
      <c r="A965" s="25" t="s">
        <v>1333</v>
      </c>
      <c r="B965" s="25" t="s">
        <v>1333</v>
      </c>
      <c r="C965" s="25" t="s">
        <v>1333</v>
      </c>
      <c r="D965" s="25"/>
      <c r="F965" s="26"/>
      <c r="U965" s="26"/>
      <c r="V965" s="26"/>
      <c r="W965" s="26"/>
      <c r="X965" s="26"/>
      <c r="Y965" s="26"/>
      <c r="Z965" s="26"/>
      <c r="AA965" s="26"/>
      <c r="AB965" s="26"/>
    </row>
    <row r="966" ht="17.25" customHeight="1">
      <c r="A966" s="25" t="s">
        <v>1333</v>
      </c>
      <c r="B966" s="25" t="s">
        <v>1333</v>
      </c>
      <c r="C966" s="25" t="s">
        <v>1333</v>
      </c>
      <c r="D966" s="25"/>
      <c r="F966" s="26"/>
      <c r="U966" s="26"/>
      <c r="V966" s="26"/>
      <c r="W966" s="26"/>
      <c r="X966" s="26"/>
      <c r="Y966" s="26"/>
      <c r="Z966" s="26"/>
      <c r="AA966" s="26"/>
      <c r="AB966" s="26"/>
    </row>
    <row r="967" ht="17.25" customHeight="1">
      <c r="A967" s="25" t="s">
        <v>1333</v>
      </c>
      <c r="B967" s="25" t="s">
        <v>1333</v>
      </c>
      <c r="C967" s="25" t="s">
        <v>1333</v>
      </c>
      <c r="D967" s="25"/>
      <c r="F967" s="26"/>
      <c r="U967" s="26"/>
      <c r="V967" s="26"/>
      <c r="W967" s="26"/>
      <c r="X967" s="26"/>
      <c r="Y967" s="26"/>
      <c r="Z967" s="26"/>
      <c r="AA967" s="26"/>
      <c r="AB967" s="26"/>
    </row>
    <row r="968" ht="17.25" customHeight="1">
      <c r="A968" s="25" t="s">
        <v>1333</v>
      </c>
      <c r="B968" s="25" t="s">
        <v>1333</v>
      </c>
      <c r="C968" s="25" t="s">
        <v>1333</v>
      </c>
      <c r="D968" s="25"/>
      <c r="F968" s="26"/>
      <c r="U968" s="26"/>
      <c r="V968" s="26"/>
      <c r="W968" s="26"/>
      <c r="X968" s="26"/>
      <c r="Y968" s="26"/>
      <c r="Z968" s="26"/>
      <c r="AA968" s="26"/>
      <c r="AB968" s="26"/>
    </row>
    <row r="969" ht="17.25" customHeight="1">
      <c r="A969" s="25" t="s">
        <v>1333</v>
      </c>
      <c r="B969" s="25" t="s">
        <v>1333</v>
      </c>
      <c r="C969" s="25" t="s">
        <v>1333</v>
      </c>
      <c r="D969" s="25"/>
      <c r="F969" s="26"/>
      <c r="U969" s="26"/>
      <c r="V969" s="26"/>
      <c r="W969" s="26"/>
      <c r="X969" s="26"/>
      <c r="Y969" s="26"/>
      <c r="Z969" s="26"/>
      <c r="AA969" s="26"/>
      <c r="AB969" s="26"/>
    </row>
    <row r="970" ht="17.25" customHeight="1">
      <c r="A970" s="25" t="s">
        <v>1333</v>
      </c>
      <c r="B970" s="25" t="s">
        <v>1333</v>
      </c>
      <c r="C970" s="25" t="s">
        <v>1333</v>
      </c>
      <c r="D970" s="25"/>
      <c r="F970" s="26"/>
      <c r="U970" s="26"/>
      <c r="V970" s="26"/>
      <c r="W970" s="26"/>
      <c r="X970" s="26"/>
      <c r="Y970" s="26"/>
      <c r="Z970" s="26"/>
      <c r="AA970" s="26"/>
      <c r="AB970" s="26"/>
    </row>
    <row r="971" ht="17.25" customHeight="1">
      <c r="A971" s="25" t="s">
        <v>1333</v>
      </c>
      <c r="B971" s="25" t="s">
        <v>1333</v>
      </c>
      <c r="C971" s="25" t="s">
        <v>1333</v>
      </c>
      <c r="D971" s="25"/>
      <c r="F971" s="26"/>
      <c r="U971" s="26"/>
      <c r="V971" s="26"/>
      <c r="W971" s="26"/>
      <c r="X971" s="26"/>
      <c r="Y971" s="26"/>
      <c r="Z971" s="26"/>
      <c r="AA971" s="26"/>
      <c r="AB971" s="26"/>
    </row>
    <row r="972" ht="17.25" customHeight="1">
      <c r="A972" s="25" t="s">
        <v>1333</v>
      </c>
      <c r="B972" s="25" t="s">
        <v>1333</v>
      </c>
      <c r="C972" s="25" t="s">
        <v>1333</v>
      </c>
      <c r="D972" s="25"/>
      <c r="F972" s="26"/>
      <c r="U972" s="26"/>
      <c r="V972" s="26"/>
      <c r="W972" s="26"/>
      <c r="X972" s="26"/>
      <c r="Y972" s="26"/>
      <c r="Z972" s="26"/>
      <c r="AA972" s="26"/>
      <c r="AB972" s="26"/>
    </row>
    <row r="973" ht="17.25" customHeight="1">
      <c r="A973" s="25" t="s">
        <v>1333</v>
      </c>
      <c r="B973" s="25" t="s">
        <v>1333</v>
      </c>
      <c r="C973" s="25" t="s">
        <v>1333</v>
      </c>
      <c r="D973" s="25"/>
      <c r="F973" s="26"/>
      <c r="U973" s="26"/>
      <c r="V973" s="26"/>
      <c r="W973" s="26"/>
      <c r="X973" s="26"/>
      <c r="Y973" s="26"/>
      <c r="Z973" s="26"/>
      <c r="AA973" s="26"/>
      <c r="AB973" s="26"/>
    </row>
    <row r="974" ht="17.25" customHeight="1">
      <c r="A974" s="25" t="s">
        <v>1333</v>
      </c>
      <c r="B974" s="25" t="s">
        <v>1333</v>
      </c>
      <c r="C974" s="25" t="s">
        <v>1333</v>
      </c>
      <c r="D974" s="25"/>
      <c r="F974" s="26"/>
      <c r="U974" s="26"/>
      <c r="V974" s="26"/>
      <c r="W974" s="26"/>
      <c r="X974" s="26"/>
      <c r="Y974" s="26"/>
      <c r="Z974" s="26"/>
      <c r="AA974" s="26"/>
      <c r="AB974" s="26"/>
    </row>
    <row r="975" ht="17.25" customHeight="1">
      <c r="A975" s="25" t="s">
        <v>1333</v>
      </c>
      <c r="B975" s="25" t="s">
        <v>1333</v>
      </c>
      <c r="C975" s="25" t="s">
        <v>1333</v>
      </c>
      <c r="D975" s="25"/>
      <c r="F975" s="26"/>
      <c r="U975" s="26"/>
      <c r="V975" s="26"/>
      <c r="W975" s="26"/>
      <c r="X975" s="26"/>
      <c r="Y975" s="26"/>
      <c r="Z975" s="26"/>
      <c r="AA975" s="26"/>
      <c r="AB975" s="26"/>
    </row>
    <row r="976" ht="17.25" customHeight="1">
      <c r="A976" s="25" t="s">
        <v>1333</v>
      </c>
      <c r="B976" s="25" t="s">
        <v>1333</v>
      </c>
      <c r="C976" s="25" t="s">
        <v>1333</v>
      </c>
      <c r="D976" s="25"/>
      <c r="F976" s="26"/>
      <c r="U976" s="26"/>
      <c r="V976" s="26"/>
      <c r="W976" s="26"/>
      <c r="X976" s="26"/>
      <c r="Y976" s="26"/>
      <c r="Z976" s="26"/>
      <c r="AA976" s="26"/>
      <c r="AB976" s="26"/>
    </row>
    <row r="977" ht="17.25" customHeight="1">
      <c r="A977" s="25" t="s">
        <v>1333</v>
      </c>
      <c r="B977" s="25" t="s">
        <v>1333</v>
      </c>
      <c r="C977" s="25" t="s">
        <v>1333</v>
      </c>
      <c r="D977" s="25"/>
      <c r="F977" s="26"/>
      <c r="U977" s="26"/>
      <c r="V977" s="26"/>
      <c r="W977" s="26"/>
      <c r="X977" s="26"/>
      <c r="Y977" s="26"/>
      <c r="Z977" s="26"/>
      <c r="AA977" s="26"/>
      <c r="AB977" s="26"/>
    </row>
    <row r="978" ht="17.25" customHeight="1">
      <c r="A978" s="25" t="s">
        <v>1333</v>
      </c>
      <c r="B978" s="25" t="s">
        <v>1333</v>
      </c>
      <c r="C978" s="25" t="s">
        <v>1333</v>
      </c>
      <c r="D978" s="25"/>
      <c r="F978" s="26"/>
      <c r="U978" s="26"/>
      <c r="V978" s="26"/>
      <c r="W978" s="26"/>
      <c r="X978" s="26"/>
      <c r="Y978" s="26"/>
      <c r="Z978" s="26"/>
      <c r="AA978" s="26"/>
      <c r="AB978" s="26"/>
    </row>
    <row r="979" ht="17.25" customHeight="1">
      <c r="A979" s="25" t="s">
        <v>1333</v>
      </c>
      <c r="B979" s="25" t="s">
        <v>1333</v>
      </c>
      <c r="C979" s="25" t="s">
        <v>1333</v>
      </c>
      <c r="D979" s="25"/>
      <c r="F979" s="26"/>
      <c r="U979" s="26"/>
      <c r="V979" s="26"/>
      <c r="W979" s="26"/>
      <c r="X979" s="26"/>
      <c r="Y979" s="26"/>
      <c r="Z979" s="26"/>
      <c r="AA979" s="26"/>
      <c r="AB979" s="26"/>
    </row>
    <row r="980" ht="17.25" customHeight="1">
      <c r="A980" s="25" t="s">
        <v>1333</v>
      </c>
      <c r="B980" s="25" t="s">
        <v>1333</v>
      </c>
      <c r="C980" s="25" t="s">
        <v>1333</v>
      </c>
      <c r="D980" s="25"/>
      <c r="F980" s="26"/>
      <c r="U980" s="26"/>
      <c r="V980" s="26"/>
      <c r="W980" s="26"/>
      <c r="X980" s="26"/>
      <c r="Y980" s="26"/>
      <c r="Z980" s="26"/>
      <c r="AA980" s="26"/>
      <c r="AB980" s="26"/>
    </row>
    <row r="981" ht="17.25" customHeight="1">
      <c r="A981" s="25" t="s">
        <v>1333</v>
      </c>
      <c r="B981" s="25" t="s">
        <v>1333</v>
      </c>
      <c r="C981" s="25" t="s">
        <v>1333</v>
      </c>
      <c r="D981" s="25"/>
      <c r="F981" s="26"/>
      <c r="U981" s="26"/>
      <c r="V981" s="26"/>
      <c r="W981" s="26"/>
      <c r="X981" s="26"/>
      <c r="Y981" s="26"/>
      <c r="Z981" s="26"/>
      <c r="AA981" s="26"/>
      <c r="AB981" s="26"/>
    </row>
    <row r="982" ht="17.25" customHeight="1">
      <c r="A982" s="25" t="s">
        <v>1333</v>
      </c>
      <c r="B982" s="25" t="s">
        <v>1333</v>
      </c>
      <c r="C982" s="25" t="s">
        <v>1333</v>
      </c>
      <c r="D982" s="25"/>
      <c r="F982" s="26"/>
      <c r="U982" s="26"/>
      <c r="V982" s="26"/>
      <c r="W982" s="26"/>
      <c r="X982" s="26"/>
      <c r="Y982" s="26"/>
      <c r="Z982" s="26"/>
      <c r="AA982" s="26"/>
      <c r="AB982" s="26"/>
    </row>
    <row r="983" ht="17.25" customHeight="1">
      <c r="A983" s="25" t="s">
        <v>1333</v>
      </c>
      <c r="B983" s="25" t="s">
        <v>1333</v>
      </c>
      <c r="C983" s="25" t="s">
        <v>1333</v>
      </c>
      <c r="D983" s="25"/>
      <c r="F983" s="26"/>
      <c r="U983" s="26"/>
      <c r="V983" s="26"/>
      <c r="W983" s="26"/>
      <c r="X983" s="26"/>
      <c r="Y983" s="26"/>
      <c r="Z983" s="26"/>
      <c r="AA983" s="26"/>
      <c r="AB983" s="26"/>
    </row>
    <row r="984" ht="17.25" customHeight="1">
      <c r="A984" s="25" t="s">
        <v>1333</v>
      </c>
      <c r="B984" s="25" t="s">
        <v>1333</v>
      </c>
      <c r="C984" s="25" t="s">
        <v>1333</v>
      </c>
      <c r="D984" s="25"/>
      <c r="F984" s="26"/>
      <c r="U984" s="26"/>
      <c r="V984" s="26"/>
      <c r="W984" s="26"/>
      <c r="X984" s="26"/>
      <c r="Y984" s="26"/>
      <c r="Z984" s="26"/>
      <c r="AA984" s="26"/>
      <c r="AB984" s="26"/>
    </row>
    <row r="985" ht="17.25" customHeight="1">
      <c r="A985" s="25" t="s">
        <v>1333</v>
      </c>
      <c r="B985" s="25" t="s">
        <v>1333</v>
      </c>
      <c r="C985" s="25" t="s">
        <v>1333</v>
      </c>
      <c r="D985" s="25"/>
      <c r="F985" s="26"/>
      <c r="U985" s="26"/>
      <c r="V985" s="26"/>
      <c r="W985" s="26"/>
      <c r="X985" s="26"/>
      <c r="Y985" s="26"/>
      <c r="Z985" s="26"/>
      <c r="AA985" s="26"/>
      <c r="AB985" s="26"/>
    </row>
    <row r="986" ht="17.25" customHeight="1">
      <c r="A986" s="25" t="s">
        <v>1333</v>
      </c>
      <c r="B986" s="25" t="s">
        <v>1333</v>
      </c>
      <c r="C986" s="25" t="s">
        <v>1333</v>
      </c>
      <c r="D986" s="25"/>
      <c r="F986" s="26"/>
      <c r="U986" s="26"/>
      <c r="V986" s="26"/>
      <c r="W986" s="26"/>
      <c r="X986" s="26"/>
      <c r="Y986" s="26"/>
      <c r="Z986" s="26"/>
      <c r="AA986" s="26"/>
      <c r="AB986" s="26"/>
    </row>
    <row r="987" ht="17.25" customHeight="1">
      <c r="A987" s="25" t="s">
        <v>1333</v>
      </c>
      <c r="B987" s="25" t="s">
        <v>1333</v>
      </c>
      <c r="C987" s="25" t="s">
        <v>1333</v>
      </c>
      <c r="D987" s="25"/>
      <c r="F987" s="26"/>
      <c r="U987" s="26"/>
      <c r="V987" s="26"/>
      <c r="W987" s="26"/>
      <c r="X987" s="26"/>
      <c r="Y987" s="26"/>
      <c r="Z987" s="26"/>
      <c r="AA987" s="26"/>
      <c r="AB987" s="26"/>
    </row>
    <row r="988" ht="17.25" customHeight="1">
      <c r="A988" s="25" t="s">
        <v>1333</v>
      </c>
      <c r="B988" s="25" t="s">
        <v>1333</v>
      </c>
      <c r="C988" s="25" t="s">
        <v>1333</v>
      </c>
      <c r="D988" s="25"/>
      <c r="F988" s="26"/>
      <c r="U988" s="26"/>
      <c r="V988" s="26"/>
      <c r="W988" s="26"/>
      <c r="X988" s="26"/>
      <c r="Y988" s="26"/>
      <c r="Z988" s="26"/>
      <c r="AA988" s="26"/>
      <c r="AB988" s="26"/>
    </row>
    <row r="989" ht="17.25" customHeight="1">
      <c r="A989" s="25" t="s">
        <v>1333</v>
      </c>
      <c r="B989" s="25" t="s">
        <v>1333</v>
      </c>
      <c r="C989" s="25" t="s">
        <v>1333</v>
      </c>
      <c r="D989" s="25"/>
      <c r="F989" s="26"/>
      <c r="U989" s="26"/>
      <c r="V989" s="26"/>
      <c r="W989" s="26"/>
      <c r="X989" s="26"/>
      <c r="Y989" s="26"/>
      <c r="Z989" s="26"/>
      <c r="AA989" s="26"/>
      <c r="AB989" s="26"/>
    </row>
    <row r="990" ht="17.25" customHeight="1">
      <c r="A990" s="25" t="s">
        <v>1333</v>
      </c>
      <c r="B990" s="25" t="s">
        <v>1333</v>
      </c>
      <c r="C990" s="25" t="s">
        <v>1333</v>
      </c>
      <c r="D990" s="25"/>
      <c r="F990" s="26"/>
      <c r="U990" s="26"/>
      <c r="V990" s="26"/>
      <c r="W990" s="26"/>
      <c r="X990" s="26"/>
      <c r="Y990" s="26"/>
      <c r="Z990" s="26"/>
      <c r="AA990" s="26"/>
      <c r="AB990" s="26"/>
    </row>
    <row r="991" ht="17.25" customHeight="1">
      <c r="A991" s="25" t="s">
        <v>1333</v>
      </c>
      <c r="B991" s="25" t="s">
        <v>1333</v>
      </c>
      <c r="C991" s="25" t="s">
        <v>1333</v>
      </c>
      <c r="D991" s="25"/>
      <c r="F991" s="26"/>
      <c r="U991" s="26"/>
      <c r="V991" s="26"/>
      <c r="W991" s="26"/>
      <c r="X991" s="26"/>
      <c r="Y991" s="26"/>
      <c r="Z991" s="26"/>
      <c r="AA991" s="26"/>
      <c r="AB991" s="26"/>
    </row>
    <row r="992" ht="17.25" customHeight="1">
      <c r="A992" s="25" t="s">
        <v>1333</v>
      </c>
      <c r="B992" s="25" t="s">
        <v>1333</v>
      </c>
      <c r="C992" s="25" t="s">
        <v>1333</v>
      </c>
      <c r="D992" s="25"/>
      <c r="F992" s="26"/>
      <c r="U992" s="26"/>
      <c r="V992" s="26"/>
      <c r="W992" s="26"/>
      <c r="X992" s="26"/>
      <c r="Y992" s="26"/>
      <c r="Z992" s="26"/>
      <c r="AA992" s="26"/>
      <c r="AB992" s="26"/>
    </row>
    <row r="993" ht="17.25" customHeight="1">
      <c r="A993" s="25" t="s">
        <v>1333</v>
      </c>
      <c r="B993" s="25" t="s">
        <v>1333</v>
      </c>
      <c r="C993" s="25" t="s">
        <v>1333</v>
      </c>
      <c r="D993" s="25"/>
      <c r="F993" s="26"/>
      <c r="U993" s="26"/>
      <c r="V993" s="26"/>
      <c r="W993" s="26"/>
      <c r="X993" s="26"/>
      <c r="Y993" s="26"/>
      <c r="Z993" s="26"/>
      <c r="AA993" s="26"/>
      <c r="AB993" s="26"/>
    </row>
    <row r="994" ht="17.25" customHeight="1">
      <c r="A994" s="25" t="s">
        <v>1333</v>
      </c>
      <c r="B994" s="25" t="s">
        <v>1333</v>
      </c>
      <c r="C994" s="25" t="s">
        <v>1333</v>
      </c>
      <c r="D994" s="25"/>
      <c r="F994" s="26"/>
      <c r="U994" s="26"/>
      <c r="V994" s="26"/>
      <c r="W994" s="26"/>
      <c r="X994" s="26"/>
      <c r="Y994" s="26"/>
      <c r="Z994" s="26"/>
      <c r="AA994" s="26"/>
      <c r="AB994" s="26"/>
    </row>
    <row r="995" ht="17.25" customHeight="1">
      <c r="A995" s="25" t="s">
        <v>1333</v>
      </c>
      <c r="B995" s="25" t="s">
        <v>1333</v>
      </c>
      <c r="C995" s="25" t="s">
        <v>1333</v>
      </c>
      <c r="D995" s="25"/>
      <c r="F995" s="26"/>
      <c r="U995" s="26"/>
      <c r="V995" s="26"/>
      <c r="W995" s="26"/>
      <c r="X995" s="26"/>
      <c r="Y995" s="26"/>
      <c r="Z995" s="26"/>
      <c r="AA995" s="26"/>
      <c r="AB995" s="26"/>
    </row>
    <row r="996" ht="17.25" customHeight="1">
      <c r="A996" s="25" t="s">
        <v>1333</v>
      </c>
      <c r="B996" s="25" t="s">
        <v>1333</v>
      </c>
      <c r="C996" s="25" t="s">
        <v>1333</v>
      </c>
      <c r="D996" s="25"/>
      <c r="F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</row>
    <row r="997" ht="17.25" customHeight="1">
      <c r="A997" s="25" t="s">
        <v>1333</v>
      </c>
      <c r="B997" s="25" t="s">
        <v>1333</v>
      </c>
      <c r="C997" s="25" t="s">
        <v>1333</v>
      </c>
      <c r="D997" s="25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</row>
    <row r="998" ht="17.25" customHeight="1">
      <c r="A998" s="25" t="s">
        <v>1333</v>
      </c>
      <c r="B998" s="25" t="s">
        <v>1333</v>
      </c>
      <c r="C998" s="25" t="s">
        <v>1333</v>
      </c>
      <c r="D998" s="25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</row>
    <row r="999" ht="17.25" customHeight="1"/>
    <row r="1000" ht="17.25" customHeight="1"/>
    <row r="1001" ht="17.25" customHeight="1"/>
    <row r="1002" ht="17.25" customHeight="1"/>
    <row r="1003" ht="17.25" customHeight="1"/>
    <row r="1004" ht="17.25" customHeight="1"/>
    <row r="1005" ht="17.25" customHeight="1"/>
    <row r="1006" ht="17.25" customHeight="1"/>
    <row r="1007" ht="17.25" customHeight="1"/>
    <row r="1008" ht="17.25" customHeight="1"/>
    <row r="1009" ht="17.25" customHeight="1"/>
    <row r="1010" ht="17.25" customHeight="1"/>
    <row r="1011" ht="17.25" customHeight="1"/>
    <row r="1012" ht="17.25" customHeight="1"/>
    <row r="1013" ht="17.25" customHeight="1"/>
    <row r="1014" ht="17.25" customHeight="1"/>
    <row r="1015" ht="17.25" customHeight="1"/>
    <row r="1016" ht="17.25" customHeight="1"/>
    <row r="1017" ht="17.25" customHeight="1"/>
    <row r="1018" ht="17.25" customHeight="1"/>
    <row r="1019" ht="17.25" customHeight="1"/>
    <row r="1020" ht="17.25" customHeight="1"/>
    <row r="1021" ht="17.25" customHeight="1"/>
    <row r="1022" ht="17.25" customHeight="1"/>
    <row r="1023" ht="17.25" customHeight="1"/>
    <row r="1024" ht="17.25" customHeight="1"/>
    <row r="1025" ht="17.25" customHeight="1"/>
    <row r="1026" ht="17.25" customHeight="1"/>
    <row r="1027" ht="17.25" customHeight="1"/>
    <row r="1028" ht="17.25" customHeight="1"/>
    <row r="1029" ht="17.25" customHeight="1"/>
    <row r="1030" ht="17.25" customHeight="1"/>
    <row r="1031" ht="17.25" customHeight="1"/>
    <row r="1032" ht="17.25" customHeight="1"/>
    <row r="1033" ht="17.25" customHeight="1"/>
    <row r="1034" ht="17.25" customHeight="1"/>
    <row r="1035" ht="17.25" customHeight="1"/>
    <row r="1036" ht="17.25" customHeight="1"/>
    <row r="1037" ht="17.25" customHeight="1"/>
    <row r="1038" ht="17.25" customHeight="1"/>
    <row r="1039" ht="17.25" customHeight="1"/>
    <row r="1040" ht="17.25" customHeight="1"/>
    <row r="1041" ht="17.25" customHeight="1"/>
    <row r="1042" ht="17.25" customHeight="1"/>
    <row r="1043" ht="17.25" customHeight="1"/>
    <row r="1044" ht="17.25" customHeight="1"/>
    <row r="1045" ht="17.25" customHeight="1"/>
    <row r="1046" ht="17.25" customHeight="1"/>
    <row r="1047" ht="17.25" customHeight="1"/>
    <row r="1048" ht="17.25" customHeight="1"/>
    <row r="1049" ht="17.25" customHeight="1"/>
    <row r="1050" ht="17.25" customHeight="1"/>
    <row r="1051" ht="17.25" customHeight="1"/>
    <row r="1052" ht="17.25" customHeight="1"/>
    <row r="1053" ht="17.25" customHeight="1"/>
    <row r="1054" ht="17.25" customHeight="1"/>
    <row r="1055" ht="17.25" customHeight="1"/>
    <row r="1056" ht="17.25" customHeight="1"/>
    <row r="1057" ht="17.25" customHeight="1"/>
    <row r="1058" ht="17.25" customHeight="1"/>
    <row r="1059" ht="17.25" customHeight="1"/>
    <row r="1060" ht="17.25" customHeight="1"/>
    <row r="1061" ht="17.25" customHeight="1"/>
    <row r="1062" ht="17.25" customHeight="1"/>
    <row r="1063" ht="17.25" customHeight="1"/>
    <row r="1064" ht="17.25" customHeight="1"/>
    <row r="1065" ht="17.25" customHeight="1"/>
    <row r="1066" ht="17.25" customHeight="1"/>
    <row r="1067" ht="17.25" customHeight="1"/>
    <row r="1068" ht="17.25" customHeight="1"/>
    <row r="1069" ht="17.25" customHeight="1"/>
    <row r="1070" ht="17.25" customHeight="1"/>
    <row r="1071" ht="17.25" customHeight="1"/>
    <row r="1072" ht="17.25" customHeight="1"/>
    <row r="1073" ht="17.25" customHeight="1"/>
    <row r="1074" ht="17.25" customHeight="1"/>
    <row r="1075" ht="17.25" customHeight="1"/>
    <row r="1076" ht="17.25" customHeight="1"/>
    <row r="1077" ht="17.25" customHeight="1"/>
    <row r="1078" ht="17.25" customHeight="1"/>
    <row r="1079" ht="17.25" customHeight="1"/>
    <row r="1080" ht="17.25" customHeight="1"/>
    <row r="1081" ht="17.25" customHeight="1"/>
    <row r="1082" ht="17.25" customHeight="1"/>
    <row r="1083" ht="17.25" customHeight="1"/>
    <row r="1084" ht="17.25" customHeight="1"/>
    <row r="1085" ht="17.25" customHeight="1"/>
    <row r="1086" ht="17.25" customHeight="1"/>
    <row r="1087" ht="17.25" customHeight="1"/>
    <row r="1088" ht="17.25" customHeight="1"/>
    <row r="1089" ht="17.25" customHeight="1"/>
    <row r="1090" ht="17.25" customHeight="1"/>
    <row r="1091" ht="17.25" customHeight="1"/>
    <row r="1092" ht="17.25" customHeight="1"/>
    <row r="1093" ht="17.25" customHeight="1"/>
    <row r="1094" ht="17.25" customHeight="1"/>
    <row r="1095" ht="17.25" customHeight="1"/>
    <row r="1096" ht="17.25" customHeight="1"/>
    <row r="1097" ht="17.25" customHeight="1"/>
    <row r="1098" ht="17.25" customHeight="1"/>
    <row r="1099" ht="17.25" customHeight="1"/>
    <row r="1100" ht="17.25" customHeight="1"/>
    <row r="1101" ht="17.25" customHeight="1"/>
    <row r="1102" ht="17.25" customHeight="1"/>
    <row r="1103" ht="17.25" customHeight="1"/>
    <row r="1104" ht="17.25" customHeight="1"/>
    <row r="1105" ht="17.25" customHeight="1"/>
    <row r="1106" ht="17.25" customHeight="1"/>
    <row r="1107" ht="17.25" customHeight="1"/>
    <row r="1108" ht="17.25" customHeight="1"/>
    <row r="1109" ht="17.25" customHeight="1"/>
    <row r="1110" ht="17.25" customHeight="1"/>
    <row r="1111" ht="17.25" customHeight="1"/>
    <row r="1112" ht="17.25" customHeight="1"/>
    <row r="1113" ht="17.25" customHeight="1"/>
    <row r="1114" ht="17.25" customHeight="1"/>
    <row r="1115" ht="17.25" customHeight="1"/>
    <row r="1116" ht="17.25" customHeight="1"/>
    <row r="1117" ht="17.25" customHeight="1"/>
    <row r="1118" ht="17.25" customHeight="1"/>
    <row r="1119" ht="17.25" customHeight="1"/>
    <row r="1120" ht="17.25" customHeight="1"/>
    <row r="1121" ht="17.25" customHeight="1"/>
    <row r="1122" ht="17.25" customHeight="1"/>
    <row r="1123" ht="17.25" customHeight="1"/>
    <row r="1124" ht="17.25" customHeight="1"/>
    <row r="1125" ht="17.25" customHeight="1"/>
    <row r="1126" ht="17.25" customHeight="1"/>
    <row r="1127" ht="17.25" customHeight="1"/>
    <row r="1128" ht="17.25" customHeight="1"/>
    <row r="1129" ht="17.25" customHeight="1"/>
    <row r="1130" ht="17.25" customHeight="1"/>
    <row r="1131" ht="17.25" customHeight="1"/>
    <row r="1132" ht="17.25" customHeight="1"/>
    <row r="1133" ht="17.25" customHeight="1"/>
    <row r="1134" ht="17.25" customHeight="1"/>
    <row r="1135" ht="17.25" customHeight="1"/>
    <row r="1136" ht="17.25" customHeight="1"/>
    <row r="1137" ht="17.25" customHeight="1"/>
    <row r="1138" ht="17.25" customHeight="1"/>
    <row r="1139" ht="17.25" customHeight="1"/>
    <row r="1140" ht="17.25" customHeight="1"/>
    <row r="1141" ht="17.25" customHeight="1"/>
    <row r="1142" ht="17.25" customHeight="1"/>
    <row r="1143" ht="17.25" customHeight="1"/>
    <row r="1144" ht="17.25" customHeight="1"/>
    <row r="1145" ht="17.25" customHeight="1"/>
    <row r="1146" ht="17.25" customHeight="1"/>
    <row r="1147" ht="17.25" customHeight="1"/>
    <row r="1148" ht="17.25" customHeight="1"/>
    <row r="1149" ht="17.25" customHeight="1"/>
    <row r="1150" ht="17.25" customHeight="1"/>
    <row r="1151" ht="17.25" customHeight="1"/>
    <row r="1152" ht="17.25" customHeight="1"/>
    <row r="1153" ht="17.25" customHeight="1"/>
    <row r="1154" ht="17.25" customHeight="1"/>
    <row r="1155" ht="17.25" customHeight="1"/>
    <row r="1156" ht="17.25" customHeight="1"/>
    <row r="1157" ht="17.25" customHeight="1"/>
    <row r="1158" ht="17.25" customHeight="1"/>
    <row r="1159" ht="17.25" customHeight="1"/>
    <row r="1160" ht="17.25" customHeight="1"/>
    <row r="1161" ht="17.25" customHeight="1"/>
    <row r="1162" ht="17.25" customHeight="1"/>
    <row r="1163" ht="17.25" customHeight="1"/>
    <row r="1164" ht="17.25" customHeight="1"/>
    <row r="1165" ht="17.25" customHeight="1"/>
    <row r="1166" ht="17.25" customHeight="1"/>
    <row r="1167" ht="17.25" customHeight="1"/>
    <row r="1168" ht="17.25" customHeight="1"/>
    <row r="1169" ht="17.25" customHeight="1"/>
    <row r="1170" ht="17.25" customHeight="1"/>
    <row r="1171" ht="17.25" customHeight="1"/>
    <row r="1172" ht="17.25" customHeight="1"/>
    <row r="1173" ht="17.25" customHeight="1"/>
    <row r="1174" ht="17.25" customHeight="1"/>
    <row r="1175" ht="17.25" customHeight="1"/>
    <row r="1176" ht="17.25" customHeight="1"/>
    <row r="1177" ht="17.25" customHeight="1"/>
    <row r="1178" ht="17.25" customHeight="1"/>
    <row r="1179" ht="17.25" customHeight="1"/>
    <row r="1180" ht="17.25" customHeight="1"/>
    <row r="1181" ht="17.25" customHeight="1"/>
    <row r="1182" ht="17.25" customHeight="1"/>
    <row r="1183" ht="17.25" customHeight="1"/>
    <row r="1184" ht="17.25" customHeight="1"/>
    <row r="1185" ht="17.25" customHeight="1"/>
    <row r="1186" ht="17.25" customHeight="1"/>
    <row r="1187" ht="17.25" customHeight="1"/>
    <row r="1188" ht="17.25" customHeight="1"/>
    <row r="1189" ht="17.25" customHeight="1"/>
    <row r="1190" ht="17.25" customHeight="1"/>
    <row r="1191" ht="17.25" customHeight="1"/>
    <row r="1192" ht="17.25" customHeight="1"/>
    <row r="1193" ht="17.25" customHeight="1"/>
    <row r="1194" ht="17.25" customHeight="1"/>
    <row r="1195" ht="17.25" customHeight="1"/>
    <row r="1196" ht="17.25" customHeight="1"/>
    <row r="1197" ht="17.25" customHeight="1"/>
    <row r="1198" ht="17.25" customHeight="1"/>
    <row r="1199" ht="17.25" customHeight="1"/>
    <row r="1200" ht="17.25" customHeight="1"/>
    <row r="1201" ht="17.25" customHeight="1"/>
    <row r="1202" ht="17.25" customHeight="1"/>
    <row r="1203" ht="17.25" customHeight="1"/>
    <row r="1204" ht="17.25" customHeight="1"/>
    <row r="1205" ht="17.25" customHeight="1"/>
    <row r="1206" ht="17.25" customHeight="1"/>
    <row r="1207" ht="17.25" customHeight="1"/>
    <row r="1208" ht="17.25" customHeight="1"/>
    <row r="1209" ht="17.25" customHeight="1"/>
    <row r="1210" ht="17.25" customHeight="1"/>
    <row r="1211" ht="17.25" customHeight="1"/>
    <row r="1212" ht="17.25" customHeight="1"/>
    <row r="1213" ht="17.25" customHeight="1"/>
    <row r="1214" ht="17.25" customHeight="1"/>
    <row r="1215" ht="17.25" customHeight="1"/>
    <row r="1216" ht="17.25" customHeight="1"/>
    <row r="1217" ht="17.25" customHeight="1"/>
    <row r="1218" ht="17.25" customHeight="1"/>
    <row r="1219" ht="17.25" customHeight="1"/>
    <row r="1220" ht="17.25" customHeight="1"/>
    <row r="1221" ht="17.25" customHeight="1"/>
    <row r="1222" ht="17.25" customHeight="1"/>
    <row r="1223" ht="17.25" customHeight="1"/>
    <row r="1224" ht="17.25" customHeight="1"/>
    <row r="1225" ht="17.25" customHeight="1"/>
    <row r="1226" ht="17.25" customHeight="1"/>
    <row r="1227" ht="17.25" customHeight="1"/>
    <row r="1228" ht="17.25" customHeight="1"/>
    <row r="1229" ht="17.25" customHeight="1"/>
    <row r="1230" ht="17.25" customHeight="1"/>
    <row r="1231" ht="17.25" customHeight="1"/>
    <row r="1232" ht="17.25" customHeight="1"/>
    <row r="1233" ht="17.25" customHeight="1"/>
    <row r="1234" ht="17.25" customHeight="1"/>
    <row r="1235" ht="17.25" customHeight="1"/>
    <row r="1236" ht="17.25" customHeight="1"/>
    <row r="1237" ht="17.25" customHeight="1"/>
    <row r="1238" ht="17.25" customHeight="1"/>
    <row r="1239" ht="17.25" customHeight="1"/>
    <row r="1240" ht="17.25" customHeight="1"/>
    <row r="1241" ht="17.25" customHeight="1"/>
    <row r="1242" ht="17.25" customHeight="1"/>
    <row r="1243" ht="17.25" customHeight="1"/>
    <row r="1244" ht="17.25" customHeight="1"/>
    <row r="1245" ht="17.25" customHeight="1"/>
    <row r="1246" ht="17.25" customHeight="1"/>
    <row r="1247" ht="17.25" customHeight="1"/>
    <row r="1248" ht="17.25" customHeight="1"/>
    <row r="1249" ht="17.25" customHeight="1"/>
    <row r="1250" ht="17.25" customHeight="1"/>
    <row r="1251" ht="17.25" customHeight="1"/>
    <row r="1252" ht="17.25" customHeight="1"/>
    <row r="1253" ht="17.25" customHeight="1"/>
    <row r="1254" ht="17.25" customHeight="1"/>
    <row r="1255" ht="17.25" customHeight="1"/>
    <row r="1256" ht="17.25" customHeight="1"/>
    <row r="1257" ht="17.25" customHeight="1"/>
    <row r="1258" ht="17.25" customHeight="1"/>
    <row r="1259" ht="17.25" customHeight="1"/>
    <row r="1260" ht="17.25" customHeight="1"/>
    <row r="1261" ht="17.25" customHeight="1"/>
    <row r="1262" ht="17.25" customHeight="1"/>
    <row r="1263" ht="17.25" customHeight="1"/>
    <row r="1264" ht="17.25" customHeight="1"/>
    <row r="1265" ht="17.25" customHeight="1"/>
    <row r="1266" ht="17.25" customHeight="1"/>
    <row r="1267" ht="17.25" customHeight="1"/>
    <row r="1268" ht="17.25" customHeight="1"/>
    <row r="1269" ht="17.25" customHeight="1"/>
    <row r="1270" ht="17.25" customHeight="1"/>
    <row r="1271" ht="17.25" customHeight="1"/>
    <row r="1272" ht="17.25" customHeight="1"/>
    <row r="1273" ht="17.25" customHeight="1"/>
    <row r="1274" ht="17.25" customHeight="1"/>
    <row r="1275" ht="17.25" customHeight="1"/>
    <row r="1276" ht="17.25" customHeight="1"/>
    <row r="1277" ht="17.25" customHeight="1"/>
    <row r="1278" ht="17.25" customHeight="1"/>
    <row r="1279" ht="17.25" customHeight="1"/>
    <row r="1280" ht="17.25" customHeight="1"/>
    <row r="1281" ht="17.25" customHeight="1"/>
    <row r="1282" ht="17.25" customHeight="1"/>
    <row r="1283" ht="17.25" customHeight="1"/>
    <row r="1284" ht="17.25" customHeight="1"/>
    <row r="1285" ht="17.25" customHeight="1"/>
    <row r="1286" ht="17.25" customHeight="1"/>
    <row r="1287" ht="17.25" customHeight="1"/>
    <row r="1288" ht="17.25" customHeight="1"/>
    <row r="1289" ht="17.25" customHeight="1"/>
    <row r="1290" ht="17.25" customHeight="1"/>
    <row r="1291" ht="17.25" customHeight="1"/>
    <row r="1292" ht="17.25" customHeight="1"/>
    <row r="1293" ht="17.25" customHeight="1"/>
    <row r="1294" ht="17.25" customHeight="1"/>
    <row r="1295" ht="17.25" customHeight="1"/>
    <row r="1296" ht="17.25" customHeight="1"/>
    <row r="1297" ht="17.25" customHeight="1"/>
    <row r="1298" ht="17.25" customHeight="1"/>
    <row r="1299" ht="17.25" customHeight="1"/>
    <row r="1300" ht="17.25" customHeight="1"/>
    <row r="1301" ht="17.25" customHeight="1"/>
    <row r="1302" ht="17.25" customHeight="1"/>
    <row r="1303" ht="17.25" customHeight="1"/>
    <row r="1304" ht="17.25" customHeight="1"/>
    <row r="1305" ht="17.25" customHeight="1"/>
    <row r="1306" ht="17.25" customHeight="1"/>
    <row r="1307" ht="17.25" customHeight="1"/>
    <row r="1308" ht="17.25" customHeight="1"/>
    <row r="1309" ht="17.25" customHeight="1"/>
    <row r="1310" ht="17.25" customHeight="1"/>
    <row r="1311" ht="17.25" customHeight="1"/>
    <row r="1312" ht="17.25" customHeight="1"/>
    <row r="1313" ht="17.25" customHeight="1"/>
    <row r="1314" ht="17.25" customHeight="1"/>
    <row r="1315" ht="17.25" customHeight="1"/>
    <row r="1316" ht="17.25" customHeight="1"/>
    <row r="1317" ht="17.25" customHeight="1"/>
    <row r="1318" ht="17.25" customHeight="1"/>
    <row r="1319" ht="17.25" customHeight="1"/>
    <row r="1320" ht="17.25" customHeight="1"/>
    <row r="1321" ht="17.25" customHeight="1"/>
    <row r="1322" ht="17.25" customHeight="1"/>
    <row r="1323" ht="17.25" customHeight="1"/>
    <row r="1324" ht="17.25" customHeight="1"/>
    <row r="1325" ht="17.25" customHeight="1"/>
    <row r="1326" ht="17.25" customHeight="1"/>
    <row r="1327" ht="17.25" customHeight="1"/>
    <row r="1328" ht="17.25" customHeight="1"/>
    <row r="1329" ht="17.25" customHeight="1"/>
    <row r="1330" ht="17.25" customHeight="1"/>
    <row r="1331" ht="17.25" customHeight="1"/>
    <row r="1332" ht="17.25" customHeight="1"/>
    <row r="1333" ht="17.25" customHeight="1"/>
    <row r="1334" ht="17.25" customHeight="1"/>
    <row r="1335" ht="17.25" customHeight="1"/>
    <row r="1336" ht="17.25" customHeight="1"/>
    <row r="1337" ht="17.25" customHeight="1"/>
    <row r="1338" ht="17.25" customHeight="1"/>
    <row r="1339" ht="17.25" customHeight="1"/>
    <row r="1340" ht="17.25" customHeight="1"/>
    <row r="1341" ht="17.25" customHeight="1"/>
    <row r="1342" ht="17.25" customHeight="1"/>
    <row r="1343" ht="17.25" customHeight="1"/>
    <row r="1344" ht="17.25" customHeight="1"/>
    <row r="1345" ht="17.25" customHeight="1"/>
    <row r="1346" ht="17.25" customHeight="1"/>
    <row r="1347" ht="17.25" customHeight="1"/>
    <row r="1348" ht="17.25" customHeight="1"/>
    <row r="1349" ht="17.25" customHeight="1"/>
    <row r="1350" ht="17.25" customHeight="1"/>
    <row r="1351" ht="17.25" customHeight="1"/>
    <row r="1352" ht="17.25" customHeight="1"/>
    <row r="1353" ht="17.25" customHeight="1"/>
    <row r="1354" ht="17.25" customHeight="1"/>
    <row r="1355" ht="17.25" customHeight="1"/>
    <row r="1356" ht="17.25" customHeight="1"/>
    <row r="1357" ht="17.25" customHeight="1"/>
    <row r="1358" ht="17.25" customHeight="1"/>
    <row r="1359" ht="17.25" customHeight="1"/>
    <row r="1360" ht="17.25" customHeight="1"/>
    <row r="1361" ht="17.25" customHeight="1"/>
    <row r="1362" ht="17.25" customHeight="1"/>
    <row r="1363" ht="17.25" customHeight="1"/>
    <row r="1364" ht="17.25" customHeight="1"/>
    <row r="1365" ht="17.25" customHeight="1"/>
    <row r="1366" ht="17.25" customHeight="1"/>
    <row r="1367" ht="17.25" customHeight="1"/>
    <row r="1368" ht="17.25" customHeight="1"/>
    <row r="1369" ht="17.25" customHeight="1"/>
    <row r="1370" ht="17.25" customHeight="1"/>
    <row r="1371" ht="17.25" customHeight="1"/>
    <row r="1372" ht="17.25" customHeight="1"/>
    <row r="1373" ht="17.25" customHeight="1"/>
    <row r="1374" ht="17.25" customHeight="1"/>
    <row r="1375" ht="17.25" customHeight="1"/>
    <row r="1376" ht="17.25" customHeight="1"/>
    <row r="1377" ht="17.25" customHeight="1"/>
    <row r="1378" ht="17.25" customHeight="1"/>
    <row r="1379" ht="17.25" customHeight="1"/>
    <row r="1380" ht="17.25" customHeight="1"/>
    <row r="1381" ht="17.25" customHeight="1"/>
    <row r="1382" ht="17.25" customHeight="1"/>
    <row r="1383" ht="17.25" customHeight="1"/>
    <row r="1384" ht="17.25" customHeight="1"/>
    <row r="1385" ht="17.25" customHeight="1"/>
    <row r="1386" ht="17.25" customHeight="1"/>
    <row r="1387" ht="17.25" customHeight="1"/>
    <row r="1388" ht="17.25" customHeight="1"/>
    <row r="1389" ht="17.25" customHeight="1"/>
    <row r="1390" ht="17.25" customHeight="1"/>
    <row r="1391" ht="17.25" customHeight="1"/>
    <row r="1392" ht="17.25" customHeight="1"/>
    <row r="1393" ht="17.25" customHeight="1"/>
    <row r="1394" ht="17.25" customHeight="1"/>
    <row r="1395" ht="17.25" customHeight="1"/>
    <row r="1396" ht="17.25" customHeight="1"/>
    <row r="1397" ht="17.25" customHeight="1"/>
    <row r="1398" ht="17.25" customHeight="1"/>
    <row r="1399" ht="17.25" customHeight="1"/>
    <row r="1400" ht="17.25" customHeight="1"/>
    <row r="1401" ht="17.25" customHeight="1"/>
    <row r="1402" ht="17.25" customHeight="1"/>
    <row r="1403" ht="17.25" customHeight="1"/>
    <row r="1404" ht="17.25" customHeight="1"/>
    <row r="1405" ht="17.25" customHeight="1"/>
    <row r="1406" ht="17.25" customHeight="1"/>
    <row r="1407" ht="17.25" customHeight="1"/>
    <row r="1408" ht="17.25" customHeight="1"/>
    <row r="1409" ht="17.25" customHeight="1"/>
    <row r="1410" ht="17.25" customHeight="1"/>
    <row r="1411" ht="17.25" customHeight="1"/>
    <row r="1412" ht="17.25" customHeight="1"/>
    <row r="1413" ht="17.25" customHeight="1"/>
    <row r="1414" ht="17.25" customHeight="1"/>
    <row r="1415" ht="17.25" customHeight="1"/>
    <row r="1416" ht="17.25" customHeight="1"/>
    <row r="1417" ht="17.25" customHeight="1"/>
    <row r="1418" ht="17.25" customHeight="1"/>
    <row r="1419" ht="17.25" customHeight="1"/>
    <row r="1420" ht="17.25" customHeight="1"/>
    <row r="1421" ht="17.25" customHeight="1"/>
    <row r="1422" ht="17.25" customHeight="1"/>
    <row r="1423" ht="17.25" customHeight="1"/>
    <row r="1424" ht="17.25" customHeight="1"/>
    <row r="1425" ht="17.25" customHeight="1"/>
    <row r="1426" ht="17.25" customHeight="1"/>
    <row r="1427" ht="17.25" customHeight="1"/>
    <row r="1428" ht="17.25" customHeight="1"/>
    <row r="1429" ht="17.25" customHeight="1"/>
    <row r="1430" ht="17.25" customHeight="1"/>
    <row r="1431" ht="17.25" customHeight="1"/>
    <row r="1432" ht="17.25" customHeight="1"/>
    <row r="1433" ht="17.25" customHeight="1"/>
    <row r="1434" ht="17.25" customHeight="1"/>
    <row r="1435" ht="17.25" customHeight="1"/>
    <row r="1436" ht="17.25" customHeight="1"/>
    <row r="1437" ht="17.25" customHeight="1"/>
    <row r="1438" ht="17.25" customHeight="1"/>
    <row r="1439" ht="17.25" customHeight="1"/>
    <row r="1440" ht="17.25" customHeight="1"/>
    <row r="1441" ht="17.25" customHeight="1"/>
    <row r="1442" ht="17.25" customHeight="1"/>
    <row r="1443" ht="17.25" customHeight="1"/>
    <row r="1444" ht="17.25" customHeight="1"/>
    <row r="1445" ht="17.25" customHeight="1"/>
    <row r="1446" ht="17.25" customHeight="1"/>
    <row r="1447" ht="17.25" customHeight="1"/>
    <row r="1448" ht="17.25" customHeight="1"/>
    <row r="1449" ht="17.25" customHeight="1"/>
    <row r="1450" ht="17.25" customHeight="1"/>
    <row r="1451" ht="17.25" customHeight="1"/>
    <row r="1452" ht="17.25" customHeight="1"/>
    <row r="1453" ht="17.25" customHeight="1"/>
    <row r="1454" ht="17.25" customHeight="1"/>
    <row r="1455" ht="17.25" customHeight="1"/>
    <row r="1456" ht="17.25" customHeight="1"/>
    <row r="1457" ht="17.25" customHeight="1"/>
    <row r="1458" ht="17.25" customHeight="1"/>
    <row r="1459" ht="17.25" customHeight="1"/>
    <row r="1460" ht="17.25" customHeight="1"/>
    <row r="1461" ht="17.25" customHeight="1"/>
    <row r="1462" ht="17.25" customHeight="1"/>
    <row r="1463" ht="17.25" customHeight="1"/>
    <row r="1464" ht="17.25" customHeight="1"/>
    <row r="1465" ht="17.25" customHeight="1"/>
    <row r="1466" ht="17.25" customHeight="1"/>
    <row r="1467" ht="17.25" customHeight="1"/>
    <row r="1468" ht="17.25" customHeight="1"/>
    <row r="1469" ht="17.25" customHeight="1"/>
    <row r="1470" ht="17.25" customHeight="1"/>
    <row r="1471" ht="17.25" customHeight="1"/>
    <row r="1472" ht="17.25" customHeight="1"/>
    <row r="1473" ht="17.25" customHeight="1"/>
    <row r="1474" ht="17.25" customHeight="1"/>
    <row r="1475" ht="17.25" customHeight="1"/>
    <row r="1476" ht="17.25" customHeight="1"/>
    <row r="1477" ht="17.25" customHeight="1"/>
    <row r="1478" ht="17.25" customHeight="1"/>
    <row r="1479" ht="17.25" customHeight="1"/>
    <row r="1480" ht="17.25" customHeight="1"/>
    <row r="1481" ht="17.25" customHeight="1"/>
    <row r="1482" ht="17.25" customHeight="1"/>
    <row r="1483" ht="17.25" customHeight="1"/>
    <row r="1484" ht="17.25" customHeight="1"/>
    <row r="1485" ht="17.25" customHeight="1"/>
    <row r="1486" ht="17.25" customHeight="1"/>
    <row r="1487" ht="17.25" customHeight="1"/>
    <row r="1488" ht="17.25" customHeight="1"/>
    <row r="1489" ht="17.25" customHeight="1"/>
    <row r="1490" ht="17.25" customHeight="1"/>
    <row r="1491" ht="17.25" customHeight="1"/>
    <row r="1492" ht="17.25" customHeight="1"/>
    <row r="1493" ht="17.25" customHeight="1"/>
    <row r="1494" ht="17.25" customHeight="1"/>
    <row r="1495" ht="17.25" customHeight="1"/>
    <row r="1496" ht="17.25" customHeight="1"/>
    <row r="1497" ht="17.25" customHeight="1"/>
    <row r="1498" ht="17.25" customHeight="1"/>
    <row r="1499" ht="17.25" customHeight="1"/>
    <row r="1500" ht="17.25" customHeight="1"/>
    <row r="1501" ht="17.2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6.13"/>
  </cols>
  <sheetData>
    <row r="1">
      <c r="A1" s="2" t="s">
        <v>2445</v>
      </c>
      <c r="B1" s="2" t="s">
        <v>2446</v>
      </c>
      <c r="C1" s="2" t="s">
        <v>2447</v>
      </c>
      <c r="D1" s="2" t="s">
        <v>2448</v>
      </c>
      <c r="E1" s="2" t="s">
        <v>13</v>
      </c>
    </row>
    <row r="2">
      <c r="A2" s="2">
        <v>1.0</v>
      </c>
      <c r="B2" s="2" t="s">
        <v>2450</v>
      </c>
      <c r="C2" s="2" t="s">
        <v>302</v>
      </c>
      <c r="D2" s="2">
        <v>9.811242261E9</v>
      </c>
      <c r="E2" s="2" t="s">
        <v>2451</v>
      </c>
    </row>
    <row r="3">
      <c r="A3" s="2">
        <v>2.0</v>
      </c>
      <c r="B3" s="2" t="s">
        <v>2452</v>
      </c>
      <c r="C3" s="2" t="s">
        <v>2453</v>
      </c>
      <c r="D3" s="2">
        <v>9.810556716E9</v>
      </c>
      <c r="E3" s="2" t="s">
        <v>2454</v>
      </c>
    </row>
    <row r="4">
      <c r="A4" s="2">
        <v>3.0</v>
      </c>
      <c r="B4" s="2" t="s">
        <v>2455</v>
      </c>
      <c r="C4" s="2" t="s">
        <v>2456</v>
      </c>
      <c r="D4" s="2">
        <v>9.818127741E9</v>
      </c>
      <c r="E4" s="2" t="s">
        <v>2458</v>
      </c>
    </row>
    <row r="5">
      <c r="C5" s="2" t="s">
        <v>2459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2471</v>
      </c>
    </row>
    <row r="2">
      <c r="A2" s="2" t="s">
        <v>2472</v>
      </c>
    </row>
    <row r="3">
      <c r="A3" s="2" t="s">
        <v>2473</v>
      </c>
    </row>
    <row r="4">
      <c r="A4" s="2" t="s">
        <v>2474</v>
      </c>
    </row>
    <row r="5">
      <c r="A5" s="2" t="s">
        <v>2475</v>
      </c>
    </row>
    <row r="7">
      <c r="A7" s="2" t="s">
        <v>2476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13.75"/>
    <col customWidth="1" min="3" max="4" width="9.88"/>
    <col customWidth="1" min="8" max="8" width="41.25"/>
    <col customWidth="1" min="9" max="9" width="18.25"/>
    <col customWidth="1" min="10" max="10" width="22.63"/>
  </cols>
  <sheetData>
    <row r="1">
      <c r="A1" s="241" t="s">
        <v>2481</v>
      </c>
      <c r="B1" s="242"/>
      <c r="C1" s="243"/>
      <c r="D1" s="244"/>
      <c r="E1" s="245"/>
      <c r="F1" s="245"/>
      <c r="G1" s="245"/>
      <c r="H1" s="241" t="s">
        <v>2483</v>
      </c>
      <c r="I1" s="242"/>
      <c r="J1" s="243"/>
      <c r="K1" s="244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</row>
    <row r="2">
      <c r="A2" s="244" t="str">
        <f>IFERROR(__xludf.DUMMYFUNCTION("FILTER({'Item List'!A2:A1005,'Item List'!I2:I1005},'Item List'!B2:B1005=""Paper"",'Item List'!C2:C1005=""Sbs Paper"")"),"#REF!")</f>
        <v>#REF!</v>
      </c>
      <c r="B2" s="244"/>
      <c r="C2" s="244" t="str">
        <f>IFNA(VLOOKUP(B2,IMS!$A$2:$E1005,5,0),"")</f>
        <v/>
      </c>
      <c r="D2" s="244"/>
      <c r="E2" s="245"/>
      <c r="F2" s="245"/>
      <c r="G2" s="245"/>
      <c r="H2" s="244" t="str">
        <f>IFERROR(__xludf.DUMMYFUNCTION("FILTER({'Item List'!A2:A254,'Item List'!I2:I254,'Item List'!G2:G254},'Item List'!B2:B254=""Chemical"")"),"#REF!")</f>
        <v>#REF!</v>
      </c>
      <c r="I2" s="244"/>
      <c r="J2" s="244"/>
      <c r="K2" s="244" t="str">
        <f>IFNA(VLOOKUP(I2,IMS!$A$2:$E1005,5,0),"")</f>
        <v/>
      </c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</row>
    <row r="3">
      <c r="A3" s="244"/>
      <c r="B3" s="244"/>
      <c r="C3" s="244" t="str">
        <f>IFNA(VLOOKUP(B3,IMS!$A$2:$E1005,5,0),"")</f>
        <v/>
      </c>
      <c r="D3" s="244"/>
      <c r="E3" s="245"/>
      <c r="F3" s="245"/>
      <c r="G3" s="245"/>
      <c r="H3" s="244"/>
      <c r="I3" s="244"/>
      <c r="J3" s="244"/>
      <c r="K3" s="244" t="str">
        <f>IFNA(VLOOKUP(I3,IMS!$A$2:$E1005,5,0),"")</f>
        <v/>
      </c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</row>
    <row r="4">
      <c r="A4" s="244"/>
      <c r="B4" s="244"/>
      <c r="C4" s="244" t="str">
        <f>IFNA(VLOOKUP(B4,IMS!$A$2:$E1005,5,0),"")</f>
        <v/>
      </c>
      <c r="D4" s="244"/>
      <c r="E4" s="245"/>
      <c r="F4" s="245"/>
      <c r="G4" s="245"/>
      <c r="H4" s="244"/>
      <c r="I4" s="244"/>
      <c r="J4" s="244"/>
      <c r="K4" s="244" t="str">
        <f>IFNA(VLOOKUP(I4,IMS!$A$2:$E1005,5,0),"")</f>
        <v/>
      </c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</row>
    <row r="5">
      <c r="A5" s="244"/>
      <c r="B5" s="244"/>
      <c r="C5" s="244" t="str">
        <f>IFNA(VLOOKUP(B5,IMS!$A$2:$E1005,5,0),"")</f>
        <v/>
      </c>
      <c r="D5" s="244"/>
      <c r="E5" s="245"/>
      <c r="F5" s="245"/>
      <c r="G5" s="245"/>
      <c r="H5" s="244"/>
      <c r="I5" s="244"/>
      <c r="J5" s="244"/>
      <c r="K5" s="244" t="str">
        <f>IFNA(VLOOKUP(I5,IMS!$A$2:$E1005,5,0),"")</f>
        <v/>
      </c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</row>
    <row r="6">
      <c r="A6" s="244"/>
      <c r="B6" s="244"/>
      <c r="C6" s="244" t="str">
        <f>IFNA(VLOOKUP(B6,IMS!$A$2:$E1005,5,0),"")</f>
        <v/>
      </c>
      <c r="D6" s="244"/>
      <c r="E6" s="245"/>
      <c r="F6" s="245"/>
      <c r="G6" s="245"/>
      <c r="H6" s="244"/>
      <c r="I6" s="244"/>
      <c r="J6" s="244"/>
      <c r="K6" s="244" t="str">
        <f>IFNA(VLOOKUP(I6,IMS!$A$2:$E1005,5,0),"")</f>
        <v/>
      </c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</row>
    <row r="7">
      <c r="A7" s="244"/>
      <c r="B7" s="244"/>
      <c r="C7" s="244" t="str">
        <f>IFNA(VLOOKUP(B7,IMS!$A$2:$E1005,5,0),"")</f>
        <v/>
      </c>
      <c r="D7" s="244"/>
      <c r="E7" s="245"/>
      <c r="F7" s="245"/>
      <c r="G7" s="245"/>
      <c r="H7" s="244"/>
      <c r="I7" s="244"/>
      <c r="J7" s="244"/>
      <c r="K7" s="244" t="str">
        <f>IFNA(VLOOKUP(I7,IMS!$A$2:$E1005,5,0),"")</f>
        <v/>
      </c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</row>
    <row r="8">
      <c r="A8" s="244"/>
      <c r="B8" s="244"/>
      <c r="C8" s="244" t="str">
        <f>IFNA(VLOOKUP(B8,IMS!$A$2:$E1005,5,0),"")</f>
        <v/>
      </c>
      <c r="D8" s="244"/>
      <c r="E8" s="245"/>
      <c r="F8" s="245"/>
      <c r="G8" s="245"/>
      <c r="H8" s="244"/>
      <c r="I8" s="244"/>
      <c r="J8" s="244"/>
      <c r="K8" s="244" t="str">
        <f>IFNA(VLOOKUP(I8,IMS!$A$2:$E1005,5,0),"")</f>
        <v/>
      </c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</row>
    <row r="9">
      <c r="A9" s="244"/>
      <c r="B9" s="244"/>
      <c r="C9" s="244" t="str">
        <f>IFNA(VLOOKUP(B9,IMS!$A$2:$E1005,5,0),"")</f>
        <v/>
      </c>
      <c r="D9" s="244"/>
      <c r="E9" s="245"/>
      <c r="F9" s="245"/>
      <c r="G9" s="245"/>
      <c r="H9" s="244"/>
      <c r="I9" s="244"/>
      <c r="J9" s="244"/>
      <c r="K9" s="244" t="str">
        <f>IFNA(VLOOKUP(I9,IMS!$A$2:$E1005,5,0),"")</f>
        <v/>
      </c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</row>
    <row r="10">
      <c r="A10" s="244"/>
      <c r="B10" s="244"/>
      <c r="C10" s="244" t="str">
        <f>IFNA(VLOOKUP(B10,IMS!$A$2:$E1005,5,0),"")</f>
        <v/>
      </c>
      <c r="D10" s="244"/>
      <c r="E10" s="245"/>
      <c r="F10" s="245"/>
      <c r="G10" s="245"/>
      <c r="H10" s="244"/>
      <c r="I10" s="244"/>
      <c r="J10" s="244"/>
      <c r="K10" s="244" t="str">
        <f>IFNA(VLOOKUP(I10,IMS!$A$2:$E1005,5,0),"")</f>
        <v/>
      </c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</row>
    <row r="11">
      <c r="A11" s="244"/>
      <c r="B11" s="244"/>
      <c r="C11" s="244" t="str">
        <f>IFNA(VLOOKUP(B11,IMS!$A$2:$E1005,5,0),"")</f>
        <v/>
      </c>
      <c r="D11" s="244"/>
      <c r="E11" s="245"/>
      <c r="F11" s="245"/>
      <c r="G11" s="245"/>
      <c r="H11" s="244"/>
      <c r="I11" s="244"/>
      <c r="J11" s="244"/>
      <c r="K11" s="244" t="str">
        <f>IFNA(VLOOKUP(I11,IMS!$A$2:$E1005,5,0),"")</f>
        <v/>
      </c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</row>
    <row r="12">
      <c r="A12" s="244"/>
      <c r="B12" s="244"/>
      <c r="C12" s="244" t="str">
        <f>IFNA(VLOOKUP(B12,IMS!$A$2:$E1005,5,0),"")</f>
        <v/>
      </c>
      <c r="D12" s="244"/>
      <c r="E12" s="245"/>
      <c r="F12" s="245"/>
      <c r="G12" s="245"/>
      <c r="H12" s="244"/>
      <c r="I12" s="244"/>
      <c r="J12" s="244"/>
      <c r="K12" s="244" t="str">
        <f>IFNA(VLOOKUP(I12,IMS!$A$2:$E1005,5,0),"")</f>
        <v/>
      </c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</row>
    <row r="13">
      <c r="A13" s="244"/>
      <c r="B13" s="244"/>
      <c r="C13" s="244" t="str">
        <f>IFNA(VLOOKUP(B13,IMS!$A$2:$E1005,5,0),"")</f>
        <v/>
      </c>
      <c r="D13" s="244"/>
      <c r="E13" s="245"/>
      <c r="F13" s="245"/>
      <c r="G13" s="245"/>
      <c r="H13" s="244"/>
      <c r="I13" s="244"/>
      <c r="J13" s="244"/>
      <c r="K13" s="244" t="str">
        <f>IFNA(VLOOKUP(I13,IMS!$A$2:$E1005,5,0),"")</f>
        <v/>
      </c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</row>
    <row r="14">
      <c r="A14" s="244"/>
      <c r="B14" s="244"/>
      <c r="C14" s="244" t="str">
        <f>IFNA(VLOOKUP(B14,IMS!$A$2:$E1005,5,0),"")</f>
        <v/>
      </c>
      <c r="D14" s="244"/>
      <c r="E14" s="245"/>
      <c r="F14" s="245"/>
      <c r="G14" s="245"/>
      <c r="H14" s="244"/>
      <c r="I14" s="244"/>
      <c r="J14" s="244"/>
      <c r="K14" s="244" t="str">
        <f>IFNA(VLOOKUP(I14,IMS!$A$2:$E1005,5,0),"")</f>
        <v/>
      </c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</row>
    <row r="15">
      <c r="A15" s="244"/>
      <c r="B15" s="244"/>
      <c r="C15" s="244" t="str">
        <f>IFNA(VLOOKUP(B15,IMS!$A$2:$E1005,5,0),"")</f>
        <v/>
      </c>
      <c r="D15" s="244"/>
      <c r="E15" s="245"/>
      <c r="F15" s="245"/>
      <c r="G15" s="245"/>
      <c r="H15" s="244"/>
      <c r="I15" s="244"/>
      <c r="J15" s="244"/>
      <c r="K15" s="244" t="str">
        <f>IFNA(VLOOKUP(I15,IMS!$A$2:$E1005,5,0),"")</f>
        <v/>
      </c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</row>
    <row r="16">
      <c r="A16" s="244"/>
      <c r="B16" s="244"/>
      <c r="C16" s="244" t="str">
        <f>IFNA(VLOOKUP(B16,IMS!$A$2:$E1005,5,0),"")</f>
        <v/>
      </c>
      <c r="D16" s="244"/>
      <c r="E16" s="245"/>
      <c r="F16" s="245"/>
      <c r="G16" s="245"/>
      <c r="H16" s="244"/>
      <c r="I16" s="244"/>
      <c r="J16" s="244"/>
      <c r="K16" s="244" t="str">
        <f>IFNA(VLOOKUP(I16,IMS!$A$2:$E1005,5,0),"")</f>
        <v/>
      </c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</row>
    <row r="17">
      <c r="A17" s="244"/>
      <c r="B17" s="244"/>
      <c r="C17" s="244" t="str">
        <f>IFNA(VLOOKUP(B17,IMS!$A$2:$E1005,5,0),"")</f>
        <v/>
      </c>
      <c r="D17" s="244"/>
      <c r="E17" s="245"/>
      <c r="F17" s="245"/>
      <c r="G17" s="245"/>
      <c r="H17" s="244"/>
      <c r="I17" s="244"/>
      <c r="J17" s="244"/>
      <c r="K17" s="244" t="str">
        <f>IFNA(VLOOKUP(I17,IMS!$A$2:$E1005,5,0),"")</f>
        <v/>
      </c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</row>
    <row r="18">
      <c r="A18" s="244"/>
      <c r="B18" s="244"/>
      <c r="C18" s="244" t="str">
        <f>IFNA(VLOOKUP(B18,IMS!$A$2:$E1005,5,0),"")</f>
        <v/>
      </c>
      <c r="D18" s="244"/>
      <c r="E18" s="245"/>
      <c r="F18" s="245"/>
      <c r="G18" s="245"/>
      <c r="H18" s="244"/>
      <c r="I18" s="244"/>
      <c r="J18" s="244"/>
      <c r="K18" s="244" t="str">
        <f>IFNA(VLOOKUP(I18,IMS!$A$2:$E1005,5,0),"")</f>
        <v/>
      </c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</row>
    <row r="19">
      <c r="A19" s="244"/>
      <c r="B19" s="244"/>
      <c r="C19" s="244" t="str">
        <f>IFNA(VLOOKUP(B19,IMS!$A$2:$E1005,5,0),"")</f>
        <v/>
      </c>
      <c r="D19" s="244"/>
      <c r="E19" s="245"/>
      <c r="F19" s="245"/>
      <c r="G19" s="245"/>
      <c r="H19" s="244"/>
      <c r="I19" s="244"/>
      <c r="J19" s="244"/>
      <c r="K19" s="244" t="str">
        <f>IFNA(VLOOKUP(I19,IMS!$A$2:$E1005,5,0),"")</f>
        <v/>
      </c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</row>
    <row r="20">
      <c r="A20" s="244"/>
      <c r="B20" s="244"/>
      <c r="C20" s="244" t="str">
        <f>IFNA(VLOOKUP(B20,IMS!$A$2:$E1005,5,0),"")</f>
        <v/>
      </c>
      <c r="D20" s="244"/>
      <c r="E20" s="245"/>
      <c r="F20" s="245"/>
      <c r="G20" s="245"/>
      <c r="H20" s="244"/>
      <c r="I20" s="244"/>
      <c r="J20" s="244"/>
      <c r="K20" s="244" t="str">
        <f>IFNA(VLOOKUP(I20,IMS!$A$2:$E1005,5,0),"")</f>
        <v/>
      </c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</row>
    <row r="21">
      <c r="A21" s="244"/>
      <c r="B21" s="244"/>
      <c r="C21" s="244" t="str">
        <f>IFNA(VLOOKUP(B21,IMS!$A$2:$E1005,5,0),"")</f>
        <v/>
      </c>
      <c r="D21" s="244"/>
      <c r="E21" s="245"/>
      <c r="F21" s="245"/>
      <c r="G21" s="245"/>
      <c r="H21" s="244"/>
      <c r="I21" s="244"/>
      <c r="J21" s="244"/>
      <c r="K21" s="244" t="str">
        <f>IFNA(VLOOKUP(I21,IMS!$A$2:$E1005,5,0),"")</f>
        <v/>
      </c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</row>
    <row r="22">
      <c r="A22" s="244"/>
      <c r="B22" s="244"/>
      <c r="C22" s="244" t="str">
        <f>IFNA(VLOOKUP(B22,IMS!$A$2:$E1005,5,0),"")</f>
        <v/>
      </c>
      <c r="D22" s="244"/>
      <c r="E22" s="245"/>
      <c r="F22" s="245"/>
      <c r="G22" s="245"/>
      <c r="H22" s="244"/>
      <c r="I22" s="244"/>
      <c r="J22" s="244"/>
      <c r="K22" s="244" t="str">
        <f>IFNA(VLOOKUP(I22,IMS!$A$2:$E1005,5,0),"")</f>
        <v/>
      </c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</row>
    <row r="23">
      <c r="A23" s="244"/>
      <c r="B23" s="244"/>
      <c r="C23" s="244" t="str">
        <f>IFNA(VLOOKUP(B23,IMS!$A$2:$E1005,5,0),"")</f>
        <v/>
      </c>
      <c r="D23" s="244"/>
      <c r="E23" s="245"/>
      <c r="F23" s="245"/>
      <c r="G23" s="245"/>
      <c r="H23" s="244"/>
      <c r="I23" s="244"/>
      <c r="J23" s="244"/>
      <c r="K23" s="244" t="str">
        <f>IFNA(VLOOKUP(I23,IMS!$A$2:$E1005,5,0),"")</f>
        <v/>
      </c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</row>
    <row r="24">
      <c r="A24" s="244"/>
      <c r="B24" s="244"/>
      <c r="C24" s="244" t="str">
        <f>IFNA(VLOOKUP(B24,IMS!$A$2:$E1005,5,0),"")</f>
        <v/>
      </c>
      <c r="D24" s="244"/>
      <c r="E24" s="245"/>
      <c r="F24" s="245"/>
      <c r="G24" s="245"/>
      <c r="H24" s="244"/>
      <c r="I24" s="244"/>
      <c r="J24" s="244"/>
      <c r="K24" s="244" t="str">
        <f>IFNA(VLOOKUP(I24,IMS!$A$2:$E1005,5,0),"")</f>
        <v/>
      </c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</row>
    <row r="25">
      <c r="A25" s="244"/>
      <c r="B25" s="244"/>
      <c r="C25" s="244" t="str">
        <f>IFNA(VLOOKUP(B25,IMS!$A$2:$E1005,5,0),"")</f>
        <v/>
      </c>
      <c r="D25" s="244"/>
      <c r="E25" s="245"/>
      <c r="F25" s="245"/>
      <c r="G25" s="245"/>
      <c r="H25" s="244"/>
      <c r="I25" s="244"/>
      <c r="J25" s="244"/>
      <c r="K25" s="244" t="str">
        <f>IFNA(VLOOKUP(I25,IMS!$A$2:$E1005,5,0),"")</f>
        <v/>
      </c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</row>
    <row r="26">
      <c r="A26" s="244"/>
      <c r="B26" s="244"/>
      <c r="C26" s="244" t="str">
        <f>IFNA(VLOOKUP(B26,IMS!$A$2:$E1005,5,0),"")</f>
        <v/>
      </c>
      <c r="D26" s="244"/>
      <c r="E26" s="245"/>
      <c r="F26" s="245"/>
      <c r="G26" s="245"/>
      <c r="H26" s="244"/>
      <c r="I26" s="244"/>
      <c r="J26" s="244"/>
      <c r="K26" s="244" t="str">
        <f>IFNA(VLOOKUP(I26,IMS!$A$2:$E1005,5,0),"")</f>
        <v/>
      </c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</row>
    <row r="27">
      <c r="A27" s="244"/>
      <c r="B27" s="244"/>
      <c r="C27" s="244" t="str">
        <f>IFNA(VLOOKUP(B27,IMS!$A$2:$E1005,5,0),"")</f>
        <v/>
      </c>
      <c r="D27" s="244"/>
      <c r="E27" s="245"/>
      <c r="F27" s="245"/>
      <c r="G27" s="245"/>
      <c r="H27" s="248" t="s">
        <v>2503</v>
      </c>
      <c r="I27" s="242"/>
      <c r="J27" s="243"/>
      <c r="K27" s="244" t="str">
        <f>IFNA(VLOOKUP(I27,IMS!$A$2:$E$232,5,0),"")</f>
        <v/>
      </c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</row>
    <row r="28">
      <c r="A28" s="244"/>
      <c r="B28" s="244"/>
      <c r="C28" s="244" t="str">
        <f>IFNA(VLOOKUP(B28,IMS!$A$2:$E1005,5,0),"")</f>
        <v/>
      </c>
      <c r="D28" s="244"/>
      <c r="E28" s="245"/>
      <c r="F28" s="245"/>
      <c r="G28" s="245"/>
      <c r="H28" s="249" t="str">
        <f>IFERROR(__xludf.DUMMYFUNCTION("FILTER({'Item List'!A2:A254,'Item List'!I2:I254,'Item List'!G2:G254},'Item List'!B2:B254=""Coating"")"),"Gloss Op Link (Print Lack)")</f>
        <v>Gloss Op Link (Print Lack)</v>
      </c>
      <c r="I28" s="244" t="str">
        <f>IFERROR(__xludf.DUMMYFUNCTION("""COMPUTED_VALUE"""),"C-COA-106")</f>
        <v>C-COA-106</v>
      </c>
      <c r="J28" s="244" t="str">
        <f>IFERROR(__xludf.DUMMYFUNCTION("""COMPUTED_VALUE"""),"Gloss")</f>
        <v>Gloss</v>
      </c>
      <c r="K28" s="244">
        <f>IFNA(VLOOKUP(I28,IMS!$A$2:$E$232,5,0),"")</f>
        <v>2</v>
      </c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</row>
    <row r="29">
      <c r="A29" s="244"/>
      <c r="B29" s="244"/>
      <c r="C29" s="244" t="str">
        <f>IFNA(VLOOKUP(B29,IMS!$A$2:$E1005,5,0),"")</f>
        <v/>
      </c>
      <c r="D29" s="244"/>
      <c r="E29" s="245"/>
      <c r="F29" s="245"/>
      <c r="G29" s="245"/>
      <c r="H29" s="244" t="str">
        <f>IFERROR(__xludf.DUMMYFUNCTION("""COMPUTED_VALUE"""),"High Gloss Op Ink (Print Lack)")</f>
        <v>High Gloss Op Ink (Print Lack)</v>
      </c>
      <c r="I29" s="244" t="str">
        <f>IFERROR(__xludf.DUMMYFUNCTION("""COMPUTED_VALUE"""),"C-COA-107")</f>
        <v>C-COA-107</v>
      </c>
      <c r="J29" s="244" t="str">
        <f>IFERROR(__xludf.DUMMYFUNCTION("""COMPUTED_VALUE"""),"High Gloss")</f>
        <v>High Gloss</v>
      </c>
      <c r="K29" s="244">
        <f>IFNA(VLOOKUP(I29,IMS!$A$2:$E$232,5,0),"")</f>
        <v>1</v>
      </c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</row>
    <row r="30">
      <c r="A30" s="244"/>
      <c r="B30" s="244"/>
      <c r="C30" s="244" t="str">
        <f>IFNA(VLOOKUP(B30,IMS!$A$2:$E1005,5,0),"")</f>
        <v/>
      </c>
      <c r="D30" s="244"/>
      <c r="E30" s="245"/>
      <c r="F30" s="245"/>
      <c r="G30" s="245"/>
      <c r="H30" s="244" t="str">
        <f>IFERROR(__xludf.DUMMYFUNCTION("""COMPUTED_VALUE"""),"Acrylac Extra Matt")</f>
        <v>Acrylac Extra Matt</v>
      </c>
      <c r="I30" s="244" t="str">
        <f>IFERROR(__xludf.DUMMYFUNCTION("""COMPUTED_VALUE"""),"C-COA-108")</f>
        <v>C-COA-108</v>
      </c>
      <c r="J30" s="244" t="str">
        <f>IFERROR(__xludf.DUMMYFUNCTION("""COMPUTED_VALUE"""),"Matt|2300/20D22")</f>
        <v>Matt|2300/20D22</v>
      </c>
      <c r="K30" s="244">
        <f>IFNA(VLOOKUP(I30,IMS!$A$2:$E$232,5,0),"")</f>
        <v>20</v>
      </c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</row>
    <row r="31">
      <c r="A31" s="244"/>
      <c r="B31" s="244"/>
      <c r="C31" s="244" t="str">
        <f>IFNA(VLOOKUP(B31,IMS!$A$2:$E1005,5,0),"")</f>
        <v/>
      </c>
      <c r="D31" s="244"/>
      <c r="E31" s="245"/>
      <c r="F31" s="245"/>
      <c r="G31" s="245"/>
      <c r="H31" s="244" t="str">
        <f>IFERROR(__xludf.DUMMYFUNCTION("""COMPUTED_VALUE"""),"Flex Cure Mt Yellow")</f>
        <v>Flex Cure Mt Yellow</v>
      </c>
      <c r="I31" s="244" t="str">
        <f>IFERROR(__xludf.DUMMYFUNCTION("""COMPUTED_VALUE"""),"C-COA-109")</f>
        <v>C-COA-109</v>
      </c>
      <c r="J31" s="244" t="str">
        <f>IFERROR(__xludf.DUMMYFUNCTION("""COMPUTED_VALUE"""),"High Gloss|HRB11645")</f>
        <v>High Gloss|HRB11645</v>
      </c>
      <c r="K31" s="244">
        <f>IFNA(VLOOKUP(I31,IMS!$A$2:$E$232,5,0),"")</f>
        <v>1</v>
      </c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</row>
    <row r="32">
      <c r="A32" s="244"/>
      <c r="B32" s="244"/>
      <c r="C32" s="244" t="str">
        <f>IFNA(VLOOKUP(B32,IMS!$A$2:$E1005,5,0),"")</f>
        <v/>
      </c>
      <c r="D32" s="244"/>
      <c r="E32" s="245"/>
      <c r="F32" s="245"/>
      <c r="G32" s="245"/>
      <c r="H32" s="244" t="str">
        <f>IFERROR(__xludf.DUMMYFUNCTION("""COMPUTED_VALUE"""),"Radicure Textured Duct Matt")</f>
        <v>Radicure Textured Duct Matt</v>
      </c>
      <c r="I32" s="244" t="str">
        <f>IFERROR(__xludf.DUMMYFUNCTION("""COMPUTED_VALUE"""),"C-COA-110")</f>
        <v>C-COA-110</v>
      </c>
      <c r="J32" s="244" t="str">
        <f>IFERROR(__xludf.DUMMYFUNCTION("""COMPUTED_VALUE"""),"Gloss")</f>
        <v>Gloss</v>
      </c>
      <c r="K32" s="244">
        <f>IFNA(VLOOKUP(I32,IMS!$A$2:$E$232,5,0),"")</f>
        <v>7</v>
      </c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</row>
    <row r="33">
      <c r="A33" s="244"/>
      <c r="B33" s="244"/>
      <c r="C33" s="244" t="str">
        <f>IFNA(VLOOKUP(B33,IMS!$A$2:$E1005,5,0),"")</f>
        <v/>
      </c>
      <c r="D33" s="244"/>
      <c r="E33" s="245"/>
      <c r="F33" s="245"/>
      <c r="G33" s="245"/>
      <c r="H33" s="244" t="str">
        <f>IFERROR(__xludf.DUMMYFUNCTION("""COMPUTED_VALUE"""),"Black Processing Uv Foil")</f>
        <v>Black Processing Uv Foil</v>
      </c>
      <c r="I33" s="244" t="str">
        <f>IFERROR(__xludf.DUMMYFUNCTION("""COMPUTED_VALUE"""),"C-FOI-171")</f>
        <v>C-FOI-171</v>
      </c>
      <c r="J33" s="244" t="str">
        <f>IFERROR(__xludf.DUMMYFUNCTION("""COMPUTED_VALUE"""),"Uv Foil-Exc20044")</f>
        <v>Uv Foil-Exc20044</v>
      </c>
      <c r="K33" s="244">
        <f>IFNA(VLOOKUP(I33,IMS!$A$2:$E$232,5,0),"")</f>
        <v>3</v>
      </c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</row>
    <row r="34">
      <c r="A34" s="244"/>
      <c r="B34" s="244"/>
      <c r="C34" s="244" t="str">
        <f>IFNA(VLOOKUP(B34,IMS!$A$2:$E1005,5,0),"")</f>
        <v/>
      </c>
      <c r="D34" s="244"/>
      <c r="E34" s="245"/>
      <c r="F34" s="245"/>
      <c r="G34" s="245"/>
      <c r="H34" s="244" t="str">
        <f>IFERROR(__xludf.DUMMYFUNCTION("""COMPUTED_VALUE"""),"Led Pr cyan led process")</f>
        <v>Led Pr cyan led process</v>
      </c>
      <c r="I34" s="244" t="str">
        <f>IFERROR(__xludf.DUMMYFUNCTION("""COMPUTED_VALUE"""),"C-FOI-172")</f>
        <v>C-FOI-172</v>
      </c>
      <c r="J34" s="244" t="str">
        <f>IFERROR(__xludf.DUMMYFUNCTION("""COMPUTED_VALUE"""),"Led-Exc26013v")</f>
        <v>Led-Exc26013v</v>
      </c>
      <c r="K34" s="244">
        <f>IFNA(VLOOKUP(I34,IMS!$A$2:$E$232,5,0),"")</f>
        <v>3</v>
      </c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</row>
    <row r="35">
      <c r="A35" s="244"/>
      <c r="B35" s="244"/>
      <c r="C35" s="244" t="str">
        <f>IFNA(VLOOKUP(B35,IMS!$A$2:$E1005,5,0),"")</f>
        <v/>
      </c>
      <c r="D35" s="244"/>
      <c r="E35" s="245"/>
      <c r="F35" s="245"/>
      <c r="G35" s="245"/>
      <c r="H35" s="244" t="str">
        <f>IFERROR(__xludf.DUMMYFUNCTION("""COMPUTED_VALUE"""),"A1 Emulsion Coating Green")</f>
        <v>A1 Emulsion Coating Green</v>
      </c>
      <c r="I35" s="244" t="str">
        <f>IFERROR(__xludf.DUMMYFUNCTION("""COMPUTED_VALUE"""),"C-COA-194")</f>
        <v>C-COA-194</v>
      </c>
      <c r="J35" s="244" t="str">
        <f>IFERROR(__xludf.DUMMYFUNCTION("""COMPUTED_VALUE"""),"–")</f>
        <v>–</v>
      </c>
      <c r="K35" s="244">
        <f>IFNA(VLOOKUP(I35,IMS!$A$2:$E$232,5,0),"")</f>
        <v>2</v>
      </c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</row>
    <row r="36">
      <c r="A36" s="244"/>
      <c r="B36" s="244"/>
      <c r="C36" s="244" t="str">
        <f>IFNA(VLOOKUP(B36,IMS!$A$2:$E1005,5,0),"")</f>
        <v/>
      </c>
      <c r="D36" s="244"/>
      <c r="E36" s="245"/>
      <c r="F36" s="245"/>
      <c r="G36" s="245"/>
      <c r="H36" s="244" t="str">
        <f>IFERROR(__xludf.DUMMYFUNCTION("""COMPUTED_VALUE"""),"Gold Foil ")</f>
        <v>Gold Foil </v>
      </c>
      <c r="I36" s="244" t="str">
        <f>IFERROR(__xludf.DUMMYFUNCTION("""COMPUTED_VALUE"""),"C-FOI-200")</f>
        <v>C-FOI-200</v>
      </c>
      <c r="J36" s="244" t="str">
        <f>IFERROR(__xludf.DUMMYFUNCTION("""COMPUTED_VALUE"""),"–")</f>
        <v>–</v>
      </c>
      <c r="K36" s="244">
        <f>IFNA(VLOOKUP(I36,IMS!$A$2:$E$232,5,0),"")</f>
        <v>9</v>
      </c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</row>
    <row r="37">
      <c r="A37" s="244"/>
      <c r="B37" s="244"/>
      <c r="C37" s="244" t="str">
        <f>IFNA(VLOOKUP(B37,IMS!$A$2:$E1005,5,0),"")</f>
        <v/>
      </c>
      <c r="D37" s="244"/>
      <c r="E37" s="245"/>
      <c r="F37" s="245"/>
      <c r="G37" s="245"/>
      <c r="H37" s="244" t="str">
        <f>IFERROR(__xludf.DUMMYFUNCTION("""COMPUTED_VALUE"""),"Silver Foil")</f>
        <v>Silver Foil</v>
      </c>
      <c r="I37" s="244" t="str">
        <f>IFERROR(__xludf.DUMMYFUNCTION("""COMPUTED_VALUE"""),"C-FOI-215")</f>
        <v>C-FOI-215</v>
      </c>
      <c r="J37" s="244" t="str">
        <f>IFERROR(__xludf.DUMMYFUNCTION("""COMPUTED_VALUE"""),"–")</f>
        <v>–</v>
      </c>
      <c r="K37" s="244">
        <f>IFNA(VLOOKUP(I37,IMS!$A$2:$E$232,5,0),"")</f>
        <v>9</v>
      </c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</row>
    <row r="38">
      <c r="A38" s="244"/>
      <c r="B38" s="244"/>
      <c r="C38" s="244" t="str">
        <f>IFNA(VLOOKUP(B38,IMS!$A$2:$E1005,5,0),"")</f>
        <v/>
      </c>
      <c r="D38" s="244"/>
      <c r="E38" s="245"/>
      <c r="F38" s="245"/>
      <c r="G38" s="245"/>
      <c r="H38" s="244" t="str">
        <f>IFERROR(__xludf.DUMMYFUNCTION("""COMPUTED_VALUE"""),"New V LAC Gloss Blockable-40UC 74007/20P20")</f>
        <v>New V LAC Gloss Blockable-40UC 74007/20P20</v>
      </c>
      <c r="I38" s="244" t="str">
        <f>IFERROR(__xludf.DUMMYFUNCTION("""COMPUTED_VALUE"""),"C-COA-233")</f>
        <v>C-COA-233</v>
      </c>
      <c r="J38" s="244" t="str">
        <f>IFERROR(__xludf.DUMMYFUNCTION("""COMPUTED_VALUE"""),"Gloss")</f>
        <v>Gloss</v>
      </c>
      <c r="K38" s="244" t="str">
        <f>IFNA(VLOOKUP(I38,IMS!$A$2:$E$232,5,0),"")</f>
        <v/>
      </c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</row>
    <row r="39">
      <c r="A39" s="244"/>
      <c r="B39" s="244"/>
      <c r="C39" s="244" t="str">
        <f>IFNA(VLOOKUP(B39,IMS!$A$2:$E1005,5,0),"")</f>
        <v/>
      </c>
      <c r="D39" s="244"/>
      <c r="E39" s="245"/>
      <c r="F39" s="245"/>
      <c r="G39" s="245"/>
      <c r="H39" s="244"/>
      <c r="I39" s="244"/>
      <c r="J39" s="244"/>
      <c r="K39" s="244" t="str">
        <f>IFNA(VLOOKUP(I39,IMS!$A$2:$E$232,5,0),"")</f>
        <v/>
      </c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</row>
    <row r="40">
      <c r="A40" s="244"/>
      <c r="B40" s="244"/>
      <c r="C40" s="244" t="str">
        <f>IFNA(VLOOKUP(B40,IMS!$A$2:$E1005,5,0),"")</f>
        <v/>
      </c>
      <c r="D40" s="244"/>
      <c r="E40" s="245"/>
      <c r="F40" s="245"/>
      <c r="G40" s="245"/>
      <c r="H40" s="248" t="s">
        <v>1674</v>
      </c>
      <c r="I40" s="242"/>
      <c r="J40" s="242"/>
      <c r="K40" s="243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</row>
    <row r="41">
      <c r="A41" s="244"/>
      <c r="B41" s="244"/>
      <c r="C41" s="244" t="str">
        <f>IFNA(VLOOKUP(B41,IMS!$A$2:$E1005,5,0),"")</f>
        <v/>
      </c>
      <c r="D41" s="244"/>
      <c r="E41" s="245"/>
      <c r="F41" s="245"/>
      <c r="G41" s="245"/>
      <c r="H41" s="244" t="str">
        <f>IFERROR(__xludf.DUMMYFUNCTION("FILTER({'Item List'!A2:A254,'Item List'!I2:I254,'Item List'!G2:G254},'Item List'!B2:B254=""Ink"",'Item List'!C2:C254&lt;&gt;""Pantone"")"),"Universal Plus Black Ink")</f>
        <v>Universal Plus Black Ink</v>
      </c>
      <c r="I41" s="244" t="str">
        <f>IFERROR(__xludf.DUMMYFUNCTION("""COMPUTED_VALUE"""),"I-CMY-061")</f>
        <v>I-CMY-061</v>
      </c>
      <c r="J41" s="244" t="str">
        <f>IFERROR(__xludf.DUMMYFUNCTION("""COMPUTED_VALUE"""),"Offset")</f>
        <v>Offset</v>
      </c>
      <c r="K41" s="244">
        <f>IFNA(VLOOKUP(I41,IMS!$A$2:$E$232,5,0),"")</f>
        <v>16</v>
      </c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</row>
    <row r="42">
      <c r="A42" s="244"/>
      <c r="B42" s="244"/>
      <c r="C42" s="244" t="str">
        <f>IFNA(VLOOKUP(B42,IMS!$A$2:$E1005,5,0),"")</f>
        <v/>
      </c>
      <c r="D42" s="244"/>
      <c r="E42" s="245"/>
      <c r="F42" s="245"/>
      <c r="G42" s="245"/>
      <c r="H42" s="244" t="str">
        <f>IFERROR(__xludf.DUMMYFUNCTION("""COMPUTED_VALUE"""),"Universal Plus Cyan Ink")</f>
        <v>Universal Plus Cyan Ink</v>
      </c>
      <c r="I42" s="244" t="str">
        <f>IFERROR(__xludf.DUMMYFUNCTION("""COMPUTED_VALUE"""),"I-CMY-062")</f>
        <v>I-CMY-062</v>
      </c>
      <c r="J42" s="244" t="str">
        <f>IFERROR(__xludf.DUMMYFUNCTION("""COMPUTED_VALUE"""),"Offset")</f>
        <v>Offset</v>
      </c>
      <c r="K42" s="244">
        <f>IFNA(VLOOKUP(I42,IMS!$A$2:$E$232,5,0),"")</f>
        <v>10</v>
      </c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</row>
    <row r="43">
      <c r="A43" s="244"/>
      <c r="B43" s="244"/>
      <c r="C43" s="244" t="str">
        <f>IFNA(VLOOKUP(B43,IMS!$A$2:$E1005,5,0),"")</f>
        <v/>
      </c>
      <c r="D43" s="244"/>
      <c r="E43" s="245"/>
      <c r="F43" s="245"/>
      <c r="G43" s="245"/>
      <c r="H43" s="244" t="str">
        <f>IFERROR(__xludf.DUMMYFUNCTION("""COMPUTED_VALUE"""),"Universal Plus Magenta")</f>
        <v>Universal Plus Magenta</v>
      </c>
      <c r="I43" s="244" t="str">
        <f>IFERROR(__xludf.DUMMYFUNCTION("""COMPUTED_VALUE"""),"I-CMY-063")</f>
        <v>I-CMY-063</v>
      </c>
      <c r="J43" s="244" t="str">
        <f>IFERROR(__xludf.DUMMYFUNCTION("""COMPUTED_VALUE"""),"Offset")</f>
        <v>Offset</v>
      </c>
      <c r="K43" s="244">
        <f>IFNA(VLOOKUP(I43,IMS!$A$2:$E$232,5,0),"")</f>
        <v>10</v>
      </c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</row>
    <row r="44">
      <c r="A44" s="244"/>
      <c r="B44" s="244"/>
      <c r="C44" s="244" t="str">
        <f>IFNA(VLOOKUP(B44,IMS!$A$2:$E1005,5,0),"")</f>
        <v/>
      </c>
      <c r="D44" s="244"/>
      <c r="E44" s="245"/>
      <c r="F44" s="245"/>
      <c r="G44" s="245"/>
      <c r="H44" s="244" t="str">
        <f>IFERROR(__xludf.DUMMYFUNCTION("""COMPUTED_VALUE"""),"Universal Plus Yellow")</f>
        <v>Universal Plus Yellow</v>
      </c>
      <c r="I44" s="244" t="str">
        <f>IFERROR(__xludf.DUMMYFUNCTION("""COMPUTED_VALUE"""),"I-CMY-064")</f>
        <v>I-CMY-064</v>
      </c>
      <c r="J44" s="244" t="str">
        <f>IFERROR(__xludf.DUMMYFUNCTION("""COMPUTED_VALUE"""),"Offset")</f>
        <v>Offset</v>
      </c>
      <c r="K44" s="244">
        <f>IFNA(VLOOKUP(I44,IMS!$A$2:$E$232,5,0),"")</f>
        <v>6</v>
      </c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</row>
    <row r="45">
      <c r="A45" s="244"/>
      <c r="B45" s="244"/>
      <c r="C45" s="244" t="str">
        <f>IFNA(VLOOKUP(B45,IMS!$A$2:$E1005,5,0),"")</f>
        <v/>
      </c>
      <c r="D45" s="244"/>
      <c r="E45" s="245"/>
      <c r="F45" s="245"/>
      <c r="G45" s="245"/>
      <c r="H45" s="244" t="str">
        <f>IFERROR(__xludf.DUMMYFUNCTION("""COMPUTED_VALUE"""),"InstaCure 501 Flashdry Led Pr Black")</f>
        <v>InstaCure 501 Flashdry Led Pr Black</v>
      </c>
      <c r="I45" s="244" t="str">
        <f>IFERROR(__xludf.DUMMYFUNCTION("""COMPUTED_VALUE"""),"I-CMY-065")</f>
        <v>I-CMY-065</v>
      </c>
      <c r="J45" s="244" t="str">
        <f>IFERROR(__xludf.DUMMYFUNCTION("""COMPUTED_VALUE"""),"Led")</f>
        <v>Led</v>
      </c>
      <c r="K45" s="244">
        <f>IFNA(VLOOKUP(I45,IMS!$A$2:$E$232,5,0),"")</f>
        <v>0</v>
      </c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</row>
    <row r="46">
      <c r="A46" s="244"/>
      <c r="B46" s="244"/>
      <c r="C46" s="244" t="str">
        <f>IFNA(VLOOKUP(B46,IMS!$A$2:$E1005,5,0),"")</f>
        <v/>
      </c>
      <c r="D46" s="244"/>
      <c r="E46" s="245"/>
      <c r="F46" s="245"/>
      <c r="G46" s="245"/>
      <c r="H46" s="244" t="str">
        <f>IFERROR(__xludf.DUMMYFUNCTION("""COMPUTED_VALUE"""),"InstaCure 501 Flashdry Led Pr White")</f>
        <v>InstaCure 501 Flashdry Led Pr White</v>
      </c>
      <c r="I46" s="244" t="str">
        <f>IFERROR(__xludf.DUMMYFUNCTION("""COMPUTED_VALUE"""),"I-CMY-066")</f>
        <v>I-CMY-066</v>
      </c>
      <c r="J46" s="244" t="str">
        <f>IFERROR(__xludf.DUMMYFUNCTION("""COMPUTED_VALUE"""),"Led")</f>
        <v>Led</v>
      </c>
      <c r="K46" s="244">
        <f>IFNA(VLOOKUP(I46,IMS!$A$2:$E$232,5,0),"")</f>
        <v>0</v>
      </c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</row>
    <row r="47">
      <c r="A47" s="244"/>
      <c r="B47" s="244"/>
      <c r="C47" s="244" t="str">
        <f>IFNA(VLOOKUP(B47,IMS!$A$2:$E1005,5,0),"")</f>
        <v/>
      </c>
      <c r="D47" s="244"/>
      <c r="E47" s="245"/>
      <c r="F47" s="245"/>
      <c r="G47" s="245"/>
      <c r="H47" s="244" t="str">
        <f>IFERROR(__xludf.DUMMYFUNCTION("""COMPUTED_VALUE"""),"InstaCure 501 Flashdry Led Pr Magenta")</f>
        <v>InstaCure 501 Flashdry Led Pr Magenta</v>
      </c>
      <c r="I47" s="244" t="str">
        <f>IFERROR(__xludf.DUMMYFUNCTION("""COMPUTED_VALUE"""),"I-CMY-067")</f>
        <v>I-CMY-067</v>
      </c>
      <c r="J47" s="244" t="str">
        <f>IFERROR(__xludf.DUMMYFUNCTION("""COMPUTED_VALUE"""),"Led")</f>
        <v>Led</v>
      </c>
      <c r="K47" s="244">
        <f>IFNA(VLOOKUP(I47,IMS!$A$2:$E$232,5,0),"")</f>
        <v>1</v>
      </c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</row>
    <row r="48">
      <c r="A48" s="244"/>
      <c r="B48" s="244"/>
      <c r="C48" s="244" t="str">
        <f>IFNA(VLOOKUP(B48,IMS!$A$2:$E1005,5,0),"")</f>
        <v/>
      </c>
      <c r="D48" s="244"/>
      <c r="E48" s="245"/>
      <c r="F48" s="245"/>
      <c r="G48" s="245"/>
      <c r="H48" s="244" t="str">
        <f>IFERROR(__xludf.DUMMYFUNCTION("""COMPUTED_VALUE"""),"InstaCure 501 Flashdry Led Pr Yellow")</f>
        <v>InstaCure 501 Flashdry Led Pr Yellow</v>
      </c>
      <c r="I48" s="244" t="str">
        <f>IFERROR(__xludf.DUMMYFUNCTION("""COMPUTED_VALUE"""),"I-CMY-068")</f>
        <v>I-CMY-068</v>
      </c>
      <c r="J48" s="244" t="str">
        <f>IFERROR(__xludf.DUMMYFUNCTION("""COMPUTED_VALUE"""),"Led")</f>
        <v>Led</v>
      </c>
      <c r="K48" s="244">
        <f>IFNA(VLOOKUP(I48,IMS!$A$2:$E$232,5,0),"")</f>
        <v>1</v>
      </c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</row>
    <row r="49">
      <c r="A49" s="244"/>
      <c r="B49" s="244"/>
      <c r="C49" s="244" t="str">
        <f>IFNA(VLOOKUP(B49,IMS!$A$2:$E1005,5,0),"")</f>
        <v/>
      </c>
      <c r="D49" s="244"/>
      <c r="E49" s="245"/>
      <c r="F49" s="245"/>
      <c r="G49" s="245"/>
      <c r="H49" s="244" t="str">
        <f>IFERROR(__xludf.DUMMYFUNCTION("""COMPUTED_VALUE"""),"InstaCure 501 Flashdry Led - Pr Cyan")</f>
        <v>InstaCure 501 Flashdry Led - Pr Cyan</v>
      </c>
      <c r="I49" s="244" t="str">
        <f>IFERROR(__xludf.DUMMYFUNCTION("""COMPUTED_VALUE"""),"I-CMY-069")</f>
        <v>I-CMY-069</v>
      </c>
      <c r="J49" s="244" t="str">
        <f>IFERROR(__xludf.DUMMYFUNCTION("""COMPUTED_VALUE"""),"Led")</f>
        <v>Led</v>
      </c>
      <c r="K49" s="244">
        <f>IFNA(VLOOKUP(I49,IMS!$A$2:$E$232,5,0),"")</f>
        <v>1</v>
      </c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</row>
    <row r="50">
      <c r="A50" s="244"/>
      <c r="B50" s="244"/>
      <c r="C50" s="244" t="str">
        <f>IFNA(VLOOKUP(B50,IMS!$A$2:$E1005,5,0),"")</f>
        <v/>
      </c>
      <c r="D50" s="244"/>
      <c r="E50" s="245"/>
      <c r="F50" s="245"/>
      <c r="G50" s="245"/>
      <c r="H50" s="244" t="str">
        <f>IFERROR(__xludf.DUMMYFUNCTION("""COMPUTED_VALUE"""),"Sicura Smartcure Uv - Led Pr Cyan")</f>
        <v>Sicura Smartcure Uv - Led Pr Cyan</v>
      </c>
      <c r="I50" s="244" t="str">
        <f>IFERROR(__xludf.DUMMYFUNCTION("""COMPUTED_VALUE"""),"I-CMY-070")</f>
        <v>I-CMY-070</v>
      </c>
      <c r="J50" s="244" t="str">
        <f>IFERROR(__xludf.DUMMYFUNCTION("""COMPUTED_VALUE"""),"Uv Led")</f>
        <v>Uv Led</v>
      </c>
      <c r="K50" s="244">
        <f>IFNA(VLOOKUP(I50,IMS!$A$2:$E$232,5,0),"")</f>
        <v>3</v>
      </c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</row>
    <row r="51">
      <c r="A51" s="244"/>
      <c r="B51" s="244"/>
      <c r="C51" s="244" t="str">
        <f>IFNA(VLOOKUP(B51,IMS!$A$2:$E1005,5,0),"")</f>
        <v/>
      </c>
      <c r="D51" s="244"/>
      <c r="E51" s="245"/>
      <c r="F51" s="245"/>
      <c r="G51" s="245"/>
      <c r="H51" s="244" t="str">
        <f>IFERROR(__xludf.DUMMYFUNCTION("""COMPUTED_VALUE"""),"Sicura Smartcure Uv - Led Pr Magenta")</f>
        <v>Sicura Smartcure Uv - Led Pr Magenta</v>
      </c>
      <c r="I51" s="244" t="str">
        <f>IFERROR(__xludf.DUMMYFUNCTION("""COMPUTED_VALUE"""),"I-CMY-071")</f>
        <v>I-CMY-071</v>
      </c>
      <c r="J51" s="244" t="str">
        <f>IFERROR(__xludf.DUMMYFUNCTION("""COMPUTED_VALUE"""),"Uv Led")</f>
        <v>Uv Led</v>
      </c>
      <c r="K51" s="244">
        <f>IFNA(VLOOKUP(I51,IMS!$A$2:$E$232,5,0),"")</f>
        <v>0</v>
      </c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</row>
    <row r="52">
      <c r="A52" s="244"/>
      <c r="B52" s="244"/>
      <c r="C52" s="244" t="str">
        <f>IFNA(VLOOKUP(B52,IMS!$A$2:$E1005,5,0),"")</f>
        <v/>
      </c>
      <c r="D52" s="244"/>
      <c r="E52" s="245"/>
      <c r="F52" s="245"/>
      <c r="G52" s="245"/>
      <c r="H52" s="244" t="str">
        <f>IFERROR(__xludf.DUMMYFUNCTION("""COMPUTED_VALUE"""),"Sicura Smartcure Uv - Led Pr Yellow")</f>
        <v>Sicura Smartcure Uv - Led Pr Yellow</v>
      </c>
      <c r="I52" s="244" t="str">
        <f>IFERROR(__xludf.DUMMYFUNCTION("""COMPUTED_VALUE"""),"I-CMY-072")</f>
        <v>I-CMY-072</v>
      </c>
      <c r="J52" s="244" t="str">
        <f>IFERROR(__xludf.DUMMYFUNCTION("""COMPUTED_VALUE"""),"Uv Led")</f>
        <v>Uv Led</v>
      </c>
      <c r="K52" s="244">
        <f>IFNA(VLOOKUP(I52,IMS!$A$2:$E$232,5,0),"")</f>
        <v>0</v>
      </c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</row>
    <row r="53">
      <c r="A53" s="244"/>
      <c r="B53" s="244"/>
      <c r="C53" s="244" t="str">
        <f>IFNA(VLOOKUP(B53,IMS!$A$2:$E1005,5,0),"")</f>
        <v/>
      </c>
      <c r="D53" s="244"/>
      <c r="E53" s="245"/>
      <c r="F53" s="245"/>
      <c r="G53" s="245"/>
      <c r="H53" s="244" t="str">
        <f>IFERROR(__xludf.DUMMYFUNCTION("""COMPUTED_VALUE"""),"Sicura Smartcure Uv - Led Pr Black")</f>
        <v>Sicura Smartcure Uv - Led Pr Black</v>
      </c>
      <c r="I53" s="244" t="str">
        <f>IFERROR(__xludf.DUMMYFUNCTION("""COMPUTED_VALUE"""),"I-CMY-073")</f>
        <v>I-CMY-073</v>
      </c>
      <c r="J53" s="244" t="str">
        <f>IFERROR(__xludf.DUMMYFUNCTION("""COMPUTED_VALUE"""),"Uv Led")</f>
        <v>Uv Led</v>
      </c>
      <c r="K53" s="244">
        <f>IFNA(VLOOKUP(I53,IMS!$A$2:$E$232,5,0),"")</f>
        <v>0</v>
      </c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</row>
    <row r="54">
      <c r="A54" s="244"/>
      <c r="B54" s="244"/>
      <c r="C54" s="244" t="str">
        <f>IFNA(VLOOKUP(B54,IMS!$A$2:$E1005,5,0),"")</f>
        <v/>
      </c>
      <c r="D54" s="244"/>
      <c r="E54" s="245"/>
      <c r="F54" s="245"/>
      <c r="G54" s="245"/>
      <c r="H54" s="244" t="str">
        <f>IFERROR(__xludf.DUMMYFUNCTION("""COMPUTED_VALUE"""),"Radicure Led 100000 PRO YELLOW")</f>
        <v>Radicure Led 100000 PRO YELLOW</v>
      </c>
      <c r="I54" s="244" t="str">
        <f>IFERROR(__xludf.DUMMYFUNCTION("""COMPUTED_VALUE"""),"I-CMY-225")</f>
        <v>I-CMY-225</v>
      </c>
      <c r="J54" s="244" t="str">
        <f>IFERROR(__xludf.DUMMYFUNCTION("""COMPUTED_VALUE"""),"–")</f>
        <v>–</v>
      </c>
      <c r="K54" s="244">
        <f>IFNA(VLOOKUP(I54,IMS!$A$2:$E$232,5,0),"")</f>
        <v>6</v>
      </c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</row>
    <row r="55">
      <c r="A55" s="244"/>
      <c r="B55" s="244"/>
      <c r="C55" s="244" t="str">
        <f>IFNA(VLOOKUP(B55,IMS!$A$2:$E1005,5,0),"")</f>
        <v/>
      </c>
      <c r="D55" s="244"/>
      <c r="E55" s="245"/>
      <c r="F55" s="245"/>
      <c r="G55" s="245"/>
      <c r="H55" s="244" t="str">
        <f>IFERROR(__xludf.DUMMYFUNCTION("""COMPUTED_VALUE"""),"Radicure Led 100000 PRO WHITE")</f>
        <v>Radicure Led 100000 PRO WHITE</v>
      </c>
      <c r="I55" s="244" t="str">
        <f>IFERROR(__xludf.DUMMYFUNCTION("""COMPUTED_VALUE"""),"I-CMY-226")</f>
        <v>I-CMY-226</v>
      </c>
      <c r="J55" s="244" t="str">
        <f>IFERROR(__xludf.DUMMYFUNCTION("""COMPUTED_VALUE"""),"–")</f>
        <v>–</v>
      </c>
      <c r="K55" s="244">
        <f>IFNA(VLOOKUP(I55,IMS!$A$2:$E$232,5,0),"")</f>
        <v>2</v>
      </c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</row>
    <row r="56">
      <c r="A56" s="244"/>
      <c r="B56" s="244"/>
      <c r="C56" s="244" t="str">
        <f>IFNA(VLOOKUP(B56,IMS!$A$2:$E1005,5,0),"")</f>
        <v/>
      </c>
      <c r="D56" s="244"/>
      <c r="E56" s="245"/>
      <c r="F56" s="245"/>
      <c r="G56" s="245"/>
      <c r="H56" s="244" t="str">
        <f>IFERROR(__xludf.DUMMYFUNCTION("""COMPUTED_VALUE"""),"Radicure Led 100000 PRO MAGENTA")</f>
        <v>Radicure Led 100000 PRO MAGENTA</v>
      </c>
      <c r="I56" s="244" t="str">
        <f>IFERROR(__xludf.DUMMYFUNCTION("""COMPUTED_VALUE"""),"I-CMY-227")</f>
        <v>I-CMY-227</v>
      </c>
      <c r="J56" s="244" t="str">
        <f>IFERROR(__xludf.DUMMYFUNCTION("""COMPUTED_VALUE"""),"–")</f>
        <v>–</v>
      </c>
      <c r="K56" s="244">
        <f>IFNA(VLOOKUP(I56,IMS!$A$2:$E$232,5,0),"")</f>
        <v>5</v>
      </c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</row>
    <row r="57">
      <c r="A57" s="244"/>
      <c r="B57" s="244"/>
      <c r="C57" s="244" t="str">
        <f>IFNA(VLOOKUP(B57,IMS!$A$2:$E1005,5,0),"")</f>
        <v/>
      </c>
      <c r="D57" s="244"/>
      <c r="E57" s="245"/>
      <c r="F57" s="245"/>
      <c r="G57" s="245"/>
      <c r="H57" s="244" t="str">
        <f>IFERROR(__xludf.DUMMYFUNCTION("""COMPUTED_VALUE"""),"Radicure Led 100000 PRO CYAN")</f>
        <v>Radicure Led 100000 PRO CYAN</v>
      </c>
      <c r="I57" s="244" t="str">
        <f>IFERROR(__xludf.DUMMYFUNCTION("""COMPUTED_VALUE"""),"I-CMY-228")</f>
        <v>I-CMY-228</v>
      </c>
      <c r="J57" s="244" t="str">
        <f>IFERROR(__xludf.DUMMYFUNCTION("""COMPUTED_VALUE"""),"–")</f>
        <v>–</v>
      </c>
      <c r="K57" s="244">
        <f>IFNA(VLOOKUP(I57,IMS!$A$2:$E$232,5,0),"")</f>
        <v>4</v>
      </c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</row>
    <row r="58">
      <c r="A58" s="244"/>
      <c r="B58" s="244"/>
      <c r="C58" s="244" t="str">
        <f>IFNA(VLOOKUP(B58,IMS!$A$2:$E1005,5,0),"")</f>
        <v/>
      </c>
      <c r="D58" s="244"/>
      <c r="E58" s="245"/>
      <c r="F58" s="245"/>
      <c r="G58" s="245"/>
      <c r="H58" s="244" t="str">
        <f>IFERROR(__xludf.DUMMYFUNCTION("""COMPUTED_VALUE"""),"Radicure Led 100000 PRO BLACK")</f>
        <v>Radicure Led 100000 PRO BLACK</v>
      </c>
      <c r="I58" s="244" t="str">
        <f>IFERROR(__xludf.DUMMYFUNCTION("""COMPUTED_VALUE"""),"I-CMY-229")</f>
        <v>I-CMY-229</v>
      </c>
      <c r="J58" s="244" t="str">
        <f>IFERROR(__xludf.DUMMYFUNCTION("""COMPUTED_VALUE"""),"–")</f>
        <v>–</v>
      </c>
      <c r="K58" s="244">
        <f>IFNA(VLOOKUP(I58,IMS!$A$2:$E$232,5,0),"")</f>
        <v>5</v>
      </c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</row>
    <row r="59">
      <c r="A59" s="244"/>
      <c r="B59" s="244"/>
      <c r="C59" s="244" t="str">
        <f>IFNA(VLOOKUP(B59,IMS!$A$2:$E1005,5,0),"")</f>
        <v/>
      </c>
      <c r="D59" s="244"/>
      <c r="E59" s="245"/>
      <c r="F59" s="245"/>
      <c r="G59" s="245"/>
      <c r="H59" s="245"/>
      <c r="I59" s="245"/>
      <c r="J59" s="245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</row>
    <row r="60">
      <c r="A60" s="244"/>
      <c r="B60" s="244"/>
      <c r="C60" s="244" t="str">
        <f>IFNA(VLOOKUP(B60,IMS!$A$2:$E1005,5,0),"")</f>
        <v/>
      </c>
      <c r="D60" s="244"/>
      <c r="E60" s="245"/>
      <c r="F60" s="245"/>
      <c r="G60" s="245"/>
      <c r="H60" s="245"/>
      <c r="I60" s="245"/>
      <c r="J60" s="245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</row>
    <row r="61">
      <c r="A61" s="244"/>
      <c r="B61" s="244"/>
      <c r="C61" s="244" t="str">
        <f>IFNA(VLOOKUP(B61,IMS!$A$2:$E1005,5,0),"")</f>
        <v/>
      </c>
      <c r="D61" s="244"/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</row>
    <row r="62">
      <c r="A62" s="244"/>
      <c r="B62" s="244"/>
      <c r="C62" s="244" t="str">
        <f>IFNA(VLOOKUP(B62,IMS!$A$2:$E1005,5,0),"")</f>
        <v/>
      </c>
      <c r="D62" s="244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</row>
    <row r="63">
      <c r="A63" s="244"/>
      <c r="B63" s="244"/>
      <c r="C63" s="244" t="str">
        <f>IFNA(VLOOKUP(B63,IMS!$A$2:$E1005,5,0),"")</f>
        <v/>
      </c>
      <c r="D63" s="244"/>
      <c r="E63" s="245"/>
      <c r="F63" s="245"/>
      <c r="G63" s="245"/>
      <c r="H63" s="245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</row>
    <row r="64">
      <c r="A64" s="245"/>
      <c r="B64" s="245"/>
      <c r="C64" s="244" t="str">
        <f>IFNA(VLOOKUP(B64,IMS!$A$2:$E1005,5,0),"")</f>
        <v/>
      </c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</row>
    <row r="65">
      <c r="A65" s="245"/>
      <c r="B65" s="245"/>
      <c r="C65" s="244" t="str">
        <f>IFNA(VLOOKUP(B65,IMS!$A$2:$E1005,5,0),"")</f>
        <v/>
      </c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</row>
    <row r="66">
      <c r="A66" s="25"/>
      <c r="B66" s="25"/>
      <c r="C66" s="244" t="str">
        <f>IFNA(VLOOKUP(B66,IMS!$A$2:$E1005,5,0),"")</f>
        <v/>
      </c>
      <c r="E66" s="245"/>
      <c r="F66" s="245"/>
      <c r="G66" s="245"/>
      <c r="H66" s="245"/>
      <c r="I66" s="245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</row>
    <row r="67">
      <c r="A67" s="25"/>
      <c r="B67" s="25"/>
      <c r="C67" s="244" t="str">
        <f>IFNA(VLOOKUP(B67,IMS!$A$2:$E1005,5,0),"")</f>
        <v/>
      </c>
      <c r="E67" s="245"/>
      <c r="F67" s="245"/>
      <c r="G67" s="245"/>
      <c r="H67" s="245"/>
      <c r="I67" s="245"/>
      <c r="J67" s="245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</row>
    <row r="68">
      <c r="A68" s="25"/>
      <c r="B68" s="2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</row>
    <row r="69">
      <c r="A69" s="25"/>
      <c r="B69" s="2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</row>
    <row r="70">
      <c r="A70" s="25"/>
      <c r="B70" s="25"/>
      <c r="E70" s="245"/>
      <c r="F70" s="245"/>
      <c r="G70" s="245"/>
      <c r="H70" s="245"/>
      <c r="I70" s="245"/>
      <c r="J70" s="245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</row>
    <row r="71">
      <c r="A71" s="25"/>
      <c r="B71" s="2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</row>
    <row r="72">
      <c r="A72" s="25"/>
      <c r="B72" s="2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</row>
    <row r="73">
      <c r="A73" s="25"/>
      <c r="B73" s="2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</row>
    <row r="74">
      <c r="A74" s="25"/>
      <c r="B74" s="25"/>
      <c r="E74" s="245"/>
      <c r="F74" s="245"/>
      <c r="G74" s="245"/>
      <c r="H74" s="245"/>
      <c r="I74" s="245"/>
      <c r="J74" s="245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</row>
    <row r="75">
      <c r="A75" s="25"/>
      <c r="B75" s="2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</row>
    <row r="76">
      <c r="A76" s="25"/>
      <c r="B76" s="25"/>
      <c r="E76" s="245"/>
      <c r="F76" s="245"/>
      <c r="G76" s="245"/>
      <c r="H76" s="245"/>
      <c r="I76" s="245"/>
      <c r="J76" s="245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</row>
    <row r="77">
      <c r="A77" s="253" t="s">
        <v>2545</v>
      </c>
      <c r="B77" s="254"/>
      <c r="C77" s="254" t="str">
        <f>IFNA(VLOOKUP(B77,IMS!$A$2:$E1005,5,0),"")</f>
        <v/>
      </c>
      <c r="D77" s="244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</row>
    <row r="78">
      <c r="A78" s="244" t="str">
        <f>IFERROR(__xludf.DUMMYFUNCTION("FILTER({'Item List'!A2:A1005,'Item List'!I2:I1005},'Item List'!B2:B1005=""Paper"",'Item List'!C2:C1005=""Duplex"")"),"#REF!")</f>
        <v>#REF!</v>
      </c>
      <c r="B78" s="244"/>
      <c r="C78" s="244" t="str">
        <f>IFNA(VLOOKUP(B78,IMS!$A$2:$E1005,5,0),"")</f>
        <v/>
      </c>
      <c r="D78" s="244"/>
      <c r="E78" s="245"/>
      <c r="F78" s="245"/>
      <c r="G78" s="245"/>
      <c r="H78" s="245"/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</row>
    <row r="79">
      <c r="A79" s="244"/>
      <c r="B79" s="244"/>
      <c r="C79" s="244" t="str">
        <f>IFNA(VLOOKUP(B79,IMS!$A$2:$E1005,5,0),"")</f>
        <v/>
      </c>
      <c r="D79" s="244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</row>
    <row r="80">
      <c r="A80" s="244"/>
      <c r="B80" s="244"/>
      <c r="C80" s="244" t="str">
        <f>IFNA(VLOOKUP(B80,IMS!$A$2:$E1005,5,0),"")</f>
        <v/>
      </c>
      <c r="D80" s="244"/>
      <c r="E80" s="245"/>
      <c r="F80" s="245"/>
      <c r="G80" s="245"/>
      <c r="H80" s="245"/>
      <c r="I80" s="245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</row>
    <row r="81">
      <c r="A81" s="244"/>
      <c r="B81" s="244"/>
      <c r="C81" s="244" t="str">
        <f>IFNA(VLOOKUP(B81,IMS!$A$2:$E1005,5,0),"")</f>
        <v/>
      </c>
      <c r="D81" s="244"/>
      <c r="E81" s="245"/>
      <c r="F81" s="245"/>
      <c r="G81" s="245"/>
      <c r="H81" s="245"/>
      <c r="I81" s="245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</row>
    <row r="82">
      <c r="A82" s="244"/>
      <c r="B82" s="244"/>
      <c r="C82" s="244" t="str">
        <f>IFNA(VLOOKUP(B82,IMS!$A$2:$E1005,5,0),"")</f>
        <v/>
      </c>
      <c r="D82" s="244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</row>
    <row r="83">
      <c r="A83" s="244"/>
      <c r="B83" s="244"/>
      <c r="C83" s="244" t="str">
        <f>IFNA(VLOOKUP(B83,IMS!$A$2:$E1005,5,0),"")</f>
        <v/>
      </c>
      <c r="D83" s="244"/>
      <c r="E83" s="245"/>
      <c r="F83" s="245"/>
      <c r="G83" s="245"/>
      <c r="H83" s="245"/>
      <c r="I83" s="245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</row>
    <row r="84">
      <c r="A84" s="244"/>
      <c r="B84" s="244"/>
      <c r="C84" s="244" t="str">
        <f>IFNA(VLOOKUP(B84,IMS!$A$2:$E1005,5,0),"")</f>
        <v/>
      </c>
      <c r="D84" s="244"/>
      <c r="E84" s="245"/>
      <c r="F84" s="245"/>
      <c r="G84" s="245"/>
      <c r="H84" s="245"/>
      <c r="I84" s="245"/>
      <c r="J84" s="245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</row>
    <row r="85">
      <c r="A85" s="244"/>
      <c r="B85" s="244"/>
      <c r="C85" s="244" t="str">
        <f>IFNA(VLOOKUP(B85,IMS!$A$2:$E1005,5,0),"")</f>
        <v/>
      </c>
      <c r="D85" s="244"/>
      <c r="E85" s="245"/>
      <c r="F85" s="245"/>
      <c r="G85" s="245"/>
      <c r="H85" s="245"/>
      <c r="I85" s="245"/>
      <c r="J85" s="245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</row>
    <row r="86">
      <c r="A86" s="244"/>
      <c r="B86" s="244"/>
      <c r="C86" s="244" t="str">
        <f>IFNA(VLOOKUP(B86,IMS!$A$2:$E1005,5,0),"")</f>
        <v/>
      </c>
      <c r="D86" s="244"/>
      <c r="E86" s="245"/>
      <c r="F86" s="245"/>
      <c r="G86" s="245"/>
      <c r="H86" s="245"/>
      <c r="I86" s="245"/>
      <c r="J86" s="245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</row>
    <row r="87">
      <c r="A87" s="244"/>
      <c r="B87" s="244"/>
      <c r="C87" s="244" t="str">
        <f>IFNA(VLOOKUP(B87,IMS!$A$2:$E1005,5,0),"")</f>
        <v/>
      </c>
      <c r="D87" s="244"/>
      <c r="E87" s="245"/>
      <c r="F87" s="245"/>
      <c r="G87" s="245"/>
      <c r="H87" s="245"/>
      <c r="I87" s="245"/>
      <c r="J87" s="245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</row>
    <row r="88">
      <c r="A88" s="244"/>
      <c r="B88" s="244"/>
      <c r="C88" s="244" t="str">
        <f>IFNA(VLOOKUP(B88,IMS!$A$2:$E1005,5,0),"")</f>
        <v/>
      </c>
      <c r="D88" s="244"/>
      <c r="E88" s="245"/>
      <c r="F88" s="245"/>
      <c r="G88" s="245"/>
      <c r="H88" s="245"/>
      <c r="I88" s="245"/>
      <c r="J88" s="245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</row>
    <row r="89">
      <c r="A89" s="244"/>
      <c r="B89" s="244"/>
      <c r="C89" s="244" t="str">
        <f>IFNA(VLOOKUP(B89,IMS!$A$2:$E1005,5,0),"")</f>
        <v/>
      </c>
      <c r="D89" s="244"/>
      <c r="E89" s="245"/>
      <c r="F89" s="245"/>
      <c r="G89" s="245"/>
      <c r="H89" s="245"/>
      <c r="I89" s="245"/>
      <c r="J89" s="24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</row>
    <row r="90">
      <c r="A90" s="244"/>
      <c r="B90" s="244"/>
      <c r="C90" s="244" t="str">
        <f>IFNA(VLOOKUP(B90,IMS!$A$2:$E1005,5,0),"")</f>
        <v/>
      </c>
      <c r="D90" s="244"/>
      <c r="E90" s="245"/>
      <c r="F90" s="245"/>
      <c r="G90" s="245"/>
      <c r="H90" s="245"/>
      <c r="I90" s="245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</row>
    <row r="91">
      <c r="A91" s="244"/>
      <c r="B91" s="244"/>
      <c r="C91" s="244" t="str">
        <f>IFNA(VLOOKUP(B91,IMS!$A$2:$E1005,5,0),"")</f>
        <v/>
      </c>
      <c r="D91" s="244"/>
      <c r="E91" s="245"/>
      <c r="F91" s="245"/>
      <c r="G91" s="245"/>
      <c r="H91" s="245"/>
      <c r="I91" s="245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</row>
    <row r="92">
      <c r="A92" s="244"/>
      <c r="B92" s="244"/>
      <c r="C92" s="244" t="str">
        <f>IFNA(VLOOKUP(B92,IMS!$A$2:$E1005,5,0),"")</f>
        <v/>
      </c>
      <c r="D92" s="244"/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</row>
    <row r="93">
      <c r="A93" s="244"/>
      <c r="B93" s="244"/>
      <c r="C93" s="244" t="str">
        <f>IFNA(VLOOKUP(B93,IMS!$A$2:$E1005,5,0),"")</f>
        <v/>
      </c>
      <c r="D93" s="244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</row>
    <row r="94">
      <c r="A94" s="244"/>
      <c r="B94" s="244"/>
      <c r="C94" s="244" t="str">
        <f>IFNA(VLOOKUP(B94,IMS!$A$2:$E1005,5,0),"")</f>
        <v/>
      </c>
      <c r="D94" s="244"/>
      <c r="E94" s="245"/>
      <c r="F94" s="245"/>
      <c r="G94" s="245"/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</row>
    <row r="95">
      <c r="A95" s="244"/>
      <c r="B95" s="244"/>
      <c r="C95" s="244" t="str">
        <f>IFNA(VLOOKUP(B95,IMS!$A$2:$E1005,5,0),"")</f>
        <v/>
      </c>
      <c r="D95" s="244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</row>
    <row r="96">
      <c r="A96" s="244"/>
      <c r="B96" s="244"/>
      <c r="C96" s="244" t="str">
        <f>IFNA(VLOOKUP(B96,IMS!$A$2:$E1005,5,0),"")</f>
        <v/>
      </c>
      <c r="D96" s="244"/>
      <c r="E96" s="245"/>
      <c r="F96" s="245"/>
      <c r="G96" s="245"/>
      <c r="H96" s="245"/>
      <c r="I96" s="245"/>
      <c r="J96" s="245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</row>
    <row r="97">
      <c r="A97" s="245"/>
      <c r="B97" s="245"/>
      <c r="C97" s="244" t="str">
        <f>IFNA(VLOOKUP(B97,IMS!$A$2:$E1005,5,0),"")</f>
        <v/>
      </c>
      <c r="D97" s="245"/>
      <c r="E97" s="245"/>
      <c r="F97" s="245"/>
      <c r="G97" s="245"/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</row>
    <row r="98">
      <c r="A98" s="244"/>
      <c r="B98" s="244"/>
      <c r="C98" s="244" t="str">
        <f>IFNA(VLOOKUP(B98,IMS!$A$2:$E1005,5,0),"")</f>
        <v/>
      </c>
      <c r="D98" s="244"/>
      <c r="E98" s="245"/>
      <c r="F98" s="245"/>
      <c r="G98" s="245"/>
      <c r="H98" s="245"/>
      <c r="I98" s="245"/>
      <c r="J98" s="245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</row>
    <row r="99">
      <c r="A99" s="25"/>
      <c r="B99" s="25"/>
      <c r="C99" s="244" t="str">
        <f>IFNA(VLOOKUP(B99,IMS!$A$2:$E1005,5,0),"")</f>
        <v/>
      </c>
      <c r="E99" s="245"/>
      <c r="F99" s="245"/>
      <c r="G99" s="245"/>
      <c r="H99" s="245"/>
      <c r="I99" s="245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</row>
    <row r="100">
      <c r="A100" s="25"/>
      <c r="B100" s="25"/>
      <c r="E100" s="245"/>
      <c r="F100" s="245"/>
      <c r="G100" s="245"/>
      <c r="H100" s="245"/>
      <c r="I100" s="245"/>
      <c r="J100" s="245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</row>
    <row r="101">
      <c r="A101" s="25"/>
      <c r="B101" s="25"/>
      <c r="E101" s="245"/>
      <c r="F101" s="245"/>
      <c r="G101" s="245"/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</row>
    <row r="102">
      <c r="A102" s="25"/>
      <c r="B102" s="25"/>
      <c r="E102" s="245"/>
      <c r="F102" s="245"/>
      <c r="G102" s="245"/>
      <c r="H102" s="245"/>
      <c r="I102" s="245"/>
      <c r="J102" s="245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</row>
    <row r="103">
      <c r="A103" s="25"/>
      <c r="B103" s="25"/>
      <c r="E103" s="245"/>
      <c r="F103" s="245"/>
      <c r="G103" s="245"/>
      <c r="H103" s="245"/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</row>
    <row r="104">
      <c r="A104" s="25"/>
      <c r="B104" s="25"/>
      <c r="E104" s="245"/>
      <c r="F104" s="245"/>
      <c r="G104" s="245"/>
      <c r="H104" s="245"/>
      <c r="I104" s="245"/>
      <c r="J104" s="245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</row>
    <row r="105">
      <c r="A105" s="245"/>
      <c r="B105" s="245"/>
      <c r="C105" s="245"/>
      <c r="D105" s="245"/>
      <c r="E105" s="245"/>
      <c r="F105" s="245"/>
      <c r="G105" s="245"/>
      <c r="H105" s="245"/>
      <c r="I105" s="245"/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</row>
    <row r="106">
      <c r="A106" s="245"/>
      <c r="B106" s="245"/>
      <c r="C106" s="245"/>
      <c r="D106" s="245"/>
      <c r="E106" s="245"/>
      <c r="F106" s="245"/>
      <c r="G106" s="245"/>
      <c r="H106" s="245"/>
      <c r="I106" s="245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</row>
    <row r="107">
      <c r="A107" s="258" t="s">
        <v>2557</v>
      </c>
      <c r="B107" s="259"/>
      <c r="C107" s="259" t="str">
        <f>IFNA(VLOOKUP(B107,IMS!$A$2:$E1005,5,0),"")</f>
        <v/>
      </c>
      <c r="D107" s="244"/>
      <c r="E107" s="245"/>
      <c r="F107" s="245"/>
      <c r="G107" s="245"/>
      <c r="H107" s="245"/>
      <c r="I107" s="245"/>
      <c r="J107" s="245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</row>
    <row r="108">
      <c r="A108" s="244" t="str">
        <f>IFERROR(__xludf.DUMMYFUNCTION("FILTER({'Item List'!A2:A1005,'Item List'!I2:I1005},'Item List'!B2:B1005=""Paper"",'Item List'!C2:C1005=""Art Card"")"),"Art Card 23X36 350Gsm")</f>
        <v>Art Card 23X36 350Gsm</v>
      </c>
      <c r="B108" s="244" t="str">
        <f>IFERROR(__xludf.DUMMYFUNCTION("""COMPUTED_VALUE"""),"P-ART-038")</f>
        <v>P-ART-038</v>
      </c>
      <c r="C108" s="244">
        <f>IFNA(VLOOKUP(B108,IMS!$A$2:$E1005,5,0),"")</f>
        <v>0</v>
      </c>
      <c r="D108" s="244"/>
      <c r="E108" s="245"/>
      <c r="F108" s="245"/>
      <c r="G108" s="245"/>
      <c r="H108" s="245"/>
      <c r="I108" s="245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</row>
    <row r="109">
      <c r="A109" s="244" t="str">
        <f>IFERROR(__xludf.DUMMYFUNCTION("""COMPUTED_VALUE"""),"Art Card 26X38 350Gsm")</f>
        <v>Art Card 26X38 350Gsm</v>
      </c>
      <c r="B109" s="244" t="str">
        <f>IFERROR(__xludf.DUMMYFUNCTION("""COMPUTED_VALUE"""),"P-ART-039")</f>
        <v>P-ART-039</v>
      </c>
      <c r="C109" s="244">
        <f>IFNA(VLOOKUP(B109,IMS!$A$2:$E1005,5,0),"")</f>
        <v>500</v>
      </c>
      <c r="D109" s="244"/>
      <c r="E109" s="245"/>
      <c r="F109" s="245"/>
      <c r="G109" s="245"/>
      <c r="H109" s="245"/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</row>
    <row r="110">
      <c r="A110" s="244" t="str">
        <f>IFERROR(__xludf.DUMMYFUNCTION("""COMPUTED_VALUE"""),"Art Card 25X36 150Gsm")</f>
        <v>Art Card 25X36 150Gsm</v>
      </c>
      <c r="B110" s="244" t="str">
        <f>IFERROR(__xludf.DUMMYFUNCTION("""COMPUTED_VALUE"""),"P-ART-042")</f>
        <v>P-ART-042</v>
      </c>
      <c r="C110" s="244">
        <f>IFNA(VLOOKUP(B110,IMS!$A$2:$E1005,5,0),"")</f>
        <v>0</v>
      </c>
      <c r="D110" s="244"/>
      <c r="E110" s="245"/>
      <c r="F110" s="245"/>
      <c r="G110" s="245"/>
      <c r="H110" s="245"/>
      <c r="I110" s="245"/>
      <c r="J110" s="245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</row>
    <row r="111">
      <c r="A111" s="244" t="str">
        <f>IFERROR(__xludf.DUMMYFUNCTION("""COMPUTED_VALUE"""),"Art Card 23X36 300Gsm")</f>
        <v>Art Card 23X36 300Gsm</v>
      </c>
      <c r="B111" s="244" t="str">
        <f>IFERROR(__xludf.DUMMYFUNCTION("""COMPUTED_VALUE"""),"P-ART-046")</f>
        <v>P-ART-046</v>
      </c>
      <c r="C111" s="244">
        <f>IFNA(VLOOKUP(B111,IMS!$A$2:$E1005,5,0),"")</f>
        <v>0</v>
      </c>
      <c r="D111" s="244"/>
      <c r="E111" s="245"/>
      <c r="F111" s="245"/>
      <c r="G111" s="245"/>
      <c r="H111" s="245"/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</row>
    <row r="112">
      <c r="A112" s="244" t="str">
        <f>IFERROR(__xludf.DUMMYFUNCTION("""COMPUTED_VALUE"""),"Art Card 25X36 300Gsm")</f>
        <v>Art Card 25X36 300Gsm</v>
      </c>
      <c r="B112" s="244" t="str">
        <f>IFERROR(__xludf.DUMMYFUNCTION("""COMPUTED_VALUE"""),"P-ART-176")</f>
        <v>P-ART-176</v>
      </c>
      <c r="C112" s="244">
        <f>IFNA(VLOOKUP(B112,IMS!$A$2:$E1005,5,0),"")</f>
        <v>0</v>
      </c>
      <c r="D112" s="244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</row>
    <row r="113">
      <c r="A113" s="244" t="str">
        <f>IFERROR(__xludf.DUMMYFUNCTION("""COMPUTED_VALUE"""),"Art Card 20X30 250Gsm")</f>
        <v>Art Card 20X30 250Gsm</v>
      </c>
      <c r="B113" s="244" t="str">
        <f>IFERROR(__xludf.DUMMYFUNCTION("""COMPUTED_VALUE"""),"P-ART-177")</f>
        <v>P-ART-177</v>
      </c>
      <c r="C113" s="244">
        <f>IFNA(VLOOKUP(B113,IMS!$A$2:$E1005,5,0),"")</f>
        <v>0</v>
      </c>
      <c r="D113" s="244"/>
      <c r="E113" s="245"/>
      <c r="F113" s="245"/>
      <c r="G113" s="245"/>
      <c r="H113" s="245"/>
      <c r="I113" s="245"/>
      <c r="J113" s="245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</row>
    <row r="114">
      <c r="A114" s="244" t="str">
        <f>IFERROR(__xludf.DUMMYFUNCTION("""COMPUTED_VALUE"""),"Art Card 18X24 330Gsm")</f>
        <v>Art Card 18X24 330Gsm</v>
      </c>
      <c r="B114" s="244" t="str">
        <f>IFERROR(__xludf.DUMMYFUNCTION("""COMPUTED_VALUE"""),"P-ART-220")</f>
        <v>P-ART-220</v>
      </c>
      <c r="C114" s="244">
        <f>IFNA(VLOOKUP(B114,IMS!$A$2:$E1005,5,0),"")</f>
        <v>2100</v>
      </c>
      <c r="D114" s="244"/>
      <c r="E114" s="245"/>
      <c r="F114" s="245"/>
      <c r="G114" s="245"/>
      <c r="H114" s="245"/>
      <c r="I114" s="245"/>
      <c r="J114" s="245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</row>
    <row r="115">
      <c r="A115" s="244" t="str">
        <f>IFERROR(__xludf.DUMMYFUNCTION("""COMPUTED_VALUE"""),"Art Card 25X36 250 Gms ")</f>
        <v>Art Card 25X36 250 Gms </v>
      </c>
      <c r="B115" s="244" t="str">
        <f>IFERROR(__xludf.DUMMYFUNCTION("""COMPUTED_VALUE"""),"P-ART-243")</f>
        <v>P-ART-243</v>
      </c>
      <c r="C115" s="244">
        <f>IFNA(VLOOKUP(B115,IMS!$A$2:$E1005,5,0),"")</f>
        <v>0</v>
      </c>
      <c r="D115" s="244"/>
      <c r="E115" s="245"/>
      <c r="F115" s="245"/>
      <c r="G115" s="245"/>
      <c r="H115" s="245"/>
      <c r="I115" s="245"/>
      <c r="J115" s="245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</row>
    <row r="116">
      <c r="A116" s="244" t="str">
        <f>IFERROR(__xludf.DUMMYFUNCTION("""COMPUTED_VALUE"""),"Art Paper 23X36 170Gsm")</f>
        <v>Art Paper 23X36 170Gsm</v>
      </c>
      <c r="B116" s="244" t="str">
        <f>IFERROR(__xludf.DUMMYFUNCTION("""COMPUTED_VALUE"""),"P-ART-411")</f>
        <v>P-ART-411</v>
      </c>
      <c r="C116" s="244">
        <f>IFNA(VLOOKUP(B116,IMS!$A$2:$E1005,5,0),"")</f>
        <v>500</v>
      </c>
      <c r="D116" s="244"/>
      <c r="E116" s="245"/>
      <c r="F116" s="245"/>
      <c r="G116" s="245"/>
      <c r="H116" s="245"/>
      <c r="I116" s="245"/>
      <c r="J116" s="245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</row>
    <row r="117">
      <c r="A117" s="244" t="str">
        <f>IFERROR(__xludf.DUMMYFUNCTION("FILTER({'Item List'!A2:A1005,'Item List'!I2:I1005},'Item List'!B2:B1005=""Paper"",'Item List'!C2:C1005=""Art Paper"")"),"Art Paper 25X36 150Gsm")</f>
        <v>Art Paper 25X36 150Gsm</v>
      </c>
      <c r="B117" s="244" t="str">
        <f>IFERROR(__xludf.DUMMYFUNCTION("""COMPUTED_VALUE"""),"P-ART-043")</f>
        <v>P-ART-043</v>
      </c>
      <c r="C117" s="244">
        <f>IFNA(VLOOKUP(B117,IMS!$A$2:$E1005,5,0),"")</f>
        <v>0</v>
      </c>
      <c r="D117" s="244"/>
      <c r="E117" s="245"/>
      <c r="F117" s="245"/>
      <c r="G117" s="245"/>
      <c r="H117" s="245"/>
      <c r="I117" s="245"/>
      <c r="J117" s="245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</row>
    <row r="118">
      <c r="A118" s="244" t="str">
        <f>IFERROR(__xludf.DUMMYFUNCTION("""COMPUTED_VALUE"""),"Art Paper 20X30 150Gsm")</f>
        <v>Art Paper 20X30 150Gsm</v>
      </c>
      <c r="B118" s="244" t="str">
        <f>IFERROR(__xludf.DUMMYFUNCTION("""COMPUTED_VALUE"""),"P-ART-044")</f>
        <v>P-ART-044</v>
      </c>
      <c r="C118" s="244">
        <f>IFNA(VLOOKUP(B118,IMS!$A$2:$E1005,5,0),"")</f>
        <v>450</v>
      </c>
      <c r="D118" s="244"/>
      <c r="E118" s="245"/>
      <c r="F118" s="245"/>
      <c r="G118" s="245"/>
      <c r="H118" s="245"/>
      <c r="I118" s="245"/>
      <c r="J118" s="245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</row>
    <row r="119">
      <c r="A119" s="244" t="str">
        <f>IFERROR(__xludf.DUMMYFUNCTION("""COMPUTED_VALUE"""),"Art Paper 30X40 128Gsm")</f>
        <v>Art Paper 30X40 128Gsm</v>
      </c>
      <c r="B119" s="244" t="str">
        <f>IFERROR(__xludf.DUMMYFUNCTION("""COMPUTED_VALUE"""),"P-ART-045")</f>
        <v>P-ART-045</v>
      </c>
      <c r="C119" s="244">
        <f>IFNA(VLOOKUP(B119,IMS!$A$2:$E1005,5,0),"")</f>
        <v>1300</v>
      </c>
      <c r="D119" s="244"/>
      <c r="E119" s="245"/>
      <c r="F119" s="245"/>
      <c r="G119" s="245"/>
      <c r="H119" s="245"/>
      <c r="I119" s="245"/>
      <c r="J119" s="245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</row>
    <row r="120">
      <c r="A120" s="244" t="str">
        <f>IFERROR(__xludf.DUMMYFUNCTION("""COMPUTED_VALUE"""),"Art Paper 25X36 170Gsm")</f>
        <v>Art Paper 25X36 170Gsm</v>
      </c>
      <c r="B120" s="244" t="str">
        <f>IFERROR(__xludf.DUMMYFUNCTION("""COMPUTED_VALUE"""),"P-ART-205")</f>
        <v>P-ART-205</v>
      </c>
      <c r="C120" s="244">
        <f>IFNA(VLOOKUP(B120,IMS!$A$2:$E1005,5,0),"")</f>
        <v>0</v>
      </c>
      <c r="D120" s="244"/>
      <c r="E120" s="245"/>
      <c r="F120" s="245"/>
      <c r="G120" s="245"/>
      <c r="H120" s="245"/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</row>
    <row r="121">
      <c r="A121" s="244" t="str">
        <f>IFERROR(__xludf.DUMMYFUNCTION("""COMPUTED_VALUE"""),"Art Paper 25X36 150Gsm")</f>
        <v>Art Paper 25X36 150Gsm</v>
      </c>
      <c r="B121" s="244" t="str">
        <f>IFERROR(__xludf.DUMMYFUNCTION("""COMPUTED_VALUE"""),"P-ART-214")</f>
        <v>P-ART-214</v>
      </c>
      <c r="C121" s="244">
        <f>IFNA(VLOOKUP(B121,IMS!$A$2:$E1005,5,0),"")</f>
        <v>0</v>
      </c>
      <c r="D121" s="244"/>
      <c r="E121" s="245"/>
      <c r="F121" s="245"/>
      <c r="G121" s="245"/>
      <c r="H121" s="245"/>
      <c r="I121" s="245"/>
      <c r="J121" s="245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</row>
    <row r="122">
      <c r="A122" s="244" t="str">
        <f>IFERROR(__xludf.DUMMYFUNCTION("""COMPUTED_VALUE"""),"Art Paper 30X40 170Gsm")</f>
        <v>Art Paper 30X40 170Gsm</v>
      </c>
      <c r="B122" s="244" t="str">
        <f>IFERROR(__xludf.DUMMYFUNCTION("""COMPUTED_VALUE"""),"P-ART-222")</f>
        <v>P-ART-222</v>
      </c>
      <c r="C122" s="244">
        <f>IFNA(VLOOKUP(B122,IMS!$A$2:$E1005,5,0),"")</f>
        <v>90</v>
      </c>
      <c r="D122" s="244"/>
      <c r="E122" s="245"/>
      <c r="F122" s="245"/>
      <c r="G122" s="245"/>
      <c r="H122" s="245"/>
      <c r="I122" s="245"/>
      <c r="J122" s="245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</row>
    <row r="123">
      <c r="A123" s="245" t="str">
        <f>IFERROR(__xludf.DUMMYFUNCTION("""COMPUTED_VALUE"""),"Art Card 20X30 90Gsm")</f>
        <v>Art Card 20X30 90Gsm</v>
      </c>
      <c r="B123" s="245" t="str">
        <f>IFERROR(__xludf.DUMMYFUNCTION("""COMPUTED_VALUE"""),"P-ART-331")</f>
        <v>P-ART-331</v>
      </c>
      <c r="C123" s="245"/>
      <c r="D123" s="245"/>
      <c r="E123" s="245"/>
      <c r="F123" s="245"/>
      <c r="G123" s="245"/>
      <c r="H123" s="245"/>
      <c r="I123" s="245"/>
      <c r="J123" s="245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</row>
    <row r="124">
      <c r="A124" s="244" t="str">
        <f>IFERROR(__xludf.DUMMYFUNCTION("""COMPUTED_VALUE"""),"ART PAPER 23X36 90Gsm")</f>
        <v>ART PAPER 23X36 90Gsm</v>
      </c>
      <c r="B124" s="244" t="str">
        <f>IFERROR(__xludf.DUMMYFUNCTION("""COMPUTED_VALUE"""),"P-ART-369")</f>
        <v>P-ART-369</v>
      </c>
      <c r="C124" s="244"/>
      <c r="D124" s="244" t="str">
        <f>IFNA(VLOOKUP(B124,IMS!$A$2:$E$232,5,0),"")</f>
        <v/>
      </c>
      <c r="E124" s="245"/>
      <c r="F124" s="245"/>
      <c r="G124" s="245"/>
      <c r="H124" s="245"/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</row>
    <row r="125">
      <c r="A125" s="244" t="str">
        <f>IFERROR(__xludf.DUMMYFUNCTION("""COMPUTED_VALUE"""),"ART PAPER 23X36 128Gsm")</f>
        <v>ART PAPER 23X36 128Gsm</v>
      </c>
      <c r="B125" s="244" t="str">
        <f>IFERROR(__xludf.DUMMYFUNCTION("""COMPUTED_VALUE"""),"P-ART-374")</f>
        <v>P-ART-374</v>
      </c>
      <c r="C125" s="244"/>
      <c r="D125" s="244" t="str">
        <f>IFNA(VLOOKUP(B125,IMS!$A$2:$E$232,5,0),"")</f>
        <v/>
      </c>
      <c r="E125" s="245"/>
      <c r="F125" s="245"/>
      <c r="G125" s="245"/>
      <c r="H125" s="245"/>
      <c r="I125" s="245"/>
      <c r="J125" s="245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</row>
    <row r="126">
      <c r="A126" s="244" t="str">
        <f>IFERROR(__xludf.DUMMYFUNCTION("""COMPUTED_VALUE"""),"Art Paper 23X36 80GSM")</f>
        <v>Art Paper 23X36 80GSM</v>
      </c>
      <c r="B126" s="244" t="str">
        <f>IFERROR(__xludf.DUMMYFUNCTION("""COMPUTED_VALUE"""),"P-ART-409")</f>
        <v>P-ART-409</v>
      </c>
      <c r="C126" s="244"/>
      <c r="D126" s="244" t="str">
        <f>IFNA(VLOOKUP(B126,IMS!$A$2:$E$232,5,0),"")</f>
        <v/>
      </c>
      <c r="E126" s="245"/>
      <c r="F126" s="245"/>
      <c r="G126" s="245"/>
      <c r="H126" s="245"/>
      <c r="I126" s="245"/>
      <c r="J126" s="245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</row>
    <row r="127">
      <c r="A127" s="244" t="str">
        <f>IFERROR(__xludf.DUMMYFUNCTION("""COMPUTED_VALUE"""),"Art paper 23X36 150Gsm")</f>
        <v>Art paper 23X36 150Gsm</v>
      </c>
      <c r="B127" s="244" t="str">
        <f>IFERROR(__xludf.DUMMYFUNCTION("""COMPUTED_VALUE"""),"P-ART-419")</f>
        <v>P-ART-419</v>
      </c>
      <c r="C127" s="244"/>
      <c r="D127" s="244" t="str">
        <f>IFNA(VLOOKUP(B127,IMS!$A$2:$E$232,5,0),"")</f>
        <v/>
      </c>
      <c r="E127" s="245"/>
      <c r="F127" s="245"/>
      <c r="G127" s="245"/>
      <c r="H127" s="245"/>
      <c r="I127" s="245"/>
      <c r="J127" s="245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</row>
    <row r="128">
      <c r="A128" s="245"/>
      <c r="B128" s="245"/>
      <c r="C128" s="245"/>
      <c r="D128" s="245"/>
      <c r="E128" s="245"/>
      <c r="F128" s="245"/>
      <c r="G128" s="245"/>
      <c r="H128" s="245"/>
      <c r="I128" s="245"/>
      <c r="J128" s="245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</row>
    <row r="129">
      <c r="A129" s="245"/>
      <c r="B129" s="245"/>
      <c r="C129" s="245"/>
      <c r="D129" s="245"/>
      <c r="E129" s="245"/>
      <c r="F129" s="245"/>
      <c r="G129" s="245"/>
      <c r="H129" s="245"/>
      <c r="I129" s="245"/>
      <c r="J129" s="245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</row>
    <row r="130">
      <c r="A130" s="245"/>
      <c r="B130" s="245"/>
      <c r="C130" s="245"/>
      <c r="D130" s="245"/>
      <c r="E130" s="245"/>
      <c r="F130" s="245"/>
      <c r="G130" s="245"/>
      <c r="H130" s="245"/>
      <c r="I130" s="245"/>
      <c r="J130" s="245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</row>
    <row r="131">
      <c r="A131" s="245"/>
      <c r="B131" s="245"/>
      <c r="C131" s="245"/>
      <c r="D131" s="245"/>
      <c r="E131" s="245"/>
      <c r="F131" s="245"/>
      <c r="G131" s="245"/>
      <c r="H131" s="245"/>
      <c r="I131" s="245"/>
      <c r="J131" s="245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</row>
    <row r="132">
      <c r="A132" s="245"/>
      <c r="B132" s="245"/>
      <c r="C132" s="245"/>
      <c r="D132" s="245"/>
      <c r="E132" s="245"/>
      <c r="F132" s="245"/>
      <c r="G132" s="245"/>
      <c r="H132" s="245"/>
      <c r="I132" s="245"/>
      <c r="J132" s="245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</row>
    <row r="133">
      <c r="A133" s="245"/>
      <c r="B133" s="245"/>
      <c r="C133" s="245"/>
      <c r="D133" s="245"/>
      <c r="E133" s="245"/>
      <c r="F133" s="245"/>
      <c r="G133" s="245"/>
      <c r="H133" s="245"/>
      <c r="I133" s="245"/>
      <c r="J133" s="245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</row>
    <row r="134">
      <c r="A134" s="245"/>
      <c r="B134" s="245"/>
      <c r="C134" s="245"/>
      <c r="D134" s="245"/>
      <c r="E134" s="245"/>
      <c r="F134" s="245"/>
      <c r="G134" s="245"/>
      <c r="H134" s="245"/>
      <c r="I134" s="245"/>
      <c r="J134" s="245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</row>
    <row r="135">
      <c r="A135" s="245"/>
      <c r="B135" s="245"/>
      <c r="C135" s="245"/>
      <c r="D135" s="245"/>
      <c r="E135" s="245"/>
      <c r="F135" s="245"/>
      <c r="G135" s="245"/>
      <c r="H135" s="245"/>
      <c r="I135" s="245"/>
      <c r="J135" s="245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</row>
    <row r="136">
      <c r="A136" s="245"/>
      <c r="B136" s="245"/>
      <c r="C136" s="245"/>
      <c r="D136" s="245"/>
      <c r="E136" s="245"/>
      <c r="F136" s="245"/>
      <c r="G136" s="245"/>
      <c r="H136" s="245"/>
      <c r="I136" s="245"/>
      <c r="J136" s="245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</row>
    <row r="137">
      <c r="A137" s="245"/>
      <c r="B137" s="245"/>
      <c r="C137" s="245"/>
      <c r="D137" s="245"/>
      <c r="E137" s="245"/>
      <c r="F137" s="245"/>
      <c r="G137" s="245"/>
      <c r="H137" s="245"/>
      <c r="I137" s="245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</row>
    <row r="138">
      <c r="A138" s="245"/>
      <c r="B138" s="245"/>
      <c r="C138" s="245"/>
      <c r="D138" s="245"/>
      <c r="E138" s="245"/>
      <c r="F138" s="245"/>
      <c r="G138" s="245"/>
      <c r="H138" s="245"/>
      <c r="I138" s="245"/>
      <c r="J138" s="245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</row>
    <row r="139">
      <c r="A139" s="245"/>
      <c r="B139" s="245"/>
      <c r="C139" s="245"/>
      <c r="D139" s="245"/>
      <c r="E139" s="245"/>
      <c r="F139" s="245"/>
      <c r="G139" s="245"/>
      <c r="H139" s="245"/>
      <c r="I139" s="245"/>
      <c r="J139" s="245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</row>
    <row r="140">
      <c r="A140" s="245"/>
      <c r="B140" s="245"/>
      <c r="C140" s="245"/>
      <c r="D140" s="245"/>
      <c r="E140" s="245"/>
      <c r="F140" s="245"/>
      <c r="G140" s="245"/>
      <c r="H140" s="245"/>
      <c r="I140" s="245"/>
      <c r="J140" s="245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</row>
    <row r="141">
      <c r="A141" s="245"/>
      <c r="B141" s="245"/>
      <c r="C141" s="245"/>
      <c r="D141" s="245"/>
      <c r="E141" s="245"/>
      <c r="F141" s="245"/>
      <c r="G141" s="245"/>
      <c r="H141" s="245"/>
      <c r="I141" s="245"/>
      <c r="J141" s="245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</row>
    <row r="142">
      <c r="A142" s="245"/>
      <c r="B142" s="245"/>
      <c r="C142" s="245"/>
      <c r="D142" s="245"/>
      <c r="E142" s="245"/>
      <c r="F142" s="245"/>
      <c r="G142" s="245"/>
      <c r="H142" s="245"/>
      <c r="I142" s="245"/>
      <c r="J142" s="245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</row>
    <row r="143">
      <c r="A143" s="245"/>
      <c r="B143" s="245"/>
      <c r="C143" s="245"/>
      <c r="D143" s="245"/>
      <c r="E143" s="245"/>
      <c r="F143" s="245"/>
      <c r="G143" s="245"/>
      <c r="H143" s="245"/>
      <c r="I143" s="245"/>
      <c r="J143" s="245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</row>
    <row r="144">
      <c r="A144" s="245"/>
      <c r="B144" s="245"/>
      <c r="C144" s="245"/>
      <c r="D144" s="245"/>
      <c r="E144" s="245"/>
      <c r="F144" s="245"/>
      <c r="G144" s="245"/>
      <c r="H144" s="245"/>
      <c r="I144" s="245"/>
      <c r="J144" s="245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</row>
    <row r="145">
      <c r="A145" s="245"/>
      <c r="B145" s="245"/>
      <c r="C145" s="245"/>
      <c r="D145" s="245"/>
      <c r="E145" s="245"/>
      <c r="F145" s="245"/>
      <c r="G145" s="245"/>
      <c r="H145" s="245"/>
      <c r="I145" s="245"/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</row>
    <row r="146">
      <c r="A146" s="245"/>
      <c r="B146" s="245"/>
      <c r="C146" s="245"/>
      <c r="D146" s="245"/>
      <c r="E146" s="245"/>
      <c r="F146" s="245"/>
      <c r="G146" s="245"/>
      <c r="H146" s="245"/>
      <c r="I146" s="245"/>
      <c r="J146" s="245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</row>
    <row r="147">
      <c r="A147" s="245"/>
      <c r="B147" s="245"/>
      <c r="C147" s="245"/>
      <c r="D147" s="245"/>
      <c r="E147" s="245"/>
      <c r="F147" s="245"/>
      <c r="G147" s="245"/>
      <c r="H147" s="245"/>
      <c r="I147" s="245"/>
      <c r="J147" s="245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</row>
    <row r="148">
      <c r="A148" s="245"/>
      <c r="B148" s="245"/>
      <c r="C148" s="245"/>
      <c r="D148" s="245"/>
      <c r="E148" s="245"/>
      <c r="F148" s="245"/>
      <c r="G148" s="245"/>
      <c r="H148" s="245"/>
      <c r="I148" s="245"/>
      <c r="J148" s="245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</row>
    <row r="149">
      <c r="A149" s="245"/>
      <c r="B149" s="245"/>
      <c r="C149" s="245"/>
      <c r="D149" s="245"/>
      <c r="E149" s="245"/>
      <c r="F149" s="245"/>
      <c r="G149" s="245"/>
      <c r="H149" s="245"/>
      <c r="I149" s="245"/>
      <c r="J149" s="245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</row>
    <row r="150">
      <c r="A150" s="245"/>
      <c r="B150" s="245"/>
      <c r="C150" s="245"/>
      <c r="D150" s="245"/>
      <c r="E150" s="245"/>
      <c r="F150" s="245"/>
      <c r="G150" s="245"/>
      <c r="H150" s="245"/>
      <c r="I150" s="245"/>
      <c r="J150" s="245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</row>
    <row r="151">
      <c r="A151" s="245"/>
      <c r="B151" s="245"/>
      <c r="C151" s="245"/>
      <c r="D151" s="245"/>
      <c r="E151" s="245"/>
      <c r="F151" s="245"/>
      <c r="G151" s="245"/>
      <c r="H151" s="245"/>
      <c r="I151" s="245"/>
      <c r="J151" s="245"/>
      <c r="K151" s="245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</row>
    <row r="152">
      <c r="A152" s="245"/>
      <c r="B152" s="245"/>
      <c r="C152" s="245"/>
      <c r="D152" s="245"/>
      <c r="E152" s="245"/>
      <c r="F152" s="245"/>
      <c r="G152" s="245"/>
      <c r="H152" s="245"/>
      <c r="I152" s="245"/>
      <c r="J152" s="245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</row>
    <row r="153">
      <c r="A153" s="245"/>
      <c r="B153" s="245"/>
      <c r="C153" s="245"/>
      <c r="D153" s="245"/>
      <c r="E153" s="245"/>
      <c r="F153" s="245"/>
      <c r="G153" s="245"/>
      <c r="H153" s="245"/>
      <c r="I153" s="245"/>
      <c r="J153" s="245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</row>
    <row r="154">
      <c r="A154" s="245"/>
      <c r="B154" s="245"/>
      <c r="C154" s="245"/>
      <c r="D154" s="245"/>
      <c r="E154" s="245"/>
      <c r="F154" s="245"/>
      <c r="G154" s="245"/>
      <c r="H154" s="245"/>
      <c r="I154" s="245"/>
      <c r="J154" s="245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</row>
    <row r="155">
      <c r="A155" s="245"/>
      <c r="B155" s="245"/>
      <c r="C155" s="245"/>
      <c r="D155" s="245"/>
      <c r="E155" s="245"/>
      <c r="F155" s="245"/>
      <c r="G155" s="245"/>
      <c r="H155" s="245"/>
      <c r="I155" s="245"/>
      <c r="J155" s="245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</row>
    <row r="156">
      <c r="A156" s="245"/>
      <c r="B156" s="245"/>
      <c r="C156" s="245"/>
      <c r="D156" s="245"/>
      <c r="E156" s="245"/>
      <c r="F156" s="245"/>
      <c r="G156" s="245"/>
      <c r="H156" s="245"/>
      <c r="I156" s="245"/>
      <c r="J156" s="245"/>
      <c r="K156" s="245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</row>
    <row r="157">
      <c r="A157" s="245"/>
      <c r="B157" s="245"/>
      <c r="C157" s="245"/>
      <c r="D157" s="245"/>
      <c r="E157" s="245"/>
      <c r="F157" s="245"/>
      <c r="G157" s="245"/>
      <c r="H157" s="245"/>
      <c r="I157" s="245"/>
      <c r="J157" s="245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</row>
    <row r="158">
      <c r="A158" s="245"/>
      <c r="B158" s="245"/>
      <c r="C158" s="245"/>
      <c r="D158" s="245"/>
      <c r="E158" s="245"/>
      <c r="F158" s="245"/>
      <c r="G158" s="245"/>
      <c r="H158" s="245"/>
      <c r="I158" s="245"/>
      <c r="J158" s="245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</row>
    <row r="159">
      <c r="A159" s="245"/>
      <c r="B159" s="245"/>
      <c r="C159" s="245"/>
      <c r="D159" s="245"/>
      <c r="E159" s="245"/>
      <c r="F159" s="245"/>
      <c r="G159" s="245"/>
      <c r="H159" s="245"/>
      <c r="I159" s="245"/>
      <c r="J159" s="245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</row>
    <row r="160">
      <c r="A160" s="245"/>
      <c r="B160" s="245"/>
      <c r="C160" s="245"/>
      <c r="D160" s="245" t="str">
        <f>IFNA(VLOOKUP(B160,IMS!$A$2:$E$232,5,0),"")</f>
        <v/>
      </c>
      <c r="E160" s="245"/>
      <c r="F160" s="245"/>
      <c r="G160" s="245"/>
      <c r="H160" s="245"/>
      <c r="I160" s="245"/>
      <c r="J160" s="245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</row>
    <row r="161">
      <c r="A161" s="245"/>
      <c r="B161" s="245"/>
      <c r="C161" s="245"/>
      <c r="D161" s="245" t="str">
        <f>IFNA(VLOOKUP(B161,IMS!$A$2:$E$232,5,0),"")</f>
        <v/>
      </c>
      <c r="E161" s="245"/>
      <c r="F161" s="245"/>
      <c r="G161" s="245"/>
      <c r="H161" s="245"/>
      <c r="I161" s="245"/>
      <c r="J161" s="245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</row>
    <row r="162">
      <c r="A162" s="245"/>
      <c r="B162" s="245"/>
      <c r="C162" s="245"/>
      <c r="D162" s="245" t="str">
        <f>IFNA(VLOOKUP(B162,IMS!$A$2:$E$232,5,0),"")</f>
        <v/>
      </c>
      <c r="E162" s="245"/>
      <c r="F162" s="245"/>
      <c r="G162" s="245"/>
      <c r="H162" s="245"/>
      <c r="I162" s="245"/>
      <c r="J162" s="245"/>
      <c r="K162" s="245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</row>
    <row r="163">
      <c r="A163" s="245"/>
      <c r="B163" s="245"/>
      <c r="C163" s="245"/>
      <c r="D163" s="245" t="str">
        <f>IFNA(VLOOKUP(B163,IMS!$A$2:$E$232,5,0),"")</f>
        <v/>
      </c>
      <c r="E163" s="245"/>
      <c r="F163" s="245"/>
      <c r="G163" s="245"/>
      <c r="H163" s="245"/>
      <c r="I163" s="245"/>
      <c r="J163" s="245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</row>
    <row r="164">
      <c r="A164" s="245"/>
      <c r="B164" s="245"/>
      <c r="C164" s="245"/>
      <c r="D164" s="245" t="str">
        <f>IFNA(VLOOKUP(B164,IMS!$A$2:$E$232,5,0),"")</f>
        <v/>
      </c>
      <c r="E164" s="245"/>
      <c r="F164" s="245"/>
      <c r="G164" s="245"/>
      <c r="H164" s="245"/>
      <c r="I164" s="245"/>
      <c r="J164" s="245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</row>
    <row r="165">
      <c r="A165" s="245"/>
      <c r="B165" s="245"/>
      <c r="C165" s="245"/>
      <c r="D165" s="245" t="str">
        <f>IFNA(VLOOKUP(B165,IMS!$A$2:$E$232,5,0),"")</f>
        <v/>
      </c>
      <c r="E165" s="245"/>
      <c r="F165" s="245"/>
      <c r="G165" s="245"/>
      <c r="H165" s="245"/>
      <c r="I165" s="245"/>
      <c r="J165" s="245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</row>
    <row r="166">
      <c r="A166" s="245"/>
      <c r="B166" s="245"/>
      <c r="C166" s="245"/>
      <c r="D166" s="245" t="str">
        <f>IFNA(VLOOKUP(B166,IMS!$A$2:$E$232,5,0),"")</f>
        <v/>
      </c>
      <c r="E166" s="245"/>
      <c r="F166" s="245"/>
      <c r="G166" s="245"/>
      <c r="H166" s="245"/>
      <c r="I166" s="245"/>
      <c r="J166" s="245"/>
      <c r="K166" s="245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</row>
    <row r="167">
      <c r="A167" s="245"/>
      <c r="B167" s="245"/>
      <c r="C167" s="245"/>
      <c r="D167" s="245" t="str">
        <f>IFNA(VLOOKUP(B167,IMS!$A$2:$E$232,5,0),"")</f>
        <v/>
      </c>
      <c r="E167" s="245"/>
      <c r="F167" s="245"/>
      <c r="G167" s="245"/>
      <c r="H167" s="245"/>
      <c r="I167" s="245"/>
      <c r="J167" s="245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</row>
    <row r="168">
      <c r="A168" s="245"/>
      <c r="B168" s="245"/>
      <c r="C168" s="245"/>
      <c r="D168" s="245" t="str">
        <f>IFNA(VLOOKUP(B168,IMS!$A$2:$E$232,5,0),"")</f>
        <v/>
      </c>
      <c r="E168" s="245"/>
      <c r="F168" s="245"/>
      <c r="G168" s="245"/>
      <c r="H168" s="245"/>
      <c r="I168" s="245"/>
      <c r="J168" s="245"/>
      <c r="K168" s="245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</row>
    <row r="169">
      <c r="A169" s="245"/>
      <c r="B169" s="245"/>
      <c r="C169" s="245"/>
      <c r="D169" s="245" t="str">
        <f>IFNA(VLOOKUP(B169,IMS!$A$2:$E$232,5,0),"")</f>
        <v/>
      </c>
      <c r="E169" s="245"/>
      <c r="F169" s="245"/>
      <c r="G169" s="245"/>
      <c r="H169" s="245"/>
      <c r="I169" s="245"/>
      <c r="J169" s="245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</row>
    <row r="170">
      <c r="A170" s="245"/>
      <c r="B170" s="245"/>
      <c r="C170" s="245"/>
      <c r="D170" s="245" t="str">
        <f>IFNA(VLOOKUP(B170,IMS!$A$2:$E$232,5,0),"")</f>
        <v/>
      </c>
      <c r="E170" s="245"/>
      <c r="F170" s="245"/>
      <c r="G170" s="245"/>
      <c r="H170" s="245"/>
      <c r="I170" s="245"/>
      <c r="J170" s="245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</row>
    <row r="171">
      <c r="A171" s="245"/>
      <c r="B171" s="245"/>
      <c r="C171" s="245"/>
      <c r="D171" s="245" t="str">
        <f>IFNA(VLOOKUP(B171,IMS!$A$2:$E$232,5,0),"")</f>
        <v/>
      </c>
      <c r="E171" s="245"/>
      <c r="F171" s="245"/>
      <c r="G171" s="245"/>
      <c r="H171" s="245"/>
      <c r="I171" s="245"/>
      <c r="J171" s="245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</row>
    <row r="172">
      <c r="A172" s="245"/>
      <c r="B172" s="245"/>
      <c r="C172" s="245"/>
      <c r="D172" s="245" t="str">
        <f>IFNA(VLOOKUP(B172,IMS!$A$2:$E$232,5,0),"")</f>
        <v/>
      </c>
      <c r="E172" s="245"/>
      <c r="F172" s="245"/>
      <c r="G172" s="245"/>
      <c r="H172" s="245"/>
      <c r="I172" s="245"/>
      <c r="J172" s="245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</row>
    <row r="173">
      <c r="A173" s="245"/>
      <c r="B173" s="245"/>
      <c r="C173" s="245"/>
      <c r="D173" s="245" t="str">
        <f>IFNA(VLOOKUP(B173,IMS!$A$2:$E$232,5,0),"")</f>
        <v/>
      </c>
      <c r="E173" s="245"/>
      <c r="F173" s="245"/>
      <c r="G173" s="245"/>
      <c r="H173" s="245"/>
      <c r="I173" s="245"/>
      <c r="J173" s="245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</row>
    <row r="174">
      <c r="A174" s="245"/>
      <c r="B174" s="245"/>
      <c r="C174" s="245"/>
      <c r="D174" s="245" t="str">
        <f>IFNA(VLOOKUP(B174,IMS!$A$2:$E$232,5,0),"")</f>
        <v/>
      </c>
      <c r="E174" s="245"/>
      <c r="F174" s="245"/>
      <c r="G174" s="245"/>
      <c r="H174" s="245"/>
      <c r="I174" s="245"/>
      <c r="J174" s="245"/>
      <c r="K174" s="245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</row>
    <row r="175">
      <c r="A175" s="245"/>
      <c r="B175" s="245"/>
      <c r="C175" s="245"/>
      <c r="D175" s="245" t="str">
        <f>IFNA(VLOOKUP(B175,IMS!$A$2:$E$232,5,0),"")</f>
        <v/>
      </c>
      <c r="E175" s="245"/>
      <c r="F175" s="245"/>
      <c r="G175" s="245"/>
      <c r="H175" s="245"/>
      <c r="I175" s="245"/>
      <c r="J175" s="245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</row>
    <row r="176">
      <c r="A176" s="245"/>
      <c r="B176" s="245"/>
      <c r="C176" s="245"/>
      <c r="D176" s="245" t="str">
        <f>IFNA(VLOOKUP(B176,IMS!$A$2:$E$232,5,0),"")</f>
        <v/>
      </c>
      <c r="E176" s="245"/>
      <c r="F176" s="245"/>
      <c r="G176" s="245"/>
      <c r="H176" s="245"/>
      <c r="I176" s="245"/>
      <c r="J176" s="245"/>
      <c r="K176" s="245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</row>
    <row r="177">
      <c r="A177" s="245"/>
      <c r="B177" s="245"/>
      <c r="C177" s="245"/>
      <c r="D177" s="245" t="str">
        <f>IFNA(VLOOKUP(B177,IMS!$A$2:$E$232,5,0),"")</f>
        <v/>
      </c>
      <c r="E177" s="245"/>
      <c r="F177" s="245"/>
      <c r="G177" s="245"/>
      <c r="H177" s="245"/>
      <c r="I177" s="245"/>
      <c r="J177" s="245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</row>
    <row r="178">
      <c r="A178" s="245"/>
      <c r="B178" s="245"/>
      <c r="C178" s="245"/>
      <c r="D178" s="245" t="str">
        <f>IFNA(VLOOKUP(B178,IMS!$A$2:$E$232,5,0),"")</f>
        <v/>
      </c>
      <c r="E178" s="245"/>
      <c r="F178" s="245"/>
      <c r="G178" s="245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</row>
    <row r="179">
      <c r="A179" s="245"/>
      <c r="B179" s="245"/>
      <c r="C179" s="245"/>
      <c r="D179" s="245" t="str">
        <f>IFNA(VLOOKUP(B179,IMS!$A$2:$E$232,5,0),"")</f>
        <v/>
      </c>
      <c r="E179" s="245"/>
      <c r="F179" s="245"/>
      <c r="G179" s="245"/>
      <c r="H179" s="245"/>
      <c r="I179" s="245"/>
      <c r="J179" s="245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</row>
    <row r="180">
      <c r="A180" s="245"/>
      <c r="B180" s="245"/>
      <c r="C180" s="245"/>
      <c r="D180" s="245" t="str">
        <f>IFNA(VLOOKUP(B180,IMS!$A$2:$E$232,5,0),"")</f>
        <v/>
      </c>
      <c r="E180" s="245"/>
      <c r="F180" s="245"/>
      <c r="G180" s="245"/>
      <c r="H180" s="245"/>
      <c r="I180" s="245"/>
      <c r="J180" s="245"/>
      <c r="K180" s="245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</row>
    <row r="181">
      <c r="A181" s="245"/>
      <c r="B181" s="245"/>
      <c r="C181" s="245"/>
      <c r="D181" s="245" t="str">
        <f>IFNA(VLOOKUP(B181,IMS!$A$2:$E$232,5,0),"")</f>
        <v/>
      </c>
      <c r="E181" s="245"/>
      <c r="F181" s="245"/>
      <c r="G181" s="245"/>
      <c r="H181" s="245"/>
      <c r="I181" s="245"/>
      <c r="J181" s="245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</row>
    <row r="182">
      <c r="A182" s="245"/>
      <c r="B182" s="245"/>
      <c r="C182" s="245"/>
      <c r="D182" s="245" t="str">
        <f>IFNA(VLOOKUP(B182,IMS!$A$2:$E$232,5,0),"")</f>
        <v/>
      </c>
      <c r="E182" s="245"/>
      <c r="F182" s="245"/>
      <c r="G182" s="245"/>
      <c r="H182" s="245"/>
      <c r="I182" s="245"/>
      <c r="J182" s="245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</row>
    <row r="183">
      <c r="A183" s="245"/>
      <c r="B183" s="245"/>
      <c r="C183" s="245"/>
      <c r="D183" s="245" t="str">
        <f>IFNA(VLOOKUP(B183,IMS!$A$2:$E$232,5,0),"")</f>
        <v/>
      </c>
      <c r="E183" s="245"/>
      <c r="F183" s="245"/>
      <c r="G183" s="245"/>
      <c r="H183" s="245"/>
      <c r="I183" s="245"/>
      <c r="J183" s="245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</row>
    <row r="184">
      <c r="A184" s="245"/>
      <c r="B184" s="245"/>
      <c r="C184" s="245"/>
      <c r="D184" s="245" t="str">
        <f>IFNA(VLOOKUP(B184,IMS!$A$2:$E$232,5,0),"")</f>
        <v/>
      </c>
      <c r="E184" s="245"/>
      <c r="F184" s="245"/>
      <c r="G184" s="245"/>
      <c r="H184" s="245"/>
      <c r="I184" s="245"/>
      <c r="J184" s="245"/>
      <c r="K184" s="245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</row>
    <row r="185">
      <c r="A185" s="245"/>
      <c r="B185" s="245"/>
      <c r="C185" s="245"/>
      <c r="D185" s="245" t="str">
        <f>IFNA(VLOOKUP(B185,IMS!$A$2:$E$232,5,0),"")</f>
        <v/>
      </c>
      <c r="E185" s="245"/>
      <c r="F185" s="245"/>
      <c r="G185" s="245"/>
      <c r="H185" s="245"/>
      <c r="I185" s="245"/>
      <c r="J185" s="245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</row>
    <row r="186">
      <c r="A186" s="245"/>
      <c r="B186" s="245"/>
      <c r="C186" s="245"/>
      <c r="D186" s="245" t="str">
        <f>IFNA(VLOOKUP(B186,IMS!$A$2:$E$232,5,0),"")</f>
        <v/>
      </c>
      <c r="E186" s="245"/>
      <c r="F186" s="245"/>
      <c r="G186" s="245"/>
      <c r="H186" s="245"/>
      <c r="I186" s="245"/>
      <c r="J186" s="245"/>
      <c r="K186" s="245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</row>
    <row r="187">
      <c r="A187" s="245"/>
      <c r="B187" s="245"/>
      <c r="C187" s="245"/>
      <c r="D187" s="245" t="str">
        <f>IFNA(VLOOKUP(B187,IMS!$A$2:$E$232,5,0),"")</f>
        <v/>
      </c>
      <c r="E187" s="245"/>
      <c r="F187" s="245"/>
      <c r="G187" s="245"/>
      <c r="H187" s="245"/>
      <c r="I187" s="245"/>
      <c r="J187" s="245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</row>
    <row r="188">
      <c r="A188" s="245"/>
      <c r="B188" s="245"/>
      <c r="C188" s="245"/>
      <c r="D188" s="245" t="str">
        <f>IFNA(VLOOKUP(B188,IMS!$A$2:$E$232,5,0),"")</f>
        <v/>
      </c>
      <c r="E188" s="245"/>
      <c r="F188" s="245"/>
      <c r="G188" s="245"/>
      <c r="H188" s="245"/>
      <c r="I188" s="245"/>
      <c r="J188" s="245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</row>
    <row r="189">
      <c r="A189" s="245"/>
      <c r="B189" s="245"/>
      <c r="C189" s="245"/>
      <c r="D189" s="245" t="str">
        <f>IFNA(VLOOKUP(B189,IMS!$A$2:$E$232,5,0),"")</f>
        <v/>
      </c>
      <c r="E189" s="245"/>
      <c r="F189" s="245"/>
      <c r="G189" s="245"/>
      <c r="H189" s="245"/>
      <c r="I189" s="245"/>
      <c r="J189" s="245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</row>
    <row r="190">
      <c r="A190" s="245"/>
      <c r="B190" s="245"/>
      <c r="C190" s="245"/>
      <c r="D190" s="245" t="str">
        <f>IFNA(VLOOKUP(B190,IMS!$A$2:$E$232,5,0),"")</f>
        <v/>
      </c>
      <c r="E190" s="245"/>
      <c r="F190" s="245"/>
      <c r="G190" s="245"/>
      <c r="H190" s="245"/>
      <c r="I190" s="245"/>
      <c r="J190" s="245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</row>
    <row r="191">
      <c r="A191" s="245"/>
      <c r="B191" s="245"/>
      <c r="C191" s="245"/>
      <c r="D191" s="245" t="str">
        <f>IFNA(VLOOKUP(B191,IMS!$A$2:$E$232,5,0),"")</f>
        <v/>
      </c>
      <c r="E191" s="245"/>
      <c r="F191" s="245"/>
      <c r="G191" s="245"/>
      <c r="H191" s="245"/>
      <c r="I191" s="245"/>
      <c r="J191" s="245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</row>
    <row r="192">
      <c r="A192" s="245"/>
      <c r="B192" s="245"/>
      <c r="C192" s="245"/>
      <c r="D192" s="245" t="str">
        <f>IFNA(VLOOKUP(B192,IMS!$A$2:$E$232,5,0),"")</f>
        <v/>
      </c>
      <c r="E192" s="245"/>
      <c r="F192" s="245"/>
      <c r="G192" s="245"/>
      <c r="H192" s="245"/>
      <c r="I192" s="245"/>
      <c r="J192" s="245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</row>
    <row r="193">
      <c r="A193" s="245"/>
      <c r="B193" s="245"/>
      <c r="C193" s="245"/>
      <c r="D193" s="245" t="str">
        <f>IFNA(VLOOKUP(B193,IMS!$A$2:$E$232,5,0),"")</f>
        <v/>
      </c>
      <c r="E193" s="245"/>
      <c r="F193" s="245"/>
      <c r="G193" s="245"/>
      <c r="H193" s="245"/>
      <c r="I193" s="245"/>
      <c r="J193" s="245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</row>
    <row r="194">
      <c r="A194" s="245"/>
      <c r="B194" s="245"/>
      <c r="C194" s="245"/>
      <c r="D194" s="245" t="str">
        <f>IFNA(VLOOKUP(B194,IMS!$A$2:$E$232,5,0),"")</f>
        <v/>
      </c>
      <c r="E194" s="245"/>
      <c r="F194" s="245"/>
      <c r="G194" s="245"/>
      <c r="H194" s="245"/>
      <c r="I194" s="245"/>
      <c r="J194" s="245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</row>
    <row r="195">
      <c r="A195" s="245"/>
      <c r="B195" s="245"/>
      <c r="C195" s="245"/>
      <c r="D195" s="245" t="str">
        <f>IFNA(VLOOKUP(B195,IMS!$A$2:$E$232,5,0),"")</f>
        <v/>
      </c>
      <c r="E195" s="245"/>
      <c r="F195" s="245"/>
      <c r="G195" s="245"/>
      <c r="H195" s="245"/>
      <c r="I195" s="245"/>
      <c r="J195" s="245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</row>
    <row r="196">
      <c r="A196" s="245"/>
      <c r="B196" s="245"/>
      <c r="C196" s="245"/>
      <c r="D196" s="245" t="str">
        <f>IFNA(VLOOKUP(B196,IMS!$A$2:$E$232,5,0),"")</f>
        <v/>
      </c>
      <c r="E196" s="245"/>
      <c r="F196" s="245"/>
      <c r="G196" s="245"/>
      <c r="H196" s="245"/>
      <c r="I196" s="245"/>
      <c r="J196" s="245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</row>
    <row r="197">
      <c r="A197" s="245"/>
      <c r="B197" s="245"/>
      <c r="C197" s="245"/>
      <c r="D197" s="245" t="str">
        <f>IFNA(VLOOKUP(B197,IMS!$A$2:$E$232,5,0),"")</f>
        <v/>
      </c>
      <c r="E197" s="245"/>
      <c r="F197" s="245"/>
      <c r="G197" s="245"/>
      <c r="H197" s="245"/>
      <c r="I197" s="245"/>
      <c r="J197" s="245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</row>
    <row r="198">
      <c r="A198" s="245"/>
      <c r="B198" s="245"/>
      <c r="C198" s="245"/>
      <c r="D198" s="245" t="str">
        <f>IFNA(VLOOKUP(B198,IMS!$A$2:$E$232,5,0),"")</f>
        <v/>
      </c>
      <c r="E198" s="245"/>
      <c r="F198" s="245"/>
      <c r="G198" s="245"/>
      <c r="H198" s="245"/>
      <c r="I198" s="245"/>
      <c r="J198" s="245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</row>
    <row r="199">
      <c r="A199" s="245"/>
      <c r="B199" s="245"/>
      <c r="C199" s="245"/>
      <c r="D199" s="245" t="str">
        <f>IFNA(VLOOKUP(B199,IMS!$A$2:$E$232,5,0),"")</f>
        <v/>
      </c>
      <c r="E199" s="245"/>
      <c r="F199" s="245"/>
      <c r="G199" s="245"/>
      <c r="H199" s="245"/>
      <c r="I199" s="245"/>
      <c r="J199" s="245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</row>
    <row r="200">
      <c r="A200" s="245"/>
      <c r="B200" s="245"/>
      <c r="C200" s="245"/>
      <c r="D200" s="245" t="str">
        <f>IFNA(VLOOKUP(B200,IMS!$A$2:$E$232,5,0),"")</f>
        <v/>
      </c>
      <c r="E200" s="245"/>
      <c r="F200" s="245"/>
      <c r="G200" s="245"/>
      <c r="H200" s="245"/>
      <c r="I200" s="245"/>
      <c r="J200" s="245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</row>
    <row r="201">
      <c r="A201" s="245"/>
      <c r="B201" s="245"/>
      <c r="C201" s="245"/>
      <c r="D201" s="245" t="str">
        <f>IFNA(VLOOKUP(B201,IMS!$A$2:$E$232,5,0),"")</f>
        <v/>
      </c>
      <c r="E201" s="245"/>
      <c r="F201" s="245"/>
      <c r="G201" s="245"/>
      <c r="H201" s="245"/>
      <c r="I201" s="245"/>
      <c r="J201" s="245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</row>
    <row r="202">
      <c r="A202" s="245"/>
      <c r="B202" s="245"/>
      <c r="C202" s="245"/>
      <c r="D202" s="245" t="str">
        <f>IFNA(VLOOKUP(B202,IMS!$A$2:$E$232,5,0),"")</f>
        <v/>
      </c>
      <c r="E202" s="245"/>
      <c r="F202" s="245"/>
      <c r="G202" s="245"/>
      <c r="H202" s="245"/>
      <c r="I202" s="245"/>
      <c r="J202" s="245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</row>
    <row r="203">
      <c r="A203" s="245"/>
      <c r="B203" s="245"/>
      <c r="C203" s="245"/>
      <c r="D203" s="245" t="str">
        <f>IFNA(VLOOKUP(B203,IMS!$A$2:$E$232,5,0),"")</f>
        <v/>
      </c>
      <c r="E203" s="245"/>
      <c r="F203" s="245"/>
      <c r="G203" s="245"/>
      <c r="H203" s="245"/>
      <c r="I203" s="245"/>
      <c r="J203" s="245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</row>
    <row r="204">
      <c r="A204" s="245"/>
      <c r="B204" s="245"/>
      <c r="C204" s="245"/>
      <c r="D204" s="245" t="str">
        <f>IFNA(VLOOKUP(B204,IMS!$A$2:$E$232,5,0),"")</f>
        <v/>
      </c>
      <c r="E204" s="245"/>
      <c r="F204" s="245"/>
      <c r="G204" s="245"/>
      <c r="H204" s="245"/>
      <c r="I204" s="245"/>
      <c r="J204" s="245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</row>
    <row r="205">
      <c r="A205" s="245"/>
      <c r="B205" s="245"/>
      <c r="C205" s="245"/>
      <c r="D205" s="245" t="str">
        <f>IFNA(VLOOKUP(B205,IMS!$A$2:$E$232,5,0),"")</f>
        <v/>
      </c>
      <c r="E205" s="245"/>
      <c r="F205" s="245"/>
      <c r="G205" s="245"/>
      <c r="H205" s="245"/>
      <c r="I205" s="245"/>
      <c r="J205" s="245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</row>
    <row r="206">
      <c r="A206" s="245"/>
      <c r="B206" s="245"/>
      <c r="C206" s="245"/>
      <c r="D206" s="245" t="str">
        <f>IFNA(VLOOKUP(B206,IMS!$A$2:$E$232,5,0),"")</f>
        <v/>
      </c>
      <c r="E206" s="245"/>
      <c r="F206" s="245"/>
      <c r="G206" s="245"/>
      <c r="H206" s="245"/>
      <c r="I206" s="245"/>
      <c r="J206" s="245"/>
      <c r="K206" s="245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</row>
    <row r="207">
      <c r="A207" s="245"/>
      <c r="B207" s="245"/>
      <c r="C207" s="245"/>
      <c r="D207" s="245" t="str">
        <f>IFNA(VLOOKUP(B207,IMS!$A$2:$E$232,5,0),"")</f>
        <v/>
      </c>
      <c r="E207" s="245"/>
      <c r="F207" s="245"/>
      <c r="G207" s="245"/>
      <c r="H207" s="245"/>
      <c r="I207" s="245"/>
      <c r="J207" s="245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</row>
    <row r="208">
      <c r="A208" s="245"/>
      <c r="B208" s="245"/>
      <c r="C208" s="245"/>
      <c r="D208" s="245" t="str">
        <f>IFNA(VLOOKUP(B208,IMS!$A$2:$E$232,5,0),"")</f>
        <v/>
      </c>
      <c r="E208" s="245"/>
      <c r="F208" s="245"/>
      <c r="G208" s="245"/>
      <c r="H208" s="245"/>
      <c r="I208" s="245"/>
      <c r="J208" s="245"/>
      <c r="K208" s="245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</row>
    <row r="209">
      <c r="A209" s="245"/>
      <c r="B209" s="245"/>
      <c r="C209" s="245"/>
      <c r="D209" s="245" t="str">
        <f>IFNA(VLOOKUP(B209,IMS!$A$2:$E$232,5,0),"")</f>
        <v/>
      </c>
      <c r="E209" s="245"/>
      <c r="F209" s="245"/>
      <c r="G209" s="245"/>
      <c r="H209" s="245"/>
      <c r="I209" s="245"/>
      <c r="J209" s="245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</row>
    <row r="210">
      <c r="A210" s="245"/>
      <c r="B210" s="245"/>
      <c r="C210" s="245"/>
      <c r="D210" s="245" t="str">
        <f>IFNA(VLOOKUP(B210,IMS!$A$2:$E$232,5,0),"")</f>
        <v/>
      </c>
      <c r="E210" s="245"/>
      <c r="F210" s="245"/>
      <c r="G210" s="245"/>
      <c r="H210" s="245"/>
      <c r="I210" s="245"/>
      <c r="J210" s="245"/>
      <c r="K210" s="245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</row>
    <row r="211">
      <c r="A211" s="245"/>
      <c r="B211" s="245"/>
      <c r="C211" s="245"/>
      <c r="D211" s="245" t="str">
        <f>IFNA(VLOOKUP(B211,IMS!$A$2:$E$232,5,0),"")</f>
        <v/>
      </c>
      <c r="E211" s="245"/>
      <c r="F211" s="245"/>
      <c r="G211" s="245"/>
      <c r="H211" s="245"/>
      <c r="I211" s="245"/>
      <c r="J211" s="245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</row>
    <row r="212">
      <c r="A212" s="245"/>
      <c r="B212" s="245"/>
      <c r="C212" s="245"/>
      <c r="D212" s="245" t="str">
        <f>IFNA(VLOOKUP(B212,IMS!$A$2:$E$232,5,0),"")</f>
        <v/>
      </c>
      <c r="E212" s="245"/>
      <c r="F212" s="245"/>
      <c r="G212" s="245"/>
      <c r="H212" s="245"/>
      <c r="I212" s="245"/>
      <c r="J212" s="245"/>
      <c r="K212" s="245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</row>
    <row r="213">
      <c r="A213" s="245"/>
      <c r="B213" s="245"/>
      <c r="C213" s="245"/>
      <c r="D213" s="245" t="str">
        <f>IFNA(VLOOKUP(B213,IMS!$A$2:$E$232,5,0),"")</f>
        <v/>
      </c>
      <c r="E213" s="245"/>
      <c r="F213" s="245"/>
      <c r="G213" s="245"/>
      <c r="H213" s="245"/>
      <c r="I213" s="245"/>
      <c r="J213" s="245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</row>
    <row r="214">
      <c r="A214" s="245"/>
      <c r="B214" s="245"/>
      <c r="C214" s="245"/>
      <c r="D214" s="245" t="str">
        <f>IFNA(VLOOKUP(B214,IMS!$A$2:$E$232,5,0),"")</f>
        <v/>
      </c>
      <c r="E214" s="245"/>
      <c r="F214" s="245"/>
      <c r="G214" s="245"/>
      <c r="H214" s="245"/>
      <c r="I214" s="245"/>
      <c r="J214" s="245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</row>
    <row r="215">
      <c r="A215" s="245"/>
      <c r="B215" s="245"/>
      <c r="C215" s="245"/>
      <c r="D215" s="245" t="str">
        <f>IFNA(VLOOKUP(B215,IMS!$A$2:$E$232,5,0),"")</f>
        <v/>
      </c>
      <c r="E215" s="245"/>
      <c r="F215" s="245"/>
      <c r="G215" s="245"/>
      <c r="H215" s="245"/>
      <c r="I215" s="245"/>
      <c r="J215" s="245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</row>
    <row r="216">
      <c r="A216" s="245"/>
      <c r="B216" s="245"/>
      <c r="C216" s="245"/>
      <c r="D216" s="245" t="str">
        <f>IFNA(VLOOKUP(B216,IMS!$A$2:$E$232,5,0),"")</f>
        <v/>
      </c>
      <c r="E216" s="245"/>
      <c r="F216" s="245"/>
      <c r="G216" s="245"/>
      <c r="H216" s="245"/>
      <c r="I216" s="245"/>
      <c r="J216" s="245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</row>
    <row r="217">
      <c r="A217" s="245"/>
      <c r="B217" s="245"/>
      <c r="C217" s="245"/>
      <c r="D217" s="245" t="str">
        <f>IFNA(VLOOKUP(B217,IMS!$A$2:$E$232,5,0),"")</f>
        <v/>
      </c>
      <c r="E217" s="245"/>
      <c r="F217" s="245"/>
      <c r="G217" s="245"/>
      <c r="H217" s="245"/>
      <c r="I217" s="245"/>
      <c r="J217" s="245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</row>
    <row r="218">
      <c r="A218" s="245"/>
      <c r="B218" s="245"/>
      <c r="C218" s="245"/>
      <c r="D218" s="245" t="str">
        <f>IFNA(VLOOKUP(B218,IMS!$A$2:$E$232,5,0),"")</f>
        <v/>
      </c>
      <c r="E218" s="245"/>
      <c r="F218" s="245"/>
      <c r="G218" s="245"/>
      <c r="H218" s="245"/>
      <c r="I218" s="245"/>
      <c r="J218" s="245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</row>
    <row r="219">
      <c r="A219" s="245"/>
      <c r="B219" s="245"/>
      <c r="C219" s="245"/>
      <c r="D219" s="245" t="str">
        <f>IFNA(VLOOKUP(B219,IMS!$A$2:$E$232,5,0),"")</f>
        <v/>
      </c>
      <c r="E219" s="245"/>
      <c r="F219" s="245"/>
      <c r="G219" s="245"/>
      <c r="H219" s="245"/>
      <c r="I219" s="245"/>
      <c r="J219" s="245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</row>
    <row r="220">
      <c r="A220" s="245"/>
      <c r="B220" s="245"/>
      <c r="C220" s="245"/>
      <c r="D220" s="245" t="str">
        <f>IFNA(VLOOKUP(B220,IMS!$A$2:$E$232,5,0),"")</f>
        <v/>
      </c>
      <c r="E220" s="245"/>
      <c r="F220" s="245"/>
      <c r="G220" s="245"/>
      <c r="H220" s="245"/>
      <c r="I220" s="245"/>
      <c r="J220" s="245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</row>
    <row r="221">
      <c r="A221" s="245"/>
      <c r="B221" s="245"/>
      <c r="C221" s="245"/>
      <c r="D221" s="245" t="str">
        <f>IFNA(VLOOKUP(B221,IMS!$A$2:$E$232,5,0),"")</f>
        <v/>
      </c>
      <c r="E221" s="245"/>
      <c r="F221" s="245"/>
      <c r="G221" s="245"/>
      <c r="H221" s="245"/>
      <c r="I221" s="245"/>
      <c r="J221" s="245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</row>
    <row r="222">
      <c r="A222" s="245"/>
      <c r="B222" s="245"/>
      <c r="C222" s="245"/>
      <c r="D222" s="245" t="str">
        <f>IFNA(VLOOKUP(B222,IMS!$A$2:$E$232,5,0),"")</f>
        <v/>
      </c>
      <c r="E222" s="245"/>
      <c r="F222" s="245"/>
      <c r="G222" s="245"/>
      <c r="H222" s="245"/>
      <c r="I222" s="245"/>
      <c r="J222" s="245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</row>
    <row r="223">
      <c r="A223" s="245"/>
      <c r="B223" s="245"/>
      <c r="C223" s="245"/>
      <c r="D223" s="245" t="str">
        <f>IFNA(VLOOKUP(B223,IMS!$A$2:$E$232,5,0),"")</f>
        <v/>
      </c>
      <c r="E223" s="245"/>
      <c r="F223" s="245"/>
      <c r="G223" s="245"/>
      <c r="H223" s="245"/>
      <c r="I223" s="245"/>
      <c r="J223" s="245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</row>
    <row r="224">
      <c r="A224" s="245"/>
      <c r="B224" s="245"/>
      <c r="C224" s="245"/>
      <c r="D224" s="245" t="str">
        <f>IFNA(VLOOKUP(B224,IMS!$A$2:$E$232,5,0),"")</f>
        <v/>
      </c>
      <c r="E224" s="245"/>
      <c r="F224" s="245"/>
      <c r="G224" s="245"/>
      <c r="H224" s="245"/>
      <c r="I224" s="245"/>
      <c r="J224" s="245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</row>
    <row r="225">
      <c r="A225" s="245"/>
      <c r="B225" s="245"/>
      <c r="C225" s="245"/>
      <c r="D225" s="245" t="str">
        <f>IFNA(VLOOKUP(B225,IMS!$A$2:$E$232,5,0),"")</f>
        <v/>
      </c>
      <c r="E225" s="245"/>
      <c r="F225" s="245"/>
      <c r="G225" s="245"/>
      <c r="H225" s="245"/>
      <c r="I225" s="245"/>
      <c r="J225" s="245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</row>
    <row r="226">
      <c r="A226" s="245"/>
      <c r="B226" s="245"/>
      <c r="C226" s="245"/>
      <c r="D226" s="245" t="str">
        <f>IFNA(VLOOKUP(B226,IMS!$A$2:$E$232,5,0),"")</f>
        <v/>
      </c>
      <c r="E226" s="245"/>
      <c r="F226" s="245"/>
      <c r="G226" s="245"/>
      <c r="H226" s="245"/>
      <c r="I226" s="245"/>
      <c r="J226" s="245"/>
      <c r="K226" s="245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</row>
    <row r="227">
      <c r="A227" s="245"/>
      <c r="B227" s="245"/>
      <c r="C227" s="245"/>
      <c r="D227" s="245" t="str">
        <f>IFNA(VLOOKUP(B227,IMS!$A$2:$E$232,5,0),"")</f>
        <v/>
      </c>
      <c r="E227" s="245"/>
      <c r="F227" s="245"/>
      <c r="G227" s="245"/>
      <c r="H227" s="245"/>
      <c r="I227" s="245"/>
      <c r="J227" s="245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</row>
    <row r="228">
      <c r="A228" s="245"/>
      <c r="B228" s="245"/>
      <c r="C228" s="245"/>
      <c r="D228" s="245" t="str">
        <f>IFNA(VLOOKUP(B228,IMS!$A$2:$E$232,5,0),"")</f>
        <v/>
      </c>
      <c r="E228" s="245"/>
      <c r="F228" s="245"/>
      <c r="G228" s="245"/>
      <c r="H228" s="245"/>
      <c r="I228" s="245"/>
      <c r="J228" s="245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</row>
    <row r="229">
      <c r="A229" s="245"/>
      <c r="B229" s="245"/>
      <c r="C229" s="245"/>
      <c r="D229" s="245" t="str">
        <f>IFNA(VLOOKUP(B229,IMS!$A$2:$E$232,5,0),"")</f>
        <v/>
      </c>
      <c r="E229" s="245"/>
      <c r="F229" s="245"/>
      <c r="G229" s="245"/>
      <c r="H229" s="245"/>
      <c r="I229" s="245"/>
      <c r="J229" s="245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</row>
    <row r="230">
      <c r="A230" s="245"/>
      <c r="B230" s="245"/>
      <c r="C230" s="245"/>
      <c r="D230" s="245" t="str">
        <f>IFNA(VLOOKUP(B230,IMS!$A$2:$E$232,5,0),"")</f>
        <v/>
      </c>
      <c r="E230" s="245"/>
      <c r="F230" s="245"/>
      <c r="G230" s="245"/>
      <c r="H230" s="245"/>
      <c r="I230" s="245"/>
      <c r="J230" s="245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</row>
    <row r="231">
      <c r="A231" s="245"/>
      <c r="B231" s="245"/>
      <c r="C231" s="245"/>
      <c r="D231" s="245" t="str">
        <f>IFNA(VLOOKUP(B231,IMS!$A$2:$E$232,5,0),"")</f>
        <v/>
      </c>
      <c r="E231" s="245"/>
      <c r="F231" s="245"/>
      <c r="G231" s="245"/>
      <c r="H231" s="245"/>
      <c r="I231" s="245"/>
      <c r="J231" s="245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</row>
    <row r="232">
      <c r="A232" s="245"/>
      <c r="B232" s="245"/>
      <c r="C232" s="245"/>
      <c r="D232" s="245" t="str">
        <f>IFNA(VLOOKUP(B232,IMS!$A$2:$E$232,5,0),"")</f>
        <v/>
      </c>
      <c r="E232" s="245"/>
      <c r="F232" s="245"/>
      <c r="G232" s="245"/>
      <c r="H232" s="245"/>
      <c r="I232" s="245"/>
      <c r="J232" s="245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</row>
    <row r="233">
      <c r="A233" s="245"/>
      <c r="B233" s="245"/>
      <c r="C233" s="245"/>
      <c r="D233" s="245" t="str">
        <f>IFNA(VLOOKUP(B233,IMS!$A$2:$E$232,5,0),"")</f>
        <v/>
      </c>
      <c r="E233" s="245"/>
      <c r="F233" s="245"/>
      <c r="G233" s="245"/>
      <c r="H233" s="245"/>
      <c r="I233" s="245"/>
      <c r="J233" s="245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</row>
    <row r="234">
      <c r="A234" s="245"/>
      <c r="B234" s="245"/>
      <c r="C234" s="245"/>
      <c r="D234" s="245" t="str">
        <f>IFNA(VLOOKUP(B234,IMS!$A$2:$E$232,5,0),"")</f>
        <v/>
      </c>
      <c r="E234" s="245"/>
      <c r="F234" s="245"/>
      <c r="G234" s="245"/>
      <c r="H234" s="245"/>
      <c r="I234" s="245"/>
      <c r="J234" s="245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</row>
    <row r="235">
      <c r="A235" s="245"/>
      <c r="B235" s="245"/>
      <c r="C235" s="245"/>
      <c r="D235" s="245" t="str">
        <f>IFNA(VLOOKUP(B235,IMS!$A$2:$E$232,5,0),"")</f>
        <v/>
      </c>
      <c r="E235" s="245"/>
      <c r="F235" s="245"/>
      <c r="G235" s="245"/>
      <c r="H235" s="245"/>
      <c r="I235" s="245"/>
      <c r="J235" s="245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</row>
    <row r="236">
      <c r="A236" s="245"/>
      <c r="B236" s="245"/>
      <c r="C236" s="245"/>
      <c r="D236" s="245" t="str">
        <f>IFNA(VLOOKUP(B236,IMS!$A$2:$E$232,5,0),"")</f>
        <v/>
      </c>
      <c r="E236" s="245"/>
      <c r="F236" s="245"/>
      <c r="G236" s="245"/>
      <c r="H236" s="245"/>
      <c r="I236" s="245"/>
      <c r="J236" s="245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</row>
    <row r="237">
      <c r="A237" s="245"/>
      <c r="B237" s="245"/>
      <c r="C237" s="245"/>
      <c r="D237" s="245" t="str">
        <f>IFNA(VLOOKUP(B237,IMS!$A$2:$E$232,5,0),"")</f>
        <v/>
      </c>
      <c r="E237" s="245"/>
      <c r="F237" s="245"/>
      <c r="G237" s="245"/>
      <c r="H237" s="245"/>
      <c r="I237" s="245"/>
      <c r="J237" s="245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</row>
    <row r="238">
      <c r="A238" s="245"/>
      <c r="B238" s="245"/>
      <c r="C238" s="245"/>
      <c r="D238" s="245" t="str">
        <f>IFNA(VLOOKUP(B238,IMS!$A$2:$E$232,5,0),"")</f>
        <v/>
      </c>
      <c r="E238" s="245"/>
      <c r="F238" s="245"/>
      <c r="G238" s="245"/>
      <c r="H238" s="245"/>
      <c r="I238" s="245"/>
      <c r="J238" s="245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</row>
    <row r="239">
      <c r="A239" s="245"/>
      <c r="B239" s="245"/>
      <c r="C239" s="245"/>
      <c r="D239" s="245" t="str">
        <f>IFNA(VLOOKUP(B239,IMS!$A$2:$E$232,5,0),"")</f>
        <v/>
      </c>
      <c r="E239" s="245"/>
      <c r="F239" s="245"/>
      <c r="G239" s="245"/>
      <c r="H239" s="245"/>
      <c r="I239" s="245"/>
      <c r="J239" s="245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</row>
    <row r="240">
      <c r="A240" s="245"/>
      <c r="B240" s="245"/>
      <c r="C240" s="245"/>
      <c r="D240" s="245" t="str">
        <f>IFNA(VLOOKUP(B240,IMS!$A$2:$E$232,5,0),"")</f>
        <v/>
      </c>
      <c r="E240" s="245"/>
      <c r="F240" s="245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</row>
    <row r="241">
      <c r="A241" s="245"/>
      <c r="B241" s="245"/>
      <c r="C241" s="245"/>
      <c r="D241" s="245" t="str">
        <f>IFNA(VLOOKUP(B241,IMS!$A$2:$E$232,5,0),"")</f>
        <v/>
      </c>
      <c r="E241" s="245"/>
      <c r="F241" s="245"/>
      <c r="G241" s="245"/>
      <c r="H241" s="245"/>
      <c r="I241" s="245"/>
      <c r="J241" s="245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</row>
    <row r="242">
      <c r="A242" s="245"/>
      <c r="B242" s="245"/>
      <c r="C242" s="245"/>
      <c r="D242" s="245" t="str">
        <f>IFNA(VLOOKUP(B242,IMS!$A$2:$E$232,5,0),"")</f>
        <v/>
      </c>
      <c r="E242" s="245"/>
      <c r="F242" s="245"/>
      <c r="G242" s="245"/>
      <c r="H242" s="245"/>
      <c r="I242" s="245"/>
      <c r="J242" s="245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</row>
    <row r="243">
      <c r="A243" s="245"/>
      <c r="B243" s="245"/>
      <c r="C243" s="245"/>
      <c r="D243" s="245" t="str">
        <f>IFNA(VLOOKUP(B243,IMS!$A$2:$E$232,5,0),"")</f>
        <v/>
      </c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</row>
    <row r="244">
      <c r="A244" s="245"/>
      <c r="B244" s="245"/>
      <c r="C244" s="245"/>
      <c r="D244" s="245" t="str">
        <f>IFNA(VLOOKUP(B244,IMS!$A$2:$E$232,5,0),"")</f>
        <v/>
      </c>
      <c r="E244" s="245"/>
      <c r="F244" s="245"/>
      <c r="G244" s="245"/>
      <c r="H244" s="245"/>
      <c r="I244" s="245"/>
      <c r="J244" s="245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</row>
    <row r="245">
      <c r="A245" s="245"/>
      <c r="B245" s="245"/>
      <c r="C245" s="245"/>
      <c r="D245" s="245" t="str">
        <f>IFNA(VLOOKUP(B245,IMS!$A$2:$E$232,5,0),"")</f>
        <v/>
      </c>
      <c r="E245" s="245"/>
      <c r="F245" s="245"/>
      <c r="G245" s="245"/>
      <c r="H245" s="245"/>
      <c r="I245" s="245"/>
      <c r="J245" s="245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</row>
    <row r="246">
      <c r="A246" s="245"/>
      <c r="B246" s="245"/>
      <c r="C246" s="245"/>
      <c r="D246" s="245" t="str">
        <f>IFNA(VLOOKUP(B246,IMS!$A$2:$E$232,5,0),"")</f>
        <v/>
      </c>
      <c r="E246" s="245"/>
      <c r="F246" s="245"/>
      <c r="G246" s="245"/>
      <c r="H246" s="245"/>
      <c r="I246" s="245"/>
      <c r="J246" s="245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</row>
    <row r="247">
      <c r="A247" s="245"/>
      <c r="B247" s="245"/>
      <c r="C247" s="245"/>
      <c r="D247" s="245" t="str">
        <f>IFNA(VLOOKUP(B247,IMS!$A$2:$E$232,5,0),"")</f>
        <v/>
      </c>
      <c r="E247" s="245"/>
      <c r="F247" s="245"/>
      <c r="G247" s="245"/>
      <c r="H247" s="245"/>
      <c r="I247" s="245"/>
      <c r="J247" s="245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</row>
    <row r="248">
      <c r="A248" s="245"/>
      <c r="B248" s="245"/>
      <c r="C248" s="245"/>
      <c r="D248" s="245" t="str">
        <f>IFNA(VLOOKUP(B248,IMS!$A$2:$E$232,5,0),"")</f>
        <v/>
      </c>
      <c r="E248" s="245"/>
      <c r="F248" s="245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</row>
    <row r="249">
      <c r="A249" s="245"/>
      <c r="B249" s="245"/>
      <c r="C249" s="245"/>
      <c r="D249" s="245" t="str">
        <f>IFNA(VLOOKUP(B249,IMS!$A$2:$E$232,5,0),"")</f>
        <v/>
      </c>
      <c r="E249" s="245"/>
      <c r="F249" s="245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</row>
    <row r="250">
      <c r="A250" s="245"/>
      <c r="B250" s="245"/>
      <c r="C250" s="245"/>
      <c r="D250" s="245" t="str">
        <f>IFNA(VLOOKUP(B250,IMS!$A$2:$E$232,5,0),"")</f>
        <v/>
      </c>
      <c r="E250" s="245"/>
      <c r="F250" s="245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</row>
    <row r="251">
      <c r="A251" s="245"/>
      <c r="B251" s="245"/>
      <c r="C251" s="245"/>
      <c r="D251" s="245" t="str">
        <f>IFNA(VLOOKUP(B251,IMS!$A$2:$E$232,5,0),"")</f>
        <v/>
      </c>
      <c r="E251" s="245"/>
      <c r="F251" s="245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</row>
    <row r="252">
      <c r="A252" s="245"/>
      <c r="B252" s="245"/>
      <c r="C252" s="245"/>
      <c r="D252" s="245" t="str">
        <f>IFNA(VLOOKUP(B252,IMS!$A$2:$E$232,5,0),"")</f>
        <v/>
      </c>
      <c r="E252" s="245"/>
      <c r="F252" s="245"/>
      <c r="G252" s="245"/>
      <c r="H252" s="245"/>
      <c r="I252" s="245"/>
      <c r="J252" s="245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</row>
    <row r="253">
      <c r="A253" s="245"/>
      <c r="B253" s="245"/>
      <c r="C253" s="245"/>
      <c r="D253" s="245" t="str">
        <f>IFNA(VLOOKUP(B253,IMS!$A$2:$E$232,5,0),"")</f>
        <v/>
      </c>
      <c r="E253" s="245"/>
      <c r="F253" s="245"/>
      <c r="G253" s="245"/>
      <c r="H253" s="245"/>
      <c r="I253" s="245"/>
      <c r="J253" s="245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</row>
    <row r="254">
      <c r="A254" s="245"/>
      <c r="B254" s="245"/>
      <c r="C254" s="245"/>
      <c r="D254" s="245" t="str">
        <f>IFNA(VLOOKUP(B254,IMS!$A$2:$E$232,5,0),"")</f>
        <v/>
      </c>
      <c r="E254" s="245"/>
      <c r="F254" s="245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</row>
    <row r="255">
      <c r="A255" s="245"/>
      <c r="B255" s="245"/>
      <c r="C255" s="245"/>
      <c r="D255" s="245" t="str">
        <f>IFNA(VLOOKUP(B255,IMS!$A$2:$E$232,5,0),"")</f>
        <v/>
      </c>
      <c r="E255" s="245"/>
      <c r="F255" s="245"/>
      <c r="G255" s="245"/>
      <c r="H255" s="245"/>
      <c r="I255" s="245"/>
      <c r="J255" s="245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</row>
    <row r="256">
      <c r="A256" s="245"/>
      <c r="B256" s="245"/>
      <c r="C256" s="245"/>
      <c r="D256" s="245" t="str">
        <f>IFNA(VLOOKUP(B256,IMS!$A$2:$E$232,5,0),"")</f>
        <v/>
      </c>
      <c r="E256" s="245"/>
      <c r="F256" s="245"/>
      <c r="G256" s="245"/>
      <c r="H256" s="245"/>
      <c r="I256" s="245"/>
      <c r="J256" s="245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</row>
    <row r="257">
      <c r="A257" s="245"/>
      <c r="B257" s="245"/>
      <c r="C257" s="245"/>
      <c r="D257" s="245" t="str">
        <f>IFNA(VLOOKUP(B257,IMS!$A$2:$E$232,5,0),"")</f>
        <v/>
      </c>
      <c r="E257" s="245"/>
      <c r="F257" s="245"/>
      <c r="G257" s="245"/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</row>
    <row r="258">
      <c r="A258" s="245"/>
      <c r="B258" s="245"/>
      <c r="C258" s="245"/>
      <c r="D258" s="245" t="str">
        <f>IFNA(VLOOKUP(B258,IMS!$A$2:$E$232,5,0),"")</f>
        <v/>
      </c>
      <c r="E258" s="245"/>
      <c r="F258" s="245"/>
      <c r="G258" s="245"/>
      <c r="H258" s="245"/>
      <c r="I258" s="245"/>
      <c r="J258" s="245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</row>
    <row r="259">
      <c r="A259" s="245"/>
      <c r="B259" s="245"/>
      <c r="C259" s="245"/>
      <c r="D259" s="245" t="str">
        <f>IFNA(VLOOKUP(B259,IMS!$A$2:$E$232,5,0),"")</f>
        <v/>
      </c>
      <c r="E259" s="245"/>
      <c r="F259" s="245"/>
      <c r="G259" s="245"/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</row>
    <row r="260">
      <c r="A260" s="245"/>
      <c r="B260" s="245"/>
      <c r="C260" s="245"/>
      <c r="D260" s="245" t="str">
        <f>IFNA(VLOOKUP(B260,IMS!$A$2:$E$232,5,0),"")</f>
        <v/>
      </c>
      <c r="E260" s="245"/>
      <c r="F260" s="245"/>
      <c r="G260" s="245"/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</row>
    <row r="261">
      <c r="A261" s="245"/>
      <c r="B261" s="245"/>
      <c r="C261" s="245"/>
      <c r="D261" s="245" t="str">
        <f>IFNA(VLOOKUP(B261,IMS!$A$2:$E$232,5,0),"")</f>
        <v/>
      </c>
      <c r="E261" s="245"/>
      <c r="F261" s="245"/>
      <c r="G261" s="245"/>
      <c r="H261" s="245"/>
      <c r="I261" s="245"/>
      <c r="J261" s="245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</row>
    <row r="262">
      <c r="A262" s="245"/>
      <c r="B262" s="245"/>
      <c r="C262" s="245"/>
      <c r="D262" s="245" t="str">
        <f>IFNA(VLOOKUP(B262,IMS!$A$2:$E$232,5,0),"")</f>
        <v/>
      </c>
      <c r="E262" s="245"/>
      <c r="F262" s="245"/>
      <c r="G262" s="245"/>
      <c r="H262" s="245"/>
      <c r="I262" s="245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</row>
    <row r="263">
      <c r="A263" s="245"/>
      <c r="B263" s="245"/>
      <c r="C263" s="245"/>
      <c r="D263" s="245" t="str">
        <f>IFNA(VLOOKUP(B263,IMS!$A$2:$E$232,5,0),"")</f>
        <v/>
      </c>
      <c r="E263" s="245"/>
      <c r="F263" s="245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</row>
    <row r="264">
      <c r="A264" s="245"/>
      <c r="B264" s="245"/>
      <c r="C264" s="245"/>
      <c r="D264" s="245" t="str">
        <f>IFNA(VLOOKUP(B264,IMS!$A$2:$E$232,5,0),"")</f>
        <v/>
      </c>
      <c r="E264" s="245"/>
      <c r="F264" s="245"/>
      <c r="G264" s="245"/>
      <c r="H264" s="245"/>
      <c r="I264" s="245"/>
      <c r="J264" s="245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</row>
    <row r="265">
      <c r="A265" s="245"/>
      <c r="B265" s="245"/>
      <c r="C265" s="245"/>
      <c r="D265" s="245" t="str">
        <f>IFNA(VLOOKUP(B265,IMS!$A$2:$E$232,5,0),"")</f>
        <v/>
      </c>
      <c r="E265" s="245"/>
      <c r="F265" s="245"/>
      <c r="G265" s="245"/>
      <c r="H265" s="245"/>
      <c r="I265" s="245"/>
      <c r="J265" s="245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</row>
    <row r="266">
      <c r="A266" s="245"/>
      <c r="B266" s="245"/>
      <c r="C266" s="245"/>
      <c r="D266" s="245" t="str">
        <f>IFNA(VLOOKUP(B266,IMS!$A$2:$E$232,5,0),"")</f>
        <v/>
      </c>
      <c r="E266" s="245"/>
      <c r="F266" s="245"/>
      <c r="G266" s="245"/>
      <c r="H266" s="245"/>
      <c r="I266" s="245"/>
      <c r="J266" s="245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</row>
    <row r="267">
      <c r="A267" s="245"/>
      <c r="B267" s="245"/>
      <c r="C267" s="245"/>
      <c r="D267" s="245" t="str">
        <f>IFNA(VLOOKUP(B267,IMS!$A$2:$E$232,5,0),"")</f>
        <v/>
      </c>
      <c r="E267" s="245"/>
      <c r="F267" s="245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</row>
    <row r="268">
      <c r="A268" s="245"/>
      <c r="B268" s="245"/>
      <c r="C268" s="245"/>
      <c r="D268" s="245" t="str">
        <f>IFNA(VLOOKUP(B268,IMS!$A$2:$E$232,5,0),"")</f>
        <v/>
      </c>
      <c r="E268" s="245"/>
      <c r="F268" s="245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</row>
    <row r="269">
      <c r="A269" s="245"/>
      <c r="B269" s="245"/>
      <c r="C269" s="245"/>
      <c r="D269" s="245" t="str">
        <f>IFNA(VLOOKUP(B269,IMS!$A$2:$E$232,5,0),"")</f>
        <v/>
      </c>
      <c r="E269" s="245"/>
      <c r="F269" s="245"/>
      <c r="G269" s="245"/>
      <c r="H269" s="245"/>
      <c r="I269" s="245"/>
      <c r="J269" s="245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</row>
    <row r="270">
      <c r="A270" s="245"/>
      <c r="B270" s="245"/>
      <c r="C270" s="245"/>
      <c r="D270" s="245" t="str">
        <f>IFNA(VLOOKUP(B270,IMS!$A$2:$E$232,5,0),"")</f>
        <v/>
      </c>
      <c r="E270" s="245"/>
      <c r="F270" s="245"/>
      <c r="G270" s="245"/>
      <c r="H270" s="245"/>
      <c r="I270" s="245"/>
      <c r="J270" s="245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</row>
    <row r="271">
      <c r="A271" s="245"/>
      <c r="B271" s="245"/>
      <c r="C271" s="245"/>
      <c r="D271" s="245" t="str">
        <f>IFNA(VLOOKUP(B271,IMS!$A$2:$E$232,5,0),"")</f>
        <v/>
      </c>
      <c r="E271" s="245"/>
      <c r="F271" s="245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</row>
    <row r="272">
      <c r="A272" s="245"/>
      <c r="B272" s="245"/>
      <c r="C272" s="245"/>
      <c r="D272" s="245" t="str">
        <f>IFNA(VLOOKUP(B272,IMS!$A$2:$E$232,5,0),"")</f>
        <v/>
      </c>
      <c r="E272" s="245"/>
      <c r="F272" s="245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</row>
    <row r="273">
      <c r="A273" s="245"/>
      <c r="B273" s="245"/>
      <c r="C273" s="245"/>
      <c r="D273" s="245" t="str">
        <f>IFNA(VLOOKUP(B273,IMS!$A$2:$E$232,5,0),"")</f>
        <v/>
      </c>
      <c r="E273" s="245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</row>
    <row r="274">
      <c r="A274" s="245"/>
      <c r="B274" s="245"/>
      <c r="C274" s="245"/>
      <c r="D274" s="245" t="str">
        <f>IFNA(VLOOKUP(B274,IMS!$A$2:$E$232,5,0),"")</f>
        <v/>
      </c>
      <c r="E274" s="245"/>
      <c r="F274" s="245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</row>
    <row r="275">
      <c r="A275" s="245"/>
      <c r="B275" s="245"/>
      <c r="C275" s="245"/>
      <c r="D275" s="245" t="str">
        <f>IFNA(VLOOKUP(B275,IMS!$A$2:$E$232,5,0),"")</f>
        <v/>
      </c>
      <c r="E275" s="245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</row>
    <row r="276">
      <c r="A276" s="245"/>
      <c r="B276" s="245"/>
      <c r="C276" s="245"/>
      <c r="D276" s="245" t="str">
        <f>IFNA(VLOOKUP(B276,IMS!$A$2:$E$232,5,0),"")</f>
        <v/>
      </c>
      <c r="E276" s="245"/>
      <c r="F276" s="245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</row>
    <row r="277">
      <c r="A277" s="245"/>
      <c r="B277" s="245"/>
      <c r="C277" s="245"/>
      <c r="D277" s="245" t="str">
        <f>IFNA(VLOOKUP(B277,IMS!$A$2:$E$232,5,0),"")</f>
        <v/>
      </c>
      <c r="E277" s="245"/>
      <c r="F277" s="245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</row>
    <row r="278">
      <c r="A278" s="245"/>
      <c r="B278" s="245"/>
      <c r="C278" s="245"/>
      <c r="D278" s="245" t="str">
        <f>IFNA(VLOOKUP(B278,IMS!$A$2:$E$232,5,0),"")</f>
        <v/>
      </c>
      <c r="E278" s="245"/>
      <c r="F278" s="245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</row>
    <row r="279">
      <c r="A279" s="245"/>
      <c r="B279" s="245"/>
      <c r="C279" s="245"/>
      <c r="D279" s="245" t="str">
        <f>IFNA(VLOOKUP(B279,IMS!$A$2:$E$232,5,0),"")</f>
        <v/>
      </c>
      <c r="E279" s="245"/>
      <c r="F279" s="245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</row>
    <row r="280">
      <c r="A280" s="245"/>
      <c r="B280" s="245"/>
      <c r="C280" s="245"/>
      <c r="D280" s="245" t="str">
        <f>IFNA(VLOOKUP(B280,IMS!$A$2:$E$232,5,0),"")</f>
        <v/>
      </c>
      <c r="E280" s="245"/>
      <c r="F280" s="245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</row>
    <row r="281">
      <c r="A281" s="245"/>
      <c r="B281" s="245"/>
      <c r="C281" s="245"/>
      <c r="D281" s="245" t="str">
        <f>IFNA(VLOOKUP(B281,IMS!$A$2:$E$232,5,0),"")</f>
        <v/>
      </c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</row>
    <row r="282">
      <c r="A282" s="245"/>
      <c r="B282" s="245"/>
      <c r="C282" s="245"/>
      <c r="D282" s="245" t="str">
        <f>IFNA(VLOOKUP(B282,IMS!$A$2:$E$232,5,0),"")</f>
        <v/>
      </c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</row>
    <row r="283">
      <c r="A283" s="245"/>
      <c r="B283" s="245"/>
      <c r="C283" s="245"/>
      <c r="D283" s="245" t="str">
        <f>IFNA(VLOOKUP(B283,IMS!$A$2:$E$232,5,0),"")</f>
        <v/>
      </c>
      <c r="E283" s="245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</row>
    <row r="284">
      <c r="A284" s="245"/>
      <c r="B284" s="245"/>
      <c r="C284" s="245"/>
      <c r="D284" s="245" t="str">
        <f>IFNA(VLOOKUP(B284,IMS!$A$2:$E$232,5,0),"")</f>
        <v/>
      </c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</row>
    <row r="285">
      <c r="A285" s="245"/>
      <c r="B285" s="245"/>
      <c r="C285" s="245"/>
      <c r="D285" s="245" t="str">
        <f>IFNA(VLOOKUP(B285,IMS!$A$2:$E$232,5,0),"")</f>
        <v/>
      </c>
      <c r="E285" s="245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</row>
    <row r="286">
      <c r="A286" s="245"/>
      <c r="B286" s="245"/>
      <c r="C286" s="245"/>
      <c r="D286" s="245" t="str">
        <f>IFNA(VLOOKUP(B286,IMS!$A$2:$E$232,5,0),"")</f>
        <v/>
      </c>
      <c r="E286" s="245"/>
      <c r="F286" s="245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</row>
    <row r="287">
      <c r="A287" s="245"/>
      <c r="B287" s="245"/>
      <c r="C287" s="245"/>
      <c r="D287" s="245" t="str">
        <f>IFNA(VLOOKUP(B287,IMS!$A$2:$E$232,5,0),"")</f>
        <v/>
      </c>
      <c r="E287" s="245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</row>
    <row r="288">
      <c r="A288" s="245"/>
      <c r="B288" s="245"/>
      <c r="C288" s="245"/>
      <c r="D288" s="245" t="str">
        <f>IFNA(VLOOKUP(B288,IMS!$A$2:$E$232,5,0),"")</f>
        <v/>
      </c>
      <c r="E288" s="245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</row>
    <row r="289">
      <c r="A289" s="245"/>
      <c r="B289" s="245"/>
      <c r="C289" s="245"/>
      <c r="D289" s="245" t="str">
        <f>IFNA(VLOOKUP(B289,IMS!$A$2:$E$232,5,0),"")</f>
        <v/>
      </c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</row>
    <row r="290">
      <c r="A290" s="245"/>
      <c r="B290" s="245"/>
      <c r="C290" s="245"/>
      <c r="D290" s="245" t="str">
        <f>IFNA(VLOOKUP(B290,IMS!$A$2:$E$232,5,0),"")</f>
        <v/>
      </c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</row>
    <row r="291">
      <c r="A291" s="245"/>
      <c r="B291" s="245"/>
      <c r="C291" s="245"/>
      <c r="D291" s="245" t="str">
        <f>IFNA(VLOOKUP(B291,IMS!$A$2:$E$232,5,0),"")</f>
        <v/>
      </c>
      <c r="E291" s="245"/>
      <c r="F291" s="245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</row>
    <row r="292">
      <c r="A292" s="245"/>
      <c r="B292" s="245"/>
      <c r="C292" s="245"/>
      <c r="D292" s="245" t="str">
        <f>IFNA(VLOOKUP(B292,IMS!$A$2:$E$232,5,0),"")</f>
        <v/>
      </c>
      <c r="E292" s="245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</row>
    <row r="293">
      <c r="A293" s="245"/>
      <c r="B293" s="245"/>
      <c r="C293" s="245"/>
      <c r="D293" s="245" t="str">
        <f>IFNA(VLOOKUP(B293,IMS!$A$2:$E$232,5,0),"")</f>
        <v/>
      </c>
      <c r="E293" s="245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</row>
    <row r="294">
      <c r="A294" s="245"/>
      <c r="B294" s="245"/>
      <c r="C294" s="245"/>
      <c r="D294" s="245" t="str">
        <f>IFNA(VLOOKUP(B294,IMS!$A$2:$E$232,5,0),"")</f>
        <v/>
      </c>
      <c r="E294" s="245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</row>
    <row r="295">
      <c r="A295" s="245"/>
      <c r="B295" s="245"/>
      <c r="C295" s="245"/>
      <c r="D295" s="245" t="str">
        <f>IFNA(VLOOKUP(B295,IMS!$A$2:$E$232,5,0),"")</f>
        <v/>
      </c>
      <c r="E295" s="245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</row>
    <row r="296">
      <c r="A296" s="245"/>
      <c r="B296" s="245"/>
      <c r="C296" s="245"/>
      <c r="D296" s="245" t="str">
        <f>IFNA(VLOOKUP(B296,IMS!$A$2:$E$232,5,0),"")</f>
        <v/>
      </c>
      <c r="E296" s="245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</row>
    <row r="297">
      <c r="A297" s="245"/>
      <c r="B297" s="245"/>
      <c r="C297" s="245"/>
      <c r="D297" s="245" t="str">
        <f>IFNA(VLOOKUP(B297,IMS!$A$2:$E$232,5,0),"")</f>
        <v/>
      </c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</row>
    <row r="298">
      <c r="A298" s="245"/>
      <c r="B298" s="245"/>
      <c r="C298" s="245"/>
      <c r="D298" s="245" t="str">
        <f>IFNA(VLOOKUP(B298,IMS!$A$2:$E$232,5,0),"")</f>
        <v/>
      </c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</row>
    <row r="299">
      <c r="A299" s="245"/>
      <c r="B299" s="245"/>
      <c r="C299" s="245"/>
      <c r="D299" s="245" t="str">
        <f>IFNA(VLOOKUP(B299,IMS!$A$2:$E$232,5,0),"")</f>
        <v/>
      </c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</row>
    <row r="300">
      <c r="A300" s="245"/>
      <c r="B300" s="245"/>
      <c r="C300" s="245"/>
      <c r="D300" s="245" t="str">
        <f>IFNA(VLOOKUP(B300,IMS!$A$2:$E$232,5,0),"")</f>
        <v/>
      </c>
      <c r="E300" s="245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</row>
    <row r="301">
      <c r="A301" s="245"/>
      <c r="B301" s="245"/>
      <c r="C301" s="245"/>
      <c r="D301" s="245" t="str">
        <f>IFNA(VLOOKUP(B301,IMS!$A$2:$E$232,5,0),"")</f>
        <v/>
      </c>
      <c r="E301" s="245"/>
      <c r="F301" s="245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</row>
    <row r="302">
      <c r="A302" s="245"/>
      <c r="B302" s="245"/>
      <c r="C302" s="245"/>
      <c r="D302" s="245" t="str">
        <f>IFNA(VLOOKUP(B302,IMS!$A$2:$E$232,5,0),"")</f>
        <v/>
      </c>
      <c r="E302" s="245"/>
      <c r="F302" s="245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</row>
    <row r="303">
      <c r="A303" s="245"/>
      <c r="B303" s="245"/>
      <c r="C303" s="245"/>
      <c r="D303" s="245" t="str">
        <f>IFNA(VLOOKUP(B303,IMS!$A$2:$E$232,5,0),"")</f>
        <v/>
      </c>
      <c r="E303" s="245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</row>
    <row r="304">
      <c r="A304" s="245"/>
      <c r="B304" s="245"/>
      <c r="C304" s="245"/>
      <c r="D304" s="245" t="str">
        <f>IFNA(VLOOKUP(B304,IMS!$A$2:$E$232,5,0),"")</f>
        <v/>
      </c>
      <c r="E304" s="245"/>
      <c r="F304" s="245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</row>
    <row r="305">
      <c r="A305" s="245"/>
      <c r="B305" s="245"/>
      <c r="C305" s="245"/>
      <c r="D305" s="245" t="str">
        <f>IFNA(VLOOKUP(B305,IMS!$A$2:$E$232,5,0),"")</f>
        <v/>
      </c>
      <c r="E305" s="245"/>
      <c r="F305" s="245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</row>
    <row r="306">
      <c r="A306" s="245"/>
      <c r="B306" s="245"/>
      <c r="C306" s="245"/>
      <c r="D306" s="245" t="str">
        <f>IFNA(VLOOKUP(B306,IMS!$A$2:$E$232,5,0),"")</f>
        <v/>
      </c>
      <c r="E306" s="245"/>
      <c r="F306" s="245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</row>
    <row r="307">
      <c r="A307" s="245"/>
      <c r="B307" s="245"/>
      <c r="C307" s="245"/>
      <c r="D307" s="245" t="str">
        <f>IFNA(VLOOKUP(B307,IMS!$A$2:$E$232,5,0),"")</f>
        <v/>
      </c>
      <c r="E307" s="245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</row>
    <row r="308">
      <c r="A308" s="245"/>
      <c r="B308" s="245"/>
      <c r="C308" s="245"/>
      <c r="D308" s="245" t="str">
        <f>IFNA(VLOOKUP(B308,IMS!$A$2:$E$232,5,0),"")</f>
        <v/>
      </c>
      <c r="E308" s="245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</row>
    <row r="309">
      <c r="A309" s="245"/>
      <c r="B309" s="245"/>
      <c r="C309" s="245"/>
      <c r="D309" s="245" t="str">
        <f>IFNA(VLOOKUP(B309,IMS!$A$2:$E$232,5,0),"")</f>
        <v/>
      </c>
      <c r="E309" s="245"/>
      <c r="F309" s="245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</row>
    <row r="310">
      <c r="A310" s="245"/>
      <c r="B310" s="245"/>
      <c r="C310" s="245"/>
      <c r="D310" s="245" t="str">
        <f>IFNA(VLOOKUP(B310,IMS!$A$2:$E$232,5,0),"")</f>
        <v/>
      </c>
      <c r="E310" s="245"/>
      <c r="F310" s="245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</row>
    <row r="311">
      <c r="A311" s="245"/>
      <c r="B311" s="245"/>
      <c r="C311" s="245"/>
      <c r="D311" s="245" t="str">
        <f>IFNA(VLOOKUP(B311,IMS!$A$2:$E$232,5,0),"")</f>
        <v/>
      </c>
      <c r="E311" s="245"/>
      <c r="F311" s="245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</row>
    <row r="312">
      <c r="A312" s="245"/>
      <c r="B312" s="245"/>
      <c r="C312" s="245"/>
      <c r="D312" s="245" t="str">
        <f>IFNA(VLOOKUP(B312,IMS!$A$2:$E$232,5,0),"")</f>
        <v/>
      </c>
      <c r="E312" s="245"/>
      <c r="F312" s="245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</row>
    <row r="313">
      <c r="A313" s="245"/>
      <c r="B313" s="245"/>
      <c r="C313" s="245"/>
      <c r="D313" s="245" t="str">
        <f>IFNA(VLOOKUP(B313,IMS!$A$2:$E$232,5,0),"")</f>
        <v/>
      </c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</row>
    <row r="314">
      <c r="A314" s="245"/>
      <c r="B314" s="245"/>
      <c r="C314" s="245"/>
      <c r="D314" s="245" t="str">
        <f>IFNA(VLOOKUP(B314,IMS!$A$2:$E$232,5,0),"")</f>
        <v/>
      </c>
      <c r="E314" s="245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</row>
    <row r="315">
      <c r="A315" s="245"/>
      <c r="B315" s="245"/>
      <c r="C315" s="245"/>
      <c r="D315" s="245" t="str">
        <f>IFNA(VLOOKUP(B315,IMS!$A$2:$E$232,5,0),"")</f>
        <v/>
      </c>
      <c r="E315" s="245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</row>
    <row r="316">
      <c r="A316" s="245"/>
      <c r="B316" s="245"/>
      <c r="C316" s="245"/>
      <c r="D316" s="245" t="str">
        <f>IFNA(VLOOKUP(B316,IMS!$A$2:$E$232,5,0),"")</f>
        <v/>
      </c>
      <c r="E316" s="245"/>
      <c r="F316" s="245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</row>
    <row r="317">
      <c r="A317" s="245"/>
      <c r="B317" s="245"/>
      <c r="C317" s="245"/>
      <c r="D317" s="245" t="str">
        <f>IFNA(VLOOKUP(B317,IMS!$A$2:$E$232,5,0),"")</f>
        <v/>
      </c>
      <c r="E317" s="245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</row>
    <row r="318">
      <c r="A318" s="245"/>
      <c r="B318" s="245"/>
      <c r="C318" s="245"/>
      <c r="D318" s="245" t="str">
        <f>IFNA(VLOOKUP(B318,IMS!$A$2:$E$232,5,0),"")</f>
        <v/>
      </c>
      <c r="E318" s="245"/>
      <c r="F318" s="245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</row>
    <row r="319">
      <c r="A319" s="245"/>
      <c r="B319" s="245"/>
      <c r="C319" s="245"/>
      <c r="D319" s="245" t="str">
        <f>IFNA(VLOOKUP(B319,IMS!$A$2:$E$232,5,0),"")</f>
        <v/>
      </c>
      <c r="E319" s="245"/>
      <c r="F319" s="245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</row>
    <row r="320">
      <c r="A320" s="245"/>
      <c r="B320" s="245"/>
      <c r="C320" s="245"/>
      <c r="D320" s="245" t="str">
        <f>IFNA(VLOOKUP(B320,IMS!$A$2:$E$232,5,0),"")</f>
        <v/>
      </c>
      <c r="E320" s="245"/>
      <c r="F320" s="245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</row>
    <row r="321">
      <c r="A321" s="245"/>
      <c r="B321" s="245"/>
      <c r="C321" s="245"/>
      <c r="D321" s="245" t="str">
        <f>IFNA(VLOOKUP(B321,IMS!$A$2:$E$232,5,0),"")</f>
        <v/>
      </c>
      <c r="E321" s="245"/>
      <c r="F321" s="245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</row>
    <row r="322">
      <c r="A322" s="245"/>
      <c r="B322" s="245"/>
      <c r="C322" s="245"/>
      <c r="D322" s="245" t="str">
        <f>IFNA(VLOOKUP(B322,IMS!$A$2:$E$232,5,0),"")</f>
        <v/>
      </c>
      <c r="E322" s="245"/>
      <c r="F322" s="245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</row>
    <row r="323">
      <c r="A323" s="245"/>
      <c r="B323" s="245"/>
      <c r="C323" s="245"/>
      <c r="D323" s="245" t="str">
        <f>IFNA(VLOOKUP(B323,IMS!$A$2:$E$232,5,0),"")</f>
        <v/>
      </c>
      <c r="E323" s="245"/>
      <c r="F323" s="245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</row>
    <row r="324">
      <c r="A324" s="245"/>
      <c r="B324" s="245"/>
      <c r="C324" s="245"/>
      <c r="D324" s="245" t="str">
        <f>IFNA(VLOOKUP(B324,IMS!$A$2:$E$232,5,0),"")</f>
        <v/>
      </c>
      <c r="E324" s="245"/>
      <c r="F324" s="245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</row>
    <row r="325">
      <c r="A325" s="245"/>
      <c r="B325" s="245"/>
      <c r="C325" s="245"/>
      <c r="D325" s="245" t="str">
        <f>IFNA(VLOOKUP(B325,IMS!$A$2:$E$232,5,0),"")</f>
        <v/>
      </c>
      <c r="E325" s="245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</row>
    <row r="326">
      <c r="A326" s="245"/>
      <c r="B326" s="245"/>
      <c r="C326" s="245"/>
      <c r="D326" s="245" t="str">
        <f>IFNA(VLOOKUP(B326,IMS!$A$2:$E$232,5,0),"")</f>
        <v/>
      </c>
      <c r="E326" s="245"/>
      <c r="F326" s="245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</row>
    <row r="327">
      <c r="A327" s="245"/>
      <c r="B327" s="245"/>
      <c r="C327" s="245"/>
      <c r="D327" s="245" t="str">
        <f>IFNA(VLOOKUP(B327,IMS!$A$2:$E$232,5,0),"")</f>
        <v/>
      </c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</row>
    <row r="328">
      <c r="A328" s="245"/>
      <c r="B328" s="245"/>
      <c r="C328" s="245"/>
      <c r="D328" s="245" t="str">
        <f>IFNA(VLOOKUP(B328,IMS!$A$2:$E$232,5,0),"")</f>
        <v/>
      </c>
      <c r="E328" s="245"/>
      <c r="F328" s="245"/>
      <c r="G328" s="245"/>
      <c r="H328" s="245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</row>
    <row r="329">
      <c r="A329" s="245"/>
      <c r="B329" s="245"/>
      <c r="C329" s="245"/>
      <c r="D329" s="245" t="str">
        <f>IFNA(VLOOKUP(B329,IMS!$A$2:$E$232,5,0),"")</f>
        <v/>
      </c>
      <c r="E329" s="245"/>
      <c r="F329" s="245"/>
      <c r="G329" s="245"/>
      <c r="H329" s="245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</row>
    <row r="330">
      <c r="A330" s="245"/>
      <c r="B330" s="245"/>
      <c r="C330" s="245"/>
      <c r="D330" s="245" t="str">
        <f>IFNA(VLOOKUP(B330,IMS!$A$2:$E$232,5,0),"")</f>
        <v/>
      </c>
      <c r="E330" s="245"/>
      <c r="F330" s="245"/>
      <c r="G330" s="245"/>
      <c r="H330" s="245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</row>
    <row r="331">
      <c r="A331" s="245"/>
      <c r="B331" s="245"/>
      <c r="C331" s="245"/>
      <c r="D331" s="245" t="str">
        <f>IFNA(VLOOKUP(B331,IMS!$A$2:$E$232,5,0),"")</f>
        <v/>
      </c>
      <c r="E331" s="245"/>
      <c r="F331" s="245"/>
      <c r="G331" s="245"/>
      <c r="H331" s="245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</row>
    <row r="332">
      <c r="A332" s="245"/>
      <c r="B332" s="245"/>
      <c r="C332" s="245"/>
      <c r="D332" s="245" t="str">
        <f>IFNA(VLOOKUP(B332,IMS!$A$2:$E$232,5,0),"")</f>
        <v/>
      </c>
      <c r="E332" s="245"/>
      <c r="F332" s="245"/>
      <c r="G332" s="245"/>
      <c r="H332" s="245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</row>
    <row r="333">
      <c r="A333" s="245"/>
      <c r="B333" s="245"/>
      <c r="C333" s="245"/>
      <c r="D333" s="245" t="str">
        <f>IFNA(VLOOKUP(B333,IMS!$A$2:$E$232,5,0),"")</f>
        <v/>
      </c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</row>
    <row r="334">
      <c r="A334" s="245"/>
      <c r="B334" s="245"/>
      <c r="C334" s="245"/>
      <c r="D334" s="245" t="str">
        <f>IFNA(VLOOKUP(B334,IMS!$A$2:$E$232,5,0),"")</f>
        <v/>
      </c>
      <c r="E334" s="245"/>
      <c r="F334" s="245"/>
      <c r="G334" s="245"/>
      <c r="H334" s="245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</row>
    <row r="335">
      <c r="A335" s="245"/>
      <c r="B335" s="245"/>
      <c r="C335" s="245"/>
      <c r="D335" s="245" t="str">
        <f>IFNA(VLOOKUP(B335,IMS!$A$2:$E$232,5,0),"")</f>
        <v/>
      </c>
      <c r="E335" s="245"/>
      <c r="F335" s="245"/>
      <c r="G335" s="245"/>
      <c r="H335" s="245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</row>
    <row r="336">
      <c r="A336" s="245"/>
      <c r="B336" s="245"/>
      <c r="C336" s="245"/>
      <c r="D336" s="245" t="str">
        <f>IFNA(VLOOKUP(B336,IMS!$A$2:$E$232,5,0),"")</f>
        <v/>
      </c>
      <c r="E336" s="245"/>
      <c r="F336" s="245"/>
      <c r="G336" s="245"/>
      <c r="H336" s="245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</row>
    <row r="337">
      <c r="A337" s="245"/>
      <c r="B337" s="245"/>
      <c r="C337" s="245"/>
      <c r="D337" s="245" t="str">
        <f>IFNA(VLOOKUP(B337,IMS!$A$2:$E$232,5,0),"")</f>
        <v/>
      </c>
      <c r="E337" s="245"/>
      <c r="F337" s="245"/>
      <c r="G337" s="245"/>
      <c r="H337" s="245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</row>
    <row r="338">
      <c r="A338" s="245"/>
      <c r="B338" s="245"/>
      <c r="C338" s="245"/>
      <c r="D338" s="245" t="str">
        <f>IFNA(VLOOKUP(B338,IMS!$A$2:$E$232,5,0),"")</f>
        <v/>
      </c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</row>
    <row r="339">
      <c r="A339" s="245"/>
      <c r="B339" s="245"/>
      <c r="C339" s="245"/>
      <c r="D339" s="245" t="str">
        <f>IFNA(VLOOKUP(B339,IMS!$A$2:$E$232,5,0),"")</f>
        <v/>
      </c>
      <c r="E339" s="245"/>
      <c r="F339" s="245"/>
      <c r="G339" s="245"/>
      <c r="H339" s="245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</row>
    <row r="340">
      <c r="A340" s="245"/>
      <c r="B340" s="245"/>
      <c r="C340" s="245"/>
      <c r="D340" s="245" t="str">
        <f>IFNA(VLOOKUP(B340,IMS!$A$2:$E$232,5,0),"")</f>
        <v/>
      </c>
      <c r="E340" s="245"/>
      <c r="F340" s="245"/>
      <c r="G340" s="245"/>
      <c r="H340" s="245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</row>
    <row r="341">
      <c r="A341" s="245"/>
      <c r="B341" s="245"/>
      <c r="C341" s="245"/>
      <c r="D341" s="245" t="str">
        <f>IFNA(VLOOKUP(B341,IMS!$A$2:$E$232,5,0),"")</f>
        <v/>
      </c>
      <c r="E341" s="245"/>
      <c r="F341" s="245"/>
      <c r="G341" s="245"/>
      <c r="H341" s="245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</row>
    <row r="342">
      <c r="A342" s="245"/>
      <c r="B342" s="245"/>
      <c r="C342" s="245"/>
      <c r="D342" s="245" t="str">
        <f>IFNA(VLOOKUP(B342,IMS!$A$2:$E$232,5,0),"")</f>
        <v/>
      </c>
      <c r="E342" s="245"/>
      <c r="F342" s="245"/>
      <c r="G342" s="245"/>
      <c r="H342" s="245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</row>
    <row r="343">
      <c r="A343" s="245"/>
      <c r="B343" s="245"/>
      <c r="C343" s="245"/>
      <c r="D343" s="245" t="str">
        <f>IFNA(VLOOKUP(B343,IMS!$A$2:$E$232,5,0),"")</f>
        <v/>
      </c>
      <c r="E343" s="245"/>
      <c r="F343" s="245"/>
      <c r="G343" s="245"/>
      <c r="H343" s="245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</row>
    <row r="344">
      <c r="A344" s="245"/>
      <c r="B344" s="245"/>
      <c r="C344" s="245"/>
      <c r="D344" s="245" t="str">
        <f>IFNA(VLOOKUP(B344,IMS!$A$2:$E$232,5,0),"")</f>
        <v/>
      </c>
      <c r="E344" s="245"/>
      <c r="F344" s="245"/>
      <c r="G344" s="245"/>
      <c r="H344" s="245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</row>
    <row r="345">
      <c r="A345" s="245"/>
      <c r="B345" s="245"/>
      <c r="C345" s="245"/>
      <c r="D345" s="245" t="str">
        <f>IFNA(VLOOKUP(B345,IMS!$A$2:$E$232,5,0),"")</f>
        <v/>
      </c>
      <c r="E345" s="245"/>
      <c r="F345" s="245"/>
      <c r="G345" s="245"/>
      <c r="H345" s="245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</row>
    <row r="346">
      <c r="A346" s="245"/>
      <c r="B346" s="245"/>
      <c r="C346" s="245"/>
      <c r="D346" s="245" t="str">
        <f>IFNA(VLOOKUP(B346,IMS!$A$2:$E$232,5,0),"")</f>
        <v/>
      </c>
      <c r="E346" s="245"/>
      <c r="F346" s="245"/>
      <c r="G346" s="245"/>
      <c r="H346" s="245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</row>
    <row r="347">
      <c r="A347" s="245"/>
      <c r="B347" s="245"/>
      <c r="C347" s="245"/>
      <c r="D347" s="245" t="str">
        <f>IFNA(VLOOKUP(B347,IMS!$A$2:$E$232,5,0),"")</f>
        <v/>
      </c>
      <c r="E347" s="245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</row>
    <row r="348">
      <c r="A348" s="245"/>
      <c r="B348" s="245"/>
      <c r="C348" s="245"/>
      <c r="D348" s="245" t="str">
        <f>IFNA(VLOOKUP(B348,IMS!$A$2:$E$232,5,0),"")</f>
        <v/>
      </c>
      <c r="E348" s="245"/>
      <c r="F348" s="245"/>
      <c r="G348" s="245"/>
      <c r="H348" s="245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</row>
    <row r="349">
      <c r="A349" s="245"/>
      <c r="B349" s="245"/>
      <c r="C349" s="245"/>
      <c r="D349" s="245" t="str">
        <f>IFNA(VLOOKUP(B349,IMS!$A$2:$E$232,5,0),"")</f>
        <v/>
      </c>
      <c r="E349" s="245"/>
      <c r="F349" s="245"/>
      <c r="G349" s="245"/>
      <c r="H349" s="245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</row>
    <row r="350">
      <c r="A350" s="245"/>
      <c r="B350" s="245"/>
      <c r="C350" s="245"/>
      <c r="D350" s="245" t="str">
        <f>IFNA(VLOOKUP(B350,IMS!$A$2:$E$232,5,0),"")</f>
        <v/>
      </c>
      <c r="E350" s="245"/>
      <c r="F350" s="245"/>
      <c r="G350" s="245"/>
      <c r="H350" s="245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</row>
    <row r="351">
      <c r="A351" s="245"/>
      <c r="B351" s="245"/>
      <c r="C351" s="245"/>
      <c r="D351" s="245" t="str">
        <f>IFNA(VLOOKUP(B351,IMS!$A$2:$E$232,5,0),"")</f>
        <v/>
      </c>
      <c r="E351" s="245"/>
      <c r="F351" s="245"/>
      <c r="G351" s="245"/>
      <c r="H351" s="245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</row>
    <row r="352">
      <c r="A352" s="245"/>
      <c r="B352" s="245"/>
      <c r="C352" s="245"/>
      <c r="D352" s="245" t="str">
        <f>IFNA(VLOOKUP(B352,IMS!$A$2:$E$232,5,0),"")</f>
        <v/>
      </c>
      <c r="E352" s="245"/>
      <c r="F352" s="245"/>
      <c r="G352" s="245"/>
      <c r="H352" s="245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</row>
    <row r="353">
      <c r="A353" s="245"/>
      <c r="B353" s="245"/>
      <c r="C353" s="245"/>
      <c r="D353" s="245" t="str">
        <f>IFNA(VLOOKUP(B353,IMS!$A$2:$E$232,5,0),"")</f>
        <v/>
      </c>
      <c r="E353" s="245"/>
      <c r="F353" s="245"/>
      <c r="G353" s="245"/>
      <c r="H353" s="245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</row>
    <row r="354">
      <c r="A354" s="245"/>
      <c r="B354" s="245"/>
      <c r="C354" s="245"/>
      <c r="D354" s="245" t="str">
        <f>IFNA(VLOOKUP(B354,IMS!$A$2:$E$232,5,0),"")</f>
        <v/>
      </c>
      <c r="E354" s="245"/>
      <c r="F354" s="245"/>
      <c r="G354" s="245"/>
      <c r="H354" s="245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</row>
    <row r="355">
      <c r="A355" s="245"/>
      <c r="B355" s="245"/>
      <c r="C355" s="245"/>
      <c r="D355" s="245" t="str">
        <f>IFNA(VLOOKUP(B355,IMS!$A$2:$E$232,5,0),"")</f>
        <v/>
      </c>
      <c r="E355" s="245"/>
      <c r="F355" s="245"/>
      <c r="G355" s="245"/>
      <c r="H355" s="245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</row>
    <row r="356">
      <c r="A356" s="245"/>
      <c r="B356" s="245"/>
      <c r="C356" s="245"/>
      <c r="D356" s="245" t="str">
        <f>IFNA(VLOOKUP(B356,IMS!$A$2:$E$232,5,0),"")</f>
        <v/>
      </c>
      <c r="E356" s="245"/>
      <c r="F356" s="245"/>
      <c r="G356" s="245"/>
      <c r="H356" s="245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</row>
    <row r="357">
      <c r="A357" s="245"/>
      <c r="B357" s="245"/>
      <c r="C357" s="245"/>
      <c r="D357" s="245" t="str">
        <f>IFNA(VLOOKUP(B357,IMS!$A$2:$E$232,5,0),"")</f>
        <v/>
      </c>
      <c r="E357" s="245"/>
      <c r="F357" s="245"/>
      <c r="G357" s="245"/>
      <c r="H357" s="245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</row>
    <row r="358">
      <c r="A358" s="245"/>
      <c r="B358" s="245"/>
      <c r="C358" s="245"/>
      <c r="D358" s="245" t="str">
        <f>IFNA(VLOOKUP(B358,IMS!$A$2:$E$232,5,0),"")</f>
        <v/>
      </c>
      <c r="E358" s="245"/>
      <c r="F358" s="245"/>
      <c r="G358" s="245"/>
      <c r="H358" s="245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</row>
    <row r="359">
      <c r="A359" s="245"/>
      <c r="B359" s="245"/>
      <c r="C359" s="245"/>
      <c r="D359" s="245" t="str">
        <f>IFNA(VLOOKUP(B359,IMS!$A$2:$E$232,5,0),"")</f>
        <v/>
      </c>
      <c r="E359" s="245"/>
      <c r="F359" s="245"/>
      <c r="G359" s="245"/>
      <c r="H359" s="245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</row>
    <row r="360">
      <c r="A360" s="245"/>
      <c r="B360" s="245"/>
      <c r="C360" s="245"/>
      <c r="D360" s="245" t="str">
        <f>IFNA(VLOOKUP(B360,IMS!$A$2:$E$232,5,0),"")</f>
        <v/>
      </c>
      <c r="E360" s="245"/>
      <c r="F360" s="245"/>
      <c r="G360" s="245"/>
      <c r="H360" s="245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</row>
    <row r="361">
      <c r="A361" s="245"/>
      <c r="B361" s="245"/>
      <c r="C361" s="245"/>
      <c r="D361" s="245" t="str">
        <f>IFNA(VLOOKUP(B361,IMS!$A$2:$E$232,5,0),"")</f>
        <v/>
      </c>
      <c r="E361" s="245"/>
      <c r="F361" s="245"/>
      <c r="G361" s="245"/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</row>
    <row r="362">
      <c r="A362" s="245"/>
      <c r="B362" s="245"/>
      <c r="C362" s="245"/>
      <c r="D362" s="245" t="str">
        <f>IFNA(VLOOKUP(B362,IMS!$A$2:$E$232,5,0),"")</f>
        <v/>
      </c>
      <c r="E362" s="245"/>
      <c r="F362" s="245"/>
      <c r="G362" s="245"/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</row>
    <row r="363">
      <c r="A363" s="245"/>
      <c r="B363" s="245"/>
      <c r="C363" s="245"/>
      <c r="D363" s="245" t="str">
        <f>IFNA(VLOOKUP(B363,IMS!$A$2:$E$232,5,0),"")</f>
        <v/>
      </c>
      <c r="E363" s="245"/>
      <c r="F363" s="245"/>
      <c r="G363" s="245"/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</row>
    <row r="364">
      <c r="A364" s="245"/>
      <c r="B364" s="245"/>
      <c r="C364" s="245"/>
      <c r="D364" s="245" t="str">
        <f>IFNA(VLOOKUP(B364,IMS!$A$2:$E$232,5,0),"")</f>
        <v/>
      </c>
      <c r="E364" s="245"/>
      <c r="F364" s="245"/>
      <c r="G364" s="245"/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</row>
    <row r="365">
      <c r="A365" s="245"/>
      <c r="B365" s="245"/>
      <c r="C365" s="245"/>
      <c r="D365" s="245" t="str">
        <f>IFNA(VLOOKUP(B365,IMS!$A$2:$E$232,5,0),"")</f>
        <v/>
      </c>
      <c r="E365" s="245"/>
      <c r="F365" s="245"/>
      <c r="G365" s="245"/>
      <c r="H365" s="245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</row>
    <row r="366">
      <c r="A366" s="245"/>
      <c r="B366" s="245"/>
      <c r="C366" s="245"/>
      <c r="D366" s="245" t="str">
        <f>IFNA(VLOOKUP(B366,IMS!$A$2:$E$232,5,0),"")</f>
        <v/>
      </c>
      <c r="E366" s="245"/>
      <c r="F366" s="245"/>
      <c r="G366" s="245"/>
      <c r="H366" s="245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</row>
    <row r="367">
      <c r="A367" s="245"/>
      <c r="B367" s="245"/>
      <c r="C367" s="245"/>
      <c r="D367" s="245" t="str">
        <f>IFNA(VLOOKUP(B367,IMS!$A$2:$E$232,5,0),"")</f>
        <v/>
      </c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</row>
    <row r="368">
      <c r="A368" s="245"/>
      <c r="B368" s="245"/>
      <c r="C368" s="245"/>
      <c r="D368" s="245" t="str">
        <f>IFNA(VLOOKUP(B368,IMS!$A$2:$E$232,5,0),"")</f>
        <v/>
      </c>
      <c r="E368" s="245"/>
      <c r="F368" s="245"/>
      <c r="G368" s="245"/>
      <c r="H368" s="245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</row>
    <row r="369">
      <c r="A369" s="245"/>
      <c r="B369" s="245"/>
      <c r="C369" s="245"/>
      <c r="D369" s="245" t="str">
        <f>IFNA(VLOOKUP(B369,IMS!$A$2:$E$232,5,0),"")</f>
        <v/>
      </c>
      <c r="E369" s="245"/>
      <c r="F369" s="245"/>
      <c r="G369" s="245"/>
      <c r="H369" s="245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</row>
    <row r="370">
      <c r="A370" s="245"/>
      <c r="B370" s="245"/>
      <c r="C370" s="245"/>
      <c r="D370" s="245" t="str">
        <f>IFNA(VLOOKUP(B370,IMS!$A$2:$E$232,5,0),"")</f>
        <v/>
      </c>
      <c r="E370" s="245"/>
      <c r="F370" s="245"/>
      <c r="G370" s="245"/>
      <c r="H370" s="245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</row>
    <row r="371">
      <c r="A371" s="245"/>
      <c r="B371" s="245"/>
      <c r="C371" s="245"/>
      <c r="D371" s="245" t="str">
        <f>IFNA(VLOOKUP(B371,IMS!$A$2:$E$232,5,0),"")</f>
        <v/>
      </c>
      <c r="E371" s="245"/>
      <c r="F371" s="245"/>
      <c r="G371" s="245"/>
      <c r="H371" s="245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</row>
    <row r="372">
      <c r="A372" s="245"/>
      <c r="B372" s="245"/>
      <c r="C372" s="245"/>
      <c r="D372" s="245" t="str">
        <f>IFNA(VLOOKUP(B372,IMS!$A$2:$E$232,5,0),"")</f>
        <v/>
      </c>
      <c r="E372" s="245"/>
      <c r="F372" s="245"/>
      <c r="G372" s="245"/>
      <c r="H372" s="245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</row>
    <row r="373">
      <c r="A373" s="245"/>
      <c r="B373" s="245"/>
      <c r="C373" s="245"/>
      <c r="D373" s="245" t="str">
        <f>IFNA(VLOOKUP(B373,IMS!$A$2:$E$232,5,0),"")</f>
        <v/>
      </c>
      <c r="E373" s="245"/>
      <c r="F373" s="245"/>
      <c r="G373" s="245"/>
      <c r="H373" s="245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</row>
    <row r="374">
      <c r="A374" s="245"/>
      <c r="B374" s="245"/>
      <c r="C374" s="245"/>
      <c r="D374" s="245" t="str">
        <f>IFNA(VLOOKUP(B374,IMS!$A$2:$E$232,5,0),"")</f>
        <v/>
      </c>
      <c r="E374" s="245"/>
      <c r="F374" s="245"/>
      <c r="G374" s="245"/>
      <c r="H374" s="245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</row>
    <row r="375">
      <c r="A375" s="245"/>
      <c r="B375" s="245"/>
      <c r="C375" s="245"/>
      <c r="D375" s="245" t="str">
        <f>IFNA(VLOOKUP(B375,IMS!$A$2:$E$232,5,0),"")</f>
        <v/>
      </c>
      <c r="E375" s="245"/>
      <c r="F375" s="245"/>
      <c r="G375" s="245"/>
      <c r="H375" s="245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</row>
    <row r="376">
      <c r="A376" s="245"/>
      <c r="B376" s="245"/>
      <c r="C376" s="245"/>
      <c r="D376" s="245" t="str">
        <f>IFNA(VLOOKUP(B376,IMS!$A$2:$E$232,5,0),"")</f>
        <v/>
      </c>
      <c r="E376" s="245"/>
      <c r="F376" s="245"/>
      <c r="G376" s="245"/>
      <c r="H376" s="245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</row>
    <row r="377">
      <c r="A377" s="245"/>
      <c r="B377" s="245"/>
      <c r="C377" s="245"/>
      <c r="D377" s="245" t="str">
        <f>IFNA(VLOOKUP(B377,IMS!$A$2:$E$232,5,0),"")</f>
        <v/>
      </c>
      <c r="E377" s="245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</row>
    <row r="378">
      <c r="A378" s="245"/>
      <c r="B378" s="245"/>
      <c r="C378" s="245"/>
      <c r="D378" s="245" t="str">
        <f>IFNA(VLOOKUP(B378,IMS!$A$2:$E$232,5,0),"")</f>
        <v/>
      </c>
      <c r="E378" s="245"/>
      <c r="F378" s="245"/>
      <c r="G378" s="245"/>
      <c r="H378" s="245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</row>
    <row r="379">
      <c r="A379" s="245"/>
      <c r="B379" s="245"/>
      <c r="C379" s="245"/>
      <c r="D379" s="245" t="str">
        <f>IFNA(VLOOKUP(B379,IMS!$A$2:$E$232,5,0),"")</f>
        <v/>
      </c>
      <c r="E379" s="245"/>
      <c r="F379" s="245"/>
      <c r="G379" s="245"/>
      <c r="H379" s="245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</row>
    <row r="380">
      <c r="A380" s="245"/>
      <c r="B380" s="245"/>
      <c r="C380" s="245"/>
      <c r="D380" s="245" t="str">
        <f>IFNA(VLOOKUP(B380,IMS!$A$2:$E$232,5,0),"")</f>
        <v/>
      </c>
      <c r="E380" s="245"/>
      <c r="F380" s="245"/>
      <c r="G380" s="245"/>
      <c r="H380" s="245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</row>
    <row r="381">
      <c r="A381" s="245"/>
      <c r="B381" s="245"/>
      <c r="C381" s="245"/>
      <c r="D381" s="245" t="str">
        <f>IFNA(VLOOKUP(B381,IMS!$A$2:$E$232,5,0),"")</f>
        <v/>
      </c>
      <c r="E381" s="245"/>
      <c r="F381" s="245"/>
      <c r="G381" s="245"/>
      <c r="H381" s="245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</row>
    <row r="382">
      <c r="A382" s="245"/>
      <c r="B382" s="245"/>
      <c r="C382" s="245"/>
      <c r="D382" s="245" t="str">
        <f>IFNA(VLOOKUP(B382,IMS!$A$2:$E$232,5,0),"")</f>
        <v/>
      </c>
      <c r="E382" s="245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</row>
    <row r="383">
      <c r="A383" s="245"/>
      <c r="B383" s="245"/>
      <c r="C383" s="245"/>
      <c r="D383" s="245" t="str">
        <f>IFNA(VLOOKUP(B383,IMS!$A$2:$E$232,5,0),"")</f>
        <v/>
      </c>
      <c r="E383" s="245"/>
      <c r="F383" s="245"/>
      <c r="G383" s="245"/>
      <c r="H383" s="245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</row>
    <row r="384">
      <c r="A384" s="245"/>
      <c r="B384" s="245"/>
      <c r="C384" s="245"/>
      <c r="D384" s="245" t="str">
        <f>IFNA(VLOOKUP(B384,IMS!$A$2:$E$232,5,0),"")</f>
        <v/>
      </c>
      <c r="E384" s="245"/>
      <c r="F384" s="245"/>
      <c r="G384" s="245"/>
      <c r="H384" s="245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</row>
    <row r="385">
      <c r="A385" s="245"/>
      <c r="B385" s="245"/>
      <c r="C385" s="245"/>
      <c r="D385" s="245" t="str">
        <f>IFNA(VLOOKUP(B385,IMS!$A$2:$E$232,5,0),"")</f>
        <v/>
      </c>
      <c r="E385" s="245"/>
      <c r="F385" s="245"/>
      <c r="G385" s="245"/>
      <c r="H385" s="245"/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</row>
    <row r="386">
      <c r="A386" s="245"/>
      <c r="B386" s="245"/>
      <c r="C386" s="245"/>
      <c r="D386" s="245" t="str">
        <f>IFNA(VLOOKUP(B386,IMS!$A$2:$E$232,5,0),"")</f>
        <v/>
      </c>
      <c r="E386" s="245"/>
      <c r="F386" s="245"/>
      <c r="G386" s="245"/>
      <c r="H386" s="245"/>
      <c r="I386" s="245"/>
      <c r="J386" s="245"/>
      <c r="K386" s="245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</row>
    <row r="387">
      <c r="A387" s="245"/>
      <c r="B387" s="245"/>
      <c r="C387" s="245"/>
      <c r="D387" s="245" t="str">
        <f>IFNA(VLOOKUP(B387,IMS!$A$2:$E$232,5,0),"")</f>
        <v/>
      </c>
      <c r="E387" s="245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</row>
    <row r="388">
      <c r="A388" s="245"/>
      <c r="B388" s="245"/>
      <c r="C388" s="245"/>
      <c r="D388" s="245" t="str">
        <f>IFNA(VLOOKUP(B388,IMS!$A$2:$E$232,5,0),"")</f>
        <v/>
      </c>
      <c r="E388" s="245"/>
      <c r="F388" s="245"/>
      <c r="G388" s="245"/>
      <c r="H388" s="245"/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</row>
    <row r="389">
      <c r="A389" s="245"/>
      <c r="B389" s="245"/>
      <c r="C389" s="245"/>
      <c r="D389" s="245" t="str">
        <f>IFNA(VLOOKUP(B389,IMS!$A$2:$E$232,5,0),"")</f>
        <v/>
      </c>
      <c r="E389" s="245"/>
      <c r="F389" s="245"/>
      <c r="G389" s="245"/>
      <c r="H389" s="245"/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</row>
    <row r="390">
      <c r="A390" s="245"/>
      <c r="B390" s="245"/>
      <c r="C390" s="245"/>
      <c r="D390" s="245" t="str">
        <f>IFNA(VLOOKUP(B390,IMS!$A$2:$E$232,5,0),"")</f>
        <v/>
      </c>
      <c r="E390" s="245"/>
      <c r="F390" s="245"/>
      <c r="G390" s="245"/>
      <c r="H390" s="245"/>
      <c r="I390" s="245"/>
      <c r="J390" s="245"/>
      <c r="K390" s="245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</row>
    <row r="391">
      <c r="A391" s="245"/>
      <c r="B391" s="245"/>
      <c r="C391" s="245"/>
      <c r="D391" s="245" t="str">
        <f>IFNA(VLOOKUP(B391,IMS!$A$2:$E$232,5,0),"")</f>
        <v/>
      </c>
      <c r="E391" s="245"/>
      <c r="F391" s="245"/>
      <c r="G391" s="245"/>
      <c r="H391" s="245"/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</row>
    <row r="392">
      <c r="A392" s="245"/>
      <c r="B392" s="245"/>
      <c r="C392" s="245"/>
      <c r="D392" s="245" t="str">
        <f>IFNA(VLOOKUP(B392,IMS!$A$2:$E$232,5,0),"")</f>
        <v/>
      </c>
      <c r="E392" s="245"/>
      <c r="F392" s="245"/>
      <c r="G392" s="245"/>
      <c r="H392" s="245"/>
      <c r="I392" s="245"/>
      <c r="J392" s="245"/>
      <c r="K392" s="245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</row>
    <row r="393">
      <c r="A393" s="245"/>
      <c r="B393" s="245"/>
      <c r="C393" s="245"/>
      <c r="D393" s="245" t="str">
        <f>IFNA(VLOOKUP(B393,IMS!$A$2:$E$232,5,0),"")</f>
        <v/>
      </c>
      <c r="E393" s="245"/>
      <c r="F393" s="245"/>
      <c r="G393" s="245"/>
      <c r="H393" s="245"/>
      <c r="I393" s="245"/>
      <c r="J393" s="245"/>
      <c r="K393" s="245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</row>
    <row r="394">
      <c r="A394" s="245"/>
      <c r="B394" s="245"/>
      <c r="C394" s="245"/>
      <c r="D394" s="245" t="str">
        <f>IFNA(VLOOKUP(B394,IMS!$A$2:$E$232,5,0),"")</f>
        <v/>
      </c>
      <c r="E394" s="245"/>
      <c r="F394" s="245"/>
      <c r="G394" s="245"/>
      <c r="H394" s="245"/>
      <c r="I394" s="245"/>
      <c r="J394" s="245"/>
      <c r="K394" s="245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</row>
    <row r="395">
      <c r="A395" s="245"/>
      <c r="B395" s="245"/>
      <c r="C395" s="245"/>
      <c r="D395" s="245" t="str">
        <f>IFNA(VLOOKUP(B395,IMS!$A$2:$E$232,5,0),"")</f>
        <v/>
      </c>
      <c r="E395" s="245"/>
      <c r="F395" s="245"/>
      <c r="G395" s="245"/>
      <c r="H395" s="245"/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</row>
    <row r="396">
      <c r="A396" s="245"/>
      <c r="B396" s="245"/>
      <c r="C396" s="245"/>
      <c r="D396" s="245" t="str">
        <f>IFNA(VLOOKUP(B396,IMS!$A$2:$E$232,5,0),"")</f>
        <v/>
      </c>
      <c r="E396" s="245"/>
      <c r="F396" s="245"/>
      <c r="G396" s="245"/>
      <c r="H396" s="245"/>
      <c r="I396" s="245"/>
      <c r="J396" s="245"/>
      <c r="K396" s="245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</row>
    <row r="397">
      <c r="A397" s="245"/>
      <c r="B397" s="245"/>
      <c r="C397" s="245"/>
      <c r="D397" s="245" t="str">
        <f>IFNA(VLOOKUP(B397,IMS!$A$2:$E$232,5,0),"")</f>
        <v/>
      </c>
      <c r="E397" s="245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</row>
    <row r="398">
      <c r="A398" s="245"/>
      <c r="B398" s="245"/>
      <c r="C398" s="245"/>
      <c r="D398" s="245" t="str">
        <f>IFNA(VLOOKUP(B398,IMS!$A$2:$E$232,5,0),"")</f>
        <v/>
      </c>
      <c r="E398" s="245"/>
      <c r="F398" s="245"/>
      <c r="G398" s="245"/>
      <c r="H398" s="245"/>
      <c r="I398" s="245"/>
      <c r="J398" s="245"/>
      <c r="K398" s="245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</row>
    <row r="399">
      <c r="A399" s="245"/>
      <c r="B399" s="245"/>
      <c r="C399" s="245"/>
      <c r="D399" s="245" t="str">
        <f>IFNA(VLOOKUP(B399,IMS!$A$2:$E$232,5,0),"")</f>
        <v/>
      </c>
      <c r="E399" s="245"/>
      <c r="F399" s="245"/>
      <c r="G399" s="245"/>
      <c r="H399" s="245"/>
      <c r="I399" s="245"/>
      <c r="J399" s="245"/>
      <c r="K399" s="245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</row>
    <row r="400">
      <c r="A400" s="245"/>
      <c r="B400" s="245"/>
      <c r="C400" s="245"/>
      <c r="D400" s="245" t="str">
        <f>IFNA(VLOOKUP(B400,IMS!$A$2:$E$232,5,0),"")</f>
        <v/>
      </c>
      <c r="E400" s="245"/>
      <c r="F400" s="245"/>
      <c r="G400" s="245"/>
      <c r="H400" s="245"/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</row>
    <row r="401">
      <c r="A401" s="245"/>
      <c r="B401" s="245"/>
      <c r="C401" s="245"/>
      <c r="D401" s="245" t="str">
        <f>IFNA(VLOOKUP(B401,IMS!$A$2:$E$232,5,0),"")</f>
        <v/>
      </c>
      <c r="E401" s="245"/>
      <c r="F401" s="245"/>
      <c r="G401" s="245"/>
      <c r="H401" s="245"/>
      <c r="I401" s="245"/>
      <c r="J401" s="245"/>
      <c r="K401" s="245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</row>
    <row r="402">
      <c r="A402" s="245"/>
      <c r="B402" s="245"/>
      <c r="C402" s="245"/>
      <c r="D402" s="245" t="str">
        <f>IFNA(VLOOKUP(B402,IMS!$A$2:$E$232,5,0),"")</f>
        <v/>
      </c>
      <c r="E402" s="245"/>
      <c r="F402" s="245"/>
      <c r="G402" s="245"/>
      <c r="H402" s="245"/>
      <c r="I402" s="245"/>
      <c r="J402" s="245"/>
      <c r="K402" s="245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</row>
    <row r="403">
      <c r="A403" s="245"/>
      <c r="B403" s="245"/>
      <c r="C403" s="245"/>
      <c r="D403" s="245" t="str">
        <f>IFNA(VLOOKUP(B403,IMS!$A$2:$E$232,5,0),"")</f>
        <v/>
      </c>
      <c r="E403" s="245"/>
      <c r="F403" s="245"/>
      <c r="G403" s="245"/>
      <c r="H403" s="245"/>
      <c r="I403" s="245"/>
      <c r="J403" s="245"/>
      <c r="K403" s="245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</row>
    <row r="404">
      <c r="A404" s="245"/>
      <c r="B404" s="245"/>
      <c r="C404" s="245"/>
      <c r="D404" s="245" t="str">
        <f>IFNA(VLOOKUP(B404,IMS!$A$2:$E$232,5,0),"")</f>
        <v/>
      </c>
      <c r="E404" s="245"/>
      <c r="F404" s="245"/>
      <c r="G404" s="245"/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</row>
    <row r="405">
      <c r="A405" s="245"/>
      <c r="B405" s="245"/>
      <c r="C405" s="245"/>
      <c r="D405" s="245" t="str">
        <f>IFNA(VLOOKUP(B405,IMS!$A$2:$E$232,5,0),"")</f>
        <v/>
      </c>
      <c r="E405" s="245"/>
      <c r="F405" s="245"/>
      <c r="G405" s="245"/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</row>
    <row r="406">
      <c r="A406" s="245"/>
      <c r="B406" s="245"/>
      <c r="C406" s="245"/>
      <c r="D406" s="245" t="str">
        <f>IFNA(VLOOKUP(B406,IMS!$A$2:$E$232,5,0),"")</f>
        <v/>
      </c>
      <c r="E406" s="245"/>
      <c r="F406" s="245"/>
      <c r="G406" s="245"/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</row>
    <row r="407">
      <c r="A407" s="245"/>
      <c r="B407" s="245"/>
      <c r="C407" s="245"/>
      <c r="D407" s="245" t="str">
        <f>IFNA(VLOOKUP(B407,IMS!$A$2:$E$232,5,0),"")</f>
        <v/>
      </c>
      <c r="E407" s="245"/>
      <c r="F407" s="245"/>
      <c r="G407" s="245"/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</row>
    <row r="408">
      <c r="A408" s="245"/>
      <c r="B408" s="245"/>
      <c r="C408" s="245"/>
      <c r="D408" s="245" t="str">
        <f>IFNA(VLOOKUP(B408,IMS!$A$2:$E$232,5,0),"")</f>
        <v/>
      </c>
      <c r="E408" s="245"/>
      <c r="F408" s="245"/>
      <c r="G408" s="245"/>
      <c r="H408" s="245"/>
      <c r="I408" s="245"/>
      <c r="J408" s="245"/>
      <c r="K408" s="245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</row>
    <row r="409">
      <c r="A409" s="245"/>
      <c r="B409" s="245"/>
      <c r="C409" s="245"/>
      <c r="D409" s="245" t="str">
        <f>IFNA(VLOOKUP(B409,IMS!$A$2:$E$232,5,0),"")</f>
        <v/>
      </c>
      <c r="E409" s="245"/>
      <c r="F409" s="245"/>
      <c r="G409" s="245"/>
      <c r="H409" s="245"/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</row>
    <row r="410">
      <c r="A410" s="245"/>
      <c r="B410" s="245"/>
      <c r="C410" s="245"/>
      <c r="D410" s="245" t="str">
        <f>IFNA(VLOOKUP(B410,IMS!$A$2:$E$232,5,0),"")</f>
        <v/>
      </c>
      <c r="E410" s="245"/>
      <c r="F410" s="245"/>
      <c r="G410" s="245"/>
      <c r="H410" s="245"/>
      <c r="I410" s="245"/>
      <c r="J410" s="245"/>
      <c r="K410" s="245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</row>
    <row r="411">
      <c r="A411" s="245"/>
      <c r="B411" s="245"/>
      <c r="C411" s="245"/>
      <c r="D411" s="245" t="str">
        <f>IFNA(VLOOKUP(B411,IMS!$A$2:$E$232,5,0),"")</f>
        <v/>
      </c>
      <c r="E411" s="245"/>
      <c r="F411" s="245"/>
      <c r="G411" s="245"/>
      <c r="H411" s="245"/>
      <c r="I411" s="245"/>
      <c r="J411" s="245"/>
      <c r="K411" s="245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</row>
    <row r="412">
      <c r="A412" s="245"/>
      <c r="B412" s="245"/>
      <c r="C412" s="245"/>
      <c r="D412" s="245" t="str">
        <f>IFNA(VLOOKUP(B412,IMS!$A$2:$E$232,5,0),"")</f>
        <v/>
      </c>
      <c r="E412" s="245"/>
      <c r="F412" s="245"/>
      <c r="G412" s="245"/>
      <c r="H412" s="245"/>
      <c r="I412" s="245"/>
      <c r="J412" s="245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</row>
    <row r="413">
      <c r="A413" s="245"/>
      <c r="B413" s="245"/>
      <c r="C413" s="245"/>
      <c r="D413" s="245" t="str">
        <f>IFNA(VLOOKUP(B413,IMS!$A$2:$E$232,5,0),"")</f>
        <v/>
      </c>
      <c r="E413" s="245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</row>
    <row r="414">
      <c r="A414" s="245"/>
      <c r="B414" s="245"/>
      <c r="C414" s="245"/>
      <c r="D414" s="245" t="str">
        <f>IFNA(VLOOKUP(B414,IMS!$A$2:$E$232,5,0),"")</f>
        <v/>
      </c>
      <c r="E414" s="245"/>
      <c r="F414" s="245"/>
      <c r="G414" s="245"/>
      <c r="H414" s="245"/>
      <c r="I414" s="245"/>
      <c r="J414" s="245"/>
      <c r="K414" s="245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</row>
    <row r="415">
      <c r="A415" s="245"/>
      <c r="B415" s="245"/>
      <c r="C415" s="245"/>
      <c r="D415" s="245" t="str">
        <f>IFNA(VLOOKUP(B415,IMS!$A$2:$E$232,5,0),"")</f>
        <v/>
      </c>
      <c r="E415" s="245"/>
      <c r="F415" s="245"/>
      <c r="G415" s="245"/>
      <c r="H415" s="245"/>
      <c r="I415" s="245"/>
      <c r="J415" s="245"/>
      <c r="K415" s="245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</row>
    <row r="416">
      <c r="A416" s="245"/>
      <c r="B416" s="245"/>
      <c r="C416" s="245"/>
      <c r="D416" s="245" t="str">
        <f>IFNA(VLOOKUP(B416,IMS!$A$2:$E$232,5,0),"")</f>
        <v/>
      </c>
      <c r="E416" s="245"/>
      <c r="F416" s="245"/>
      <c r="G416" s="245"/>
      <c r="H416" s="245"/>
      <c r="I416" s="245"/>
      <c r="J416" s="245"/>
      <c r="K416" s="245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</row>
    <row r="417">
      <c r="A417" s="245"/>
      <c r="B417" s="245"/>
      <c r="C417" s="245"/>
      <c r="D417" s="245" t="str">
        <f>IFNA(VLOOKUP(B417,IMS!$A$2:$E$232,5,0),"")</f>
        <v/>
      </c>
      <c r="E417" s="245"/>
      <c r="F417" s="245"/>
      <c r="G417" s="245"/>
      <c r="H417" s="245"/>
      <c r="I417" s="245"/>
      <c r="J417" s="245"/>
      <c r="K417" s="245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</row>
    <row r="418">
      <c r="A418" s="245"/>
      <c r="B418" s="245"/>
      <c r="C418" s="245"/>
      <c r="D418" s="245" t="str">
        <f>IFNA(VLOOKUP(B418,IMS!$A$2:$E$232,5,0),"")</f>
        <v/>
      </c>
      <c r="E418" s="245"/>
      <c r="F418" s="245"/>
      <c r="G418" s="245"/>
      <c r="H418" s="245"/>
      <c r="I418" s="245"/>
      <c r="J418" s="245"/>
      <c r="K418" s="245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</row>
    <row r="419">
      <c r="A419" s="245"/>
      <c r="B419" s="245"/>
      <c r="C419" s="245"/>
      <c r="D419" s="245" t="str">
        <f>IFNA(VLOOKUP(B419,IMS!$A$2:$E$232,5,0),"")</f>
        <v/>
      </c>
      <c r="E419" s="245"/>
      <c r="F419" s="245"/>
      <c r="G419" s="245"/>
      <c r="H419" s="245"/>
      <c r="I419" s="245"/>
      <c r="J419" s="245"/>
      <c r="K419" s="245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</row>
    <row r="420">
      <c r="A420" s="245"/>
      <c r="B420" s="245"/>
      <c r="C420" s="245"/>
      <c r="D420" s="245" t="str">
        <f>IFNA(VLOOKUP(B420,IMS!$A$2:$E$232,5,0),"")</f>
        <v/>
      </c>
      <c r="E420" s="245"/>
      <c r="F420" s="245"/>
      <c r="G420" s="245"/>
      <c r="H420" s="245"/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</row>
    <row r="421">
      <c r="A421" s="245"/>
      <c r="B421" s="245"/>
      <c r="C421" s="245"/>
      <c r="D421" s="245" t="str">
        <f>IFNA(VLOOKUP(B421,IMS!$A$2:$E$232,5,0),"")</f>
        <v/>
      </c>
      <c r="E421" s="245"/>
      <c r="F421" s="245"/>
      <c r="G421" s="245"/>
      <c r="H421" s="245"/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</row>
    <row r="422">
      <c r="A422" s="245"/>
      <c r="B422" s="245"/>
      <c r="C422" s="245"/>
      <c r="D422" s="245" t="str">
        <f>IFNA(VLOOKUP(B422,IMS!$A$2:$E$232,5,0),"")</f>
        <v/>
      </c>
      <c r="E422" s="245"/>
      <c r="F422" s="245"/>
      <c r="G422" s="245"/>
      <c r="H422" s="245"/>
      <c r="I422" s="245"/>
      <c r="J422" s="245"/>
      <c r="K422" s="245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</row>
    <row r="423">
      <c r="A423" s="245"/>
      <c r="B423" s="245"/>
      <c r="C423" s="245"/>
      <c r="D423" s="245" t="str">
        <f>IFNA(VLOOKUP(B423,IMS!$A$2:$E$232,5,0),"")</f>
        <v/>
      </c>
      <c r="E423" s="245"/>
      <c r="F423" s="245"/>
      <c r="G423" s="245"/>
      <c r="H423" s="245"/>
      <c r="I423" s="245"/>
      <c r="J423" s="245"/>
      <c r="K423" s="245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</row>
    <row r="424">
      <c r="A424" s="245"/>
      <c r="B424" s="245"/>
      <c r="C424" s="245"/>
      <c r="D424" s="245" t="str">
        <f>IFNA(VLOOKUP(B424,IMS!$A$2:$E$232,5,0),"")</f>
        <v/>
      </c>
      <c r="E424" s="245"/>
      <c r="F424" s="245"/>
      <c r="G424" s="245"/>
      <c r="H424" s="245"/>
      <c r="I424" s="245"/>
      <c r="J424" s="245"/>
      <c r="K424" s="245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</row>
    <row r="425">
      <c r="A425" s="245"/>
      <c r="B425" s="245"/>
      <c r="C425" s="245"/>
      <c r="D425" s="245" t="str">
        <f>IFNA(VLOOKUP(B425,IMS!$A$2:$E$232,5,0),"")</f>
        <v/>
      </c>
      <c r="E425" s="245"/>
      <c r="F425" s="245"/>
      <c r="G425" s="245"/>
      <c r="H425" s="245"/>
      <c r="I425" s="245"/>
      <c r="J425" s="245"/>
      <c r="K425" s="245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</row>
    <row r="426">
      <c r="A426" s="245"/>
      <c r="B426" s="245"/>
      <c r="C426" s="245"/>
      <c r="D426" s="245" t="str">
        <f>IFNA(VLOOKUP(B426,IMS!$A$2:$E$232,5,0),"")</f>
        <v/>
      </c>
      <c r="E426" s="245"/>
      <c r="F426" s="245"/>
      <c r="G426" s="245"/>
      <c r="H426" s="245"/>
      <c r="I426" s="245"/>
      <c r="J426" s="245"/>
      <c r="K426" s="245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</row>
    <row r="427">
      <c r="A427" s="245"/>
      <c r="B427" s="245"/>
      <c r="C427" s="245"/>
      <c r="D427" s="245" t="str">
        <f>IFNA(VLOOKUP(B427,IMS!$A$2:$E$232,5,0),"")</f>
        <v/>
      </c>
      <c r="E427" s="245"/>
      <c r="F427" s="245"/>
      <c r="G427" s="245"/>
      <c r="H427" s="245"/>
      <c r="I427" s="245"/>
      <c r="J427" s="245"/>
      <c r="K427" s="245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</row>
    <row r="428">
      <c r="A428" s="245"/>
      <c r="B428" s="245"/>
      <c r="C428" s="245"/>
      <c r="D428" s="245" t="str">
        <f>IFNA(VLOOKUP(B428,IMS!$A$2:$E$232,5,0),"")</f>
        <v/>
      </c>
      <c r="E428" s="245"/>
      <c r="F428" s="245"/>
      <c r="G428" s="245"/>
      <c r="H428" s="245"/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</row>
    <row r="429">
      <c r="A429" s="245"/>
      <c r="B429" s="245"/>
      <c r="C429" s="245"/>
      <c r="D429" s="245" t="str">
        <f>IFNA(VLOOKUP(B429,IMS!$A$2:$E$232,5,0),"")</f>
        <v/>
      </c>
      <c r="E429" s="245"/>
      <c r="F429" s="245"/>
      <c r="G429" s="245"/>
      <c r="H429" s="245"/>
      <c r="I429" s="245"/>
      <c r="J429" s="245"/>
      <c r="K429" s="245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</row>
    <row r="430">
      <c r="A430" s="245"/>
      <c r="B430" s="245"/>
      <c r="C430" s="245"/>
      <c r="D430" s="245" t="str">
        <f>IFNA(VLOOKUP(B430,IMS!$A$2:$E$232,5,0),"")</f>
        <v/>
      </c>
      <c r="E430" s="245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</row>
    <row r="431">
      <c r="A431" s="245"/>
      <c r="B431" s="245"/>
      <c r="C431" s="245"/>
      <c r="D431" s="245" t="str">
        <f>IFNA(VLOOKUP(B431,IMS!$A$2:$E$232,5,0),"")</f>
        <v/>
      </c>
      <c r="E431" s="245"/>
      <c r="F431" s="245"/>
      <c r="G431" s="245"/>
      <c r="H431" s="245"/>
      <c r="I431" s="245"/>
      <c r="J431" s="245"/>
      <c r="K431" s="245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</row>
    <row r="432">
      <c r="A432" s="245"/>
      <c r="B432" s="245"/>
      <c r="C432" s="245"/>
      <c r="D432" s="245" t="str">
        <f>IFNA(VLOOKUP(B432,IMS!$A$2:$E$232,5,0),"")</f>
        <v/>
      </c>
      <c r="E432" s="245"/>
      <c r="F432" s="245"/>
      <c r="G432" s="245"/>
      <c r="H432" s="245"/>
      <c r="I432" s="245"/>
      <c r="J432" s="245"/>
      <c r="K432" s="245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</row>
    <row r="433">
      <c r="A433" s="245"/>
      <c r="B433" s="245"/>
      <c r="C433" s="245"/>
      <c r="D433" s="245" t="str">
        <f>IFNA(VLOOKUP(B433,IMS!$A$2:$E$232,5,0),"")</f>
        <v/>
      </c>
      <c r="E433" s="245"/>
      <c r="F433" s="245"/>
      <c r="G433" s="245"/>
      <c r="H433" s="245"/>
      <c r="I433" s="245"/>
      <c r="J433" s="245"/>
      <c r="K433" s="245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</row>
    <row r="434">
      <c r="A434" s="245"/>
      <c r="B434" s="245"/>
      <c r="C434" s="245"/>
      <c r="D434" s="245" t="str">
        <f>IFNA(VLOOKUP(B434,IMS!$A$2:$E$232,5,0),"")</f>
        <v/>
      </c>
      <c r="E434" s="245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</row>
    <row r="435">
      <c r="A435" s="245"/>
      <c r="B435" s="245"/>
      <c r="C435" s="245"/>
      <c r="D435" s="245" t="str">
        <f>IFNA(VLOOKUP(B435,IMS!$A$2:$E$232,5,0),"")</f>
        <v/>
      </c>
      <c r="E435" s="245"/>
      <c r="F435" s="245"/>
      <c r="G435" s="245"/>
      <c r="H435" s="245"/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</row>
    <row r="436">
      <c r="A436" s="245"/>
      <c r="B436" s="245"/>
      <c r="C436" s="245"/>
      <c r="D436" s="245" t="str">
        <f>IFNA(VLOOKUP(B436,IMS!$A$2:$E$232,5,0),"")</f>
        <v/>
      </c>
      <c r="E436" s="245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</row>
    <row r="437">
      <c r="A437" s="245"/>
      <c r="B437" s="245"/>
      <c r="C437" s="245"/>
      <c r="D437" s="245" t="str">
        <f>IFNA(VLOOKUP(B437,IMS!$A$2:$E$232,5,0),"")</f>
        <v/>
      </c>
      <c r="E437" s="245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</row>
    <row r="438">
      <c r="A438" s="245"/>
      <c r="B438" s="245"/>
      <c r="C438" s="245"/>
      <c r="D438" s="245" t="str">
        <f>IFNA(VLOOKUP(B438,IMS!$A$2:$E$232,5,0),"")</f>
        <v/>
      </c>
      <c r="E438" s="245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</row>
    <row r="439">
      <c r="A439" s="245"/>
      <c r="B439" s="245"/>
      <c r="C439" s="245"/>
      <c r="D439" s="245" t="str">
        <f>IFNA(VLOOKUP(B439,IMS!$A$2:$E$232,5,0),"")</f>
        <v/>
      </c>
      <c r="E439" s="245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</row>
    <row r="440">
      <c r="A440" s="245"/>
      <c r="B440" s="245"/>
      <c r="C440" s="245"/>
      <c r="D440" s="245" t="str">
        <f>IFNA(VLOOKUP(B440,IMS!$A$2:$E$232,5,0),"")</f>
        <v/>
      </c>
      <c r="E440" s="245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</row>
    <row r="441">
      <c r="A441" s="245"/>
      <c r="B441" s="245"/>
      <c r="C441" s="245"/>
      <c r="D441" s="245" t="str">
        <f>IFNA(VLOOKUP(B441,IMS!$A$2:$E$232,5,0),"")</f>
        <v/>
      </c>
      <c r="E441" s="245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</row>
    <row r="442">
      <c r="A442" s="245"/>
      <c r="B442" s="245"/>
      <c r="C442" s="245"/>
      <c r="D442" s="245" t="str">
        <f>IFNA(VLOOKUP(B442,IMS!$A$2:$E$232,5,0),"")</f>
        <v/>
      </c>
      <c r="E442" s="245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</row>
    <row r="443">
      <c r="A443" s="245"/>
      <c r="B443" s="245"/>
      <c r="C443" s="245"/>
      <c r="D443" s="245" t="str">
        <f>IFNA(VLOOKUP(B443,IMS!$A$2:$E$232,5,0),"")</f>
        <v/>
      </c>
      <c r="E443" s="245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</row>
    <row r="444">
      <c r="A444" s="245"/>
      <c r="B444" s="245"/>
      <c r="C444" s="245"/>
      <c r="D444" s="245" t="str">
        <f>IFNA(VLOOKUP(B444,IMS!$A$2:$E$232,5,0),"")</f>
        <v/>
      </c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</row>
    <row r="445">
      <c r="A445" s="245"/>
      <c r="B445" s="245"/>
      <c r="C445" s="245"/>
      <c r="D445" s="245" t="str">
        <f>IFNA(VLOOKUP(B445,IMS!$A$2:$E$232,5,0),"")</f>
        <v/>
      </c>
      <c r="E445" s="245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</row>
    <row r="446">
      <c r="A446" s="245"/>
      <c r="B446" s="245"/>
      <c r="C446" s="245"/>
      <c r="D446" s="245" t="str">
        <f>IFNA(VLOOKUP(B446,IMS!$A$2:$E$232,5,0),"")</f>
        <v/>
      </c>
      <c r="E446" s="245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</row>
    <row r="447">
      <c r="A447" s="245"/>
      <c r="B447" s="245"/>
      <c r="C447" s="245"/>
      <c r="D447" s="245" t="str">
        <f>IFNA(VLOOKUP(B447,IMS!$A$2:$E$232,5,0),"")</f>
        <v/>
      </c>
      <c r="E447" s="245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</row>
    <row r="448">
      <c r="A448" s="245"/>
      <c r="B448" s="245"/>
      <c r="C448" s="245"/>
      <c r="D448" s="245" t="str">
        <f>IFNA(VLOOKUP(B448,IMS!$A$2:$E$232,5,0),"")</f>
        <v/>
      </c>
      <c r="E448" s="245"/>
      <c r="F448" s="245"/>
      <c r="G448" s="245"/>
      <c r="H448" s="245"/>
      <c r="I448" s="245"/>
      <c r="J448" s="245"/>
      <c r="K448" s="245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</row>
    <row r="449">
      <c r="A449" s="245"/>
      <c r="B449" s="245"/>
      <c r="C449" s="245"/>
      <c r="D449" s="245" t="str">
        <f>IFNA(VLOOKUP(B449,IMS!$A$2:$E$232,5,0),"")</f>
        <v/>
      </c>
      <c r="E449" s="245"/>
      <c r="F449" s="245"/>
      <c r="G449" s="245"/>
      <c r="H449" s="245"/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</row>
    <row r="450">
      <c r="A450" s="245"/>
      <c r="B450" s="245"/>
      <c r="C450" s="245"/>
      <c r="D450" s="245" t="str">
        <f>IFNA(VLOOKUP(B450,IMS!$A$2:$E$232,5,0),"")</f>
        <v/>
      </c>
      <c r="E450" s="245"/>
      <c r="F450" s="245"/>
      <c r="G450" s="245"/>
      <c r="H450" s="245"/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</row>
    <row r="451">
      <c r="A451" s="245"/>
      <c r="B451" s="245"/>
      <c r="C451" s="245"/>
      <c r="D451" s="245" t="str">
        <f>IFNA(VLOOKUP(B451,IMS!$A$2:$E$232,5,0),"")</f>
        <v/>
      </c>
      <c r="E451" s="245"/>
      <c r="F451" s="245"/>
      <c r="G451" s="245"/>
      <c r="H451" s="245"/>
      <c r="I451" s="245"/>
      <c r="J451" s="245"/>
      <c r="K451" s="245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</row>
    <row r="452">
      <c r="A452" s="245"/>
      <c r="B452" s="245"/>
      <c r="C452" s="245"/>
      <c r="D452" s="245" t="str">
        <f>IFNA(VLOOKUP(B452,IMS!$A$2:$E$232,5,0),"")</f>
        <v/>
      </c>
      <c r="E452" s="245"/>
      <c r="F452" s="245"/>
      <c r="G452" s="245"/>
      <c r="H452" s="245"/>
      <c r="I452" s="245"/>
      <c r="J452" s="245"/>
      <c r="K452" s="245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</row>
    <row r="453">
      <c r="A453" s="245"/>
      <c r="B453" s="245"/>
      <c r="C453" s="245"/>
      <c r="D453" s="245" t="str">
        <f>IFNA(VLOOKUP(B453,IMS!$A$2:$E$232,5,0),"")</f>
        <v/>
      </c>
      <c r="E453" s="245"/>
      <c r="F453" s="245"/>
      <c r="G453" s="245"/>
      <c r="H453" s="245"/>
      <c r="I453" s="245"/>
      <c r="J453" s="245"/>
      <c r="K453" s="245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</row>
    <row r="454">
      <c r="A454" s="245"/>
      <c r="B454" s="245"/>
      <c r="C454" s="245"/>
      <c r="D454" s="245" t="str">
        <f>IFNA(VLOOKUP(B454,IMS!$A$2:$E$232,5,0),"")</f>
        <v/>
      </c>
      <c r="E454" s="245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</row>
    <row r="455">
      <c r="A455" s="245"/>
      <c r="B455" s="245"/>
      <c r="C455" s="245"/>
      <c r="D455" s="245" t="str">
        <f>IFNA(VLOOKUP(B455,IMS!$A$2:$E$232,5,0),"")</f>
        <v/>
      </c>
      <c r="E455" s="245"/>
      <c r="F455" s="245"/>
      <c r="G455" s="245"/>
      <c r="H455" s="245"/>
      <c r="I455" s="245"/>
      <c r="J455" s="245"/>
      <c r="K455" s="245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</row>
    <row r="456">
      <c r="A456" s="245"/>
      <c r="B456" s="245"/>
      <c r="C456" s="245"/>
      <c r="D456" s="245" t="str">
        <f>IFNA(VLOOKUP(B456,IMS!$A$2:$E$232,5,0),"")</f>
        <v/>
      </c>
      <c r="E456" s="245"/>
      <c r="F456" s="245"/>
      <c r="G456" s="245"/>
      <c r="H456" s="245"/>
      <c r="I456" s="245"/>
      <c r="J456" s="245"/>
      <c r="K456" s="245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</row>
    <row r="457">
      <c r="A457" s="245"/>
      <c r="B457" s="245"/>
      <c r="C457" s="245"/>
      <c r="D457" s="245" t="str">
        <f>IFNA(VLOOKUP(B457,IMS!$A$2:$E$232,5,0),"")</f>
        <v/>
      </c>
      <c r="E457" s="245"/>
      <c r="F457" s="245"/>
      <c r="G457" s="245"/>
      <c r="H457" s="245"/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</row>
    <row r="458">
      <c r="A458" s="245"/>
      <c r="B458" s="245"/>
      <c r="C458" s="245"/>
      <c r="D458" s="245" t="str">
        <f>IFNA(VLOOKUP(B458,IMS!$A$2:$E$232,5,0),"")</f>
        <v/>
      </c>
      <c r="E458" s="245"/>
      <c r="F458" s="245"/>
      <c r="G458" s="245"/>
      <c r="H458" s="245"/>
      <c r="I458" s="245"/>
      <c r="J458" s="245"/>
      <c r="K458" s="245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</row>
    <row r="459">
      <c r="A459" s="245"/>
      <c r="B459" s="245"/>
      <c r="C459" s="245"/>
      <c r="D459" s="245" t="str">
        <f>IFNA(VLOOKUP(B459,IMS!$A$2:$E$232,5,0),"")</f>
        <v/>
      </c>
      <c r="E459" s="245"/>
      <c r="F459" s="245"/>
      <c r="G459" s="245"/>
      <c r="H459" s="245"/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</row>
    <row r="460">
      <c r="A460" s="245"/>
      <c r="B460" s="245"/>
      <c r="C460" s="245"/>
      <c r="D460" s="245" t="str">
        <f>IFNA(VLOOKUP(B460,IMS!$A$2:$E$232,5,0),"")</f>
        <v/>
      </c>
      <c r="E460" s="245"/>
      <c r="F460" s="245"/>
      <c r="G460" s="245"/>
      <c r="H460" s="245"/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</row>
    <row r="461">
      <c r="A461" s="245"/>
      <c r="B461" s="245"/>
      <c r="C461" s="245"/>
      <c r="D461" s="245" t="str">
        <f>IFNA(VLOOKUP(B461,IMS!$A$2:$E$232,5,0),"")</f>
        <v/>
      </c>
      <c r="E461" s="245"/>
      <c r="F461" s="245"/>
      <c r="G461" s="245"/>
      <c r="H461" s="245"/>
      <c r="I461" s="245"/>
      <c r="J461" s="245"/>
      <c r="K461" s="245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</row>
    <row r="462">
      <c r="A462" s="245"/>
      <c r="B462" s="245"/>
      <c r="C462" s="245"/>
      <c r="D462" s="245" t="str">
        <f>IFNA(VLOOKUP(B462,IMS!$A$2:$E$232,5,0),"")</f>
        <v/>
      </c>
      <c r="E462" s="245"/>
      <c r="F462" s="245"/>
      <c r="G462" s="245"/>
      <c r="H462" s="245"/>
      <c r="I462" s="245"/>
      <c r="J462" s="245"/>
      <c r="K462" s="245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</row>
    <row r="463">
      <c r="A463" s="245"/>
      <c r="B463" s="245"/>
      <c r="C463" s="245"/>
      <c r="D463" s="245" t="str">
        <f>IFNA(VLOOKUP(B463,IMS!$A$2:$E$232,5,0),"")</f>
        <v/>
      </c>
      <c r="E463" s="245"/>
      <c r="F463" s="245"/>
      <c r="G463" s="245"/>
      <c r="H463" s="245"/>
      <c r="I463" s="245"/>
      <c r="J463" s="245"/>
      <c r="K463" s="245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</row>
    <row r="464">
      <c r="A464" s="245"/>
      <c r="B464" s="245"/>
      <c r="C464" s="245"/>
      <c r="D464" s="245" t="str">
        <f>IFNA(VLOOKUP(B464,IMS!$A$2:$E$232,5,0),"")</f>
        <v/>
      </c>
      <c r="E464" s="245"/>
      <c r="F464" s="245"/>
      <c r="G464" s="245"/>
      <c r="H464" s="245"/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</row>
    <row r="465">
      <c r="A465" s="245"/>
      <c r="B465" s="245"/>
      <c r="C465" s="245"/>
      <c r="D465" s="245" t="str">
        <f>IFNA(VLOOKUP(B465,IMS!$A$2:$E$232,5,0),"")</f>
        <v/>
      </c>
      <c r="E465" s="245"/>
      <c r="F465" s="245"/>
      <c r="G465" s="245"/>
      <c r="H465" s="245"/>
      <c r="I465" s="245"/>
      <c r="J465" s="245"/>
      <c r="K465" s="245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</row>
    <row r="466">
      <c r="A466" s="245"/>
      <c r="B466" s="245"/>
      <c r="C466" s="245"/>
      <c r="D466" s="245" t="str">
        <f>IFNA(VLOOKUP(B466,IMS!$A$2:$E$232,5,0),"")</f>
        <v/>
      </c>
      <c r="E466" s="245"/>
      <c r="F466" s="245"/>
      <c r="G466" s="245"/>
      <c r="H466" s="245"/>
      <c r="I466" s="245"/>
      <c r="J466" s="245"/>
      <c r="K466" s="245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</row>
    <row r="467">
      <c r="A467" s="245"/>
      <c r="B467" s="245"/>
      <c r="C467" s="245"/>
      <c r="D467" s="245" t="str">
        <f>IFNA(VLOOKUP(B467,IMS!$A$2:$E$232,5,0),"")</f>
        <v/>
      </c>
      <c r="E467" s="245"/>
      <c r="F467" s="245"/>
      <c r="G467" s="245"/>
      <c r="H467" s="245"/>
      <c r="I467" s="245"/>
      <c r="J467" s="245"/>
      <c r="K467" s="245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</row>
    <row r="468">
      <c r="A468" s="245"/>
      <c r="B468" s="245"/>
      <c r="C468" s="245"/>
      <c r="D468" s="245" t="str">
        <f>IFNA(VLOOKUP(B468,IMS!$A$2:$E$232,5,0),"")</f>
        <v/>
      </c>
      <c r="E468" s="245"/>
      <c r="F468" s="245"/>
      <c r="G468" s="245"/>
      <c r="H468" s="245"/>
      <c r="I468" s="245"/>
      <c r="J468" s="245"/>
      <c r="K468" s="245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</row>
    <row r="469">
      <c r="A469" s="245"/>
      <c r="B469" s="245"/>
      <c r="C469" s="245"/>
      <c r="D469" s="245" t="str">
        <f>IFNA(VLOOKUP(B469,IMS!$A$2:$E$232,5,0),"")</f>
        <v/>
      </c>
      <c r="E469" s="245"/>
      <c r="F469" s="245"/>
      <c r="G469" s="245"/>
      <c r="H469" s="245"/>
      <c r="I469" s="245"/>
      <c r="J469" s="245"/>
      <c r="K469" s="245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</row>
    <row r="470">
      <c r="A470" s="245"/>
      <c r="B470" s="245"/>
      <c r="C470" s="245"/>
      <c r="D470" s="245" t="str">
        <f>IFNA(VLOOKUP(B470,IMS!$A$2:$E$232,5,0),"")</f>
        <v/>
      </c>
      <c r="E470" s="245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</row>
    <row r="471">
      <c r="A471" s="245"/>
      <c r="B471" s="245"/>
      <c r="C471" s="245"/>
      <c r="D471" s="245" t="str">
        <f>IFNA(VLOOKUP(B471,IMS!$A$2:$E$232,5,0),"")</f>
        <v/>
      </c>
      <c r="E471" s="245"/>
      <c r="F471" s="245"/>
      <c r="G471" s="245"/>
      <c r="H471" s="245"/>
      <c r="I471" s="245"/>
      <c r="J471" s="245"/>
      <c r="K471" s="245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</row>
    <row r="472">
      <c r="A472" s="245"/>
      <c r="B472" s="245"/>
      <c r="C472" s="245"/>
      <c r="D472" s="245" t="str">
        <f>IFNA(VLOOKUP(B472,IMS!$A$2:$E$232,5,0),"")</f>
        <v/>
      </c>
      <c r="E472" s="245"/>
      <c r="F472" s="245"/>
      <c r="G472" s="245"/>
      <c r="H472" s="245"/>
      <c r="I472" s="245"/>
      <c r="J472" s="245"/>
      <c r="K472" s="245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</row>
    <row r="473">
      <c r="A473" s="245"/>
      <c r="B473" s="245"/>
      <c r="C473" s="245"/>
      <c r="D473" s="245" t="str">
        <f>IFNA(VLOOKUP(B473,IMS!$A$2:$E$232,5,0),"")</f>
        <v/>
      </c>
      <c r="E473" s="245"/>
      <c r="F473" s="245"/>
      <c r="G473" s="245"/>
      <c r="H473" s="245"/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</row>
    <row r="474">
      <c r="A474" s="245"/>
      <c r="B474" s="245"/>
      <c r="C474" s="245"/>
      <c r="D474" s="245" t="str">
        <f>IFNA(VLOOKUP(B474,IMS!$A$2:$E$232,5,0),"")</f>
        <v/>
      </c>
      <c r="E474" s="245"/>
      <c r="F474" s="245"/>
      <c r="G474" s="245"/>
      <c r="H474" s="245"/>
      <c r="I474" s="245"/>
      <c r="J474" s="245"/>
      <c r="K474" s="245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</row>
    <row r="475">
      <c r="A475" s="245"/>
      <c r="B475" s="245"/>
      <c r="C475" s="245"/>
      <c r="D475" s="245" t="str">
        <f>IFNA(VLOOKUP(B475,IMS!$A$2:$E$232,5,0),"")</f>
        <v/>
      </c>
      <c r="E475" s="245"/>
      <c r="F475" s="245"/>
      <c r="G475" s="245"/>
      <c r="H475" s="245"/>
      <c r="I475" s="245"/>
      <c r="J475" s="245"/>
      <c r="K475" s="245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</row>
    <row r="476">
      <c r="A476" s="245"/>
      <c r="B476" s="245"/>
      <c r="C476" s="245"/>
      <c r="D476" s="245" t="str">
        <f>IFNA(VLOOKUP(B476,IMS!$A$2:$E$232,5,0),"")</f>
        <v/>
      </c>
      <c r="E476" s="245"/>
      <c r="F476" s="245"/>
      <c r="G476" s="245"/>
      <c r="H476" s="245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</row>
    <row r="477">
      <c r="A477" s="245"/>
      <c r="B477" s="245"/>
      <c r="C477" s="245"/>
      <c r="D477" s="245" t="str">
        <f>IFNA(VLOOKUP(B477,IMS!$A$2:$E$232,5,0),"")</f>
        <v/>
      </c>
      <c r="E477" s="245"/>
      <c r="F477" s="245"/>
      <c r="G477" s="245"/>
      <c r="H477" s="245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</row>
    <row r="478">
      <c r="A478" s="245"/>
      <c r="B478" s="245"/>
      <c r="C478" s="245"/>
      <c r="D478" s="245" t="str">
        <f>IFNA(VLOOKUP(B478,IMS!$A$2:$E$232,5,0),"")</f>
        <v/>
      </c>
      <c r="E478" s="245"/>
      <c r="F478" s="245"/>
      <c r="G478" s="245"/>
      <c r="H478" s="245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</row>
    <row r="479">
      <c r="A479" s="245"/>
      <c r="B479" s="245"/>
      <c r="C479" s="245"/>
      <c r="D479" s="245" t="str">
        <f>IFNA(VLOOKUP(B479,IMS!$A$2:$E$232,5,0),"")</f>
        <v/>
      </c>
      <c r="E479" s="245"/>
      <c r="F479" s="245"/>
      <c r="G479" s="245"/>
      <c r="H479" s="245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</row>
    <row r="480">
      <c r="A480" s="245"/>
      <c r="B480" s="245"/>
      <c r="C480" s="245"/>
      <c r="D480" s="245" t="str">
        <f>IFNA(VLOOKUP(B480,IMS!$A$2:$E$232,5,0),"")</f>
        <v/>
      </c>
      <c r="E480" s="245"/>
      <c r="F480" s="245"/>
      <c r="G480" s="245"/>
      <c r="H480" s="245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</row>
    <row r="481">
      <c r="A481" s="245"/>
      <c r="B481" s="245"/>
      <c r="C481" s="245"/>
      <c r="D481" s="245" t="str">
        <f>IFNA(VLOOKUP(B481,IMS!$A$2:$E$232,5,0),"")</f>
        <v/>
      </c>
      <c r="E481" s="245"/>
      <c r="F481" s="245"/>
      <c r="G481" s="245"/>
      <c r="H481" s="245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</row>
    <row r="482">
      <c r="A482" s="245"/>
      <c r="B482" s="245"/>
      <c r="C482" s="245"/>
      <c r="D482" s="245" t="str">
        <f>IFNA(VLOOKUP(B482,IMS!$A$2:$E$232,5,0),"")</f>
        <v/>
      </c>
      <c r="E482" s="245"/>
      <c r="F482" s="245"/>
      <c r="G482" s="245"/>
      <c r="H482" s="245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</row>
    <row r="483">
      <c r="A483" s="245"/>
      <c r="B483" s="245"/>
      <c r="C483" s="245"/>
      <c r="D483" s="245" t="str">
        <f>IFNA(VLOOKUP(B483,IMS!$A$2:$E$232,5,0),"")</f>
        <v/>
      </c>
      <c r="E483" s="245"/>
      <c r="F483" s="245"/>
      <c r="G483" s="245"/>
      <c r="H483" s="245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</row>
    <row r="484">
      <c r="A484" s="245"/>
      <c r="B484" s="245"/>
      <c r="C484" s="245"/>
      <c r="D484" s="245" t="str">
        <f>IFNA(VLOOKUP(B484,IMS!$A$2:$E$232,5,0),"")</f>
        <v/>
      </c>
      <c r="E484" s="245"/>
      <c r="F484" s="245"/>
      <c r="G484" s="245"/>
      <c r="H484" s="245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</row>
    <row r="485">
      <c r="A485" s="245"/>
      <c r="B485" s="245"/>
      <c r="C485" s="245"/>
      <c r="D485" s="245" t="str">
        <f>IFNA(VLOOKUP(B485,IMS!$A$2:$E$232,5,0),"")</f>
        <v/>
      </c>
      <c r="E485" s="245"/>
      <c r="F485" s="245"/>
      <c r="G485" s="245"/>
      <c r="H485" s="245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</row>
    <row r="486">
      <c r="A486" s="245"/>
      <c r="B486" s="245"/>
      <c r="C486" s="245"/>
      <c r="D486" s="245" t="str">
        <f>IFNA(VLOOKUP(B486,IMS!$A$2:$E$232,5,0),"")</f>
        <v/>
      </c>
      <c r="E486" s="245"/>
      <c r="F486" s="245"/>
      <c r="G486" s="245"/>
      <c r="H486" s="245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</row>
    <row r="487">
      <c r="A487" s="245"/>
      <c r="B487" s="245"/>
      <c r="C487" s="245"/>
      <c r="D487" s="245" t="str">
        <f>IFNA(VLOOKUP(B487,IMS!$A$2:$E$232,5,0),"")</f>
        <v/>
      </c>
      <c r="E487" s="245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</row>
    <row r="488">
      <c r="A488" s="245"/>
      <c r="B488" s="245"/>
      <c r="C488" s="245"/>
      <c r="D488" s="245" t="str">
        <f>IFNA(VLOOKUP(B488,IMS!$A$2:$E$232,5,0),"")</f>
        <v/>
      </c>
      <c r="E488" s="245"/>
      <c r="F488" s="245"/>
      <c r="G488" s="245"/>
      <c r="H488" s="245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</row>
    <row r="489">
      <c r="A489" s="245"/>
      <c r="B489" s="245"/>
      <c r="C489" s="245"/>
      <c r="D489" s="245" t="str">
        <f>IFNA(VLOOKUP(B489,IMS!$A$2:$E$232,5,0),"")</f>
        <v/>
      </c>
      <c r="E489" s="245"/>
      <c r="F489" s="245"/>
      <c r="G489" s="245"/>
      <c r="H489" s="245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</row>
    <row r="490">
      <c r="A490" s="245"/>
      <c r="B490" s="245"/>
      <c r="C490" s="245"/>
      <c r="D490" s="245" t="str">
        <f>IFNA(VLOOKUP(B490,IMS!$A$2:$E$232,5,0),"")</f>
        <v/>
      </c>
      <c r="E490" s="245"/>
      <c r="F490" s="245"/>
      <c r="G490" s="245"/>
      <c r="H490" s="245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</row>
    <row r="491">
      <c r="A491" s="245"/>
      <c r="B491" s="245"/>
      <c r="C491" s="245"/>
      <c r="D491" s="245" t="str">
        <f>IFNA(VLOOKUP(B491,IMS!$A$2:$E$232,5,0),"")</f>
        <v/>
      </c>
      <c r="E491" s="245"/>
      <c r="F491" s="245"/>
      <c r="G491" s="245"/>
      <c r="H491" s="245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</row>
    <row r="492">
      <c r="A492" s="245"/>
      <c r="B492" s="245"/>
      <c r="C492" s="245"/>
      <c r="D492" s="245" t="str">
        <f>IFNA(VLOOKUP(B492,IMS!$A$2:$E$232,5,0),"")</f>
        <v/>
      </c>
      <c r="E492" s="245"/>
      <c r="F492" s="245"/>
      <c r="G492" s="245"/>
      <c r="H492" s="245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</row>
    <row r="493">
      <c r="A493" s="245"/>
      <c r="B493" s="245"/>
      <c r="C493" s="245"/>
      <c r="D493" s="245" t="str">
        <f>IFNA(VLOOKUP(B493,IMS!$A$2:$E$232,5,0),"")</f>
        <v/>
      </c>
      <c r="E493" s="245"/>
      <c r="F493" s="245"/>
      <c r="G493" s="245"/>
      <c r="H493" s="245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</row>
    <row r="494">
      <c r="A494" s="245"/>
      <c r="B494" s="245"/>
      <c r="C494" s="245"/>
      <c r="D494" s="245" t="str">
        <f>IFNA(VLOOKUP(B494,IMS!$A$2:$E$232,5,0),"")</f>
        <v/>
      </c>
      <c r="E494" s="245"/>
      <c r="F494" s="245"/>
      <c r="G494" s="245"/>
      <c r="H494" s="245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</row>
    <row r="495">
      <c r="A495" s="245"/>
      <c r="B495" s="245"/>
      <c r="C495" s="245"/>
      <c r="D495" s="245" t="str">
        <f>IFNA(VLOOKUP(B495,IMS!$A$2:$E$232,5,0),"")</f>
        <v/>
      </c>
      <c r="E495" s="245"/>
      <c r="F495" s="245"/>
      <c r="G495" s="245"/>
      <c r="H495" s="245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</row>
    <row r="496">
      <c r="A496" s="245"/>
      <c r="B496" s="245"/>
      <c r="C496" s="245"/>
      <c r="D496" s="245" t="str">
        <f>IFNA(VLOOKUP(B496,IMS!$A$2:$E$232,5,0),"")</f>
        <v/>
      </c>
      <c r="E496" s="245"/>
      <c r="F496" s="245"/>
      <c r="G496" s="245"/>
      <c r="H496" s="245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</row>
    <row r="497">
      <c r="A497" s="245"/>
      <c r="B497" s="245"/>
      <c r="C497" s="245"/>
      <c r="D497" s="245" t="str">
        <f>IFNA(VLOOKUP(B497,IMS!$A$2:$E$232,5,0),"")</f>
        <v/>
      </c>
      <c r="E497" s="245"/>
      <c r="F497" s="245"/>
      <c r="G497" s="245"/>
      <c r="H497" s="245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</row>
    <row r="498">
      <c r="A498" s="245"/>
      <c r="B498" s="245"/>
      <c r="C498" s="245"/>
      <c r="D498" s="245" t="str">
        <f>IFNA(VLOOKUP(B498,IMS!$A$2:$E$232,5,0),"")</f>
        <v/>
      </c>
      <c r="E498" s="245"/>
      <c r="F498" s="245"/>
      <c r="G498" s="245"/>
      <c r="H498" s="245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</row>
    <row r="499">
      <c r="A499" s="245"/>
      <c r="B499" s="245"/>
      <c r="C499" s="245"/>
      <c r="D499" s="245" t="str">
        <f>IFNA(VLOOKUP(B499,IMS!$A$2:$E$232,5,0),"")</f>
        <v/>
      </c>
      <c r="E499" s="245"/>
      <c r="F499" s="245"/>
      <c r="G499" s="245"/>
      <c r="H499" s="245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</row>
    <row r="500">
      <c r="A500" s="245"/>
      <c r="B500" s="245"/>
      <c r="C500" s="245"/>
      <c r="D500" s="245" t="str">
        <f>IFNA(VLOOKUP(B500,IMS!$A$2:$E$232,5,0),"")</f>
        <v/>
      </c>
      <c r="E500" s="245"/>
      <c r="F500" s="245"/>
      <c r="G500" s="245"/>
      <c r="H500" s="245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</row>
    <row r="501">
      <c r="A501" s="245"/>
      <c r="B501" s="245"/>
      <c r="C501" s="245"/>
      <c r="D501" s="245" t="str">
        <f>IFNA(VLOOKUP(B501,IMS!$A$2:$E$232,5,0),"")</f>
        <v/>
      </c>
      <c r="E501" s="245"/>
      <c r="F501" s="245"/>
      <c r="G501" s="245"/>
      <c r="H501" s="245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</row>
    <row r="502">
      <c r="A502" s="245"/>
      <c r="B502" s="245"/>
      <c r="C502" s="245"/>
      <c r="D502" s="245" t="str">
        <f>IFNA(VLOOKUP(B502,IMS!$A$2:$E$232,5,0),"")</f>
        <v/>
      </c>
      <c r="E502" s="245"/>
      <c r="F502" s="245"/>
      <c r="G502" s="245"/>
      <c r="H502" s="245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</row>
    <row r="503">
      <c r="A503" s="245"/>
      <c r="B503" s="245"/>
      <c r="C503" s="245"/>
      <c r="D503" s="245" t="str">
        <f>IFNA(VLOOKUP(B503,IMS!$A$2:$E$232,5,0),"")</f>
        <v/>
      </c>
      <c r="E503" s="245"/>
      <c r="F503" s="245"/>
      <c r="G503" s="245"/>
      <c r="H503" s="245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</row>
    <row r="504">
      <c r="A504" s="245"/>
      <c r="B504" s="245"/>
      <c r="C504" s="245"/>
      <c r="D504" s="245" t="str">
        <f>IFNA(VLOOKUP(B504,IMS!$A$2:$E$232,5,0),"")</f>
        <v/>
      </c>
      <c r="E504" s="245"/>
      <c r="F504" s="245"/>
      <c r="G504" s="245"/>
      <c r="H504" s="245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</row>
    <row r="505">
      <c r="A505" s="245"/>
      <c r="B505" s="245"/>
      <c r="C505" s="245"/>
      <c r="D505" s="245" t="str">
        <f>IFNA(VLOOKUP(B505,IMS!$A$2:$E$232,5,0),"")</f>
        <v/>
      </c>
      <c r="E505" s="245"/>
      <c r="F505" s="245"/>
      <c r="G505" s="245"/>
      <c r="H505" s="245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</row>
    <row r="506">
      <c r="A506" s="245"/>
      <c r="B506" s="245"/>
      <c r="C506" s="245"/>
      <c r="D506" s="245" t="str">
        <f>IFNA(VLOOKUP(B506,IMS!$A$2:$E$232,5,0),"")</f>
        <v/>
      </c>
      <c r="E506" s="245"/>
      <c r="F506" s="245"/>
      <c r="G506" s="245"/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</row>
    <row r="507">
      <c r="A507" s="245"/>
      <c r="B507" s="245"/>
      <c r="C507" s="245"/>
      <c r="D507" s="245" t="str">
        <f>IFNA(VLOOKUP(B507,IMS!$A$2:$E$232,5,0),"")</f>
        <v/>
      </c>
      <c r="E507" s="245"/>
      <c r="F507" s="245"/>
      <c r="G507" s="245"/>
      <c r="H507" s="245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</row>
    <row r="508">
      <c r="A508" s="245"/>
      <c r="B508" s="245"/>
      <c r="C508" s="245"/>
      <c r="D508" s="245" t="str">
        <f>IFNA(VLOOKUP(B508,IMS!$A$2:$E$232,5,0),"")</f>
        <v/>
      </c>
      <c r="E508" s="245"/>
      <c r="F508" s="245"/>
      <c r="G508" s="245"/>
      <c r="H508" s="245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</row>
    <row r="509">
      <c r="A509" s="245"/>
      <c r="B509" s="245"/>
      <c r="C509" s="245"/>
      <c r="D509" s="245" t="str">
        <f>IFNA(VLOOKUP(B509,IMS!$A$2:$E$232,5,0),"")</f>
        <v/>
      </c>
      <c r="E509" s="245"/>
      <c r="F509" s="245"/>
      <c r="G509" s="245"/>
      <c r="H509" s="245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</row>
    <row r="510">
      <c r="A510" s="245"/>
      <c r="B510" s="245"/>
      <c r="C510" s="245"/>
      <c r="D510" s="245" t="str">
        <f>IFNA(VLOOKUP(B510,IMS!$A$2:$E$232,5,0),"")</f>
        <v/>
      </c>
      <c r="E510" s="245"/>
      <c r="F510" s="245"/>
      <c r="G510" s="245"/>
      <c r="H510" s="245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</row>
    <row r="511">
      <c r="A511" s="245"/>
      <c r="B511" s="245"/>
      <c r="C511" s="245"/>
      <c r="D511" s="245" t="str">
        <f>IFNA(VLOOKUP(B511,IMS!$A$2:$E$232,5,0),"")</f>
        <v/>
      </c>
      <c r="E511" s="245"/>
      <c r="F511" s="245"/>
      <c r="G511" s="245"/>
      <c r="H511" s="245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</row>
    <row r="512">
      <c r="A512" s="245"/>
      <c r="B512" s="245"/>
      <c r="C512" s="245"/>
      <c r="D512" s="245" t="str">
        <f>IFNA(VLOOKUP(B512,IMS!$A$2:$E$232,5,0),"")</f>
        <v/>
      </c>
      <c r="E512" s="245"/>
      <c r="F512" s="245"/>
      <c r="G512" s="245"/>
      <c r="H512" s="245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</row>
    <row r="513">
      <c r="A513" s="245"/>
      <c r="B513" s="245"/>
      <c r="C513" s="245"/>
      <c r="D513" s="245" t="str">
        <f>IFNA(VLOOKUP(B513,IMS!$A$2:$E$232,5,0),"")</f>
        <v/>
      </c>
      <c r="E513" s="245"/>
      <c r="F513" s="245"/>
      <c r="G513" s="245"/>
      <c r="H513" s="245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</row>
    <row r="514">
      <c r="A514" s="245"/>
      <c r="B514" s="245"/>
      <c r="C514" s="245"/>
      <c r="D514" s="245" t="str">
        <f>IFNA(VLOOKUP(B514,IMS!$A$2:$E$232,5,0),"")</f>
        <v/>
      </c>
      <c r="E514" s="245"/>
      <c r="F514" s="245"/>
      <c r="G514" s="245"/>
      <c r="H514" s="245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</row>
    <row r="515">
      <c r="A515" s="245"/>
      <c r="B515" s="245"/>
      <c r="C515" s="245"/>
      <c r="D515" s="245" t="str">
        <f>IFNA(VLOOKUP(B515,IMS!$A$2:$E$232,5,0),"")</f>
        <v/>
      </c>
      <c r="E515" s="245"/>
      <c r="F515" s="245"/>
      <c r="G515" s="245"/>
      <c r="H515" s="245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</row>
    <row r="516">
      <c r="A516" s="245"/>
      <c r="B516" s="245"/>
      <c r="C516" s="245"/>
      <c r="D516" s="245" t="str">
        <f>IFNA(VLOOKUP(B516,IMS!$A$2:$E$232,5,0),"")</f>
        <v/>
      </c>
      <c r="E516" s="245"/>
      <c r="F516" s="245"/>
      <c r="G516" s="245"/>
      <c r="H516" s="245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</row>
    <row r="517">
      <c r="A517" s="245"/>
      <c r="B517" s="245"/>
      <c r="C517" s="245"/>
      <c r="D517" s="245" t="str">
        <f>IFNA(VLOOKUP(B517,IMS!$A$2:$E$232,5,0),"")</f>
        <v/>
      </c>
      <c r="E517" s="245"/>
      <c r="F517" s="245"/>
      <c r="G517" s="245"/>
      <c r="H517" s="245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</row>
    <row r="518">
      <c r="A518" s="245"/>
      <c r="B518" s="245"/>
      <c r="C518" s="245"/>
      <c r="D518" s="245" t="str">
        <f>IFNA(VLOOKUP(B518,IMS!$A$2:$E$232,5,0),"")</f>
        <v/>
      </c>
      <c r="E518" s="245"/>
      <c r="F518" s="245"/>
      <c r="G518" s="245"/>
      <c r="H518" s="245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</row>
    <row r="519">
      <c r="A519" s="245"/>
      <c r="B519" s="245"/>
      <c r="C519" s="245"/>
      <c r="D519" s="245" t="str">
        <f>IFNA(VLOOKUP(B519,IMS!$A$2:$E$232,5,0),"")</f>
        <v/>
      </c>
      <c r="E519" s="245"/>
      <c r="F519" s="245"/>
      <c r="G519" s="245"/>
      <c r="H519" s="245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</row>
    <row r="520">
      <c r="A520" s="245"/>
      <c r="B520" s="245"/>
      <c r="C520" s="245"/>
      <c r="D520" s="245" t="str">
        <f>IFNA(VLOOKUP(B520,IMS!$A$2:$E$232,5,0),"")</f>
        <v/>
      </c>
      <c r="E520" s="245"/>
      <c r="F520" s="245"/>
      <c r="G520" s="245"/>
      <c r="H520" s="245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</row>
    <row r="521">
      <c r="A521" s="245"/>
      <c r="B521" s="245"/>
      <c r="C521" s="245"/>
      <c r="D521" s="245" t="str">
        <f>IFNA(VLOOKUP(B521,IMS!$A$2:$E$232,5,0),"")</f>
        <v/>
      </c>
      <c r="E521" s="245"/>
      <c r="F521" s="245"/>
      <c r="G521" s="245"/>
      <c r="H521" s="245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</row>
    <row r="522">
      <c r="A522" s="245"/>
      <c r="B522" s="245"/>
      <c r="C522" s="245"/>
      <c r="D522" s="245" t="str">
        <f>IFNA(VLOOKUP(B522,IMS!$A$2:$E$232,5,0),"")</f>
        <v/>
      </c>
      <c r="E522" s="245"/>
      <c r="F522" s="245"/>
      <c r="G522" s="245"/>
      <c r="H522" s="245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</row>
    <row r="523">
      <c r="A523" s="245"/>
      <c r="B523" s="245"/>
      <c r="C523" s="245"/>
      <c r="D523" s="245" t="str">
        <f>IFNA(VLOOKUP(B523,IMS!$A$2:$E$232,5,0),"")</f>
        <v/>
      </c>
      <c r="E523" s="245"/>
      <c r="F523" s="245"/>
      <c r="G523" s="245"/>
      <c r="H523" s="245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</row>
    <row r="524">
      <c r="A524" s="245"/>
      <c r="B524" s="245"/>
      <c r="C524" s="245"/>
      <c r="D524" s="245" t="str">
        <f>IFNA(VLOOKUP(B524,IMS!$A$2:$E$232,5,0),"")</f>
        <v/>
      </c>
      <c r="E524" s="245"/>
      <c r="F524" s="245"/>
      <c r="G524" s="245"/>
      <c r="H524" s="245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</row>
    <row r="525">
      <c r="A525" s="245"/>
      <c r="B525" s="245"/>
      <c r="C525" s="245"/>
      <c r="D525" s="245" t="str">
        <f>IFNA(VLOOKUP(B525,IMS!$A$2:$E$232,5,0),"")</f>
        <v/>
      </c>
      <c r="E525" s="245"/>
      <c r="F525" s="245"/>
      <c r="G525" s="245"/>
      <c r="H525" s="245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</row>
    <row r="526">
      <c r="A526" s="245"/>
      <c r="B526" s="245"/>
      <c r="C526" s="245"/>
      <c r="D526" s="245" t="str">
        <f>IFNA(VLOOKUP(B526,IMS!$A$2:$E$232,5,0),"")</f>
        <v/>
      </c>
      <c r="E526" s="245"/>
      <c r="F526" s="245"/>
      <c r="G526" s="245"/>
      <c r="H526" s="245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</row>
    <row r="527">
      <c r="A527" s="245"/>
      <c r="B527" s="245"/>
      <c r="C527" s="245"/>
      <c r="D527" s="245" t="str">
        <f>IFNA(VLOOKUP(B527,IMS!$A$2:$E$232,5,0),"")</f>
        <v/>
      </c>
      <c r="E527" s="245"/>
      <c r="F527" s="245"/>
      <c r="G527" s="245"/>
      <c r="H527" s="245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</row>
    <row r="528">
      <c r="A528" s="245"/>
      <c r="B528" s="245"/>
      <c r="C528" s="245"/>
      <c r="D528" s="245" t="str">
        <f>IFNA(VLOOKUP(B528,IMS!$A$2:$E$232,5,0),"")</f>
        <v/>
      </c>
      <c r="E528" s="245"/>
      <c r="F528" s="245"/>
      <c r="G528" s="245"/>
      <c r="H528" s="245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</row>
    <row r="529">
      <c r="A529" s="245"/>
      <c r="B529" s="245"/>
      <c r="C529" s="245"/>
      <c r="D529" s="245" t="str">
        <f>IFNA(VLOOKUP(B529,IMS!$A$2:$E$232,5,0),"")</f>
        <v/>
      </c>
      <c r="E529" s="245"/>
      <c r="F529" s="245"/>
      <c r="G529" s="245"/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</row>
    <row r="530">
      <c r="A530" s="245"/>
      <c r="B530" s="245"/>
      <c r="C530" s="245"/>
      <c r="D530" s="245" t="str">
        <f>IFNA(VLOOKUP(B530,IMS!$A$2:$E$232,5,0),"")</f>
        <v/>
      </c>
      <c r="E530" s="245"/>
      <c r="F530" s="245"/>
      <c r="G530" s="245"/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</row>
    <row r="531">
      <c r="A531" s="245"/>
      <c r="B531" s="245"/>
      <c r="C531" s="245"/>
      <c r="D531" s="245" t="str">
        <f>IFNA(VLOOKUP(B531,IMS!$A$2:$E$232,5,0),"")</f>
        <v/>
      </c>
      <c r="E531" s="245"/>
      <c r="F531" s="245"/>
      <c r="G531" s="245"/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</row>
    <row r="532">
      <c r="A532" s="245"/>
      <c r="B532" s="245"/>
      <c r="C532" s="245"/>
      <c r="D532" s="245" t="str">
        <f>IFNA(VLOOKUP(B532,IMS!$A$2:$E$232,5,0),"")</f>
        <v/>
      </c>
      <c r="E532" s="245"/>
      <c r="F532" s="245"/>
      <c r="G532" s="245"/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</row>
    <row r="533">
      <c r="A533" s="245"/>
      <c r="B533" s="245"/>
      <c r="C533" s="245"/>
      <c r="D533" s="245" t="str">
        <f>IFNA(VLOOKUP(B533,IMS!$A$2:$E$232,5,0),"")</f>
        <v/>
      </c>
      <c r="E533" s="245"/>
      <c r="F533" s="245"/>
      <c r="G533" s="245"/>
      <c r="H533" s="245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</row>
    <row r="534">
      <c r="A534" s="245"/>
      <c r="B534" s="245"/>
      <c r="C534" s="245"/>
      <c r="D534" s="245" t="str">
        <f>IFNA(VLOOKUP(B534,IMS!$A$2:$E$232,5,0),"")</f>
        <v/>
      </c>
      <c r="E534" s="245"/>
      <c r="F534" s="245"/>
      <c r="G534" s="245"/>
      <c r="H534" s="245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</row>
    <row r="535">
      <c r="A535" s="245"/>
      <c r="B535" s="245"/>
      <c r="C535" s="245"/>
      <c r="D535" s="245" t="str">
        <f>IFNA(VLOOKUP(B535,IMS!$A$2:$E$232,5,0),"")</f>
        <v/>
      </c>
      <c r="E535" s="245"/>
      <c r="F535" s="245"/>
      <c r="G535" s="245"/>
      <c r="H535" s="245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</row>
    <row r="536">
      <c r="A536" s="245"/>
      <c r="B536" s="245"/>
      <c r="C536" s="245"/>
      <c r="D536" s="245" t="str">
        <f>IFNA(VLOOKUP(B536,IMS!$A$2:$E$232,5,0),"")</f>
        <v/>
      </c>
      <c r="E536" s="245"/>
      <c r="F536" s="245"/>
      <c r="G536" s="245"/>
      <c r="H536" s="245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</row>
    <row r="537">
      <c r="A537" s="245"/>
      <c r="B537" s="245"/>
      <c r="C537" s="245"/>
      <c r="D537" s="245" t="str">
        <f>IFNA(VLOOKUP(B537,IMS!$A$2:$E$232,5,0),"")</f>
        <v/>
      </c>
      <c r="E537" s="245"/>
      <c r="F537" s="245"/>
      <c r="G537" s="245"/>
      <c r="H537" s="245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</row>
    <row r="538">
      <c r="A538" s="245"/>
      <c r="B538" s="245"/>
      <c r="C538" s="245"/>
      <c r="D538" s="245" t="str">
        <f>IFNA(VLOOKUP(B538,IMS!$A$2:$E$232,5,0),"")</f>
        <v/>
      </c>
      <c r="E538" s="245"/>
      <c r="F538" s="245"/>
      <c r="G538" s="245"/>
      <c r="H538" s="245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</row>
    <row r="539">
      <c r="A539" s="245"/>
      <c r="B539" s="245"/>
      <c r="C539" s="245"/>
      <c r="D539" s="245" t="str">
        <f>IFNA(VLOOKUP(B539,IMS!$A$2:$E$232,5,0),"")</f>
        <v/>
      </c>
      <c r="E539" s="245"/>
      <c r="F539" s="245"/>
      <c r="G539" s="245"/>
      <c r="H539" s="245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</row>
    <row r="540">
      <c r="A540" s="245"/>
      <c r="B540" s="245"/>
      <c r="C540" s="245"/>
      <c r="D540" s="245" t="str">
        <f>IFNA(VLOOKUP(B540,IMS!$A$2:$E$232,5,0),"")</f>
        <v/>
      </c>
      <c r="E540" s="245"/>
      <c r="F540" s="245"/>
      <c r="G540" s="245"/>
      <c r="H540" s="245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</row>
    <row r="541">
      <c r="A541" s="245"/>
      <c r="B541" s="245"/>
      <c r="C541" s="245"/>
      <c r="D541" s="245" t="str">
        <f>IFNA(VLOOKUP(B541,IMS!$A$2:$E$232,5,0),"")</f>
        <v/>
      </c>
      <c r="E541" s="245"/>
      <c r="F541" s="245"/>
      <c r="G541" s="245"/>
      <c r="H541" s="245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</row>
    <row r="542">
      <c r="A542" s="245"/>
      <c r="B542" s="245"/>
      <c r="C542" s="245"/>
      <c r="D542" s="245" t="str">
        <f>IFNA(VLOOKUP(B542,IMS!$A$2:$E$232,5,0),"")</f>
        <v/>
      </c>
      <c r="E542" s="245"/>
      <c r="F542" s="245"/>
      <c r="G542" s="245"/>
      <c r="H542" s="245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</row>
    <row r="543">
      <c r="A543" s="245"/>
      <c r="B543" s="245"/>
      <c r="C543" s="245"/>
      <c r="D543" s="245" t="str">
        <f>IFNA(VLOOKUP(B543,IMS!$A$2:$E$232,5,0),"")</f>
        <v/>
      </c>
      <c r="E543" s="245"/>
      <c r="F543" s="245"/>
      <c r="G543" s="245"/>
      <c r="H543" s="245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</row>
    <row r="544">
      <c r="A544" s="245"/>
      <c r="B544" s="245"/>
      <c r="C544" s="245"/>
      <c r="D544" s="245" t="str">
        <f>IFNA(VLOOKUP(B544,IMS!$A$2:$E$232,5,0),"")</f>
        <v/>
      </c>
      <c r="E544" s="245"/>
      <c r="F544" s="245"/>
      <c r="G544" s="245"/>
      <c r="H544" s="245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</row>
    <row r="545">
      <c r="A545" s="245"/>
      <c r="B545" s="245"/>
      <c r="C545" s="245"/>
      <c r="D545" s="245" t="str">
        <f>IFNA(VLOOKUP(B545,IMS!$A$2:$E$232,5,0),"")</f>
        <v/>
      </c>
      <c r="E545" s="245"/>
      <c r="F545" s="245"/>
      <c r="G545" s="245"/>
      <c r="H545" s="245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</row>
    <row r="546">
      <c r="A546" s="245"/>
      <c r="B546" s="245"/>
      <c r="C546" s="245"/>
      <c r="D546" s="245" t="str">
        <f>IFNA(VLOOKUP(B546,IMS!$A$2:$E$232,5,0),"")</f>
        <v/>
      </c>
      <c r="E546" s="245"/>
      <c r="F546" s="245"/>
      <c r="G546" s="245"/>
      <c r="H546" s="245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</row>
    <row r="547">
      <c r="A547" s="245"/>
      <c r="B547" s="245"/>
      <c r="C547" s="245"/>
      <c r="D547" s="245" t="str">
        <f>IFNA(VLOOKUP(B547,IMS!$A$2:$E$232,5,0),"")</f>
        <v/>
      </c>
      <c r="E547" s="245"/>
      <c r="F547" s="245"/>
      <c r="G547" s="245"/>
      <c r="H547" s="245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</row>
    <row r="548">
      <c r="A548" s="245"/>
      <c r="B548" s="245"/>
      <c r="C548" s="245"/>
      <c r="D548" s="245" t="str">
        <f>IFNA(VLOOKUP(B548,IMS!$A$2:$E$232,5,0),"")</f>
        <v/>
      </c>
      <c r="E548" s="245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</row>
    <row r="549">
      <c r="A549" s="245"/>
      <c r="B549" s="245"/>
      <c r="C549" s="245"/>
      <c r="D549" s="245" t="str">
        <f>IFNA(VLOOKUP(B549,IMS!$A$2:$E$232,5,0),"")</f>
        <v/>
      </c>
      <c r="E549" s="245"/>
      <c r="F549" s="245"/>
      <c r="G549" s="245"/>
      <c r="H549" s="245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</row>
    <row r="550">
      <c r="A550" s="245"/>
      <c r="B550" s="245"/>
      <c r="C550" s="245"/>
      <c r="D550" s="245" t="str">
        <f>IFNA(VLOOKUP(B550,IMS!$A$2:$E$232,5,0),"")</f>
        <v/>
      </c>
      <c r="E550" s="245"/>
      <c r="F550" s="245"/>
      <c r="G550" s="245"/>
      <c r="H550" s="245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</row>
    <row r="551">
      <c r="A551" s="245"/>
      <c r="B551" s="245"/>
      <c r="C551" s="245"/>
      <c r="D551" s="245" t="str">
        <f>IFNA(VLOOKUP(B551,IMS!$A$2:$E$232,5,0),"")</f>
        <v/>
      </c>
      <c r="E551" s="245"/>
      <c r="F551" s="245"/>
      <c r="G551" s="245"/>
      <c r="H551" s="245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</row>
    <row r="552">
      <c r="A552" s="245"/>
      <c r="B552" s="245"/>
      <c r="C552" s="245"/>
      <c r="D552" s="245" t="str">
        <f>IFNA(VLOOKUP(B552,IMS!$A$2:$E$232,5,0),"")</f>
        <v/>
      </c>
      <c r="E552" s="245"/>
      <c r="F552" s="245"/>
      <c r="G552" s="245"/>
      <c r="H552" s="245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</row>
    <row r="553">
      <c r="A553" s="245"/>
      <c r="B553" s="245"/>
      <c r="C553" s="245"/>
      <c r="D553" s="245" t="str">
        <f>IFNA(VLOOKUP(B553,IMS!$A$2:$E$232,5,0),"")</f>
        <v/>
      </c>
      <c r="E553" s="245"/>
      <c r="F553" s="245"/>
      <c r="G553" s="245"/>
      <c r="H553" s="245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</row>
    <row r="554">
      <c r="A554" s="245"/>
      <c r="B554" s="245"/>
      <c r="C554" s="245"/>
      <c r="D554" s="245" t="str">
        <f>IFNA(VLOOKUP(B554,IMS!$A$2:$E$232,5,0),"")</f>
        <v/>
      </c>
      <c r="E554" s="245"/>
      <c r="F554" s="245"/>
      <c r="G554" s="245"/>
      <c r="H554" s="245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</row>
    <row r="555">
      <c r="A555" s="245"/>
      <c r="B555" s="245"/>
      <c r="C555" s="245"/>
      <c r="D555" s="245" t="str">
        <f>IFNA(VLOOKUP(B555,IMS!$A$2:$E$232,5,0),"")</f>
        <v/>
      </c>
      <c r="E555" s="245"/>
      <c r="F555" s="245"/>
      <c r="G555" s="245"/>
      <c r="H555" s="245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</row>
    <row r="556">
      <c r="A556" s="245"/>
      <c r="B556" s="245"/>
      <c r="C556" s="245"/>
      <c r="D556" s="245" t="str">
        <f>IFNA(VLOOKUP(B556,IMS!$A$2:$E$232,5,0),"")</f>
        <v/>
      </c>
      <c r="E556" s="245"/>
      <c r="F556" s="245"/>
      <c r="G556" s="245"/>
      <c r="H556" s="245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</row>
    <row r="557">
      <c r="A557" s="245"/>
      <c r="B557" s="245"/>
      <c r="C557" s="245"/>
      <c r="D557" s="245" t="str">
        <f>IFNA(VLOOKUP(B557,IMS!$A$2:$E$232,5,0),"")</f>
        <v/>
      </c>
      <c r="E557" s="245"/>
      <c r="F557" s="245"/>
      <c r="G557" s="245"/>
      <c r="H557" s="245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</row>
    <row r="558">
      <c r="A558" s="245"/>
      <c r="B558" s="245"/>
      <c r="C558" s="245"/>
      <c r="D558" s="245" t="str">
        <f>IFNA(VLOOKUP(B558,IMS!$A$2:$E$232,5,0),"")</f>
        <v/>
      </c>
      <c r="E558" s="245"/>
      <c r="F558" s="245"/>
      <c r="G558" s="245"/>
      <c r="H558" s="245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</row>
    <row r="559">
      <c r="A559" s="245"/>
      <c r="B559" s="245"/>
      <c r="C559" s="245"/>
      <c r="D559" s="245" t="str">
        <f>IFNA(VLOOKUP(B559,IMS!$A$2:$E$232,5,0),"")</f>
        <v/>
      </c>
      <c r="E559" s="245"/>
      <c r="F559" s="245"/>
      <c r="G559" s="245"/>
      <c r="H559" s="245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</row>
    <row r="560">
      <c r="A560" s="245"/>
      <c r="B560" s="245"/>
      <c r="C560" s="245"/>
      <c r="D560" s="245" t="str">
        <f>IFNA(VLOOKUP(B560,IMS!$A$2:$E$232,5,0),"")</f>
        <v/>
      </c>
      <c r="E560" s="245"/>
      <c r="F560" s="245"/>
      <c r="G560" s="245"/>
      <c r="H560" s="245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</row>
    <row r="561">
      <c r="A561" s="245"/>
      <c r="B561" s="245"/>
      <c r="C561" s="245"/>
      <c r="D561" s="245" t="str">
        <f>IFNA(VLOOKUP(B561,IMS!$A$2:$E$232,5,0),"")</f>
        <v/>
      </c>
      <c r="E561" s="245"/>
      <c r="F561" s="245"/>
      <c r="G561" s="245"/>
      <c r="H561" s="245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</row>
    <row r="562">
      <c r="A562" s="245"/>
      <c r="B562" s="245"/>
      <c r="C562" s="245"/>
      <c r="D562" s="245" t="str">
        <f>IFNA(VLOOKUP(B562,IMS!$A$2:$E$232,5,0),"")</f>
        <v/>
      </c>
      <c r="E562" s="245"/>
      <c r="F562" s="245"/>
      <c r="G562" s="245"/>
      <c r="H562" s="245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</row>
    <row r="563">
      <c r="A563" s="245"/>
      <c r="B563" s="245"/>
      <c r="C563" s="245"/>
      <c r="D563" s="245" t="str">
        <f>IFNA(VLOOKUP(B563,IMS!$A$2:$E$232,5,0),"")</f>
        <v/>
      </c>
      <c r="E563" s="245"/>
      <c r="F563" s="245"/>
      <c r="G563" s="245"/>
      <c r="H563" s="245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</row>
    <row r="564">
      <c r="A564" s="245"/>
      <c r="B564" s="245"/>
      <c r="C564" s="245"/>
      <c r="D564" s="245" t="str">
        <f>IFNA(VLOOKUP(B564,IMS!$A$2:$E$232,5,0),"")</f>
        <v/>
      </c>
      <c r="E564" s="245"/>
      <c r="F564" s="245"/>
      <c r="G564" s="245"/>
      <c r="H564" s="245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</row>
    <row r="565">
      <c r="A565" s="245"/>
      <c r="B565" s="245"/>
      <c r="C565" s="245"/>
      <c r="D565" s="245" t="str">
        <f>IFNA(VLOOKUP(B565,IMS!$A$2:$E$232,5,0),"")</f>
        <v/>
      </c>
      <c r="E565" s="245"/>
      <c r="F565" s="245"/>
      <c r="G565" s="245"/>
      <c r="H565" s="245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</row>
    <row r="566">
      <c r="A566" s="245"/>
      <c r="B566" s="245"/>
      <c r="C566" s="245"/>
      <c r="D566" s="245" t="str">
        <f>IFNA(VLOOKUP(B566,IMS!$A$2:$E$232,5,0),"")</f>
        <v/>
      </c>
      <c r="E566" s="245"/>
      <c r="F566" s="245"/>
      <c r="G566" s="245"/>
      <c r="H566" s="245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</row>
    <row r="567">
      <c r="A567" s="245"/>
      <c r="B567" s="245"/>
      <c r="C567" s="245"/>
      <c r="D567" s="245" t="str">
        <f>IFNA(VLOOKUP(B567,IMS!$A$2:$E$232,5,0),"")</f>
        <v/>
      </c>
      <c r="E567" s="245"/>
      <c r="F567" s="245"/>
      <c r="G567" s="245"/>
      <c r="H567" s="245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</row>
    <row r="568">
      <c r="A568" s="245"/>
      <c r="B568" s="245"/>
      <c r="C568" s="245"/>
      <c r="D568" s="245" t="str">
        <f>IFNA(VLOOKUP(B568,IMS!$A$2:$E$232,5,0),"")</f>
        <v/>
      </c>
      <c r="E568" s="245"/>
      <c r="F568" s="245"/>
      <c r="G568" s="245"/>
      <c r="H568" s="245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</row>
    <row r="569">
      <c r="A569" s="245"/>
      <c r="B569" s="245"/>
      <c r="C569" s="245"/>
      <c r="D569" s="245" t="str">
        <f>IFNA(VLOOKUP(B569,IMS!$A$2:$E$232,5,0),"")</f>
        <v/>
      </c>
      <c r="E569" s="245"/>
      <c r="F569" s="245"/>
      <c r="G569" s="245"/>
      <c r="H569" s="245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</row>
    <row r="570">
      <c r="A570" s="245"/>
      <c r="B570" s="245"/>
      <c r="C570" s="245"/>
      <c r="D570" s="245" t="str">
        <f>IFNA(VLOOKUP(B570,IMS!$A$2:$E$232,5,0),"")</f>
        <v/>
      </c>
      <c r="E570" s="245"/>
      <c r="F570" s="245"/>
      <c r="G570" s="245"/>
      <c r="H570" s="245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</row>
    <row r="571">
      <c r="A571" s="245"/>
      <c r="B571" s="245"/>
      <c r="C571" s="245"/>
      <c r="D571" s="245" t="str">
        <f>IFNA(VLOOKUP(B571,IMS!$A$2:$E$232,5,0),"")</f>
        <v/>
      </c>
      <c r="E571" s="245"/>
      <c r="F571" s="245"/>
      <c r="G571" s="245"/>
      <c r="H571" s="245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</row>
    <row r="572">
      <c r="A572" s="245"/>
      <c r="B572" s="245"/>
      <c r="C572" s="245"/>
      <c r="D572" s="245" t="str">
        <f>IFNA(VLOOKUP(B572,IMS!$A$2:$E$232,5,0),"")</f>
        <v/>
      </c>
      <c r="E572" s="245"/>
      <c r="F572" s="245"/>
      <c r="G572" s="245"/>
      <c r="H572" s="245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</row>
    <row r="573">
      <c r="A573" s="245"/>
      <c r="B573" s="245"/>
      <c r="C573" s="245"/>
      <c r="D573" s="245" t="str">
        <f>IFNA(VLOOKUP(B573,IMS!$A$2:$E$232,5,0),"")</f>
        <v/>
      </c>
      <c r="E573" s="245"/>
      <c r="F573" s="245"/>
      <c r="G573" s="245"/>
      <c r="H573" s="245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</row>
    <row r="574">
      <c r="A574" s="245"/>
      <c r="B574" s="245"/>
      <c r="C574" s="245"/>
      <c r="D574" s="245" t="str">
        <f>IFNA(VLOOKUP(B574,IMS!$A$2:$E$232,5,0),"")</f>
        <v/>
      </c>
      <c r="E574" s="245"/>
      <c r="F574" s="245"/>
      <c r="G574" s="245"/>
      <c r="H574" s="245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</row>
    <row r="575">
      <c r="A575" s="245"/>
      <c r="B575" s="245"/>
      <c r="C575" s="245"/>
      <c r="D575" s="245" t="str">
        <f>IFNA(VLOOKUP(B575,IMS!$A$2:$E$232,5,0),"")</f>
        <v/>
      </c>
      <c r="E575" s="245"/>
      <c r="F575" s="245"/>
      <c r="G575" s="245"/>
      <c r="H575" s="245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</row>
    <row r="576">
      <c r="A576" s="245"/>
      <c r="B576" s="245"/>
      <c r="C576" s="245"/>
      <c r="D576" s="245" t="str">
        <f>IFNA(VLOOKUP(B576,IMS!$A$2:$E$232,5,0),"")</f>
        <v/>
      </c>
      <c r="E576" s="245"/>
      <c r="F576" s="245"/>
      <c r="G576" s="245"/>
      <c r="H576" s="245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</row>
    <row r="577">
      <c r="A577" s="245"/>
      <c r="B577" s="245"/>
      <c r="C577" s="245"/>
      <c r="D577" s="245" t="str">
        <f>IFNA(VLOOKUP(B577,IMS!$A$2:$E$232,5,0),"")</f>
        <v/>
      </c>
      <c r="E577" s="245"/>
      <c r="F577" s="245"/>
      <c r="G577" s="245"/>
      <c r="H577" s="245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</row>
    <row r="578">
      <c r="A578" s="245"/>
      <c r="B578" s="245"/>
      <c r="C578" s="245"/>
      <c r="D578" s="245" t="str">
        <f>IFNA(VLOOKUP(B578,IMS!$A$2:$E$232,5,0),"")</f>
        <v/>
      </c>
      <c r="E578" s="245"/>
      <c r="F578" s="245"/>
      <c r="G578" s="245"/>
      <c r="H578" s="245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</row>
    <row r="579">
      <c r="A579" s="245"/>
      <c r="B579" s="245"/>
      <c r="C579" s="245"/>
      <c r="D579" s="245" t="str">
        <f>IFNA(VLOOKUP(B579,IMS!$A$2:$E$232,5,0),"")</f>
        <v/>
      </c>
      <c r="E579" s="245"/>
      <c r="F579" s="245"/>
      <c r="G579" s="245"/>
      <c r="H579" s="245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</row>
    <row r="580">
      <c r="A580" s="245"/>
      <c r="B580" s="245"/>
      <c r="C580" s="245"/>
      <c r="D580" s="245" t="str">
        <f>IFNA(VLOOKUP(B580,IMS!$A$2:$E$232,5,0),"")</f>
        <v/>
      </c>
      <c r="E580" s="245"/>
      <c r="F580" s="245"/>
      <c r="G580" s="245"/>
      <c r="H580" s="245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</row>
    <row r="581">
      <c r="A581" s="245"/>
      <c r="B581" s="245"/>
      <c r="C581" s="245"/>
      <c r="D581" s="245" t="str">
        <f>IFNA(VLOOKUP(B581,IMS!$A$2:$E$232,5,0),"")</f>
        <v/>
      </c>
      <c r="E581" s="245"/>
      <c r="F581" s="245"/>
      <c r="G581" s="245"/>
      <c r="H581" s="245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</row>
    <row r="582">
      <c r="A582" s="245"/>
      <c r="B582" s="245"/>
      <c r="C582" s="245"/>
      <c r="D582" s="245" t="str">
        <f>IFNA(VLOOKUP(B582,IMS!$A$2:$E$232,5,0),"")</f>
        <v/>
      </c>
      <c r="E582" s="245"/>
      <c r="F582" s="245"/>
      <c r="G582" s="245"/>
      <c r="H582" s="245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</row>
    <row r="583">
      <c r="A583" s="245"/>
      <c r="B583" s="245"/>
      <c r="C583" s="245"/>
      <c r="D583" s="245" t="str">
        <f>IFNA(VLOOKUP(B583,IMS!$A$2:$E$232,5,0),"")</f>
        <v/>
      </c>
      <c r="E583" s="245"/>
      <c r="F583" s="245"/>
      <c r="G583" s="245"/>
      <c r="H583" s="245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</row>
    <row r="584">
      <c r="A584" s="245"/>
      <c r="B584" s="245"/>
      <c r="C584" s="245"/>
      <c r="D584" s="245" t="str">
        <f>IFNA(VLOOKUP(B584,IMS!$A$2:$E$232,5,0),"")</f>
        <v/>
      </c>
      <c r="E584" s="245"/>
      <c r="F584" s="245"/>
      <c r="G584" s="245"/>
      <c r="H584" s="245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</row>
    <row r="585">
      <c r="A585" s="245"/>
      <c r="B585" s="245"/>
      <c r="C585" s="245"/>
      <c r="D585" s="245" t="str">
        <f>IFNA(VLOOKUP(B585,IMS!$A$2:$E$232,5,0),"")</f>
        <v/>
      </c>
      <c r="E585" s="245"/>
      <c r="F585" s="245"/>
      <c r="G585" s="245"/>
      <c r="H585" s="245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</row>
    <row r="586">
      <c r="A586" s="245"/>
      <c r="B586" s="245"/>
      <c r="C586" s="245"/>
      <c r="D586" s="245" t="str">
        <f>IFNA(VLOOKUP(B586,IMS!$A$2:$E$232,5,0),"")</f>
        <v/>
      </c>
      <c r="E586" s="245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</row>
    <row r="587">
      <c r="A587" s="245"/>
      <c r="B587" s="245"/>
      <c r="C587" s="245"/>
      <c r="D587" s="245" t="str">
        <f>IFNA(VLOOKUP(B587,IMS!$A$2:$E$232,5,0),"")</f>
        <v/>
      </c>
      <c r="E587" s="245"/>
      <c r="F587" s="245"/>
      <c r="G587" s="245"/>
      <c r="H587" s="245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</row>
    <row r="588">
      <c r="A588" s="245"/>
      <c r="B588" s="245"/>
      <c r="C588" s="245"/>
      <c r="D588" s="245" t="str">
        <f>IFNA(VLOOKUP(B588,IMS!$A$2:$E$232,5,0),"")</f>
        <v/>
      </c>
      <c r="E588" s="245"/>
      <c r="F588" s="245"/>
      <c r="G588" s="245"/>
      <c r="H588" s="245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</row>
    <row r="589">
      <c r="A589" s="245"/>
      <c r="B589" s="245"/>
      <c r="C589" s="245"/>
      <c r="D589" s="245" t="str">
        <f>IFNA(VLOOKUP(B589,IMS!$A$2:$E$232,5,0),"")</f>
        <v/>
      </c>
      <c r="E589" s="245"/>
      <c r="F589" s="245"/>
      <c r="G589" s="245"/>
      <c r="H589" s="245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</row>
    <row r="590">
      <c r="A590" s="245"/>
      <c r="B590" s="245"/>
      <c r="C590" s="245"/>
      <c r="D590" s="245" t="str">
        <f>IFNA(VLOOKUP(B590,IMS!$A$2:$E$232,5,0),"")</f>
        <v/>
      </c>
      <c r="E590" s="245"/>
      <c r="F590" s="245"/>
      <c r="G590" s="245"/>
      <c r="H590" s="245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</row>
    <row r="591">
      <c r="A591" s="245"/>
      <c r="B591" s="245"/>
      <c r="C591" s="245"/>
      <c r="D591" s="245" t="str">
        <f>IFNA(VLOOKUP(B591,IMS!$A$2:$E$232,5,0),"")</f>
        <v/>
      </c>
      <c r="E591" s="245"/>
      <c r="F591" s="245"/>
      <c r="G591" s="245"/>
      <c r="H591" s="245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</row>
    <row r="592">
      <c r="A592" s="245"/>
      <c r="B592" s="245"/>
      <c r="C592" s="245"/>
      <c r="D592" s="245" t="str">
        <f>IFNA(VLOOKUP(B592,IMS!$A$2:$E$232,5,0),"")</f>
        <v/>
      </c>
      <c r="E592" s="245"/>
      <c r="F592" s="245"/>
      <c r="G592" s="245"/>
      <c r="H592" s="245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</row>
    <row r="593">
      <c r="A593" s="245"/>
      <c r="B593" s="245"/>
      <c r="C593" s="245"/>
      <c r="D593" s="245" t="str">
        <f>IFNA(VLOOKUP(B593,IMS!$A$2:$E$232,5,0),"")</f>
        <v/>
      </c>
      <c r="E593" s="245"/>
      <c r="F593" s="245"/>
      <c r="G593" s="245"/>
      <c r="H593" s="245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</row>
    <row r="594">
      <c r="A594" s="245"/>
      <c r="B594" s="245"/>
      <c r="C594" s="245"/>
      <c r="D594" s="245" t="str">
        <f>IFNA(VLOOKUP(B594,IMS!$A$2:$E$232,5,0),"")</f>
        <v/>
      </c>
      <c r="E594" s="245"/>
      <c r="F594" s="245"/>
      <c r="G594" s="245"/>
      <c r="H594" s="245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</row>
    <row r="595">
      <c r="A595" s="245"/>
      <c r="B595" s="245"/>
      <c r="C595" s="245"/>
      <c r="D595" s="245" t="str">
        <f>IFNA(VLOOKUP(B595,IMS!$A$2:$E$232,5,0),"")</f>
        <v/>
      </c>
      <c r="E595" s="245"/>
      <c r="F595" s="245"/>
      <c r="G595" s="245"/>
      <c r="H595" s="245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</row>
    <row r="596">
      <c r="A596" s="245"/>
      <c r="B596" s="245"/>
      <c r="C596" s="245"/>
      <c r="D596" s="245" t="str">
        <f>IFNA(VLOOKUP(B596,IMS!$A$2:$E$232,5,0),"")</f>
        <v/>
      </c>
      <c r="E596" s="245"/>
      <c r="F596" s="245"/>
      <c r="G596" s="245"/>
      <c r="H596" s="245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</row>
    <row r="597">
      <c r="A597" s="245"/>
      <c r="B597" s="245"/>
      <c r="C597" s="245"/>
      <c r="D597" s="245" t="str">
        <f>IFNA(VLOOKUP(B597,IMS!$A$2:$E$232,5,0),"")</f>
        <v/>
      </c>
      <c r="E597" s="245"/>
      <c r="F597" s="245"/>
      <c r="G597" s="245"/>
      <c r="H597" s="245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</row>
    <row r="598">
      <c r="A598" s="245"/>
      <c r="B598" s="245"/>
      <c r="C598" s="245"/>
      <c r="D598" s="245" t="str">
        <f>IFNA(VLOOKUP(B598,IMS!$A$2:$E$232,5,0),"")</f>
        <v/>
      </c>
      <c r="E598" s="245"/>
      <c r="F598" s="245"/>
      <c r="G598" s="245"/>
      <c r="H598" s="245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</row>
    <row r="599">
      <c r="A599" s="245"/>
      <c r="B599" s="245"/>
      <c r="C599" s="245"/>
      <c r="D599" s="245" t="str">
        <f>IFNA(VLOOKUP(B599,IMS!$A$2:$E$232,5,0),"")</f>
        <v/>
      </c>
      <c r="E599" s="245"/>
      <c r="F599" s="245"/>
      <c r="G599" s="245"/>
      <c r="H599" s="245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</row>
    <row r="600">
      <c r="A600" s="245"/>
      <c r="B600" s="245"/>
      <c r="C600" s="245"/>
      <c r="D600" s="245" t="str">
        <f>IFNA(VLOOKUP(B600,IMS!$A$2:$E$232,5,0),"")</f>
        <v/>
      </c>
      <c r="E600" s="245"/>
      <c r="F600" s="245"/>
      <c r="G600" s="245"/>
      <c r="H600" s="245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</row>
    <row r="601">
      <c r="A601" s="245"/>
      <c r="B601" s="245"/>
      <c r="C601" s="245"/>
      <c r="D601" s="245" t="str">
        <f>IFNA(VLOOKUP(B601,IMS!$A$2:$E$232,5,0),"")</f>
        <v/>
      </c>
      <c r="E601" s="245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</row>
    <row r="602">
      <c r="A602" s="245"/>
      <c r="B602" s="245"/>
      <c r="C602" s="245"/>
      <c r="D602" s="245" t="str">
        <f>IFNA(VLOOKUP(B602,IMS!$A$2:$E$232,5,0),"")</f>
        <v/>
      </c>
      <c r="E602" s="245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</row>
    <row r="603">
      <c r="A603" s="245"/>
      <c r="B603" s="245"/>
      <c r="C603" s="245"/>
      <c r="D603" s="245" t="str">
        <f>IFNA(VLOOKUP(B603,IMS!$A$2:$E$232,5,0),"")</f>
        <v/>
      </c>
      <c r="E603" s="245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</row>
    <row r="604">
      <c r="A604" s="245"/>
      <c r="B604" s="245"/>
      <c r="C604" s="245"/>
      <c r="D604" s="245" t="str">
        <f>IFNA(VLOOKUP(B604,IMS!$A$2:$E$232,5,0),"")</f>
        <v/>
      </c>
      <c r="E604" s="245"/>
      <c r="F604" s="245"/>
      <c r="G604" s="245"/>
      <c r="H604" s="245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</row>
    <row r="605">
      <c r="A605" s="245"/>
      <c r="B605" s="245"/>
      <c r="C605" s="245"/>
      <c r="D605" s="245" t="str">
        <f>IFNA(VLOOKUP(B605,IMS!$A$2:$E$232,5,0),"")</f>
        <v/>
      </c>
      <c r="E605" s="245"/>
      <c r="F605" s="245"/>
      <c r="G605" s="245"/>
      <c r="H605" s="245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</row>
    <row r="606">
      <c r="A606" s="245"/>
      <c r="B606" s="245"/>
      <c r="C606" s="245"/>
      <c r="D606" s="245" t="str">
        <f>IFNA(VLOOKUP(B606,IMS!$A$2:$E$232,5,0),"")</f>
        <v/>
      </c>
      <c r="E606" s="245"/>
      <c r="F606" s="245"/>
      <c r="G606" s="245"/>
      <c r="H606" s="245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</row>
    <row r="607">
      <c r="A607" s="245"/>
      <c r="B607" s="245"/>
      <c r="C607" s="245"/>
      <c r="D607" s="245" t="str">
        <f>IFNA(VLOOKUP(B607,IMS!$A$2:$E$232,5,0),"")</f>
        <v/>
      </c>
      <c r="E607" s="245"/>
      <c r="F607" s="245"/>
      <c r="G607" s="245"/>
      <c r="H607" s="245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</row>
    <row r="608">
      <c r="A608" s="245"/>
      <c r="B608" s="245"/>
      <c r="C608" s="245"/>
      <c r="D608" s="245" t="str">
        <f>IFNA(VLOOKUP(B608,IMS!$A$2:$E$232,5,0),"")</f>
        <v/>
      </c>
      <c r="E608" s="245"/>
      <c r="F608" s="245"/>
      <c r="G608" s="245"/>
      <c r="H608" s="245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</row>
    <row r="609">
      <c r="A609" s="245"/>
      <c r="B609" s="245"/>
      <c r="C609" s="245"/>
      <c r="D609" s="245" t="str">
        <f>IFNA(VLOOKUP(B609,IMS!$A$2:$E$232,5,0),"")</f>
        <v/>
      </c>
      <c r="E609" s="245"/>
      <c r="F609" s="245"/>
      <c r="G609" s="245"/>
      <c r="H609" s="245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</row>
    <row r="610">
      <c r="A610" s="245"/>
      <c r="B610" s="245"/>
      <c r="C610" s="245"/>
      <c r="D610" s="245" t="str">
        <f>IFNA(VLOOKUP(B610,IMS!$A$2:$E$232,5,0),"")</f>
        <v/>
      </c>
      <c r="E610" s="245"/>
      <c r="F610" s="245"/>
      <c r="G610" s="245"/>
      <c r="H610" s="245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</row>
    <row r="611">
      <c r="A611" s="245"/>
      <c r="B611" s="245"/>
      <c r="C611" s="245"/>
      <c r="D611" s="245" t="str">
        <f>IFNA(VLOOKUP(B611,IMS!$A$2:$E$232,5,0),"")</f>
        <v/>
      </c>
      <c r="E611" s="245"/>
      <c r="F611" s="245"/>
      <c r="G611" s="245"/>
      <c r="H611" s="245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</row>
    <row r="612">
      <c r="A612" s="245"/>
      <c r="B612" s="245"/>
      <c r="C612" s="245"/>
      <c r="D612" s="245" t="str">
        <f>IFNA(VLOOKUP(B612,IMS!$A$2:$E$232,5,0),"")</f>
        <v/>
      </c>
      <c r="E612" s="245"/>
      <c r="F612" s="245"/>
      <c r="G612" s="245"/>
      <c r="H612" s="245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</row>
    <row r="613">
      <c r="A613" s="245"/>
      <c r="B613" s="245"/>
      <c r="C613" s="245"/>
      <c r="D613" s="245" t="str">
        <f>IFNA(VLOOKUP(B613,IMS!$A$2:$E$232,5,0),"")</f>
        <v/>
      </c>
      <c r="E613" s="245"/>
      <c r="F613" s="245"/>
      <c r="G613" s="245"/>
      <c r="H613" s="245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</row>
    <row r="614">
      <c r="A614" s="245"/>
      <c r="B614" s="245"/>
      <c r="C614" s="245"/>
      <c r="D614" s="245" t="str">
        <f>IFNA(VLOOKUP(B614,IMS!$A$2:$E$232,5,0),"")</f>
        <v/>
      </c>
      <c r="E614" s="245"/>
      <c r="F614" s="245"/>
      <c r="G614" s="245"/>
      <c r="H614" s="245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</row>
    <row r="615">
      <c r="A615" s="245"/>
      <c r="B615" s="245"/>
      <c r="C615" s="245"/>
      <c r="D615" s="245" t="str">
        <f>IFNA(VLOOKUP(B615,IMS!$A$2:$E$232,5,0),"")</f>
        <v/>
      </c>
      <c r="E615" s="245"/>
      <c r="F615" s="245"/>
      <c r="G615" s="245"/>
      <c r="H615" s="245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</row>
    <row r="616">
      <c r="A616" s="245"/>
      <c r="B616" s="245"/>
      <c r="C616" s="245"/>
      <c r="D616" s="245" t="str">
        <f>IFNA(VLOOKUP(B616,IMS!$A$2:$E$232,5,0),"")</f>
        <v/>
      </c>
      <c r="E616" s="245"/>
      <c r="F616" s="245"/>
      <c r="G616" s="245"/>
      <c r="H616" s="245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</row>
    <row r="617">
      <c r="A617" s="245"/>
      <c r="B617" s="245"/>
      <c r="C617" s="245"/>
      <c r="D617" s="245" t="str">
        <f>IFNA(VLOOKUP(B617,IMS!$A$2:$E$232,5,0),"")</f>
        <v/>
      </c>
      <c r="E617" s="245"/>
      <c r="F617" s="245"/>
      <c r="G617" s="245"/>
      <c r="H617" s="245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</row>
    <row r="618">
      <c r="A618" s="245"/>
      <c r="B618" s="245"/>
      <c r="C618" s="245"/>
      <c r="D618" s="245" t="str">
        <f>IFNA(VLOOKUP(B618,IMS!$A$2:$E$232,5,0),"")</f>
        <v/>
      </c>
      <c r="E618" s="245"/>
      <c r="F618" s="245"/>
      <c r="G618" s="245"/>
      <c r="H618" s="245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</row>
    <row r="619">
      <c r="A619" s="245"/>
      <c r="B619" s="245"/>
      <c r="C619" s="245"/>
      <c r="D619" s="245" t="str">
        <f>IFNA(VLOOKUP(B619,IMS!$A$2:$E$232,5,0),"")</f>
        <v/>
      </c>
      <c r="E619" s="245"/>
      <c r="F619" s="245"/>
      <c r="G619" s="245"/>
      <c r="H619" s="245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</row>
    <row r="620">
      <c r="A620" s="245"/>
      <c r="B620" s="245"/>
      <c r="C620" s="245"/>
      <c r="D620" s="245" t="str">
        <f>IFNA(VLOOKUP(B620,IMS!$A$2:$E$232,5,0),"")</f>
        <v/>
      </c>
      <c r="E620" s="245"/>
      <c r="F620" s="245"/>
      <c r="G620" s="245"/>
      <c r="H620" s="245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</row>
    <row r="621">
      <c r="A621" s="245"/>
      <c r="B621" s="245"/>
      <c r="C621" s="245"/>
      <c r="D621" s="245" t="str">
        <f>IFNA(VLOOKUP(B621,IMS!$A$2:$E$232,5,0),"")</f>
        <v/>
      </c>
      <c r="E621" s="245"/>
      <c r="F621" s="245"/>
      <c r="G621" s="245"/>
      <c r="H621" s="245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</row>
    <row r="622">
      <c r="A622" s="245"/>
      <c r="B622" s="245"/>
      <c r="C622" s="245"/>
      <c r="D622" s="245" t="str">
        <f>IFNA(VLOOKUP(B622,IMS!$A$2:$E$232,5,0),"")</f>
        <v/>
      </c>
      <c r="E622" s="245"/>
      <c r="F622" s="245"/>
      <c r="G622" s="245"/>
      <c r="H622" s="245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</row>
    <row r="623">
      <c r="A623" s="245"/>
      <c r="B623" s="245"/>
      <c r="C623" s="245"/>
      <c r="D623" s="245" t="str">
        <f>IFNA(VLOOKUP(B623,IMS!$A$2:$E$232,5,0),"")</f>
        <v/>
      </c>
      <c r="E623" s="245"/>
      <c r="F623" s="245"/>
      <c r="G623" s="245"/>
      <c r="H623" s="245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</row>
    <row r="624">
      <c r="A624" s="245"/>
      <c r="B624" s="245"/>
      <c r="C624" s="245"/>
      <c r="D624" s="245" t="str">
        <f>IFNA(VLOOKUP(B624,IMS!$A$2:$E$232,5,0),"")</f>
        <v/>
      </c>
      <c r="E624" s="245"/>
      <c r="F624" s="245"/>
      <c r="G624" s="245"/>
      <c r="H624" s="245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</row>
    <row r="625">
      <c r="A625" s="245"/>
      <c r="B625" s="245"/>
      <c r="C625" s="245"/>
      <c r="D625" s="245" t="str">
        <f>IFNA(VLOOKUP(B625,IMS!$A$2:$E$232,5,0),"")</f>
        <v/>
      </c>
      <c r="E625" s="245"/>
      <c r="F625" s="245"/>
      <c r="G625" s="245"/>
      <c r="H625" s="245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</row>
    <row r="626">
      <c r="A626" s="245"/>
      <c r="B626" s="245"/>
      <c r="C626" s="245"/>
      <c r="D626" s="245" t="str">
        <f>IFNA(VLOOKUP(B626,IMS!$A$2:$E$232,5,0),"")</f>
        <v/>
      </c>
      <c r="E626" s="245"/>
      <c r="F626" s="245"/>
      <c r="G626" s="245"/>
      <c r="H626" s="245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</row>
    <row r="627">
      <c r="A627" s="245"/>
      <c r="B627" s="245"/>
      <c r="C627" s="245"/>
      <c r="D627" s="245" t="str">
        <f>IFNA(VLOOKUP(B627,IMS!$A$2:$E$232,5,0),"")</f>
        <v/>
      </c>
      <c r="E627" s="245"/>
      <c r="F627" s="245"/>
      <c r="G627" s="245"/>
      <c r="H627" s="245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</row>
    <row r="628">
      <c r="A628" s="245"/>
      <c r="B628" s="245"/>
      <c r="C628" s="245"/>
      <c r="D628" s="245" t="str">
        <f>IFNA(VLOOKUP(B628,IMS!$A$2:$E$232,5,0),"")</f>
        <v/>
      </c>
      <c r="E628" s="245"/>
      <c r="F628" s="245"/>
      <c r="G628" s="245"/>
      <c r="H628" s="245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</row>
    <row r="629">
      <c r="A629" s="245"/>
      <c r="B629" s="245"/>
      <c r="C629" s="245"/>
      <c r="D629" s="245" t="str">
        <f>IFNA(VLOOKUP(B629,IMS!$A$2:$E$232,5,0),"")</f>
        <v/>
      </c>
      <c r="E629" s="245"/>
      <c r="F629" s="245"/>
      <c r="G629" s="245"/>
      <c r="H629" s="245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</row>
    <row r="630">
      <c r="A630" s="245"/>
      <c r="B630" s="245"/>
      <c r="C630" s="245"/>
      <c r="D630" s="245" t="str">
        <f>IFNA(VLOOKUP(B630,IMS!$A$2:$E$232,5,0),"")</f>
        <v/>
      </c>
      <c r="E630" s="245"/>
      <c r="F630" s="245"/>
      <c r="G630" s="245"/>
      <c r="H630" s="245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</row>
    <row r="631">
      <c r="A631" s="245"/>
      <c r="B631" s="245"/>
      <c r="C631" s="245"/>
      <c r="D631" s="245" t="str">
        <f>IFNA(VLOOKUP(B631,IMS!$A$2:$E$232,5,0),"")</f>
        <v/>
      </c>
      <c r="E631" s="245"/>
      <c r="F631" s="245"/>
      <c r="G631" s="245"/>
      <c r="H631" s="245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</row>
    <row r="632">
      <c r="A632" s="245"/>
      <c r="B632" s="245"/>
      <c r="C632" s="245"/>
      <c r="D632" s="245" t="str">
        <f>IFNA(VLOOKUP(B632,IMS!$A$2:$E$232,5,0),"")</f>
        <v/>
      </c>
      <c r="E632" s="245"/>
      <c r="F632" s="245"/>
      <c r="G632" s="245"/>
      <c r="H632" s="245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</row>
    <row r="633">
      <c r="A633" s="245"/>
      <c r="B633" s="245"/>
      <c r="C633" s="245"/>
      <c r="D633" s="245" t="str">
        <f>IFNA(VLOOKUP(B633,IMS!$A$2:$E$232,5,0),"")</f>
        <v/>
      </c>
      <c r="E633" s="245"/>
      <c r="F633" s="245"/>
      <c r="G633" s="245"/>
      <c r="H633" s="245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</row>
    <row r="634">
      <c r="A634" s="245"/>
      <c r="B634" s="245"/>
      <c r="C634" s="245"/>
      <c r="D634" s="245" t="str">
        <f>IFNA(VLOOKUP(B634,IMS!$A$2:$E$232,5,0),"")</f>
        <v/>
      </c>
      <c r="E634" s="245"/>
      <c r="F634" s="245"/>
      <c r="G634" s="245"/>
      <c r="H634" s="245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</row>
    <row r="635">
      <c r="A635" s="245"/>
      <c r="B635" s="245"/>
      <c r="C635" s="245"/>
      <c r="D635" s="245" t="str">
        <f>IFNA(VLOOKUP(B635,IMS!$A$2:$E$232,5,0),"")</f>
        <v/>
      </c>
      <c r="E635" s="245"/>
      <c r="F635" s="245"/>
      <c r="G635" s="245"/>
      <c r="H635" s="245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</row>
    <row r="636">
      <c r="A636" s="245"/>
      <c r="B636" s="245"/>
      <c r="C636" s="245"/>
      <c r="D636" s="245" t="str">
        <f>IFNA(VLOOKUP(B636,IMS!$A$2:$E$232,5,0),"")</f>
        <v/>
      </c>
      <c r="E636" s="245"/>
      <c r="F636" s="245"/>
      <c r="G636" s="245"/>
      <c r="H636" s="245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</row>
    <row r="637">
      <c r="A637" s="245"/>
      <c r="B637" s="245"/>
      <c r="C637" s="245"/>
      <c r="D637" s="245" t="str">
        <f>IFNA(VLOOKUP(B637,IMS!$A$2:$E$232,5,0),"")</f>
        <v/>
      </c>
      <c r="E637" s="245"/>
      <c r="F637" s="245"/>
      <c r="G637" s="245"/>
      <c r="H637" s="245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</row>
    <row r="638">
      <c r="A638" s="245"/>
      <c r="B638" s="245"/>
      <c r="C638" s="245"/>
      <c r="D638" s="245" t="str">
        <f>IFNA(VLOOKUP(B638,IMS!$A$2:$E$232,5,0),"")</f>
        <v/>
      </c>
      <c r="E638" s="245"/>
      <c r="F638" s="245"/>
      <c r="G638" s="245"/>
      <c r="H638" s="245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</row>
    <row r="639">
      <c r="A639" s="245"/>
      <c r="B639" s="245"/>
      <c r="C639" s="245"/>
      <c r="D639" s="245" t="str">
        <f>IFNA(VLOOKUP(B639,IMS!$A$2:$E$232,5,0),"")</f>
        <v/>
      </c>
      <c r="E639" s="245"/>
      <c r="F639" s="245"/>
      <c r="G639" s="245"/>
      <c r="H639" s="245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</row>
    <row r="640">
      <c r="A640" s="245"/>
      <c r="B640" s="245"/>
      <c r="C640" s="245"/>
      <c r="D640" s="245" t="str">
        <f>IFNA(VLOOKUP(B640,IMS!$A$2:$E$232,5,0),"")</f>
        <v/>
      </c>
      <c r="E640" s="245"/>
      <c r="F640" s="245"/>
      <c r="G640" s="245"/>
      <c r="H640" s="245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</row>
    <row r="641">
      <c r="A641" s="245"/>
      <c r="B641" s="245"/>
      <c r="C641" s="245"/>
      <c r="D641" s="245" t="str">
        <f>IFNA(VLOOKUP(B641,IMS!$A$2:$E$232,5,0),"")</f>
        <v/>
      </c>
      <c r="E641" s="245"/>
      <c r="F641" s="245"/>
      <c r="G641" s="245"/>
      <c r="H641" s="245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</row>
    <row r="642">
      <c r="A642" s="245"/>
      <c r="B642" s="245"/>
      <c r="C642" s="245"/>
      <c r="D642" s="245" t="str">
        <f>IFNA(VLOOKUP(B642,IMS!$A$2:$E$232,5,0),"")</f>
        <v/>
      </c>
      <c r="E642" s="245"/>
      <c r="F642" s="245"/>
      <c r="G642" s="245"/>
      <c r="H642" s="245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</row>
    <row r="643">
      <c r="A643" s="245"/>
      <c r="B643" s="245"/>
      <c r="C643" s="245"/>
      <c r="D643" s="245" t="str">
        <f>IFNA(VLOOKUP(B643,IMS!$A$2:$E$232,5,0),"")</f>
        <v/>
      </c>
      <c r="E643" s="245"/>
      <c r="F643" s="245"/>
      <c r="G643" s="245"/>
      <c r="H643" s="245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</row>
    <row r="644">
      <c r="A644" s="245"/>
      <c r="B644" s="245"/>
      <c r="C644" s="245"/>
      <c r="D644" s="245" t="str">
        <f>IFNA(VLOOKUP(B644,IMS!$A$2:$E$232,5,0),"")</f>
        <v/>
      </c>
      <c r="E644" s="245"/>
      <c r="F644" s="245"/>
      <c r="G644" s="245"/>
      <c r="H644" s="245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</row>
    <row r="645">
      <c r="A645" s="245"/>
      <c r="B645" s="245"/>
      <c r="C645" s="245"/>
      <c r="D645" s="245" t="str">
        <f>IFNA(VLOOKUP(B645,IMS!$A$2:$E$232,5,0),"")</f>
        <v/>
      </c>
      <c r="E645" s="245"/>
      <c r="F645" s="245"/>
      <c r="G645" s="245"/>
      <c r="H645" s="245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</row>
    <row r="646">
      <c r="A646" s="245"/>
      <c r="B646" s="245"/>
      <c r="C646" s="245"/>
      <c r="D646" s="245" t="str">
        <f>IFNA(VLOOKUP(B646,IMS!$A$2:$E$232,5,0),"")</f>
        <v/>
      </c>
      <c r="E646" s="245"/>
      <c r="F646" s="245"/>
      <c r="G646" s="245"/>
      <c r="H646" s="245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</row>
    <row r="647">
      <c r="A647" s="245"/>
      <c r="B647" s="245"/>
      <c r="C647" s="245"/>
      <c r="D647" s="245" t="str">
        <f>IFNA(VLOOKUP(B647,IMS!$A$2:$E$232,5,0),"")</f>
        <v/>
      </c>
      <c r="E647" s="245"/>
      <c r="F647" s="245"/>
      <c r="G647" s="245"/>
      <c r="H647" s="245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</row>
    <row r="648">
      <c r="A648" s="245"/>
      <c r="B648" s="245"/>
      <c r="C648" s="245"/>
      <c r="D648" s="245" t="str">
        <f>IFNA(VLOOKUP(B648,IMS!$A$2:$E$232,5,0),"")</f>
        <v/>
      </c>
      <c r="E648" s="245"/>
      <c r="F648" s="245"/>
      <c r="G648" s="245"/>
      <c r="H648" s="245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</row>
    <row r="649">
      <c r="A649" s="245"/>
      <c r="B649" s="245"/>
      <c r="C649" s="245"/>
      <c r="D649" s="245" t="str">
        <f>IFNA(VLOOKUP(B649,IMS!$A$2:$E$232,5,0),"")</f>
        <v/>
      </c>
      <c r="E649" s="245"/>
      <c r="F649" s="245"/>
      <c r="G649" s="245"/>
      <c r="H649" s="245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</row>
    <row r="650">
      <c r="A650" s="245"/>
      <c r="B650" s="245"/>
      <c r="C650" s="245"/>
      <c r="D650" s="245" t="str">
        <f>IFNA(VLOOKUP(B650,IMS!$A$2:$E$232,5,0),"")</f>
        <v/>
      </c>
      <c r="E650" s="245"/>
      <c r="F650" s="245"/>
      <c r="G650" s="245"/>
      <c r="H650" s="245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</row>
    <row r="651">
      <c r="A651" s="245"/>
      <c r="B651" s="245"/>
      <c r="C651" s="245"/>
      <c r="D651" s="245" t="str">
        <f>IFNA(VLOOKUP(B651,IMS!$A$2:$E$232,5,0),"")</f>
        <v/>
      </c>
      <c r="E651" s="245"/>
      <c r="F651" s="245"/>
      <c r="G651" s="245"/>
      <c r="H651" s="245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</row>
    <row r="652">
      <c r="A652" s="245"/>
      <c r="B652" s="245"/>
      <c r="C652" s="245"/>
      <c r="D652" s="245" t="str">
        <f>IFNA(VLOOKUP(B652,IMS!$A$2:$E$232,5,0),"")</f>
        <v/>
      </c>
      <c r="E652" s="245"/>
      <c r="F652" s="245"/>
      <c r="G652" s="245"/>
      <c r="H652" s="245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</row>
    <row r="653">
      <c r="A653" s="245"/>
      <c r="B653" s="245"/>
      <c r="C653" s="245"/>
      <c r="D653" s="245" t="str">
        <f>IFNA(VLOOKUP(B653,IMS!$A$2:$E$232,5,0),"")</f>
        <v/>
      </c>
      <c r="E653" s="245"/>
      <c r="F653" s="245"/>
      <c r="G653" s="245"/>
      <c r="H653" s="245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</row>
    <row r="654">
      <c r="A654" s="245"/>
      <c r="B654" s="245"/>
      <c r="C654" s="245"/>
      <c r="D654" s="245" t="str">
        <f>IFNA(VLOOKUP(B654,IMS!$A$2:$E$232,5,0),"")</f>
        <v/>
      </c>
      <c r="E654" s="245"/>
      <c r="F654" s="245"/>
      <c r="G654" s="245"/>
      <c r="H654" s="245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</row>
    <row r="655">
      <c r="A655" s="245"/>
      <c r="B655" s="245"/>
      <c r="C655" s="245"/>
      <c r="D655" s="245" t="str">
        <f>IFNA(VLOOKUP(B655,IMS!$A$2:$E$232,5,0),"")</f>
        <v/>
      </c>
      <c r="E655" s="245"/>
      <c r="F655" s="245"/>
      <c r="G655" s="245"/>
      <c r="H655" s="245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</row>
    <row r="656">
      <c r="A656" s="245"/>
      <c r="B656" s="245"/>
      <c r="C656" s="245"/>
      <c r="D656" s="245" t="str">
        <f>IFNA(VLOOKUP(B656,IMS!$A$2:$E$232,5,0),"")</f>
        <v/>
      </c>
      <c r="E656" s="245"/>
      <c r="F656" s="245"/>
      <c r="G656" s="245"/>
      <c r="H656" s="245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</row>
    <row r="657">
      <c r="A657" s="245"/>
      <c r="B657" s="245"/>
      <c r="C657" s="245"/>
      <c r="D657" s="245" t="str">
        <f>IFNA(VLOOKUP(B657,IMS!$A$2:$E$232,5,0),"")</f>
        <v/>
      </c>
      <c r="E657" s="245"/>
      <c r="F657" s="245"/>
      <c r="G657" s="245"/>
      <c r="H657" s="245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</row>
    <row r="658">
      <c r="A658" s="245"/>
      <c r="B658" s="245"/>
      <c r="C658" s="245"/>
      <c r="D658" s="245" t="str">
        <f>IFNA(VLOOKUP(B658,IMS!$A$2:$E$232,5,0),"")</f>
        <v/>
      </c>
      <c r="E658" s="245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</row>
    <row r="659">
      <c r="A659" s="245"/>
      <c r="B659" s="245"/>
      <c r="C659" s="245"/>
      <c r="D659" s="245" t="str">
        <f>IFNA(VLOOKUP(B659,IMS!$A$2:$E$232,5,0),"")</f>
        <v/>
      </c>
      <c r="E659" s="245"/>
      <c r="F659" s="245"/>
      <c r="G659" s="245"/>
      <c r="H659" s="245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</row>
    <row r="660">
      <c r="A660" s="245"/>
      <c r="B660" s="245"/>
      <c r="C660" s="245"/>
      <c r="D660" s="245" t="str">
        <f>IFNA(VLOOKUP(B660,IMS!$A$2:$E$232,5,0),"")</f>
        <v/>
      </c>
      <c r="E660" s="245"/>
      <c r="F660" s="245"/>
      <c r="G660" s="245"/>
      <c r="H660" s="245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</row>
    <row r="661">
      <c r="A661" s="245"/>
      <c r="B661" s="245"/>
      <c r="C661" s="245"/>
      <c r="D661" s="245" t="str">
        <f>IFNA(VLOOKUP(B661,IMS!$A$2:$E$232,5,0),"")</f>
        <v/>
      </c>
      <c r="E661" s="245"/>
      <c r="F661" s="245"/>
      <c r="G661" s="245"/>
      <c r="H661" s="245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</row>
    <row r="662">
      <c r="A662" s="245"/>
      <c r="B662" s="245"/>
      <c r="C662" s="245"/>
      <c r="D662" s="245" t="str">
        <f>IFNA(VLOOKUP(B662,IMS!$A$2:$E$232,5,0),"")</f>
        <v/>
      </c>
      <c r="E662" s="245"/>
      <c r="F662" s="245"/>
      <c r="G662" s="245"/>
      <c r="H662" s="245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</row>
    <row r="663">
      <c r="A663" s="245"/>
      <c r="B663" s="245"/>
      <c r="C663" s="245"/>
      <c r="D663" s="245" t="str">
        <f>IFNA(VLOOKUP(B663,IMS!$A$2:$E$232,5,0),"")</f>
        <v/>
      </c>
      <c r="E663" s="245"/>
      <c r="F663" s="245"/>
      <c r="G663" s="245"/>
      <c r="H663" s="245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</row>
    <row r="664">
      <c r="A664" s="245"/>
      <c r="B664" s="245"/>
      <c r="C664" s="245"/>
      <c r="D664" s="245" t="str">
        <f>IFNA(VLOOKUP(B664,IMS!$A$2:$E$232,5,0),"")</f>
        <v/>
      </c>
      <c r="E664" s="245"/>
      <c r="F664" s="245"/>
      <c r="G664" s="245"/>
      <c r="H664" s="245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</row>
    <row r="665">
      <c r="A665" s="245"/>
      <c r="B665" s="245"/>
      <c r="C665" s="245"/>
      <c r="D665" s="245" t="str">
        <f>IFNA(VLOOKUP(B665,IMS!$A$2:$E$232,5,0),"")</f>
        <v/>
      </c>
      <c r="E665" s="245"/>
      <c r="F665" s="245"/>
      <c r="G665" s="245"/>
      <c r="H665" s="245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</row>
    <row r="666">
      <c r="A666" s="245"/>
      <c r="B666" s="245"/>
      <c r="C666" s="245"/>
      <c r="D666" s="245" t="str">
        <f>IFNA(VLOOKUP(B666,IMS!$A$2:$E$232,5,0),"")</f>
        <v/>
      </c>
      <c r="E666" s="245"/>
      <c r="F666" s="245"/>
      <c r="G666" s="245"/>
      <c r="H666" s="245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</row>
    <row r="667">
      <c r="A667" s="245"/>
      <c r="B667" s="245"/>
      <c r="C667" s="245"/>
      <c r="D667" s="245" t="str">
        <f>IFNA(VLOOKUP(B667,IMS!$A$2:$E$232,5,0),"")</f>
        <v/>
      </c>
      <c r="E667" s="245"/>
      <c r="F667" s="245"/>
      <c r="G667" s="245"/>
      <c r="H667" s="245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</row>
    <row r="668">
      <c r="A668" s="245"/>
      <c r="B668" s="245"/>
      <c r="C668" s="245"/>
      <c r="D668" s="245" t="str">
        <f>IFNA(VLOOKUP(B668,IMS!$A$2:$E$232,5,0),"")</f>
        <v/>
      </c>
      <c r="E668" s="245"/>
      <c r="F668" s="245"/>
      <c r="G668" s="245"/>
      <c r="H668" s="245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</row>
    <row r="669">
      <c r="A669" s="245"/>
      <c r="B669" s="245"/>
      <c r="C669" s="245"/>
      <c r="D669" s="245" t="str">
        <f>IFNA(VLOOKUP(B669,IMS!$A$2:$E$232,5,0),"")</f>
        <v/>
      </c>
      <c r="E669" s="245"/>
      <c r="F669" s="245"/>
      <c r="G669" s="245"/>
      <c r="H669" s="245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</row>
    <row r="670">
      <c r="A670" s="245"/>
      <c r="B670" s="245"/>
      <c r="C670" s="245"/>
      <c r="D670" s="245" t="str">
        <f>IFNA(VLOOKUP(B670,IMS!$A$2:$E$232,5,0),"")</f>
        <v/>
      </c>
      <c r="E670" s="245"/>
      <c r="F670" s="245"/>
      <c r="G670" s="245"/>
      <c r="H670" s="245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</row>
    <row r="671">
      <c r="A671" s="245"/>
      <c r="B671" s="245"/>
      <c r="C671" s="245"/>
      <c r="D671" s="245" t="str">
        <f>IFNA(VLOOKUP(B671,IMS!$A$2:$E$232,5,0),"")</f>
        <v/>
      </c>
      <c r="E671" s="245"/>
      <c r="F671" s="245"/>
      <c r="G671" s="245"/>
      <c r="H671" s="245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</row>
    <row r="672">
      <c r="A672" s="245"/>
      <c r="B672" s="245"/>
      <c r="C672" s="245"/>
      <c r="D672" s="245" t="str">
        <f>IFNA(VLOOKUP(B672,IMS!$A$2:$E$232,5,0),"")</f>
        <v/>
      </c>
      <c r="E672" s="245"/>
      <c r="F672" s="245"/>
      <c r="G672" s="245"/>
      <c r="H672" s="245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</row>
    <row r="673">
      <c r="A673" s="245"/>
      <c r="B673" s="245"/>
      <c r="C673" s="245"/>
      <c r="D673" s="245" t="str">
        <f>IFNA(VLOOKUP(B673,IMS!$A$2:$E$232,5,0),"")</f>
        <v/>
      </c>
      <c r="E673" s="245"/>
      <c r="F673" s="245"/>
      <c r="G673" s="245"/>
      <c r="H673" s="245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</row>
    <row r="674">
      <c r="A674" s="245"/>
      <c r="B674" s="245"/>
      <c r="C674" s="245"/>
      <c r="D674" s="245" t="str">
        <f>IFNA(VLOOKUP(B674,IMS!$A$2:$E$232,5,0),"")</f>
        <v/>
      </c>
      <c r="E674" s="245"/>
      <c r="F674" s="245"/>
      <c r="G674" s="245"/>
      <c r="H674" s="245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</row>
    <row r="675">
      <c r="A675" s="245"/>
      <c r="B675" s="245"/>
      <c r="C675" s="245"/>
      <c r="D675" s="245" t="str">
        <f>IFNA(VLOOKUP(B675,IMS!$A$2:$E$232,5,0),"")</f>
        <v/>
      </c>
      <c r="E675" s="245"/>
      <c r="F675" s="245"/>
      <c r="G675" s="245"/>
      <c r="H675" s="245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</row>
    <row r="676">
      <c r="A676" s="245"/>
      <c r="B676" s="245"/>
      <c r="C676" s="245"/>
      <c r="D676" s="245" t="str">
        <f>IFNA(VLOOKUP(B676,IMS!$A$2:$E$232,5,0),"")</f>
        <v/>
      </c>
      <c r="E676" s="245"/>
      <c r="F676" s="245"/>
      <c r="G676" s="245"/>
      <c r="H676" s="245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</row>
    <row r="677">
      <c r="A677" s="245"/>
      <c r="B677" s="245"/>
      <c r="C677" s="245"/>
      <c r="D677" s="245" t="str">
        <f>IFNA(VLOOKUP(B677,IMS!$A$2:$E$232,5,0),"")</f>
        <v/>
      </c>
      <c r="E677" s="245"/>
      <c r="F677" s="245"/>
      <c r="G677" s="245"/>
      <c r="H677" s="245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</row>
    <row r="678">
      <c r="A678" s="245"/>
      <c r="B678" s="245"/>
      <c r="C678" s="245"/>
      <c r="D678" s="245" t="str">
        <f>IFNA(VLOOKUP(B678,IMS!$A$2:$E$232,5,0),"")</f>
        <v/>
      </c>
      <c r="E678" s="245"/>
      <c r="F678" s="245"/>
      <c r="G678" s="245"/>
      <c r="H678" s="245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</row>
    <row r="679">
      <c r="A679" s="245"/>
      <c r="B679" s="245"/>
      <c r="C679" s="245"/>
      <c r="D679" s="245" t="str">
        <f>IFNA(VLOOKUP(B679,IMS!$A$2:$E$232,5,0),"")</f>
        <v/>
      </c>
      <c r="E679" s="245"/>
      <c r="F679" s="245"/>
      <c r="G679" s="245"/>
      <c r="H679" s="245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</row>
    <row r="680">
      <c r="A680" s="245"/>
      <c r="B680" s="245"/>
      <c r="C680" s="245"/>
      <c r="D680" s="245" t="str">
        <f>IFNA(VLOOKUP(B680,IMS!$A$2:$E$232,5,0),"")</f>
        <v/>
      </c>
      <c r="E680" s="245"/>
      <c r="F680" s="245"/>
      <c r="G680" s="245"/>
      <c r="H680" s="245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</row>
    <row r="681">
      <c r="A681" s="245"/>
      <c r="B681" s="245"/>
      <c r="C681" s="245"/>
      <c r="D681" s="245" t="str">
        <f>IFNA(VLOOKUP(B681,IMS!$A$2:$E$232,5,0),"")</f>
        <v/>
      </c>
      <c r="E681" s="245"/>
      <c r="F681" s="245"/>
      <c r="G681" s="245"/>
      <c r="H681" s="245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</row>
    <row r="682">
      <c r="A682" s="245"/>
      <c r="B682" s="245"/>
      <c r="C682" s="245"/>
      <c r="D682" s="245" t="str">
        <f>IFNA(VLOOKUP(B682,IMS!$A$2:$E$232,5,0),"")</f>
        <v/>
      </c>
      <c r="E682" s="245"/>
      <c r="F682" s="245"/>
      <c r="G682" s="245"/>
      <c r="H682" s="245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</row>
    <row r="683">
      <c r="A683" s="245"/>
      <c r="B683" s="245"/>
      <c r="C683" s="245"/>
      <c r="D683" s="245" t="str">
        <f>IFNA(VLOOKUP(B683,IMS!$A$2:$E$232,5,0),"")</f>
        <v/>
      </c>
      <c r="E683" s="245"/>
      <c r="F683" s="245"/>
      <c r="G683" s="245"/>
      <c r="H683" s="245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</row>
    <row r="684">
      <c r="A684" s="245"/>
      <c r="B684" s="245"/>
      <c r="C684" s="245"/>
      <c r="D684" s="245" t="str">
        <f>IFNA(VLOOKUP(B684,IMS!$A$2:$E$232,5,0),"")</f>
        <v/>
      </c>
      <c r="E684" s="245"/>
      <c r="F684" s="245"/>
      <c r="G684" s="245"/>
      <c r="H684" s="245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</row>
    <row r="685">
      <c r="A685" s="245"/>
      <c r="B685" s="245"/>
      <c r="C685" s="245"/>
      <c r="D685" s="245" t="str">
        <f>IFNA(VLOOKUP(B685,IMS!$A$2:$E$232,5,0),"")</f>
        <v/>
      </c>
      <c r="E685" s="245"/>
      <c r="F685" s="245"/>
      <c r="G685" s="245"/>
      <c r="H685" s="245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</row>
    <row r="686">
      <c r="A686" s="245"/>
      <c r="B686" s="245"/>
      <c r="C686" s="245"/>
      <c r="D686" s="245" t="str">
        <f>IFNA(VLOOKUP(B686,IMS!$A$2:$E$232,5,0),"")</f>
        <v/>
      </c>
      <c r="E686" s="245"/>
      <c r="F686" s="245"/>
      <c r="G686" s="245"/>
      <c r="H686" s="245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</row>
    <row r="687">
      <c r="A687" s="245"/>
      <c r="B687" s="245"/>
      <c r="C687" s="245"/>
      <c r="D687" s="245" t="str">
        <f>IFNA(VLOOKUP(B687,IMS!$A$2:$E$232,5,0),"")</f>
        <v/>
      </c>
      <c r="E687" s="245"/>
      <c r="F687" s="245"/>
      <c r="G687" s="245"/>
      <c r="H687" s="245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</row>
    <row r="688">
      <c r="A688" s="245"/>
      <c r="B688" s="245"/>
      <c r="C688" s="245"/>
      <c r="D688" s="245" t="str">
        <f>IFNA(VLOOKUP(B688,IMS!$A$2:$E$232,5,0),"")</f>
        <v/>
      </c>
      <c r="E688" s="245"/>
      <c r="F688" s="245"/>
      <c r="G688" s="245"/>
      <c r="H688" s="245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</row>
    <row r="689">
      <c r="A689" s="245"/>
      <c r="B689" s="245"/>
      <c r="C689" s="245"/>
      <c r="D689" s="245" t="str">
        <f>IFNA(VLOOKUP(B689,IMS!$A$2:$E$232,5,0),"")</f>
        <v/>
      </c>
      <c r="E689" s="245"/>
      <c r="F689" s="245"/>
      <c r="G689" s="245"/>
      <c r="H689" s="245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</row>
    <row r="690">
      <c r="A690" s="245"/>
      <c r="B690" s="245"/>
      <c r="C690" s="245"/>
      <c r="D690" s="245" t="str">
        <f>IFNA(VLOOKUP(B690,IMS!$A$2:$E$232,5,0),"")</f>
        <v/>
      </c>
      <c r="E690" s="245"/>
      <c r="F690" s="245"/>
      <c r="G690" s="245"/>
      <c r="H690" s="245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</row>
    <row r="691">
      <c r="A691" s="245"/>
      <c r="B691" s="245"/>
      <c r="C691" s="245"/>
      <c r="D691" s="245" t="str">
        <f>IFNA(VLOOKUP(B691,IMS!$A$2:$E$232,5,0),"")</f>
        <v/>
      </c>
      <c r="E691" s="245"/>
      <c r="F691" s="245"/>
      <c r="G691" s="245"/>
      <c r="H691" s="245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</row>
    <row r="692">
      <c r="A692" s="245"/>
      <c r="B692" s="245"/>
      <c r="C692" s="245"/>
      <c r="D692" s="245" t="str">
        <f>IFNA(VLOOKUP(B692,IMS!$A$2:$E$232,5,0),"")</f>
        <v/>
      </c>
      <c r="E692" s="245"/>
      <c r="F692" s="245"/>
      <c r="G692" s="245"/>
      <c r="H692" s="245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</row>
    <row r="693">
      <c r="A693" s="245"/>
      <c r="B693" s="245"/>
      <c r="C693" s="245"/>
      <c r="D693" s="245" t="str">
        <f>IFNA(VLOOKUP(B693,IMS!$A$2:$E$232,5,0),"")</f>
        <v/>
      </c>
      <c r="E693" s="245"/>
      <c r="F693" s="245"/>
      <c r="G693" s="245"/>
      <c r="H693" s="245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</row>
    <row r="694">
      <c r="A694" s="245"/>
      <c r="B694" s="245"/>
      <c r="C694" s="245"/>
      <c r="D694" s="245" t="str">
        <f>IFNA(VLOOKUP(B694,IMS!$A$2:$E$232,5,0),"")</f>
        <v/>
      </c>
      <c r="E694" s="245"/>
      <c r="F694" s="245"/>
      <c r="G694" s="245"/>
      <c r="H694" s="245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</row>
    <row r="695">
      <c r="A695" s="245"/>
      <c r="B695" s="245"/>
      <c r="C695" s="245"/>
      <c r="D695" s="245" t="str">
        <f>IFNA(VLOOKUP(B695,IMS!$A$2:$E$232,5,0),"")</f>
        <v/>
      </c>
      <c r="E695" s="245"/>
      <c r="F695" s="245"/>
      <c r="G695" s="245"/>
      <c r="H695" s="245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</row>
    <row r="696">
      <c r="A696" s="245"/>
      <c r="B696" s="245"/>
      <c r="C696" s="245"/>
      <c r="D696" s="245" t="str">
        <f>IFNA(VLOOKUP(B696,IMS!$A$2:$E$232,5,0),"")</f>
        <v/>
      </c>
      <c r="E696" s="245"/>
      <c r="F696" s="245"/>
      <c r="G696" s="245"/>
      <c r="H696" s="245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</row>
    <row r="697">
      <c r="A697" s="245"/>
      <c r="B697" s="245"/>
      <c r="C697" s="245"/>
      <c r="D697" s="245" t="str">
        <f>IFNA(VLOOKUP(B697,IMS!$A$2:$E$232,5,0),"")</f>
        <v/>
      </c>
      <c r="E697" s="245"/>
      <c r="F697" s="245"/>
      <c r="G697" s="245"/>
      <c r="H697" s="245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</row>
    <row r="698">
      <c r="A698" s="245"/>
      <c r="B698" s="245"/>
      <c r="C698" s="245"/>
      <c r="D698" s="245" t="str">
        <f>IFNA(VLOOKUP(B698,IMS!$A$2:$E$232,5,0),"")</f>
        <v/>
      </c>
      <c r="E698" s="245"/>
      <c r="F698" s="245"/>
      <c r="G698" s="245"/>
      <c r="H698" s="245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</row>
    <row r="699">
      <c r="A699" s="245"/>
      <c r="B699" s="245"/>
      <c r="C699" s="245"/>
      <c r="D699" s="245" t="str">
        <f>IFNA(VLOOKUP(B699,IMS!$A$2:$E$232,5,0),"")</f>
        <v/>
      </c>
      <c r="E699" s="245"/>
      <c r="F699" s="245"/>
      <c r="G699" s="245"/>
      <c r="H699" s="245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</row>
    <row r="700">
      <c r="A700" s="245"/>
      <c r="B700" s="245"/>
      <c r="C700" s="245"/>
      <c r="D700" s="245" t="str">
        <f>IFNA(VLOOKUP(B700,IMS!$A$2:$E$232,5,0),"")</f>
        <v/>
      </c>
      <c r="E700" s="245"/>
      <c r="F700" s="245"/>
      <c r="G700" s="245"/>
      <c r="H700" s="245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</row>
    <row r="701">
      <c r="A701" s="245"/>
      <c r="B701" s="245"/>
      <c r="C701" s="245"/>
      <c r="D701" s="245" t="str">
        <f>IFNA(VLOOKUP(B701,IMS!$A$2:$E$232,5,0),"")</f>
        <v/>
      </c>
      <c r="E701" s="245"/>
      <c r="F701" s="245"/>
      <c r="G701" s="245"/>
      <c r="H701" s="245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</row>
    <row r="702">
      <c r="A702" s="245"/>
      <c r="B702" s="245"/>
      <c r="C702" s="245"/>
      <c r="D702" s="245" t="str">
        <f>IFNA(VLOOKUP(B702,IMS!$A$2:$E$232,5,0),"")</f>
        <v/>
      </c>
      <c r="E702" s="245"/>
      <c r="F702" s="245"/>
      <c r="G702" s="245"/>
      <c r="H702" s="245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</row>
    <row r="703">
      <c r="A703" s="245"/>
      <c r="B703" s="245"/>
      <c r="C703" s="245"/>
      <c r="D703" s="245" t="str">
        <f>IFNA(VLOOKUP(B703,IMS!$A$2:$E$232,5,0),"")</f>
        <v/>
      </c>
      <c r="E703" s="245"/>
      <c r="F703" s="245"/>
      <c r="G703" s="245"/>
      <c r="H703" s="245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</row>
    <row r="704">
      <c r="A704" s="245"/>
      <c r="B704" s="245"/>
      <c r="C704" s="245"/>
      <c r="D704" s="245" t="str">
        <f>IFNA(VLOOKUP(B704,IMS!$A$2:$E$232,5,0),"")</f>
        <v/>
      </c>
      <c r="E704" s="245"/>
      <c r="F704" s="245"/>
      <c r="G704" s="245"/>
      <c r="H704" s="245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</row>
    <row r="705">
      <c r="A705" s="245"/>
      <c r="B705" s="245"/>
      <c r="C705" s="245"/>
      <c r="D705" s="245" t="str">
        <f>IFNA(VLOOKUP(B705,IMS!$A$2:$E$232,5,0),"")</f>
        <v/>
      </c>
      <c r="E705" s="245"/>
      <c r="F705" s="245"/>
      <c r="G705" s="245"/>
      <c r="H705" s="245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</row>
    <row r="706">
      <c r="A706" s="245"/>
      <c r="B706" s="245"/>
      <c r="C706" s="245"/>
      <c r="D706" s="245" t="str">
        <f>IFNA(VLOOKUP(B706,IMS!$A$2:$E$232,5,0),"")</f>
        <v/>
      </c>
      <c r="E706" s="245"/>
      <c r="F706" s="245"/>
      <c r="G706" s="245"/>
      <c r="H706" s="245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</row>
    <row r="707">
      <c r="A707" s="245"/>
      <c r="B707" s="245"/>
      <c r="C707" s="245"/>
      <c r="D707" s="245" t="str">
        <f>IFNA(VLOOKUP(B707,IMS!$A$2:$E$232,5,0),"")</f>
        <v/>
      </c>
      <c r="E707" s="245"/>
      <c r="F707" s="245"/>
      <c r="G707" s="245"/>
      <c r="H707" s="245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</row>
    <row r="708">
      <c r="A708" s="245"/>
      <c r="B708" s="245"/>
      <c r="C708" s="245"/>
      <c r="D708" s="245" t="str">
        <f>IFNA(VLOOKUP(B708,IMS!$A$2:$E$232,5,0),"")</f>
        <v/>
      </c>
      <c r="E708" s="245"/>
      <c r="F708" s="245"/>
      <c r="G708" s="245"/>
      <c r="H708" s="245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</row>
    <row r="709">
      <c r="A709" s="245"/>
      <c r="B709" s="245"/>
      <c r="C709" s="245"/>
      <c r="D709" s="245" t="str">
        <f>IFNA(VLOOKUP(B709,IMS!$A$2:$E$232,5,0),"")</f>
        <v/>
      </c>
      <c r="E709" s="245"/>
      <c r="F709" s="245"/>
      <c r="G709" s="245"/>
      <c r="H709" s="245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</row>
    <row r="710">
      <c r="A710" s="245"/>
      <c r="B710" s="245"/>
      <c r="C710" s="245"/>
      <c r="D710" s="245" t="str">
        <f>IFNA(VLOOKUP(B710,IMS!$A$2:$E$232,5,0),"")</f>
        <v/>
      </c>
      <c r="E710" s="245"/>
      <c r="F710" s="245"/>
      <c r="G710" s="245"/>
      <c r="H710" s="245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</row>
    <row r="711">
      <c r="A711" s="245"/>
      <c r="B711" s="245"/>
      <c r="C711" s="245"/>
      <c r="D711" s="245" t="str">
        <f>IFNA(VLOOKUP(B711,IMS!$A$2:$E$232,5,0),"")</f>
        <v/>
      </c>
      <c r="E711" s="245"/>
      <c r="F711" s="245"/>
      <c r="G711" s="245"/>
      <c r="H711" s="245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</row>
    <row r="712">
      <c r="A712" s="245"/>
      <c r="B712" s="245"/>
      <c r="C712" s="245"/>
      <c r="D712" s="245" t="str">
        <f>IFNA(VLOOKUP(B712,IMS!$A$2:$E$232,5,0),"")</f>
        <v/>
      </c>
      <c r="E712" s="245"/>
      <c r="F712" s="245"/>
      <c r="G712" s="245"/>
      <c r="H712" s="245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</row>
    <row r="713">
      <c r="A713" s="245"/>
      <c r="B713" s="245"/>
      <c r="C713" s="245"/>
      <c r="D713" s="245" t="str">
        <f>IFNA(VLOOKUP(B713,IMS!$A$2:$E$232,5,0),"")</f>
        <v/>
      </c>
      <c r="E713" s="245"/>
      <c r="F713" s="245"/>
      <c r="G713" s="245"/>
      <c r="H713" s="245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</row>
    <row r="714">
      <c r="A714" s="245"/>
      <c r="B714" s="245"/>
      <c r="C714" s="245"/>
      <c r="D714" s="245" t="str">
        <f>IFNA(VLOOKUP(B714,IMS!$A$2:$E$232,5,0),"")</f>
        <v/>
      </c>
      <c r="E714" s="245"/>
      <c r="F714" s="245"/>
      <c r="G714" s="245"/>
      <c r="H714" s="245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</row>
    <row r="715">
      <c r="A715" s="245"/>
      <c r="B715" s="245"/>
      <c r="C715" s="245"/>
      <c r="D715" s="245" t="str">
        <f>IFNA(VLOOKUP(B715,IMS!$A$2:$E$232,5,0),"")</f>
        <v/>
      </c>
      <c r="E715" s="245"/>
      <c r="F715" s="245"/>
      <c r="G715" s="245"/>
      <c r="H715" s="245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</row>
    <row r="716">
      <c r="A716" s="245"/>
      <c r="B716" s="245"/>
      <c r="C716" s="245"/>
      <c r="D716" s="245" t="str">
        <f>IFNA(VLOOKUP(B716,IMS!$A$2:$E$232,5,0),"")</f>
        <v/>
      </c>
      <c r="E716" s="245"/>
      <c r="F716" s="245"/>
      <c r="G716" s="245"/>
      <c r="H716" s="245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</row>
    <row r="717">
      <c r="A717" s="245"/>
      <c r="B717" s="245"/>
      <c r="C717" s="245"/>
      <c r="D717" s="245" t="str">
        <f>IFNA(VLOOKUP(B717,IMS!$A$2:$E$232,5,0),"")</f>
        <v/>
      </c>
      <c r="E717" s="245"/>
      <c r="F717" s="245"/>
      <c r="G717" s="245"/>
      <c r="H717" s="245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</row>
    <row r="718">
      <c r="A718" s="245"/>
      <c r="B718" s="245"/>
      <c r="C718" s="245"/>
      <c r="D718" s="245" t="str">
        <f>IFNA(VLOOKUP(B718,IMS!$A$2:$E$232,5,0),"")</f>
        <v/>
      </c>
      <c r="E718" s="245"/>
      <c r="F718" s="245"/>
      <c r="G718" s="245"/>
      <c r="H718" s="245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</row>
    <row r="719">
      <c r="A719" s="245"/>
      <c r="B719" s="245"/>
      <c r="C719" s="245"/>
      <c r="D719" s="245" t="str">
        <f>IFNA(VLOOKUP(B719,IMS!$A$2:$E$232,5,0),"")</f>
        <v/>
      </c>
      <c r="E719" s="245"/>
      <c r="F719" s="245"/>
      <c r="G719" s="245"/>
      <c r="H719" s="245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</row>
    <row r="720">
      <c r="A720" s="245"/>
      <c r="B720" s="245"/>
      <c r="C720" s="245"/>
      <c r="D720" s="245" t="str">
        <f>IFNA(VLOOKUP(B720,IMS!$A$2:$E$232,5,0),"")</f>
        <v/>
      </c>
      <c r="E720" s="245"/>
      <c r="F720" s="245"/>
      <c r="G720" s="245"/>
      <c r="H720" s="245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</row>
    <row r="721">
      <c r="A721" s="245"/>
      <c r="B721" s="245"/>
      <c r="C721" s="245"/>
      <c r="D721" s="245" t="str">
        <f>IFNA(VLOOKUP(B721,IMS!$A$2:$E$232,5,0),"")</f>
        <v/>
      </c>
      <c r="E721" s="245"/>
      <c r="F721" s="245"/>
      <c r="G721" s="245"/>
      <c r="H721" s="245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</row>
    <row r="722">
      <c r="A722" s="245"/>
      <c r="B722" s="245"/>
      <c r="C722" s="245"/>
      <c r="D722" s="245" t="str">
        <f>IFNA(VLOOKUP(B722,IMS!$A$2:$E$232,5,0),"")</f>
        <v/>
      </c>
      <c r="E722" s="245"/>
      <c r="F722" s="245"/>
      <c r="G722" s="245"/>
      <c r="H722" s="245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</row>
    <row r="723">
      <c r="A723" s="245"/>
      <c r="B723" s="245"/>
      <c r="C723" s="245"/>
      <c r="D723" s="245" t="str">
        <f>IFNA(VLOOKUP(B723,IMS!$A$2:$E$232,5,0),"")</f>
        <v/>
      </c>
      <c r="E723" s="245"/>
      <c r="F723" s="245"/>
      <c r="G723" s="245"/>
      <c r="H723" s="245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</row>
    <row r="724">
      <c r="A724" s="245"/>
      <c r="B724" s="245"/>
      <c r="C724" s="245"/>
      <c r="D724" s="245" t="str">
        <f>IFNA(VLOOKUP(B724,IMS!$A$2:$E$232,5,0),"")</f>
        <v/>
      </c>
      <c r="E724" s="245"/>
      <c r="F724" s="245"/>
      <c r="G724" s="245"/>
      <c r="H724" s="245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</row>
    <row r="725">
      <c r="A725" s="245"/>
      <c r="B725" s="245"/>
      <c r="C725" s="245"/>
      <c r="D725" s="245" t="str">
        <f>IFNA(VLOOKUP(B725,IMS!$A$2:$E$232,5,0),"")</f>
        <v/>
      </c>
      <c r="E725" s="245"/>
      <c r="F725" s="245"/>
      <c r="G725" s="245"/>
      <c r="H725" s="245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</row>
    <row r="726">
      <c r="A726" s="245"/>
      <c r="B726" s="245"/>
      <c r="C726" s="245"/>
      <c r="D726" s="245" t="str">
        <f>IFNA(VLOOKUP(B726,IMS!$A$2:$E$232,5,0),"")</f>
        <v/>
      </c>
      <c r="E726" s="245"/>
      <c r="F726" s="245"/>
      <c r="G726" s="245"/>
      <c r="H726" s="245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</row>
    <row r="727">
      <c r="A727" s="245"/>
      <c r="B727" s="245"/>
      <c r="C727" s="245"/>
      <c r="D727" s="245" t="str">
        <f>IFNA(VLOOKUP(B727,IMS!$A$2:$E$232,5,0),"")</f>
        <v/>
      </c>
      <c r="E727" s="245"/>
      <c r="F727" s="245"/>
      <c r="G727" s="245"/>
      <c r="H727" s="245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</row>
    <row r="728">
      <c r="A728" s="245"/>
      <c r="B728" s="245"/>
      <c r="C728" s="245"/>
      <c r="D728" s="245" t="str">
        <f>IFNA(VLOOKUP(B728,IMS!$A$2:$E$232,5,0),"")</f>
        <v/>
      </c>
      <c r="E728" s="245"/>
      <c r="F728" s="245"/>
      <c r="G728" s="245"/>
      <c r="H728" s="245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</row>
    <row r="729">
      <c r="A729" s="245"/>
      <c r="B729" s="245"/>
      <c r="C729" s="245"/>
      <c r="D729" s="245" t="str">
        <f>IFNA(VLOOKUP(B729,IMS!$A$2:$E$232,5,0),"")</f>
        <v/>
      </c>
      <c r="E729" s="245"/>
      <c r="F729" s="245"/>
      <c r="G729" s="245"/>
      <c r="H729" s="245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</row>
    <row r="730">
      <c r="A730" s="245"/>
      <c r="B730" s="245"/>
      <c r="C730" s="245"/>
      <c r="D730" s="245" t="str">
        <f>IFNA(VLOOKUP(B730,IMS!$A$2:$E$232,5,0),"")</f>
        <v/>
      </c>
      <c r="E730" s="245"/>
      <c r="F730" s="245"/>
      <c r="G730" s="245"/>
      <c r="H730" s="245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</row>
    <row r="731">
      <c r="A731" s="245"/>
      <c r="B731" s="245"/>
      <c r="C731" s="245"/>
      <c r="D731" s="245" t="str">
        <f>IFNA(VLOOKUP(B731,IMS!$A$2:$E$232,5,0),"")</f>
        <v/>
      </c>
      <c r="E731" s="245"/>
      <c r="F731" s="245"/>
      <c r="G731" s="245"/>
      <c r="H731" s="245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</row>
    <row r="732">
      <c r="A732" s="245"/>
      <c r="B732" s="245"/>
      <c r="C732" s="245"/>
      <c r="D732" s="245" t="str">
        <f>IFNA(VLOOKUP(B732,IMS!$A$2:$E$232,5,0),"")</f>
        <v/>
      </c>
      <c r="E732" s="245"/>
      <c r="F732" s="245"/>
      <c r="G732" s="245"/>
      <c r="H732" s="245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</row>
    <row r="733">
      <c r="A733" s="245"/>
      <c r="B733" s="245"/>
      <c r="C733" s="245"/>
      <c r="D733" s="245" t="str">
        <f>IFNA(VLOOKUP(B733,IMS!$A$2:$E$232,5,0),"")</f>
        <v/>
      </c>
      <c r="E733" s="245"/>
      <c r="F733" s="245"/>
      <c r="G733" s="245"/>
      <c r="H733" s="245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</row>
    <row r="734">
      <c r="A734" s="245"/>
      <c r="B734" s="245"/>
      <c r="C734" s="245"/>
      <c r="D734" s="245" t="str">
        <f>IFNA(VLOOKUP(B734,IMS!$A$2:$E$232,5,0),"")</f>
        <v/>
      </c>
      <c r="E734" s="245"/>
      <c r="F734" s="245"/>
      <c r="G734" s="245"/>
      <c r="H734" s="245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</row>
    <row r="735">
      <c r="A735" s="245"/>
      <c r="B735" s="245"/>
      <c r="C735" s="245"/>
      <c r="D735" s="245" t="str">
        <f>IFNA(VLOOKUP(B735,IMS!$A$2:$E$232,5,0),"")</f>
        <v/>
      </c>
      <c r="E735" s="245"/>
      <c r="F735" s="245"/>
      <c r="G735" s="245"/>
      <c r="H735" s="245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</row>
    <row r="736">
      <c r="A736" s="245"/>
      <c r="B736" s="245"/>
      <c r="C736" s="245"/>
      <c r="D736" s="245" t="str">
        <f>IFNA(VLOOKUP(B736,IMS!$A$2:$E$232,5,0),"")</f>
        <v/>
      </c>
      <c r="E736" s="245"/>
      <c r="F736" s="245"/>
      <c r="G736" s="245"/>
      <c r="H736" s="245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</row>
    <row r="737">
      <c r="A737" s="245"/>
      <c r="B737" s="245"/>
      <c r="C737" s="245"/>
      <c r="D737" s="245" t="str">
        <f>IFNA(VLOOKUP(B737,IMS!$A$2:$E$232,5,0),"")</f>
        <v/>
      </c>
      <c r="E737" s="245"/>
      <c r="F737" s="245"/>
      <c r="G737" s="245"/>
      <c r="H737" s="245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</row>
    <row r="738">
      <c r="A738" s="245"/>
      <c r="B738" s="245"/>
      <c r="C738" s="245"/>
      <c r="D738" s="245" t="str">
        <f>IFNA(VLOOKUP(B738,IMS!$A$2:$E$232,5,0),"")</f>
        <v/>
      </c>
      <c r="E738" s="245"/>
      <c r="F738" s="245"/>
      <c r="G738" s="245"/>
      <c r="H738" s="245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</row>
    <row r="739">
      <c r="A739" s="245"/>
      <c r="B739" s="245"/>
      <c r="C739" s="245"/>
      <c r="D739" s="245" t="str">
        <f>IFNA(VLOOKUP(B739,IMS!$A$2:$E$232,5,0),"")</f>
        <v/>
      </c>
      <c r="E739" s="245"/>
      <c r="F739" s="245"/>
      <c r="G739" s="245"/>
      <c r="H739" s="245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</row>
    <row r="740">
      <c r="A740" s="245"/>
      <c r="B740" s="245"/>
      <c r="C740" s="245"/>
      <c r="D740" s="245" t="str">
        <f>IFNA(VLOOKUP(B740,IMS!$A$2:$E$232,5,0),"")</f>
        <v/>
      </c>
      <c r="E740" s="245"/>
      <c r="F740" s="245"/>
      <c r="G740" s="245"/>
      <c r="H740" s="245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</row>
    <row r="741">
      <c r="A741" s="245"/>
      <c r="B741" s="245"/>
      <c r="C741" s="245"/>
      <c r="D741" s="245" t="str">
        <f>IFNA(VLOOKUP(B741,IMS!$A$2:$E$232,5,0),"")</f>
        <v/>
      </c>
      <c r="E741" s="245"/>
      <c r="F741" s="245"/>
      <c r="G741" s="245"/>
      <c r="H741" s="245"/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</row>
    <row r="742">
      <c r="A742" s="245"/>
      <c r="B742" s="245"/>
      <c r="C742" s="245"/>
      <c r="D742" s="245" t="str">
        <f>IFNA(VLOOKUP(B742,IMS!$A$2:$E$232,5,0),"")</f>
        <v/>
      </c>
      <c r="E742" s="245"/>
      <c r="F742" s="245"/>
      <c r="G742" s="245"/>
      <c r="H742" s="245"/>
      <c r="I742" s="245"/>
      <c r="J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</row>
    <row r="743">
      <c r="A743" s="245"/>
      <c r="B743" s="245"/>
      <c r="C743" s="245"/>
      <c r="D743" s="245" t="str">
        <f>IFNA(VLOOKUP(B743,IMS!$A$2:$E$232,5,0),"")</f>
        <v/>
      </c>
      <c r="E743" s="245"/>
      <c r="F743" s="245"/>
      <c r="G743" s="245"/>
      <c r="H743" s="245"/>
      <c r="I743" s="245"/>
      <c r="J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</row>
    <row r="744">
      <c r="A744" s="245"/>
      <c r="B744" s="245"/>
      <c r="C744" s="245"/>
      <c r="D744" s="245" t="str">
        <f>IFNA(VLOOKUP(B744,IMS!$A$2:$E$232,5,0),"")</f>
        <v/>
      </c>
      <c r="E744" s="245"/>
      <c r="F744" s="245"/>
      <c r="G744" s="245"/>
      <c r="H744" s="245"/>
      <c r="I744" s="245"/>
      <c r="J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</row>
    <row r="745">
      <c r="A745" s="245"/>
      <c r="B745" s="245"/>
      <c r="C745" s="245"/>
      <c r="D745" s="245" t="str">
        <f>IFNA(VLOOKUP(B745,IMS!$A$2:$E$232,5,0),"")</f>
        <v/>
      </c>
      <c r="E745" s="245"/>
      <c r="F745" s="245"/>
      <c r="G745" s="245"/>
      <c r="H745" s="245"/>
      <c r="I745" s="245"/>
      <c r="J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</row>
    <row r="746">
      <c r="A746" s="245"/>
      <c r="B746" s="245"/>
      <c r="C746" s="245"/>
      <c r="D746" s="245" t="str">
        <f>IFNA(VLOOKUP(B746,IMS!$A$2:$E$232,5,0),"")</f>
        <v/>
      </c>
      <c r="E746" s="245"/>
      <c r="F746" s="245"/>
      <c r="G746" s="245"/>
      <c r="H746" s="245"/>
      <c r="I746" s="245"/>
      <c r="J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</row>
    <row r="747">
      <c r="A747" s="245"/>
      <c r="B747" s="245"/>
      <c r="C747" s="245"/>
      <c r="D747" s="245" t="str">
        <f>IFNA(VLOOKUP(B747,IMS!$A$2:$E$232,5,0),"")</f>
        <v/>
      </c>
      <c r="E747" s="245"/>
      <c r="F747" s="245"/>
      <c r="G747" s="245"/>
      <c r="H747" s="245"/>
      <c r="I747" s="245"/>
      <c r="J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</row>
    <row r="748">
      <c r="A748" s="245"/>
      <c r="B748" s="245"/>
      <c r="C748" s="245"/>
      <c r="D748" s="245" t="str">
        <f>IFNA(VLOOKUP(B748,IMS!$A$2:$E$232,5,0),"")</f>
        <v/>
      </c>
      <c r="E748" s="245"/>
      <c r="F748" s="245"/>
      <c r="G748" s="245"/>
      <c r="H748" s="245"/>
      <c r="I748" s="245"/>
      <c r="J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</row>
    <row r="749">
      <c r="A749" s="245"/>
      <c r="B749" s="245"/>
      <c r="C749" s="245"/>
      <c r="D749" s="245" t="str">
        <f>IFNA(VLOOKUP(B749,IMS!$A$2:$E$232,5,0),"")</f>
        <v/>
      </c>
      <c r="E749" s="245"/>
      <c r="F749" s="245"/>
      <c r="G749" s="245"/>
      <c r="H749" s="245"/>
      <c r="I749" s="245"/>
      <c r="J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</row>
    <row r="750">
      <c r="A750" s="245"/>
      <c r="B750" s="245"/>
      <c r="C750" s="245"/>
      <c r="D750" s="245" t="str">
        <f>IFNA(VLOOKUP(B750,IMS!$A$2:$E$232,5,0),"")</f>
        <v/>
      </c>
      <c r="E750" s="245"/>
      <c r="F750" s="245"/>
      <c r="G750" s="245"/>
      <c r="H750" s="245"/>
      <c r="I750" s="245"/>
      <c r="J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</row>
    <row r="751">
      <c r="A751" s="245"/>
      <c r="B751" s="245"/>
      <c r="C751" s="245"/>
      <c r="D751" s="245" t="str">
        <f>IFNA(VLOOKUP(B751,IMS!$A$2:$E$232,5,0),"")</f>
        <v/>
      </c>
      <c r="E751" s="245"/>
      <c r="F751" s="245"/>
      <c r="G751" s="245"/>
      <c r="H751" s="245"/>
      <c r="I751" s="245"/>
      <c r="J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</row>
    <row r="752">
      <c r="A752" s="245"/>
      <c r="B752" s="245"/>
      <c r="C752" s="245"/>
      <c r="D752" s="245" t="str">
        <f>IFNA(VLOOKUP(B752,IMS!$A$2:$E$232,5,0),"")</f>
        <v/>
      </c>
      <c r="E752" s="245"/>
      <c r="F752" s="245"/>
      <c r="G752" s="245"/>
      <c r="H752" s="245"/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</row>
    <row r="753">
      <c r="A753" s="245"/>
      <c r="B753" s="245"/>
      <c r="C753" s="245"/>
      <c r="D753" s="245" t="str">
        <f>IFNA(VLOOKUP(B753,IMS!$A$2:$E$232,5,0),"")</f>
        <v/>
      </c>
      <c r="E753" s="245"/>
      <c r="F753" s="245"/>
      <c r="G753" s="245"/>
      <c r="H753" s="245"/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</row>
    <row r="754">
      <c r="A754" s="245"/>
      <c r="B754" s="245"/>
      <c r="C754" s="245"/>
      <c r="D754" s="245" t="str">
        <f>IFNA(VLOOKUP(B754,IMS!$A$2:$E$232,5,0),"")</f>
        <v/>
      </c>
      <c r="E754" s="245"/>
      <c r="F754" s="245"/>
      <c r="G754" s="245"/>
      <c r="H754" s="245"/>
      <c r="I754" s="245"/>
      <c r="J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</row>
    <row r="755">
      <c r="A755" s="245"/>
      <c r="B755" s="245"/>
      <c r="C755" s="245"/>
      <c r="D755" s="245" t="str">
        <f>IFNA(VLOOKUP(B755,IMS!$A$2:$E$232,5,0),"")</f>
        <v/>
      </c>
      <c r="E755" s="245"/>
      <c r="F755" s="245"/>
      <c r="G755" s="245"/>
      <c r="H755" s="245"/>
      <c r="I755" s="245"/>
      <c r="J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</row>
    <row r="756">
      <c r="A756" s="245"/>
      <c r="B756" s="245"/>
      <c r="C756" s="245"/>
      <c r="D756" s="245" t="str">
        <f>IFNA(VLOOKUP(B756,IMS!$A$2:$E$232,5,0),"")</f>
        <v/>
      </c>
      <c r="E756" s="245"/>
      <c r="F756" s="245"/>
      <c r="G756" s="245"/>
      <c r="H756" s="245"/>
      <c r="I756" s="245"/>
      <c r="J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</row>
    <row r="757">
      <c r="A757" s="245"/>
      <c r="B757" s="245"/>
      <c r="C757" s="245"/>
      <c r="D757" s="245" t="str">
        <f>IFNA(VLOOKUP(B757,IMS!$A$2:$E$232,5,0),"")</f>
        <v/>
      </c>
      <c r="E757" s="245"/>
      <c r="F757" s="245"/>
      <c r="G757" s="245"/>
      <c r="H757" s="245"/>
      <c r="I757" s="245"/>
      <c r="J757" s="245"/>
      <c r="K757" s="245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</row>
    <row r="758">
      <c r="A758" s="245"/>
      <c r="B758" s="245"/>
      <c r="C758" s="245"/>
      <c r="D758" s="245" t="str">
        <f>IFNA(VLOOKUP(B758,IMS!$A$2:$E$232,5,0),"")</f>
        <v/>
      </c>
      <c r="E758" s="245"/>
      <c r="F758" s="245"/>
      <c r="G758" s="245"/>
      <c r="H758" s="245"/>
      <c r="I758" s="245"/>
      <c r="J758" s="245"/>
      <c r="K758" s="245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</row>
    <row r="759">
      <c r="A759" s="245"/>
      <c r="B759" s="245"/>
      <c r="C759" s="245"/>
      <c r="D759" s="245" t="str">
        <f>IFNA(VLOOKUP(B759,IMS!$A$2:$E$232,5,0),"")</f>
        <v/>
      </c>
      <c r="E759" s="245"/>
      <c r="F759" s="245"/>
      <c r="G759" s="245"/>
      <c r="H759" s="245"/>
      <c r="I759" s="245"/>
      <c r="J759" s="245"/>
      <c r="K759" s="245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</row>
    <row r="760">
      <c r="A760" s="245"/>
      <c r="B760" s="245"/>
      <c r="C760" s="245"/>
      <c r="D760" s="245" t="str">
        <f>IFNA(VLOOKUP(B760,IMS!$A$2:$E$232,5,0),"")</f>
        <v/>
      </c>
      <c r="E760" s="245"/>
      <c r="F760" s="245"/>
      <c r="G760" s="245"/>
      <c r="H760" s="245"/>
      <c r="I760" s="245"/>
      <c r="J760" s="245"/>
      <c r="K760" s="245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</row>
    <row r="761">
      <c r="A761" s="245"/>
      <c r="B761" s="245"/>
      <c r="C761" s="245"/>
      <c r="D761" s="245" t="str">
        <f>IFNA(VLOOKUP(B761,IMS!$A$2:$E$232,5,0),"")</f>
        <v/>
      </c>
      <c r="E761" s="245"/>
      <c r="F761" s="245"/>
      <c r="G761" s="245"/>
      <c r="H761" s="245"/>
      <c r="I761" s="245"/>
      <c r="J761" s="245"/>
      <c r="K761" s="245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</row>
    <row r="762">
      <c r="A762" s="245"/>
      <c r="B762" s="245"/>
      <c r="C762" s="245"/>
      <c r="D762" s="245" t="str">
        <f>IFNA(VLOOKUP(B762,IMS!$A$2:$E$232,5,0),"")</f>
        <v/>
      </c>
      <c r="E762" s="245"/>
      <c r="F762" s="245"/>
      <c r="G762" s="245"/>
      <c r="H762" s="245"/>
      <c r="I762" s="245"/>
      <c r="J762" s="245"/>
      <c r="K762" s="245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</row>
    <row r="763">
      <c r="A763" s="245"/>
      <c r="B763" s="245"/>
      <c r="C763" s="245"/>
      <c r="D763" s="245" t="str">
        <f>IFNA(VLOOKUP(B763,IMS!$A$2:$E$232,5,0),"")</f>
        <v/>
      </c>
      <c r="E763" s="245"/>
      <c r="F763" s="245"/>
      <c r="G763" s="245"/>
      <c r="H763" s="245"/>
      <c r="I763" s="245"/>
      <c r="J763" s="245"/>
      <c r="K763" s="245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</row>
    <row r="764">
      <c r="A764" s="245"/>
      <c r="B764" s="245"/>
      <c r="C764" s="245"/>
      <c r="D764" s="245" t="str">
        <f>IFNA(VLOOKUP(B764,IMS!$A$2:$E$232,5,0),"")</f>
        <v/>
      </c>
      <c r="E764" s="245"/>
      <c r="F764" s="245"/>
      <c r="G764" s="245"/>
      <c r="H764" s="245"/>
      <c r="I764" s="245"/>
      <c r="J764" s="245"/>
      <c r="K764" s="245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</row>
    <row r="765">
      <c r="A765" s="245"/>
      <c r="B765" s="245"/>
      <c r="C765" s="245"/>
      <c r="D765" s="245" t="str">
        <f>IFNA(VLOOKUP(B765,IMS!$A$2:$E$232,5,0),"")</f>
        <v/>
      </c>
      <c r="E765" s="245"/>
      <c r="F765" s="245"/>
      <c r="G765" s="245"/>
      <c r="H765" s="245"/>
      <c r="I765" s="245"/>
      <c r="J765" s="245"/>
      <c r="K765" s="245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</row>
    <row r="766">
      <c r="A766" s="245"/>
      <c r="B766" s="245"/>
      <c r="C766" s="245"/>
      <c r="D766" s="245" t="str">
        <f>IFNA(VLOOKUP(B766,IMS!$A$2:$E$232,5,0),"")</f>
        <v/>
      </c>
      <c r="E766" s="245"/>
      <c r="F766" s="245"/>
      <c r="G766" s="245"/>
      <c r="H766" s="245"/>
      <c r="I766" s="245"/>
      <c r="J766" s="245"/>
      <c r="K766" s="245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</row>
    <row r="767">
      <c r="A767" s="245"/>
      <c r="B767" s="245"/>
      <c r="C767" s="245"/>
      <c r="D767" s="245" t="str">
        <f>IFNA(VLOOKUP(B767,IMS!$A$2:$E$232,5,0),"")</f>
        <v/>
      </c>
      <c r="E767" s="245"/>
      <c r="F767" s="245"/>
      <c r="G767" s="245"/>
      <c r="H767" s="245"/>
      <c r="I767" s="245"/>
      <c r="J767" s="245"/>
      <c r="K767" s="245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</row>
    <row r="768">
      <c r="A768" s="245"/>
      <c r="B768" s="245"/>
      <c r="C768" s="245"/>
      <c r="D768" s="245" t="str">
        <f>IFNA(VLOOKUP(B768,IMS!$A$2:$E$232,5,0),"")</f>
        <v/>
      </c>
      <c r="E768" s="245"/>
      <c r="F768" s="245"/>
      <c r="G768" s="245"/>
      <c r="H768" s="245"/>
      <c r="I768" s="245"/>
      <c r="J768" s="245"/>
      <c r="K768" s="245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</row>
    <row r="769">
      <c r="A769" s="245"/>
      <c r="B769" s="245"/>
      <c r="C769" s="245"/>
      <c r="D769" s="245" t="str">
        <f>IFNA(VLOOKUP(B769,IMS!$A$2:$E$232,5,0),"")</f>
        <v/>
      </c>
      <c r="E769" s="245"/>
      <c r="F769" s="245"/>
      <c r="G769" s="245"/>
      <c r="H769" s="245"/>
      <c r="I769" s="245"/>
      <c r="J769" s="245"/>
      <c r="K769" s="245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</row>
    <row r="770">
      <c r="A770" s="245"/>
      <c r="B770" s="245"/>
      <c r="C770" s="245"/>
      <c r="D770" s="245" t="str">
        <f>IFNA(VLOOKUP(B770,IMS!$A$2:$E$232,5,0),"")</f>
        <v/>
      </c>
      <c r="E770" s="245"/>
      <c r="F770" s="245"/>
      <c r="G770" s="245"/>
      <c r="H770" s="245"/>
      <c r="I770" s="245"/>
      <c r="J770" s="245"/>
      <c r="K770" s="245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</row>
    <row r="771">
      <c r="A771" s="245"/>
      <c r="B771" s="245"/>
      <c r="C771" s="245"/>
      <c r="D771" s="245" t="str">
        <f>IFNA(VLOOKUP(B771,IMS!$A$2:$E$232,5,0),"")</f>
        <v/>
      </c>
      <c r="E771" s="245"/>
      <c r="F771" s="245"/>
      <c r="G771" s="245"/>
      <c r="H771" s="245"/>
      <c r="I771" s="245"/>
      <c r="J771" s="245"/>
      <c r="K771" s="245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</row>
    <row r="772">
      <c r="A772" s="245"/>
      <c r="B772" s="245"/>
      <c r="C772" s="245"/>
      <c r="D772" s="245" t="str">
        <f>IFNA(VLOOKUP(B772,IMS!$A$2:$E$232,5,0),"")</f>
        <v/>
      </c>
      <c r="E772" s="245"/>
      <c r="F772" s="245"/>
      <c r="G772" s="245"/>
      <c r="H772" s="245"/>
      <c r="I772" s="245"/>
      <c r="J772" s="245"/>
      <c r="K772" s="245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</row>
    <row r="773">
      <c r="A773" s="245"/>
      <c r="B773" s="245"/>
      <c r="C773" s="245"/>
      <c r="D773" s="245" t="str">
        <f>IFNA(VLOOKUP(B773,IMS!$A$2:$E$232,5,0),"")</f>
        <v/>
      </c>
      <c r="E773" s="245"/>
      <c r="F773" s="245"/>
      <c r="G773" s="245"/>
      <c r="H773" s="245"/>
      <c r="I773" s="245"/>
      <c r="J773" s="245"/>
      <c r="K773" s="245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</row>
    <row r="774">
      <c r="A774" s="245"/>
      <c r="B774" s="245"/>
      <c r="C774" s="245"/>
      <c r="D774" s="245" t="str">
        <f>IFNA(VLOOKUP(B774,IMS!$A$2:$E$232,5,0),"")</f>
        <v/>
      </c>
      <c r="E774" s="245"/>
      <c r="F774" s="245"/>
      <c r="G774" s="245"/>
      <c r="H774" s="245"/>
      <c r="I774" s="245"/>
      <c r="J774" s="245"/>
      <c r="K774" s="245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</row>
    <row r="775">
      <c r="A775" s="245"/>
      <c r="B775" s="245"/>
      <c r="C775" s="245"/>
      <c r="D775" s="245" t="str">
        <f>IFNA(VLOOKUP(B775,IMS!$A$2:$E$232,5,0),"")</f>
        <v/>
      </c>
      <c r="E775" s="245"/>
      <c r="F775" s="245"/>
      <c r="G775" s="245"/>
      <c r="H775" s="245"/>
      <c r="I775" s="245"/>
      <c r="J775" s="245"/>
      <c r="K775" s="245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</row>
    <row r="776">
      <c r="A776" s="245"/>
      <c r="B776" s="245"/>
      <c r="C776" s="245"/>
      <c r="D776" s="245" t="str">
        <f>IFNA(VLOOKUP(B776,IMS!$A$2:$E$232,5,0),"")</f>
        <v/>
      </c>
      <c r="E776" s="245"/>
      <c r="F776" s="245"/>
      <c r="G776" s="245"/>
      <c r="H776" s="245"/>
      <c r="I776" s="245"/>
      <c r="J776" s="245"/>
      <c r="K776" s="245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</row>
    <row r="777">
      <c r="A777" s="245"/>
      <c r="B777" s="245"/>
      <c r="C777" s="245"/>
      <c r="D777" s="245" t="str">
        <f>IFNA(VLOOKUP(B777,IMS!$A$2:$E$232,5,0),"")</f>
        <v/>
      </c>
      <c r="E777" s="245"/>
      <c r="F777" s="245"/>
      <c r="G777" s="245"/>
      <c r="H777" s="245"/>
      <c r="I777" s="245"/>
      <c r="J777" s="245"/>
      <c r="K777" s="245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</row>
    <row r="778">
      <c r="A778" s="245"/>
      <c r="B778" s="245"/>
      <c r="C778" s="245"/>
      <c r="D778" s="245" t="str">
        <f>IFNA(VLOOKUP(B778,IMS!$A$2:$E$232,5,0),"")</f>
        <v/>
      </c>
      <c r="E778" s="245"/>
      <c r="F778" s="245"/>
      <c r="G778" s="245"/>
      <c r="H778" s="245"/>
      <c r="I778" s="245"/>
      <c r="J778" s="245"/>
      <c r="K778" s="245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</row>
    <row r="779">
      <c r="A779" s="245"/>
      <c r="B779" s="245"/>
      <c r="C779" s="245"/>
      <c r="D779" s="245" t="str">
        <f>IFNA(VLOOKUP(B779,IMS!$A$2:$E$232,5,0),"")</f>
        <v/>
      </c>
      <c r="E779" s="245"/>
      <c r="F779" s="245"/>
      <c r="G779" s="245"/>
      <c r="H779" s="245"/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</row>
    <row r="780">
      <c r="A780" s="245"/>
      <c r="B780" s="245"/>
      <c r="C780" s="245"/>
      <c r="D780" s="245" t="str">
        <f>IFNA(VLOOKUP(B780,IMS!$A$2:$E$232,5,0),"")</f>
        <v/>
      </c>
      <c r="E780" s="245"/>
      <c r="F780" s="245"/>
      <c r="G780" s="245"/>
      <c r="H780" s="245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</row>
    <row r="781">
      <c r="A781" s="245"/>
      <c r="B781" s="245"/>
      <c r="C781" s="245"/>
      <c r="D781" s="245" t="str">
        <f>IFNA(VLOOKUP(B781,IMS!$A$2:$E$232,5,0),"")</f>
        <v/>
      </c>
      <c r="E781" s="245"/>
      <c r="F781" s="245"/>
      <c r="G781" s="245"/>
      <c r="H781" s="245"/>
      <c r="I781" s="245"/>
      <c r="J781" s="245"/>
      <c r="K781" s="245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</row>
    <row r="782">
      <c r="A782" s="245"/>
      <c r="B782" s="245"/>
      <c r="C782" s="245"/>
      <c r="D782" s="245" t="str">
        <f>IFNA(VLOOKUP(B782,IMS!$A$2:$E$232,5,0),"")</f>
        <v/>
      </c>
      <c r="E782" s="245"/>
      <c r="F782" s="245"/>
      <c r="G782" s="245"/>
      <c r="H782" s="245"/>
      <c r="I782" s="245"/>
      <c r="J782" s="245"/>
      <c r="K782" s="245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</row>
    <row r="783">
      <c r="A783" s="245"/>
      <c r="B783" s="245"/>
      <c r="C783" s="245"/>
      <c r="D783" s="245" t="str">
        <f>IFNA(VLOOKUP(B783,IMS!$A$2:$E$232,5,0),"")</f>
        <v/>
      </c>
      <c r="E783" s="245"/>
      <c r="F783" s="245"/>
      <c r="G783" s="245"/>
      <c r="H783" s="245"/>
      <c r="I783" s="245"/>
      <c r="J783" s="245"/>
      <c r="K783" s="245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</row>
    <row r="784">
      <c r="A784" s="245"/>
      <c r="B784" s="245"/>
      <c r="C784" s="245"/>
      <c r="D784" s="245" t="str">
        <f>IFNA(VLOOKUP(B784,IMS!$A$2:$E$232,5,0),"")</f>
        <v/>
      </c>
      <c r="E784" s="245"/>
      <c r="F784" s="245"/>
      <c r="G784" s="245"/>
      <c r="H784" s="245"/>
      <c r="I784" s="245"/>
      <c r="J784" s="245"/>
      <c r="K784" s="245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</row>
    <row r="785">
      <c r="A785" s="245"/>
      <c r="B785" s="245"/>
      <c r="C785" s="245"/>
      <c r="D785" s="245" t="str">
        <f>IFNA(VLOOKUP(B785,IMS!$A$2:$E$232,5,0),"")</f>
        <v/>
      </c>
      <c r="E785" s="245"/>
      <c r="F785" s="245"/>
      <c r="G785" s="245"/>
      <c r="H785" s="245"/>
      <c r="I785" s="245"/>
      <c r="J785" s="245"/>
      <c r="K785" s="245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</row>
    <row r="786">
      <c r="A786" s="245"/>
      <c r="B786" s="245"/>
      <c r="C786" s="245"/>
      <c r="D786" s="245" t="str">
        <f>IFNA(VLOOKUP(B786,IMS!$A$2:$E$232,5,0),"")</f>
        <v/>
      </c>
      <c r="E786" s="245"/>
      <c r="F786" s="245"/>
      <c r="G786" s="245"/>
      <c r="H786" s="245"/>
      <c r="I786" s="245"/>
      <c r="J786" s="245"/>
      <c r="K786" s="245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</row>
    <row r="787">
      <c r="A787" s="245"/>
      <c r="B787" s="245"/>
      <c r="C787" s="245"/>
      <c r="D787" s="245" t="str">
        <f>IFNA(VLOOKUP(B787,IMS!$A$2:$E$232,5,0),"")</f>
        <v/>
      </c>
      <c r="E787" s="245"/>
      <c r="F787" s="245"/>
      <c r="G787" s="245"/>
      <c r="H787" s="245"/>
      <c r="I787" s="245"/>
      <c r="J787" s="245"/>
      <c r="K787" s="245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</row>
    <row r="788">
      <c r="A788" s="245"/>
      <c r="B788" s="245"/>
      <c r="C788" s="245"/>
      <c r="D788" s="245" t="str">
        <f>IFNA(VLOOKUP(B788,IMS!$A$2:$E$232,5,0),"")</f>
        <v/>
      </c>
      <c r="E788" s="245"/>
      <c r="F788" s="245"/>
      <c r="G788" s="245"/>
      <c r="H788" s="245"/>
      <c r="I788" s="245"/>
      <c r="J788" s="245"/>
      <c r="K788" s="245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</row>
    <row r="789">
      <c r="A789" s="245"/>
      <c r="B789" s="245"/>
      <c r="C789" s="245"/>
      <c r="D789" s="245" t="str">
        <f>IFNA(VLOOKUP(B789,IMS!$A$2:$E$232,5,0),"")</f>
        <v/>
      </c>
      <c r="E789" s="245"/>
      <c r="F789" s="245"/>
      <c r="G789" s="245"/>
      <c r="H789" s="245"/>
      <c r="I789" s="245"/>
      <c r="J789" s="245"/>
      <c r="K789" s="245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</row>
    <row r="790">
      <c r="A790" s="245"/>
      <c r="B790" s="245"/>
      <c r="C790" s="245"/>
      <c r="D790" s="245" t="str">
        <f>IFNA(VLOOKUP(B790,IMS!$A$2:$E$232,5,0),"")</f>
        <v/>
      </c>
      <c r="E790" s="245"/>
      <c r="F790" s="245"/>
      <c r="G790" s="245"/>
      <c r="H790" s="245"/>
      <c r="I790" s="245"/>
      <c r="J790" s="245"/>
      <c r="K790" s="245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</row>
    <row r="791">
      <c r="A791" s="245"/>
      <c r="B791" s="245"/>
      <c r="C791" s="245"/>
      <c r="D791" s="245" t="str">
        <f>IFNA(VLOOKUP(B791,IMS!$A$2:$E$232,5,0),"")</f>
        <v/>
      </c>
      <c r="E791" s="245"/>
      <c r="F791" s="245"/>
      <c r="G791" s="245"/>
      <c r="H791" s="245"/>
      <c r="I791" s="245"/>
      <c r="J791" s="245"/>
      <c r="K791" s="245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</row>
    <row r="792">
      <c r="A792" s="245"/>
      <c r="B792" s="245"/>
      <c r="C792" s="245"/>
      <c r="D792" s="245" t="str">
        <f>IFNA(VLOOKUP(B792,IMS!$A$2:$E$232,5,0),"")</f>
        <v/>
      </c>
      <c r="E792" s="245"/>
      <c r="F792" s="245"/>
      <c r="G792" s="245"/>
      <c r="H792" s="245"/>
      <c r="I792" s="245"/>
      <c r="J792" s="245"/>
      <c r="K792" s="245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</row>
    <row r="793">
      <c r="A793" s="245"/>
      <c r="B793" s="245"/>
      <c r="C793" s="245"/>
      <c r="D793" s="245" t="str">
        <f>IFNA(VLOOKUP(B793,IMS!$A$2:$E$232,5,0),"")</f>
        <v/>
      </c>
      <c r="E793" s="245"/>
      <c r="F793" s="245"/>
      <c r="G793" s="245"/>
      <c r="H793" s="245"/>
      <c r="I793" s="245"/>
      <c r="J793" s="245"/>
      <c r="K793" s="245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</row>
    <row r="794">
      <c r="A794" s="245"/>
      <c r="B794" s="245"/>
      <c r="C794" s="245"/>
      <c r="D794" s="245" t="str">
        <f>IFNA(VLOOKUP(B794,IMS!$A$2:$E$232,5,0),"")</f>
        <v/>
      </c>
      <c r="E794" s="245"/>
      <c r="F794" s="245"/>
      <c r="G794" s="245"/>
      <c r="H794" s="245"/>
      <c r="I794" s="245"/>
      <c r="J794" s="245"/>
      <c r="K794" s="245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</row>
    <row r="795">
      <c r="A795" s="245"/>
      <c r="B795" s="245"/>
      <c r="C795" s="245"/>
      <c r="D795" s="245" t="str">
        <f>IFNA(VLOOKUP(B795,IMS!$A$2:$E$232,5,0),"")</f>
        <v/>
      </c>
      <c r="E795" s="245"/>
      <c r="F795" s="245"/>
      <c r="G795" s="245"/>
      <c r="H795" s="245"/>
      <c r="I795" s="245"/>
      <c r="J795" s="245"/>
      <c r="K795" s="245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</row>
    <row r="796">
      <c r="A796" s="245"/>
      <c r="B796" s="245"/>
      <c r="C796" s="245"/>
      <c r="D796" s="245" t="str">
        <f>IFNA(VLOOKUP(B796,IMS!$A$2:$E$232,5,0),"")</f>
        <v/>
      </c>
      <c r="E796" s="245"/>
      <c r="F796" s="245"/>
      <c r="G796" s="245"/>
      <c r="H796" s="245"/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</row>
    <row r="797">
      <c r="A797" s="245"/>
      <c r="B797" s="245"/>
      <c r="C797" s="245"/>
      <c r="D797" s="245" t="str">
        <f>IFNA(VLOOKUP(B797,IMS!$A$2:$E$232,5,0),"")</f>
        <v/>
      </c>
      <c r="E797" s="245"/>
      <c r="F797" s="245"/>
      <c r="G797" s="245"/>
      <c r="H797" s="245"/>
      <c r="I797" s="245"/>
      <c r="J797" s="245"/>
      <c r="K797" s="245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</row>
    <row r="798">
      <c r="A798" s="245"/>
      <c r="B798" s="245"/>
      <c r="C798" s="245"/>
      <c r="D798" s="245" t="str">
        <f>IFNA(VLOOKUP(B798,IMS!$A$2:$E$232,5,0),"")</f>
        <v/>
      </c>
      <c r="E798" s="245"/>
      <c r="F798" s="245"/>
      <c r="G798" s="245"/>
      <c r="H798" s="245"/>
      <c r="I798" s="245"/>
      <c r="J798" s="245"/>
      <c r="K798" s="245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</row>
    <row r="799">
      <c r="A799" s="245"/>
      <c r="B799" s="245"/>
      <c r="C799" s="245"/>
      <c r="D799" s="245" t="str">
        <f>IFNA(VLOOKUP(B799,IMS!$A$2:$E$232,5,0),"")</f>
        <v/>
      </c>
      <c r="E799" s="245"/>
      <c r="F799" s="245"/>
      <c r="G799" s="245"/>
      <c r="H799" s="245"/>
      <c r="I799" s="245"/>
      <c r="J799" s="245"/>
      <c r="K799" s="245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</row>
    <row r="800">
      <c r="A800" s="245"/>
      <c r="B800" s="245"/>
      <c r="C800" s="245"/>
      <c r="D800" s="245" t="str">
        <f>IFNA(VLOOKUP(B800,IMS!$A$2:$E$232,5,0),"")</f>
        <v/>
      </c>
      <c r="E800" s="245"/>
      <c r="F800" s="245"/>
      <c r="G800" s="245"/>
      <c r="H800" s="245"/>
      <c r="I800" s="245"/>
      <c r="J800" s="245"/>
      <c r="K800" s="245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</row>
    <row r="801">
      <c r="A801" s="245"/>
      <c r="B801" s="245"/>
      <c r="C801" s="245"/>
      <c r="D801" s="245" t="str">
        <f>IFNA(VLOOKUP(B801,IMS!$A$2:$E$232,5,0),"")</f>
        <v/>
      </c>
      <c r="E801" s="245"/>
      <c r="F801" s="245"/>
      <c r="G801" s="245"/>
      <c r="H801" s="245"/>
      <c r="I801" s="245"/>
      <c r="J801" s="245"/>
      <c r="K801" s="245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</row>
    <row r="802">
      <c r="A802" s="245"/>
      <c r="B802" s="245"/>
      <c r="C802" s="245"/>
      <c r="D802" s="245" t="str">
        <f>IFNA(VLOOKUP(B802,IMS!$A$2:$E$232,5,0),"")</f>
        <v/>
      </c>
      <c r="E802" s="245"/>
      <c r="F802" s="245"/>
      <c r="G802" s="245"/>
      <c r="H802" s="245"/>
      <c r="I802" s="245"/>
      <c r="J802" s="245"/>
      <c r="K802" s="245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</row>
    <row r="803">
      <c r="A803" s="245"/>
      <c r="B803" s="245"/>
      <c r="C803" s="245"/>
      <c r="D803" s="245" t="str">
        <f>IFNA(VLOOKUP(B803,IMS!$A$2:$E$232,5,0),"")</f>
        <v/>
      </c>
      <c r="E803" s="245"/>
      <c r="F803" s="245"/>
      <c r="G803" s="245"/>
      <c r="H803" s="245"/>
      <c r="I803" s="245"/>
      <c r="J803" s="245"/>
      <c r="K803" s="245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</row>
    <row r="804">
      <c r="A804" s="245"/>
      <c r="B804" s="245"/>
      <c r="C804" s="245"/>
      <c r="D804" s="245" t="str">
        <f>IFNA(VLOOKUP(B804,IMS!$A$2:$E$232,5,0),"")</f>
        <v/>
      </c>
      <c r="E804" s="245"/>
      <c r="F804" s="245"/>
      <c r="G804" s="245"/>
      <c r="H804" s="245"/>
      <c r="I804" s="245"/>
      <c r="J804" s="245"/>
      <c r="K804" s="245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</row>
    <row r="805">
      <c r="A805" s="245"/>
      <c r="B805" s="245"/>
      <c r="C805" s="245"/>
      <c r="D805" s="245" t="str">
        <f>IFNA(VLOOKUP(B805,IMS!$A$2:$E$232,5,0),"")</f>
        <v/>
      </c>
      <c r="E805" s="245"/>
      <c r="F805" s="245"/>
      <c r="G805" s="245"/>
      <c r="H805" s="245"/>
      <c r="I805" s="245"/>
      <c r="J805" s="245"/>
      <c r="K805" s="245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</row>
    <row r="806">
      <c r="A806" s="245"/>
      <c r="B806" s="245"/>
      <c r="C806" s="245"/>
      <c r="D806" s="245" t="str">
        <f>IFNA(VLOOKUP(B806,IMS!$A$2:$E$232,5,0),"")</f>
        <v/>
      </c>
      <c r="E806" s="245"/>
      <c r="F806" s="245"/>
      <c r="G806" s="245"/>
      <c r="H806" s="245"/>
      <c r="I806" s="245"/>
      <c r="J806" s="245"/>
      <c r="K806" s="245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</row>
    <row r="807">
      <c r="A807" s="245"/>
      <c r="B807" s="245"/>
      <c r="C807" s="245"/>
      <c r="D807" s="245" t="str">
        <f>IFNA(VLOOKUP(B807,IMS!$A$2:$E$232,5,0),"")</f>
        <v/>
      </c>
      <c r="E807" s="245"/>
      <c r="F807" s="245"/>
      <c r="G807" s="245"/>
      <c r="H807" s="245"/>
      <c r="I807" s="245"/>
      <c r="J807" s="245"/>
      <c r="K807" s="245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</row>
    <row r="808">
      <c r="A808" s="245"/>
      <c r="B808" s="245"/>
      <c r="C808" s="245"/>
      <c r="D808" s="245" t="str">
        <f>IFNA(VLOOKUP(B808,IMS!$A$2:$E$232,5,0),"")</f>
        <v/>
      </c>
      <c r="E808" s="245"/>
      <c r="F808" s="245"/>
      <c r="G808" s="245"/>
      <c r="H808" s="245"/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</row>
    <row r="809">
      <c r="A809" s="245"/>
      <c r="B809" s="245"/>
      <c r="C809" s="245"/>
      <c r="D809" s="245" t="str">
        <f>IFNA(VLOOKUP(B809,IMS!$A$2:$E$232,5,0),"")</f>
        <v/>
      </c>
      <c r="E809" s="245"/>
      <c r="F809" s="245"/>
      <c r="G809" s="245"/>
      <c r="H809" s="245"/>
      <c r="I809" s="245"/>
      <c r="J809" s="245"/>
      <c r="K809" s="245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</row>
    <row r="810">
      <c r="A810" s="245"/>
      <c r="B810" s="245"/>
      <c r="C810" s="245"/>
      <c r="D810" s="245" t="str">
        <f>IFNA(VLOOKUP(B810,IMS!$A$2:$E$232,5,0),"")</f>
        <v/>
      </c>
      <c r="E810" s="245"/>
      <c r="F810" s="245"/>
      <c r="G810" s="245"/>
      <c r="H810" s="245"/>
      <c r="I810" s="245"/>
      <c r="J810" s="245"/>
      <c r="K810" s="245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</row>
    <row r="811">
      <c r="A811" s="245"/>
      <c r="B811" s="245"/>
      <c r="C811" s="245"/>
      <c r="D811" s="245" t="str">
        <f>IFNA(VLOOKUP(B811,IMS!$A$2:$E$232,5,0),"")</f>
        <v/>
      </c>
      <c r="E811" s="245"/>
      <c r="F811" s="245"/>
      <c r="G811" s="245"/>
      <c r="H811" s="245"/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</row>
    <row r="812">
      <c r="A812" s="245"/>
      <c r="B812" s="245"/>
      <c r="C812" s="245"/>
      <c r="D812" s="245" t="str">
        <f>IFNA(VLOOKUP(B812,IMS!$A$2:$E$232,5,0),"")</f>
        <v/>
      </c>
      <c r="E812" s="245"/>
      <c r="F812" s="245"/>
      <c r="G812" s="245"/>
      <c r="H812" s="245"/>
      <c r="I812" s="245"/>
      <c r="J812" s="245"/>
      <c r="K812" s="245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</row>
    <row r="813">
      <c r="A813" s="245"/>
      <c r="B813" s="245"/>
      <c r="C813" s="245"/>
      <c r="D813" s="245" t="str">
        <f>IFNA(VLOOKUP(B813,IMS!$A$2:$E$232,5,0),"")</f>
        <v/>
      </c>
      <c r="E813" s="245"/>
      <c r="F813" s="245"/>
      <c r="G813" s="245"/>
      <c r="H813" s="245"/>
      <c r="I813" s="245"/>
      <c r="J813" s="245"/>
      <c r="K813" s="245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</row>
    <row r="814">
      <c r="A814" s="245"/>
      <c r="B814" s="245"/>
      <c r="C814" s="245"/>
      <c r="D814" s="245" t="str">
        <f>IFNA(VLOOKUP(B814,IMS!$A$2:$E$232,5,0),"")</f>
        <v/>
      </c>
      <c r="E814" s="245"/>
      <c r="F814" s="245"/>
      <c r="G814" s="245"/>
      <c r="H814" s="245"/>
      <c r="I814" s="245"/>
      <c r="J814" s="245"/>
      <c r="K814" s="245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</row>
    <row r="815">
      <c r="A815" s="245"/>
      <c r="B815" s="245"/>
      <c r="C815" s="245"/>
      <c r="D815" s="245" t="str">
        <f>IFNA(VLOOKUP(B815,IMS!$A$2:$E$232,5,0),"")</f>
        <v/>
      </c>
      <c r="E815" s="245"/>
      <c r="F815" s="245"/>
      <c r="G815" s="245"/>
      <c r="H815" s="245"/>
      <c r="I815" s="245"/>
      <c r="J815" s="245"/>
      <c r="K815" s="245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</row>
    <row r="816">
      <c r="A816" s="245"/>
      <c r="B816" s="245"/>
      <c r="C816" s="245"/>
      <c r="D816" s="245" t="str">
        <f>IFNA(VLOOKUP(B816,IMS!$A$2:$E$232,5,0),"")</f>
        <v/>
      </c>
      <c r="E816" s="245"/>
      <c r="F816" s="245"/>
      <c r="G816" s="245"/>
      <c r="H816" s="245"/>
      <c r="I816" s="245"/>
      <c r="J816" s="245"/>
      <c r="K816" s="245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</row>
    <row r="817">
      <c r="A817" s="245"/>
      <c r="B817" s="245"/>
      <c r="C817" s="245"/>
      <c r="D817" s="245" t="str">
        <f>IFNA(VLOOKUP(B817,IMS!$A$2:$E$232,5,0),"")</f>
        <v/>
      </c>
      <c r="E817" s="245"/>
      <c r="F817" s="245"/>
      <c r="G817" s="245"/>
      <c r="H817" s="245"/>
      <c r="I817" s="245"/>
      <c r="J817" s="245"/>
      <c r="K817" s="245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</row>
    <row r="818">
      <c r="A818" s="245"/>
      <c r="B818" s="245"/>
      <c r="C818" s="245"/>
      <c r="D818" s="245" t="str">
        <f>IFNA(VLOOKUP(B818,IMS!$A$2:$E$232,5,0),"")</f>
        <v/>
      </c>
      <c r="E818" s="245"/>
      <c r="F818" s="245"/>
      <c r="G818" s="245"/>
      <c r="H818" s="245"/>
      <c r="I818" s="245"/>
      <c r="J818" s="245"/>
      <c r="K818" s="245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</row>
    <row r="819">
      <c r="A819" s="245"/>
      <c r="B819" s="245"/>
      <c r="C819" s="245"/>
      <c r="D819" s="245" t="str">
        <f>IFNA(VLOOKUP(B819,IMS!$A$2:$E$232,5,0),"")</f>
        <v/>
      </c>
      <c r="E819" s="245"/>
      <c r="F819" s="245"/>
      <c r="G819" s="245"/>
      <c r="H819" s="245"/>
      <c r="I819" s="245"/>
      <c r="J819" s="245"/>
      <c r="K819" s="245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</row>
    <row r="820">
      <c r="A820" s="245"/>
      <c r="B820" s="245"/>
      <c r="C820" s="245"/>
      <c r="D820" s="245" t="str">
        <f>IFNA(VLOOKUP(B820,IMS!$A$2:$E$232,5,0),"")</f>
        <v/>
      </c>
      <c r="E820" s="245"/>
      <c r="F820" s="245"/>
      <c r="G820" s="245"/>
      <c r="H820" s="245"/>
      <c r="I820" s="245"/>
      <c r="J820" s="245"/>
      <c r="K820" s="245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</row>
    <row r="821">
      <c r="A821" s="245"/>
      <c r="B821" s="245"/>
      <c r="C821" s="245"/>
      <c r="D821" s="245" t="str">
        <f>IFNA(VLOOKUP(B821,IMS!$A$2:$E$232,5,0),"")</f>
        <v/>
      </c>
      <c r="E821" s="245"/>
      <c r="F821" s="245"/>
      <c r="G821" s="245"/>
      <c r="H821" s="245"/>
      <c r="I821" s="245"/>
      <c r="J821" s="245"/>
      <c r="K821" s="245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</row>
    <row r="822">
      <c r="A822" s="245"/>
      <c r="B822" s="245"/>
      <c r="C822" s="245"/>
      <c r="D822" s="245" t="str">
        <f>IFNA(VLOOKUP(B822,IMS!$A$2:$E$232,5,0),"")</f>
        <v/>
      </c>
      <c r="E822" s="245"/>
      <c r="F822" s="245"/>
      <c r="G822" s="245"/>
      <c r="H822" s="245"/>
      <c r="I822" s="245"/>
      <c r="J822" s="245"/>
      <c r="K822" s="245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</row>
    <row r="823">
      <c r="A823" s="245"/>
      <c r="B823" s="245"/>
      <c r="C823" s="245"/>
      <c r="D823" s="245" t="str">
        <f>IFNA(VLOOKUP(B823,IMS!$A$2:$E$232,5,0),"")</f>
        <v/>
      </c>
      <c r="E823" s="245"/>
      <c r="F823" s="245"/>
      <c r="G823" s="245"/>
      <c r="H823" s="245"/>
      <c r="I823" s="245"/>
      <c r="J823" s="245"/>
      <c r="K823" s="245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</row>
    <row r="824">
      <c r="A824" s="245"/>
      <c r="B824" s="245"/>
      <c r="C824" s="245"/>
      <c r="D824" s="245" t="str">
        <f>IFNA(VLOOKUP(B824,IMS!$A$2:$E$232,5,0),"")</f>
        <v/>
      </c>
      <c r="E824" s="245"/>
      <c r="F824" s="245"/>
      <c r="G824" s="245"/>
      <c r="H824" s="245"/>
      <c r="I824" s="245"/>
      <c r="J824" s="245"/>
      <c r="K824" s="245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</row>
    <row r="825">
      <c r="A825" s="245"/>
      <c r="B825" s="245"/>
      <c r="C825" s="245"/>
      <c r="D825" s="245" t="str">
        <f>IFNA(VLOOKUP(B825,IMS!$A$2:$E$232,5,0),"")</f>
        <v/>
      </c>
      <c r="E825" s="245"/>
      <c r="F825" s="245"/>
      <c r="G825" s="245"/>
      <c r="H825" s="245"/>
      <c r="I825" s="245"/>
      <c r="J825" s="245"/>
      <c r="K825" s="245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</row>
    <row r="826">
      <c r="A826" s="245"/>
      <c r="B826" s="245"/>
      <c r="C826" s="245"/>
      <c r="D826" s="245" t="str">
        <f>IFNA(VLOOKUP(B826,IMS!$A$2:$E$232,5,0),"")</f>
        <v/>
      </c>
      <c r="E826" s="245"/>
      <c r="F826" s="245"/>
      <c r="G826" s="245"/>
      <c r="H826" s="245"/>
      <c r="I826" s="245"/>
      <c r="J826" s="245"/>
      <c r="K826" s="245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</row>
    <row r="827">
      <c r="A827" s="245"/>
      <c r="B827" s="245"/>
      <c r="C827" s="245"/>
      <c r="D827" s="245" t="str">
        <f>IFNA(VLOOKUP(B827,IMS!$A$2:$E$232,5,0),"")</f>
        <v/>
      </c>
      <c r="E827" s="245"/>
      <c r="F827" s="245"/>
      <c r="G827" s="245"/>
      <c r="H827" s="245"/>
      <c r="I827" s="245"/>
      <c r="J827" s="245"/>
      <c r="K827" s="245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</row>
    <row r="828">
      <c r="A828" s="245"/>
      <c r="B828" s="245"/>
      <c r="C828" s="245"/>
      <c r="D828" s="245" t="str">
        <f>IFNA(VLOOKUP(B828,IMS!$A$2:$E$232,5,0),"")</f>
        <v/>
      </c>
      <c r="E828" s="245"/>
      <c r="F828" s="245"/>
      <c r="G828" s="245"/>
      <c r="H828" s="245"/>
      <c r="I828" s="245"/>
      <c r="J828" s="245"/>
      <c r="K828" s="245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</row>
    <row r="829">
      <c r="A829" s="245"/>
      <c r="B829" s="245"/>
      <c r="C829" s="245"/>
      <c r="D829" s="245" t="str">
        <f>IFNA(VLOOKUP(B829,IMS!$A$2:$E$232,5,0),"")</f>
        <v/>
      </c>
      <c r="E829" s="245"/>
      <c r="F829" s="245"/>
      <c r="G829" s="245"/>
      <c r="H829" s="245"/>
      <c r="I829" s="245"/>
      <c r="J829" s="245"/>
      <c r="K829" s="245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</row>
    <row r="830">
      <c r="A830" s="245"/>
      <c r="B830" s="245"/>
      <c r="C830" s="245"/>
      <c r="D830" s="245" t="str">
        <f>IFNA(VLOOKUP(B830,IMS!$A$2:$E$232,5,0),"")</f>
        <v/>
      </c>
      <c r="E830" s="245"/>
      <c r="F830" s="245"/>
      <c r="G830" s="245"/>
      <c r="H830" s="245"/>
      <c r="I830" s="245"/>
      <c r="J830" s="245"/>
      <c r="K830" s="245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</row>
    <row r="831">
      <c r="A831" s="245"/>
      <c r="B831" s="245"/>
      <c r="C831" s="245"/>
      <c r="D831" s="245" t="str">
        <f>IFNA(VLOOKUP(B831,IMS!$A$2:$E$232,5,0),"")</f>
        <v/>
      </c>
      <c r="E831" s="245"/>
      <c r="F831" s="245"/>
      <c r="G831" s="245"/>
      <c r="H831" s="245"/>
      <c r="I831" s="245"/>
      <c r="J831" s="245"/>
      <c r="K831" s="245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</row>
    <row r="832">
      <c r="A832" s="245"/>
      <c r="B832" s="245"/>
      <c r="C832" s="245"/>
      <c r="D832" s="245" t="str">
        <f>IFNA(VLOOKUP(B832,IMS!$A$2:$E$232,5,0),"")</f>
        <v/>
      </c>
      <c r="E832" s="245"/>
      <c r="F832" s="245"/>
      <c r="G832" s="245"/>
      <c r="H832" s="245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</row>
    <row r="833">
      <c r="A833" s="245"/>
      <c r="B833" s="245"/>
      <c r="C833" s="245"/>
      <c r="D833" s="245" t="str">
        <f>IFNA(VLOOKUP(B833,IMS!$A$2:$E$232,5,0),"")</f>
        <v/>
      </c>
      <c r="E833" s="245"/>
      <c r="F833" s="245"/>
      <c r="G833" s="245"/>
      <c r="H833" s="245"/>
      <c r="I833" s="245"/>
      <c r="J833" s="245"/>
      <c r="K833" s="245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</row>
    <row r="834">
      <c r="A834" s="245"/>
      <c r="B834" s="245"/>
      <c r="C834" s="245"/>
      <c r="D834" s="245" t="str">
        <f>IFNA(VLOOKUP(B834,IMS!$A$2:$E$232,5,0),"")</f>
        <v/>
      </c>
      <c r="E834" s="245"/>
      <c r="F834" s="245"/>
      <c r="G834" s="245"/>
      <c r="H834" s="245"/>
      <c r="I834" s="245"/>
      <c r="J834" s="245"/>
      <c r="K834" s="245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</row>
    <row r="835">
      <c r="A835" s="245"/>
      <c r="B835" s="245"/>
      <c r="C835" s="245"/>
      <c r="D835" s="245" t="str">
        <f>IFNA(VLOOKUP(B835,IMS!$A$2:$E$232,5,0),"")</f>
        <v/>
      </c>
      <c r="E835" s="245"/>
      <c r="F835" s="245"/>
      <c r="G835" s="245"/>
      <c r="H835" s="245"/>
      <c r="I835" s="245"/>
      <c r="J835" s="245"/>
      <c r="K835" s="245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</row>
    <row r="836">
      <c r="A836" s="245"/>
      <c r="B836" s="245"/>
      <c r="C836" s="245"/>
      <c r="D836" s="245" t="str">
        <f>IFNA(VLOOKUP(B836,IMS!$A$2:$E$232,5,0),"")</f>
        <v/>
      </c>
      <c r="E836" s="245"/>
      <c r="F836" s="245"/>
      <c r="G836" s="245"/>
      <c r="H836" s="245"/>
      <c r="I836" s="245"/>
      <c r="J836" s="245"/>
      <c r="K836" s="245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</row>
    <row r="837">
      <c r="A837" s="245"/>
      <c r="B837" s="245"/>
      <c r="C837" s="245"/>
      <c r="D837" s="245" t="str">
        <f>IFNA(VLOOKUP(B837,IMS!$A$2:$E$232,5,0),"")</f>
        <v/>
      </c>
      <c r="E837" s="245"/>
      <c r="F837" s="245"/>
      <c r="G837" s="245"/>
      <c r="H837" s="245"/>
      <c r="I837" s="245"/>
      <c r="J837" s="245"/>
      <c r="K837" s="245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</row>
    <row r="838">
      <c r="A838" s="245"/>
      <c r="B838" s="245"/>
      <c r="C838" s="245"/>
      <c r="D838" s="245" t="str">
        <f>IFNA(VLOOKUP(B838,IMS!$A$2:$E$232,5,0),"")</f>
        <v/>
      </c>
      <c r="E838" s="245"/>
      <c r="F838" s="245"/>
      <c r="G838" s="245"/>
      <c r="H838" s="245"/>
      <c r="I838" s="245"/>
      <c r="J838" s="245"/>
      <c r="K838" s="245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</row>
    <row r="839">
      <c r="A839" s="245"/>
      <c r="B839" s="245"/>
      <c r="C839" s="245"/>
      <c r="D839" s="245" t="str">
        <f>IFNA(VLOOKUP(B839,IMS!$A$2:$E$232,5,0),"")</f>
        <v/>
      </c>
      <c r="E839" s="245"/>
      <c r="F839" s="245"/>
      <c r="G839" s="245"/>
      <c r="H839" s="245"/>
      <c r="I839" s="245"/>
      <c r="J839" s="245"/>
      <c r="K839" s="245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</row>
    <row r="840">
      <c r="A840" s="245"/>
      <c r="B840" s="245"/>
      <c r="C840" s="245"/>
      <c r="D840" s="245" t="str">
        <f>IFNA(VLOOKUP(B840,IMS!$A$2:$E$232,5,0),"")</f>
        <v/>
      </c>
      <c r="E840" s="245"/>
      <c r="F840" s="245"/>
      <c r="G840" s="245"/>
      <c r="H840" s="245"/>
      <c r="I840" s="245"/>
      <c r="J840" s="245"/>
      <c r="K840" s="245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</row>
    <row r="841">
      <c r="A841" s="245"/>
      <c r="B841" s="245"/>
      <c r="C841" s="245"/>
      <c r="D841" s="245" t="str">
        <f>IFNA(VLOOKUP(B841,IMS!$A$2:$E$232,5,0),"")</f>
        <v/>
      </c>
      <c r="E841" s="245"/>
      <c r="F841" s="245"/>
      <c r="G841" s="245"/>
      <c r="H841" s="245"/>
      <c r="I841" s="245"/>
      <c r="J841" s="245"/>
      <c r="K841" s="245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</row>
    <row r="842">
      <c r="A842" s="245"/>
      <c r="B842" s="245"/>
      <c r="C842" s="245"/>
      <c r="D842" s="245" t="str">
        <f>IFNA(VLOOKUP(B842,IMS!$A$2:$E$232,5,0),"")</f>
        <v/>
      </c>
      <c r="E842" s="245"/>
      <c r="F842" s="245"/>
      <c r="G842" s="245"/>
      <c r="H842" s="245"/>
      <c r="I842" s="245"/>
      <c r="J842" s="245"/>
      <c r="K842" s="245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</row>
    <row r="843">
      <c r="A843" s="245"/>
      <c r="B843" s="245"/>
      <c r="C843" s="245"/>
      <c r="D843" s="245" t="str">
        <f>IFNA(VLOOKUP(B843,IMS!$A$2:$E$232,5,0),"")</f>
        <v/>
      </c>
      <c r="E843" s="245"/>
      <c r="F843" s="245"/>
      <c r="G843" s="245"/>
      <c r="H843" s="245"/>
      <c r="I843" s="245"/>
      <c r="J843" s="245"/>
      <c r="K843" s="245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</row>
    <row r="844">
      <c r="A844" s="245"/>
      <c r="B844" s="245"/>
      <c r="C844" s="245"/>
      <c r="D844" s="245" t="str">
        <f>IFNA(VLOOKUP(B844,IMS!$A$2:$E$232,5,0),"")</f>
        <v/>
      </c>
      <c r="E844" s="245"/>
      <c r="F844" s="245"/>
      <c r="G844" s="245"/>
      <c r="H844" s="245"/>
      <c r="I844" s="245"/>
      <c r="J844" s="245"/>
      <c r="K844" s="245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</row>
    <row r="845">
      <c r="A845" s="245"/>
      <c r="B845" s="245"/>
      <c r="C845" s="245"/>
      <c r="D845" s="245" t="str">
        <f>IFNA(VLOOKUP(B845,IMS!$A$2:$E$232,5,0),"")</f>
        <v/>
      </c>
      <c r="E845" s="245"/>
      <c r="F845" s="245"/>
      <c r="G845" s="245"/>
      <c r="H845" s="245"/>
      <c r="I845" s="245"/>
      <c r="J845" s="245"/>
      <c r="K845" s="245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</row>
    <row r="846">
      <c r="A846" s="245"/>
      <c r="B846" s="245"/>
      <c r="C846" s="245"/>
      <c r="D846" s="245" t="str">
        <f>IFNA(VLOOKUP(B846,IMS!$A$2:$E$232,5,0),"")</f>
        <v/>
      </c>
      <c r="E846" s="245"/>
      <c r="F846" s="245"/>
      <c r="G846" s="245"/>
      <c r="H846" s="245"/>
      <c r="I846" s="245"/>
      <c r="J846" s="245"/>
      <c r="K846" s="245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</row>
    <row r="847">
      <c r="A847" s="245"/>
      <c r="B847" s="245"/>
      <c r="C847" s="245"/>
      <c r="D847" s="245" t="str">
        <f>IFNA(VLOOKUP(B847,IMS!$A$2:$E$232,5,0),"")</f>
        <v/>
      </c>
      <c r="E847" s="245"/>
      <c r="F847" s="245"/>
      <c r="G847" s="245"/>
      <c r="H847" s="245"/>
      <c r="I847" s="245"/>
      <c r="J847" s="245"/>
      <c r="K847" s="245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</row>
    <row r="848">
      <c r="A848" s="245"/>
      <c r="B848" s="245"/>
      <c r="C848" s="245"/>
      <c r="D848" s="245" t="str">
        <f>IFNA(VLOOKUP(B848,IMS!$A$2:$E$232,5,0),"")</f>
        <v/>
      </c>
      <c r="E848" s="245"/>
      <c r="F848" s="245"/>
      <c r="G848" s="245"/>
      <c r="H848" s="245"/>
      <c r="I848" s="245"/>
      <c r="J848" s="245"/>
      <c r="K848" s="245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</row>
    <row r="849">
      <c r="A849" s="245"/>
      <c r="B849" s="245"/>
      <c r="C849" s="245"/>
      <c r="D849" s="245" t="str">
        <f>IFNA(VLOOKUP(B849,IMS!$A$2:$E$232,5,0),"")</f>
        <v/>
      </c>
      <c r="E849" s="245"/>
      <c r="F849" s="245"/>
      <c r="G849" s="245"/>
      <c r="H849" s="245"/>
      <c r="I849" s="245"/>
      <c r="J849" s="245"/>
      <c r="K849" s="245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</row>
    <row r="850">
      <c r="A850" s="245"/>
      <c r="B850" s="245"/>
      <c r="C850" s="245"/>
      <c r="D850" s="245" t="str">
        <f>IFNA(VLOOKUP(B850,IMS!$A$2:$E$232,5,0),"")</f>
        <v/>
      </c>
      <c r="E850" s="245"/>
      <c r="F850" s="245"/>
      <c r="G850" s="245"/>
      <c r="H850" s="245"/>
      <c r="I850" s="245"/>
      <c r="J850" s="245"/>
      <c r="K850" s="245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</row>
    <row r="851">
      <c r="A851" s="245"/>
      <c r="B851" s="245"/>
      <c r="C851" s="245"/>
      <c r="D851" s="245" t="str">
        <f>IFNA(VLOOKUP(B851,IMS!$A$2:$E$232,5,0),"")</f>
        <v/>
      </c>
      <c r="E851" s="245"/>
      <c r="F851" s="245"/>
      <c r="G851" s="245"/>
      <c r="H851" s="245"/>
      <c r="I851" s="245"/>
      <c r="J851" s="245"/>
      <c r="K851" s="245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</row>
    <row r="852">
      <c r="A852" s="245"/>
      <c r="B852" s="245"/>
      <c r="C852" s="245"/>
      <c r="D852" s="245" t="str">
        <f>IFNA(VLOOKUP(B852,IMS!$A$2:$E$232,5,0),"")</f>
        <v/>
      </c>
      <c r="E852" s="245"/>
      <c r="F852" s="245"/>
      <c r="G852" s="245"/>
      <c r="H852" s="245"/>
      <c r="I852" s="245"/>
      <c r="J852" s="245"/>
      <c r="K852" s="245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</row>
    <row r="853">
      <c r="A853" s="245"/>
      <c r="B853" s="245"/>
      <c r="C853" s="245"/>
      <c r="D853" s="245" t="str">
        <f>IFNA(VLOOKUP(B853,IMS!$A$2:$E$232,5,0),"")</f>
        <v/>
      </c>
      <c r="E853" s="245"/>
      <c r="F853" s="245"/>
      <c r="G853" s="245"/>
      <c r="H853" s="245"/>
      <c r="I853" s="245"/>
      <c r="J853" s="245"/>
      <c r="K853" s="245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</row>
    <row r="854">
      <c r="A854" s="245"/>
      <c r="B854" s="245"/>
      <c r="C854" s="245"/>
      <c r="D854" s="245" t="str">
        <f>IFNA(VLOOKUP(B854,IMS!$A$2:$E$232,5,0),"")</f>
        <v/>
      </c>
      <c r="E854" s="245"/>
      <c r="F854" s="245"/>
      <c r="G854" s="245"/>
      <c r="H854" s="245"/>
      <c r="I854" s="245"/>
      <c r="J854" s="245"/>
      <c r="K854" s="245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</row>
    <row r="855">
      <c r="A855" s="245"/>
      <c r="B855" s="245"/>
      <c r="C855" s="245"/>
      <c r="D855" s="245" t="str">
        <f>IFNA(VLOOKUP(B855,IMS!$A$2:$E$232,5,0),"")</f>
        <v/>
      </c>
      <c r="E855" s="245"/>
      <c r="F855" s="245"/>
      <c r="G855" s="245"/>
      <c r="H855" s="245"/>
      <c r="I855" s="245"/>
      <c r="J855" s="245"/>
      <c r="K855" s="245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</row>
    <row r="856">
      <c r="A856" s="245"/>
      <c r="B856" s="245"/>
      <c r="C856" s="245"/>
      <c r="D856" s="245" t="str">
        <f>IFNA(VLOOKUP(B856,IMS!$A$2:$E$232,5,0),"")</f>
        <v/>
      </c>
      <c r="E856" s="245"/>
      <c r="F856" s="245"/>
      <c r="G856" s="245"/>
      <c r="H856" s="245"/>
      <c r="I856" s="245"/>
      <c r="J856" s="245"/>
      <c r="K856" s="245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</row>
    <row r="857">
      <c r="A857" s="245"/>
      <c r="B857" s="245"/>
      <c r="C857" s="245"/>
      <c r="D857" s="245" t="str">
        <f>IFNA(VLOOKUP(B857,IMS!$A$2:$E$232,5,0),"")</f>
        <v/>
      </c>
      <c r="E857" s="245"/>
      <c r="F857" s="245"/>
      <c r="G857" s="245"/>
      <c r="H857" s="245"/>
      <c r="I857" s="245"/>
      <c r="J857" s="245"/>
      <c r="K857" s="245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</row>
    <row r="858">
      <c r="A858" s="245"/>
      <c r="B858" s="245"/>
      <c r="C858" s="245"/>
      <c r="D858" s="245" t="str">
        <f>IFNA(VLOOKUP(B858,IMS!$A$2:$E$232,5,0),"")</f>
        <v/>
      </c>
      <c r="E858" s="245"/>
      <c r="F858" s="245"/>
      <c r="G858" s="245"/>
      <c r="H858" s="245"/>
      <c r="I858" s="245"/>
      <c r="J858" s="245"/>
      <c r="K858" s="245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</row>
    <row r="859">
      <c r="A859" s="245"/>
      <c r="B859" s="245"/>
      <c r="C859" s="245"/>
      <c r="D859" s="245" t="str">
        <f>IFNA(VLOOKUP(B859,IMS!$A$2:$E$232,5,0),"")</f>
        <v/>
      </c>
      <c r="E859" s="245"/>
      <c r="F859" s="245"/>
      <c r="G859" s="245"/>
      <c r="H859" s="245"/>
      <c r="I859" s="245"/>
      <c r="J859" s="245"/>
      <c r="K859" s="245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</row>
    <row r="860">
      <c r="A860" s="245"/>
      <c r="B860" s="245"/>
      <c r="C860" s="245"/>
      <c r="D860" s="245" t="str">
        <f>IFNA(VLOOKUP(B860,IMS!$A$2:$E$232,5,0),"")</f>
        <v/>
      </c>
      <c r="E860" s="245"/>
      <c r="F860" s="245"/>
      <c r="G860" s="245"/>
      <c r="H860" s="245"/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</row>
    <row r="861">
      <c r="A861" s="245"/>
      <c r="B861" s="245"/>
      <c r="C861" s="245"/>
      <c r="D861" s="245" t="str">
        <f>IFNA(VLOOKUP(B861,IMS!$A$2:$E$232,5,0),"")</f>
        <v/>
      </c>
      <c r="E861" s="245"/>
      <c r="F861" s="245"/>
      <c r="G861" s="245"/>
      <c r="H861" s="245"/>
      <c r="I861" s="245"/>
      <c r="J861" s="245"/>
      <c r="K861" s="245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</row>
    <row r="862">
      <c r="A862" s="245"/>
      <c r="B862" s="245"/>
      <c r="C862" s="245"/>
      <c r="D862" s="245" t="str">
        <f>IFNA(VLOOKUP(B862,IMS!$A$2:$E$232,5,0),"")</f>
        <v/>
      </c>
      <c r="E862" s="245"/>
      <c r="F862" s="245"/>
      <c r="G862" s="245"/>
      <c r="H862" s="245"/>
      <c r="I862" s="245"/>
      <c r="J862" s="245"/>
      <c r="K862" s="245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</row>
    <row r="863">
      <c r="A863" s="245"/>
      <c r="B863" s="245"/>
      <c r="C863" s="245"/>
      <c r="D863" s="245" t="str">
        <f>IFNA(VLOOKUP(B863,IMS!$A$2:$E$232,5,0),"")</f>
        <v/>
      </c>
      <c r="E863" s="245"/>
      <c r="F863" s="245"/>
      <c r="G863" s="245"/>
      <c r="H863" s="245"/>
      <c r="I863" s="245"/>
      <c r="J863" s="245"/>
      <c r="K863" s="245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</row>
    <row r="864">
      <c r="A864" s="245"/>
      <c r="B864" s="245"/>
      <c r="C864" s="245"/>
      <c r="D864" s="245" t="str">
        <f>IFNA(VLOOKUP(B864,IMS!$A$2:$E$232,5,0),"")</f>
        <v/>
      </c>
      <c r="E864" s="245"/>
      <c r="F864" s="245"/>
      <c r="G864" s="245"/>
      <c r="H864" s="245"/>
      <c r="I864" s="245"/>
      <c r="J864" s="245"/>
      <c r="K864" s="245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</row>
    <row r="865">
      <c r="A865" s="245"/>
      <c r="B865" s="245"/>
      <c r="C865" s="245"/>
      <c r="D865" s="245" t="str">
        <f>IFNA(VLOOKUP(B865,IMS!$A$2:$E$232,5,0),"")</f>
        <v/>
      </c>
      <c r="E865" s="245"/>
      <c r="F865" s="245"/>
      <c r="G865" s="245"/>
      <c r="H865" s="245"/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</row>
    <row r="866">
      <c r="A866" s="245"/>
      <c r="B866" s="245"/>
      <c r="C866" s="245"/>
      <c r="D866" s="245" t="str">
        <f>IFNA(VLOOKUP(B866,IMS!$A$2:$E$232,5,0),"")</f>
        <v/>
      </c>
      <c r="E866" s="245"/>
      <c r="F866" s="245"/>
      <c r="G866" s="245"/>
      <c r="H866" s="245"/>
      <c r="I866" s="245"/>
      <c r="J866" s="245"/>
      <c r="K866" s="245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</row>
    <row r="867">
      <c r="A867" s="245"/>
      <c r="B867" s="245"/>
      <c r="C867" s="245"/>
      <c r="D867" s="245" t="str">
        <f>IFNA(VLOOKUP(B867,IMS!$A$2:$E$232,5,0),"")</f>
        <v/>
      </c>
      <c r="E867" s="245"/>
      <c r="F867" s="245"/>
      <c r="G867" s="245"/>
      <c r="H867" s="245"/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</row>
    <row r="868">
      <c r="A868" s="245"/>
      <c r="B868" s="245"/>
      <c r="C868" s="245"/>
      <c r="D868" s="245" t="str">
        <f>IFNA(VLOOKUP(B868,IMS!$A$2:$E$232,5,0),"")</f>
        <v/>
      </c>
      <c r="E868" s="245"/>
      <c r="F868" s="245"/>
      <c r="G868" s="245"/>
      <c r="H868" s="245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</row>
    <row r="869">
      <c r="A869" s="245"/>
      <c r="B869" s="245"/>
      <c r="C869" s="245"/>
      <c r="D869" s="245" t="str">
        <f>IFNA(VLOOKUP(B869,IMS!$A$2:$E$232,5,0),"")</f>
        <v/>
      </c>
      <c r="E869" s="245"/>
      <c r="F869" s="245"/>
      <c r="G869" s="245"/>
      <c r="H869" s="245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</row>
    <row r="870">
      <c r="A870" s="245"/>
      <c r="B870" s="245"/>
      <c r="C870" s="245"/>
      <c r="D870" s="245" t="str">
        <f>IFNA(VLOOKUP(B870,IMS!$A$2:$E$232,5,0),"")</f>
        <v/>
      </c>
      <c r="E870" s="245"/>
      <c r="F870" s="245"/>
      <c r="G870" s="245"/>
      <c r="H870" s="245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</row>
    <row r="871">
      <c r="A871" s="245"/>
      <c r="B871" s="245"/>
      <c r="C871" s="245"/>
      <c r="D871" s="245" t="str">
        <f>IFNA(VLOOKUP(B871,IMS!$A$2:$E$232,5,0),"")</f>
        <v/>
      </c>
      <c r="E871" s="245"/>
      <c r="F871" s="245"/>
      <c r="G871" s="245"/>
      <c r="H871" s="245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</row>
    <row r="872">
      <c r="A872" s="245"/>
      <c r="B872" s="245"/>
      <c r="C872" s="245"/>
      <c r="D872" s="245" t="str">
        <f>IFNA(VLOOKUP(B872,IMS!$A$2:$E$232,5,0),"")</f>
        <v/>
      </c>
      <c r="E872" s="245"/>
      <c r="F872" s="245"/>
      <c r="G872" s="245"/>
      <c r="H872" s="245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</row>
    <row r="873">
      <c r="A873" s="245"/>
      <c r="B873" s="245"/>
      <c r="C873" s="245"/>
      <c r="D873" s="245" t="str">
        <f>IFNA(VLOOKUP(B873,IMS!$A$2:$E$232,5,0),"")</f>
        <v/>
      </c>
      <c r="E873" s="245"/>
      <c r="F873" s="245"/>
      <c r="G873" s="245"/>
      <c r="H873" s="245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</row>
    <row r="874">
      <c r="A874" s="245"/>
      <c r="B874" s="245"/>
      <c r="C874" s="245"/>
      <c r="D874" s="245" t="str">
        <f>IFNA(VLOOKUP(B874,IMS!$A$2:$E$232,5,0),"")</f>
        <v/>
      </c>
      <c r="E874" s="245"/>
      <c r="F874" s="245"/>
      <c r="G874" s="245"/>
      <c r="H874" s="245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</row>
    <row r="875">
      <c r="A875" s="245"/>
      <c r="B875" s="245"/>
      <c r="C875" s="245"/>
      <c r="D875" s="245" t="str">
        <f>IFNA(VLOOKUP(B875,IMS!$A$2:$E$232,5,0),"")</f>
        <v/>
      </c>
      <c r="E875" s="245"/>
      <c r="F875" s="245"/>
      <c r="G875" s="245"/>
      <c r="H875" s="245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</row>
    <row r="876">
      <c r="A876" s="245"/>
      <c r="B876" s="245"/>
      <c r="C876" s="245"/>
      <c r="D876" s="245" t="str">
        <f>IFNA(VLOOKUP(B876,IMS!$A$2:$E$232,5,0),"")</f>
        <v/>
      </c>
      <c r="E876" s="245"/>
      <c r="F876" s="245"/>
      <c r="G876" s="245"/>
      <c r="H876" s="245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</row>
    <row r="877">
      <c r="A877" s="245"/>
      <c r="B877" s="245"/>
      <c r="C877" s="245"/>
      <c r="D877" s="245" t="str">
        <f>IFNA(VLOOKUP(B877,IMS!$A$2:$E$232,5,0),"")</f>
        <v/>
      </c>
      <c r="E877" s="245"/>
      <c r="F877" s="245"/>
      <c r="G877" s="245"/>
      <c r="H877" s="245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</row>
    <row r="878">
      <c r="A878" s="245"/>
      <c r="B878" s="245"/>
      <c r="C878" s="245"/>
      <c r="D878" s="245" t="str">
        <f>IFNA(VLOOKUP(B878,IMS!$A$2:$E$232,5,0),"")</f>
        <v/>
      </c>
      <c r="E878" s="245"/>
      <c r="F878" s="245"/>
      <c r="G878" s="245"/>
      <c r="H878" s="245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</row>
    <row r="879">
      <c r="A879" s="245"/>
      <c r="B879" s="245"/>
      <c r="C879" s="245"/>
      <c r="D879" s="245" t="str">
        <f>IFNA(VLOOKUP(B879,IMS!$A$2:$E$232,5,0),"")</f>
        <v/>
      </c>
      <c r="E879" s="245"/>
      <c r="F879" s="245"/>
      <c r="G879" s="245"/>
      <c r="H879" s="245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</row>
    <row r="880">
      <c r="A880" s="245"/>
      <c r="B880" s="245"/>
      <c r="C880" s="245"/>
      <c r="D880" s="245" t="str">
        <f>IFNA(VLOOKUP(B880,IMS!$A$2:$E$232,5,0),"")</f>
        <v/>
      </c>
      <c r="E880" s="245"/>
      <c r="F880" s="245"/>
      <c r="G880" s="245"/>
      <c r="H880" s="245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</row>
    <row r="881">
      <c r="A881" s="245"/>
      <c r="B881" s="245"/>
      <c r="C881" s="245"/>
      <c r="D881" s="245" t="str">
        <f>IFNA(VLOOKUP(B881,IMS!$A$2:$E$232,5,0),"")</f>
        <v/>
      </c>
      <c r="E881" s="245"/>
      <c r="F881" s="245"/>
      <c r="G881" s="245"/>
      <c r="H881" s="245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</row>
    <row r="882">
      <c r="A882" s="245"/>
      <c r="B882" s="245"/>
      <c r="C882" s="245"/>
      <c r="D882" s="245" t="str">
        <f>IFNA(VLOOKUP(B882,IMS!$A$2:$E$232,5,0),"")</f>
        <v/>
      </c>
      <c r="E882" s="245"/>
      <c r="F882" s="245"/>
      <c r="G882" s="245"/>
      <c r="H882" s="245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</row>
    <row r="883">
      <c r="A883" s="245"/>
      <c r="B883" s="245"/>
      <c r="C883" s="245"/>
      <c r="D883" s="245" t="str">
        <f>IFNA(VLOOKUP(B883,IMS!$A$2:$E$232,5,0),"")</f>
        <v/>
      </c>
      <c r="E883" s="245"/>
      <c r="F883" s="245"/>
      <c r="G883" s="245"/>
      <c r="H883" s="245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</row>
    <row r="884">
      <c r="A884" s="245"/>
      <c r="B884" s="245"/>
      <c r="C884" s="245"/>
      <c r="D884" s="245" t="str">
        <f>IFNA(VLOOKUP(B884,IMS!$A$2:$E$232,5,0),"")</f>
        <v/>
      </c>
      <c r="E884" s="245"/>
      <c r="F884" s="245"/>
      <c r="G884" s="245"/>
      <c r="H884" s="245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</row>
    <row r="885">
      <c r="A885" s="245"/>
      <c r="B885" s="245"/>
      <c r="C885" s="245"/>
      <c r="D885" s="245" t="str">
        <f>IFNA(VLOOKUP(B885,IMS!$A$2:$E$232,5,0),"")</f>
        <v/>
      </c>
      <c r="E885" s="245"/>
      <c r="F885" s="245"/>
      <c r="G885" s="245"/>
      <c r="H885" s="245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</row>
    <row r="886">
      <c r="A886" s="245"/>
      <c r="B886" s="245"/>
      <c r="C886" s="245"/>
      <c r="D886" s="245" t="str">
        <f>IFNA(VLOOKUP(B886,IMS!$A$2:$E$232,5,0),"")</f>
        <v/>
      </c>
      <c r="E886" s="245"/>
      <c r="F886" s="245"/>
      <c r="G886" s="245"/>
      <c r="H886" s="245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</row>
    <row r="887">
      <c r="A887" s="245"/>
      <c r="B887" s="245"/>
      <c r="C887" s="245"/>
      <c r="D887" s="245" t="str">
        <f>IFNA(VLOOKUP(B887,IMS!$A$2:$E$232,5,0),"")</f>
        <v/>
      </c>
      <c r="E887" s="245"/>
      <c r="F887" s="245"/>
      <c r="G887" s="245"/>
      <c r="H887" s="245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</row>
    <row r="888">
      <c r="A888" s="245"/>
      <c r="B888" s="245"/>
      <c r="C888" s="245"/>
      <c r="D888" s="245" t="str">
        <f>IFNA(VLOOKUP(B888,IMS!$A$2:$E$232,5,0),"")</f>
        <v/>
      </c>
      <c r="E888" s="245"/>
      <c r="F888" s="245"/>
      <c r="G888" s="245"/>
      <c r="H888" s="245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</row>
    <row r="889">
      <c r="A889" s="245"/>
      <c r="B889" s="245"/>
      <c r="C889" s="245"/>
      <c r="D889" s="245" t="str">
        <f>IFNA(VLOOKUP(B889,IMS!$A$2:$E$232,5,0),"")</f>
        <v/>
      </c>
      <c r="E889" s="245"/>
      <c r="F889" s="245"/>
      <c r="G889" s="245"/>
      <c r="H889" s="245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</row>
    <row r="890">
      <c r="A890" s="245"/>
      <c r="B890" s="245"/>
      <c r="C890" s="245"/>
      <c r="D890" s="245" t="str">
        <f>IFNA(VLOOKUP(B890,IMS!$A$2:$E$232,5,0),"")</f>
        <v/>
      </c>
      <c r="E890" s="245"/>
      <c r="F890" s="245"/>
      <c r="G890" s="245"/>
      <c r="H890" s="245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</row>
    <row r="891">
      <c r="A891" s="245"/>
      <c r="B891" s="245"/>
      <c r="C891" s="245"/>
      <c r="D891" s="245" t="str">
        <f>IFNA(VLOOKUP(B891,IMS!$A$2:$E$232,5,0),"")</f>
        <v/>
      </c>
      <c r="E891" s="245"/>
      <c r="F891" s="245"/>
      <c r="G891" s="245"/>
      <c r="H891" s="245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</row>
    <row r="892">
      <c r="A892" s="245"/>
      <c r="B892" s="245"/>
      <c r="C892" s="245"/>
      <c r="D892" s="245" t="str">
        <f>IFNA(VLOOKUP(B892,IMS!$A$2:$E$232,5,0),"")</f>
        <v/>
      </c>
      <c r="E892" s="245"/>
      <c r="F892" s="245"/>
      <c r="G892" s="245"/>
      <c r="H892" s="245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</row>
    <row r="893">
      <c r="A893" s="245"/>
      <c r="B893" s="245"/>
      <c r="C893" s="245"/>
      <c r="D893" s="245" t="str">
        <f>IFNA(VLOOKUP(B893,IMS!$A$2:$E$232,5,0),"")</f>
        <v/>
      </c>
      <c r="E893" s="245"/>
      <c r="F893" s="245"/>
      <c r="G893" s="245"/>
      <c r="H893" s="245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</row>
    <row r="894">
      <c r="A894" s="245"/>
      <c r="B894" s="245"/>
      <c r="C894" s="245"/>
      <c r="D894" s="245" t="str">
        <f>IFNA(VLOOKUP(B894,IMS!$A$2:$E$232,5,0),"")</f>
        <v/>
      </c>
      <c r="E894" s="245"/>
      <c r="F894" s="245"/>
      <c r="G894" s="245"/>
      <c r="H894" s="245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</row>
    <row r="895">
      <c r="A895" s="245"/>
      <c r="B895" s="245"/>
      <c r="C895" s="245"/>
      <c r="D895" s="245" t="str">
        <f>IFNA(VLOOKUP(B895,IMS!$A$2:$E$232,5,0),"")</f>
        <v/>
      </c>
      <c r="E895" s="245"/>
      <c r="F895" s="245"/>
      <c r="G895" s="245"/>
      <c r="H895" s="245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</row>
    <row r="896">
      <c r="A896" s="245"/>
      <c r="B896" s="245"/>
      <c r="C896" s="245"/>
      <c r="D896" s="245" t="str">
        <f>IFNA(VLOOKUP(B896,IMS!$A$2:$E$232,5,0),"")</f>
        <v/>
      </c>
      <c r="E896" s="245"/>
      <c r="F896" s="245"/>
      <c r="G896" s="245"/>
      <c r="H896" s="245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</row>
    <row r="897">
      <c r="A897" s="245"/>
      <c r="B897" s="245"/>
      <c r="C897" s="245"/>
      <c r="D897" s="245" t="str">
        <f>IFNA(VLOOKUP(B897,IMS!$A$2:$E$232,5,0),"")</f>
        <v/>
      </c>
      <c r="E897" s="245"/>
      <c r="F897" s="245"/>
      <c r="G897" s="245"/>
      <c r="H897" s="245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</row>
    <row r="898">
      <c r="A898" s="245"/>
      <c r="B898" s="245"/>
      <c r="C898" s="245"/>
      <c r="D898" s="245" t="str">
        <f>IFNA(VLOOKUP(B898,IMS!$A$2:$E$232,5,0),"")</f>
        <v/>
      </c>
      <c r="E898" s="245"/>
      <c r="F898" s="245"/>
      <c r="G898" s="245"/>
      <c r="H898" s="245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</row>
    <row r="899">
      <c r="A899" s="245"/>
      <c r="B899" s="245"/>
      <c r="C899" s="245"/>
      <c r="D899" s="245" t="str">
        <f>IFNA(VLOOKUP(B899,IMS!$A$2:$E$232,5,0),"")</f>
        <v/>
      </c>
      <c r="E899" s="245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</row>
    <row r="900">
      <c r="A900" s="245"/>
      <c r="B900" s="245"/>
      <c r="C900" s="245"/>
      <c r="D900" s="245" t="str">
        <f>IFNA(VLOOKUP(B900,IMS!$A$2:$E$232,5,0),"")</f>
        <v/>
      </c>
      <c r="E900" s="245"/>
      <c r="F900" s="245"/>
      <c r="G900" s="245"/>
      <c r="H900" s="245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</row>
    <row r="901">
      <c r="A901" s="245"/>
      <c r="B901" s="245"/>
      <c r="C901" s="245"/>
      <c r="D901" s="245" t="str">
        <f>IFNA(VLOOKUP(B901,IMS!$A$2:$E$232,5,0),"")</f>
        <v/>
      </c>
      <c r="E901" s="245"/>
      <c r="F901" s="245"/>
      <c r="G901" s="245"/>
      <c r="H901" s="245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</row>
    <row r="902">
      <c r="A902" s="245"/>
      <c r="B902" s="245"/>
      <c r="C902" s="245"/>
      <c r="D902" s="245" t="str">
        <f>IFNA(VLOOKUP(B902,IMS!$A$2:$E$232,5,0),"")</f>
        <v/>
      </c>
      <c r="E902" s="245"/>
      <c r="F902" s="245"/>
      <c r="G902" s="245"/>
      <c r="H902" s="245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</row>
    <row r="903">
      <c r="A903" s="245"/>
      <c r="B903" s="245"/>
      <c r="C903" s="245"/>
      <c r="D903" s="245" t="str">
        <f>IFNA(VLOOKUP(B903,IMS!$A$2:$E$232,5,0),"")</f>
        <v/>
      </c>
      <c r="E903" s="245"/>
      <c r="F903" s="245"/>
      <c r="G903" s="245"/>
      <c r="H903" s="245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</row>
    <row r="904">
      <c r="A904" s="245"/>
      <c r="B904" s="245"/>
      <c r="C904" s="245"/>
      <c r="D904" s="245" t="str">
        <f>IFNA(VLOOKUP(B904,IMS!$A$2:$E$232,5,0),"")</f>
        <v/>
      </c>
      <c r="E904" s="245"/>
      <c r="F904" s="245"/>
      <c r="G904" s="245"/>
      <c r="H904" s="245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</row>
    <row r="905">
      <c r="A905" s="245"/>
      <c r="B905" s="245"/>
      <c r="C905" s="245"/>
      <c r="D905" s="245" t="str">
        <f>IFNA(VLOOKUP(B905,IMS!$A$2:$E$232,5,0),"")</f>
        <v/>
      </c>
      <c r="E905" s="245"/>
      <c r="F905" s="245"/>
      <c r="G905" s="245"/>
      <c r="H905" s="245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</row>
    <row r="906">
      <c r="A906" s="245"/>
      <c r="B906" s="245"/>
      <c r="C906" s="245"/>
      <c r="D906" s="245" t="str">
        <f>IFNA(VLOOKUP(B906,IMS!$A$2:$E$232,5,0),"")</f>
        <v/>
      </c>
      <c r="E906" s="245"/>
      <c r="F906" s="245"/>
      <c r="G906" s="245"/>
      <c r="H906" s="245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</row>
    <row r="907">
      <c r="A907" s="245"/>
      <c r="B907" s="245"/>
      <c r="C907" s="245"/>
      <c r="D907" s="245" t="str">
        <f>IFNA(VLOOKUP(B907,IMS!$A$2:$E$232,5,0),"")</f>
        <v/>
      </c>
      <c r="E907" s="245"/>
      <c r="F907" s="245"/>
      <c r="G907" s="245"/>
      <c r="H907" s="245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</row>
    <row r="908">
      <c r="A908" s="245"/>
      <c r="B908" s="245"/>
      <c r="C908" s="245"/>
      <c r="D908" s="245" t="str">
        <f>IFNA(VLOOKUP(B908,IMS!$A$2:$E$232,5,0),"")</f>
        <v/>
      </c>
      <c r="E908" s="245"/>
      <c r="F908" s="245"/>
      <c r="G908" s="245"/>
      <c r="H908" s="245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</row>
    <row r="909">
      <c r="A909" s="245"/>
      <c r="B909" s="245"/>
      <c r="C909" s="245"/>
      <c r="D909" s="245" t="str">
        <f>IFNA(VLOOKUP(B909,IMS!$A$2:$E$232,5,0),"")</f>
        <v/>
      </c>
      <c r="E909" s="245"/>
      <c r="F909" s="245"/>
      <c r="G909" s="245"/>
      <c r="H909" s="245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</row>
    <row r="910">
      <c r="A910" s="245"/>
      <c r="B910" s="245"/>
      <c r="C910" s="245"/>
      <c r="D910" s="245" t="str">
        <f>IFNA(VLOOKUP(B910,IMS!$A$2:$E$232,5,0),"")</f>
        <v/>
      </c>
      <c r="E910" s="245"/>
      <c r="F910" s="245"/>
      <c r="G910" s="245"/>
      <c r="H910" s="245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</row>
    <row r="911">
      <c r="A911" s="245"/>
      <c r="B911" s="245"/>
      <c r="C911" s="245"/>
      <c r="D911" s="245" t="str">
        <f>IFNA(VLOOKUP(B911,IMS!$A$2:$E$232,5,0),"")</f>
        <v/>
      </c>
      <c r="E911" s="245"/>
      <c r="F911" s="245"/>
      <c r="G911" s="245"/>
      <c r="H911" s="245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</row>
    <row r="912">
      <c r="A912" s="245"/>
      <c r="B912" s="245"/>
      <c r="C912" s="245"/>
      <c r="D912" s="245" t="str">
        <f>IFNA(VLOOKUP(B912,IMS!$A$2:$E$232,5,0),"")</f>
        <v/>
      </c>
      <c r="E912" s="245"/>
      <c r="F912" s="245"/>
      <c r="G912" s="245"/>
      <c r="H912" s="245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</row>
    <row r="913">
      <c r="A913" s="245"/>
      <c r="B913" s="245"/>
      <c r="C913" s="245"/>
      <c r="D913" s="245" t="str">
        <f>IFNA(VLOOKUP(B913,IMS!$A$2:$E$232,5,0),"")</f>
        <v/>
      </c>
      <c r="E913" s="245"/>
      <c r="F913" s="245"/>
      <c r="G913" s="245"/>
      <c r="H913" s="245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</row>
    <row r="914">
      <c r="A914" s="245"/>
      <c r="B914" s="245"/>
      <c r="C914" s="245"/>
      <c r="D914" s="245" t="str">
        <f>IFNA(VLOOKUP(B914,IMS!$A$2:$E$232,5,0),"")</f>
        <v/>
      </c>
      <c r="E914" s="245"/>
      <c r="F914" s="245"/>
      <c r="G914" s="245"/>
      <c r="H914" s="245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</row>
    <row r="915">
      <c r="A915" s="245"/>
      <c r="B915" s="245"/>
      <c r="C915" s="245"/>
      <c r="D915" s="245" t="str">
        <f>IFNA(VLOOKUP(B915,IMS!$A$2:$E$232,5,0),"")</f>
        <v/>
      </c>
      <c r="E915" s="245"/>
      <c r="F915" s="245"/>
      <c r="G915" s="245"/>
      <c r="H915" s="245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</row>
    <row r="916">
      <c r="A916" s="245"/>
      <c r="B916" s="245"/>
      <c r="C916" s="245"/>
      <c r="D916" s="245" t="str">
        <f>IFNA(VLOOKUP(B916,IMS!$A$2:$E$232,5,0),"")</f>
        <v/>
      </c>
      <c r="E916" s="245"/>
      <c r="F916" s="245"/>
      <c r="G916" s="245"/>
      <c r="H916" s="245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</row>
    <row r="917">
      <c r="A917" s="245"/>
      <c r="B917" s="245"/>
      <c r="C917" s="245"/>
      <c r="D917" s="245" t="str">
        <f>IFNA(VLOOKUP(B917,IMS!$A$2:$E$232,5,0),"")</f>
        <v/>
      </c>
      <c r="E917" s="245"/>
      <c r="F917" s="245"/>
      <c r="G917" s="245"/>
      <c r="H917" s="245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</row>
    <row r="918">
      <c r="A918" s="245"/>
      <c r="B918" s="245"/>
      <c r="C918" s="245"/>
      <c r="D918" s="245" t="str">
        <f>IFNA(VLOOKUP(B918,IMS!$A$2:$E$232,5,0),"")</f>
        <v/>
      </c>
      <c r="E918" s="245"/>
      <c r="F918" s="245"/>
      <c r="G918" s="245"/>
      <c r="H918" s="245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</row>
    <row r="919">
      <c r="A919" s="245"/>
      <c r="B919" s="245"/>
      <c r="C919" s="245"/>
      <c r="D919" s="245" t="str">
        <f>IFNA(VLOOKUP(B919,IMS!$A$2:$E$232,5,0),"")</f>
        <v/>
      </c>
      <c r="E919" s="245"/>
      <c r="F919" s="245"/>
      <c r="G919" s="245"/>
      <c r="H919" s="245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</row>
    <row r="920">
      <c r="A920" s="245"/>
      <c r="B920" s="245"/>
      <c r="C920" s="245"/>
      <c r="D920" s="245" t="str">
        <f>IFNA(VLOOKUP(B920,IMS!$A$2:$E$232,5,0),"")</f>
        <v/>
      </c>
      <c r="E920" s="245"/>
      <c r="F920" s="245"/>
      <c r="G920" s="245"/>
      <c r="H920" s="245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</row>
    <row r="921">
      <c r="A921" s="245"/>
      <c r="B921" s="245"/>
      <c r="C921" s="245"/>
      <c r="D921" s="245" t="str">
        <f>IFNA(VLOOKUP(B921,IMS!$A$2:$E$232,5,0),"")</f>
        <v/>
      </c>
      <c r="E921" s="245"/>
      <c r="F921" s="245"/>
      <c r="G921" s="245"/>
      <c r="H921" s="245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</row>
    <row r="922">
      <c r="A922" s="245"/>
      <c r="B922" s="245"/>
      <c r="C922" s="245"/>
      <c r="D922" s="245" t="str">
        <f>IFNA(VLOOKUP(B922,IMS!$A$2:$E$232,5,0),"")</f>
        <v/>
      </c>
      <c r="E922" s="245"/>
      <c r="F922" s="245"/>
      <c r="G922" s="245"/>
      <c r="H922" s="245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</row>
    <row r="923">
      <c r="A923" s="245"/>
      <c r="B923" s="245"/>
      <c r="C923" s="245"/>
      <c r="D923" s="245" t="str">
        <f>IFNA(VLOOKUP(B923,IMS!$A$2:$E$232,5,0),"")</f>
        <v/>
      </c>
      <c r="E923" s="245"/>
      <c r="F923" s="245"/>
      <c r="G923" s="245"/>
      <c r="H923" s="245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</row>
    <row r="924">
      <c r="A924" s="245"/>
      <c r="B924" s="245"/>
      <c r="C924" s="245"/>
      <c r="D924" s="245" t="str">
        <f>IFNA(VLOOKUP(B924,IMS!$A$2:$E$232,5,0),"")</f>
        <v/>
      </c>
      <c r="E924" s="245"/>
      <c r="F924" s="245"/>
      <c r="G924" s="245"/>
      <c r="H924" s="245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</row>
    <row r="925">
      <c r="A925" s="245"/>
      <c r="B925" s="245"/>
      <c r="C925" s="245"/>
      <c r="D925" s="245" t="str">
        <f>IFNA(VLOOKUP(B925,IMS!$A$2:$E$232,5,0),"")</f>
        <v/>
      </c>
      <c r="E925" s="245"/>
      <c r="F925" s="245"/>
      <c r="G925" s="245"/>
      <c r="H925" s="245"/>
      <c r="I925" s="245"/>
      <c r="J925" s="245"/>
      <c r="K925" s="245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</row>
    <row r="926">
      <c r="A926" s="245"/>
      <c r="B926" s="245"/>
      <c r="C926" s="245"/>
      <c r="D926" s="245" t="str">
        <f>IFNA(VLOOKUP(B926,IMS!$A$2:$E$232,5,0),"")</f>
        <v/>
      </c>
      <c r="E926" s="245"/>
      <c r="F926" s="245"/>
      <c r="G926" s="245"/>
      <c r="H926" s="245"/>
      <c r="I926" s="245"/>
      <c r="J926" s="245"/>
      <c r="K926" s="245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</row>
    <row r="927">
      <c r="A927" s="245"/>
      <c r="B927" s="245"/>
      <c r="C927" s="245"/>
      <c r="D927" s="245" t="str">
        <f>IFNA(VLOOKUP(B927,IMS!$A$2:$E$232,5,0),"")</f>
        <v/>
      </c>
      <c r="E927" s="245"/>
      <c r="F927" s="245"/>
      <c r="G927" s="245"/>
      <c r="H927" s="245"/>
      <c r="I927" s="245"/>
      <c r="J927" s="245"/>
      <c r="K927" s="245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</row>
    <row r="928">
      <c r="A928" s="245"/>
      <c r="B928" s="245"/>
      <c r="C928" s="245"/>
      <c r="D928" s="245" t="str">
        <f>IFNA(VLOOKUP(B928,IMS!$A$2:$E$232,5,0),"")</f>
        <v/>
      </c>
      <c r="E928" s="245"/>
      <c r="F928" s="245"/>
      <c r="G928" s="245"/>
      <c r="H928" s="245"/>
      <c r="I928" s="245"/>
      <c r="J928" s="245"/>
      <c r="K928" s="245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</row>
    <row r="929">
      <c r="A929" s="245"/>
      <c r="B929" s="245"/>
      <c r="C929" s="245"/>
      <c r="D929" s="245" t="str">
        <f>IFNA(VLOOKUP(B929,IMS!$A$2:$E$232,5,0),"")</f>
        <v/>
      </c>
      <c r="E929" s="245"/>
      <c r="F929" s="245"/>
      <c r="G929" s="245"/>
      <c r="H929" s="245"/>
      <c r="I929" s="245"/>
      <c r="J929" s="245"/>
      <c r="K929" s="245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</row>
    <row r="930">
      <c r="A930" s="245"/>
      <c r="B930" s="245"/>
      <c r="C930" s="245"/>
      <c r="D930" s="245" t="str">
        <f>IFNA(VLOOKUP(B930,IMS!$A$2:$E$232,5,0),"")</f>
        <v/>
      </c>
      <c r="E930" s="245"/>
      <c r="F930" s="245"/>
      <c r="G930" s="245"/>
      <c r="H930" s="245"/>
      <c r="I930" s="245"/>
      <c r="J930" s="245"/>
      <c r="K930" s="245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</row>
    <row r="931">
      <c r="A931" s="245"/>
      <c r="B931" s="245"/>
      <c r="C931" s="245"/>
      <c r="D931" s="245" t="str">
        <f>IFNA(VLOOKUP(B931,IMS!$A$2:$E$232,5,0),"")</f>
        <v/>
      </c>
      <c r="E931" s="245"/>
      <c r="F931" s="245"/>
      <c r="G931" s="245"/>
      <c r="H931" s="245"/>
      <c r="I931" s="245"/>
      <c r="J931" s="245"/>
      <c r="K931" s="245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</row>
    <row r="932">
      <c r="A932" s="245"/>
      <c r="B932" s="245"/>
      <c r="C932" s="245"/>
      <c r="D932" s="245" t="str">
        <f>IFNA(VLOOKUP(B932,IMS!$A$2:$E$232,5,0),"")</f>
        <v/>
      </c>
      <c r="E932" s="245"/>
      <c r="F932" s="245"/>
      <c r="G932" s="245"/>
      <c r="H932" s="245"/>
      <c r="I932" s="245"/>
      <c r="J932" s="245"/>
      <c r="K932" s="245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</row>
    <row r="933">
      <c r="A933" s="245"/>
      <c r="B933" s="245"/>
      <c r="C933" s="245"/>
      <c r="D933" s="245" t="str">
        <f>IFNA(VLOOKUP(B933,IMS!$A$2:$E$232,5,0),"")</f>
        <v/>
      </c>
      <c r="E933" s="245"/>
      <c r="F933" s="245"/>
      <c r="G933" s="245"/>
      <c r="H933" s="245"/>
      <c r="I933" s="245"/>
      <c r="J933" s="245"/>
      <c r="K933" s="245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</row>
    <row r="934">
      <c r="A934" s="245"/>
      <c r="B934" s="245"/>
      <c r="C934" s="245"/>
      <c r="D934" s="245" t="str">
        <f>IFNA(VLOOKUP(B934,IMS!$A$2:$E$232,5,0),"")</f>
        <v/>
      </c>
      <c r="E934" s="245"/>
      <c r="F934" s="245"/>
      <c r="G934" s="245"/>
      <c r="H934" s="245"/>
      <c r="I934" s="245"/>
      <c r="J934" s="245"/>
      <c r="K934" s="245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</row>
    <row r="935">
      <c r="A935" s="245"/>
      <c r="B935" s="245"/>
      <c r="C935" s="245"/>
      <c r="D935" s="245" t="str">
        <f>IFNA(VLOOKUP(B935,IMS!$A$2:$E$232,5,0),"")</f>
        <v/>
      </c>
      <c r="E935" s="245"/>
      <c r="F935" s="245"/>
      <c r="G935" s="245"/>
      <c r="H935" s="245"/>
      <c r="I935" s="245"/>
      <c r="J935" s="245"/>
      <c r="K935" s="245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</row>
    <row r="936">
      <c r="A936" s="245"/>
      <c r="B936" s="245"/>
      <c r="C936" s="245"/>
      <c r="D936" s="245" t="str">
        <f>IFNA(VLOOKUP(B936,IMS!$A$2:$E$232,5,0),"")</f>
        <v/>
      </c>
      <c r="E936" s="245"/>
      <c r="F936" s="245"/>
      <c r="G936" s="245"/>
      <c r="H936" s="245"/>
      <c r="I936" s="245"/>
      <c r="J936" s="245"/>
      <c r="K936" s="245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</row>
    <row r="937">
      <c r="A937" s="245"/>
      <c r="B937" s="245"/>
      <c r="C937" s="245"/>
      <c r="D937" s="245" t="str">
        <f>IFNA(VLOOKUP(B937,IMS!$A$2:$E$232,5,0),"")</f>
        <v/>
      </c>
      <c r="E937" s="245"/>
      <c r="F937" s="245"/>
      <c r="G937" s="245"/>
      <c r="H937" s="245"/>
      <c r="I937" s="245"/>
      <c r="J937" s="245"/>
      <c r="K937" s="245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</row>
    <row r="938">
      <c r="A938" s="245"/>
      <c r="B938" s="245"/>
      <c r="C938" s="245"/>
      <c r="D938" s="245" t="str">
        <f>IFNA(VLOOKUP(B938,IMS!$A$2:$E$232,5,0),"")</f>
        <v/>
      </c>
      <c r="E938" s="245"/>
      <c r="F938" s="245"/>
      <c r="G938" s="245"/>
      <c r="H938" s="245"/>
      <c r="I938" s="245"/>
      <c r="J938" s="245"/>
      <c r="K938" s="245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</row>
    <row r="939">
      <c r="A939" s="245"/>
      <c r="B939" s="245"/>
      <c r="C939" s="245"/>
      <c r="D939" s="245" t="str">
        <f>IFNA(VLOOKUP(B939,IMS!$A$2:$E$232,5,0),"")</f>
        <v/>
      </c>
      <c r="E939" s="245"/>
      <c r="F939" s="245"/>
      <c r="G939" s="245"/>
      <c r="H939" s="245"/>
      <c r="I939" s="245"/>
      <c r="J939" s="245"/>
      <c r="K939" s="245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</row>
    <row r="940">
      <c r="A940" s="245"/>
      <c r="B940" s="245"/>
      <c r="C940" s="245"/>
      <c r="D940" s="245" t="str">
        <f>IFNA(VLOOKUP(B940,IMS!$A$2:$E$232,5,0),"")</f>
        <v/>
      </c>
      <c r="E940" s="245"/>
      <c r="F940" s="245"/>
      <c r="G940" s="245"/>
      <c r="H940" s="245"/>
      <c r="I940" s="245"/>
      <c r="J940" s="245"/>
      <c r="K940" s="245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</row>
    <row r="941">
      <c r="A941" s="245"/>
      <c r="B941" s="245"/>
      <c r="C941" s="245"/>
      <c r="D941" s="245" t="str">
        <f>IFNA(VLOOKUP(B941,IMS!$A$2:$E$232,5,0),"")</f>
        <v/>
      </c>
      <c r="E941" s="245"/>
      <c r="F941" s="245"/>
      <c r="G941" s="245"/>
      <c r="H941" s="245"/>
      <c r="I941" s="245"/>
      <c r="J941" s="245"/>
      <c r="K941" s="245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</row>
    <row r="942">
      <c r="A942" s="245"/>
      <c r="B942" s="245"/>
      <c r="C942" s="245"/>
      <c r="D942" s="245" t="str">
        <f>IFNA(VLOOKUP(B942,IMS!$A$2:$E$232,5,0),"")</f>
        <v/>
      </c>
      <c r="E942" s="245"/>
      <c r="F942" s="245"/>
      <c r="G942" s="245"/>
      <c r="H942" s="245"/>
      <c r="I942" s="245"/>
      <c r="J942" s="245"/>
      <c r="K942" s="245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</row>
    <row r="943">
      <c r="A943" s="245"/>
      <c r="B943" s="245"/>
      <c r="C943" s="245"/>
      <c r="D943" s="245" t="str">
        <f>IFNA(VLOOKUP(B943,IMS!$A$2:$E$232,5,0),"")</f>
        <v/>
      </c>
      <c r="E943" s="245"/>
      <c r="F943" s="245"/>
      <c r="G943" s="245"/>
      <c r="H943" s="245"/>
      <c r="I943" s="245"/>
      <c r="J943" s="245"/>
      <c r="K943" s="245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</row>
    <row r="944">
      <c r="A944" s="245"/>
      <c r="B944" s="245"/>
      <c r="C944" s="245"/>
      <c r="D944" s="245" t="str">
        <f>IFNA(VLOOKUP(B944,IMS!$A$2:$E$232,5,0),"")</f>
        <v/>
      </c>
      <c r="E944" s="245"/>
      <c r="F944" s="245"/>
      <c r="G944" s="245"/>
      <c r="H944" s="245"/>
      <c r="I944" s="245"/>
      <c r="J944" s="245"/>
      <c r="K944" s="245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</row>
    <row r="945">
      <c r="A945" s="245"/>
      <c r="B945" s="245"/>
      <c r="C945" s="245"/>
      <c r="D945" s="245" t="str">
        <f>IFNA(VLOOKUP(B945,IMS!$A$2:$E$232,5,0),"")</f>
        <v/>
      </c>
      <c r="E945" s="245"/>
      <c r="F945" s="245"/>
      <c r="G945" s="245"/>
      <c r="H945" s="245"/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</row>
    <row r="946">
      <c r="A946" s="245"/>
      <c r="B946" s="245"/>
      <c r="C946" s="245"/>
      <c r="D946" s="245" t="str">
        <f>IFNA(VLOOKUP(B946,IMS!$A$2:$E$232,5,0),"")</f>
        <v/>
      </c>
      <c r="E946" s="245"/>
      <c r="F946" s="245"/>
      <c r="G946" s="245"/>
      <c r="H946" s="245"/>
      <c r="I946" s="245"/>
      <c r="J946" s="245"/>
      <c r="K946" s="245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</row>
    <row r="947">
      <c r="A947" s="245"/>
      <c r="B947" s="245"/>
      <c r="C947" s="245"/>
      <c r="D947" s="245" t="str">
        <f>IFNA(VLOOKUP(B947,IMS!$A$2:$E$232,5,0),"")</f>
        <v/>
      </c>
      <c r="E947" s="245"/>
      <c r="F947" s="245"/>
      <c r="G947" s="245"/>
      <c r="H947" s="245"/>
      <c r="I947" s="245"/>
      <c r="J947" s="245"/>
      <c r="K947" s="245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</row>
    <row r="948">
      <c r="A948" s="245"/>
      <c r="B948" s="245"/>
      <c r="C948" s="245"/>
      <c r="D948" s="245" t="str">
        <f>IFNA(VLOOKUP(B948,IMS!$A$2:$E$232,5,0),"")</f>
        <v/>
      </c>
      <c r="E948" s="245"/>
      <c r="F948" s="245"/>
      <c r="G948" s="245"/>
      <c r="H948" s="245"/>
      <c r="I948" s="245"/>
      <c r="J948" s="245"/>
      <c r="K948" s="245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</row>
    <row r="949">
      <c r="A949" s="245"/>
      <c r="B949" s="245"/>
      <c r="C949" s="245"/>
      <c r="D949" s="245" t="str">
        <f>IFNA(VLOOKUP(B949,IMS!$A$2:$E$232,5,0),"")</f>
        <v/>
      </c>
      <c r="E949" s="245"/>
      <c r="F949" s="245"/>
      <c r="G949" s="245"/>
      <c r="H949" s="245"/>
      <c r="I949" s="245"/>
      <c r="J949" s="245"/>
      <c r="K949" s="245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</row>
    <row r="950">
      <c r="A950" s="245"/>
      <c r="B950" s="245"/>
      <c r="C950" s="245"/>
      <c r="D950" s="245" t="str">
        <f>IFNA(VLOOKUP(B950,IMS!$A$2:$E$232,5,0),"")</f>
        <v/>
      </c>
      <c r="E950" s="245"/>
      <c r="F950" s="245"/>
      <c r="G950" s="245"/>
      <c r="H950" s="245"/>
      <c r="I950" s="245"/>
      <c r="J950" s="245"/>
      <c r="K950" s="245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</row>
    <row r="951">
      <c r="A951" s="245"/>
      <c r="B951" s="245"/>
      <c r="C951" s="245"/>
      <c r="D951" s="245" t="str">
        <f>IFNA(VLOOKUP(B951,IMS!$A$2:$E$232,5,0),"")</f>
        <v/>
      </c>
      <c r="E951" s="245"/>
      <c r="F951" s="245"/>
      <c r="G951" s="245"/>
      <c r="H951" s="245"/>
      <c r="I951" s="245"/>
      <c r="J951" s="245"/>
      <c r="K951" s="245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</row>
    <row r="952">
      <c r="A952" s="245"/>
      <c r="B952" s="245"/>
      <c r="C952" s="245"/>
      <c r="D952" s="245" t="str">
        <f>IFNA(VLOOKUP(B952,IMS!$A$2:$E$232,5,0),"")</f>
        <v/>
      </c>
      <c r="E952" s="245"/>
      <c r="F952" s="245"/>
      <c r="G952" s="245"/>
      <c r="H952" s="245"/>
      <c r="I952" s="245"/>
      <c r="J952" s="245"/>
      <c r="K952" s="245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</row>
    <row r="953">
      <c r="A953" s="245"/>
      <c r="B953" s="245"/>
      <c r="C953" s="245"/>
      <c r="D953" s="245" t="str">
        <f>IFNA(VLOOKUP(B953,IMS!$A$2:$E$232,5,0),"")</f>
        <v/>
      </c>
      <c r="E953" s="245"/>
      <c r="F953" s="245"/>
      <c r="G953" s="245"/>
      <c r="H953" s="245"/>
      <c r="I953" s="245"/>
      <c r="J953" s="245"/>
      <c r="K953" s="245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</row>
    <row r="954">
      <c r="A954" s="245"/>
      <c r="B954" s="245"/>
      <c r="C954" s="245"/>
      <c r="D954" s="245" t="str">
        <f>IFNA(VLOOKUP(B954,IMS!$A$2:$E$232,5,0),"")</f>
        <v/>
      </c>
      <c r="E954" s="245"/>
      <c r="F954" s="245"/>
      <c r="G954" s="245"/>
      <c r="H954" s="245"/>
      <c r="I954" s="245"/>
      <c r="J954" s="245"/>
      <c r="K954" s="245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</row>
    <row r="955">
      <c r="A955" s="245"/>
      <c r="B955" s="245"/>
      <c r="C955" s="245"/>
      <c r="D955" s="245" t="str">
        <f>IFNA(VLOOKUP(B955,IMS!$A$2:$E$232,5,0),"")</f>
        <v/>
      </c>
      <c r="E955" s="245"/>
      <c r="F955" s="245"/>
      <c r="G955" s="245"/>
      <c r="H955" s="245"/>
      <c r="I955" s="245"/>
      <c r="J955" s="245"/>
      <c r="K955" s="245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</row>
    <row r="956">
      <c r="A956" s="245"/>
      <c r="B956" s="245"/>
      <c r="C956" s="245"/>
      <c r="D956" s="245" t="str">
        <f>IFNA(VLOOKUP(B956,IMS!$A$2:$E$232,5,0),"")</f>
        <v/>
      </c>
      <c r="E956" s="245"/>
      <c r="F956" s="245"/>
      <c r="G956" s="245"/>
      <c r="H956" s="245"/>
      <c r="I956" s="245"/>
      <c r="J956" s="245"/>
      <c r="K956" s="245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</row>
    <row r="957">
      <c r="A957" s="245"/>
      <c r="B957" s="245"/>
      <c r="C957" s="245"/>
      <c r="D957" s="245" t="str">
        <f>IFNA(VLOOKUP(B957,IMS!$A$2:$E$232,5,0),"")</f>
        <v/>
      </c>
      <c r="E957" s="245"/>
      <c r="F957" s="245"/>
      <c r="G957" s="245"/>
      <c r="H957" s="245"/>
      <c r="I957" s="245"/>
      <c r="J957" s="245"/>
      <c r="K957" s="245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</row>
    <row r="958">
      <c r="A958" s="245"/>
      <c r="B958" s="245"/>
      <c r="C958" s="245"/>
      <c r="D958" s="245" t="str">
        <f>IFNA(VLOOKUP(B958,IMS!$A$2:$E$232,5,0),"")</f>
        <v/>
      </c>
      <c r="E958" s="245"/>
      <c r="F958" s="245"/>
      <c r="G958" s="245"/>
      <c r="H958" s="245"/>
      <c r="I958" s="245"/>
      <c r="J958" s="245"/>
      <c r="K958" s="245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</row>
    <row r="959">
      <c r="A959" s="245"/>
      <c r="B959" s="245"/>
      <c r="C959" s="245"/>
      <c r="D959" s="245" t="str">
        <f>IFNA(VLOOKUP(B959,IMS!$A$2:$E$232,5,0),"")</f>
        <v/>
      </c>
      <c r="E959" s="245"/>
      <c r="F959" s="245"/>
      <c r="G959" s="245"/>
      <c r="H959" s="245"/>
      <c r="I959" s="245"/>
      <c r="J959" s="245"/>
      <c r="K959" s="245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</row>
    <row r="960">
      <c r="A960" s="245"/>
      <c r="B960" s="245"/>
      <c r="C960" s="245"/>
      <c r="D960" s="245" t="str">
        <f>IFNA(VLOOKUP(B960,IMS!$A$2:$E$232,5,0),"")</f>
        <v/>
      </c>
      <c r="E960" s="245"/>
      <c r="F960" s="245"/>
      <c r="G960" s="245"/>
      <c r="H960" s="245"/>
      <c r="I960" s="245"/>
      <c r="J960" s="245"/>
      <c r="K960" s="245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</row>
    <row r="961">
      <c r="A961" s="245"/>
      <c r="B961" s="245"/>
      <c r="C961" s="245"/>
      <c r="D961" s="245" t="str">
        <f>IFNA(VLOOKUP(B961,IMS!$A$2:$E$232,5,0),"")</f>
        <v/>
      </c>
      <c r="E961" s="245"/>
      <c r="F961" s="245"/>
      <c r="G961" s="245"/>
      <c r="H961" s="245"/>
      <c r="I961" s="245"/>
      <c r="J961" s="245"/>
      <c r="K961" s="245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</row>
    <row r="962">
      <c r="A962" s="245"/>
      <c r="B962" s="245"/>
      <c r="C962" s="245"/>
      <c r="D962" s="245" t="str">
        <f>IFNA(VLOOKUP(B962,IMS!$A$2:$E$232,5,0),"")</f>
        <v/>
      </c>
      <c r="E962" s="245"/>
      <c r="F962" s="245"/>
      <c r="G962" s="245"/>
      <c r="H962" s="245"/>
      <c r="I962" s="245"/>
      <c r="J962" s="245"/>
      <c r="K962" s="245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</row>
    <row r="963">
      <c r="A963" s="245"/>
      <c r="B963" s="245"/>
      <c r="C963" s="245"/>
      <c r="D963" s="245" t="str">
        <f>IFNA(VLOOKUP(B963,IMS!$A$2:$E$232,5,0),"")</f>
        <v/>
      </c>
      <c r="E963" s="245"/>
      <c r="F963" s="245"/>
      <c r="G963" s="245"/>
      <c r="H963" s="245"/>
      <c r="I963" s="245"/>
      <c r="J963" s="245"/>
      <c r="K963" s="245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</row>
    <row r="964">
      <c r="A964" s="245"/>
      <c r="B964" s="245"/>
      <c r="C964" s="245"/>
      <c r="D964" s="245" t="str">
        <f>IFNA(VLOOKUP(B964,IMS!$A$2:$E$232,5,0),"")</f>
        <v/>
      </c>
      <c r="E964" s="245"/>
      <c r="F964" s="245"/>
      <c r="G964" s="245"/>
      <c r="H964" s="245"/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</row>
    <row r="965">
      <c r="A965" s="245"/>
      <c r="B965" s="245"/>
      <c r="C965" s="245"/>
      <c r="D965" s="245" t="str">
        <f>IFNA(VLOOKUP(B965,IMS!$A$2:$E$232,5,0),"")</f>
        <v/>
      </c>
      <c r="E965" s="245"/>
      <c r="F965" s="245"/>
      <c r="G965" s="245"/>
      <c r="H965" s="245"/>
      <c r="I965" s="245"/>
      <c r="J965" s="245"/>
      <c r="K965" s="245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</row>
    <row r="966">
      <c r="A966" s="245"/>
      <c r="B966" s="245"/>
      <c r="C966" s="245"/>
      <c r="D966" s="245" t="str">
        <f>IFNA(VLOOKUP(B966,IMS!$A$2:$E$232,5,0),"")</f>
        <v/>
      </c>
      <c r="E966" s="245"/>
      <c r="F966" s="245"/>
      <c r="G966" s="245"/>
      <c r="H966" s="245"/>
      <c r="I966" s="245"/>
      <c r="J966" s="245"/>
      <c r="K966" s="245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</row>
    <row r="967">
      <c r="A967" s="245"/>
      <c r="B967" s="245"/>
      <c r="C967" s="245"/>
      <c r="D967" s="245" t="str">
        <f>IFNA(VLOOKUP(B967,IMS!$A$2:$E$232,5,0),"")</f>
        <v/>
      </c>
      <c r="E967" s="245"/>
      <c r="F967" s="245"/>
      <c r="G967" s="245"/>
      <c r="H967" s="245"/>
      <c r="I967" s="245"/>
      <c r="J967" s="245"/>
      <c r="K967" s="245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</row>
    <row r="968">
      <c r="A968" s="245"/>
      <c r="B968" s="245"/>
      <c r="C968" s="245"/>
      <c r="D968" s="245" t="str">
        <f>IFNA(VLOOKUP(B968,IMS!$A$2:$E$232,5,0),"")</f>
        <v/>
      </c>
      <c r="E968" s="245"/>
      <c r="F968" s="245"/>
      <c r="G968" s="245"/>
      <c r="H968" s="245"/>
      <c r="I968" s="245"/>
      <c r="J968" s="245"/>
      <c r="K968" s="245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</row>
    <row r="969">
      <c r="A969" s="245"/>
      <c r="B969" s="245"/>
      <c r="C969" s="245"/>
      <c r="D969" s="245" t="str">
        <f>IFNA(VLOOKUP(B969,IMS!$A$2:$E$232,5,0),"")</f>
        <v/>
      </c>
      <c r="E969" s="245"/>
      <c r="F969" s="245"/>
      <c r="G969" s="245"/>
      <c r="H969" s="245"/>
      <c r="I969" s="245"/>
      <c r="J969" s="245"/>
      <c r="K969" s="245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</row>
    <row r="970">
      <c r="A970" s="245"/>
      <c r="B970" s="245"/>
      <c r="C970" s="245"/>
      <c r="D970" s="245" t="str">
        <f>IFNA(VLOOKUP(B970,IMS!$A$2:$E$232,5,0),"")</f>
        <v/>
      </c>
      <c r="E970" s="245"/>
      <c r="F970" s="245"/>
      <c r="G970" s="245"/>
      <c r="H970" s="245"/>
      <c r="I970" s="245"/>
      <c r="J970" s="245"/>
      <c r="K970" s="245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</row>
    <row r="971">
      <c r="A971" s="245"/>
      <c r="B971" s="245"/>
      <c r="C971" s="245"/>
      <c r="D971" s="245" t="str">
        <f>IFNA(VLOOKUP(B971,IMS!$A$2:$E$232,5,0),"")</f>
        <v/>
      </c>
      <c r="E971" s="245"/>
      <c r="F971" s="245"/>
      <c r="G971" s="245"/>
      <c r="H971" s="245"/>
      <c r="I971" s="245"/>
      <c r="J971" s="245"/>
      <c r="K971" s="245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</row>
    <row r="972">
      <c r="A972" s="245"/>
      <c r="B972" s="245"/>
      <c r="C972" s="245"/>
      <c r="D972" s="245" t="str">
        <f>IFNA(VLOOKUP(B972,IMS!$A$2:$E$232,5,0),"")</f>
        <v/>
      </c>
      <c r="E972" s="245"/>
      <c r="F972" s="245"/>
      <c r="G972" s="245"/>
      <c r="H972" s="245"/>
      <c r="I972" s="245"/>
      <c r="J972" s="245"/>
      <c r="K972" s="245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</row>
    <row r="973">
      <c r="A973" s="245"/>
      <c r="B973" s="245"/>
      <c r="C973" s="245"/>
      <c r="D973" s="245" t="str">
        <f>IFNA(VLOOKUP(B973,IMS!$A$2:$E$232,5,0),"")</f>
        <v/>
      </c>
      <c r="E973" s="245"/>
      <c r="F973" s="245"/>
      <c r="G973" s="245"/>
      <c r="H973" s="245"/>
      <c r="I973" s="245"/>
      <c r="J973" s="245"/>
      <c r="K973" s="245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</row>
    <row r="974">
      <c r="A974" s="245"/>
      <c r="B974" s="245"/>
      <c r="C974" s="245"/>
      <c r="D974" s="245" t="str">
        <f>IFNA(VLOOKUP(B974,IMS!$A$2:$E$232,5,0),"")</f>
        <v/>
      </c>
      <c r="E974" s="245"/>
      <c r="F974" s="245"/>
      <c r="G974" s="245"/>
      <c r="H974" s="245"/>
      <c r="I974" s="245"/>
      <c r="J974" s="245"/>
      <c r="K974" s="245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</row>
    <row r="975">
      <c r="A975" s="245"/>
      <c r="B975" s="245"/>
      <c r="C975" s="245"/>
      <c r="D975" s="245" t="str">
        <f>IFNA(VLOOKUP(B975,IMS!$A$2:$E$232,5,0),"")</f>
        <v/>
      </c>
      <c r="E975" s="245"/>
      <c r="F975" s="245"/>
      <c r="G975" s="245"/>
      <c r="H975" s="245"/>
      <c r="I975" s="245"/>
      <c r="J975" s="245"/>
      <c r="K975" s="245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</row>
    <row r="976">
      <c r="A976" s="245"/>
      <c r="B976" s="245"/>
      <c r="C976" s="245"/>
      <c r="D976" s="245" t="str">
        <f>IFNA(VLOOKUP(B976,IMS!$A$2:$E$232,5,0),"")</f>
        <v/>
      </c>
      <c r="E976" s="245"/>
      <c r="F976" s="245"/>
      <c r="G976" s="245"/>
      <c r="H976" s="245"/>
      <c r="I976" s="245"/>
      <c r="J976" s="245"/>
      <c r="K976" s="245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</row>
    <row r="977">
      <c r="A977" s="245"/>
      <c r="B977" s="245"/>
      <c r="C977" s="245"/>
      <c r="D977" s="245" t="str">
        <f>IFNA(VLOOKUP(B977,IMS!$A$2:$E$232,5,0),"")</f>
        <v/>
      </c>
      <c r="E977" s="245"/>
      <c r="F977" s="245"/>
      <c r="G977" s="245"/>
      <c r="H977" s="245"/>
      <c r="I977" s="245"/>
      <c r="J977" s="245"/>
      <c r="K977" s="245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</row>
    <row r="978">
      <c r="A978" s="245"/>
      <c r="B978" s="245"/>
      <c r="C978" s="245"/>
      <c r="D978" s="245" t="str">
        <f>IFNA(VLOOKUP(B978,IMS!$A$2:$E$232,5,0),"")</f>
        <v/>
      </c>
      <c r="E978" s="245"/>
      <c r="F978" s="245"/>
      <c r="G978" s="245"/>
      <c r="H978" s="245"/>
      <c r="I978" s="245"/>
      <c r="J978" s="245"/>
      <c r="K978" s="245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</row>
    <row r="979">
      <c r="A979" s="245"/>
      <c r="B979" s="245"/>
      <c r="C979" s="245"/>
      <c r="D979" s="245" t="str">
        <f>IFNA(VLOOKUP(B979,IMS!$A$2:$E$232,5,0),"")</f>
        <v/>
      </c>
      <c r="E979" s="245"/>
      <c r="F979" s="245"/>
      <c r="G979" s="245"/>
      <c r="H979" s="245"/>
      <c r="I979" s="245"/>
      <c r="J979" s="245"/>
      <c r="K979" s="245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</row>
    <row r="980">
      <c r="A980" s="245"/>
      <c r="B980" s="245"/>
      <c r="C980" s="245"/>
      <c r="D980" s="245" t="str">
        <f>IFNA(VLOOKUP(B980,IMS!$A$2:$E$232,5,0),"")</f>
        <v/>
      </c>
      <c r="E980" s="245"/>
      <c r="F980" s="245"/>
      <c r="G980" s="245"/>
      <c r="H980" s="245"/>
      <c r="I980" s="245"/>
      <c r="J980" s="245"/>
      <c r="K980" s="245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</row>
    <row r="981">
      <c r="A981" s="245"/>
      <c r="B981" s="245"/>
      <c r="C981" s="245"/>
      <c r="D981" s="245" t="str">
        <f>IFNA(VLOOKUP(B981,IMS!$A$2:$E$232,5,0),"")</f>
        <v/>
      </c>
      <c r="E981" s="245"/>
      <c r="F981" s="245"/>
      <c r="G981" s="245"/>
      <c r="H981" s="245"/>
      <c r="I981" s="245"/>
      <c r="J981" s="245"/>
      <c r="K981" s="245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</row>
    <row r="982">
      <c r="A982" s="245"/>
      <c r="B982" s="245"/>
      <c r="C982" s="245"/>
      <c r="D982" s="245" t="str">
        <f>IFNA(VLOOKUP(B982,IMS!$A$2:$E$232,5,0),"")</f>
        <v/>
      </c>
      <c r="E982" s="245"/>
      <c r="F982" s="245"/>
      <c r="G982" s="245"/>
      <c r="H982" s="245"/>
      <c r="I982" s="245"/>
      <c r="J982" s="245"/>
      <c r="K982" s="245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</row>
    <row r="983">
      <c r="A983" s="245"/>
      <c r="B983" s="245"/>
      <c r="C983" s="245"/>
      <c r="D983" s="245" t="str">
        <f>IFNA(VLOOKUP(B983,IMS!$A$2:$E$232,5,0),"")</f>
        <v/>
      </c>
      <c r="E983" s="245"/>
      <c r="F983" s="245"/>
      <c r="G983" s="245"/>
      <c r="H983" s="245"/>
      <c r="I983" s="245"/>
      <c r="J983" s="245"/>
      <c r="K983" s="245"/>
      <c r="L983" s="245"/>
      <c r="M983" s="245"/>
      <c r="N983" s="245"/>
      <c r="O983" s="245"/>
      <c r="P983" s="245"/>
      <c r="Q983" s="245"/>
      <c r="R983" s="245"/>
      <c r="S983" s="245"/>
      <c r="T983" s="245"/>
      <c r="U983" s="245"/>
      <c r="V983" s="245"/>
      <c r="W983" s="245"/>
      <c r="X983" s="245"/>
      <c r="Y983" s="245"/>
      <c r="Z983" s="245"/>
    </row>
    <row r="984">
      <c r="A984" s="245"/>
      <c r="B984" s="245"/>
      <c r="C984" s="245"/>
      <c r="D984" s="245" t="str">
        <f>IFNA(VLOOKUP(B984,IMS!$A$2:$E$232,5,0),"")</f>
        <v/>
      </c>
      <c r="E984" s="245"/>
      <c r="F984" s="245"/>
      <c r="G984" s="245"/>
      <c r="H984" s="245"/>
      <c r="I984" s="245"/>
      <c r="J984" s="245"/>
      <c r="K984" s="245"/>
      <c r="L984" s="245"/>
      <c r="M984" s="245"/>
      <c r="N984" s="245"/>
      <c r="O984" s="245"/>
      <c r="P984" s="245"/>
      <c r="Q984" s="245"/>
      <c r="R984" s="245"/>
      <c r="S984" s="245"/>
      <c r="T984" s="245"/>
      <c r="U984" s="245"/>
      <c r="V984" s="245"/>
      <c r="W984" s="245"/>
      <c r="X984" s="245"/>
      <c r="Y984" s="245"/>
      <c r="Z984" s="245"/>
    </row>
    <row r="985">
      <c r="A985" s="245"/>
      <c r="B985" s="245"/>
      <c r="C985" s="245"/>
      <c r="D985" s="245" t="str">
        <f>IFNA(VLOOKUP(B985,IMS!$A$2:$E$232,5,0),"")</f>
        <v/>
      </c>
      <c r="E985" s="245"/>
      <c r="F985" s="245"/>
      <c r="G985" s="245"/>
      <c r="H985" s="245"/>
      <c r="I985" s="245"/>
      <c r="J985" s="245"/>
      <c r="K985" s="245"/>
      <c r="L985" s="245"/>
      <c r="M985" s="245"/>
      <c r="N985" s="245"/>
      <c r="O985" s="245"/>
      <c r="P985" s="245"/>
      <c r="Q985" s="245"/>
      <c r="R985" s="245"/>
      <c r="S985" s="245"/>
      <c r="T985" s="245"/>
      <c r="U985" s="245"/>
      <c r="V985" s="245"/>
      <c r="W985" s="245"/>
      <c r="X985" s="245"/>
      <c r="Y985" s="245"/>
      <c r="Z985" s="245"/>
    </row>
    <row r="986">
      <c r="A986" s="245"/>
      <c r="B986" s="245"/>
      <c r="C986" s="245"/>
      <c r="D986" s="245" t="str">
        <f>IFNA(VLOOKUP(B986,IMS!$A$2:$E$232,5,0),"")</f>
        <v/>
      </c>
      <c r="E986" s="245"/>
      <c r="F986" s="245"/>
      <c r="G986" s="245"/>
      <c r="H986" s="245"/>
      <c r="I986" s="245"/>
      <c r="J986" s="245"/>
      <c r="K986" s="245"/>
      <c r="L986" s="245"/>
      <c r="M986" s="245"/>
      <c r="N986" s="245"/>
      <c r="O986" s="245"/>
      <c r="P986" s="245"/>
      <c r="Q986" s="245"/>
      <c r="R986" s="245"/>
      <c r="S986" s="245"/>
      <c r="T986" s="245"/>
      <c r="U986" s="245"/>
      <c r="V986" s="245"/>
      <c r="W986" s="245"/>
      <c r="X986" s="245"/>
      <c r="Y986" s="245"/>
      <c r="Z986" s="245"/>
    </row>
    <row r="987">
      <c r="A987" s="245"/>
      <c r="B987" s="245"/>
      <c r="C987" s="245"/>
      <c r="D987" s="245" t="str">
        <f>IFNA(VLOOKUP(B987,IMS!$A$2:$E$232,5,0),"")</f>
        <v/>
      </c>
      <c r="E987" s="245"/>
      <c r="F987" s="245"/>
      <c r="G987" s="245"/>
      <c r="H987" s="245"/>
      <c r="I987" s="245"/>
      <c r="J987" s="245"/>
      <c r="K987" s="245"/>
      <c r="L987" s="245"/>
      <c r="M987" s="245"/>
      <c r="N987" s="245"/>
      <c r="O987" s="245"/>
      <c r="P987" s="245"/>
      <c r="Q987" s="245"/>
      <c r="R987" s="245"/>
      <c r="S987" s="245"/>
      <c r="T987" s="245"/>
      <c r="U987" s="245"/>
      <c r="V987" s="245"/>
      <c r="W987" s="245"/>
      <c r="X987" s="245"/>
      <c r="Y987" s="245"/>
      <c r="Z987" s="245"/>
    </row>
    <row r="988">
      <c r="A988" s="245"/>
      <c r="B988" s="245"/>
      <c r="C988" s="245"/>
      <c r="D988" s="245" t="str">
        <f>IFNA(VLOOKUP(B988,IMS!$A$2:$E$232,5,0),"")</f>
        <v/>
      </c>
      <c r="E988" s="245"/>
      <c r="F988" s="245"/>
      <c r="G988" s="245"/>
      <c r="H988" s="245"/>
      <c r="I988" s="245"/>
      <c r="J988" s="245"/>
      <c r="K988" s="245"/>
      <c r="L988" s="245"/>
      <c r="M988" s="245"/>
      <c r="N988" s="245"/>
      <c r="O988" s="245"/>
      <c r="P988" s="245"/>
      <c r="Q988" s="245"/>
      <c r="R988" s="245"/>
      <c r="S988" s="245"/>
      <c r="T988" s="245"/>
      <c r="U988" s="245"/>
      <c r="V988" s="245"/>
      <c r="W988" s="245"/>
      <c r="X988" s="245"/>
      <c r="Y988" s="245"/>
      <c r="Z988" s="245"/>
    </row>
    <row r="989">
      <c r="A989" s="245"/>
      <c r="B989" s="245"/>
      <c r="C989" s="245"/>
      <c r="D989" s="245" t="str">
        <f>IFNA(VLOOKUP(B989,IMS!$A$2:$E$232,5,0),"")</f>
        <v/>
      </c>
      <c r="E989" s="245"/>
      <c r="F989" s="245"/>
      <c r="G989" s="245"/>
      <c r="H989" s="245"/>
      <c r="I989" s="245"/>
      <c r="J989" s="245"/>
      <c r="K989" s="245"/>
      <c r="L989" s="245"/>
      <c r="M989" s="245"/>
      <c r="N989" s="245"/>
      <c r="O989" s="245"/>
      <c r="P989" s="245"/>
      <c r="Q989" s="245"/>
      <c r="R989" s="245"/>
      <c r="S989" s="245"/>
      <c r="T989" s="245"/>
      <c r="U989" s="245"/>
      <c r="V989" s="245"/>
      <c r="W989" s="245"/>
      <c r="X989" s="245"/>
      <c r="Y989" s="245"/>
      <c r="Z989" s="245"/>
    </row>
    <row r="990">
      <c r="A990" s="245"/>
      <c r="B990" s="245"/>
      <c r="C990" s="245"/>
      <c r="D990" s="245" t="str">
        <f>IFNA(VLOOKUP(B990,IMS!$A$2:$E$232,5,0),"")</f>
        <v/>
      </c>
      <c r="E990" s="245"/>
      <c r="F990" s="245"/>
      <c r="G990" s="245"/>
      <c r="H990" s="245"/>
      <c r="I990" s="245"/>
      <c r="J990" s="245"/>
      <c r="K990" s="245"/>
      <c r="L990" s="245"/>
      <c r="M990" s="245"/>
      <c r="N990" s="245"/>
      <c r="O990" s="245"/>
      <c r="P990" s="245"/>
      <c r="Q990" s="245"/>
      <c r="R990" s="245"/>
      <c r="S990" s="245"/>
      <c r="T990" s="245"/>
      <c r="U990" s="245"/>
      <c r="V990" s="245"/>
      <c r="W990" s="245"/>
      <c r="X990" s="245"/>
      <c r="Y990" s="245"/>
      <c r="Z990" s="245"/>
    </row>
    <row r="991">
      <c r="A991" s="245"/>
      <c r="B991" s="245"/>
      <c r="C991" s="245"/>
      <c r="D991" s="245" t="str">
        <f>IFNA(VLOOKUP(B991,IMS!$A$2:$E$232,5,0),"")</f>
        <v/>
      </c>
      <c r="E991" s="245"/>
      <c r="F991" s="245"/>
      <c r="G991" s="245"/>
      <c r="H991" s="245"/>
      <c r="I991" s="245"/>
      <c r="J991" s="245"/>
      <c r="K991" s="245"/>
      <c r="L991" s="245"/>
      <c r="M991" s="245"/>
      <c r="N991" s="245"/>
      <c r="O991" s="245"/>
      <c r="P991" s="245"/>
      <c r="Q991" s="245"/>
      <c r="R991" s="245"/>
      <c r="S991" s="245"/>
      <c r="T991" s="245"/>
      <c r="U991" s="245"/>
      <c r="V991" s="245"/>
      <c r="W991" s="245"/>
      <c r="X991" s="245"/>
      <c r="Y991" s="245"/>
      <c r="Z991" s="245"/>
    </row>
    <row r="992">
      <c r="A992" s="245"/>
      <c r="B992" s="245"/>
      <c r="C992" s="245"/>
      <c r="D992" s="245" t="str">
        <f>IFNA(VLOOKUP(B992,IMS!$A$2:$E$232,5,0),"")</f>
        <v/>
      </c>
      <c r="E992" s="245"/>
      <c r="F992" s="245"/>
      <c r="G992" s="245"/>
      <c r="H992" s="245"/>
      <c r="I992" s="245"/>
      <c r="J992" s="245"/>
      <c r="K992" s="245"/>
      <c r="L992" s="245"/>
      <c r="M992" s="245"/>
      <c r="N992" s="245"/>
      <c r="O992" s="245"/>
      <c r="P992" s="245"/>
      <c r="Q992" s="245"/>
      <c r="R992" s="245"/>
      <c r="S992" s="245"/>
      <c r="T992" s="245"/>
      <c r="U992" s="245"/>
      <c r="V992" s="245"/>
      <c r="W992" s="245"/>
      <c r="X992" s="245"/>
      <c r="Y992" s="245"/>
      <c r="Z992" s="245"/>
    </row>
    <row r="993">
      <c r="A993" s="245"/>
      <c r="B993" s="245"/>
      <c r="C993" s="245"/>
      <c r="D993" s="245" t="str">
        <f>IFNA(VLOOKUP(B993,IMS!$A$2:$E$232,5,0),"")</f>
        <v/>
      </c>
      <c r="E993" s="245"/>
      <c r="F993" s="245"/>
      <c r="G993" s="245"/>
      <c r="H993" s="245"/>
      <c r="I993" s="245"/>
      <c r="J993" s="245"/>
      <c r="K993" s="245"/>
      <c r="L993" s="245"/>
      <c r="M993" s="245"/>
      <c r="N993" s="245"/>
      <c r="O993" s="245"/>
      <c r="P993" s="245"/>
      <c r="Q993" s="245"/>
      <c r="R993" s="245"/>
      <c r="S993" s="245"/>
      <c r="T993" s="245"/>
      <c r="U993" s="245"/>
      <c r="V993" s="245"/>
      <c r="W993" s="245"/>
      <c r="X993" s="245"/>
      <c r="Y993" s="245"/>
      <c r="Z993" s="245"/>
    </row>
    <row r="994">
      <c r="A994" s="245"/>
      <c r="B994" s="245"/>
      <c r="C994" s="245"/>
      <c r="D994" s="245" t="str">
        <f>IFNA(VLOOKUP(B994,IMS!$A$2:$E$232,5,0),"")</f>
        <v/>
      </c>
      <c r="E994" s="245"/>
      <c r="F994" s="245"/>
      <c r="G994" s="245"/>
      <c r="H994" s="245"/>
      <c r="I994" s="245"/>
      <c r="J994" s="245"/>
      <c r="K994" s="245"/>
      <c r="L994" s="245"/>
      <c r="M994" s="245"/>
      <c r="N994" s="245"/>
      <c r="O994" s="245"/>
      <c r="P994" s="245"/>
      <c r="Q994" s="245"/>
      <c r="R994" s="245"/>
      <c r="S994" s="245"/>
      <c r="T994" s="245"/>
      <c r="U994" s="245"/>
      <c r="V994" s="245"/>
      <c r="W994" s="245"/>
      <c r="X994" s="245"/>
      <c r="Y994" s="245"/>
      <c r="Z994" s="245"/>
    </row>
    <row r="995">
      <c r="A995" s="245"/>
      <c r="B995" s="245"/>
      <c r="C995" s="245"/>
      <c r="D995" s="245" t="str">
        <f>IFNA(VLOOKUP(B995,IMS!$A$2:$E$232,5,0),"")</f>
        <v/>
      </c>
      <c r="E995" s="245"/>
      <c r="F995" s="245"/>
      <c r="G995" s="245"/>
      <c r="H995" s="245"/>
      <c r="I995" s="245"/>
      <c r="J995" s="245"/>
      <c r="K995" s="245"/>
      <c r="L995" s="245"/>
      <c r="M995" s="245"/>
      <c r="N995" s="245"/>
      <c r="O995" s="245"/>
      <c r="P995" s="245"/>
      <c r="Q995" s="245"/>
      <c r="R995" s="245"/>
      <c r="S995" s="245"/>
      <c r="T995" s="245"/>
      <c r="U995" s="245"/>
      <c r="V995" s="245"/>
      <c r="W995" s="245"/>
      <c r="X995" s="245"/>
      <c r="Y995" s="245"/>
      <c r="Z995" s="245"/>
    </row>
    <row r="996">
      <c r="A996" s="245"/>
      <c r="B996" s="245"/>
      <c r="C996" s="245"/>
      <c r="D996" s="245" t="str">
        <f>IFNA(VLOOKUP(B996,IMS!$A$2:$E$232,5,0),"")</f>
        <v/>
      </c>
      <c r="E996" s="245"/>
      <c r="F996" s="245"/>
      <c r="G996" s="245"/>
      <c r="H996" s="245"/>
      <c r="I996" s="245"/>
      <c r="J996" s="245"/>
      <c r="K996" s="245"/>
      <c r="L996" s="245"/>
      <c r="M996" s="245"/>
      <c r="N996" s="245"/>
      <c r="O996" s="245"/>
      <c r="P996" s="245"/>
      <c r="Q996" s="245"/>
      <c r="R996" s="245"/>
      <c r="S996" s="245"/>
      <c r="T996" s="245"/>
      <c r="U996" s="245"/>
      <c r="V996" s="245"/>
      <c r="W996" s="245"/>
      <c r="X996" s="245"/>
      <c r="Y996" s="245"/>
      <c r="Z996" s="245"/>
    </row>
    <row r="997">
      <c r="A997" s="245"/>
      <c r="B997" s="245"/>
      <c r="C997" s="245"/>
      <c r="D997" s="245" t="str">
        <f>IFNA(VLOOKUP(B997,IMS!$A$2:$E$232,5,0),"")</f>
        <v/>
      </c>
      <c r="E997" s="245"/>
      <c r="F997" s="245"/>
      <c r="G997" s="245"/>
      <c r="H997" s="245"/>
      <c r="I997" s="245"/>
      <c r="J997" s="245"/>
      <c r="K997" s="245"/>
      <c r="L997" s="245"/>
      <c r="M997" s="245"/>
      <c r="N997" s="245"/>
      <c r="O997" s="245"/>
      <c r="P997" s="245"/>
      <c r="Q997" s="245"/>
      <c r="R997" s="245"/>
      <c r="S997" s="245"/>
      <c r="T997" s="245"/>
      <c r="U997" s="245"/>
      <c r="V997" s="245"/>
      <c r="W997" s="245"/>
      <c r="X997" s="245"/>
      <c r="Y997" s="245"/>
      <c r="Z997" s="245"/>
    </row>
    <row r="998">
      <c r="A998" s="245"/>
      <c r="B998" s="245"/>
      <c r="C998" s="245"/>
      <c r="D998" s="245" t="str">
        <f>IFNA(VLOOKUP(B998,IMS!$A$2:$E$232,5,0),"")</f>
        <v/>
      </c>
      <c r="E998" s="245"/>
      <c r="F998" s="245"/>
      <c r="G998" s="245"/>
      <c r="H998" s="245"/>
      <c r="I998" s="245"/>
      <c r="J998" s="245"/>
      <c r="K998" s="245"/>
      <c r="L998" s="245"/>
      <c r="M998" s="245"/>
      <c r="N998" s="245"/>
      <c r="O998" s="245"/>
      <c r="P998" s="245"/>
      <c r="Q998" s="245"/>
      <c r="R998" s="245"/>
      <c r="S998" s="245"/>
      <c r="T998" s="245"/>
      <c r="U998" s="245"/>
      <c r="V998" s="245"/>
      <c r="W998" s="245"/>
      <c r="X998" s="245"/>
      <c r="Y998" s="245"/>
      <c r="Z998" s="245"/>
    </row>
    <row r="999">
      <c r="A999" s="245"/>
      <c r="B999" s="245"/>
      <c r="C999" s="245"/>
      <c r="D999" s="245" t="str">
        <f>IFNA(VLOOKUP(B999,IMS!$A$2:$E$232,5,0),"")</f>
        <v/>
      </c>
      <c r="E999" s="245"/>
      <c r="F999" s="245"/>
      <c r="G999" s="245"/>
      <c r="H999" s="245"/>
      <c r="I999" s="245"/>
      <c r="J999" s="245"/>
      <c r="K999" s="245"/>
      <c r="L999" s="245"/>
      <c r="M999" s="245"/>
      <c r="N999" s="245"/>
      <c r="O999" s="245"/>
      <c r="P999" s="245"/>
      <c r="Q999" s="245"/>
      <c r="R999" s="245"/>
      <c r="S999" s="245"/>
      <c r="T999" s="245"/>
      <c r="U999" s="245"/>
      <c r="V999" s="245"/>
      <c r="W999" s="245"/>
      <c r="X999" s="245"/>
      <c r="Y999" s="245"/>
      <c r="Z999" s="245"/>
    </row>
    <row r="1000">
      <c r="A1000" s="245"/>
      <c r="B1000" s="245"/>
      <c r="C1000" s="245"/>
      <c r="D1000" s="245" t="str">
        <f>IFNA(VLOOKUP(B1000,IMS!$A$2:$E$232,5,0),"")</f>
        <v/>
      </c>
      <c r="E1000" s="245"/>
      <c r="F1000" s="245"/>
      <c r="G1000" s="245"/>
      <c r="H1000" s="245"/>
      <c r="I1000" s="245"/>
      <c r="J1000" s="245"/>
      <c r="K1000" s="245"/>
      <c r="L1000" s="245"/>
      <c r="M1000" s="245"/>
      <c r="N1000" s="245"/>
      <c r="O1000" s="245"/>
      <c r="P1000" s="245"/>
      <c r="Q1000" s="245"/>
      <c r="R1000" s="245"/>
      <c r="S1000" s="245"/>
      <c r="T1000" s="245"/>
      <c r="U1000" s="245"/>
      <c r="V1000" s="245"/>
      <c r="W1000" s="245"/>
      <c r="X1000" s="245"/>
      <c r="Y1000" s="245"/>
      <c r="Z1000" s="245"/>
    </row>
    <row r="1001">
      <c r="A1001" s="245"/>
      <c r="B1001" s="245"/>
      <c r="C1001" s="245"/>
      <c r="D1001" s="245" t="str">
        <f>IFNA(VLOOKUP(B1001,IMS!$A$2:$E$232,5,0),"")</f>
        <v/>
      </c>
      <c r="E1001" s="245"/>
      <c r="F1001" s="245"/>
      <c r="G1001" s="245"/>
      <c r="H1001" s="245"/>
      <c r="I1001" s="245"/>
      <c r="J1001" s="245"/>
      <c r="K1001" s="245"/>
      <c r="L1001" s="245"/>
      <c r="M1001" s="245"/>
      <c r="N1001" s="245"/>
      <c r="O1001" s="245"/>
      <c r="P1001" s="245"/>
      <c r="Q1001" s="245"/>
      <c r="R1001" s="245"/>
      <c r="S1001" s="245"/>
      <c r="T1001" s="245"/>
      <c r="U1001" s="245"/>
      <c r="V1001" s="245"/>
      <c r="W1001" s="245"/>
      <c r="X1001" s="245"/>
      <c r="Y1001" s="245"/>
      <c r="Z1001" s="245"/>
    </row>
    <row r="1002">
      <c r="A1002" s="245"/>
      <c r="B1002" s="245"/>
      <c r="C1002" s="245"/>
      <c r="D1002" s="245" t="str">
        <f>IFNA(VLOOKUP(B1002,IMS!$A$2:$E$232,5,0),"")</f>
        <v/>
      </c>
      <c r="E1002" s="245"/>
      <c r="F1002" s="245"/>
      <c r="G1002" s="245"/>
      <c r="H1002" s="245"/>
      <c r="I1002" s="245"/>
      <c r="J1002" s="245"/>
      <c r="K1002" s="245"/>
      <c r="L1002" s="245"/>
      <c r="M1002" s="245"/>
      <c r="N1002" s="245"/>
      <c r="O1002" s="245"/>
      <c r="P1002" s="245"/>
      <c r="Q1002" s="245"/>
      <c r="R1002" s="245"/>
      <c r="S1002" s="245"/>
      <c r="T1002" s="245"/>
      <c r="U1002" s="245"/>
      <c r="V1002" s="245"/>
      <c r="W1002" s="245"/>
      <c r="X1002" s="245"/>
      <c r="Y1002" s="245"/>
      <c r="Z1002" s="245"/>
    </row>
    <row r="1003">
      <c r="A1003" s="245"/>
      <c r="B1003" s="245"/>
      <c r="C1003" s="245"/>
      <c r="D1003" s="245" t="str">
        <f>IFNA(VLOOKUP(B1003,IMS!$A$2:$E$232,5,0),"")</f>
        <v/>
      </c>
      <c r="E1003" s="245"/>
      <c r="F1003" s="245"/>
      <c r="G1003" s="245"/>
      <c r="H1003" s="245"/>
      <c r="I1003" s="245"/>
      <c r="J1003" s="245"/>
      <c r="K1003" s="245"/>
      <c r="L1003" s="245"/>
      <c r="M1003" s="245"/>
      <c r="N1003" s="245"/>
      <c r="O1003" s="245"/>
      <c r="P1003" s="245"/>
      <c r="Q1003" s="245"/>
      <c r="R1003" s="245"/>
      <c r="S1003" s="245"/>
      <c r="T1003" s="245"/>
      <c r="U1003" s="245"/>
      <c r="V1003" s="245"/>
      <c r="W1003" s="245"/>
      <c r="X1003" s="245"/>
      <c r="Y1003" s="245"/>
      <c r="Z1003" s="245"/>
    </row>
    <row r="1004">
      <c r="A1004" s="245"/>
      <c r="B1004" s="245"/>
      <c r="C1004" s="245"/>
      <c r="D1004" s="245" t="str">
        <f>IFNA(VLOOKUP(B1004,IMS!$A$2:$E$232,5,0),"")</f>
        <v/>
      </c>
      <c r="E1004" s="245"/>
      <c r="F1004" s="245"/>
      <c r="G1004" s="245"/>
      <c r="H1004" s="245"/>
      <c r="I1004" s="245"/>
      <c r="J1004" s="245"/>
      <c r="K1004" s="245"/>
      <c r="L1004" s="245"/>
      <c r="M1004" s="245"/>
      <c r="N1004" s="245"/>
      <c r="O1004" s="245"/>
      <c r="P1004" s="245"/>
      <c r="Q1004" s="245"/>
      <c r="R1004" s="245"/>
      <c r="S1004" s="245"/>
      <c r="T1004" s="245"/>
      <c r="U1004" s="245"/>
      <c r="V1004" s="245"/>
      <c r="W1004" s="245"/>
      <c r="X1004" s="245"/>
      <c r="Y1004" s="245"/>
      <c r="Z1004" s="245"/>
    </row>
    <row r="1005">
      <c r="A1005" s="245"/>
      <c r="B1005" s="245"/>
      <c r="C1005" s="245"/>
      <c r="D1005" s="245" t="str">
        <f>IFNA(VLOOKUP(B1005,IMS!$A$2:$E$232,5,0),"")</f>
        <v/>
      </c>
      <c r="E1005" s="245"/>
      <c r="F1005" s="245"/>
      <c r="G1005" s="245"/>
      <c r="H1005" s="245"/>
      <c r="I1005" s="245"/>
      <c r="J1005" s="245"/>
      <c r="K1005" s="245"/>
      <c r="L1005" s="245"/>
      <c r="M1005" s="245"/>
      <c r="N1005" s="245"/>
      <c r="O1005" s="245"/>
      <c r="P1005" s="245"/>
      <c r="Q1005" s="245"/>
      <c r="R1005" s="245"/>
      <c r="S1005" s="245"/>
      <c r="T1005" s="245"/>
      <c r="U1005" s="245"/>
      <c r="V1005" s="245"/>
      <c r="W1005" s="245"/>
      <c r="X1005" s="245"/>
      <c r="Y1005" s="245"/>
      <c r="Z1005" s="245"/>
    </row>
  </sheetData>
  <mergeCells count="4">
    <mergeCell ref="A1:C1"/>
    <mergeCell ref="H1:J1"/>
    <mergeCell ref="H27:J27"/>
    <mergeCell ref="H40:K40"/>
  </mergeCells>
  <printOptions gridLines="1" horizontalCentered="1"/>
  <pageMargins bottom="0.75" footer="0.0" header="0.0" left="0.7" right="0.7" top="0.21814555502461933"/>
  <pageSetup fitToHeight="0" paperSize="9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5" max="5" width="26.25"/>
  </cols>
  <sheetData>
    <row r="1">
      <c r="A1" s="40" t="s">
        <v>3</v>
      </c>
      <c r="B1" s="41" t="s">
        <v>1578</v>
      </c>
      <c r="C1" s="41" t="s">
        <v>1580</v>
      </c>
      <c r="D1" s="42" t="s">
        <v>1581</v>
      </c>
      <c r="E1" s="41" t="s">
        <v>2493</v>
      </c>
      <c r="F1" s="43" t="s">
        <v>1198</v>
      </c>
      <c r="G1" s="43" t="s">
        <v>1202</v>
      </c>
      <c r="H1" s="43" t="s">
        <v>2494</v>
      </c>
      <c r="I1" s="43" t="s">
        <v>1204</v>
      </c>
    </row>
    <row r="2">
      <c r="A2" s="247">
        <f t="array" ref="A2:D1002">INDEX('Form responses 2'!$A$2:$D$1002,0)</f>
        <v>46055.43764</v>
      </c>
      <c r="B2" s="25">
        <v>506.0</v>
      </c>
      <c r="C2" s="25" t="s">
        <v>1583</v>
      </c>
      <c r="D2" s="25">
        <v>1000.0</v>
      </c>
      <c r="E2" s="25" t="str">
        <f t="array" ref="E2:E997">IF(C2:C997="","",
    MAP(C2:C997,
      LAMBDA(code,
        IFERROR(
          INDEX('Item List'!A:A,
            MATCH(code,'Item List'!I:I,0)
          ),
        "")
      )
    )
  )
</f>
        <v>Mapletho 23X36 78Gsm</v>
      </c>
      <c r="F2" s="25" t="str">
        <f t="array" ref="F2:I2">IFERROR(_xlfn.XLOOKUP('Form responses 2'!C2,'Item List'!$I$2:$I$995,'Item List'!C$2:$F$995),"")</f>
        <v>Mapletho</v>
      </c>
      <c r="G2" s="25" t="s">
        <v>1563</v>
      </c>
      <c r="H2" s="25" t="s">
        <v>1902</v>
      </c>
      <c r="I2" s="25" t="s">
        <v>1566</v>
      </c>
    </row>
    <row r="3">
      <c r="A3" s="247">
        <v>46055.44097222222</v>
      </c>
      <c r="B3" s="25">
        <v>507.0</v>
      </c>
      <c r="C3" s="25" t="s">
        <v>1585</v>
      </c>
      <c r="D3" s="25">
        <v>6000.0</v>
      </c>
      <c r="E3" s="25" t="s">
        <v>1694</v>
      </c>
      <c r="F3" s="25" t="str">
        <f t="array" ref="F3:I3">IFERROR(_xlfn.XLOOKUP('Form responses 2'!C3,'Item List'!$I$2:$I$995,'Item List'!C$2:$F$995),"")</f>
        <v>Sbs Paper</v>
      </c>
      <c r="G3" s="25" t="s">
        <v>1656</v>
      </c>
      <c r="H3" s="25" t="s">
        <v>1607</v>
      </c>
      <c r="I3" s="25" t="s">
        <v>1566</v>
      </c>
    </row>
    <row r="4">
      <c r="A4" s="247">
        <v>46055.44097222222</v>
      </c>
      <c r="B4" s="25">
        <v>508.0</v>
      </c>
      <c r="C4" s="25" t="s">
        <v>942</v>
      </c>
      <c r="D4" s="25">
        <v>500.0</v>
      </c>
      <c r="E4" s="25" t="s">
        <v>943</v>
      </c>
      <c r="F4" s="25" t="str">
        <f t="array" ref="F4:I4">IFERROR(_xlfn.XLOOKUP('Form responses 2'!C4,'Item List'!$I$2:$I$995,'Item List'!C$2:$F$995),"")</f>
        <v>Sbs Paper</v>
      </c>
      <c r="G4" s="25" t="s">
        <v>1591</v>
      </c>
      <c r="H4" s="25" t="s">
        <v>1575</v>
      </c>
      <c r="I4" s="25" t="s">
        <v>1566</v>
      </c>
    </row>
    <row r="5">
      <c r="A5" s="247">
        <v>46055.44097222222</v>
      </c>
      <c r="B5" s="25">
        <v>508.0</v>
      </c>
      <c r="C5" s="25" t="s">
        <v>33</v>
      </c>
      <c r="D5" s="25">
        <v>200.0</v>
      </c>
      <c r="E5" s="25" t="s">
        <v>35</v>
      </c>
      <c r="F5" s="25" t="str">
        <f t="array" ref="F5:I5">IFERROR(_xlfn.XLOOKUP('Form responses 2'!C5,'Item List'!$I$2:$I$995,'Item List'!C$2:$F$995),"")</f>
        <v>Sbs Paper</v>
      </c>
      <c r="G5" s="25" t="s">
        <v>1573</v>
      </c>
      <c r="H5" s="25" t="s">
        <v>1575</v>
      </c>
      <c r="I5" s="25" t="s">
        <v>1566</v>
      </c>
    </row>
    <row r="6">
      <c r="A6" s="247">
        <v>46055.48263888889</v>
      </c>
      <c r="B6" s="25">
        <v>509.0</v>
      </c>
      <c r="C6" s="25" t="s">
        <v>1585</v>
      </c>
      <c r="D6" s="25">
        <v>400.0</v>
      </c>
      <c r="E6" s="25" t="s">
        <v>1694</v>
      </c>
      <c r="F6" s="25" t="str">
        <f t="array" ref="F6:I6">IFERROR(_xlfn.XLOOKUP('Form responses 2'!C6,'Item List'!$I$2:$I$995,'Item List'!C$2:$F$995),"")</f>
        <v>Sbs Paper</v>
      </c>
      <c r="G6" s="25" t="s">
        <v>1656</v>
      </c>
      <c r="H6" s="25" t="s">
        <v>1607</v>
      </c>
      <c r="I6" s="25" t="s">
        <v>1566</v>
      </c>
    </row>
    <row r="7">
      <c r="A7" s="247">
        <v>46055.48263888889</v>
      </c>
      <c r="B7" s="25">
        <v>512.0</v>
      </c>
      <c r="C7" s="25" t="s">
        <v>1588</v>
      </c>
      <c r="D7" s="25">
        <v>700.0</v>
      </c>
      <c r="E7" s="25" t="s">
        <v>1784</v>
      </c>
      <c r="F7" s="25" t="str">
        <f t="array" ref="F7:I7">IFERROR(_xlfn.XLOOKUP('Form responses 2'!C7,'Item List'!$I$2:$I$995,'Item List'!C$2:$F$995),"")</f>
        <v>Art Card</v>
      </c>
      <c r="G7" s="25" t="s">
        <v>1647</v>
      </c>
      <c r="H7" s="25" t="s">
        <v>1662</v>
      </c>
      <c r="I7" s="25" t="s">
        <v>1566</v>
      </c>
    </row>
    <row r="8">
      <c r="A8" s="247">
        <v>46055.524305555555</v>
      </c>
      <c r="B8" s="25">
        <v>510.0</v>
      </c>
      <c r="C8" s="25" t="s">
        <v>1569</v>
      </c>
      <c r="D8" s="25">
        <v>1400.0</v>
      </c>
      <c r="E8" s="25" t="s">
        <v>1570</v>
      </c>
      <c r="F8" s="25" t="str">
        <f t="array" ref="F8:I8">IFERROR(_xlfn.XLOOKUP('Form responses 2'!C8,'Item List'!$I$2:$I$995,'Item List'!C$2:$F$995),"")</f>
        <v>Sbs Paper</v>
      </c>
      <c r="G8" s="25" t="s">
        <v>1563</v>
      </c>
      <c r="H8" s="25" t="s">
        <v>1564</v>
      </c>
      <c r="I8" s="25" t="s">
        <v>1571</v>
      </c>
    </row>
    <row r="9">
      <c r="A9" s="247">
        <v>46055.56597222222</v>
      </c>
      <c r="B9" s="25">
        <v>511.0</v>
      </c>
      <c r="C9" s="25" t="s">
        <v>1589</v>
      </c>
      <c r="D9" s="25">
        <v>1400.0</v>
      </c>
      <c r="E9" s="25" t="s">
        <v>1695</v>
      </c>
      <c r="F9" s="25" t="str">
        <f t="array" ref="F9:I9">IFERROR(_xlfn.XLOOKUP('Form responses 2'!C9,'Item List'!$I$2:$I$995,'Item List'!C$2:$F$995),"")</f>
        <v>Sbs Paper</v>
      </c>
      <c r="G9" s="25" t="s">
        <v>1573</v>
      </c>
      <c r="H9" s="25" t="s">
        <v>1604</v>
      </c>
      <c r="I9" s="25" t="s">
        <v>1566</v>
      </c>
    </row>
    <row r="10">
      <c r="A10" s="247">
        <v>46055.56597222222</v>
      </c>
      <c r="B10" s="25">
        <v>513.0</v>
      </c>
      <c r="C10" s="25" t="s">
        <v>1590</v>
      </c>
      <c r="D10" s="25">
        <v>350.0</v>
      </c>
      <c r="E10" s="25" t="s">
        <v>1333</v>
      </c>
      <c r="F10" s="25" t="str">
        <f t="array" ref="F10">IFERROR(_xlfn.XLOOKUP('Form responses 2'!C10,'Item List'!$I$2:$I$995,'Item List'!C$2:$F$995),"")</f>
        <v/>
      </c>
    </row>
    <row r="11">
      <c r="A11" s="152">
        <v>46056.75237001157</v>
      </c>
      <c r="B11" s="25">
        <v>514.0</v>
      </c>
      <c r="C11" s="25" t="s">
        <v>1569</v>
      </c>
      <c r="D11" s="25">
        <v>500.0</v>
      </c>
      <c r="E11" s="25" t="s">
        <v>1570</v>
      </c>
      <c r="F11" s="25" t="str">
        <f t="array" ref="F11:I11">IFERROR(_xlfn.XLOOKUP('Form responses 2'!C11,'Item List'!$I$2:$I$995,'Item List'!C$2:$F$995),"")</f>
        <v>Sbs Paper</v>
      </c>
      <c r="G11" s="25" t="s">
        <v>1563</v>
      </c>
      <c r="H11" s="25" t="s">
        <v>1564</v>
      </c>
      <c r="I11" s="25" t="s">
        <v>1571</v>
      </c>
    </row>
    <row r="12">
      <c r="A12" s="152">
        <v>46056.75237001157</v>
      </c>
      <c r="B12" s="25">
        <v>515.0</v>
      </c>
      <c r="C12" s="25" t="s">
        <v>33</v>
      </c>
      <c r="D12" s="25">
        <v>600.0</v>
      </c>
      <c r="E12" s="25" t="s">
        <v>35</v>
      </c>
      <c r="F12" s="25" t="str">
        <f t="array" ref="F12:I12">IFERROR(_xlfn.XLOOKUP('Form responses 2'!C12,'Item List'!$I$2:$I$995,'Item List'!C$2:$F$995),"")</f>
        <v>Sbs Paper</v>
      </c>
      <c r="G12" s="25" t="s">
        <v>1573</v>
      </c>
      <c r="H12" s="25" t="s">
        <v>1575</v>
      </c>
      <c r="I12" s="25" t="s">
        <v>1566</v>
      </c>
    </row>
    <row r="13">
      <c r="A13" s="152">
        <v>46056.75237001157</v>
      </c>
      <c r="B13" s="25">
        <v>516.0</v>
      </c>
      <c r="C13" s="25" t="s">
        <v>175</v>
      </c>
      <c r="D13" s="25">
        <v>900.0</v>
      </c>
      <c r="E13" s="25" t="s">
        <v>176</v>
      </c>
      <c r="F13" s="25" t="str">
        <f t="array" ref="F13:I13">IFERROR(_xlfn.XLOOKUP('Form responses 2'!C13,'Item List'!$I$2:$I$995,'Item List'!C$2:$F$995),"")</f>
        <v>Sbs Paper</v>
      </c>
      <c r="G13" s="25" t="s">
        <v>1633</v>
      </c>
      <c r="H13" s="25" t="s">
        <v>1634</v>
      </c>
      <c r="I13" s="25" t="s">
        <v>1571</v>
      </c>
    </row>
    <row r="14">
      <c r="A14" s="152">
        <v>46056.75237001157</v>
      </c>
      <c r="B14" s="25">
        <v>517.0</v>
      </c>
      <c r="C14" s="25" t="s">
        <v>175</v>
      </c>
      <c r="D14" s="25">
        <v>1600.0</v>
      </c>
      <c r="E14" s="25" t="s">
        <v>176</v>
      </c>
      <c r="F14" s="25" t="str">
        <f t="array" ref="F14:I14">IFERROR(_xlfn.XLOOKUP('Form responses 2'!C14,'Item List'!$I$2:$I$995,'Item List'!C$2:$F$995),"")</f>
        <v>Sbs Paper</v>
      </c>
      <c r="G14" s="25" t="s">
        <v>1633</v>
      </c>
      <c r="H14" s="25" t="s">
        <v>1634</v>
      </c>
      <c r="I14" s="25" t="s">
        <v>1571</v>
      </c>
    </row>
    <row r="15">
      <c r="A15" s="152">
        <v>46057.735010578705</v>
      </c>
      <c r="B15" s="25">
        <v>518.0</v>
      </c>
      <c r="C15" s="25" t="s">
        <v>1593</v>
      </c>
      <c r="D15" s="25">
        <v>3000.0</v>
      </c>
      <c r="E15" s="25" t="s">
        <v>1333</v>
      </c>
      <c r="F15" s="25" t="str">
        <f t="array" ref="F15">IFERROR(_xlfn.XLOOKUP('Form responses 2'!C15,'Item List'!$I$2:$I$995,'Item List'!C$2:$F$995),"")</f>
        <v/>
      </c>
    </row>
    <row r="16">
      <c r="A16" s="152">
        <v>46057.735010578705</v>
      </c>
      <c r="B16" s="25">
        <v>518.0</v>
      </c>
      <c r="C16" s="25" t="s">
        <v>1593</v>
      </c>
      <c r="D16" s="25">
        <v>3000.0</v>
      </c>
      <c r="E16" s="25" t="s">
        <v>1333</v>
      </c>
      <c r="F16" s="25" t="str">
        <f t="array" ref="F16">IFERROR(_xlfn.XLOOKUP('Form responses 2'!C16,'Item List'!$I$2:$I$995,'Item List'!C$2:$F$995),"")</f>
        <v/>
      </c>
    </row>
    <row r="17">
      <c r="A17" s="152">
        <v>46058.62931260417</v>
      </c>
      <c r="B17" s="25">
        <v>519.0</v>
      </c>
      <c r="C17" s="25" t="s">
        <v>1596</v>
      </c>
      <c r="D17" s="25">
        <v>5300.0</v>
      </c>
      <c r="E17" s="25" t="s">
        <v>1333</v>
      </c>
      <c r="F17" s="25" t="str">
        <f t="array" ref="F17">IFERROR(_xlfn.XLOOKUP('Form responses 2'!C17,'Item List'!$I$2:$I$995,'Item List'!C$2:$F$995),"")</f>
        <v/>
      </c>
    </row>
    <row r="18">
      <c r="A18" s="152">
        <v>46058.701012627316</v>
      </c>
      <c r="B18" s="25">
        <v>520.0</v>
      </c>
      <c r="C18" s="25" t="s">
        <v>1598</v>
      </c>
      <c r="D18" s="25">
        <v>1000.0</v>
      </c>
      <c r="E18" s="25" t="s">
        <v>1333</v>
      </c>
      <c r="F18" s="25" t="str">
        <f t="array" ref="F18">IFERROR(_xlfn.XLOOKUP('Form responses 2'!C18,'Item List'!$I$2:$I$995,'Item List'!C$2:$F$995),"")</f>
        <v/>
      </c>
    </row>
    <row r="19">
      <c r="A19" s="152">
        <v>46059.69576120371</v>
      </c>
      <c r="B19" s="25">
        <v>521.0</v>
      </c>
      <c r="C19" s="25" t="s">
        <v>1599</v>
      </c>
      <c r="D19" s="25">
        <v>5565.0</v>
      </c>
      <c r="E19" s="25" t="s">
        <v>1333</v>
      </c>
      <c r="F19" s="25" t="str">
        <f t="array" ref="F19">IFERROR(_xlfn.XLOOKUP('Form responses 2'!C19,'Item List'!$I$2:$I$995,'Item List'!C$2:$F$995),"")</f>
        <v/>
      </c>
    </row>
    <row r="20">
      <c r="A20" s="152">
        <v>46059.69576120371</v>
      </c>
      <c r="B20" s="25">
        <v>522.0</v>
      </c>
      <c r="C20" s="25" t="s">
        <v>573</v>
      </c>
      <c r="D20" s="25">
        <v>1000.0</v>
      </c>
      <c r="E20" s="25" t="s">
        <v>575</v>
      </c>
      <c r="F20" s="25" t="str">
        <f t="array" ref="F20:I20">IFERROR(_xlfn.XLOOKUP('Form responses 2'!C20,'Item List'!$I$2:$I$995,'Item List'!C$2:$F$995),"")</f>
        <v>Sbs Paper</v>
      </c>
      <c r="G20" s="25" t="s">
        <v>1587</v>
      </c>
      <c r="H20" s="25" t="s">
        <v>1564</v>
      </c>
      <c r="I20" s="25" t="s">
        <v>1571</v>
      </c>
    </row>
    <row r="21">
      <c r="A21" s="152">
        <v>46059.69576120371</v>
      </c>
      <c r="B21" s="25">
        <v>522.0</v>
      </c>
      <c r="C21" s="25" t="s">
        <v>1605</v>
      </c>
      <c r="D21" s="25">
        <v>1000.0</v>
      </c>
      <c r="E21" s="25" t="s">
        <v>1630</v>
      </c>
      <c r="F21" s="25" t="str">
        <f t="array" ref="F21:I21">IFERROR(_xlfn.XLOOKUP('Form responses 2'!C21,'Item List'!$I$2:$I$995,'Item List'!C$2:$F$995),"")</f>
        <v>Sbs Paper</v>
      </c>
      <c r="G21" s="25" t="s">
        <v>1631</v>
      </c>
      <c r="H21" s="25" t="s">
        <v>1564</v>
      </c>
      <c r="I21" s="25" t="s">
        <v>1571</v>
      </c>
    </row>
    <row r="22">
      <c r="A22" s="152">
        <v>46059.719592187495</v>
      </c>
      <c r="B22" s="25">
        <v>523.0</v>
      </c>
      <c r="C22" s="25" t="s">
        <v>347</v>
      </c>
      <c r="D22" s="25">
        <v>1300.0</v>
      </c>
      <c r="E22" s="25" t="s">
        <v>349</v>
      </c>
      <c r="F22" s="25" t="str">
        <f t="array" ref="F22:I22">IFERROR(_xlfn.XLOOKUP('Form responses 2'!C22,'Item List'!$I$2:$I$995,'Item List'!C$2:$F$995),"")</f>
        <v>Sbs Paper</v>
      </c>
      <c r="G22" s="25" t="s">
        <v>1591</v>
      </c>
      <c r="H22" s="25" t="s">
        <v>1564</v>
      </c>
      <c r="I22" s="25" t="s">
        <v>1565</v>
      </c>
    </row>
    <row r="23">
      <c r="A23" s="152">
        <v>46059.719592187495</v>
      </c>
      <c r="B23" s="25">
        <v>523.0</v>
      </c>
      <c r="C23" s="25" t="s">
        <v>1592</v>
      </c>
      <c r="D23" s="25">
        <v>700.0</v>
      </c>
      <c r="E23" s="25" t="s">
        <v>1594</v>
      </c>
      <c r="F23" s="25" t="str">
        <f t="array" ref="F23:I23">IFERROR(_xlfn.XLOOKUP('Form responses 2'!C23,'Item List'!$I$2:$I$995,'Item List'!C$2:$F$995),"")</f>
        <v>Sbs Paper</v>
      </c>
      <c r="G23" s="25" t="s">
        <v>1591</v>
      </c>
      <c r="H23" s="25" t="s">
        <v>1595</v>
      </c>
      <c r="I23" s="25" t="s">
        <v>1571</v>
      </c>
    </row>
    <row r="24">
      <c r="A24" s="152">
        <v>46060.6502768287</v>
      </c>
      <c r="B24" s="25">
        <v>528.0</v>
      </c>
      <c r="C24" s="25" t="s">
        <v>365</v>
      </c>
      <c r="D24" s="25">
        <v>576.0</v>
      </c>
      <c r="E24" s="25" t="s">
        <v>367</v>
      </c>
      <c r="F24" s="25" t="str">
        <f t="array" ref="F24:I24">IFERROR(_xlfn.XLOOKUP('Form responses 2'!C24,'Item List'!$I$2:$I$995,'Item List'!C$2:$F$995),"")</f>
        <v>Duplex</v>
      </c>
      <c r="G24" s="25" t="s">
        <v>1584</v>
      </c>
      <c r="H24" s="25" t="s">
        <v>1572</v>
      </c>
      <c r="I24" s="25" t="s">
        <v>1654</v>
      </c>
    </row>
    <row r="25">
      <c r="A25" s="152">
        <v>46060.651324652776</v>
      </c>
      <c r="B25" s="25">
        <v>527.0</v>
      </c>
      <c r="C25" s="25" t="s">
        <v>778</v>
      </c>
      <c r="D25" s="25">
        <v>527.0</v>
      </c>
      <c r="E25" s="25" t="s">
        <v>779</v>
      </c>
      <c r="F25" s="25" t="str">
        <f t="array" ref="F25:I25">IFERROR(_xlfn.XLOOKUP('Form responses 2'!C25,'Item List'!$I$2:$I$995,'Item List'!C$2:$F$995),"")</f>
        <v>Duplex</v>
      </c>
      <c r="G25" s="25" t="s">
        <v>1576</v>
      </c>
      <c r="H25" s="25" t="s">
        <v>1572</v>
      </c>
      <c r="I25" s="25" t="s">
        <v>1566</v>
      </c>
    </row>
    <row r="26">
      <c r="A26" s="152">
        <v>46060.654397418984</v>
      </c>
      <c r="B26" s="25">
        <v>524.0</v>
      </c>
      <c r="C26" s="25" t="s">
        <v>932</v>
      </c>
      <c r="D26" s="25">
        <v>3200.0</v>
      </c>
      <c r="E26" s="25" t="s">
        <v>933</v>
      </c>
      <c r="F26" s="25" t="str">
        <f t="array" ref="F26:I26">IFERROR(_xlfn.XLOOKUP('Form responses 2'!C26,'Item List'!$I$2:$I$995,'Item List'!C$2:$F$995),"")</f>
        <v>Sbs Paper</v>
      </c>
      <c r="G26" s="25" t="s">
        <v>1600</v>
      </c>
      <c r="H26" s="25" t="s">
        <v>1572</v>
      </c>
      <c r="I26" s="25" t="s">
        <v>1571</v>
      </c>
    </row>
    <row r="27">
      <c r="A27" s="152">
        <v>46060.654397418984</v>
      </c>
      <c r="B27" s="25">
        <v>525.0</v>
      </c>
      <c r="C27" s="25" t="s">
        <v>179</v>
      </c>
      <c r="D27" s="25">
        <v>2016.0</v>
      </c>
      <c r="E27" s="25" t="s">
        <v>180</v>
      </c>
      <c r="F27" s="25" t="str">
        <f t="array" ref="F27:I27">IFERROR(_xlfn.XLOOKUP('Form responses 2'!C27,'Item List'!$I$2:$I$995,'Item List'!C$2:$F$995),"")</f>
        <v>Duplex</v>
      </c>
      <c r="G27" s="25" t="s">
        <v>1563</v>
      </c>
      <c r="H27" s="25" t="s">
        <v>1572</v>
      </c>
      <c r="I27" s="25" t="s">
        <v>1654</v>
      </c>
    </row>
    <row r="28">
      <c r="A28" s="152">
        <v>46060.654397418984</v>
      </c>
      <c r="B28" s="25">
        <v>526.0</v>
      </c>
      <c r="C28" s="25" t="s">
        <v>1609</v>
      </c>
      <c r="D28" s="25">
        <v>1080.0</v>
      </c>
      <c r="E28" s="25" t="s">
        <v>1655</v>
      </c>
      <c r="F28" s="25" t="str">
        <f t="array" ref="F28:I28">IFERROR(_xlfn.XLOOKUP('Form responses 2'!C28,'Item List'!$I$2:$I$995,'Item List'!C$2:$F$995),"")</f>
        <v>Duplex</v>
      </c>
      <c r="G28" s="25" t="s">
        <v>1656</v>
      </c>
      <c r="H28" s="25" t="s">
        <v>1572</v>
      </c>
      <c r="I28" s="25" t="s">
        <v>1654</v>
      </c>
    </row>
    <row r="29">
      <c r="A29" s="152">
        <v>46060.69283525463</v>
      </c>
      <c r="B29" s="25">
        <v>529.0</v>
      </c>
      <c r="C29" s="25" t="s">
        <v>341</v>
      </c>
      <c r="D29" s="25">
        <v>2700.0</v>
      </c>
      <c r="E29" s="25" t="s">
        <v>342</v>
      </c>
      <c r="F29" s="25" t="str">
        <f t="array" ref="F29:I29">IFERROR(_xlfn.XLOOKUP('Form responses 2'!C29,'Item List'!$I$2:$I$995,'Item List'!C$2:$F$995),"")</f>
        <v>Sbs Paper</v>
      </c>
      <c r="G29" s="25" t="s">
        <v>1591</v>
      </c>
      <c r="H29" s="25" t="s">
        <v>1586</v>
      </c>
      <c r="I29" s="25" t="s">
        <v>1566</v>
      </c>
    </row>
    <row r="30">
      <c r="A30" s="152">
        <v>46062.44878881944</v>
      </c>
      <c r="B30" s="25">
        <v>530.0</v>
      </c>
      <c r="C30" s="25" t="s">
        <v>1611</v>
      </c>
      <c r="D30" s="25">
        <v>800.0</v>
      </c>
      <c r="E30" s="25" t="s">
        <v>1620</v>
      </c>
      <c r="F30" s="25" t="str">
        <f t="array" ref="F30:I30">IFERROR(_xlfn.XLOOKUP('Form responses 2'!C30,'Item List'!$I$2:$I$995,'Item List'!C$2:$F$995),"")</f>
        <v>Sbs Paper</v>
      </c>
      <c r="G30" s="25" t="s">
        <v>1621</v>
      </c>
      <c r="H30" s="25" t="s">
        <v>1622</v>
      </c>
      <c r="I30" s="25" t="s">
        <v>1571</v>
      </c>
    </row>
    <row r="31">
      <c r="A31" s="152">
        <v>46062.70807717592</v>
      </c>
      <c r="B31" s="25">
        <v>531.0</v>
      </c>
      <c r="C31" s="25" t="s">
        <v>41</v>
      </c>
      <c r="D31" s="25">
        <v>600.0</v>
      </c>
      <c r="E31" s="25" t="s">
        <v>42</v>
      </c>
      <c r="F31" s="25" t="str">
        <f t="array" ref="F31:I31">IFERROR(_xlfn.XLOOKUP('Form responses 2'!C31,'Item List'!$I$2:$I$995,'Item List'!C$2:$F$995),"")</f>
        <v>Sbs Paper</v>
      </c>
      <c r="G31" s="25" t="s">
        <v>1576</v>
      </c>
      <c r="H31" s="25" t="s">
        <v>1575</v>
      </c>
      <c r="I31" s="25" t="s">
        <v>1571</v>
      </c>
    </row>
    <row r="32">
      <c r="A32" s="152">
        <v>46062.71377239583</v>
      </c>
      <c r="B32" s="25">
        <v>533.0</v>
      </c>
      <c r="C32" s="25" t="s">
        <v>1516</v>
      </c>
      <c r="D32" s="25">
        <v>800.0</v>
      </c>
      <c r="E32" s="25" t="s">
        <v>1517</v>
      </c>
      <c r="F32" s="25" t="str">
        <f t="array" ref="F32:I32">IFERROR(_xlfn.XLOOKUP('Form responses 2'!C32,'Item List'!$I$2:$I$995,'Item List'!C$2:$F$995),"")</f>
        <v>Sbs Paper</v>
      </c>
      <c r="G32" s="25" t="s">
        <v>1563</v>
      </c>
      <c r="H32" s="25" t="s">
        <v>1597</v>
      </c>
      <c r="I32" s="25" t="s">
        <v>1566</v>
      </c>
    </row>
    <row r="33">
      <c r="A33" s="251">
        <v>46064.42366105324</v>
      </c>
      <c r="B33" s="25">
        <v>536.0</v>
      </c>
      <c r="C33" s="25" t="s">
        <v>83</v>
      </c>
      <c r="D33" s="25">
        <v>600.0</v>
      </c>
      <c r="E33" s="25" t="s">
        <v>84</v>
      </c>
      <c r="F33" s="25" t="str">
        <f t="array" ref="F33:I33">IFERROR(_xlfn.XLOOKUP('Form responses 2'!C33,'Item List'!$I$2:$I$995,'Item List'!C$2:$F$995),"")</f>
        <v>Sbs Paper</v>
      </c>
      <c r="G33" s="25" t="s">
        <v>1600</v>
      </c>
      <c r="H33" s="25" t="s">
        <v>1597</v>
      </c>
      <c r="I33" s="25" t="s">
        <v>1571</v>
      </c>
    </row>
    <row r="34">
      <c r="A34" s="247">
        <v>46064.59722222222</v>
      </c>
      <c r="B34" s="25">
        <v>537.0</v>
      </c>
      <c r="C34" s="25" t="s">
        <v>1614</v>
      </c>
      <c r="D34" s="25">
        <v>300.0</v>
      </c>
      <c r="E34" s="25" t="s">
        <v>1792</v>
      </c>
      <c r="F34" s="25" t="str">
        <f t="array" ref="F34:I34">IFERROR(_xlfn.XLOOKUP('Form responses 2'!C34,'Item List'!$I$2:$I$995,'Item List'!C$2:$F$995),"")</f>
        <v>Other</v>
      </c>
      <c r="G34" s="25" t="s">
        <v>1647</v>
      </c>
      <c r="H34" s="25" t="s">
        <v>2032</v>
      </c>
      <c r="I34" s="25" t="s">
        <v>1566</v>
      </c>
    </row>
    <row r="35">
      <c r="A35" s="247">
        <v>46066.59722222222</v>
      </c>
      <c r="B35" s="25">
        <v>543.0</v>
      </c>
      <c r="C35" s="25" t="s">
        <v>139</v>
      </c>
      <c r="D35" s="25">
        <v>1100.0</v>
      </c>
      <c r="E35" s="25" t="s">
        <v>140</v>
      </c>
      <c r="F35" s="25" t="str">
        <f t="array" ref="F35:I35">IFERROR(_xlfn.XLOOKUP('Form responses 2'!C35,'Item List'!$I$2:$I$995,'Item List'!C$2:$F$995),"")</f>
        <v>Sbs Paper</v>
      </c>
      <c r="G35" s="25" t="s">
        <v>1563</v>
      </c>
      <c r="H35" s="25" t="s">
        <v>1586</v>
      </c>
      <c r="I35" s="25" t="s">
        <v>1566</v>
      </c>
    </row>
    <row r="36">
      <c r="A36" s="25"/>
      <c r="B36" s="25"/>
      <c r="C36" s="25"/>
      <c r="D36" s="25"/>
      <c r="E36" s="25" t="s">
        <v>1333</v>
      </c>
      <c r="F36" s="25" t="str">
        <f t="array" ref="F36">IFERROR(_xlfn.XLOOKUP('Form responses 2'!C36,'Item List'!$I$2:$I$995,'Item List'!C$2:$F$995),"")</f>
        <v/>
      </c>
    </row>
    <row r="37">
      <c r="A37" s="25"/>
      <c r="B37" s="25"/>
      <c r="C37" s="25"/>
      <c r="D37" s="25"/>
      <c r="E37" s="25" t="s">
        <v>1333</v>
      </c>
      <c r="F37" s="25" t="str">
        <f t="array" ref="F37">IFERROR(_xlfn.XLOOKUP('Form responses 2'!C37,'Item List'!$I$2:$I$995,'Item List'!C$2:$F$995),"")</f>
        <v/>
      </c>
    </row>
    <row r="38">
      <c r="A38" s="25"/>
      <c r="B38" s="25"/>
      <c r="C38" s="25"/>
      <c r="D38" s="25"/>
      <c r="E38" s="25" t="s">
        <v>1333</v>
      </c>
      <c r="F38" s="25" t="str">
        <f t="array" ref="F38">IFERROR(_xlfn.XLOOKUP('Form responses 2'!C38,'Item List'!$I$2:$I$995,'Item List'!C$2:$F$995),"")</f>
        <v/>
      </c>
    </row>
    <row r="39">
      <c r="A39" s="25"/>
      <c r="B39" s="25"/>
      <c r="C39" s="25"/>
      <c r="D39" s="25"/>
      <c r="E39" s="25" t="s">
        <v>1333</v>
      </c>
      <c r="F39" s="25" t="str">
        <f t="array" ref="F39">IFERROR(_xlfn.XLOOKUP('Form responses 2'!C39,'Item List'!$I$2:$I$995,'Item List'!C$2:$F$995),"")</f>
        <v/>
      </c>
    </row>
    <row r="40">
      <c r="A40" s="25"/>
      <c r="B40" s="25"/>
      <c r="C40" s="25"/>
      <c r="D40" s="25"/>
      <c r="E40" s="25" t="s">
        <v>1333</v>
      </c>
      <c r="F40" s="25" t="str">
        <f t="array" ref="F40">IFERROR(_xlfn.XLOOKUP('Form responses 2'!C40,'Item List'!$I$2:$I$995,'Item List'!C$2:$F$995),"")</f>
        <v/>
      </c>
    </row>
    <row r="41">
      <c r="A41" s="25"/>
      <c r="B41" s="25"/>
      <c r="C41" s="25"/>
      <c r="D41" s="25"/>
      <c r="E41" s="25" t="s">
        <v>1333</v>
      </c>
      <c r="F41" s="25" t="str">
        <f t="array" ref="F41">IFERROR(_xlfn.XLOOKUP('Form responses 2'!C41,'Item List'!$I$2:$I$995,'Item List'!C$2:$F$995),"")</f>
        <v/>
      </c>
    </row>
    <row r="42">
      <c r="A42" s="25"/>
      <c r="B42" s="25"/>
      <c r="C42" s="25"/>
      <c r="D42" s="25"/>
      <c r="E42" s="25" t="s">
        <v>1333</v>
      </c>
      <c r="F42" s="25" t="str">
        <f t="array" ref="F42">IFERROR(_xlfn.XLOOKUP('Form responses 2'!C42,'Item List'!$I$2:$I$995,'Item List'!C$2:$F$995),"")</f>
        <v/>
      </c>
    </row>
    <row r="43">
      <c r="A43" s="25"/>
      <c r="B43" s="25"/>
      <c r="C43" s="25"/>
      <c r="D43" s="25"/>
      <c r="E43" s="25" t="s">
        <v>1333</v>
      </c>
      <c r="F43" s="25" t="str">
        <f t="array" ref="F43">IFERROR(_xlfn.XLOOKUP('Form responses 2'!C43,'Item List'!$I$2:$I$995,'Item List'!C$2:$F$995),"")</f>
        <v/>
      </c>
    </row>
    <row r="44">
      <c r="A44" s="25"/>
      <c r="B44" s="25"/>
      <c r="C44" s="25"/>
      <c r="D44" s="25"/>
      <c r="E44" s="25" t="s">
        <v>1333</v>
      </c>
      <c r="F44" s="25" t="str">
        <f t="array" ref="F44">IFERROR(_xlfn.XLOOKUP('Form responses 2'!C44,'Item List'!$I$2:$I$995,'Item List'!C$2:$F$995),"")</f>
        <v/>
      </c>
    </row>
    <row r="45">
      <c r="A45" s="25"/>
      <c r="B45" s="25"/>
      <c r="C45" s="25"/>
      <c r="D45" s="25"/>
      <c r="E45" s="25" t="s">
        <v>1333</v>
      </c>
      <c r="F45" s="25" t="str">
        <f t="array" ref="F45">IFERROR(_xlfn.XLOOKUP('Form responses 2'!C45,'Item List'!$I$2:$I$995,'Item List'!C$2:$F$995),"")</f>
        <v/>
      </c>
    </row>
    <row r="46">
      <c r="A46" s="25"/>
      <c r="B46" s="25"/>
      <c r="C46" s="25"/>
      <c r="D46" s="25"/>
      <c r="E46" s="25" t="s">
        <v>1333</v>
      </c>
      <c r="F46" s="25" t="str">
        <f t="array" ref="F46">IFERROR(_xlfn.XLOOKUP('Form responses 2'!C46,'Item List'!$I$2:$I$995,'Item List'!C$2:$F$995),"")</f>
        <v/>
      </c>
    </row>
    <row r="47">
      <c r="A47" s="25"/>
      <c r="B47" s="25"/>
      <c r="C47" s="25"/>
      <c r="D47" s="25"/>
      <c r="E47" s="25" t="s">
        <v>1333</v>
      </c>
      <c r="F47" s="25" t="str">
        <f t="array" ref="F47">IFERROR(_xlfn.XLOOKUP('Form responses 2'!C47,'Item List'!$I$2:$I$995,'Item List'!C$2:$F$995),"")</f>
        <v/>
      </c>
    </row>
    <row r="48">
      <c r="A48" s="25"/>
      <c r="B48" s="25"/>
      <c r="C48" s="25"/>
      <c r="D48" s="25"/>
      <c r="E48" s="25" t="s">
        <v>1333</v>
      </c>
      <c r="F48" s="25" t="str">
        <f t="array" ref="F48">IFERROR(_xlfn.XLOOKUP('Form responses 2'!C48,'Item List'!$I$2:$I$995,'Item List'!C$2:$F$995),"")</f>
        <v/>
      </c>
    </row>
    <row r="49">
      <c r="A49" s="25"/>
      <c r="B49" s="25"/>
      <c r="C49" s="25"/>
      <c r="D49" s="25"/>
      <c r="E49" s="25" t="s">
        <v>1333</v>
      </c>
      <c r="F49" s="25" t="str">
        <f t="array" ref="F49">IFERROR(_xlfn.XLOOKUP('Form responses 2'!C49,'Item List'!$I$2:$I$995,'Item List'!C$2:$F$995),"")</f>
        <v/>
      </c>
    </row>
    <row r="50">
      <c r="A50" s="25"/>
      <c r="B50" s="25"/>
      <c r="C50" s="25"/>
      <c r="D50" s="25"/>
      <c r="E50" s="25" t="s">
        <v>1333</v>
      </c>
      <c r="F50" s="25" t="str">
        <f t="array" ref="F50">IFERROR(_xlfn.XLOOKUP('Form responses 2'!C50,'Item List'!$I$2:$I$995,'Item List'!C$2:$F$995),"")</f>
        <v/>
      </c>
    </row>
    <row r="51">
      <c r="A51" s="25"/>
      <c r="B51" s="25"/>
      <c r="C51" s="25"/>
      <c r="D51" s="25"/>
      <c r="E51" s="25" t="s">
        <v>1333</v>
      </c>
      <c r="F51" s="25" t="str">
        <f t="array" ref="F51">IFERROR(_xlfn.XLOOKUP('Form responses 2'!C51,'Item List'!$I$2:$I$995,'Item List'!C$2:$F$995),"")</f>
        <v/>
      </c>
    </row>
    <row r="52">
      <c r="A52" s="25"/>
      <c r="B52" s="25"/>
      <c r="C52" s="25"/>
      <c r="D52" s="25"/>
      <c r="E52" s="25" t="s">
        <v>1333</v>
      </c>
      <c r="F52" s="25" t="str">
        <f t="array" ref="F52">IFERROR(_xlfn.XLOOKUP('Form responses 2'!C52,'Item List'!$I$2:$I$995,'Item List'!C$2:$F$995),"")</f>
        <v/>
      </c>
    </row>
    <row r="53">
      <c r="A53" s="25"/>
      <c r="B53" s="25"/>
      <c r="C53" s="25"/>
      <c r="D53" s="25"/>
      <c r="E53" s="25" t="s">
        <v>1333</v>
      </c>
      <c r="F53" s="25" t="str">
        <f t="array" ref="F53">IFERROR(_xlfn.XLOOKUP('Form responses 2'!C53,'Item List'!$I$2:$I$995,'Item List'!C$2:$F$995),"")</f>
        <v/>
      </c>
    </row>
    <row r="54">
      <c r="A54" s="25"/>
      <c r="B54" s="25"/>
      <c r="C54" s="25"/>
      <c r="D54" s="25"/>
      <c r="E54" s="25" t="s">
        <v>1333</v>
      </c>
      <c r="F54" s="25" t="str">
        <f t="array" ref="F54">IFERROR(_xlfn.XLOOKUP('Form responses 2'!C54,'Item List'!$I$2:$I$995,'Item List'!C$2:$F$995),"")</f>
        <v/>
      </c>
    </row>
    <row r="55">
      <c r="A55" s="25"/>
      <c r="B55" s="25"/>
      <c r="C55" s="25"/>
      <c r="D55" s="25"/>
      <c r="E55" s="25" t="s">
        <v>1333</v>
      </c>
      <c r="F55" s="25" t="str">
        <f t="array" ref="F55">IFERROR(_xlfn.XLOOKUP('Form responses 2'!C55,'Item List'!$I$2:$I$995,'Item List'!C$2:$F$995),"")</f>
        <v/>
      </c>
    </row>
    <row r="56">
      <c r="A56" s="25"/>
      <c r="B56" s="25"/>
      <c r="C56" s="25"/>
      <c r="D56" s="25"/>
      <c r="E56" s="25" t="s">
        <v>1333</v>
      </c>
      <c r="F56" s="25" t="str">
        <f t="array" ref="F56">IFERROR(_xlfn.XLOOKUP('Form responses 2'!C56,'Item List'!$I$2:$I$995,'Item List'!C$2:$F$995),"")</f>
        <v/>
      </c>
    </row>
    <row r="57">
      <c r="A57" s="25"/>
      <c r="B57" s="25"/>
      <c r="C57" s="25"/>
      <c r="D57" s="25"/>
      <c r="E57" s="25" t="s">
        <v>1333</v>
      </c>
      <c r="F57" s="25" t="str">
        <f t="array" ref="F57">IFERROR(_xlfn.XLOOKUP('Form responses 2'!C57,'Item List'!$I$2:$I$995,'Item List'!C$2:$F$995),"")</f>
        <v/>
      </c>
    </row>
    <row r="58">
      <c r="A58" s="25"/>
      <c r="B58" s="25"/>
      <c r="C58" s="25"/>
      <c r="D58" s="25"/>
      <c r="E58" s="25" t="s">
        <v>1333</v>
      </c>
      <c r="F58" s="25" t="str">
        <f t="array" ref="F58">IFERROR(_xlfn.XLOOKUP('Form responses 2'!C58,'Item List'!$I$2:$I$995,'Item List'!C$2:$F$995),"")</f>
        <v/>
      </c>
    </row>
    <row r="59">
      <c r="A59" s="25"/>
      <c r="B59" s="25"/>
      <c r="C59" s="25"/>
      <c r="D59" s="25"/>
      <c r="E59" s="25" t="s">
        <v>1333</v>
      </c>
      <c r="F59" s="25" t="str">
        <f t="array" ref="F59">IFERROR(_xlfn.XLOOKUP('Form responses 2'!C59,'Item List'!$I$2:$I$995,'Item List'!C$2:$F$995),"")</f>
        <v/>
      </c>
    </row>
    <row r="60">
      <c r="A60" s="25"/>
      <c r="B60" s="25"/>
      <c r="C60" s="25"/>
      <c r="D60" s="25"/>
      <c r="E60" s="25" t="s">
        <v>1333</v>
      </c>
      <c r="F60" s="25" t="str">
        <f t="array" ref="F60">IFERROR(_xlfn.XLOOKUP('Form responses 2'!C60,'Item List'!$I$2:$I$995,'Item List'!C$2:$F$995),"")</f>
        <v/>
      </c>
    </row>
    <row r="61">
      <c r="A61" s="25"/>
      <c r="B61" s="25"/>
      <c r="C61" s="25"/>
      <c r="D61" s="25"/>
      <c r="E61" s="25" t="s">
        <v>1333</v>
      </c>
      <c r="F61" s="25" t="str">
        <f t="array" ref="F61">IFERROR(_xlfn.XLOOKUP('Form responses 2'!C61,'Item List'!$I$2:$I$995,'Item List'!C$2:$F$995),"")</f>
        <v/>
      </c>
    </row>
    <row r="62">
      <c r="A62" s="25"/>
      <c r="B62" s="25"/>
      <c r="C62" s="25"/>
      <c r="D62" s="25"/>
      <c r="E62" s="25" t="s">
        <v>1333</v>
      </c>
      <c r="F62" s="25" t="str">
        <f t="array" ref="F62">IFERROR(_xlfn.XLOOKUP('Form responses 2'!C62,'Item List'!$I$2:$I$995,'Item List'!C$2:$F$995),"")</f>
        <v/>
      </c>
    </row>
    <row r="63">
      <c r="A63" s="25"/>
      <c r="B63" s="25"/>
      <c r="C63" s="25"/>
      <c r="D63" s="25"/>
      <c r="E63" s="25" t="s">
        <v>1333</v>
      </c>
      <c r="F63" s="25" t="str">
        <f t="array" ref="F63">IFERROR(_xlfn.XLOOKUP('Form responses 2'!C63,'Item List'!$I$2:$I$995,'Item List'!C$2:$F$995),"")</f>
        <v/>
      </c>
    </row>
    <row r="64">
      <c r="A64" s="25"/>
      <c r="B64" s="25"/>
      <c r="C64" s="25"/>
      <c r="D64" s="25"/>
      <c r="E64" s="25" t="s">
        <v>1333</v>
      </c>
      <c r="F64" s="25" t="str">
        <f t="array" ref="F64">IFERROR(_xlfn.XLOOKUP('Form responses 2'!C64,'Item List'!$I$2:$I$995,'Item List'!C$2:$F$995),"")</f>
        <v/>
      </c>
    </row>
    <row r="65">
      <c r="A65" s="25"/>
      <c r="B65" s="25"/>
      <c r="C65" s="25"/>
      <c r="D65" s="25"/>
      <c r="E65" s="25" t="s">
        <v>1333</v>
      </c>
      <c r="F65" s="25" t="str">
        <f t="array" ref="F65">IFERROR(_xlfn.XLOOKUP('Form responses 2'!C65,'Item List'!$I$2:$I$995,'Item List'!C$2:$F$995),"")</f>
        <v/>
      </c>
    </row>
    <row r="66">
      <c r="A66" s="25"/>
      <c r="B66" s="25"/>
      <c r="C66" s="25"/>
      <c r="D66" s="25"/>
      <c r="E66" s="25" t="s">
        <v>1333</v>
      </c>
      <c r="F66" s="25" t="str">
        <f t="array" ref="F66">IFERROR(_xlfn.XLOOKUP('Form responses 2'!C66,'Item List'!$I$2:$I$995,'Item List'!C$2:$F$995),"")</f>
        <v/>
      </c>
    </row>
    <row r="67">
      <c r="A67" s="25"/>
      <c r="B67" s="25"/>
      <c r="C67" s="25"/>
      <c r="D67" s="25"/>
      <c r="E67" s="25" t="s">
        <v>1333</v>
      </c>
      <c r="F67" s="25" t="str">
        <f t="array" ref="F67">IFERROR(_xlfn.XLOOKUP('Form responses 2'!C67,'Item List'!$I$2:$I$995,'Item List'!C$2:$F$995),"")</f>
        <v/>
      </c>
    </row>
    <row r="68">
      <c r="A68" s="25"/>
      <c r="B68" s="25"/>
      <c r="C68" s="25"/>
      <c r="D68" s="25"/>
      <c r="E68" s="25" t="s">
        <v>1333</v>
      </c>
      <c r="F68" s="25" t="str">
        <f t="array" ref="F68">IFERROR(_xlfn.XLOOKUP('Form responses 2'!C68,'Item List'!$I$2:$I$995,'Item List'!C$2:$F$995),"")</f>
        <v/>
      </c>
    </row>
    <row r="69">
      <c r="A69" s="25"/>
      <c r="B69" s="25"/>
      <c r="C69" s="25"/>
      <c r="D69" s="25"/>
      <c r="E69" s="25" t="s">
        <v>1333</v>
      </c>
      <c r="F69" s="25" t="str">
        <f t="array" ref="F69">IFERROR(_xlfn.XLOOKUP('Form responses 2'!C69,'Item List'!$I$2:$I$995,'Item List'!C$2:$F$995),"")</f>
        <v/>
      </c>
    </row>
    <row r="70">
      <c r="A70" s="25"/>
      <c r="B70" s="25"/>
      <c r="C70" s="25"/>
      <c r="D70" s="25"/>
      <c r="E70" s="25" t="s">
        <v>1333</v>
      </c>
      <c r="F70" s="25" t="str">
        <f t="array" ref="F70">IFERROR(_xlfn.XLOOKUP('Form responses 2'!C70,'Item List'!$I$2:$I$995,'Item List'!C$2:$F$995),"")</f>
        <v/>
      </c>
    </row>
    <row r="71">
      <c r="A71" s="25"/>
      <c r="B71" s="25"/>
      <c r="C71" s="25"/>
      <c r="D71" s="25"/>
      <c r="E71" s="25" t="s">
        <v>1333</v>
      </c>
      <c r="F71" s="25" t="str">
        <f t="array" ref="F71">IFERROR(_xlfn.XLOOKUP('Form responses 2'!C71,'Item List'!$I$2:$I$995,'Item List'!C$2:$F$995),"")</f>
        <v/>
      </c>
    </row>
    <row r="72">
      <c r="A72" s="25"/>
      <c r="B72" s="25"/>
      <c r="C72" s="25"/>
      <c r="D72" s="25"/>
      <c r="E72" s="25" t="s">
        <v>1333</v>
      </c>
      <c r="F72" s="25" t="str">
        <f t="array" ref="F72">IFERROR(_xlfn.XLOOKUP('Form responses 2'!C72,'Item List'!$I$2:$I$995,'Item List'!C$2:$F$995),"")</f>
        <v/>
      </c>
    </row>
    <row r="73">
      <c r="A73" s="25"/>
      <c r="B73" s="25"/>
      <c r="C73" s="25"/>
      <c r="D73" s="25"/>
      <c r="E73" s="25" t="s">
        <v>1333</v>
      </c>
      <c r="F73" s="25" t="str">
        <f t="array" ref="F73">IFERROR(_xlfn.XLOOKUP('Form responses 2'!C73,'Item List'!$I$2:$I$995,'Item List'!C$2:$F$995),"")</f>
        <v/>
      </c>
    </row>
    <row r="74">
      <c r="A74" s="25"/>
      <c r="B74" s="25"/>
      <c r="C74" s="25"/>
      <c r="D74" s="25"/>
      <c r="E74" s="25" t="s">
        <v>1333</v>
      </c>
      <c r="F74" s="25" t="str">
        <f t="array" ref="F74">IFERROR(_xlfn.XLOOKUP('Form responses 2'!C74,'Item List'!$I$2:$I$995,'Item List'!C$2:$F$995),"")</f>
        <v/>
      </c>
    </row>
    <row r="75">
      <c r="A75" s="25"/>
      <c r="B75" s="25"/>
      <c r="C75" s="25"/>
      <c r="D75" s="25"/>
      <c r="E75" s="25" t="s">
        <v>1333</v>
      </c>
      <c r="F75" s="25" t="str">
        <f t="array" ref="F75">IFERROR(_xlfn.XLOOKUP('Form responses 2'!C75,'Item List'!$I$2:$I$995,'Item List'!C$2:$F$995),"")</f>
        <v/>
      </c>
    </row>
    <row r="76">
      <c r="A76" s="25"/>
      <c r="B76" s="25"/>
      <c r="C76" s="25"/>
      <c r="D76" s="25"/>
      <c r="E76" s="25" t="s">
        <v>1333</v>
      </c>
      <c r="F76" s="25" t="str">
        <f t="array" ref="F76">IFERROR(_xlfn.XLOOKUP('Form responses 2'!C76,'Item List'!$I$2:$I$995,'Item List'!C$2:$F$995),"")</f>
        <v/>
      </c>
    </row>
    <row r="77">
      <c r="A77" s="25"/>
      <c r="B77" s="25"/>
      <c r="C77" s="25"/>
      <c r="D77" s="25"/>
      <c r="E77" s="25" t="s">
        <v>1333</v>
      </c>
      <c r="F77" s="25" t="str">
        <f t="array" ref="F77">IFERROR(_xlfn.XLOOKUP('Form responses 2'!C77,'Item List'!$I$2:$I$995,'Item List'!C$2:$F$995),"")</f>
        <v/>
      </c>
    </row>
    <row r="78">
      <c r="A78" s="25"/>
      <c r="B78" s="25"/>
      <c r="C78" s="25"/>
      <c r="D78" s="25"/>
      <c r="E78" s="25" t="s">
        <v>1333</v>
      </c>
      <c r="F78" s="25" t="str">
        <f t="array" ref="F78">IFERROR(_xlfn.XLOOKUP('Form responses 2'!C78,'Item List'!$I$2:$I$995,'Item List'!C$2:$F$995),"")</f>
        <v/>
      </c>
    </row>
    <row r="79">
      <c r="A79" s="25"/>
      <c r="B79" s="25"/>
      <c r="C79" s="25"/>
      <c r="D79" s="25"/>
      <c r="E79" s="25" t="s">
        <v>1333</v>
      </c>
      <c r="F79" s="25" t="str">
        <f t="array" ref="F79">IFERROR(_xlfn.XLOOKUP('Form responses 2'!C79,'Item List'!$I$2:$I$995,'Item List'!C$2:$F$995),"")</f>
        <v/>
      </c>
    </row>
    <row r="80">
      <c r="A80" s="25"/>
      <c r="B80" s="25"/>
      <c r="C80" s="25"/>
      <c r="D80" s="25"/>
      <c r="E80" s="25" t="s">
        <v>1333</v>
      </c>
      <c r="F80" s="25" t="str">
        <f t="array" ref="F80">IFERROR(_xlfn.XLOOKUP('Form responses 2'!C80,'Item List'!$I$2:$I$995,'Item List'!C$2:$F$995),"")</f>
        <v/>
      </c>
    </row>
    <row r="81">
      <c r="A81" s="25"/>
      <c r="B81" s="25"/>
      <c r="C81" s="25"/>
      <c r="D81" s="25"/>
      <c r="E81" s="25" t="s">
        <v>1333</v>
      </c>
      <c r="F81" s="25" t="str">
        <f t="array" ref="F81">IFERROR(_xlfn.XLOOKUP('Form responses 2'!C81,'Item List'!$I$2:$I$995,'Item List'!C$2:$F$995),"")</f>
        <v/>
      </c>
    </row>
    <row r="82">
      <c r="A82" s="25"/>
      <c r="B82" s="25"/>
      <c r="C82" s="25"/>
      <c r="D82" s="25"/>
      <c r="E82" s="25" t="s">
        <v>1333</v>
      </c>
      <c r="F82" s="25" t="str">
        <f t="array" ref="F82">IFERROR(_xlfn.XLOOKUP('Form responses 2'!C82,'Item List'!$I$2:$I$995,'Item List'!C$2:$F$995),"")</f>
        <v/>
      </c>
    </row>
    <row r="83">
      <c r="A83" s="25"/>
      <c r="B83" s="25"/>
      <c r="C83" s="25"/>
      <c r="D83" s="25"/>
      <c r="E83" s="25" t="s">
        <v>1333</v>
      </c>
      <c r="F83" s="25" t="str">
        <f t="array" ref="F83">IFERROR(_xlfn.XLOOKUP('Form responses 2'!C83,'Item List'!$I$2:$I$995,'Item List'!C$2:$F$995),"")</f>
        <v/>
      </c>
    </row>
    <row r="84">
      <c r="A84" s="25"/>
      <c r="B84" s="25"/>
      <c r="C84" s="25"/>
      <c r="D84" s="25"/>
      <c r="E84" s="25" t="s">
        <v>1333</v>
      </c>
      <c r="F84" s="25" t="str">
        <f t="array" ref="F84">IFERROR(_xlfn.XLOOKUP('Form responses 2'!C84,'Item List'!$I$2:$I$995,'Item List'!C$2:$F$995),"")</f>
        <v/>
      </c>
    </row>
    <row r="85">
      <c r="A85" s="25"/>
      <c r="B85" s="25"/>
      <c r="C85" s="25"/>
      <c r="D85" s="25"/>
      <c r="E85" s="25" t="s">
        <v>1333</v>
      </c>
      <c r="F85" s="25" t="str">
        <f t="array" ref="F85">IFERROR(_xlfn.XLOOKUP('Form responses 2'!C85,'Item List'!$I$2:$I$995,'Item List'!C$2:$F$995),"")</f>
        <v/>
      </c>
    </row>
    <row r="86">
      <c r="A86" s="25"/>
      <c r="B86" s="25"/>
      <c r="C86" s="25"/>
      <c r="D86" s="25"/>
      <c r="E86" s="25" t="s">
        <v>1333</v>
      </c>
      <c r="F86" s="25" t="str">
        <f t="array" ref="F86">IFERROR(_xlfn.XLOOKUP('Form responses 2'!C86,'Item List'!$I$2:$I$995,'Item List'!C$2:$F$995),"")</f>
        <v/>
      </c>
    </row>
    <row r="87">
      <c r="A87" s="25"/>
      <c r="B87" s="25"/>
      <c r="C87" s="25"/>
      <c r="D87" s="25"/>
      <c r="E87" s="25" t="s">
        <v>1333</v>
      </c>
      <c r="F87" s="25" t="str">
        <f t="array" ref="F87">IFERROR(_xlfn.XLOOKUP('Form responses 2'!C87,'Item List'!$I$2:$I$995,'Item List'!C$2:$F$995),"")</f>
        <v/>
      </c>
    </row>
    <row r="88">
      <c r="A88" s="25"/>
      <c r="B88" s="25"/>
      <c r="C88" s="25"/>
      <c r="D88" s="25"/>
      <c r="E88" s="25" t="s">
        <v>1333</v>
      </c>
      <c r="F88" s="25" t="str">
        <f t="array" ref="F88">IFERROR(_xlfn.XLOOKUP('Form responses 2'!C88,'Item List'!$I$2:$I$995,'Item List'!C$2:$F$995),"")</f>
        <v/>
      </c>
    </row>
    <row r="89">
      <c r="A89" s="25"/>
      <c r="B89" s="25"/>
      <c r="C89" s="25"/>
      <c r="D89" s="25"/>
      <c r="E89" s="25" t="s">
        <v>1333</v>
      </c>
      <c r="F89" s="25" t="str">
        <f t="array" ref="F89">IFERROR(_xlfn.XLOOKUP('Form responses 2'!C89,'Item List'!$I$2:$I$995,'Item List'!C$2:$F$995),"")</f>
        <v/>
      </c>
    </row>
    <row r="90">
      <c r="A90" s="25"/>
      <c r="B90" s="25"/>
      <c r="C90" s="25"/>
      <c r="D90" s="25"/>
      <c r="E90" s="25" t="s">
        <v>1333</v>
      </c>
      <c r="F90" s="25" t="str">
        <f t="array" ref="F90">IFERROR(_xlfn.XLOOKUP('Form responses 2'!C90,'Item List'!$I$2:$I$995,'Item List'!C$2:$F$995),"")</f>
        <v/>
      </c>
    </row>
    <row r="91">
      <c r="A91" s="25"/>
      <c r="B91" s="25"/>
      <c r="C91" s="25"/>
      <c r="D91" s="25"/>
      <c r="E91" s="25" t="s">
        <v>1333</v>
      </c>
      <c r="F91" s="25" t="str">
        <f t="array" ref="F91">IFERROR(_xlfn.XLOOKUP('Form responses 2'!C91,'Item List'!$I$2:$I$995,'Item List'!C$2:$F$995),"")</f>
        <v/>
      </c>
    </row>
    <row r="92">
      <c r="A92" s="25"/>
      <c r="B92" s="25"/>
      <c r="C92" s="25"/>
      <c r="D92" s="25"/>
      <c r="E92" s="25" t="s">
        <v>1333</v>
      </c>
      <c r="F92" s="25" t="str">
        <f t="array" ref="F92">IFERROR(_xlfn.XLOOKUP('Form responses 2'!C92,'Item List'!$I$2:$I$995,'Item List'!C$2:$F$995),"")</f>
        <v/>
      </c>
    </row>
    <row r="93">
      <c r="A93" s="25"/>
      <c r="B93" s="25"/>
      <c r="C93" s="25"/>
      <c r="D93" s="25"/>
      <c r="E93" s="25" t="s">
        <v>1333</v>
      </c>
      <c r="F93" s="25" t="str">
        <f t="array" ref="F93">IFERROR(_xlfn.XLOOKUP('Form responses 2'!C93,'Item List'!$I$2:$I$995,'Item List'!C$2:$F$995),"")</f>
        <v/>
      </c>
    </row>
    <row r="94">
      <c r="A94" s="25"/>
      <c r="B94" s="25"/>
      <c r="C94" s="25"/>
      <c r="D94" s="25"/>
      <c r="E94" s="25" t="s">
        <v>1333</v>
      </c>
      <c r="F94" s="25" t="str">
        <f t="array" ref="F94">IFERROR(_xlfn.XLOOKUP('Form responses 2'!C94,'Item List'!$I$2:$I$995,'Item List'!C$2:$F$995),"")</f>
        <v/>
      </c>
    </row>
    <row r="95">
      <c r="A95" s="25"/>
      <c r="B95" s="25"/>
      <c r="C95" s="25"/>
      <c r="D95" s="25"/>
      <c r="E95" s="25" t="s">
        <v>1333</v>
      </c>
      <c r="F95" s="25" t="str">
        <f t="array" ref="F95">IFERROR(_xlfn.XLOOKUP('Form responses 2'!C95,'Item List'!$I$2:$I$995,'Item List'!C$2:$F$995),"")</f>
        <v/>
      </c>
    </row>
    <row r="96">
      <c r="A96" s="25"/>
      <c r="B96" s="25"/>
      <c r="C96" s="25"/>
      <c r="D96" s="25"/>
      <c r="E96" s="25" t="s">
        <v>1333</v>
      </c>
      <c r="F96" s="25" t="str">
        <f t="array" ref="F96">IFERROR(_xlfn.XLOOKUP('Form responses 2'!C96,'Item List'!$I$2:$I$995,'Item List'!C$2:$F$995),"")</f>
        <v/>
      </c>
    </row>
    <row r="97">
      <c r="A97" s="25"/>
      <c r="B97" s="25"/>
      <c r="C97" s="25"/>
      <c r="D97" s="25"/>
      <c r="E97" s="25" t="s">
        <v>1333</v>
      </c>
      <c r="F97" s="25" t="str">
        <f t="array" ref="F97">IFERROR(_xlfn.XLOOKUP('Form responses 2'!C97,'Item List'!$I$2:$I$995,'Item List'!C$2:$F$995),"")</f>
        <v/>
      </c>
    </row>
    <row r="98">
      <c r="A98" s="25"/>
      <c r="B98" s="25"/>
      <c r="C98" s="25"/>
      <c r="D98" s="25"/>
      <c r="E98" s="25" t="s">
        <v>1333</v>
      </c>
      <c r="F98" s="25" t="str">
        <f t="array" ref="F98">IFERROR(_xlfn.XLOOKUP('Form responses 2'!C98,'Item List'!$I$2:$I$995,'Item List'!C$2:$F$995),"")</f>
        <v/>
      </c>
    </row>
    <row r="99">
      <c r="A99" s="25"/>
      <c r="B99" s="25"/>
      <c r="C99" s="25"/>
      <c r="D99" s="25"/>
      <c r="E99" s="25" t="s">
        <v>1333</v>
      </c>
      <c r="F99" s="25" t="str">
        <f t="array" ref="F99">IFERROR(_xlfn.XLOOKUP('Form responses 2'!C99,'Item List'!$I$2:$I$995,'Item List'!C$2:$F$995),"")</f>
        <v/>
      </c>
    </row>
    <row r="100">
      <c r="A100" s="25"/>
      <c r="B100" s="25"/>
      <c r="C100" s="25"/>
      <c r="D100" s="25"/>
      <c r="E100" s="25" t="s">
        <v>1333</v>
      </c>
      <c r="F100" s="25" t="str">
        <f t="array" ref="F100">IFERROR(_xlfn.XLOOKUP('Form responses 2'!C100,'Item List'!$I$2:$I$995,'Item List'!C$2:$F$995),"")</f>
        <v/>
      </c>
    </row>
    <row r="101">
      <c r="A101" s="25"/>
      <c r="B101" s="25"/>
      <c r="C101" s="25"/>
      <c r="D101" s="25"/>
      <c r="E101" s="25" t="s">
        <v>1333</v>
      </c>
      <c r="F101" s="25" t="str">
        <f t="array" ref="F101">IFERROR(_xlfn.XLOOKUP('Form responses 2'!C101,'Item List'!$I$2:$I$995,'Item List'!C$2:$F$995),"")</f>
        <v/>
      </c>
    </row>
    <row r="102">
      <c r="A102" s="25"/>
      <c r="B102" s="25"/>
      <c r="C102" s="25"/>
      <c r="D102" s="25"/>
      <c r="E102" s="25" t="s">
        <v>1333</v>
      </c>
      <c r="F102" s="25" t="str">
        <f t="array" ref="F102">IFERROR(_xlfn.XLOOKUP('Form responses 2'!C102,'Item List'!$I$2:$I$995,'Item List'!C$2:$F$995),"")</f>
        <v/>
      </c>
    </row>
    <row r="103">
      <c r="A103" s="25"/>
      <c r="B103" s="25"/>
      <c r="C103" s="25"/>
      <c r="D103" s="25"/>
      <c r="E103" s="25" t="s">
        <v>1333</v>
      </c>
      <c r="F103" s="25" t="str">
        <f t="array" ref="F103">IFERROR(_xlfn.XLOOKUP('Form responses 2'!C103,'Item List'!$I$2:$I$995,'Item List'!C$2:$F$995),"")</f>
        <v/>
      </c>
    </row>
    <row r="104">
      <c r="A104" s="25"/>
      <c r="B104" s="25"/>
      <c r="C104" s="25"/>
      <c r="D104" s="25"/>
      <c r="E104" s="25" t="s">
        <v>1333</v>
      </c>
      <c r="F104" s="25" t="str">
        <f t="array" ref="F104">IFERROR(_xlfn.XLOOKUP('Form responses 2'!C104,'Item List'!$I$2:$I$995,'Item List'!C$2:$F$995),"")</f>
        <v/>
      </c>
    </row>
    <row r="105">
      <c r="A105" s="25"/>
      <c r="B105" s="25"/>
      <c r="C105" s="25"/>
      <c r="D105" s="25"/>
      <c r="E105" s="25" t="s">
        <v>1333</v>
      </c>
      <c r="F105" s="25" t="str">
        <f t="array" ref="F105">IFERROR(_xlfn.XLOOKUP('Form responses 2'!C105,'Item List'!$I$2:$I$995,'Item List'!C$2:$F$995),"")</f>
        <v/>
      </c>
    </row>
    <row r="106">
      <c r="A106" s="25"/>
      <c r="B106" s="25"/>
      <c r="C106" s="25"/>
      <c r="D106" s="25"/>
      <c r="E106" s="25" t="s">
        <v>1333</v>
      </c>
      <c r="F106" s="25" t="str">
        <f t="array" ref="F106">IFERROR(_xlfn.XLOOKUP('Form responses 2'!C106,'Item List'!$I$2:$I$995,'Item List'!C$2:$F$995),"")</f>
        <v/>
      </c>
    </row>
    <row r="107">
      <c r="A107" s="25"/>
      <c r="B107" s="25"/>
      <c r="C107" s="25"/>
      <c r="D107" s="25"/>
      <c r="E107" s="25" t="s">
        <v>1333</v>
      </c>
      <c r="F107" s="25" t="str">
        <f t="array" ref="F107">IFERROR(_xlfn.XLOOKUP('Form responses 2'!C107,'Item List'!$I$2:$I$995,'Item List'!C$2:$F$995),"")</f>
        <v/>
      </c>
    </row>
    <row r="108">
      <c r="A108" s="25"/>
      <c r="B108" s="25"/>
      <c r="C108" s="25"/>
      <c r="D108" s="25"/>
      <c r="E108" s="25" t="s">
        <v>1333</v>
      </c>
      <c r="F108" s="25" t="str">
        <f t="array" ref="F108">IFERROR(_xlfn.XLOOKUP('Form responses 2'!C108,'Item List'!$I$2:$I$995,'Item List'!C$2:$F$995),"")</f>
        <v/>
      </c>
    </row>
    <row r="109">
      <c r="A109" s="25"/>
      <c r="B109" s="25"/>
      <c r="C109" s="25"/>
      <c r="D109" s="25"/>
      <c r="E109" s="25" t="s">
        <v>1333</v>
      </c>
      <c r="F109" s="25" t="str">
        <f t="array" ref="F109">IFERROR(_xlfn.XLOOKUP('Form responses 2'!C109,'Item List'!$I$2:$I$995,'Item List'!C$2:$F$995),"")</f>
        <v/>
      </c>
    </row>
    <row r="110">
      <c r="A110" s="25"/>
      <c r="B110" s="25"/>
      <c r="C110" s="25"/>
      <c r="D110" s="25"/>
      <c r="E110" s="25" t="s">
        <v>1333</v>
      </c>
      <c r="F110" s="25" t="str">
        <f t="array" ref="F110">IFERROR(_xlfn.XLOOKUP('Form responses 2'!C110,'Item List'!$I$2:$I$995,'Item List'!C$2:$F$995),"")</f>
        <v/>
      </c>
    </row>
    <row r="111">
      <c r="A111" s="25"/>
      <c r="B111" s="25"/>
      <c r="C111" s="25"/>
      <c r="D111" s="25"/>
      <c r="E111" s="25" t="s">
        <v>1333</v>
      </c>
      <c r="F111" s="25" t="str">
        <f t="array" ref="F111">IFERROR(_xlfn.XLOOKUP('Form responses 2'!C111,'Item List'!$I$2:$I$995,'Item List'!C$2:$F$995),"")</f>
        <v/>
      </c>
    </row>
    <row r="112">
      <c r="A112" s="25"/>
      <c r="B112" s="25"/>
      <c r="C112" s="25"/>
      <c r="D112" s="25"/>
      <c r="E112" s="25" t="s">
        <v>1333</v>
      </c>
      <c r="F112" s="25" t="str">
        <f t="array" ref="F112">IFERROR(_xlfn.XLOOKUP('Form responses 2'!C112,'Item List'!$I$2:$I$995,'Item List'!C$2:$F$995),"")</f>
        <v/>
      </c>
    </row>
    <row r="113">
      <c r="A113" s="25"/>
      <c r="B113" s="25"/>
      <c r="C113" s="25"/>
      <c r="D113" s="25"/>
      <c r="E113" s="25" t="s">
        <v>1333</v>
      </c>
      <c r="F113" s="25" t="str">
        <f t="array" ref="F113">IFERROR(_xlfn.XLOOKUP('Form responses 2'!C113,'Item List'!$I$2:$I$995,'Item List'!C$2:$F$995),"")</f>
        <v/>
      </c>
    </row>
    <row r="114">
      <c r="A114" s="25"/>
      <c r="B114" s="25"/>
      <c r="C114" s="25"/>
      <c r="D114" s="25"/>
      <c r="E114" s="25" t="s">
        <v>1333</v>
      </c>
      <c r="F114" s="25" t="str">
        <f t="array" ref="F114">IFERROR(_xlfn.XLOOKUP('Form responses 2'!C114,'Item List'!$I$2:$I$995,'Item List'!C$2:$F$995),"")</f>
        <v/>
      </c>
    </row>
    <row r="115">
      <c r="A115" s="25"/>
      <c r="B115" s="25"/>
      <c r="C115" s="25"/>
      <c r="D115" s="25"/>
      <c r="E115" s="25" t="s">
        <v>1333</v>
      </c>
      <c r="F115" s="25" t="str">
        <f t="array" ref="F115">IFERROR(_xlfn.XLOOKUP('Form responses 2'!C115,'Item List'!$I$2:$I$995,'Item List'!C$2:$F$995),"")</f>
        <v/>
      </c>
    </row>
    <row r="116">
      <c r="A116" s="25"/>
      <c r="B116" s="25"/>
      <c r="C116" s="25"/>
      <c r="D116" s="25"/>
      <c r="E116" s="25" t="s">
        <v>1333</v>
      </c>
      <c r="F116" s="25" t="str">
        <f t="array" ref="F116">IFERROR(_xlfn.XLOOKUP('Form responses 2'!C116,'Item List'!$I$2:$I$995,'Item List'!C$2:$F$995),"")</f>
        <v/>
      </c>
    </row>
    <row r="117">
      <c r="A117" s="25"/>
      <c r="B117" s="25"/>
      <c r="C117" s="25"/>
      <c r="D117" s="25"/>
      <c r="E117" s="25" t="s">
        <v>1333</v>
      </c>
      <c r="F117" s="25" t="str">
        <f t="array" ref="F117">IFERROR(_xlfn.XLOOKUP('Form responses 2'!C117,'Item List'!$I$2:$I$995,'Item List'!C$2:$F$995),"")</f>
        <v/>
      </c>
    </row>
    <row r="118">
      <c r="A118" s="25"/>
      <c r="B118" s="25"/>
      <c r="C118" s="25"/>
      <c r="D118" s="25"/>
      <c r="E118" s="25" t="s">
        <v>1333</v>
      </c>
      <c r="F118" s="25" t="str">
        <f t="array" ref="F118">IFERROR(_xlfn.XLOOKUP('Form responses 2'!C118,'Item List'!$I$2:$I$995,'Item List'!C$2:$F$995),"")</f>
        <v/>
      </c>
    </row>
    <row r="119">
      <c r="A119" s="25"/>
      <c r="B119" s="25"/>
      <c r="C119" s="25"/>
      <c r="D119" s="25"/>
      <c r="E119" s="25" t="s">
        <v>1333</v>
      </c>
      <c r="F119" s="25" t="str">
        <f t="array" ref="F119">IFERROR(_xlfn.XLOOKUP('Form responses 2'!C119,'Item List'!$I$2:$I$995,'Item List'!C$2:$F$995),"")</f>
        <v/>
      </c>
    </row>
    <row r="120">
      <c r="A120" s="25"/>
      <c r="B120" s="25"/>
      <c r="C120" s="25"/>
      <c r="D120" s="25"/>
      <c r="E120" s="25" t="s">
        <v>1333</v>
      </c>
      <c r="F120" s="25" t="str">
        <f t="array" ref="F120">IFERROR(_xlfn.XLOOKUP('Form responses 2'!C120,'Item List'!$I$2:$I$995,'Item List'!C$2:$F$995),"")</f>
        <v/>
      </c>
    </row>
    <row r="121">
      <c r="A121" s="25"/>
      <c r="B121" s="25"/>
      <c r="C121" s="25"/>
      <c r="D121" s="25"/>
      <c r="E121" s="25" t="s">
        <v>1333</v>
      </c>
      <c r="F121" s="25" t="str">
        <f t="array" ref="F121">IFERROR(_xlfn.XLOOKUP('Form responses 2'!C121,'Item List'!$I$2:$I$995,'Item List'!C$2:$F$995),"")</f>
        <v/>
      </c>
    </row>
    <row r="122">
      <c r="A122" s="25"/>
      <c r="B122" s="25"/>
      <c r="C122" s="25"/>
      <c r="D122" s="25"/>
      <c r="E122" s="25" t="s">
        <v>1333</v>
      </c>
      <c r="F122" s="25" t="str">
        <f t="array" ref="F122">IFERROR(_xlfn.XLOOKUP('Form responses 2'!C122,'Item List'!$I$2:$I$995,'Item List'!C$2:$F$995),"")</f>
        <v/>
      </c>
    </row>
    <row r="123">
      <c r="A123" s="25"/>
      <c r="B123" s="25"/>
      <c r="C123" s="25"/>
      <c r="D123" s="25"/>
      <c r="E123" s="25" t="s">
        <v>1333</v>
      </c>
      <c r="F123" s="25" t="str">
        <f t="array" ref="F123">IFERROR(_xlfn.XLOOKUP('Form responses 2'!C123,'Item List'!$I$2:$I$995,'Item List'!C$2:$F$995),"")</f>
        <v/>
      </c>
    </row>
    <row r="124">
      <c r="A124" s="25"/>
      <c r="B124" s="25"/>
      <c r="C124" s="25"/>
      <c r="D124" s="25"/>
      <c r="E124" s="25" t="s">
        <v>1333</v>
      </c>
      <c r="F124" s="25" t="str">
        <f t="array" ref="F124">IFERROR(_xlfn.XLOOKUP('Form responses 2'!C124,'Item List'!$I$2:$I$995,'Item List'!C$2:$F$995),"")</f>
        <v/>
      </c>
    </row>
    <row r="125">
      <c r="A125" s="25"/>
      <c r="B125" s="25"/>
      <c r="C125" s="25"/>
      <c r="D125" s="25"/>
      <c r="E125" s="25" t="s">
        <v>1333</v>
      </c>
      <c r="F125" s="25" t="str">
        <f t="array" ref="F125">IFERROR(_xlfn.XLOOKUP('Form responses 2'!C125,'Item List'!$I$2:$I$995,'Item List'!C$2:$F$995),"")</f>
        <v/>
      </c>
    </row>
    <row r="126">
      <c r="A126" s="25"/>
      <c r="B126" s="25"/>
      <c r="C126" s="25"/>
      <c r="D126" s="25"/>
      <c r="E126" s="25" t="s">
        <v>1333</v>
      </c>
      <c r="F126" s="25" t="str">
        <f t="array" ref="F126">IFERROR(_xlfn.XLOOKUP('Form responses 2'!C126,'Item List'!$I$2:$I$995,'Item List'!C$2:$F$995),"")</f>
        <v/>
      </c>
    </row>
    <row r="127">
      <c r="A127" s="25"/>
      <c r="B127" s="25"/>
      <c r="C127" s="25"/>
      <c r="D127" s="25"/>
      <c r="E127" s="25" t="s">
        <v>1333</v>
      </c>
      <c r="F127" s="25" t="str">
        <f t="array" ref="F127">IFERROR(_xlfn.XLOOKUP('Form responses 2'!C127,'Item List'!$I$2:$I$995,'Item List'!C$2:$F$995),"")</f>
        <v/>
      </c>
    </row>
    <row r="128">
      <c r="A128" s="25"/>
      <c r="B128" s="25"/>
      <c r="C128" s="25"/>
      <c r="D128" s="25"/>
      <c r="E128" s="25" t="s">
        <v>1333</v>
      </c>
      <c r="F128" s="25" t="str">
        <f t="array" ref="F128">IFERROR(_xlfn.XLOOKUP('Form responses 2'!C128,'Item List'!$I$2:$I$995,'Item List'!C$2:$F$995),"")</f>
        <v/>
      </c>
    </row>
    <row r="129">
      <c r="A129" s="25"/>
      <c r="B129" s="25"/>
      <c r="C129" s="25"/>
      <c r="D129" s="25"/>
      <c r="E129" s="25" t="s">
        <v>1333</v>
      </c>
      <c r="F129" s="25" t="str">
        <f t="array" ref="F129">IFERROR(_xlfn.XLOOKUP('Form responses 2'!C129,'Item List'!$I$2:$I$995,'Item List'!C$2:$F$995),"")</f>
        <v/>
      </c>
    </row>
    <row r="130">
      <c r="A130" s="25"/>
      <c r="B130" s="25"/>
      <c r="C130" s="25"/>
      <c r="D130" s="25"/>
      <c r="E130" s="25" t="s">
        <v>1333</v>
      </c>
      <c r="F130" s="25" t="str">
        <f t="array" ref="F130">IFERROR(_xlfn.XLOOKUP('Form responses 2'!C130,'Item List'!$I$2:$I$995,'Item List'!C$2:$F$995),"")</f>
        <v/>
      </c>
    </row>
    <row r="131">
      <c r="A131" s="25"/>
      <c r="B131" s="25"/>
      <c r="C131" s="25"/>
      <c r="D131" s="25"/>
      <c r="E131" s="25" t="s">
        <v>1333</v>
      </c>
      <c r="F131" s="25" t="str">
        <f t="array" ref="F131">IFERROR(_xlfn.XLOOKUP('Form responses 2'!C131,'Item List'!$I$2:$I$995,'Item List'!C$2:$F$995),"")</f>
        <v/>
      </c>
    </row>
    <row r="132">
      <c r="A132" s="25"/>
      <c r="B132" s="25"/>
      <c r="C132" s="25"/>
      <c r="D132" s="25"/>
      <c r="E132" s="25" t="s">
        <v>1333</v>
      </c>
      <c r="F132" s="25" t="str">
        <f t="array" ref="F132">IFERROR(_xlfn.XLOOKUP('Form responses 2'!C132,'Item List'!$I$2:$I$995,'Item List'!C$2:$F$995),"")</f>
        <v/>
      </c>
    </row>
    <row r="133">
      <c r="A133" s="25"/>
      <c r="B133" s="25"/>
      <c r="C133" s="25"/>
      <c r="D133" s="25"/>
      <c r="E133" s="25" t="s">
        <v>1333</v>
      </c>
      <c r="F133" s="25" t="str">
        <f t="array" ref="F133">IFERROR(_xlfn.XLOOKUP('Form responses 2'!C133,'Item List'!$I$2:$I$995,'Item List'!C$2:$F$995),"")</f>
        <v/>
      </c>
    </row>
    <row r="134">
      <c r="A134" s="25"/>
      <c r="B134" s="25"/>
      <c r="C134" s="25"/>
      <c r="D134" s="25"/>
      <c r="E134" s="25" t="s">
        <v>1333</v>
      </c>
      <c r="F134" s="25" t="str">
        <f t="array" ref="F134">IFERROR(_xlfn.XLOOKUP('Form responses 2'!C134,'Item List'!$I$2:$I$995,'Item List'!C$2:$F$995),"")</f>
        <v/>
      </c>
    </row>
    <row r="135">
      <c r="A135" s="25"/>
      <c r="B135" s="25"/>
      <c r="C135" s="25"/>
      <c r="D135" s="25"/>
      <c r="E135" s="25" t="s">
        <v>1333</v>
      </c>
      <c r="F135" s="25" t="str">
        <f t="array" ref="F135">IFERROR(_xlfn.XLOOKUP('Form responses 2'!C135,'Item List'!$I$2:$I$995,'Item List'!C$2:$F$995),"")</f>
        <v/>
      </c>
    </row>
    <row r="136">
      <c r="A136" s="25"/>
      <c r="B136" s="25"/>
      <c r="C136" s="25"/>
      <c r="D136" s="25"/>
      <c r="E136" s="25" t="s">
        <v>1333</v>
      </c>
      <c r="F136" s="25" t="str">
        <f t="array" ref="F136">IFERROR(_xlfn.XLOOKUP('Form responses 2'!C136,'Item List'!$I$2:$I$995,'Item List'!C$2:$F$995),"")</f>
        <v/>
      </c>
    </row>
    <row r="137">
      <c r="A137" s="25"/>
      <c r="B137" s="25"/>
      <c r="C137" s="25"/>
      <c r="D137" s="25"/>
      <c r="E137" s="25" t="s">
        <v>1333</v>
      </c>
      <c r="F137" s="25" t="str">
        <f t="array" ref="F137">IFERROR(_xlfn.XLOOKUP('Form responses 2'!C137,'Item List'!$I$2:$I$995,'Item List'!C$2:$F$995),"")</f>
        <v/>
      </c>
    </row>
    <row r="138">
      <c r="A138" s="25"/>
      <c r="B138" s="25"/>
      <c r="C138" s="25"/>
      <c r="D138" s="25"/>
      <c r="E138" s="25" t="s">
        <v>1333</v>
      </c>
      <c r="F138" s="25" t="str">
        <f t="array" ref="F138">IFERROR(_xlfn.XLOOKUP('Form responses 2'!C138,'Item List'!$I$2:$I$995,'Item List'!C$2:$F$995),"")</f>
        <v/>
      </c>
    </row>
    <row r="139">
      <c r="A139" s="25"/>
      <c r="B139" s="25"/>
      <c r="C139" s="25"/>
      <c r="D139" s="25"/>
      <c r="E139" s="25" t="s">
        <v>1333</v>
      </c>
      <c r="F139" s="25" t="str">
        <f t="array" ref="F139">IFERROR(_xlfn.XLOOKUP('Form responses 2'!C139,'Item List'!$I$2:$I$995,'Item List'!C$2:$F$995),"")</f>
        <v/>
      </c>
    </row>
    <row r="140">
      <c r="A140" s="25"/>
      <c r="B140" s="25"/>
      <c r="C140" s="25"/>
      <c r="D140" s="25"/>
      <c r="E140" s="25" t="s">
        <v>1333</v>
      </c>
      <c r="F140" s="25" t="str">
        <f t="array" ref="F140">IFERROR(_xlfn.XLOOKUP('Form responses 2'!C140,'Item List'!$I$2:$I$995,'Item List'!C$2:$F$995),"")</f>
        <v/>
      </c>
    </row>
    <row r="141">
      <c r="A141" s="25"/>
      <c r="B141" s="25"/>
      <c r="C141" s="25"/>
      <c r="D141" s="25"/>
      <c r="E141" s="25" t="s">
        <v>1333</v>
      </c>
      <c r="F141" s="25" t="str">
        <f t="array" ref="F141">IFERROR(_xlfn.XLOOKUP('Form responses 2'!C141,'Item List'!$I$2:$I$995,'Item List'!C$2:$F$995),"")</f>
        <v/>
      </c>
    </row>
    <row r="142">
      <c r="A142" s="25"/>
      <c r="B142" s="25"/>
      <c r="C142" s="25"/>
      <c r="D142" s="25"/>
      <c r="E142" s="25" t="s">
        <v>1333</v>
      </c>
      <c r="F142" s="25" t="str">
        <f t="array" ref="F142">IFERROR(_xlfn.XLOOKUP('Form responses 2'!C142,'Item List'!$I$2:$I$995,'Item List'!C$2:$F$995),"")</f>
        <v/>
      </c>
    </row>
    <row r="143">
      <c r="A143" s="25"/>
      <c r="B143" s="25"/>
      <c r="C143" s="25"/>
      <c r="D143" s="25"/>
      <c r="E143" s="25" t="s">
        <v>1333</v>
      </c>
      <c r="F143" s="25" t="str">
        <f t="array" ref="F143">IFERROR(_xlfn.XLOOKUP('Form responses 2'!C143,'Item List'!$I$2:$I$995,'Item List'!C$2:$F$995),"")</f>
        <v/>
      </c>
    </row>
    <row r="144">
      <c r="A144" s="25"/>
      <c r="B144" s="25"/>
      <c r="C144" s="25"/>
      <c r="D144" s="25"/>
      <c r="E144" s="25" t="s">
        <v>1333</v>
      </c>
      <c r="F144" s="25" t="str">
        <f t="array" ref="F144">IFERROR(_xlfn.XLOOKUP('Form responses 2'!C144,'Item List'!$I$2:$I$995,'Item List'!C$2:$F$995),"")</f>
        <v/>
      </c>
    </row>
    <row r="145">
      <c r="A145" s="25"/>
      <c r="B145" s="25"/>
      <c r="C145" s="25"/>
      <c r="D145" s="25"/>
      <c r="E145" s="25" t="s">
        <v>1333</v>
      </c>
      <c r="F145" s="25" t="str">
        <f t="array" ref="F145">IFERROR(_xlfn.XLOOKUP('Form responses 2'!C145,'Item List'!$I$2:$I$995,'Item List'!C$2:$F$995),"")</f>
        <v/>
      </c>
    </row>
    <row r="146">
      <c r="A146" s="25"/>
      <c r="B146" s="25"/>
      <c r="C146" s="25"/>
      <c r="D146" s="25"/>
      <c r="E146" s="25" t="s">
        <v>1333</v>
      </c>
      <c r="F146" s="25" t="str">
        <f t="array" ref="F146">IFERROR(_xlfn.XLOOKUP('Form responses 2'!C146,'Item List'!$I$2:$I$995,'Item List'!C$2:$F$995),"")</f>
        <v/>
      </c>
    </row>
    <row r="147">
      <c r="A147" s="25"/>
      <c r="B147" s="25"/>
      <c r="C147" s="25"/>
      <c r="D147" s="25"/>
      <c r="E147" s="25" t="s">
        <v>1333</v>
      </c>
      <c r="F147" s="25" t="str">
        <f t="array" ref="F147">IFERROR(_xlfn.XLOOKUP('Form responses 2'!C147,'Item List'!$I$2:$I$995,'Item List'!C$2:$F$995),"")</f>
        <v/>
      </c>
    </row>
    <row r="148">
      <c r="A148" s="25"/>
      <c r="B148" s="25"/>
      <c r="C148" s="25"/>
      <c r="D148" s="25"/>
      <c r="E148" s="25" t="s">
        <v>1333</v>
      </c>
      <c r="F148" s="25" t="str">
        <f t="array" ref="F148">IFERROR(_xlfn.XLOOKUP('Form responses 2'!C148,'Item List'!$I$2:$I$995,'Item List'!C$2:$F$995),"")</f>
        <v/>
      </c>
    </row>
    <row r="149">
      <c r="A149" s="25"/>
      <c r="B149" s="25"/>
      <c r="C149" s="25"/>
      <c r="D149" s="25"/>
      <c r="E149" s="25" t="s">
        <v>1333</v>
      </c>
      <c r="F149" s="25" t="str">
        <f t="array" ref="F149">IFERROR(_xlfn.XLOOKUP('Form responses 2'!C149,'Item List'!$I$2:$I$995,'Item List'!C$2:$F$995),"")</f>
        <v/>
      </c>
    </row>
    <row r="150">
      <c r="A150" s="25"/>
      <c r="B150" s="25"/>
      <c r="C150" s="25"/>
      <c r="D150" s="25"/>
      <c r="E150" s="25" t="s">
        <v>1333</v>
      </c>
      <c r="F150" s="25" t="str">
        <f t="array" ref="F150">IFERROR(_xlfn.XLOOKUP('Form responses 2'!C150,'Item List'!$I$2:$I$995,'Item List'!C$2:$F$995),"")</f>
        <v/>
      </c>
    </row>
    <row r="151">
      <c r="A151" s="25"/>
      <c r="B151" s="25"/>
      <c r="C151" s="25"/>
      <c r="D151" s="25"/>
      <c r="E151" s="25" t="s">
        <v>1333</v>
      </c>
      <c r="F151" s="25" t="str">
        <f t="array" ref="F151">IFERROR(_xlfn.XLOOKUP('Form responses 2'!C151,'Item List'!$I$2:$I$995,'Item List'!C$2:$F$995),"")</f>
        <v/>
      </c>
    </row>
    <row r="152">
      <c r="A152" s="25"/>
      <c r="B152" s="25"/>
      <c r="C152" s="25"/>
      <c r="D152" s="25"/>
      <c r="E152" s="25" t="s">
        <v>1333</v>
      </c>
      <c r="F152" s="25" t="str">
        <f t="array" ref="F152">IFERROR(_xlfn.XLOOKUP('Form responses 2'!C152,'Item List'!$I$2:$I$995,'Item List'!C$2:$F$995),"")</f>
        <v/>
      </c>
    </row>
    <row r="153">
      <c r="A153" s="25"/>
      <c r="B153" s="25"/>
      <c r="C153" s="25"/>
      <c r="D153" s="25"/>
      <c r="E153" s="25" t="s">
        <v>1333</v>
      </c>
      <c r="F153" s="25" t="str">
        <f t="array" ref="F153">IFERROR(_xlfn.XLOOKUP('Form responses 2'!C153,'Item List'!$I$2:$I$995,'Item List'!C$2:$F$995),"")</f>
        <v/>
      </c>
    </row>
    <row r="154">
      <c r="A154" s="25"/>
      <c r="B154" s="25"/>
      <c r="C154" s="25"/>
      <c r="D154" s="25"/>
      <c r="E154" s="25" t="s">
        <v>1333</v>
      </c>
      <c r="F154" s="25" t="str">
        <f t="array" ref="F154">IFERROR(_xlfn.XLOOKUP('Form responses 2'!C154,'Item List'!$I$2:$I$995,'Item List'!C$2:$F$995),"")</f>
        <v/>
      </c>
    </row>
    <row r="155">
      <c r="A155" s="25"/>
      <c r="B155" s="25"/>
      <c r="C155" s="25"/>
      <c r="D155" s="25"/>
      <c r="E155" s="25" t="s">
        <v>1333</v>
      </c>
      <c r="F155" s="25" t="str">
        <f t="array" ref="F155">IFERROR(_xlfn.XLOOKUP('Form responses 2'!C155,'Item List'!$I$2:$I$995,'Item List'!C$2:$F$995),"")</f>
        <v/>
      </c>
    </row>
    <row r="156">
      <c r="A156" s="25"/>
      <c r="B156" s="25"/>
      <c r="C156" s="25"/>
      <c r="D156" s="25"/>
      <c r="E156" s="25" t="s">
        <v>1333</v>
      </c>
      <c r="F156" s="25" t="str">
        <f t="array" ref="F156">IFERROR(_xlfn.XLOOKUP('Form responses 2'!C156,'Item List'!$I$2:$I$995,'Item List'!C$2:$F$995),"")</f>
        <v/>
      </c>
    </row>
    <row r="157">
      <c r="A157" s="25"/>
      <c r="B157" s="25"/>
      <c r="C157" s="25"/>
      <c r="D157" s="25"/>
      <c r="E157" s="25" t="s">
        <v>1333</v>
      </c>
      <c r="F157" s="25" t="str">
        <f t="array" ref="F157">IFERROR(_xlfn.XLOOKUP('Form responses 2'!C157,'Item List'!$I$2:$I$995,'Item List'!C$2:$F$995),"")</f>
        <v/>
      </c>
    </row>
    <row r="158">
      <c r="A158" s="25"/>
      <c r="B158" s="25"/>
      <c r="C158" s="25"/>
      <c r="D158" s="25"/>
      <c r="E158" s="25" t="s">
        <v>1333</v>
      </c>
      <c r="F158" s="25" t="str">
        <f t="array" ref="F158">IFERROR(_xlfn.XLOOKUP('Form responses 2'!C158,'Item List'!$I$2:$I$995,'Item List'!C$2:$F$995),"")</f>
        <v/>
      </c>
    </row>
    <row r="159">
      <c r="A159" s="25"/>
      <c r="B159" s="25"/>
      <c r="C159" s="25"/>
      <c r="D159" s="25"/>
      <c r="E159" s="25" t="s">
        <v>1333</v>
      </c>
      <c r="F159" s="25" t="str">
        <f t="array" ref="F159">IFERROR(_xlfn.XLOOKUP('Form responses 2'!C159,'Item List'!$I$2:$I$995,'Item List'!C$2:$F$995),"")</f>
        <v/>
      </c>
    </row>
    <row r="160">
      <c r="A160" s="25"/>
      <c r="B160" s="25"/>
      <c r="C160" s="25"/>
      <c r="D160" s="25"/>
      <c r="E160" s="25" t="s">
        <v>1333</v>
      </c>
      <c r="F160" s="25" t="str">
        <f t="array" ref="F160">IFERROR(_xlfn.XLOOKUP('Form responses 2'!C160,'Item List'!$I$2:$I$995,'Item List'!C$2:$F$995),"")</f>
        <v/>
      </c>
    </row>
    <row r="161">
      <c r="A161" s="25"/>
      <c r="B161" s="25"/>
      <c r="C161" s="25"/>
      <c r="D161" s="25"/>
      <c r="E161" s="25" t="s">
        <v>1333</v>
      </c>
      <c r="F161" s="25" t="str">
        <f t="array" ref="F161">IFERROR(_xlfn.XLOOKUP('Form responses 2'!C161,'Item List'!$I$2:$I$995,'Item List'!C$2:$F$995),"")</f>
        <v/>
      </c>
    </row>
    <row r="162">
      <c r="A162" s="25"/>
      <c r="B162" s="25"/>
      <c r="C162" s="25"/>
      <c r="D162" s="25"/>
      <c r="E162" s="25" t="s">
        <v>1333</v>
      </c>
      <c r="F162" s="25" t="str">
        <f t="array" ref="F162">IFERROR(_xlfn.XLOOKUP('Form responses 2'!C162,'Item List'!$I$2:$I$995,'Item List'!C$2:$F$995),"")</f>
        <v/>
      </c>
    </row>
    <row r="163">
      <c r="A163" s="25"/>
      <c r="B163" s="25"/>
      <c r="C163" s="25"/>
      <c r="D163" s="25"/>
      <c r="E163" s="25" t="s">
        <v>1333</v>
      </c>
      <c r="F163" s="25" t="str">
        <f t="array" ref="F163">IFERROR(_xlfn.XLOOKUP('Form responses 2'!C163,'Item List'!$I$2:$I$995,'Item List'!C$2:$F$995),"")</f>
        <v/>
      </c>
    </row>
    <row r="164">
      <c r="A164" s="25"/>
      <c r="B164" s="25"/>
      <c r="C164" s="25"/>
      <c r="D164" s="25"/>
      <c r="E164" s="25" t="s">
        <v>1333</v>
      </c>
      <c r="F164" s="25" t="str">
        <f t="array" ref="F164">IFERROR(_xlfn.XLOOKUP('Form responses 2'!C164,'Item List'!$I$2:$I$995,'Item List'!C$2:$F$995),"")</f>
        <v/>
      </c>
    </row>
    <row r="165">
      <c r="A165" s="25"/>
      <c r="B165" s="25"/>
      <c r="C165" s="25"/>
      <c r="D165" s="25"/>
      <c r="E165" s="25" t="s">
        <v>1333</v>
      </c>
      <c r="F165" s="25" t="str">
        <f t="array" ref="F165">IFERROR(_xlfn.XLOOKUP('Form responses 2'!C165,'Item List'!$I$2:$I$995,'Item List'!C$2:$F$995),"")</f>
        <v/>
      </c>
    </row>
    <row r="166">
      <c r="A166" s="25"/>
      <c r="B166" s="25"/>
      <c r="C166" s="25"/>
      <c r="D166" s="25"/>
      <c r="E166" s="25" t="s">
        <v>1333</v>
      </c>
      <c r="F166" s="25" t="str">
        <f t="array" ref="F166">IFERROR(_xlfn.XLOOKUP('Form responses 2'!C166,'Item List'!$I$2:$I$995,'Item List'!C$2:$F$995),"")</f>
        <v/>
      </c>
    </row>
    <row r="167">
      <c r="A167" s="25"/>
      <c r="B167" s="25"/>
      <c r="C167" s="25"/>
      <c r="D167" s="25"/>
      <c r="E167" s="25" t="s">
        <v>1333</v>
      </c>
      <c r="F167" s="25" t="str">
        <f t="array" ref="F167">IFERROR(_xlfn.XLOOKUP('Form responses 2'!C167,'Item List'!$I$2:$I$995,'Item List'!C$2:$F$995),"")</f>
        <v/>
      </c>
    </row>
    <row r="168">
      <c r="A168" s="25"/>
      <c r="B168" s="25"/>
      <c r="C168" s="25"/>
      <c r="D168" s="25"/>
      <c r="E168" s="25" t="s">
        <v>1333</v>
      </c>
      <c r="F168" s="25" t="str">
        <f t="array" ref="F168">IFERROR(_xlfn.XLOOKUP('Form responses 2'!C168,'Item List'!$I$2:$I$995,'Item List'!C$2:$F$995),"")</f>
        <v/>
      </c>
    </row>
    <row r="169">
      <c r="A169" s="25"/>
      <c r="B169" s="25"/>
      <c r="C169" s="25"/>
      <c r="D169" s="25"/>
      <c r="E169" s="25" t="s">
        <v>1333</v>
      </c>
      <c r="F169" s="25" t="str">
        <f t="array" ref="F169">IFERROR(_xlfn.XLOOKUP('Form responses 2'!C169,'Item List'!$I$2:$I$995,'Item List'!C$2:$F$995),"")</f>
        <v/>
      </c>
    </row>
    <row r="170">
      <c r="A170" s="25"/>
      <c r="B170" s="25"/>
      <c r="C170" s="25"/>
      <c r="D170" s="25"/>
      <c r="E170" s="25" t="s">
        <v>1333</v>
      </c>
      <c r="F170" s="25" t="str">
        <f t="array" ref="F170">IFERROR(_xlfn.XLOOKUP('Form responses 2'!C170,'Item List'!$I$2:$I$995,'Item List'!C$2:$F$995),"")</f>
        <v/>
      </c>
    </row>
    <row r="171">
      <c r="A171" s="25"/>
      <c r="B171" s="25"/>
      <c r="C171" s="25"/>
      <c r="D171" s="25"/>
      <c r="E171" s="25" t="s">
        <v>1333</v>
      </c>
      <c r="F171" s="25" t="str">
        <f t="array" ref="F171">IFERROR(_xlfn.XLOOKUP('Form responses 2'!C171,'Item List'!$I$2:$I$995,'Item List'!C$2:$F$995),"")</f>
        <v/>
      </c>
    </row>
    <row r="172">
      <c r="A172" s="25"/>
      <c r="B172" s="25"/>
      <c r="C172" s="25"/>
      <c r="D172" s="25"/>
      <c r="E172" s="25" t="s">
        <v>1333</v>
      </c>
      <c r="F172" s="25" t="str">
        <f t="array" ref="F172">IFERROR(_xlfn.XLOOKUP('Form responses 2'!C172,'Item List'!$I$2:$I$995,'Item List'!C$2:$F$995),"")</f>
        <v/>
      </c>
    </row>
    <row r="173">
      <c r="A173" s="25"/>
      <c r="B173" s="25"/>
      <c r="C173" s="25"/>
      <c r="D173" s="25"/>
      <c r="E173" s="25" t="s">
        <v>1333</v>
      </c>
      <c r="F173" s="25" t="str">
        <f t="array" ref="F173">IFERROR(_xlfn.XLOOKUP('Form responses 2'!C173,'Item List'!$I$2:$I$995,'Item List'!C$2:$F$995),"")</f>
        <v/>
      </c>
    </row>
    <row r="174">
      <c r="A174" s="25"/>
      <c r="B174" s="25"/>
      <c r="C174" s="25"/>
      <c r="D174" s="25"/>
      <c r="E174" s="25" t="s">
        <v>1333</v>
      </c>
      <c r="F174" s="25" t="str">
        <f t="array" ref="F174">IFERROR(_xlfn.XLOOKUP('Form responses 2'!C174,'Item List'!$I$2:$I$995,'Item List'!C$2:$F$995),"")</f>
        <v/>
      </c>
    </row>
    <row r="175">
      <c r="A175" s="25"/>
      <c r="B175" s="25"/>
      <c r="C175" s="25"/>
      <c r="D175" s="25"/>
      <c r="E175" s="25" t="s">
        <v>1333</v>
      </c>
      <c r="F175" s="25" t="str">
        <f t="array" ref="F175">IFERROR(_xlfn.XLOOKUP('Form responses 2'!C175,'Item List'!$I$2:$I$995,'Item List'!C$2:$F$995),"")</f>
        <v/>
      </c>
    </row>
    <row r="176">
      <c r="A176" s="25"/>
      <c r="B176" s="25"/>
      <c r="C176" s="25"/>
      <c r="D176" s="25"/>
      <c r="E176" s="25" t="s">
        <v>1333</v>
      </c>
      <c r="F176" s="25" t="str">
        <f t="array" ref="F176">IFERROR(_xlfn.XLOOKUP('Form responses 2'!C176,'Item List'!$I$2:$I$995,'Item List'!C$2:$F$995),"")</f>
        <v/>
      </c>
    </row>
    <row r="177">
      <c r="A177" s="25"/>
      <c r="B177" s="25"/>
      <c r="C177" s="25"/>
      <c r="D177" s="25"/>
      <c r="E177" s="25" t="s">
        <v>1333</v>
      </c>
      <c r="F177" s="25" t="str">
        <f t="array" ref="F177">IFERROR(_xlfn.XLOOKUP('Form responses 2'!C177,'Item List'!$I$2:$I$995,'Item List'!C$2:$F$995),"")</f>
        <v/>
      </c>
    </row>
    <row r="178">
      <c r="A178" s="25"/>
      <c r="B178" s="25"/>
      <c r="C178" s="25"/>
      <c r="D178" s="25"/>
      <c r="E178" s="25" t="s">
        <v>1333</v>
      </c>
      <c r="F178" s="25" t="str">
        <f t="array" ref="F178">IFERROR(_xlfn.XLOOKUP('Form responses 2'!C178,'Item List'!$I$2:$I$995,'Item List'!C$2:$F$995),"")</f>
        <v/>
      </c>
    </row>
    <row r="179">
      <c r="A179" s="25"/>
      <c r="B179" s="25"/>
      <c r="C179" s="25"/>
      <c r="D179" s="25"/>
      <c r="E179" s="25" t="s">
        <v>1333</v>
      </c>
      <c r="F179" s="25" t="str">
        <f t="array" ref="F179">IFERROR(_xlfn.XLOOKUP('Form responses 2'!C179,'Item List'!$I$2:$I$995,'Item List'!C$2:$F$995),"")</f>
        <v/>
      </c>
    </row>
    <row r="180">
      <c r="A180" s="25"/>
      <c r="B180" s="25"/>
      <c r="C180" s="25"/>
      <c r="D180" s="25"/>
      <c r="E180" s="25" t="s">
        <v>1333</v>
      </c>
      <c r="F180" s="25" t="str">
        <f t="array" ref="F180">IFERROR(_xlfn.XLOOKUP('Form responses 2'!C180,'Item List'!$I$2:$I$995,'Item List'!C$2:$F$995),"")</f>
        <v/>
      </c>
    </row>
    <row r="181">
      <c r="A181" s="25"/>
      <c r="B181" s="25"/>
      <c r="C181" s="25"/>
      <c r="D181" s="25"/>
      <c r="E181" s="25" t="s">
        <v>1333</v>
      </c>
      <c r="F181" s="25" t="str">
        <f t="array" ref="F181">IFERROR(_xlfn.XLOOKUP('Form responses 2'!C181,'Item List'!$I$2:$I$995,'Item List'!C$2:$F$995),"")</f>
        <v/>
      </c>
    </row>
    <row r="182">
      <c r="A182" s="25"/>
      <c r="B182" s="25"/>
      <c r="C182" s="25"/>
      <c r="D182" s="25"/>
      <c r="E182" s="25" t="s">
        <v>1333</v>
      </c>
      <c r="F182" s="25" t="str">
        <f t="array" ref="F182">IFERROR(_xlfn.XLOOKUP('Form responses 2'!C182,'Item List'!$I$2:$I$995,'Item List'!C$2:$F$995),"")</f>
        <v/>
      </c>
    </row>
    <row r="183">
      <c r="A183" s="25"/>
      <c r="B183" s="25"/>
      <c r="C183" s="25"/>
      <c r="D183" s="25"/>
      <c r="E183" s="25" t="s">
        <v>1333</v>
      </c>
      <c r="F183" s="25" t="str">
        <f t="array" ref="F183">IFERROR(_xlfn.XLOOKUP('Form responses 2'!C183,'Item List'!$I$2:$I$995,'Item List'!C$2:$F$995),"")</f>
        <v/>
      </c>
    </row>
    <row r="184">
      <c r="A184" s="25"/>
      <c r="B184" s="25"/>
      <c r="C184" s="25"/>
      <c r="D184" s="25"/>
      <c r="E184" s="25" t="s">
        <v>1333</v>
      </c>
      <c r="F184" s="25" t="str">
        <f t="array" ref="F184">IFERROR(_xlfn.XLOOKUP('Form responses 2'!C184,'Item List'!$I$2:$I$995,'Item List'!C$2:$F$995),"")</f>
        <v/>
      </c>
    </row>
    <row r="185">
      <c r="A185" s="25"/>
      <c r="B185" s="25"/>
      <c r="C185" s="25"/>
      <c r="D185" s="25"/>
      <c r="E185" s="25" t="s">
        <v>1333</v>
      </c>
      <c r="F185" s="25" t="str">
        <f t="array" ref="F185">IFERROR(_xlfn.XLOOKUP('Form responses 2'!C185,'Item List'!$I$2:$I$995,'Item List'!C$2:$F$995),"")</f>
        <v/>
      </c>
    </row>
    <row r="186">
      <c r="A186" s="25"/>
      <c r="B186" s="25"/>
      <c r="C186" s="25"/>
      <c r="D186" s="25"/>
      <c r="E186" s="25" t="s">
        <v>1333</v>
      </c>
      <c r="F186" s="25" t="str">
        <f t="array" ref="F186">IFERROR(_xlfn.XLOOKUP('Form responses 2'!C186,'Item List'!$I$2:$I$995,'Item List'!C$2:$F$995),"")</f>
        <v/>
      </c>
    </row>
    <row r="187">
      <c r="A187" s="25"/>
      <c r="B187" s="25"/>
      <c r="C187" s="25"/>
      <c r="D187" s="25"/>
      <c r="E187" s="25" t="s">
        <v>1333</v>
      </c>
      <c r="F187" s="25" t="str">
        <f t="array" ref="F187">IFERROR(_xlfn.XLOOKUP('Form responses 2'!C187,'Item List'!$I$2:$I$995,'Item List'!C$2:$F$995),"")</f>
        <v/>
      </c>
    </row>
    <row r="188">
      <c r="A188" s="25"/>
      <c r="B188" s="25"/>
      <c r="C188" s="25"/>
      <c r="D188" s="25"/>
      <c r="E188" s="25" t="s">
        <v>1333</v>
      </c>
      <c r="F188" s="25" t="str">
        <f t="array" ref="F188">IFERROR(_xlfn.XLOOKUP('Form responses 2'!C188,'Item List'!$I$2:$I$995,'Item List'!C$2:$F$995),"")</f>
        <v/>
      </c>
    </row>
    <row r="189">
      <c r="A189" s="25"/>
      <c r="B189" s="25"/>
      <c r="C189" s="25"/>
      <c r="D189" s="25"/>
      <c r="E189" s="25" t="s">
        <v>1333</v>
      </c>
      <c r="F189" s="25" t="str">
        <f t="array" ref="F189">IFERROR(_xlfn.XLOOKUP('Form responses 2'!C189,'Item List'!$I$2:$I$995,'Item List'!C$2:$F$995),"")</f>
        <v/>
      </c>
    </row>
    <row r="190">
      <c r="A190" s="25"/>
      <c r="B190" s="25"/>
      <c r="C190" s="25"/>
      <c r="D190" s="25"/>
      <c r="E190" s="25" t="s">
        <v>1333</v>
      </c>
      <c r="F190" s="25" t="str">
        <f t="array" ref="F190">IFERROR(_xlfn.XLOOKUP('Form responses 2'!C190,'Item List'!$I$2:$I$995,'Item List'!C$2:$F$995),"")</f>
        <v/>
      </c>
    </row>
    <row r="191">
      <c r="A191" s="25"/>
      <c r="B191" s="25"/>
      <c r="C191" s="25"/>
      <c r="D191" s="25"/>
      <c r="E191" s="25" t="s">
        <v>1333</v>
      </c>
      <c r="F191" s="25" t="str">
        <f t="array" ref="F191">IFERROR(_xlfn.XLOOKUP('Form responses 2'!C191,'Item List'!$I$2:$I$995,'Item List'!C$2:$F$995),"")</f>
        <v/>
      </c>
    </row>
    <row r="192">
      <c r="A192" s="25"/>
      <c r="B192" s="25"/>
      <c r="C192" s="25"/>
      <c r="D192" s="25"/>
      <c r="E192" s="25" t="s">
        <v>1333</v>
      </c>
      <c r="F192" s="25" t="str">
        <f t="array" ref="F192">IFERROR(_xlfn.XLOOKUP('Form responses 2'!C192,'Item List'!$I$2:$I$995,'Item List'!C$2:$F$995),"")</f>
        <v/>
      </c>
    </row>
    <row r="193">
      <c r="A193" s="25"/>
      <c r="B193" s="25"/>
      <c r="C193" s="25"/>
      <c r="D193" s="25"/>
      <c r="E193" s="25" t="s">
        <v>1333</v>
      </c>
      <c r="F193" s="25" t="str">
        <f t="array" ref="F193">IFERROR(_xlfn.XLOOKUP('Form responses 2'!C193,'Item List'!$I$2:$I$995,'Item List'!C$2:$F$995),"")</f>
        <v/>
      </c>
    </row>
    <row r="194">
      <c r="A194" s="25"/>
      <c r="B194" s="25"/>
      <c r="C194" s="25"/>
      <c r="D194" s="25"/>
      <c r="E194" s="25" t="s">
        <v>1333</v>
      </c>
      <c r="F194" s="25" t="str">
        <f t="array" ref="F194">IFERROR(_xlfn.XLOOKUP('Form responses 2'!C194,'Item List'!$I$2:$I$995,'Item List'!C$2:$F$995),"")</f>
        <v/>
      </c>
    </row>
    <row r="195">
      <c r="A195" s="25"/>
      <c r="B195" s="25"/>
      <c r="C195" s="25"/>
      <c r="D195" s="25"/>
      <c r="E195" s="25" t="s">
        <v>1333</v>
      </c>
      <c r="F195" s="25" t="str">
        <f t="array" ref="F195">IFERROR(_xlfn.XLOOKUP('Form responses 2'!C195,'Item List'!$I$2:$I$995,'Item List'!C$2:$F$995),"")</f>
        <v/>
      </c>
    </row>
    <row r="196">
      <c r="A196" s="25"/>
      <c r="B196" s="25"/>
      <c r="C196" s="25"/>
      <c r="D196" s="25"/>
      <c r="E196" s="25" t="s">
        <v>1333</v>
      </c>
      <c r="F196" s="25" t="str">
        <f t="array" ref="F196">IFERROR(_xlfn.XLOOKUP('Form responses 2'!C196,'Item List'!$I$2:$I$995,'Item List'!C$2:$F$995),"")</f>
        <v/>
      </c>
    </row>
    <row r="197">
      <c r="A197" s="25"/>
      <c r="B197" s="25"/>
      <c r="C197" s="25"/>
      <c r="D197" s="25"/>
      <c r="E197" s="25" t="s">
        <v>1333</v>
      </c>
      <c r="F197" s="25" t="str">
        <f t="array" ref="F197">IFERROR(_xlfn.XLOOKUP('Form responses 2'!C197,'Item List'!$I$2:$I$995,'Item List'!C$2:$F$995),"")</f>
        <v/>
      </c>
    </row>
    <row r="198">
      <c r="A198" s="25"/>
      <c r="B198" s="25"/>
      <c r="C198" s="25"/>
      <c r="D198" s="25"/>
      <c r="E198" s="25" t="s">
        <v>1333</v>
      </c>
      <c r="F198" s="25" t="str">
        <f t="array" ref="F198">IFERROR(_xlfn.XLOOKUP('Form responses 2'!C198,'Item List'!$I$2:$I$995,'Item List'!C$2:$F$995),"")</f>
        <v/>
      </c>
    </row>
    <row r="199">
      <c r="A199" s="25"/>
      <c r="B199" s="25"/>
      <c r="C199" s="25"/>
      <c r="D199" s="25"/>
      <c r="E199" s="25" t="s">
        <v>1333</v>
      </c>
      <c r="F199" s="25" t="str">
        <f t="array" ref="F199">IFERROR(_xlfn.XLOOKUP('Form responses 2'!C199,'Item List'!$I$2:$I$995,'Item List'!C$2:$F$995),"")</f>
        <v/>
      </c>
    </row>
    <row r="200">
      <c r="A200" s="25"/>
      <c r="B200" s="25"/>
      <c r="C200" s="25"/>
      <c r="D200" s="25"/>
      <c r="E200" s="25" t="s">
        <v>1333</v>
      </c>
      <c r="F200" s="25" t="str">
        <f t="array" ref="F200">IFERROR(_xlfn.XLOOKUP('Form responses 2'!C200,'Item List'!$I$2:$I$995,'Item List'!C$2:$F$995),"")</f>
        <v/>
      </c>
    </row>
    <row r="201">
      <c r="A201" s="25"/>
      <c r="B201" s="25"/>
      <c r="C201" s="25"/>
      <c r="D201" s="25"/>
      <c r="E201" s="25" t="s">
        <v>1333</v>
      </c>
      <c r="F201" s="25" t="str">
        <f t="array" ref="F201">IFERROR(_xlfn.XLOOKUP('Form responses 2'!C201,'Item List'!$I$2:$I$995,'Item List'!C$2:$F$995),"")</f>
        <v/>
      </c>
    </row>
    <row r="202">
      <c r="A202" s="25"/>
      <c r="B202" s="25"/>
      <c r="C202" s="25"/>
      <c r="D202" s="25"/>
      <c r="E202" s="25" t="s">
        <v>1333</v>
      </c>
      <c r="F202" s="25" t="str">
        <f t="array" ref="F202">IFERROR(_xlfn.XLOOKUP('Form responses 2'!C202,'Item List'!$I$2:$I$995,'Item List'!C$2:$F$995),"")</f>
        <v/>
      </c>
    </row>
    <row r="203">
      <c r="A203" s="25"/>
      <c r="B203" s="25"/>
      <c r="C203" s="25"/>
      <c r="D203" s="25"/>
      <c r="E203" s="25" t="s">
        <v>1333</v>
      </c>
      <c r="F203" s="25" t="str">
        <f t="array" ref="F203">IFERROR(_xlfn.XLOOKUP('Form responses 2'!C203,'Item List'!$I$2:$I$995,'Item List'!C$2:$F$995),"")</f>
        <v/>
      </c>
    </row>
    <row r="204">
      <c r="A204" s="25"/>
      <c r="B204" s="25"/>
      <c r="C204" s="25"/>
      <c r="D204" s="25"/>
      <c r="E204" s="25" t="s">
        <v>1333</v>
      </c>
      <c r="F204" s="25" t="str">
        <f t="array" ref="F204">IFERROR(_xlfn.XLOOKUP('Form responses 2'!C204,'Item List'!$I$2:$I$995,'Item List'!C$2:$F$995),"")</f>
        <v/>
      </c>
    </row>
    <row r="205">
      <c r="A205" s="25"/>
      <c r="B205" s="25"/>
      <c r="C205" s="25"/>
      <c r="D205" s="25"/>
      <c r="E205" s="25" t="s">
        <v>1333</v>
      </c>
      <c r="F205" s="25" t="str">
        <f t="array" ref="F205">IFERROR(_xlfn.XLOOKUP('Form responses 2'!C205,'Item List'!$I$2:$I$995,'Item List'!C$2:$F$995),"")</f>
        <v/>
      </c>
    </row>
    <row r="206">
      <c r="A206" s="25"/>
      <c r="B206" s="25"/>
      <c r="C206" s="25"/>
      <c r="D206" s="25"/>
      <c r="E206" s="25" t="s">
        <v>1333</v>
      </c>
      <c r="F206" s="25" t="str">
        <f t="array" ref="F206">IFERROR(_xlfn.XLOOKUP('Form responses 2'!C206,'Item List'!$I$2:$I$995,'Item List'!C$2:$F$995),"")</f>
        <v/>
      </c>
    </row>
    <row r="207">
      <c r="A207" s="25"/>
      <c r="B207" s="25"/>
      <c r="C207" s="25"/>
      <c r="D207" s="25"/>
      <c r="E207" s="25" t="s">
        <v>1333</v>
      </c>
      <c r="F207" s="25" t="str">
        <f t="array" ref="F207">IFERROR(_xlfn.XLOOKUP('Form responses 2'!C207,'Item List'!$I$2:$I$995,'Item List'!C$2:$F$995),"")</f>
        <v/>
      </c>
    </row>
    <row r="208">
      <c r="A208" s="25"/>
      <c r="B208" s="25"/>
      <c r="C208" s="25"/>
      <c r="D208" s="25"/>
      <c r="E208" s="25" t="s">
        <v>1333</v>
      </c>
      <c r="F208" s="25" t="str">
        <f t="array" ref="F208">IFERROR(_xlfn.XLOOKUP('Form responses 2'!C208,'Item List'!$I$2:$I$995,'Item List'!C$2:$F$995),"")</f>
        <v/>
      </c>
    </row>
    <row r="209">
      <c r="A209" s="25"/>
      <c r="B209" s="25"/>
      <c r="C209" s="25"/>
      <c r="D209" s="25"/>
      <c r="E209" s="25" t="s">
        <v>1333</v>
      </c>
      <c r="F209" s="25" t="str">
        <f t="array" ref="F209">IFERROR(_xlfn.XLOOKUP('Form responses 2'!C209,'Item List'!$I$2:$I$995,'Item List'!C$2:$F$995),"")</f>
        <v/>
      </c>
    </row>
    <row r="210">
      <c r="A210" s="25"/>
      <c r="B210" s="25"/>
      <c r="C210" s="25"/>
      <c r="D210" s="25"/>
      <c r="E210" s="25" t="s">
        <v>1333</v>
      </c>
      <c r="F210" s="25" t="str">
        <f t="array" ref="F210">IFERROR(_xlfn.XLOOKUP('Form responses 2'!C210,'Item List'!$I$2:$I$995,'Item List'!C$2:$F$995),"")</f>
        <v/>
      </c>
    </row>
    <row r="211">
      <c r="A211" s="25"/>
      <c r="B211" s="25"/>
      <c r="C211" s="25"/>
      <c r="D211" s="25"/>
      <c r="E211" s="25" t="s">
        <v>1333</v>
      </c>
      <c r="F211" s="25" t="str">
        <f t="array" ref="F211">IFERROR(_xlfn.XLOOKUP('Form responses 2'!C211,'Item List'!$I$2:$I$995,'Item List'!C$2:$F$995),"")</f>
        <v/>
      </c>
    </row>
    <row r="212">
      <c r="A212" s="25"/>
      <c r="B212" s="25"/>
      <c r="C212" s="25"/>
      <c r="D212" s="25"/>
      <c r="E212" s="25" t="s">
        <v>1333</v>
      </c>
      <c r="F212" s="25" t="str">
        <f t="array" ref="F212">IFERROR(_xlfn.XLOOKUP('Form responses 2'!C212,'Item List'!$I$2:$I$995,'Item List'!C$2:$F$995),"")</f>
        <v/>
      </c>
    </row>
    <row r="213">
      <c r="A213" s="25"/>
      <c r="B213" s="25"/>
      <c r="C213" s="25"/>
      <c r="D213" s="25"/>
      <c r="E213" s="25" t="s">
        <v>1333</v>
      </c>
      <c r="F213" s="25" t="str">
        <f t="array" ref="F213">IFERROR(_xlfn.XLOOKUP('Form responses 2'!C213,'Item List'!$I$2:$I$995,'Item List'!C$2:$F$995),"")</f>
        <v/>
      </c>
    </row>
    <row r="214">
      <c r="A214" s="25"/>
      <c r="B214" s="25"/>
      <c r="C214" s="25"/>
      <c r="D214" s="25"/>
      <c r="E214" s="25" t="s">
        <v>1333</v>
      </c>
      <c r="F214" s="25" t="str">
        <f t="array" ref="F214">IFERROR(_xlfn.XLOOKUP('Form responses 2'!C214,'Item List'!$I$2:$I$995,'Item List'!C$2:$F$995),"")</f>
        <v/>
      </c>
    </row>
    <row r="215">
      <c r="A215" s="25"/>
      <c r="B215" s="25"/>
      <c r="C215" s="25"/>
      <c r="D215" s="25"/>
      <c r="E215" s="25" t="s">
        <v>1333</v>
      </c>
      <c r="F215" s="25" t="str">
        <f t="array" ref="F215">IFERROR(_xlfn.XLOOKUP('Form responses 2'!C215,'Item List'!$I$2:$I$995,'Item List'!C$2:$F$995),"")</f>
        <v/>
      </c>
    </row>
    <row r="216">
      <c r="A216" s="25"/>
      <c r="B216" s="25"/>
      <c r="C216" s="25"/>
      <c r="D216" s="25"/>
      <c r="E216" s="25" t="s">
        <v>1333</v>
      </c>
      <c r="F216" s="25" t="str">
        <f t="array" ref="F216">IFERROR(_xlfn.XLOOKUP('Form responses 2'!C216,'Item List'!$I$2:$I$995,'Item List'!C$2:$F$995),"")</f>
        <v/>
      </c>
    </row>
    <row r="217">
      <c r="A217" s="25"/>
      <c r="B217" s="25"/>
      <c r="C217" s="25"/>
      <c r="D217" s="25"/>
      <c r="E217" s="25" t="s">
        <v>1333</v>
      </c>
      <c r="F217" s="25" t="str">
        <f t="array" ref="F217">IFERROR(_xlfn.XLOOKUP('Form responses 2'!C217,'Item List'!$I$2:$I$995,'Item List'!C$2:$F$995),"")</f>
        <v/>
      </c>
    </row>
    <row r="218">
      <c r="A218" s="25"/>
      <c r="B218" s="25"/>
      <c r="C218" s="25"/>
      <c r="D218" s="25"/>
      <c r="E218" s="25" t="s">
        <v>1333</v>
      </c>
      <c r="F218" s="25" t="str">
        <f t="array" ref="F218">IFERROR(_xlfn.XLOOKUP('Form responses 2'!C218,'Item List'!$I$2:$I$995,'Item List'!C$2:$F$995),"")</f>
        <v/>
      </c>
    </row>
    <row r="219">
      <c r="A219" s="25"/>
      <c r="B219" s="25"/>
      <c r="C219" s="25"/>
      <c r="D219" s="25"/>
      <c r="E219" s="25" t="s">
        <v>1333</v>
      </c>
      <c r="F219" s="25" t="str">
        <f t="array" ref="F219">IFERROR(_xlfn.XLOOKUP('Form responses 2'!C219,'Item List'!$I$2:$I$995,'Item List'!C$2:$F$995),"")</f>
        <v/>
      </c>
    </row>
    <row r="220">
      <c r="A220" s="25"/>
      <c r="B220" s="25"/>
      <c r="C220" s="25"/>
      <c r="D220" s="25"/>
      <c r="E220" s="25" t="s">
        <v>1333</v>
      </c>
      <c r="F220" s="25" t="str">
        <f t="array" ref="F220">IFERROR(_xlfn.XLOOKUP('Form responses 2'!C220,'Item List'!$I$2:$I$995,'Item List'!C$2:$F$995),"")</f>
        <v/>
      </c>
    </row>
    <row r="221">
      <c r="A221" s="25"/>
      <c r="B221" s="25"/>
      <c r="C221" s="25"/>
      <c r="D221" s="25"/>
      <c r="E221" s="25" t="s">
        <v>1333</v>
      </c>
      <c r="F221" s="25" t="str">
        <f t="array" ref="F221">IFERROR(_xlfn.XLOOKUP('Form responses 2'!C221,'Item List'!$I$2:$I$995,'Item List'!C$2:$F$995),"")</f>
        <v/>
      </c>
    </row>
    <row r="222">
      <c r="A222" s="25"/>
      <c r="B222" s="25"/>
      <c r="C222" s="25"/>
      <c r="D222" s="25"/>
      <c r="E222" s="25" t="s">
        <v>1333</v>
      </c>
      <c r="F222" s="25" t="str">
        <f t="array" ref="F222">IFERROR(_xlfn.XLOOKUP('Form responses 2'!C222,'Item List'!$I$2:$I$995,'Item List'!C$2:$F$995),"")</f>
        <v/>
      </c>
    </row>
    <row r="223">
      <c r="A223" s="25"/>
      <c r="B223" s="25"/>
      <c r="C223" s="25"/>
      <c r="D223" s="25"/>
      <c r="E223" s="25" t="s">
        <v>1333</v>
      </c>
      <c r="F223" s="25" t="str">
        <f t="array" ref="F223">IFERROR(_xlfn.XLOOKUP('Form responses 2'!C223,'Item List'!$I$2:$I$995,'Item List'!C$2:$F$995),"")</f>
        <v/>
      </c>
    </row>
    <row r="224">
      <c r="A224" s="25"/>
      <c r="B224" s="25"/>
      <c r="C224" s="25"/>
      <c r="D224" s="25"/>
      <c r="E224" s="25" t="s">
        <v>1333</v>
      </c>
      <c r="F224" s="25" t="str">
        <f t="array" ref="F224">IFERROR(_xlfn.XLOOKUP('Form responses 2'!C224,'Item List'!$I$2:$I$995,'Item List'!C$2:$F$995),"")</f>
        <v/>
      </c>
    </row>
    <row r="225">
      <c r="A225" s="25"/>
      <c r="B225" s="25"/>
      <c r="C225" s="25"/>
      <c r="D225" s="25"/>
      <c r="E225" s="25" t="s">
        <v>1333</v>
      </c>
      <c r="F225" s="25" t="str">
        <f t="array" ref="F225">IFERROR(_xlfn.XLOOKUP('Form responses 2'!C225,'Item List'!$I$2:$I$995,'Item List'!C$2:$F$995),"")</f>
        <v/>
      </c>
    </row>
    <row r="226">
      <c r="A226" s="25"/>
      <c r="B226" s="25"/>
      <c r="C226" s="25"/>
      <c r="D226" s="25"/>
      <c r="E226" s="25" t="s">
        <v>1333</v>
      </c>
      <c r="F226" s="25" t="str">
        <f t="array" ref="F226">IFERROR(_xlfn.XLOOKUP('Form responses 2'!C226,'Item List'!$I$2:$I$995,'Item List'!C$2:$F$995),"")</f>
        <v/>
      </c>
    </row>
    <row r="227">
      <c r="A227" s="25"/>
      <c r="B227" s="25"/>
      <c r="C227" s="25"/>
      <c r="D227" s="25"/>
      <c r="E227" s="25" t="s">
        <v>1333</v>
      </c>
      <c r="F227" s="25" t="str">
        <f t="array" ref="F227">IFERROR(_xlfn.XLOOKUP('Form responses 2'!C227,'Item List'!$I$2:$I$995,'Item List'!C$2:$F$995),"")</f>
        <v/>
      </c>
    </row>
    <row r="228">
      <c r="A228" s="25"/>
      <c r="B228" s="25"/>
      <c r="C228" s="25"/>
      <c r="D228" s="25"/>
      <c r="E228" s="25" t="s">
        <v>1333</v>
      </c>
      <c r="F228" s="25" t="str">
        <f t="array" ref="F228">IFERROR(_xlfn.XLOOKUP('Form responses 2'!C228,'Item List'!$I$2:$I$995,'Item List'!C$2:$F$995),"")</f>
        <v/>
      </c>
    </row>
    <row r="229">
      <c r="A229" s="25"/>
      <c r="B229" s="25"/>
      <c r="C229" s="25"/>
      <c r="D229" s="25"/>
      <c r="E229" s="25" t="s">
        <v>1333</v>
      </c>
      <c r="F229" s="25" t="str">
        <f t="array" ref="F229">IFERROR(_xlfn.XLOOKUP('Form responses 2'!C229,'Item List'!$I$2:$I$995,'Item List'!C$2:$F$995),"")</f>
        <v/>
      </c>
    </row>
    <row r="230">
      <c r="A230" s="25"/>
      <c r="B230" s="25"/>
      <c r="C230" s="25"/>
      <c r="D230" s="25"/>
      <c r="E230" s="25" t="s">
        <v>1333</v>
      </c>
      <c r="F230" s="25" t="str">
        <f t="array" ref="F230">IFERROR(_xlfn.XLOOKUP('Form responses 2'!C230,'Item List'!$I$2:$I$995,'Item List'!C$2:$F$995),"")</f>
        <v/>
      </c>
    </row>
    <row r="231">
      <c r="A231" s="25"/>
      <c r="B231" s="25"/>
      <c r="C231" s="25"/>
      <c r="D231" s="25"/>
      <c r="E231" s="25" t="s">
        <v>1333</v>
      </c>
      <c r="F231" s="25" t="str">
        <f t="array" ref="F231">IFERROR(_xlfn.XLOOKUP('Form responses 2'!C231,'Item List'!$I$2:$I$995,'Item List'!C$2:$F$995),"")</f>
        <v/>
      </c>
    </row>
    <row r="232">
      <c r="A232" s="25"/>
      <c r="B232" s="25"/>
      <c r="C232" s="25"/>
      <c r="D232" s="25"/>
      <c r="E232" s="25" t="s">
        <v>1333</v>
      </c>
      <c r="F232" s="25" t="str">
        <f t="array" ref="F232">IFERROR(_xlfn.XLOOKUP('Form responses 2'!C232,'Item List'!$I$2:$I$995,'Item List'!C$2:$F$995),"")</f>
        <v/>
      </c>
    </row>
    <row r="233">
      <c r="A233" s="25"/>
      <c r="B233" s="25"/>
      <c r="C233" s="25"/>
      <c r="D233" s="25"/>
      <c r="E233" s="25" t="s">
        <v>1333</v>
      </c>
      <c r="F233" s="25" t="str">
        <f t="array" ref="F233">IFERROR(_xlfn.XLOOKUP('Form responses 2'!C233,'Item List'!$I$2:$I$995,'Item List'!C$2:$F$995),"")</f>
        <v/>
      </c>
    </row>
    <row r="234">
      <c r="A234" s="25"/>
      <c r="B234" s="25"/>
      <c r="C234" s="25"/>
      <c r="D234" s="25"/>
      <c r="E234" s="25" t="s">
        <v>1333</v>
      </c>
      <c r="F234" s="25" t="str">
        <f t="array" ref="F234">IFERROR(_xlfn.XLOOKUP('Form responses 2'!C234,'Item List'!$I$2:$I$995,'Item List'!C$2:$F$995),"")</f>
        <v/>
      </c>
    </row>
    <row r="235">
      <c r="A235" s="25"/>
      <c r="B235" s="25"/>
      <c r="C235" s="25"/>
      <c r="D235" s="25"/>
      <c r="E235" s="25" t="s">
        <v>1333</v>
      </c>
      <c r="F235" s="25" t="str">
        <f t="array" ref="F235">IFERROR(_xlfn.XLOOKUP('Form responses 2'!C235,'Item List'!$I$2:$I$995,'Item List'!C$2:$F$995),"")</f>
        <v/>
      </c>
    </row>
    <row r="236">
      <c r="A236" s="25"/>
      <c r="B236" s="25"/>
      <c r="C236" s="25"/>
      <c r="D236" s="25"/>
      <c r="E236" s="25" t="s">
        <v>1333</v>
      </c>
      <c r="F236" s="25" t="str">
        <f t="array" ref="F236">IFERROR(_xlfn.XLOOKUP('Form responses 2'!C236,'Item List'!$I$2:$I$995,'Item List'!C$2:$F$995),"")</f>
        <v/>
      </c>
    </row>
    <row r="237">
      <c r="A237" s="25"/>
      <c r="B237" s="25"/>
      <c r="C237" s="25"/>
      <c r="D237" s="25"/>
      <c r="E237" s="25" t="s">
        <v>1333</v>
      </c>
      <c r="F237" s="25" t="str">
        <f t="array" ref="F237">IFERROR(_xlfn.XLOOKUP('Form responses 2'!C237,'Item List'!$I$2:$I$995,'Item List'!C$2:$F$995),"")</f>
        <v/>
      </c>
    </row>
    <row r="238">
      <c r="A238" s="25"/>
      <c r="B238" s="25"/>
      <c r="C238" s="25"/>
      <c r="D238" s="25"/>
      <c r="E238" s="25" t="s">
        <v>1333</v>
      </c>
      <c r="F238" s="25" t="str">
        <f t="array" ref="F238">IFERROR(_xlfn.XLOOKUP('Form responses 2'!C238,'Item List'!$I$2:$I$995,'Item List'!C$2:$F$995),"")</f>
        <v/>
      </c>
    </row>
    <row r="239">
      <c r="A239" s="25"/>
      <c r="B239" s="25"/>
      <c r="C239" s="25"/>
      <c r="D239" s="25"/>
      <c r="E239" s="25" t="s">
        <v>1333</v>
      </c>
      <c r="F239" s="25" t="str">
        <f t="array" ref="F239">IFERROR(_xlfn.XLOOKUP('Form responses 2'!C239,'Item List'!$I$2:$I$995,'Item List'!C$2:$F$995),"")</f>
        <v/>
      </c>
    </row>
    <row r="240">
      <c r="A240" s="25"/>
      <c r="B240" s="25"/>
      <c r="C240" s="25"/>
      <c r="D240" s="25"/>
      <c r="E240" s="25" t="s">
        <v>1333</v>
      </c>
      <c r="F240" s="25" t="str">
        <f t="array" ref="F240">IFERROR(_xlfn.XLOOKUP('Form responses 2'!C240,'Item List'!$I$2:$I$995,'Item List'!C$2:$F$995),"")</f>
        <v/>
      </c>
    </row>
    <row r="241">
      <c r="A241" s="25"/>
      <c r="B241" s="25"/>
      <c r="C241" s="25"/>
      <c r="D241" s="25"/>
      <c r="E241" s="25" t="s">
        <v>1333</v>
      </c>
      <c r="F241" s="25" t="str">
        <f t="array" ref="F241">IFERROR(_xlfn.XLOOKUP('Form responses 2'!C241,'Item List'!$I$2:$I$995,'Item List'!C$2:$F$995),"")</f>
        <v/>
      </c>
    </row>
    <row r="242">
      <c r="A242" s="25"/>
      <c r="B242" s="25"/>
      <c r="C242" s="25"/>
      <c r="D242" s="25"/>
      <c r="E242" s="25" t="s">
        <v>1333</v>
      </c>
      <c r="F242" s="25" t="str">
        <f t="array" ref="F242">IFERROR(_xlfn.XLOOKUP('Form responses 2'!C242,'Item List'!$I$2:$I$995,'Item List'!C$2:$F$995),"")</f>
        <v/>
      </c>
    </row>
    <row r="243">
      <c r="A243" s="25"/>
      <c r="B243" s="25"/>
      <c r="C243" s="25"/>
      <c r="D243" s="25"/>
      <c r="E243" s="25" t="s">
        <v>1333</v>
      </c>
      <c r="F243" s="25" t="str">
        <f t="array" ref="F243">IFERROR(_xlfn.XLOOKUP('Form responses 2'!C243,'Item List'!$I$2:$I$995,'Item List'!C$2:$F$995),"")</f>
        <v/>
      </c>
    </row>
    <row r="244">
      <c r="A244" s="25"/>
      <c r="B244" s="25"/>
      <c r="C244" s="25"/>
      <c r="D244" s="25"/>
      <c r="E244" s="25" t="s">
        <v>1333</v>
      </c>
      <c r="F244" s="25" t="str">
        <f t="array" ref="F244">IFERROR(_xlfn.XLOOKUP('Form responses 2'!C244,'Item List'!$I$2:$I$995,'Item List'!C$2:$F$995),"")</f>
        <v/>
      </c>
    </row>
    <row r="245">
      <c r="A245" s="25"/>
      <c r="B245" s="25"/>
      <c r="C245" s="25"/>
      <c r="D245" s="25"/>
      <c r="E245" s="25" t="s">
        <v>1333</v>
      </c>
      <c r="F245" s="25" t="str">
        <f t="array" ref="F245">IFERROR(_xlfn.XLOOKUP('Form responses 2'!C245,'Item List'!$I$2:$I$995,'Item List'!C$2:$F$995),"")</f>
        <v/>
      </c>
    </row>
    <row r="246">
      <c r="A246" s="25"/>
      <c r="B246" s="25"/>
      <c r="C246" s="25"/>
      <c r="D246" s="25"/>
      <c r="E246" s="25" t="s">
        <v>1333</v>
      </c>
      <c r="F246" s="25" t="str">
        <f t="array" ref="F246">IFERROR(_xlfn.XLOOKUP('Form responses 2'!C246,'Item List'!$I$2:$I$995,'Item List'!C$2:$F$995),"")</f>
        <v/>
      </c>
    </row>
    <row r="247">
      <c r="A247" s="25"/>
      <c r="B247" s="25"/>
      <c r="C247" s="25"/>
      <c r="D247" s="25"/>
      <c r="E247" s="25" t="s">
        <v>1333</v>
      </c>
      <c r="F247" s="25" t="str">
        <f t="array" ref="F247">IFERROR(_xlfn.XLOOKUP('Form responses 2'!C247,'Item List'!$I$2:$I$995,'Item List'!C$2:$F$995),"")</f>
        <v/>
      </c>
    </row>
    <row r="248">
      <c r="A248" s="25"/>
      <c r="B248" s="25"/>
      <c r="C248" s="25"/>
      <c r="D248" s="25"/>
      <c r="E248" s="25" t="s">
        <v>1333</v>
      </c>
      <c r="F248" s="25" t="str">
        <f t="array" ref="F248">IFERROR(_xlfn.XLOOKUP('Form responses 2'!C248,'Item List'!$I$2:$I$995,'Item List'!C$2:$F$995),"")</f>
        <v/>
      </c>
    </row>
    <row r="249">
      <c r="A249" s="25"/>
      <c r="B249" s="25"/>
      <c r="C249" s="25"/>
      <c r="D249" s="25"/>
      <c r="E249" s="25" t="s">
        <v>1333</v>
      </c>
      <c r="F249" s="25" t="str">
        <f t="array" ref="F249">IFERROR(_xlfn.XLOOKUP('Form responses 2'!C249,'Item List'!$I$2:$I$995,'Item List'!C$2:$F$995),"")</f>
        <v/>
      </c>
    </row>
    <row r="250">
      <c r="A250" s="25"/>
      <c r="B250" s="25"/>
      <c r="C250" s="25"/>
      <c r="D250" s="25"/>
      <c r="E250" s="25" t="s">
        <v>1333</v>
      </c>
      <c r="F250" s="25" t="str">
        <f t="array" ref="F250">IFERROR(_xlfn.XLOOKUP('Form responses 2'!C250,'Item List'!$I$2:$I$995,'Item List'!C$2:$F$995),"")</f>
        <v/>
      </c>
    </row>
    <row r="251">
      <c r="A251" s="25"/>
      <c r="B251" s="25"/>
      <c r="C251" s="25"/>
      <c r="D251" s="25"/>
      <c r="E251" s="25" t="s">
        <v>1333</v>
      </c>
      <c r="F251" s="25" t="str">
        <f t="array" ref="F251">IFERROR(_xlfn.XLOOKUP('Form responses 2'!C251,'Item List'!$I$2:$I$995,'Item List'!C$2:$F$995),"")</f>
        <v/>
      </c>
    </row>
    <row r="252">
      <c r="A252" s="25"/>
      <c r="B252" s="25"/>
      <c r="C252" s="25"/>
      <c r="D252" s="25"/>
      <c r="E252" s="25" t="s">
        <v>1333</v>
      </c>
      <c r="F252" s="25" t="str">
        <f t="array" ref="F252">IFERROR(_xlfn.XLOOKUP('Form responses 2'!C252,'Item List'!$I$2:$I$995,'Item List'!C$2:$F$995),"")</f>
        <v/>
      </c>
    </row>
    <row r="253">
      <c r="A253" s="25"/>
      <c r="B253" s="25"/>
      <c r="C253" s="25"/>
      <c r="D253" s="25"/>
      <c r="E253" s="25" t="s">
        <v>1333</v>
      </c>
      <c r="F253" s="25" t="str">
        <f t="array" ref="F253">IFERROR(_xlfn.XLOOKUP('Form responses 2'!C253,'Item List'!$I$2:$I$995,'Item List'!C$2:$F$995),"")</f>
        <v/>
      </c>
    </row>
    <row r="254">
      <c r="A254" s="25"/>
      <c r="B254" s="25"/>
      <c r="C254" s="25"/>
      <c r="D254" s="25"/>
      <c r="E254" s="25" t="s">
        <v>1333</v>
      </c>
      <c r="F254" s="25" t="str">
        <f t="array" ref="F254">IFERROR(_xlfn.XLOOKUP('Form responses 2'!C254,'Item List'!$I$2:$I$995,'Item List'!C$2:$F$995),"")</f>
        <v/>
      </c>
    </row>
    <row r="255">
      <c r="A255" s="25"/>
      <c r="B255" s="25"/>
      <c r="C255" s="25"/>
      <c r="D255" s="25"/>
      <c r="E255" s="25" t="s">
        <v>1333</v>
      </c>
      <c r="F255" s="25" t="str">
        <f t="array" ref="F255">IFERROR(_xlfn.XLOOKUP('Form responses 2'!C255,'Item List'!$I$2:$I$995,'Item List'!C$2:$F$995),"")</f>
        <v/>
      </c>
    </row>
    <row r="256">
      <c r="A256" s="25"/>
      <c r="B256" s="25"/>
      <c r="C256" s="25"/>
      <c r="D256" s="25"/>
      <c r="E256" s="25" t="s">
        <v>1333</v>
      </c>
      <c r="F256" s="25" t="str">
        <f t="array" ref="F256">IFERROR(_xlfn.XLOOKUP('Form responses 2'!C256,'Item List'!$I$2:$I$995,'Item List'!C$2:$F$995),"")</f>
        <v/>
      </c>
    </row>
    <row r="257">
      <c r="A257" s="25"/>
      <c r="B257" s="25"/>
      <c r="C257" s="25"/>
      <c r="D257" s="25"/>
      <c r="E257" s="25" t="s">
        <v>1333</v>
      </c>
      <c r="F257" s="25" t="str">
        <f t="array" ref="F257">IFERROR(_xlfn.XLOOKUP('Form responses 2'!C257,'Item List'!$I$2:$I$995,'Item List'!C$2:$F$995),"")</f>
        <v/>
      </c>
    </row>
    <row r="258">
      <c r="A258" s="25"/>
      <c r="B258" s="25"/>
      <c r="C258" s="25"/>
      <c r="D258" s="25"/>
      <c r="E258" s="25" t="s">
        <v>1333</v>
      </c>
      <c r="F258" s="25" t="str">
        <f t="array" ref="F258">IFERROR(_xlfn.XLOOKUP('Form responses 2'!C258,'Item List'!$I$2:$I$995,'Item List'!C$2:$F$995),"")</f>
        <v/>
      </c>
    </row>
    <row r="259">
      <c r="A259" s="25"/>
      <c r="B259" s="25"/>
      <c r="C259" s="25"/>
      <c r="D259" s="25"/>
      <c r="E259" s="25" t="s">
        <v>1333</v>
      </c>
      <c r="F259" s="25" t="str">
        <f t="array" ref="F259">IFERROR(_xlfn.XLOOKUP('Form responses 2'!C259,'Item List'!$I$2:$I$995,'Item List'!C$2:$F$995),"")</f>
        <v/>
      </c>
    </row>
    <row r="260">
      <c r="A260" s="25"/>
      <c r="B260" s="25"/>
      <c r="C260" s="25"/>
      <c r="D260" s="25"/>
      <c r="E260" s="25" t="s">
        <v>1333</v>
      </c>
      <c r="F260" s="25" t="str">
        <f t="array" ref="F260">IFERROR(_xlfn.XLOOKUP('Form responses 2'!C260,'Item List'!$I$2:$I$995,'Item List'!C$2:$F$995),"")</f>
        <v/>
      </c>
    </row>
    <row r="261">
      <c r="A261" s="25"/>
      <c r="B261" s="25"/>
      <c r="C261" s="25"/>
      <c r="D261" s="25"/>
      <c r="E261" s="25" t="s">
        <v>1333</v>
      </c>
      <c r="F261" s="25" t="str">
        <f t="array" ref="F261">IFERROR(_xlfn.XLOOKUP('Form responses 2'!C261,'Item List'!$I$2:$I$995,'Item List'!C$2:$F$995),"")</f>
        <v/>
      </c>
    </row>
    <row r="262">
      <c r="A262" s="25"/>
      <c r="B262" s="25"/>
      <c r="C262" s="25"/>
      <c r="D262" s="25"/>
      <c r="E262" s="25" t="s">
        <v>1333</v>
      </c>
      <c r="F262" s="25" t="str">
        <f t="array" ref="F262">IFERROR(_xlfn.XLOOKUP('Form responses 2'!C262,'Item List'!$I$2:$I$995,'Item List'!C$2:$F$995),"")</f>
        <v/>
      </c>
    </row>
    <row r="263">
      <c r="A263" s="25"/>
      <c r="B263" s="25"/>
      <c r="C263" s="25"/>
      <c r="D263" s="25"/>
      <c r="E263" s="25" t="s">
        <v>1333</v>
      </c>
      <c r="F263" s="25" t="str">
        <f t="array" ref="F263">IFERROR(_xlfn.XLOOKUP('Form responses 2'!C263,'Item List'!$I$2:$I$995,'Item List'!C$2:$F$995),"")</f>
        <v/>
      </c>
    </row>
    <row r="264">
      <c r="A264" s="25"/>
      <c r="B264" s="25"/>
      <c r="C264" s="25"/>
      <c r="D264" s="25"/>
      <c r="E264" s="25" t="s">
        <v>1333</v>
      </c>
      <c r="F264" s="25" t="str">
        <f t="array" ref="F264">IFERROR(_xlfn.XLOOKUP('Form responses 2'!C264,'Item List'!$I$2:$I$995,'Item List'!C$2:$F$995),"")</f>
        <v/>
      </c>
    </row>
    <row r="265">
      <c r="A265" s="25"/>
      <c r="B265" s="25"/>
      <c r="C265" s="25"/>
      <c r="D265" s="25"/>
      <c r="E265" s="25" t="s">
        <v>1333</v>
      </c>
      <c r="F265" s="25" t="str">
        <f t="array" ref="F265">IFERROR(_xlfn.XLOOKUP('Form responses 2'!C265,'Item List'!$I$2:$I$995,'Item List'!C$2:$F$995),"")</f>
        <v/>
      </c>
    </row>
    <row r="266">
      <c r="A266" s="25"/>
      <c r="B266" s="25"/>
      <c r="C266" s="25"/>
      <c r="D266" s="25"/>
      <c r="E266" s="25" t="s">
        <v>1333</v>
      </c>
      <c r="F266" s="25" t="str">
        <f t="array" ref="F266">IFERROR(_xlfn.XLOOKUP('Form responses 2'!C266,'Item List'!$I$2:$I$995,'Item List'!C$2:$F$995),"")</f>
        <v/>
      </c>
    </row>
    <row r="267">
      <c r="A267" s="25"/>
      <c r="B267" s="25"/>
      <c r="C267" s="25"/>
      <c r="D267" s="25"/>
      <c r="E267" s="25" t="s">
        <v>1333</v>
      </c>
      <c r="F267" s="25" t="str">
        <f t="array" ref="F267">IFERROR(_xlfn.XLOOKUP('Form responses 2'!C267,'Item List'!$I$2:$I$995,'Item List'!C$2:$F$995),"")</f>
        <v/>
      </c>
    </row>
    <row r="268">
      <c r="A268" s="25"/>
      <c r="B268" s="25"/>
      <c r="C268" s="25"/>
      <c r="D268" s="25"/>
      <c r="E268" s="25" t="s">
        <v>1333</v>
      </c>
      <c r="F268" s="25" t="str">
        <f t="array" ref="F268">IFERROR(_xlfn.XLOOKUP('Form responses 2'!C268,'Item List'!$I$2:$I$995,'Item List'!C$2:$F$995),"")</f>
        <v/>
      </c>
    </row>
    <row r="269">
      <c r="A269" s="25"/>
      <c r="B269" s="25"/>
      <c r="C269" s="25"/>
      <c r="D269" s="25"/>
      <c r="E269" s="25" t="s">
        <v>1333</v>
      </c>
      <c r="F269" s="25" t="str">
        <f t="array" ref="F269">IFERROR(_xlfn.XLOOKUP('Form responses 2'!C269,'Item List'!$I$2:$I$995,'Item List'!C$2:$F$995),"")</f>
        <v/>
      </c>
    </row>
    <row r="270">
      <c r="A270" s="25"/>
      <c r="B270" s="25"/>
      <c r="C270" s="25"/>
      <c r="D270" s="25"/>
      <c r="E270" s="25" t="s">
        <v>1333</v>
      </c>
      <c r="F270" s="25" t="str">
        <f t="array" ref="F270">IFERROR(_xlfn.XLOOKUP('Form responses 2'!C270,'Item List'!$I$2:$I$995,'Item List'!C$2:$F$995),"")</f>
        <v/>
      </c>
    </row>
    <row r="271">
      <c r="A271" s="25"/>
      <c r="B271" s="25"/>
      <c r="C271" s="25"/>
      <c r="D271" s="25"/>
      <c r="E271" s="25" t="s">
        <v>1333</v>
      </c>
      <c r="F271" s="25" t="str">
        <f t="array" ref="F271">IFERROR(_xlfn.XLOOKUP('Form responses 2'!C271,'Item List'!$I$2:$I$995,'Item List'!C$2:$F$995),"")</f>
        <v/>
      </c>
    </row>
    <row r="272">
      <c r="A272" s="25"/>
      <c r="B272" s="25"/>
      <c r="C272" s="25"/>
      <c r="D272" s="25"/>
      <c r="E272" s="25" t="s">
        <v>1333</v>
      </c>
      <c r="F272" s="25" t="str">
        <f t="array" ref="F272">IFERROR(_xlfn.XLOOKUP('Form responses 2'!C272,'Item List'!$I$2:$I$995,'Item List'!C$2:$F$995),"")</f>
        <v/>
      </c>
    </row>
    <row r="273">
      <c r="A273" s="25"/>
      <c r="B273" s="25"/>
      <c r="C273" s="25"/>
      <c r="D273" s="25"/>
      <c r="E273" s="25" t="s">
        <v>1333</v>
      </c>
      <c r="F273" s="25" t="str">
        <f t="array" ref="F273">IFERROR(_xlfn.XLOOKUP('Form responses 2'!C273,'Item List'!$I$2:$I$995,'Item List'!C$2:$F$995),"")</f>
        <v/>
      </c>
    </row>
    <row r="274">
      <c r="A274" s="25"/>
      <c r="B274" s="25"/>
      <c r="C274" s="25"/>
      <c r="D274" s="25"/>
      <c r="E274" s="25" t="s">
        <v>1333</v>
      </c>
      <c r="F274" s="25" t="str">
        <f t="array" ref="F274">IFERROR(_xlfn.XLOOKUP('Form responses 2'!C274,'Item List'!$I$2:$I$995,'Item List'!C$2:$F$995),"")</f>
        <v/>
      </c>
    </row>
    <row r="275">
      <c r="A275" s="25"/>
      <c r="B275" s="25"/>
      <c r="C275" s="25"/>
      <c r="D275" s="25"/>
      <c r="E275" s="25" t="s">
        <v>1333</v>
      </c>
      <c r="F275" s="25" t="str">
        <f t="array" ref="F275">IFERROR(_xlfn.XLOOKUP('Form responses 2'!C275,'Item List'!$I$2:$I$995,'Item List'!C$2:$F$995),"")</f>
        <v/>
      </c>
    </row>
    <row r="276">
      <c r="A276" s="25"/>
      <c r="B276" s="25"/>
      <c r="C276" s="25"/>
      <c r="D276" s="25"/>
      <c r="E276" s="25" t="s">
        <v>1333</v>
      </c>
      <c r="F276" s="25" t="str">
        <f t="array" ref="F276">IFERROR(_xlfn.XLOOKUP('Form responses 2'!C276,'Item List'!$I$2:$I$995,'Item List'!C$2:$F$995),"")</f>
        <v/>
      </c>
    </row>
    <row r="277">
      <c r="A277" s="25"/>
      <c r="B277" s="25"/>
      <c r="C277" s="25"/>
      <c r="D277" s="25"/>
      <c r="E277" s="25" t="s">
        <v>1333</v>
      </c>
      <c r="F277" s="25" t="str">
        <f t="array" ref="F277">IFERROR(_xlfn.XLOOKUP('Form responses 2'!C277,'Item List'!$I$2:$I$995,'Item List'!C$2:$F$995),"")</f>
        <v/>
      </c>
    </row>
    <row r="278">
      <c r="A278" s="25"/>
      <c r="B278" s="25"/>
      <c r="C278" s="25"/>
      <c r="D278" s="25"/>
      <c r="E278" s="25" t="s">
        <v>1333</v>
      </c>
      <c r="F278" s="25" t="str">
        <f t="array" ref="F278">IFERROR(_xlfn.XLOOKUP('Form responses 2'!C278,'Item List'!$I$2:$I$995,'Item List'!C$2:$F$995),"")</f>
        <v/>
      </c>
    </row>
    <row r="279">
      <c r="A279" s="25"/>
      <c r="B279" s="25"/>
      <c r="C279" s="25"/>
      <c r="D279" s="25"/>
      <c r="E279" s="25" t="s">
        <v>1333</v>
      </c>
      <c r="F279" s="25" t="str">
        <f t="array" ref="F279">IFERROR(_xlfn.XLOOKUP('Form responses 2'!C279,'Item List'!$I$2:$I$995,'Item List'!C$2:$F$995),"")</f>
        <v/>
      </c>
    </row>
    <row r="280">
      <c r="A280" s="25"/>
      <c r="B280" s="25"/>
      <c r="C280" s="25"/>
      <c r="D280" s="25"/>
      <c r="E280" s="25" t="s">
        <v>1333</v>
      </c>
      <c r="F280" s="25" t="str">
        <f t="array" ref="F280">IFERROR(_xlfn.XLOOKUP('Form responses 2'!C280,'Item List'!$I$2:$I$995,'Item List'!C$2:$F$995),"")</f>
        <v/>
      </c>
    </row>
    <row r="281">
      <c r="A281" s="25"/>
      <c r="B281" s="25"/>
      <c r="C281" s="25"/>
      <c r="D281" s="25"/>
      <c r="E281" s="25" t="s">
        <v>1333</v>
      </c>
      <c r="F281" s="25" t="str">
        <f t="array" ref="F281">IFERROR(_xlfn.XLOOKUP('Form responses 2'!C281,'Item List'!$I$2:$I$995,'Item List'!C$2:$F$995),"")</f>
        <v/>
      </c>
    </row>
    <row r="282">
      <c r="A282" s="25"/>
      <c r="B282" s="25"/>
      <c r="C282" s="25"/>
      <c r="D282" s="25"/>
      <c r="E282" s="25" t="s">
        <v>1333</v>
      </c>
      <c r="F282" s="25" t="str">
        <f t="array" ref="F282">IFERROR(_xlfn.XLOOKUP('Form responses 2'!C282,'Item List'!$I$2:$I$995,'Item List'!C$2:$F$995),"")</f>
        <v/>
      </c>
    </row>
    <row r="283">
      <c r="A283" s="25"/>
      <c r="B283" s="25"/>
      <c r="C283" s="25"/>
      <c r="D283" s="25"/>
      <c r="E283" s="25" t="s">
        <v>1333</v>
      </c>
      <c r="F283" s="25" t="str">
        <f t="array" ref="F283">IFERROR(_xlfn.XLOOKUP('Form responses 2'!C283,'Item List'!$I$2:$I$995,'Item List'!C$2:$F$995),"")</f>
        <v/>
      </c>
    </row>
    <row r="284">
      <c r="A284" s="25"/>
      <c r="B284" s="25"/>
      <c r="C284" s="25"/>
      <c r="D284" s="25"/>
      <c r="E284" s="25" t="s">
        <v>1333</v>
      </c>
      <c r="F284" s="25" t="str">
        <f t="array" ref="F284">IFERROR(_xlfn.XLOOKUP('Form responses 2'!C284,'Item List'!$I$2:$I$995,'Item List'!C$2:$F$995),"")</f>
        <v/>
      </c>
    </row>
    <row r="285">
      <c r="A285" s="25"/>
      <c r="B285" s="25"/>
      <c r="C285" s="25"/>
      <c r="D285" s="25"/>
      <c r="E285" s="25" t="s">
        <v>1333</v>
      </c>
      <c r="F285" s="25" t="str">
        <f t="array" ref="F285">IFERROR(_xlfn.XLOOKUP('Form responses 2'!C285,'Item List'!$I$2:$I$995,'Item List'!C$2:$F$995),"")</f>
        <v/>
      </c>
    </row>
    <row r="286">
      <c r="A286" s="25"/>
      <c r="B286" s="25"/>
      <c r="C286" s="25"/>
      <c r="D286" s="25"/>
      <c r="E286" s="25" t="s">
        <v>1333</v>
      </c>
      <c r="F286" s="25" t="str">
        <f t="array" ref="F286">IFERROR(_xlfn.XLOOKUP('Form responses 2'!C286,'Item List'!$I$2:$I$995,'Item List'!C$2:$F$995),"")</f>
        <v/>
      </c>
    </row>
    <row r="287">
      <c r="A287" s="25"/>
      <c r="B287" s="25"/>
      <c r="C287" s="25"/>
      <c r="D287" s="25"/>
      <c r="E287" s="25" t="s">
        <v>1333</v>
      </c>
      <c r="F287" s="25" t="str">
        <f t="array" ref="F287">IFERROR(_xlfn.XLOOKUP('Form responses 2'!C287,'Item List'!$I$2:$I$995,'Item List'!C$2:$F$995),"")</f>
        <v/>
      </c>
    </row>
    <row r="288">
      <c r="A288" s="25"/>
      <c r="B288" s="25"/>
      <c r="C288" s="25"/>
      <c r="D288" s="25"/>
      <c r="E288" s="25" t="s">
        <v>1333</v>
      </c>
      <c r="F288" s="25" t="str">
        <f t="array" ref="F288">IFERROR(_xlfn.XLOOKUP('Form responses 2'!C288,'Item List'!$I$2:$I$995,'Item List'!C$2:$F$995),"")</f>
        <v/>
      </c>
    </row>
    <row r="289">
      <c r="A289" s="25"/>
      <c r="B289" s="25"/>
      <c r="C289" s="25"/>
      <c r="D289" s="25"/>
      <c r="E289" s="25" t="s">
        <v>1333</v>
      </c>
      <c r="F289" s="25" t="str">
        <f t="array" ref="F289">IFERROR(_xlfn.XLOOKUP('Form responses 2'!C289,'Item List'!$I$2:$I$995,'Item List'!C$2:$F$995),"")</f>
        <v/>
      </c>
    </row>
    <row r="290">
      <c r="A290" s="25"/>
      <c r="B290" s="25"/>
      <c r="C290" s="25"/>
      <c r="D290" s="25"/>
      <c r="E290" s="25" t="s">
        <v>1333</v>
      </c>
      <c r="F290" s="25" t="str">
        <f t="array" ref="F290">IFERROR(_xlfn.XLOOKUP('Form responses 2'!C290,'Item List'!$I$2:$I$995,'Item List'!C$2:$F$995),"")</f>
        <v/>
      </c>
    </row>
    <row r="291">
      <c r="A291" s="25"/>
      <c r="B291" s="25"/>
      <c r="C291" s="25"/>
      <c r="D291" s="25"/>
      <c r="E291" s="25" t="s">
        <v>1333</v>
      </c>
      <c r="F291" s="25" t="str">
        <f t="array" ref="F291">IFERROR(_xlfn.XLOOKUP('Form responses 2'!C291,'Item List'!$I$2:$I$995,'Item List'!C$2:$F$995),"")</f>
        <v/>
      </c>
    </row>
    <row r="292">
      <c r="A292" s="25"/>
      <c r="B292" s="25"/>
      <c r="C292" s="25"/>
      <c r="D292" s="25"/>
      <c r="E292" s="25" t="s">
        <v>1333</v>
      </c>
      <c r="F292" s="25" t="str">
        <f t="array" ref="F292">IFERROR(_xlfn.XLOOKUP('Form responses 2'!C292,'Item List'!$I$2:$I$995,'Item List'!C$2:$F$995),"")</f>
        <v/>
      </c>
    </row>
    <row r="293">
      <c r="A293" s="25"/>
      <c r="B293" s="25"/>
      <c r="C293" s="25"/>
      <c r="D293" s="25"/>
      <c r="E293" s="25" t="s">
        <v>1333</v>
      </c>
      <c r="F293" s="25" t="str">
        <f t="array" ref="F293">IFERROR(_xlfn.XLOOKUP('Form responses 2'!C293,'Item List'!$I$2:$I$995,'Item List'!C$2:$F$995),"")</f>
        <v/>
      </c>
    </row>
    <row r="294">
      <c r="A294" s="25"/>
      <c r="B294" s="25"/>
      <c r="C294" s="25"/>
      <c r="D294" s="25"/>
      <c r="E294" s="25" t="s">
        <v>1333</v>
      </c>
      <c r="F294" s="25" t="str">
        <f t="array" ref="F294">IFERROR(_xlfn.XLOOKUP('Form responses 2'!C294,'Item List'!$I$2:$I$995,'Item List'!C$2:$F$995),"")</f>
        <v/>
      </c>
    </row>
    <row r="295">
      <c r="A295" s="25"/>
      <c r="B295" s="25"/>
      <c r="C295" s="25"/>
      <c r="D295" s="25"/>
      <c r="E295" s="25" t="s">
        <v>1333</v>
      </c>
      <c r="F295" s="25" t="str">
        <f t="array" ref="F295">IFERROR(_xlfn.XLOOKUP('Form responses 2'!C295,'Item List'!$I$2:$I$995,'Item List'!C$2:$F$995),"")</f>
        <v/>
      </c>
    </row>
    <row r="296">
      <c r="A296" s="25"/>
      <c r="B296" s="25"/>
      <c r="C296" s="25"/>
      <c r="D296" s="25"/>
      <c r="E296" s="25" t="s">
        <v>1333</v>
      </c>
      <c r="F296" s="25" t="str">
        <f t="array" ref="F296">IFERROR(_xlfn.XLOOKUP('Form responses 2'!C296,'Item List'!$I$2:$I$995,'Item List'!C$2:$F$995),"")</f>
        <v/>
      </c>
    </row>
    <row r="297">
      <c r="A297" s="25"/>
      <c r="B297" s="25"/>
      <c r="C297" s="25"/>
      <c r="D297" s="25"/>
      <c r="E297" s="25" t="s">
        <v>1333</v>
      </c>
      <c r="F297" s="25" t="str">
        <f t="array" ref="F297">IFERROR(_xlfn.XLOOKUP('Form responses 2'!C297,'Item List'!$I$2:$I$995,'Item List'!C$2:$F$995),"")</f>
        <v/>
      </c>
    </row>
    <row r="298">
      <c r="A298" s="25"/>
      <c r="B298" s="25"/>
      <c r="C298" s="25"/>
      <c r="D298" s="25"/>
      <c r="E298" s="25" t="s">
        <v>1333</v>
      </c>
      <c r="F298" s="25" t="str">
        <f t="array" ref="F298">IFERROR(_xlfn.XLOOKUP('Form responses 2'!C298,'Item List'!$I$2:$I$995,'Item List'!C$2:$F$995),"")</f>
        <v/>
      </c>
    </row>
    <row r="299">
      <c r="A299" s="25"/>
      <c r="B299" s="25"/>
      <c r="C299" s="25"/>
      <c r="D299" s="25"/>
      <c r="E299" s="25" t="s">
        <v>1333</v>
      </c>
      <c r="F299" s="25" t="str">
        <f t="array" ref="F299">IFERROR(_xlfn.XLOOKUP('Form responses 2'!C299,'Item List'!$I$2:$I$995,'Item List'!C$2:$F$995),"")</f>
        <v/>
      </c>
    </row>
    <row r="300">
      <c r="A300" s="25"/>
      <c r="B300" s="25"/>
      <c r="C300" s="25"/>
      <c r="D300" s="25"/>
      <c r="E300" s="25" t="s">
        <v>1333</v>
      </c>
      <c r="F300" s="25" t="str">
        <f t="array" ref="F300">IFERROR(_xlfn.XLOOKUP('Form responses 2'!C300,'Item List'!$I$2:$I$995,'Item List'!C$2:$F$995),"")</f>
        <v/>
      </c>
    </row>
    <row r="301">
      <c r="A301" s="25"/>
      <c r="B301" s="25"/>
      <c r="C301" s="25"/>
      <c r="D301" s="25"/>
      <c r="E301" s="25" t="s">
        <v>1333</v>
      </c>
      <c r="F301" s="25" t="str">
        <f t="array" ref="F301">IFERROR(_xlfn.XLOOKUP('Form responses 2'!C301,'Item List'!$I$2:$I$995,'Item List'!C$2:$F$995),"")</f>
        <v/>
      </c>
    </row>
    <row r="302">
      <c r="A302" s="25"/>
      <c r="B302" s="25"/>
      <c r="C302" s="25"/>
      <c r="D302" s="25"/>
      <c r="E302" s="25" t="s">
        <v>1333</v>
      </c>
      <c r="F302" s="25" t="str">
        <f t="array" ref="F302">IFERROR(_xlfn.XLOOKUP('Form responses 2'!C302,'Item List'!$I$2:$I$995,'Item List'!C$2:$F$995),"")</f>
        <v/>
      </c>
    </row>
    <row r="303">
      <c r="A303" s="25"/>
      <c r="B303" s="25"/>
      <c r="C303" s="25"/>
      <c r="D303" s="25"/>
      <c r="E303" s="25" t="s">
        <v>1333</v>
      </c>
      <c r="F303" s="25" t="str">
        <f t="array" ref="F303">IFERROR(_xlfn.XLOOKUP('Form responses 2'!C303,'Item List'!$I$2:$I$995,'Item List'!C$2:$F$995),"")</f>
        <v/>
      </c>
    </row>
    <row r="304">
      <c r="A304" s="25"/>
      <c r="B304" s="25"/>
      <c r="C304" s="25"/>
      <c r="D304" s="25"/>
      <c r="E304" s="25" t="s">
        <v>1333</v>
      </c>
      <c r="F304" s="25" t="str">
        <f t="array" ref="F304">IFERROR(_xlfn.XLOOKUP('Form responses 2'!C304,'Item List'!$I$2:$I$995,'Item List'!C$2:$F$995),"")</f>
        <v/>
      </c>
    </row>
    <row r="305">
      <c r="A305" s="25"/>
      <c r="B305" s="25"/>
      <c r="C305" s="25"/>
      <c r="D305" s="25"/>
      <c r="E305" s="25" t="s">
        <v>1333</v>
      </c>
      <c r="F305" s="25" t="str">
        <f t="array" ref="F305">IFERROR(_xlfn.XLOOKUP('Form responses 2'!C305,'Item List'!$I$2:$I$995,'Item List'!C$2:$F$995),"")</f>
        <v/>
      </c>
    </row>
    <row r="306">
      <c r="A306" s="25"/>
      <c r="B306" s="25"/>
      <c r="C306" s="25"/>
      <c r="D306" s="25"/>
      <c r="E306" s="25" t="s">
        <v>1333</v>
      </c>
      <c r="F306" s="25" t="str">
        <f t="array" ref="F306">IFERROR(_xlfn.XLOOKUP('Form responses 2'!C306,'Item List'!$I$2:$I$995,'Item List'!C$2:$F$995),"")</f>
        <v/>
      </c>
    </row>
    <row r="307">
      <c r="A307" s="25"/>
      <c r="B307" s="25"/>
      <c r="C307" s="25"/>
      <c r="D307" s="25"/>
      <c r="E307" s="25" t="s">
        <v>1333</v>
      </c>
      <c r="F307" s="25" t="str">
        <f t="array" ref="F307">IFERROR(_xlfn.XLOOKUP('Form responses 2'!C307,'Item List'!$I$2:$I$995,'Item List'!C$2:$F$995),"")</f>
        <v/>
      </c>
    </row>
    <row r="308">
      <c r="A308" s="25"/>
      <c r="B308" s="25"/>
      <c r="C308" s="25"/>
      <c r="D308" s="25"/>
      <c r="E308" s="25" t="s">
        <v>1333</v>
      </c>
      <c r="F308" s="25" t="str">
        <f t="array" ref="F308">IFERROR(_xlfn.XLOOKUP('Form responses 2'!C308,'Item List'!$I$2:$I$995,'Item List'!C$2:$F$995),"")</f>
        <v/>
      </c>
    </row>
    <row r="309">
      <c r="A309" s="25"/>
      <c r="B309" s="25"/>
      <c r="C309" s="25"/>
      <c r="D309" s="25"/>
      <c r="E309" s="25" t="s">
        <v>1333</v>
      </c>
      <c r="F309" s="25" t="str">
        <f t="array" ref="F309">IFERROR(_xlfn.XLOOKUP('Form responses 2'!C309,'Item List'!$I$2:$I$995,'Item List'!C$2:$F$995),"")</f>
        <v/>
      </c>
    </row>
    <row r="310">
      <c r="A310" s="25"/>
      <c r="B310" s="25"/>
      <c r="C310" s="25"/>
      <c r="D310" s="25"/>
      <c r="E310" s="25" t="s">
        <v>1333</v>
      </c>
      <c r="F310" s="25" t="str">
        <f t="array" ref="F310">IFERROR(_xlfn.XLOOKUP('Form responses 2'!C310,'Item List'!$I$2:$I$995,'Item List'!C$2:$F$995),"")</f>
        <v/>
      </c>
    </row>
    <row r="311">
      <c r="A311" s="25"/>
      <c r="B311" s="25"/>
      <c r="C311" s="25"/>
      <c r="D311" s="25"/>
      <c r="E311" s="25" t="s">
        <v>1333</v>
      </c>
      <c r="F311" s="25" t="str">
        <f t="array" ref="F311">IFERROR(_xlfn.XLOOKUP('Form responses 2'!C311,'Item List'!$I$2:$I$995,'Item List'!C$2:$F$995),"")</f>
        <v/>
      </c>
    </row>
    <row r="312">
      <c r="A312" s="25"/>
      <c r="B312" s="25"/>
      <c r="C312" s="25"/>
      <c r="D312" s="25"/>
      <c r="E312" s="25" t="s">
        <v>1333</v>
      </c>
      <c r="F312" s="25" t="str">
        <f t="array" ref="F312">IFERROR(_xlfn.XLOOKUP('Form responses 2'!C312,'Item List'!$I$2:$I$995,'Item List'!C$2:$F$995),"")</f>
        <v/>
      </c>
    </row>
    <row r="313">
      <c r="A313" s="25"/>
      <c r="B313" s="25"/>
      <c r="C313" s="25"/>
      <c r="D313" s="25"/>
      <c r="E313" s="25" t="s">
        <v>1333</v>
      </c>
      <c r="F313" s="25" t="str">
        <f t="array" ref="F313">IFERROR(_xlfn.XLOOKUP('Form responses 2'!C313,'Item List'!$I$2:$I$995,'Item List'!C$2:$F$995),"")</f>
        <v/>
      </c>
    </row>
    <row r="314">
      <c r="A314" s="25"/>
      <c r="B314" s="25"/>
      <c r="C314" s="25"/>
      <c r="D314" s="25"/>
      <c r="E314" s="25" t="s">
        <v>1333</v>
      </c>
      <c r="F314" s="25" t="str">
        <f t="array" ref="F314">IFERROR(_xlfn.XLOOKUP('Form responses 2'!C314,'Item List'!$I$2:$I$995,'Item List'!C$2:$F$995),"")</f>
        <v/>
      </c>
    </row>
    <row r="315">
      <c r="A315" s="25"/>
      <c r="B315" s="25"/>
      <c r="C315" s="25"/>
      <c r="D315" s="25"/>
      <c r="E315" s="25" t="s">
        <v>1333</v>
      </c>
      <c r="F315" s="25" t="str">
        <f t="array" ref="F315">IFERROR(_xlfn.XLOOKUP('Form responses 2'!C315,'Item List'!$I$2:$I$995,'Item List'!C$2:$F$995),"")</f>
        <v/>
      </c>
    </row>
    <row r="316">
      <c r="A316" s="25"/>
      <c r="B316" s="25"/>
      <c r="C316" s="25"/>
      <c r="D316" s="25"/>
      <c r="E316" s="25" t="s">
        <v>1333</v>
      </c>
      <c r="F316" s="25" t="str">
        <f t="array" ref="F316">IFERROR(_xlfn.XLOOKUP('Form responses 2'!C316,'Item List'!$I$2:$I$995,'Item List'!C$2:$F$995),"")</f>
        <v/>
      </c>
    </row>
    <row r="317">
      <c r="A317" s="25"/>
      <c r="B317" s="25"/>
      <c r="C317" s="25"/>
      <c r="D317" s="25"/>
      <c r="E317" s="25" t="s">
        <v>1333</v>
      </c>
      <c r="F317" s="25" t="str">
        <f t="array" ref="F317">IFERROR(_xlfn.XLOOKUP('Form responses 2'!C317,'Item List'!$I$2:$I$995,'Item List'!C$2:$F$995),"")</f>
        <v/>
      </c>
    </row>
    <row r="318">
      <c r="A318" s="25"/>
      <c r="B318" s="25"/>
      <c r="C318" s="25"/>
      <c r="D318" s="25"/>
      <c r="E318" s="25" t="s">
        <v>1333</v>
      </c>
      <c r="F318" s="25" t="str">
        <f t="array" ref="F318">IFERROR(_xlfn.XLOOKUP('Form responses 2'!C318,'Item List'!$I$2:$I$995,'Item List'!C$2:$F$995),"")</f>
        <v/>
      </c>
    </row>
    <row r="319">
      <c r="A319" s="25"/>
      <c r="B319" s="25"/>
      <c r="C319" s="25"/>
      <c r="D319" s="25"/>
      <c r="E319" s="25" t="s">
        <v>1333</v>
      </c>
      <c r="F319" s="25" t="str">
        <f t="array" ref="F319">IFERROR(_xlfn.XLOOKUP('Form responses 2'!C319,'Item List'!$I$2:$I$995,'Item List'!C$2:$F$995),"")</f>
        <v/>
      </c>
    </row>
    <row r="320">
      <c r="A320" s="25"/>
      <c r="B320" s="25"/>
      <c r="C320" s="25"/>
      <c r="D320" s="25"/>
      <c r="E320" s="25" t="s">
        <v>1333</v>
      </c>
      <c r="F320" s="25" t="str">
        <f t="array" ref="F320">IFERROR(_xlfn.XLOOKUP('Form responses 2'!C320,'Item List'!$I$2:$I$995,'Item List'!C$2:$F$995),"")</f>
        <v/>
      </c>
    </row>
    <row r="321">
      <c r="A321" s="25"/>
      <c r="B321" s="25"/>
      <c r="C321" s="25"/>
      <c r="D321" s="25"/>
      <c r="E321" s="25" t="s">
        <v>1333</v>
      </c>
      <c r="F321" s="25" t="str">
        <f t="array" ref="F321">IFERROR(_xlfn.XLOOKUP('Form responses 2'!C321,'Item List'!$I$2:$I$995,'Item List'!C$2:$F$995),"")</f>
        <v/>
      </c>
    </row>
    <row r="322">
      <c r="A322" s="25"/>
      <c r="B322" s="25"/>
      <c r="C322" s="25"/>
      <c r="D322" s="25"/>
      <c r="E322" s="25" t="s">
        <v>1333</v>
      </c>
      <c r="F322" s="25" t="str">
        <f t="array" ref="F322">IFERROR(_xlfn.XLOOKUP('Form responses 2'!C322,'Item List'!$I$2:$I$995,'Item List'!C$2:$F$995),"")</f>
        <v/>
      </c>
    </row>
    <row r="323">
      <c r="A323" s="25"/>
      <c r="B323" s="25"/>
      <c r="C323" s="25"/>
      <c r="D323" s="25"/>
      <c r="E323" s="25" t="s">
        <v>1333</v>
      </c>
      <c r="F323" s="25" t="str">
        <f t="array" ref="F323">IFERROR(_xlfn.XLOOKUP('Form responses 2'!C323,'Item List'!$I$2:$I$995,'Item List'!C$2:$F$995),"")</f>
        <v/>
      </c>
    </row>
    <row r="324">
      <c r="A324" s="25"/>
      <c r="B324" s="25"/>
      <c r="C324" s="25"/>
      <c r="D324" s="25"/>
      <c r="E324" s="25" t="s">
        <v>1333</v>
      </c>
      <c r="F324" s="25" t="str">
        <f t="array" ref="F324">IFERROR(_xlfn.XLOOKUP('Form responses 2'!C324,'Item List'!$I$2:$I$995,'Item List'!C$2:$F$995),"")</f>
        <v/>
      </c>
    </row>
    <row r="325">
      <c r="A325" s="25"/>
      <c r="B325" s="25"/>
      <c r="C325" s="25"/>
      <c r="D325" s="25"/>
      <c r="E325" s="25" t="s">
        <v>1333</v>
      </c>
      <c r="F325" s="25" t="str">
        <f t="array" ref="F325">IFERROR(_xlfn.XLOOKUP('Form responses 2'!C325,'Item List'!$I$2:$I$995,'Item List'!C$2:$F$995),"")</f>
        <v/>
      </c>
    </row>
    <row r="326">
      <c r="A326" s="25"/>
      <c r="B326" s="25"/>
      <c r="C326" s="25"/>
      <c r="D326" s="25"/>
      <c r="E326" s="25" t="s">
        <v>1333</v>
      </c>
      <c r="F326" s="25" t="str">
        <f t="array" ref="F326">IFERROR(_xlfn.XLOOKUP('Form responses 2'!C326,'Item List'!$I$2:$I$995,'Item List'!C$2:$F$995),"")</f>
        <v/>
      </c>
    </row>
    <row r="327">
      <c r="A327" s="25"/>
      <c r="B327" s="25"/>
      <c r="C327" s="25"/>
      <c r="D327" s="25"/>
      <c r="E327" s="25" t="s">
        <v>1333</v>
      </c>
      <c r="F327" s="25" t="str">
        <f t="array" ref="F327">IFERROR(_xlfn.XLOOKUP('Form responses 2'!C327,'Item List'!$I$2:$I$995,'Item List'!C$2:$F$995),"")</f>
        <v/>
      </c>
    </row>
    <row r="328">
      <c r="A328" s="25"/>
      <c r="B328" s="25"/>
      <c r="C328" s="25"/>
      <c r="D328" s="25"/>
      <c r="E328" s="25" t="s">
        <v>1333</v>
      </c>
      <c r="F328" s="25" t="str">
        <f t="array" ref="F328">IFERROR(_xlfn.XLOOKUP('Form responses 2'!C328,'Item List'!$I$2:$I$995,'Item List'!C$2:$F$995),"")</f>
        <v/>
      </c>
    </row>
    <row r="329">
      <c r="A329" s="25"/>
      <c r="B329" s="25"/>
      <c r="C329" s="25"/>
      <c r="D329" s="25"/>
      <c r="E329" s="25" t="s">
        <v>1333</v>
      </c>
      <c r="F329" s="25" t="str">
        <f t="array" ref="F329">IFERROR(_xlfn.XLOOKUP('Form responses 2'!C329,'Item List'!$I$2:$I$995,'Item List'!C$2:$F$995),"")</f>
        <v/>
      </c>
    </row>
    <row r="330">
      <c r="A330" s="25"/>
      <c r="B330" s="25"/>
      <c r="C330" s="25"/>
      <c r="D330" s="25"/>
      <c r="E330" s="25" t="s">
        <v>1333</v>
      </c>
      <c r="F330" s="25" t="str">
        <f t="array" ref="F330">IFERROR(_xlfn.XLOOKUP('Form responses 2'!C330,'Item List'!$I$2:$I$995,'Item List'!C$2:$F$995),"")</f>
        <v/>
      </c>
    </row>
    <row r="331">
      <c r="A331" s="25"/>
      <c r="B331" s="25"/>
      <c r="C331" s="25"/>
      <c r="D331" s="25"/>
      <c r="E331" s="25" t="s">
        <v>1333</v>
      </c>
      <c r="F331" s="25" t="str">
        <f t="array" ref="F331">IFERROR(_xlfn.XLOOKUP('Form responses 2'!C331,'Item List'!$I$2:$I$995,'Item List'!C$2:$F$995),"")</f>
        <v/>
      </c>
    </row>
    <row r="332">
      <c r="A332" s="25"/>
      <c r="B332" s="25"/>
      <c r="C332" s="25"/>
      <c r="D332" s="25"/>
      <c r="E332" s="25" t="s">
        <v>1333</v>
      </c>
      <c r="F332" s="25" t="str">
        <f t="array" ref="F332">IFERROR(_xlfn.XLOOKUP('Form responses 2'!C332,'Item List'!$I$2:$I$995,'Item List'!C$2:$F$995),"")</f>
        <v/>
      </c>
    </row>
    <row r="333">
      <c r="A333" s="25"/>
      <c r="B333" s="25"/>
      <c r="C333" s="25"/>
      <c r="D333" s="25"/>
      <c r="E333" s="25" t="s">
        <v>1333</v>
      </c>
      <c r="F333" s="25" t="str">
        <f t="array" ref="F333">IFERROR(_xlfn.XLOOKUP('Form responses 2'!C333,'Item List'!$I$2:$I$995,'Item List'!C$2:$F$995),"")</f>
        <v/>
      </c>
    </row>
    <row r="334">
      <c r="A334" s="25"/>
      <c r="B334" s="25"/>
      <c r="C334" s="25"/>
      <c r="D334" s="25"/>
      <c r="E334" s="25" t="s">
        <v>1333</v>
      </c>
      <c r="F334" s="25" t="str">
        <f t="array" ref="F334">IFERROR(_xlfn.XLOOKUP('Form responses 2'!C334,'Item List'!$I$2:$I$995,'Item List'!C$2:$F$995),"")</f>
        <v/>
      </c>
    </row>
    <row r="335">
      <c r="A335" s="25"/>
      <c r="B335" s="25"/>
      <c r="C335" s="25"/>
      <c r="D335" s="25"/>
      <c r="E335" s="25" t="s">
        <v>1333</v>
      </c>
      <c r="F335" s="25" t="str">
        <f t="array" ref="F335">IFERROR(_xlfn.XLOOKUP('Form responses 2'!C335,'Item List'!$I$2:$I$995,'Item List'!C$2:$F$995),"")</f>
        <v/>
      </c>
    </row>
    <row r="336">
      <c r="A336" s="25"/>
      <c r="B336" s="25"/>
      <c r="C336" s="25"/>
      <c r="D336" s="25"/>
      <c r="E336" s="25" t="s">
        <v>1333</v>
      </c>
      <c r="F336" s="25" t="str">
        <f t="array" ref="F336">IFERROR(_xlfn.XLOOKUP('Form responses 2'!C336,'Item List'!$I$2:$I$995,'Item List'!C$2:$F$995),"")</f>
        <v/>
      </c>
    </row>
    <row r="337">
      <c r="A337" s="25"/>
      <c r="B337" s="25"/>
      <c r="C337" s="25"/>
      <c r="D337" s="25"/>
      <c r="E337" s="25" t="s">
        <v>1333</v>
      </c>
      <c r="F337" s="25" t="str">
        <f t="array" ref="F337">IFERROR(_xlfn.XLOOKUP('Form responses 2'!C337,'Item List'!$I$2:$I$995,'Item List'!C$2:$F$995),"")</f>
        <v/>
      </c>
    </row>
    <row r="338">
      <c r="A338" s="25"/>
      <c r="B338" s="25"/>
      <c r="C338" s="25"/>
      <c r="D338" s="25"/>
      <c r="E338" s="25" t="s">
        <v>1333</v>
      </c>
      <c r="F338" s="25" t="str">
        <f t="array" ref="F338">IFERROR(_xlfn.XLOOKUP('Form responses 2'!C338,'Item List'!$I$2:$I$995,'Item List'!C$2:$F$995),"")</f>
        <v/>
      </c>
    </row>
    <row r="339">
      <c r="A339" s="25"/>
      <c r="B339" s="25"/>
      <c r="C339" s="25"/>
      <c r="D339" s="25"/>
      <c r="E339" s="25" t="s">
        <v>1333</v>
      </c>
      <c r="F339" s="25" t="str">
        <f t="array" ref="F339">IFERROR(_xlfn.XLOOKUP('Form responses 2'!C339,'Item List'!$I$2:$I$995,'Item List'!C$2:$F$995),"")</f>
        <v/>
      </c>
    </row>
    <row r="340">
      <c r="A340" s="25"/>
      <c r="B340" s="25"/>
      <c r="C340" s="25"/>
      <c r="D340" s="25"/>
      <c r="E340" s="25" t="s">
        <v>1333</v>
      </c>
      <c r="F340" s="25" t="str">
        <f t="array" ref="F340">IFERROR(_xlfn.XLOOKUP('Form responses 2'!C340,'Item List'!$I$2:$I$995,'Item List'!C$2:$F$995),"")</f>
        <v/>
      </c>
    </row>
    <row r="341">
      <c r="A341" s="25"/>
      <c r="B341" s="25"/>
      <c r="C341" s="25"/>
      <c r="D341" s="25"/>
      <c r="E341" s="25" t="s">
        <v>1333</v>
      </c>
      <c r="F341" s="25" t="str">
        <f t="array" ref="F341">IFERROR(_xlfn.XLOOKUP('Form responses 2'!C341,'Item List'!$I$2:$I$995,'Item List'!C$2:$F$995),"")</f>
        <v/>
      </c>
    </row>
    <row r="342">
      <c r="A342" s="25"/>
      <c r="B342" s="25"/>
      <c r="C342" s="25"/>
      <c r="D342" s="25"/>
      <c r="E342" s="25" t="s">
        <v>1333</v>
      </c>
      <c r="F342" s="25" t="str">
        <f t="array" ref="F342">IFERROR(_xlfn.XLOOKUP('Form responses 2'!C342,'Item List'!$I$2:$I$995,'Item List'!C$2:$F$995),"")</f>
        <v/>
      </c>
    </row>
    <row r="343">
      <c r="A343" s="25"/>
      <c r="B343" s="25"/>
      <c r="C343" s="25"/>
      <c r="D343" s="25"/>
      <c r="E343" s="25" t="s">
        <v>1333</v>
      </c>
      <c r="F343" s="25" t="str">
        <f t="array" ref="F343">IFERROR(_xlfn.XLOOKUP('Form responses 2'!C343,'Item List'!$I$2:$I$995,'Item List'!C$2:$F$995),"")</f>
        <v/>
      </c>
    </row>
    <row r="344">
      <c r="A344" s="25"/>
      <c r="B344" s="25"/>
      <c r="C344" s="25"/>
      <c r="D344" s="25"/>
      <c r="E344" s="25" t="s">
        <v>1333</v>
      </c>
      <c r="F344" s="25" t="str">
        <f t="array" ref="F344">IFERROR(_xlfn.XLOOKUP('Form responses 2'!C344,'Item List'!$I$2:$I$995,'Item List'!C$2:$F$995),"")</f>
        <v/>
      </c>
    </row>
    <row r="345">
      <c r="A345" s="25"/>
      <c r="B345" s="25"/>
      <c r="C345" s="25"/>
      <c r="D345" s="25"/>
      <c r="E345" s="25" t="s">
        <v>1333</v>
      </c>
      <c r="F345" s="25" t="str">
        <f t="array" ref="F345">IFERROR(_xlfn.XLOOKUP('Form responses 2'!C345,'Item List'!$I$2:$I$995,'Item List'!C$2:$F$995),"")</f>
        <v/>
      </c>
    </row>
    <row r="346">
      <c r="A346" s="25"/>
      <c r="B346" s="25"/>
      <c r="C346" s="25"/>
      <c r="D346" s="25"/>
      <c r="E346" s="25" t="s">
        <v>1333</v>
      </c>
      <c r="F346" s="25" t="str">
        <f t="array" ref="F346">IFERROR(_xlfn.XLOOKUP('Form responses 2'!C346,'Item List'!$I$2:$I$995,'Item List'!C$2:$F$995),"")</f>
        <v/>
      </c>
    </row>
    <row r="347">
      <c r="A347" s="25"/>
      <c r="B347" s="25"/>
      <c r="C347" s="25"/>
      <c r="D347" s="25"/>
      <c r="E347" s="25" t="s">
        <v>1333</v>
      </c>
      <c r="F347" s="25" t="str">
        <f t="array" ref="F347">IFERROR(_xlfn.XLOOKUP('Form responses 2'!C347,'Item List'!$I$2:$I$995,'Item List'!C$2:$F$995),"")</f>
        <v/>
      </c>
    </row>
    <row r="348">
      <c r="A348" s="25"/>
      <c r="B348" s="25"/>
      <c r="C348" s="25"/>
      <c r="D348" s="25"/>
      <c r="E348" s="25" t="s">
        <v>1333</v>
      </c>
      <c r="F348" s="25" t="str">
        <f t="array" ref="F348">IFERROR(_xlfn.XLOOKUP('Form responses 2'!C348,'Item List'!$I$2:$I$995,'Item List'!C$2:$F$995),"")</f>
        <v/>
      </c>
    </row>
    <row r="349">
      <c r="A349" s="25"/>
      <c r="B349" s="25"/>
      <c r="C349" s="25"/>
      <c r="D349" s="25"/>
      <c r="E349" s="25" t="s">
        <v>1333</v>
      </c>
      <c r="F349" s="25" t="str">
        <f t="array" ref="F349">IFERROR(_xlfn.XLOOKUP('Form responses 2'!C349,'Item List'!$I$2:$I$995,'Item List'!C$2:$F$995),"")</f>
        <v/>
      </c>
    </row>
    <row r="350">
      <c r="A350" s="25"/>
      <c r="B350" s="25"/>
      <c r="C350" s="25"/>
      <c r="D350" s="25"/>
      <c r="E350" s="25" t="s">
        <v>1333</v>
      </c>
      <c r="F350" s="25" t="str">
        <f t="array" ref="F350">IFERROR(_xlfn.XLOOKUP('Form responses 2'!C350,'Item List'!$I$2:$I$995,'Item List'!C$2:$F$995),"")</f>
        <v/>
      </c>
    </row>
    <row r="351">
      <c r="A351" s="25"/>
      <c r="B351" s="25"/>
      <c r="C351" s="25"/>
      <c r="D351" s="25"/>
      <c r="E351" s="25" t="s">
        <v>1333</v>
      </c>
      <c r="F351" s="25" t="str">
        <f t="array" ref="F351">IFERROR(_xlfn.XLOOKUP('Form responses 2'!C351,'Item List'!$I$2:$I$995,'Item List'!C$2:$F$995),"")</f>
        <v/>
      </c>
    </row>
    <row r="352">
      <c r="A352" s="25"/>
      <c r="B352" s="25"/>
      <c r="C352" s="25"/>
      <c r="D352" s="25"/>
      <c r="E352" s="25" t="s">
        <v>1333</v>
      </c>
      <c r="F352" s="25" t="str">
        <f t="array" ref="F352">IFERROR(_xlfn.XLOOKUP('Form responses 2'!C352,'Item List'!$I$2:$I$995,'Item List'!C$2:$F$995),"")</f>
        <v/>
      </c>
    </row>
    <row r="353">
      <c r="A353" s="25"/>
      <c r="B353" s="25"/>
      <c r="C353" s="25"/>
      <c r="D353" s="25"/>
      <c r="E353" s="25" t="s">
        <v>1333</v>
      </c>
      <c r="F353" s="25" t="str">
        <f t="array" ref="F353">IFERROR(_xlfn.XLOOKUP('Form responses 2'!C353,'Item List'!$I$2:$I$995,'Item List'!C$2:$F$995),"")</f>
        <v/>
      </c>
    </row>
    <row r="354">
      <c r="A354" s="25"/>
      <c r="B354" s="25"/>
      <c r="C354" s="25"/>
      <c r="D354" s="25"/>
      <c r="E354" s="25" t="s">
        <v>1333</v>
      </c>
      <c r="F354" s="25" t="str">
        <f t="array" ref="F354">IFERROR(_xlfn.XLOOKUP('Form responses 2'!C354,'Item List'!$I$2:$I$995,'Item List'!C$2:$F$995),"")</f>
        <v/>
      </c>
    </row>
    <row r="355">
      <c r="A355" s="25"/>
      <c r="B355" s="25"/>
      <c r="C355" s="25"/>
      <c r="D355" s="25"/>
      <c r="E355" s="25" t="s">
        <v>1333</v>
      </c>
      <c r="F355" s="25" t="str">
        <f t="array" ref="F355">IFERROR(_xlfn.XLOOKUP('Form responses 2'!C355,'Item List'!$I$2:$I$995,'Item List'!C$2:$F$995),"")</f>
        <v/>
      </c>
    </row>
    <row r="356">
      <c r="A356" s="25"/>
      <c r="B356" s="25"/>
      <c r="C356" s="25"/>
      <c r="D356" s="25"/>
      <c r="E356" s="25" t="s">
        <v>1333</v>
      </c>
      <c r="F356" s="25" t="str">
        <f t="array" ref="F356">IFERROR(_xlfn.XLOOKUP('Form responses 2'!C356,'Item List'!$I$2:$I$995,'Item List'!C$2:$F$995),"")</f>
        <v/>
      </c>
    </row>
    <row r="357">
      <c r="A357" s="25"/>
      <c r="B357" s="25"/>
      <c r="C357" s="25"/>
      <c r="D357" s="25"/>
      <c r="E357" s="25" t="s">
        <v>1333</v>
      </c>
      <c r="F357" s="25" t="str">
        <f t="array" ref="F357">IFERROR(_xlfn.XLOOKUP('Form responses 2'!C357,'Item List'!$I$2:$I$995,'Item List'!C$2:$F$995),"")</f>
        <v/>
      </c>
    </row>
    <row r="358">
      <c r="A358" s="25"/>
      <c r="B358" s="25"/>
      <c r="C358" s="25"/>
      <c r="D358" s="25"/>
      <c r="E358" s="25" t="s">
        <v>1333</v>
      </c>
      <c r="F358" s="25" t="str">
        <f t="array" ref="F358">IFERROR(_xlfn.XLOOKUP('Form responses 2'!C358,'Item List'!$I$2:$I$995,'Item List'!C$2:$F$995),"")</f>
        <v/>
      </c>
    </row>
    <row r="359">
      <c r="A359" s="25"/>
      <c r="B359" s="25"/>
      <c r="C359" s="25"/>
      <c r="D359" s="25"/>
      <c r="E359" s="25" t="s">
        <v>1333</v>
      </c>
      <c r="F359" s="25" t="str">
        <f t="array" ref="F359">IFERROR(_xlfn.XLOOKUP('Form responses 2'!C359,'Item List'!$I$2:$I$995,'Item List'!C$2:$F$995),"")</f>
        <v/>
      </c>
    </row>
    <row r="360">
      <c r="A360" s="25"/>
      <c r="B360" s="25"/>
      <c r="C360" s="25"/>
      <c r="D360" s="25"/>
      <c r="E360" s="25" t="s">
        <v>1333</v>
      </c>
      <c r="F360" s="25" t="str">
        <f t="array" ref="F360">IFERROR(_xlfn.XLOOKUP('Form responses 2'!C360,'Item List'!$I$2:$I$995,'Item List'!C$2:$F$995),"")</f>
        <v/>
      </c>
    </row>
    <row r="361">
      <c r="A361" s="25"/>
      <c r="B361" s="25"/>
      <c r="C361" s="25"/>
      <c r="D361" s="25"/>
      <c r="E361" s="25" t="s">
        <v>1333</v>
      </c>
      <c r="F361" s="25" t="str">
        <f t="array" ref="F361">IFERROR(_xlfn.XLOOKUP('Form responses 2'!C361,'Item List'!$I$2:$I$995,'Item List'!C$2:$F$995),"")</f>
        <v/>
      </c>
    </row>
    <row r="362">
      <c r="A362" s="25"/>
      <c r="B362" s="25"/>
      <c r="C362" s="25"/>
      <c r="D362" s="25"/>
      <c r="E362" s="25" t="s">
        <v>1333</v>
      </c>
      <c r="F362" s="25" t="str">
        <f t="array" ref="F362">IFERROR(_xlfn.XLOOKUP('Form responses 2'!C362,'Item List'!$I$2:$I$995,'Item List'!C$2:$F$995),"")</f>
        <v/>
      </c>
    </row>
    <row r="363">
      <c r="A363" s="25"/>
      <c r="B363" s="25"/>
      <c r="C363" s="25"/>
      <c r="D363" s="25"/>
      <c r="E363" s="25" t="s">
        <v>1333</v>
      </c>
      <c r="F363" s="25" t="str">
        <f t="array" ref="F363">IFERROR(_xlfn.XLOOKUP('Form responses 2'!C363,'Item List'!$I$2:$I$995,'Item List'!C$2:$F$995),"")</f>
        <v/>
      </c>
    </row>
    <row r="364">
      <c r="A364" s="25"/>
      <c r="B364" s="25"/>
      <c r="C364" s="25"/>
      <c r="D364" s="25"/>
      <c r="E364" s="25" t="s">
        <v>1333</v>
      </c>
      <c r="F364" s="25" t="str">
        <f t="array" ref="F364">IFERROR(_xlfn.XLOOKUP('Form responses 2'!C364,'Item List'!$I$2:$I$995,'Item List'!C$2:$F$995),"")</f>
        <v/>
      </c>
    </row>
    <row r="365">
      <c r="A365" s="25"/>
      <c r="B365" s="25"/>
      <c r="C365" s="25"/>
      <c r="D365" s="25"/>
      <c r="E365" s="25" t="s">
        <v>1333</v>
      </c>
      <c r="F365" s="25" t="str">
        <f t="array" ref="F365">IFERROR(_xlfn.XLOOKUP('Form responses 2'!C365,'Item List'!$I$2:$I$995,'Item List'!C$2:$F$995),"")</f>
        <v/>
      </c>
    </row>
    <row r="366">
      <c r="A366" s="25"/>
      <c r="B366" s="25"/>
      <c r="C366" s="25"/>
      <c r="D366" s="25"/>
      <c r="E366" s="25" t="s">
        <v>1333</v>
      </c>
      <c r="F366" s="25" t="str">
        <f t="array" ref="F366">IFERROR(_xlfn.XLOOKUP('Form responses 2'!C366,'Item List'!$I$2:$I$995,'Item List'!C$2:$F$995),"")</f>
        <v/>
      </c>
    </row>
    <row r="367">
      <c r="A367" s="25"/>
      <c r="B367" s="25"/>
      <c r="C367" s="25"/>
      <c r="D367" s="25"/>
      <c r="E367" s="25" t="s">
        <v>1333</v>
      </c>
      <c r="F367" s="25" t="str">
        <f t="array" ref="F367">IFERROR(_xlfn.XLOOKUP('Form responses 2'!C367,'Item List'!$I$2:$I$995,'Item List'!C$2:$F$995),"")</f>
        <v/>
      </c>
    </row>
    <row r="368">
      <c r="A368" s="25"/>
      <c r="B368" s="25"/>
      <c r="C368" s="25"/>
      <c r="D368" s="25"/>
      <c r="E368" s="25" t="s">
        <v>1333</v>
      </c>
      <c r="F368" s="25" t="str">
        <f t="array" ref="F368">IFERROR(_xlfn.XLOOKUP('Form responses 2'!C368,'Item List'!$I$2:$I$995,'Item List'!C$2:$F$995),"")</f>
        <v/>
      </c>
    </row>
    <row r="369">
      <c r="A369" s="25"/>
      <c r="B369" s="25"/>
      <c r="C369" s="25"/>
      <c r="D369" s="25"/>
      <c r="E369" s="25" t="s">
        <v>1333</v>
      </c>
      <c r="F369" s="25" t="str">
        <f t="array" ref="F369">IFERROR(_xlfn.XLOOKUP('Form responses 2'!C369,'Item List'!$I$2:$I$995,'Item List'!C$2:$F$995),"")</f>
        <v/>
      </c>
    </row>
    <row r="370">
      <c r="A370" s="25"/>
      <c r="B370" s="25"/>
      <c r="C370" s="25"/>
      <c r="D370" s="25"/>
      <c r="E370" s="25" t="s">
        <v>1333</v>
      </c>
      <c r="F370" s="25" t="str">
        <f t="array" ref="F370">IFERROR(_xlfn.XLOOKUP('Form responses 2'!C370,'Item List'!$I$2:$I$995,'Item List'!C$2:$F$995),"")</f>
        <v/>
      </c>
    </row>
    <row r="371">
      <c r="A371" s="25"/>
      <c r="B371" s="25"/>
      <c r="C371" s="25"/>
      <c r="D371" s="25"/>
      <c r="E371" s="25" t="s">
        <v>1333</v>
      </c>
      <c r="F371" s="25" t="str">
        <f t="array" ref="F371">IFERROR(_xlfn.XLOOKUP('Form responses 2'!C371,'Item List'!$I$2:$I$995,'Item List'!C$2:$F$995),"")</f>
        <v/>
      </c>
    </row>
    <row r="372">
      <c r="A372" s="25"/>
      <c r="B372" s="25"/>
      <c r="C372" s="25"/>
      <c r="D372" s="25"/>
      <c r="E372" s="25" t="s">
        <v>1333</v>
      </c>
      <c r="F372" s="25" t="str">
        <f t="array" ref="F372">IFERROR(_xlfn.XLOOKUP('Form responses 2'!C372,'Item List'!$I$2:$I$995,'Item List'!C$2:$F$995),"")</f>
        <v/>
      </c>
    </row>
    <row r="373">
      <c r="A373" s="25"/>
      <c r="B373" s="25"/>
      <c r="C373" s="25"/>
      <c r="D373" s="25"/>
      <c r="E373" s="25" t="s">
        <v>1333</v>
      </c>
      <c r="F373" s="25" t="str">
        <f t="array" ref="F373">IFERROR(_xlfn.XLOOKUP('Form responses 2'!C373,'Item List'!$I$2:$I$995,'Item List'!C$2:$F$995),"")</f>
        <v/>
      </c>
    </row>
    <row r="374">
      <c r="A374" s="25"/>
      <c r="B374" s="25"/>
      <c r="C374" s="25"/>
      <c r="D374" s="25"/>
      <c r="E374" s="25" t="s">
        <v>1333</v>
      </c>
      <c r="F374" s="25" t="str">
        <f t="array" ref="F374">IFERROR(_xlfn.XLOOKUP('Form responses 2'!C374,'Item List'!$I$2:$I$995,'Item List'!C$2:$F$995),"")</f>
        <v/>
      </c>
    </row>
    <row r="375">
      <c r="A375" s="25"/>
      <c r="B375" s="25"/>
      <c r="C375" s="25"/>
      <c r="D375" s="25"/>
      <c r="E375" s="25" t="s">
        <v>1333</v>
      </c>
      <c r="F375" s="25" t="str">
        <f t="array" ref="F375">IFERROR(_xlfn.XLOOKUP('Form responses 2'!C375,'Item List'!$I$2:$I$995,'Item List'!C$2:$F$995),"")</f>
        <v/>
      </c>
    </row>
    <row r="376">
      <c r="A376" s="25"/>
      <c r="B376" s="25"/>
      <c r="C376" s="25"/>
      <c r="D376" s="25"/>
      <c r="E376" s="25" t="s">
        <v>1333</v>
      </c>
      <c r="F376" s="25" t="str">
        <f t="array" ref="F376">IFERROR(_xlfn.XLOOKUP('Form responses 2'!C376,'Item List'!$I$2:$I$995,'Item List'!C$2:$F$995),"")</f>
        <v/>
      </c>
    </row>
    <row r="377">
      <c r="A377" s="25"/>
      <c r="B377" s="25"/>
      <c r="C377" s="25"/>
      <c r="D377" s="25"/>
      <c r="E377" s="25" t="s">
        <v>1333</v>
      </c>
      <c r="F377" s="25" t="str">
        <f t="array" ref="F377">IFERROR(_xlfn.XLOOKUP('Form responses 2'!C377,'Item List'!$I$2:$I$995,'Item List'!C$2:$F$995),"")</f>
        <v/>
      </c>
    </row>
    <row r="378">
      <c r="A378" s="25"/>
      <c r="B378" s="25"/>
      <c r="C378" s="25"/>
      <c r="D378" s="25"/>
      <c r="E378" s="25" t="s">
        <v>1333</v>
      </c>
      <c r="F378" s="25" t="str">
        <f t="array" ref="F378">IFERROR(_xlfn.XLOOKUP('Form responses 2'!C378,'Item List'!$I$2:$I$995,'Item List'!C$2:$F$995),"")</f>
        <v/>
      </c>
    </row>
    <row r="379">
      <c r="A379" s="25"/>
      <c r="B379" s="25"/>
      <c r="C379" s="25"/>
      <c r="D379" s="25"/>
      <c r="E379" s="25" t="s">
        <v>1333</v>
      </c>
      <c r="F379" s="25" t="str">
        <f t="array" ref="F379">IFERROR(_xlfn.XLOOKUP('Form responses 2'!C379,'Item List'!$I$2:$I$995,'Item List'!C$2:$F$995),"")</f>
        <v/>
      </c>
    </row>
    <row r="380">
      <c r="A380" s="25"/>
      <c r="B380" s="25"/>
      <c r="C380" s="25"/>
      <c r="D380" s="25"/>
      <c r="E380" s="25" t="s">
        <v>1333</v>
      </c>
      <c r="F380" s="25" t="str">
        <f t="array" ref="F380">IFERROR(_xlfn.XLOOKUP('Form responses 2'!C380,'Item List'!$I$2:$I$995,'Item List'!C$2:$F$995),"")</f>
        <v/>
      </c>
    </row>
    <row r="381">
      <c r="A381" s="25"/>
      <c r="B381" s="25"/>
      <c r="C381" s="25"/>
      <c r="D381" s="25"/>
      <c r="E381" s="25" t="s">
        <v>1333</v>
      </c>
      <c r="F381" s="25" t="str">
        <f t="array" ref="F381">IFERROR(_xlfn.XLOOKUP('Form responses 2'!C381,'Item List'!$I$2:$I$995,'Item List'!C$2:$F$995),"")</f>
        <v/>
      </c>
    </row>
    <row r="382">
      <c r="A382" s="25"/>
      <c r="B382" s="25"/>
      <c r="C382" s="25"/>
      <c r="D382" s="25"/>
      <c r="E382" s="25" t="s">
        <v>1333</v>
      </c>
      <c r="F382" s="25" t="str">
        <f t="array" ref="F382">IFERROR(_xlfn.XLOOKUP('Form responses 2'!C382,'Item List'!$I$2:$I$995,'Item List'!C$2:$F$995),"")</f>
        <v/>
      </c>
    </row>
    <row r="383">
      <c r="A383" s="25"/>
      <c r="B383" s="25"/>
      <c r="C383" s="25"/>
      <c r="D383" s="25"/>
      <c r="E383" s="25" t="s">
        <v>1333</v>
      </c>
      <c r="F383" s="25" t="str">
        <f t="array" ref="F383">IFERROR(_xlfn.XLOOKUP('Form responses 2'!C383,'Item List'!$I$2:$I$995,'Item List'!C$2:$F$995),"")</f>
        <v/>
      </c>
    </row>
    <row r="384">
      <c r="A384" s="25"/>
      <c r="B384" s="25"/>
      <c r="C384" s="25"/>
      <c r="D384" s="25"/>
      <c r="E384" s="25" t="s">
        <v>1333</v>
      </c>
      <c r="F384" s="25" t="str">
        <f t="array" ref="F384">IFERROR(_xlfn.XLOOKUP('Form responses 2'!C384,'Item List'!$I$2:$I$995,'Item List'!C$2:$F$995),"")</f>
        <v/>
      </c>
    </row>
    <row r="385">
      <c r="A385" s="25"/>
      <c r="B385" s="25"/>
      <c r="C385" s="25"/>
      <c r="D385" s="25"/>
      <c r="E385" s="25" t="s">
        <v>1333</v>
      </c>
      <c r="F385" s="25" t="str">
        <f t="array" ref="F385">IFERROR(_xlfn.XLOOKUP('Form responses 2'!C385,'Item List'!$I$2:$I$995,'Item List'!C$2:$F$995),"")</f>
        <v/>
      </c>
    </row>
    <row r="386">
      <c r="A386" s="25"/>
      <c r="B386" s="25"/>
      <c r="C386" s="25"/>
      <c r="D386" s="25"/>
      <c r="E386" s="25" t="s">
        <v>1333</v>
      </c>
      <c r="F386" s="25" t="str">
        <f t="array" ref="F386">IFERROR(_xlfn.XLOOKUP('Form responses 2'!C386,'Item List'!$I$2:$I$995,'Item List'!C$2:$F$995),"")</f>
        <v/>
      </c>
    </row>
    <row r="387">
      <c r="A387" s="25"/>
      <c r="B387" s="25"/>
      <c r="C387" s="25"/>
      <c r="D387" s="25"/>
      <c r="E387" s="25" t="s">
        <v>1333</v>
      </c>
      <c r="F387" s="25" t="str">
        <f t="array" ref="F387">IFERROR(_xlfn.XLOOKUP('Form responses 2'!C387,'Item List'!$I$2:$I$995,'Item List'!C$2:$F$995),"")</f>
        <v/>
      </c>
    </row>
    <row r="388">
      <c r="A388" s="25"/>
      <c r="B388" s="25"/>
      <c r="C388" s="25"/>
      <c r="D388" s="25"/>
      <c r="E388" s="25" t="s">
        <v>1333</v>
      </c>
      <c r="F388" s="25" t="str">
        <f t="array" ref="F388">IFERROR(_xlfn.XLOOKUP('Form responses 2'!C388,'Item List'!$I$2:$I$995,'Item List'!C$2:$F$995),"")</f>
        <v/>
      </c>
    </row>
    <row r="389">
      <c r="A389" s="25"/>
      <c r="B389" s="25"/>
      <c r="C389" s="25"/>
      <c r="D389" s="25"/>
      <c r="E389" s="25" t="s">
        <v>1333</v>
      </c>
      <c r="F389" s="25" t="str">
        <f t="array" ref="F389">IFERROR(_xlfn.XLOOKUP('Form responses 2'!C389,'Item List'!$I$2:$I$995,'Item List'!C$2:$F$995),"")</f>
        <v/>
      </c>
    </row>
    <row r="390">
      <c r="A390" s="25"/>
      <c r="B390" s="25"/>
      <c r="C390" s="25"/>
      <c r="D390" s="25"/>
      <c r="E390" s="25" t="s">
        <v>1333</v>
      </c>
      <c r="F390" s="25" t="str">
        <f t="array" ref="F390">IFERROR(_xlfn.XLOOKUP('Form responses 2'!C390,'Item List'!$I$2:$I$995,'Item List'!C$2:$F$995),"")</f>
        <v/>
      </c>
    </row>
    <row r="391">
      <c r="A391" s="25"/>
      <c r="B391" s="25"/>
      <c r="C391" s="25"/>
      <c r="D391" s="25"/>
      <c r="E391" s="25" t="s">
        <v>1333</v>
      </c>
      <c r="F391" s="25" t="str">
        <f t="array" ref="F391">IFERROR(_xlfn.XLOOKUP('Form responses 2'!C391,'Item List'!$I$2:$I$995,'Item List'!C$2:$F$995),"")</f>
        <v/>
      </c>
    </row>
    <row r="392">
      <c r="A392" s="25"/>
      <c r="B392" s="25"/>
      <c r="C392" s="25"/>
      <c r="D392" s="25"/>
      <c r="E392" s="25" t="s">
        <v>1333</v>
      </c>
      <c r="F392" s="25" t="str">
        <f t="array" ref="F392">IFERROR(_xlfn.XLOOKUP('Form responses 2'!C392,'Item List'!$I$2:$I$995,'Item List'!C$2:$F$995),"")</f>
        <v/>
      </c>
    </row>
    <row r="393">
      <c r="A393" s="25"/>
      <c r="B393" s="25"/>
      <c r="C393" s="25"/>
      <c r="D393" s="25"/>
      <c r="E393" s="25" t="s">
        <v>1333</v>
      </c>
      <c r="F393" s="25" t="str">
        <f t="array" ref="F393">IFERROR(_xlfn.XLOOKUP('Form responses 2'!C393,'Item List'!$I$2:$I$995,'Item List'!C$2:$F$995),"")</f>
        <v/>
      </c>
    </row>
    <row r="394">
      <c r="A394" s="25"/>
      <c r="B394" s="25"/>
      <c r="C394" s="25"/>
      <c r="D394" s="25"/>
      <c r="E394" s="25" t="s">
        <v>1333</v>
      </c>
      <c r="F394" s="25" t="str">
        <f t="array" ref="F394">IFERROR(_xlfn.XLOOKUP('Form responses 2'!C394,'Item List'!$I$2:$I$995,'Item List'!C$2:$F$995),"")</f>
        <v/>
      </c>
    </row>
    <row r="395">
      <c r="A395" s="25"/>
      <c r="B395" s="25"/>
      <c r="C395" s="25"/>
      <c r="D395" s="25"/>
      <c r="E395" s="25" t="s">
        <v>1333</v>
      </c>
      <c r="F395" s="25" t="str">
        <f t="array" ref="F395">IFERROR(_xlfn.XLOOKUP('Form responses 2'!C395,'Item List'!$I$2:$I$995,'Item List'!C$2:$F$995),"")</f>
        <v/>
      </c>
    </row>
    <row r="396">
      <c r="A396" s="25"/>
      <c r="B396" s="25"/>
      <c r="C396" s="25"/>
      <c r="D396" s="25"/>
      <c r="E396" s="25" t="s">
        <v>1333</v>
      </c>
      <c r="F396" s="25" t="str">
        <f t="array" ref="F396">IFERROR(_xlfn.XLOOKUP('Form responses 2'!C396,'Item List'!$I$2:$I$995,'Item List'!C$2:$F$995),"")</f>
        <v/>
      </c>
    </row>
    <row r="397">
      <c r="A397" s="25"/>
      <c r="B397" s="25"/>
      <c r="C397" s="25"/>
      <c r="D397" s="25"/>
      <c r="E397" s="25" t="s">
        <v>1333</v>
      </c>
      <c r="F397" s="25" t="str">
        <f t="array" ref="F397">IFERROR(_xlfn.XLOOKUP('Form responses 2'!C397,'Item List'!$I$2:$I$995,'Item List'!C$2:$F$995),"")</f>
        <v/>
      </c>
    </row>
    <row r="398">
      <c r="A398" s="25"/>
      <c r="B398" s="25"/>
      <c r="C398" s="25"/>
      <c r="D398" s="25"/>
      <c r="E398" s="25" t="s">
        <v>1333</v>
      </c>
      <c r="F398" s="25" t="str">
        <f t="array" ref="F398">IFERROR(_xlfn.XLOOKUP('Form responses 2'!C398,'Item List'!$I$2:$I$995,'Item List'!C$2:$F$995),"")</f>
        <v/>
      </c>
    </row>
    <row r="399">
      <c r="A399" s="25"/>
      <c r="B399" s="25"/>
      <c r="C399" s="25"/>
      <c r="D399" s="25"/>
      <c r="E399" s="25" t="s">
        <v>1333</v>
      </c>
      <c r="F399" s="25" t="str">
        <f t="array" ref="F399">IFERROR(_xlfn.XLOOKUP('Form responses 2'!C399,'Item List'!$I$2:$I$995,'Item List'!C$2:$F$995),"")</f>
        <v/>
      </c>
    </row>
    <row r="400">
      <c r="A400" s="25"/>
      <c r="B400" s="25"/>
      <c r="C400" s="25"/>
      <c r="D400" s="25"/>
      <c r="E400" s="25" t="s">
        <v>1333</v>
      </c>
      <c r="F400" s="25" t="str">
        <f t="array" ref="F400">IFERROR(_xlfn.XLOOKUP('Form responses 2'!C400,'Item List'!$I$2:$I$995,'Item List'!C$2:$F$995),"")</f>
        <v/>
      </c>
    </row>
    <row r="401">
      <c r="A401" s="25"/>
      <c r="B401" s="25"/>
      <c r="C401" s="25"/>
      <c r="D401" s="25"/>
      <c r="E401" s="25" t="s">
        <v>1333</v>
      </c>
      <c r="F401" s="25" t="str">
        <f t="array" ref="F401">IFERROR(_xlfn.XLOOKUP('Form responses 2'!C401,'Item List'!$I$2:$I$995,'Item List'!C$2:$F$995),"")</f>
        <v/>
      </c>
    </row>
    <row r="402">
      <c r="A402" s="25"/>
      <c r="B402" s="25"/>
      <c r="C402" s="25"/>
      <c r="D402" s="25"/>
      <c r="E402" s="25" t="s">
        <v>1333</v>
      </c>
      <c r="F402" s="25" t="str">
        <f t="array" ref="F402">IFERROR(_xlfn.XLOOKUP('Form responses 2'!C402,'Item List'!$I$2:$I$995,'Item List'!C$2:$F$995),"")</f>
        <v/>
      </c>
    </row>
    <row r="403">
      <c r="A403" s="25"/>
      <c r="B403" s="25"/>
      <c r="C403" s="25"/>
      <c r="D403" s="25"/>
      <c r="E403" s="25" t="s">
        <v>1333</v>
      </c>
      <c r="F403" s="25" t="str">
        <f t="array" ref="F403">IFERROR(_xlfn.XLOOKUP('Form responses 2'!C403,'Item List'!$I$2:$I$995,'Item List'!C$2:$F$995),"")</f>
        <v/>
      </c>
    </row>
    <row r="404">
      <c r="A404" s="25"/>
      <c r="B404" s="25"/>
      <c r="C404" s="25"/>
      <c r="D404" s="25"/>
      <c r="E404" s="25" t="s">
        <v>1333</v>
      </c>
      <c r="F404" s="25" t="str">
        <f t="array" ref="F404">IFERROR(_xlfn.XLOOKUP('Form responses 2'!C404,'Item List'!$I$2:$I$995,'Item List'!C$2:$F$995),"")</f>
        <v/>
      </c>
    </row>
    <row r="405">
      <c r="A405" s="25"/>
      <c r="B405" s="25"/>
      <c r="C405" s="25"/>
      <c r="D405" s="25"/>
      <c r="E405" s="25" t="s">
        <v>1333</v>
      </c>
      <c r="F405" s="25" t="str">
        <f t="array" ref="F405">IFERROR(_xlfn.XLOOKUP('Form responses 2'!C405,'Item List'!$I$2:$I$995,'Item List'!C$2:$F$995),"")</f>
        <v/>
      </c>
    </row>
    <row r="406">
      <c r="A406" s="25"/>
      <c r="B406" s="25"/>
      <c r="C406" s="25"/>
      <c r="D406" s="25"/>
      <c r="E406" s="25" t="s">
        <v>1333</v>
      </c>
      <c r="F406" s="25" t="str">
        <f t="array" ref="F406">IFERROR(_xlfn.XLOOKUP('Form responses 2'!C406,'Item List'!$I$2:$I$995,'Item List'!C$2:$F$995),"")</f>
        <v/>
      </c>
    </row>
    <row r="407">
      <c r="A407" s="25"/>
      <c r="B407" s="25"/>
      <c r="C407" s="25"/>
      <c r="D407" s="25"/>
      <c r="E407" s="25" t="s">
        <v>1333</v>
      </c>
      <c r="F407" s="25" t="str">
        <f t="array" ref="F407">IFERROR(_xlfn.XLOOKUP('Form responses 2'!C407,'Item List'!$I$2:$I$995,'Item List'!C$2:$F$995),"")</f>
        <v/>
      </c>
    </row>
    <row r="408">
      <c r="A408" s="25"/>
      <c r="B408" s="25"/>
      <c r="C408" s="25"/>
      <c r="D408" s="25"/>
      <c r="E408" s="25" t="s">
        <v>1333</v>
      </c>
      <c r="F408" s="25" t="str">
        <f t="array" ref="F408">IFERROR(_xlfn.XLOOKUP('Form responses 2'!C408,'Item List'!$I$2:$I$995,'Item List'!C$2:$F$995),"")</f>
        <v/>
      </c>
    </row>
    <row r="409">
      <c r="A409" s="25"/>
      <c r="B409" s="25"/>
      <c r="C409" s="25"/>
      <c r="D409" s="25"/>
      <c r="E409" s="25" t="s">
        <v>1333</v>
      </c>
      <c r="F409" s="25" t="str">
        <f t="array" ref="F409">IFERROR(_xlfn.XLOOKUP('Form responses 2'!C409,'Item List'!$I$2:$I$995,'Item List'!C$2:$F$995),"")</f>
        <v/>
      </c>
    </row>
    <row r="410">
      <c r="A410" s="25"/>
      <c r="B410" s="25"/>
      <c r="C410" s="25"/>
      <c r="D410" s="25"/>
      <c r="E410" s="25" t="s">
        <v>1333</v>
      </c>
      <c r="F410" s="25" t="str">
        <f t="array" ref="F410">IFERROR(_xlfn.XLOOKUP('Form responses 2'!C410,'Item List'!$I$2:$I$995,'Item List'!C$2:$F$995),"")</f>
        <v/>
      </c>
    </row>
    <row r="411">
      <c r="A411" s="25"/>
      <c r="B411" s="25"/>
      <c r="C411" s="25"/>
      <c r="D411" s="25"/>
      <c r="E411" s="25" t="s">
        <v>1333</v>
      </c>
      <c r="F411" s="25" t="str">
        <f t="array" ref="F411">IFERROR(_xlfn.XLOOKUP('Form responses 2'!C411,'Item List'!$I$2:$I$995,'Item List'!C$2:$F$995),"")</f>
        <v/>
      </c>
    </row>
    <row r="412">
      <c r="A412" s="25"/>
      <c r="B412" s="25"/>
      <c r="C412" s="25"/>
      <c r="D412" s="25"/>
      <c r="E412" s="25" t="s">
        <v>1333</v>
      </c>
      <c r="F412" s="25" t="str">
        <f t="array" ref="F412">IFERROR(_xlfn.XLOOKUP('Form responses 2'!C412,'Item List'!$I$2:$I$995,'Item List'!C$2:$F$995),"")</f>
        <v/>
      </c>
    </row>
    <row r="413">
      <c r="A413" s="25"/>
      <c r="B413" s="25"/>
      <c r="C413" s="25"/>
      <c r="D413" s="25"/>
      <c r="E413" s="25" t="s">
        <v>1333</v>
      </c>
      <c r="F413" s="25" t="str">
        <f t="array" ref="F413">IFERROR(_xlfn.XLOOKUP('Form responses 2'!C413,'Item List'!$I$2:$I$995,'Item List'!C$2:$F$995),"")</f>
        <v/>
      </c>
    </row>
    <row r="414">
      <c r="A414" s="25"/>
      <c r="B414" s="25"/>
      <c r="C414" s="25"/>
      <c r="D414" s="25"/>
      <c r="E414" s="25" t="s">
        <v>1333</v>
      </c>
      <c r="F414" s="25" t="str">
        <f t="array" ref="F414">IFERROR(_xlfn.XLOOKUP('Form responses 2'!C414,'Item List'!$I$2:$I$995,'Item List'!C$2:$F$995),"")</f>
        <v/>
      </c>
    </row>
    <row r="415">
      <c r="A415" s="25"/>
      <c r="B415" s="25"/>
      <c r="C415" s="25"/>
      <c r="D415" s="25"/>
      <c r="E415" s="25" t="s">
        <v>1333</v>
      </c>
      <c r="F415" s="25" t="str">
        <f t="array" ref="F415">IFERROR(_xlfn.XLOOKUP('Form responses 2'!C415,'Item List'!$I$2:$I$995,'Item List'!C$2:$F$995),"")</f>
        <v/>
      </c>
    </row>
    <row r="416">
      <c r="A416" s="25"/>
      <c r="B416" s="25"/>
      <c r="C416" s="25"/>
      <c r="D416" s="25"/>
      <c r="E416" s="25" t="s">
        <v>1333</v>
      </c>
      <c r="F416" s="25" t="str">
        <f t="array" ref="F416">IFERROR(_xlfn.XLOOKUP('Form responses 2'!C416,'Item List'!$I$2:$I$995,'Item List'!C$2:$F$995),"")</f>
        <v/>
      </c>
    </row>
    <row r="417">
      <c r="A417" s="25"/>
      <c r="B417" s="25"/>
      <c r="C417" s="25"/>
      <c r="D417" s="25"/>
      <c r="E417" s="25" t="s">
        <v>1333</v>
      </c>
      <c r="F417" s="25" t="str">
        <f t="array" ref="F417">IFERROR(_xlfn.XLOOKUP('Form responses 2'!C417,'Item List'!$I$2:$I$995,'Item List'!C$2:$F$995),"")</f>
        <v/>
      </c>
    </row>
    <row r="418">
      <c r="A418" s="25"/>
      <c r="B418" s="25"/>
      <c r="C418" s="25"/>
      <c r="D418" s="25"/>
      <c r="E418" s="25" t="s">
        <v>1333</v>
      </c>
      <c r="F418" s="25" t="str">
        <f t="array" ref="F418">IFERROR(_xlfn.XLOOKUP('Form responses 2'!C418,'Item List'!$I$2:$I$995,'Item List'!C$2:$F$995),"")</f>
        <v/>
      </c>
    </row>
    <row r="419">
      <c r="A419" s="25"/>
      <c r="B419" s="25"/>
      <c r="C419" s="25"/>
      <c r="D419" s="25"/>
      <c r="E419" s="25" t="s">
        <v>1333</v>
      </c>
      <c r="F419" s="25" t="str">
        <f t="array" ref="F419">IFERROR(_xlfn.XLOOKUP('Form responses 2'!C419,'Item List'!$I$2:$I$995,'Item List'!C$2:$F$995),"")</f>
        <v/>
      </c>
    </row>
    <row r="420">
      <c r="A420" s="25"/>
      <c r="B420" s="25"/>
      <c r="C420" s="25"/>
      <c r="D420" s="25"/>
      <c r="E420" s="25" t="s">
        <v>1333</v>
      </c>
      <c r="F420" s="25" t="str">
        <f t="array" ref="F420">IFERROR(_xlfn.XLOOKUP('Form responses 2'!C420,'Item List'!$I$2:$I$995,'Item List'!C$2:$F$995),"")</f>
        <v/>
      </c>
    </row>
    <row r="421">
      <c r="A421" s="25"/>
      <c r="B421" s="25"/>
      <c r="C421" s="25"/>
      <c r="D421" s="25"/>
      <c r="E421" s="25" t="s">
        <v>1333</v>
      </c>
      <c r="F421" s="25" t="str">
        <f t="array" ref="F421">IFERROR(_xlfn.XLOOKUP('Form responses 2'!C421,'Item List'!$I$2:$I$995,'Item List'!C$2:$F$995),"")</f>
        <v/>
      </c>
    </row>
    <row r="422">
      <c r="A422" s="25"/>
      <c r="B422" s="25"/>
      <c r="C422" s="25"/>
      <c r="D422" s="25"/>
      <c r="E422" s="25" t="s">
        <v>1333</v>
      </c>
      <c r="F422" s="25" t="str">
        <f t="array" ref="F422">IFERROR(_xlfn.XLOOKUP('Form responses 2'!C422,'Item List'!$I$2:$I$995,'Item List'!C$2:$F$995),"")</f>
        <v/>
      </c>
    </row>
    <row r="423">
      <c r="A423" s="25"/>
      <c r="B423" s="25"/>
      <c r="C423" s="25"/>
      <c r="D423" s="25"/>
      <c r="E423" s="25" t="s">
        <v>1333</v>
      </c>
      <c r="F423" s="25" t="str">
        <f t="array" ref="F423">IFERROR(_xlfn.XLOOKUP('Form responses 2'!C423,'Item List'!$I$2:$I$995,'Item List'!C$2:$F$995),"")</f>
        <v/>
      </c>
    </row>
    <row r="424">
      <c r="A424" s="25"/>
      <c r="B424" s="25"/>
      <c r="C424" s="25"/>
      <c r="D424" s="25"/>
      <c r="E424" s="25" t="s">
        <v>1333</v>
      </c>
      <c r="F424" s="25" t="str">
        <f t="array" ref="F424">IFERROR(_xlfn.XLOOKUP('Form responses 2'!C424,'Item List'!$I$2:$I$995,'Item List'!C$2:$F$995),"")</f>
        <v/>
      </c>
    </row>
    <row r="425">
      <c r="A425" s="25"/>
      <c r="B425" s="25"/>
      <c r="C425" s="25"/>
      <c r="D425" s="25"/>
      <c r="E425" s="25" t="s">
        <v>1333</v>
      </c>
      <c r="F425" s="25" t="str">
        <f t="array" ref="F425">IFERROR(_xlfn.XLOOKUP('Form responses 2'!C425,'Item List'!$I$2:$I$995,'Item List'!C$2:$F$995),"")</f>
        <v/>
      </c>
    </row>
    <row r="426">
      <c r="A426" s="25"/>
      <c r="B426" s="25"/>
      <c r="C426" s="25"/>
      <c r="D426" s="25"/>
      <c r="E426" s="25" t="s">
        <v>1333</v>
      </c>
      <c r="F426" s="25" t="str">
        <f t="array" ref="F426">IFERROR(_xlfn.XLOOKUP('Form responses 2'!C426,'Item List'!$I$2:$I$995,'Item List'!C$2:$F$995),"")</f>
        <v/>
      </c>
    </row>
    <row r="427">
      <c r="A427" s="25"/>
      <c r="B427" s="25"/>
      <c r="C427" s="25"/>
      <c r="D427" s="25"/>
      <c r="E427" s="25" t="s">
        <v>1333</v>
      </c>
      <c r="F427" s="25" t="str">
        <f t="array" ref="F427">IFERROR(_xlfn.XLOOKUP('Form responses 2'!C427,'Item List'!$I$2:$I$995,'Item List'!C$2:$F$995),"")</f>
        <v/>
      </c>
    </row>
    <row r="428">
      <c r="A428" s="25"/>
      <c r="B428" s="25"/>
      <c r="C428" s="25"/>
      <c r="D428" s="25"/>
      <c r="E428" s="25" t="s">
        <v>1333</v>
      </c>
      <c r="F428" s="25" t="str">
        <f t="array" ref="F428">IFERROR(_xlfn.XLOOKUP('Form responses 2'!C428,'Item List'!$I$2:$I$995,'Item List'!C$2:$F$995),"")</f>
        <v/>
      </c>
    </row>
    <row r="429">
      <c r="A429" s="25"/>
      <c r="B429" s="25"/>
      <c r="C429" s="25"/>
      <c r="D429" s="25"/>
      <c r="E429" s="25" t="s">
        <v>1333</v>
      </c>
      <c r="F429" s="25" t="str">
        <f t="array" ref="F429">IFERROR(_xlfn.XLOOKUP('Form responses 2'!C429,'Item List'!$I$2:$I$995,'Item List'!C$2:$F$995),"")</f>
        <v/>
      </c>
    </row>
    <row r="430">
      <c r="A430" s="25"/>
      <c r="B430" s="25"/>
      <c r="C430" s="25"/>
      <c r="D430" s="25"/>
      <c r="E430" s="25" t="s">
        <v>1333</v>
      </c>
      <c r="F430" s="25" t="str">
        <f t="array" ref="F430">IFERROR(_xlfn.XLOOKUP('Form responses 2'!C430,'Item List'!$I$2:$I$995,'Item List'!C$2:$F$995),"")</f>
        <v/>
      </c>
    </row>
    <row r="431">
      <c r="A431" s="25"/>
      <c r="B431" s="25"/>
      <c r="C431" s="25"/>
      <c r="D431" s="25"/>
      <c r="E431" s="25" t="s">
        <v>1333</v>
      </c>
      <c r="F431" s="25" t="str">
        <f t="array" ref="F431">IFERROR(_xlfn.XLOOKUP('Form responses 2'!C431,'Item List'!$I$2:$I$995,'Item List'!C$2:$F$995),"")</f>
        <v/>
      </c>
    </row>
    <row r="432">
      <c r="A432" s="25"/>
      <c r="B432" s="25"/>
      <c r="C432" s="25"/>
      <c r="D432" s="25"/>
      <c r="E432" s="25" t="s">
        <v>1333</v>
      </c>
      <c r="F432" s="25" t="str">
        <f t="array" ref="F432">IFERROR(_xlfn.XLOOKUP('Form responses 2'!C432,'Item List'!$I$2:$I$995,'Item List'!C$2:$F$995),"")</f>
        <v/>
      </c>
    </row>
    <row r="433">
      <c r="A433" s="25"/>
      <c r="B433" s="25"/>
      <c r="C433" s="25"/>
      <c r="D433" s="25"/>
      <c r="E433" s="25" t="s">
        <v>1333</v>
      </c>
      <c r="F433" s="25" t="str">
        <f t="array" ref="F433">IFERROR(_xlfn.XLOOKUP('Form responses 2'!C433,'Item List'!$I$2:$I$995,'Item List'!C$2:$F$995),"")</f>
        <v/>
      </c>
    </row>
    <row r="434">
      <c r="A434" s="25"/>
      <c r="B434" s="25"/>
      <c r="C434" s="25"/>
      <c r="D434" s="25"/>
      <c r="E434" s="25" t="s">
        <v>1333</v>
      </c>
      <c r="F434" s="25" t="str">
        <f t="array" ref="F434">IFERROR(_xlfn.XLOOKUP('Form responses 2'!C434,'Item List'!$I$2:$I$995,'Item List'!C$2:$F$995),"")</f>
        <v/>
      </c>
    </row>
    <row r="435">
      <c r="A435" s="25"/>
      <c r="B435" s="25"/>
      <c r="C435" s="25"/>
      <c r="D435" s="25"/>
      <c r="E435" s="25" t="s">
        <v>1333</v>
      </c>
      <c r="F435" s="25" t="str">
        <f t="array" ref="F435">IFERROR(_xlfn.XLOOKUP('Form responses 2'!C435,'Item List'!$I$2:$I$995,'Item List'!C$2:$F$995),"")</f>
        <v/>
      </c>
    </row>
    <row r="436">
      <c r="A436" s="25"/>
      <c r="B436" s="25"/>
      <c r="C436" s="25"/>
      <c r="D436" s="25"/>
      <c r="E436" s="25" t="s">
        <v>1333</v>
      </c>
      <c r="F436" s="25" t="str">
        <f t="array" ref="F436">IFERROR(_xlfn.XLOOKUP('Form responses 2'!C436,'Item List'!$I$2:$I$995,'Item List'!C$2:$F$995),"")</f>
        <v/>
      </c>
    </row>
    <row r="437">
      <c r="A437" s="25"/>
      <c r="B437" s="25"/>
      <c r="C437" s="25"/>
      <c r="D437" s="25"/>
      <c r="E437" s="25" t="s">
        <v>1333</v>
      </c>
      <c r="F437" s="25" t="str">
        <f t="array" ref="F437">IFERROR(_xlfn.XLOOKUP('Form responses 2'!C437,'Item List'!$I$2:$I$995,'Item List'!C$2:$F$995),"")</f>
        <v/>
      </c>
    </row>
    <row r="438">
      <c r="A438" s="25"/>
      <c r="B438" s="25"/>
      <c r="C438" s="25"/>
      <c r="D438" s="25"/>
      <c r="E438" s="25" t="s">
        <v>1333</v>
      </c>
      <c r="F438" s="25" t="str">
        <f t="array" ref="F438">IFERROR(_xlfn.XLOOKUP('Form responses 2'!C438,'Item List'!$I$2:$I$995,'Item List'!C$2:$F$995),"")</f>
        <v/>
      </c>
    </row>
    <row r="439">
      <c r="A439" s="25"/>
      <c r="B439" s="25"/>
      <c r="C439" s="25"/>
      <c r="D439" s="25"/>
      <c r="E439" s="25" t="s">
        <v>1333</v>
      </c>
      <c r="F439" s="25" t="str">
        <f t="array" ref="F439">IFERROR(_xlfn.XLOOKUP('Form responses 2'!C439,'Item List'!$I$2:$I$995,'Item List'!C$2:$F$995),"")</f>
        <v/>
      </c>
    </row>
    <row r="440">
      <c r="A440" s="25"/>
      <c r="B440" s="25"/>
      <c r="C440" s="25"/>
      <c r="D440" s="25"/>
      <c r="E440" s="25" t="s">
        <v>1333</v>
      </c>
      <c r="F440" s="25" t="str">
        <f t="array" ref="F440">IFERROR(_xlfn.XLOOKUP('Form responses 2'!C440,'Item List'!$I$2:$I$995,'Item List'!C$2:$F$995),"")</f>
        <v/>
      </c>
    </row>
    <row r="441">
      <c r="A441" s="25"/>
      <c r="B441" s="25"/>
      <c r="C441" s="25"/>
      <c r="D441" s="25"/>
      <c r="E441" s="25" t="s">
        <v>1333</v>
      </c>
      <c r="F441" s="25" t="str">
        <f t="array" ref="F441">IFERROR(_xlfn.XLOOKUP('Form responses 2'!C441,'Item List'!$I$2:$I$995,'Item List'!C$2:$F$995),"")</f>
        <v/>
      </c>
    </row>
    <row r="442">
      <c r="A442" s="25"/>
      <c r="B442" s="25"/>
      <c r="C442" s="25"/>
      <c r="D442" s="25"/>
      <c r="E442" s="25" t="s">
        <v>1333</v>
      </c>
      <c r="F442" s="25" t="str">
        <f t="array" ref="F442">IFERROR(_xlfn.XLOOKUP('Form responses 2'!C442,'Item List'!$I$2:$I$995,'Item List'!C$2:$F$995),"")</f>
        <v/>
      </c>
    </row>
    <row r="443">
      <c r="A443" s="25"/>
      <c r="B443" s="25"/>
      <c r="C443" s="25"/>
      <c r="D443" s="25"/>
      <c r="E443" s="25" t="s">
        <v>1333</v>
      </c>
      <c r="F443" s="25" t="str">
        <f t="array" ref="F443">IFERROR(_xlfn.XLOOKUP('Form responses 2'!C443,'Item List'!$I$2:$I$995,'Item List'!C$2:$F$995),"")</f>
        <v/>
      </c>
    </row>
    <row r="444">
      <c r="A444" s="25"/>
      <c r="B444" s="25"/>
      <c r="C444" s="25"/>
      <c r="D444" s="25"/>
      <c r="E444" s="25" t="s">
        <v>1333</v>
      </c>
      <c r="F444" s="25" t="str">
        <f t="array" ref="F444">IFERROR(_xlfn.XLOOKUP('Form responses 2'!C444,'Item List'!$I$2:$I$995,'Item List'!C$2:$F$995),"")</f>
        <v/>
      </c>
    </row>
    <row r="445">
      <c r="A445" s="25"/>
      <c r="B445" s="25"/>
      <c r="C445" s="25"/>
      <c r="D445" s="25"/>
      <c r="E445" s="25" t="s">
        <v>1333</v>
      </c>
      <c r="F445" s="25" t="str">
        <f t="array" ref="F445">IFERROR(_xlfn.XLOOKUP('Form responses 2'!C445,'Item List'!$I$2:$I$995,'Item List'!C$2:$F$995),"")</f>
        <v/>
      </c>
    </row>
    <row r="446">
      <c r="A446" s="25"/>
      <c r="B446" s="25"/>
      <c r="C446" s="25"/>
      <c r="D446" s="25"/>
      <c r="E446" s="25" t="s">
        <v>1333</v>
      </c>
      <c r="F446" s="25" t="str">
        <f t="array" ref="F446">IFERROR(_xlfn.XLOOKUP('Form responses 2'!C446,'Item List'!$I$2:$I$995,'Item List'!C$2:$F$995),"")</f>
        <v/>
      </c>
    </row>
    <row r="447">
      <c r="A447" s="25"/>
      <c r="B447" s="25"/>
      <c r="C447" s="25"/>
      <c r="D447" s="25"/>
      <c r="E447" s="25" t="s">
        <v>1333</v>
      </c>
      <c r="F447" s="25" t="str">
        <f t="array" ref="F447">IFERROR(_xlfn.XLOOKUP('Form responses 2'!C447,'Item List'!$I$2:$I$995,'Item List'!C$2:$F$995),"")</f>
        <v/>
      </c>
    </row>
    <row r="448">
      <c r="A448" s="25"/>
      <c r="B448" s="25"/>
      <c r="C448" s="25"/>
      <c r="D448" s="25"/>
      <c r="E448" s="25" t="s">
        <v>1333</v>
      </c>
      <c r="F448" s="25" t="str">
        <f t="array" ref="F448">IFERROR(_xlfn.XLOOKUP('Form responses 2'!C448,'Item List'!$I$2:$I$995,'Item List'!C$2:$F$995),"")</f>
        <v/>
      </c>
    </row>
    <row r="449">
      <c r="A449" s="25"/>
      <c r="B449" s="25"/>
      <c r="C449" s="25"/>
      <c r="D449" s="25"/>
      <c r="E449" s="25" t="s">
        <v>1333</v>
      </c>
      <c r="F449" s="25" t="str">
        <f t="array" ref="F449">IFERROR(_xlfn.XLOOKUP('Form responses 2'!C449,'Item List'!$I$2:$I$995,'Item List'!C$2:$F$995),"")</f>
        <v/>
      </c>
    </row>
    <row r="450">
      <c r="A450" s="25"/>
      <c r="B450" s="25"/>
      <c r="C450" s="25"/>
      <c r="D450" s="25"/>
      <c r="E450" s="25" t="s">
        <v>1333</v>
      </c>
      <c r="F450" s="25" t="str">
        <f t="array" ref="F450">IFERROR(_xlfn.XLOOKUP('Form responses 2'!C450,'Item List'!$I$2:$I$995,'Item List'!C$2:$F$995),"")</f>
        <v/>
      </c>
    </row>
    <row r="451">
      <c r="A451" s="25"/>
      <c r="B451" s="25"/>
      <c r="C451" s="25"/>
      <c r="D451" s="25"/>
      <c r="E451" s="25" t="s">
        <v>1333</v>
      </c>
      <c r="F451" s="25" t="str">
        <f t="array" ref="F451">IFERROR(_xlfn.XLOOKUP('Form responses 2'!C451,'Item List'!$I$2:$I$995,'Item List'!C$2:$F$995),"")</f>
        <v/>
      </c>
    </row>
    <row r="452">
      <c r="A452" s="25"/>
      <c r="B452" s="25"/>
      <c r="C452" s="25"/>
      <c r="D452" s="25"/>
      <c r="E452" s="25" t="s">
        <v>1333</v>
      </c>
      <c r="F452" s="25" t="str">
        <f t="array" ref="F452">IFERROR(_xlfn.XLOOKUP('Form responses 2'!C452,'Item List'!$I$2:$I$995,'Item List'!C$2:$F$995),"")</f>
        <v/>
      </c>
    </row>
    <row r="453">
      <c r="A453" s="25"/>
      <c r="B453" s="25"/>
      <c r="C453" s="25"/>
      <c r="D453" s="25"/>
      <c r="E453" s="25" t="s">
        <v>1333</v>
      </c>
      <c r="F453" s="25" t="str">
        <f t="array" ref="F453">IFERROR(_xlfn.XLOOKUP('Form responses 2'!C453,'Item List'!$I$2:$I$995,'Item List'!C$2:$F$995),"")</f>
        <v/>
      </c>
    </row>
    <row r="454">
      <c r="A454" s="25"/>
      <c r="B454" s="25"/>
      <c r="C454" s="25"/>
      <c r="D454" s="25"/>
      <c r="E454" s="25" t="s">
        <v>1333</v>
      </c>
      <c r="F454" s="25" t="str">
        <f t="array" ref="F454">IFERROR(_xlfn.XLOOKUP('Form responses 2'!C454,'Item List'!$I$2:$I$995,'Item List'!C$2:$F$995),"")</f>
        <v/>
      </c>
    </row>
    <row r="455">
      <c r="A455" s="25"/>
      <c r="B455" s="25"/>
      <c r="C455" s="25"/>
      <c r="D455" s="25"/>
      <c r="E455" s="25" t="s">
        <v>1333</v>
      </c>
      <c r="F455" s="25" t="str">
        <f t="array" ref="F455">IFERROR(_xlfn.XLOOKUP('Form responses 2'!C455,'Item List'!$I$2:$I$995,'Item List'!C$2:$F$995),"")</f>
        <v/>
      </c>
    </row>
    <row r="456">
      <c r="A456" s="25"/>
      <c r="B456" s="25"/>
      <c r="C456" s="25"/>
      <c r="D456" s="25"/>
      <c r="E456" s="25" t="s">
        <v>1333</v>
      </c>
      <c r="F456" s="25" t="str">
        <f t="array" ref="F456">IFERROR(_xlfn.XLOOKUP('Form responses 2'!C456,'Item List'!$I$2:$I$995,'Item List'!C$2:$F$995),"")</f>
        <v/>
      </c>
    </row>
    <row r="457">
      <c r="A457" s="25"/>
      <c r="B457" s="25"/>
      <c r="C457" s="25"/>
      <c r="D457" s="25"/>
      <c r="E457" s="25" t="s">
        <v>1333</v>
      </c>
      <c r="F457" s="25" t="str">
        <f t="array" ref="F457">IFERROR(_xlfn.XLOOKUP('Form responses 2'!C457,'Item List'!$I$2:$I$995,'Item List'!C$2:$F$995),"")</f>
        <v/>
      </c>
    </row>
    <row r="458">
      <c r="A458" s="25"/>
      <c r="B458" s="25"/>
      <c r="C458" s="25"/>
      <c r="D458" s="25"/>
      <c r="E458" s="25" t="s">
        <v>1333</v>
      </c>
      <c r="F458" s="25" t="str">
        <f t="array" ref="F458">IFERROR(_xlfn.XLOOKUP('Form responses 2'!C458,'Item List'!$I$2:$I$995,'Item List'!C$2:$F$995),"")</f>
        <v/>
      </c>
    </row>
    <row r="459">
      <c r="A459" s="25"/>
      <c r="B459" s="25"/>
      <c r="C459" s="25"/>
      <c r="D459" s="25"/>
      <c r="E459" s="25" t="s">
        <v>1333</v>
      </c>
      <c r="F459" s="25" t="str">
        <f t="array" ref="F459">IFERROR(_xlfn.XLOOKUP('Form responses 2'!C459,'Item List'!$I$2:$I$995,'Item List'!C$2:$F$995),"")</f>
        <v/>
      </c>
    </row>
    <row r="460">
      <c r="A460" s="25"/>
      <c r="B460" s="25"/>
      <c r="C460" s="25"/>
      <c r="D460" s="25"/>
      <c r="E460" s="25" t="s">
        <v>1333</v>
      </c>
      <c r="F460" s="25" t="str">
        <f t="array" ref="F460">IFERROR(_xlfn.XLOOKUP('Form responses 2'!C460,'Item List'!$I$2:$I$995,'Item List'!C$2:$F$995),"")</f>
        <v/>
      </c>
    </row>
    <row r="461">
      <c r="A461" s="25"/>
      <c r="B461" s="25"/>
      <c r="C461" s="25"/>
      <c r="D461" s="25"/>
      <c r="E461" s="25" t="s">
        <v>1333</v>
      </c>
      <c r="F461" s="25" t="str">
        <f t="array" ref="F461">IFERROR(_xlfn.XLOOKUP('Form responses 2'!C461,'Item List'!$I$2:$I$995,'Item List'!C$2:$F$995),"")</f>
        <v/>
      </c>
    </row>
    <row r="462">
      <c r="A462" s="25"/>
      <c r="B462" s="25"/>
      <c r="C462" s="25"/>
      <c r="D462" s="25"/>
      <c r="E462" s="25" t="s">
        <v>1333</v>
      </c>
      <c r="F462" s="25" t="str">
        <f t="array" ref="F462">IFERROR(_xlfn.XLOOKUP('Form responses 2'!C462,'Item List'!$I$2:$I$995,'Item List'!C$2:$F$995),"")</f>
        <v/>
      </c>
    </row>
    <row r="463">
      <c r="A463" s="25"/>
      <c r="B463" s="25"/>
      <c r="C463" s="25"/>
      <c r="D463" s="25"/>
      <c r="E463" s="25" t="s">
        <v>1333</v>
      </c>
      <c r="F463" s="25" t="str">
        <f t="array" ref="F463">IFERROR(_xlfn.XLOOKUP('Form responses 2'!C463,'Item List'!$I$2:$I$995,'Item List'!C$2:$F$995),"")</f>
        <v/>
      </c>
    </row>
    <row r="464">
      <c r="A464" s="25"/>
      <c r="B464" s="25"/>
      <c r="C464" s="25"/>
      <c r="D464" s="25"/>
      <c r="E464" s="25" t="s">
        <v>1333</v>
      </c>
      <c r="F464" s="25" t="str">
        <f t="array" ref="F464">IFERROR(_xlfn.XLOOKUP('Form responses 2'!C464,'Item List'!$I$2:$I$995,'Item List'!C$2:$F$995),"")</f>
        <v/>
      </c>
    </row>
    <row r="465">
      <c r="A465" s="25"/>
      <c r="B465" s="25"/>
      <c r="C465" s="25"/>
      <c r="D465" s="25"/>
      <c r="E465" s="25" t="s">
        <v>1333</v>
      </c>
      <c r="F465" s="25" t="str">
        <f t="array" ref="F465">IFERROR(_xlfn.XLOOKUP('Form responses 2'!C465,'Item List'!$I$2:$I$995,'Item List'!C$2:$F$995),"")</f>
        <v/>
      </c>
    </row>
    <row r="466">
      <c r="A466" s="25"/>
      <c r="B466" s="25"/>
      <c r="C466" s="25"/>
      <c r="D466" s="25"/>
      <c r="E466" s="25" t="s">
        <v>1333</v>
      </c>
      <c r="F466" s="25" t="str">
        <f t="array" ref="F466">IFERROR(_xlfn.XLOOKUP('Form responses 2'!C466,'Item List'!$I$2:$I$995,'Item List'!C$2:$F$995),"")</f>
        <v/>
      </c>
    </row>
    <row r="467">
      <c r="A467" s="25"/>
      <c r="B467" s="25"/>
      <c r="C467" s="25"/>
      <c r="D467" s="25"/>
      <c r="E467" s="25" t="s">
        <v>1333</v>
      </c>
      <c r="F467" s="25" t="str">
        <f t="array" ref="F467">IFERROR(_xlfn.XLOOKUP('Form responses 2'!C467,'Item List'!$I$2:$I$995,'Item List'!C$2:$F$995),"")</f>
        <v/>
      </c>
    </row>
    <row r="468">
      <c r="A468" s="25"/>
      <c r="B468" s="25"/>
      <c r="C468" s="25"/>
      <c r="D468" s="25"/>
      <c r="E468" s="25" t="s">
        <v>1333</v>
      </c>
      <c r="F468" s="25" t="str">
        <f t="array" ref="F468">IFERROR(_xlfn.XLOOKUP('Form responses 2'!C468,'Item List'!$I$2:$I$995,'Item List'!C$2:$F$995),"")</f>
        <v/>
      </c>
    </row>
    <row r="469">
      <c r="A469" s="25"/>
      <c r="B469" s="25"/>
      <c r="C469" s="25"/>
      <c r="D469" s="25"/>
      <c r="E469" s="25" t="s">
        <v>1333</v>
      </c>
      <c r="F469" s="25" t="str">
        <f t="array" ref="F469">IFERROR(_xlfn.XLOOKUP('Form responses 2'!C469,'Item List'!$I$2:$I$995,'Item List'!C$2:$F$995),"")</f>
        <v/>
      </c>
    </row>
    <row r="470">
      <c r="A470" s="25"/>
      <c r="B470" s="25"/>
      <c r="C470" s="25"/>
      <c r="D470" s="25"/>
      <c r="E470" s="25" t="s">
        <v>1333</v>
      </c>
      <c r="F470" s="25" t="str">
        <f t="array" ref="F470">IFERROR(_xlfn.XLOOKUP('Form responses 2'!C470,'Item List'!$I$2:$I$995,'Item List'!C$2:$F$995),"")</f>
        <v/>
      </c>
    </row>
    <row r="471">
      <c r="A471" s="25"/>
      <c r="B471" s="25"/>
      <c r="C471" s="25"/>
      <c r="D471" s="25"/>
      <c r="E471" s="25" t="s">
        <v>1333</v>
      </c>
      <c r="F471" s="25" t="str">
        <f t="array" ref="F471">IFERROR(_xlfn.XLOOKUP('Form responses 2'!C471,'Item List'!$I$2:$I$995,'Item List'!C$2:$F$995),"")</f>
        <v/>
      </c>
    </row>
    <row r="472">
      <c r="A472" s="25"/>
      <c r="B472" s="25"/>
      <c r="C472" s="25"/>
      <c r="D472" s="25"/>
      <c r="E472" s="25" t="s">
        <v>1333</v>
      </c>
      <c r="F472" s="25" t="str">
        <f t="array" ref="F472">IFERROR(_xlfn.XLOOKUP('Form responses 2'!C472,'Item List'!$I$2:$I$995,'Item List'!C$2:$F$995),"")</f>
        <v/>
      </c>
    </row>
    <row r="473">
      <c r="A473" s="25"/>
      <c r="B473" s="25"/>
      <c r="C473" s="25"/>
      <c r="D473" s="25"/>
      <c r="E473" s="25" t="s">
        <v>1333</v>
      </c>
      <c r="F473" s="25" t="str">
        <f t="array" ref="F473">IFERROR(_xlfn.XLOOKUP('Form responses 2'!C473,'Item List'!$I$2:$I$995,'Item List'!C$2:$F$995),"")</f>
        <v/>
      </c>
    </row>
    <row r="474">
      <c r="A474" s="25"/>
      <c r="B474" s="25"/>
      <c r="C474" s="25"/>
      <c r="D474" s="25"/>
      <c r="E474" s="25" t="s">
        <v>1333</v>
      </c>
      <c r="F474" s="25" t="str">
        <f t="array" ref="F474">IFERROR(_xlfn.XLOOKUP('Form responses 2'!C474,'Item List'!$I$2:$I$995,'Item List'!C$2:$F$995),"")</f>
        <v/>
      </c>
    </row>
    <row r="475">
      <c r="A475" s="25"/>
      <c r="B475" s="25"/>
      <c r="C475" s="25"/>
      <c r="D475" s="25"/>
      <c r="E475" s="25" t="s">
        <v>1333</v>
      </c>
      <c r="F475" s="25" t="str">
        <f t="array" ref="F475">IFERROR(_xlfn.XLOOKUP('Form responses 2'!C475,'Item List'!$I$2:$I$995,'Item List'!C$2:$F$995),"")</f>
        <v/>
      </c>
    </row>
    <row r="476">
      <c r="A476" s="25"/>
      <c r="B476" s="25"/>
      <c r="C476" s="25"/>
      <c r="D476" s="25"/>
      <c r="E476" s="25" t="s">
        <v>1333</v>
      </c>
      <c r="F476" s="25" t="str">
        <f t="array" ref="F476">IFERROR(_xlfn.XLOOKUP('Form responses 2'!C476,'Item List'!$I$2:$I$995,'Item List'!C$2:$F$995),"")</f>
        <v/>
      </c>
    </row>
    <row r="477">
      <c r="A477" s="25"/>
      <c r="B477" s="25"/>
      <c r="C477" s="25"/>
      <c r="D477" s="25"/>
      <c r="E477" s="25" t="s">
        <v>1333</v>
      </c>
      <c r="F477" s="25" t="str">
        <f t="array" ref="F477">IFERROR(_xlfn.XLOOKUP('Form responses 2'!C477,'Item List'!$I$2:$I$995,'Item List'!C$2:$F$995),"")</f>
        <v/>
      </c>
    </row>
    <row r="478">
      <c r="A478" s="25"/>
      <c r="B478" s="25"/>
      <c r="C478" s="25"/>
      <c r="D478" s="25"/>
      <c r="E478" s="25" t="s">
        <v>1333</v>
      </c>
      <c r="F478" s="25" t="str">
        <f t="array" ref="F478">IFERROR(_xlfn.XLOOKUP('Form responses 2'!C478,'Item List'!$I$2:$I$995,'Item List'!C$2:$F$995),"")</f>
        <v/>
      </c>
    </row>
    <row r="479">
      <c r="A479" s="25"/>
      <c r="B479" s="25"/>
      <c r="C479" s="25"/>
      <c r="D479" s="25"/>
      <c r="E479" s="25" t="s">
        <v>1333</v>
      </c>
      <c r="F479" s="25" t="str">
        <f t="array" ref="F479">IFERROR(_xlfn.XLOOKUP('Form responses 2'!C479,'Item List'!$I$2:$I$995,'Item List'!C$2:$F$995),"")</f>
        <v/>
      </c>
    </row>
    <row r="480">
      <c r="A480" s="25"/>
      <c r="B480" s="25"/>
      <c r="C480" s="25"/>
      <c r="D480" s="25"/>
      <c r="E480" s="25" t="s">
        <v>1333</v>
      </c>
      <c r="F480" s="25" t="str">
        <f t="array" ref="F480">IFERROR(_xlfn.XLOOKUP('Form responses 2'!C480,'Item List'!$I$2:$I$995,'Item List'!C$2:$F$995),"")</f>
        <v/>
      </c>
    </row>
    <row r="481">
      <c r="A481" s="25"/>
      <c r="B481" s="25"/>
      <c r="C481" s="25"/>
      <c r="D481" s="25"/>
      <c r="E481" s="25" t="s">
        <v>1333</v>
      </c>
      <c r="F481" s="25" t="str">
        <f t="array" ref="F481">IFERROR(_xlfn.XLOOKUP('Form responses 2'!C481,'Item List'!$I$2:$I$995,'Item List'!C$2:$F$995),"")</f>
        <v/>
      </c>
    </row>
    <row r="482">
      <c r="A482" s="25"/>
      <c r="B482" s="25"/>
      <c r="C482" s="25"/>
      <c r="D482" s="25"/>
      <c r="E482" s="25" t="s">
        <v>1333</v>
      </c>
      <c r="F482" s="25" t="str">
        <f t="array" ref="F482">IFERROR(_xlfn.XLOOKUP('Form responses 2'!C482,'Item List'!$I$2:$I$995,'Item List'!C$2:$F$995),"")</f>
        <v/>
      </c>
    </row>
    <row r="483">
      <c r="A483" s="25"/>
      <c r="B483" s="25"/>
      <c r="C483" s="25"/>
      <c r="D483" s="25"/>
      <c r="E483" s="25" t="s">
        <v>1333</v>
      </c>
      <c r="F483" s="25" t="str">
        <f t="array" ref="F483">IFERROR(_xlfn.XLOOKUP('Form responses 2'!C483,'Item List'!$I$2:$I$995,'Item List'!C$2:$F$995),"")</f>
        <v/>
      </c>
    </row>
    <row r="484">
      <c r="A484" s="25"/>
      <c r="B484" s="25"/>
      <c r="C484" s="25"/>
      <c r="D484" s="25"/>
      <c r="E484" s="25" t="s">
        <v>1333</v>
      </c>
      <c r="F484" s="25" t="str">
        <f t="array" ref="F484">IFERROR(_xlfn.XLOOKUP('Form responses 2'!C484,'Item List'!$I$2:$I$995,'Item List'!C$2:$F$995),"")</f>
        <v/>
      </c>
    </row>
    <row r="485">
      <c r="A485" s="25"/>
      <c r="B485" s="25"/>
      <c r="C485" s="25"/>
      <c r="D485" s="25"/>
      <c r="E485" s="25" t="s">
        <v>1333</v>
      </c>
      <c r="F485" s="25" t="str">
        <f t="array" ref="F485">IFERROR(_xlfn.XLOOKUP('Form responses 2'!C485,'Item List'!$I$2:$I$995,'Item List'!C$2:$F$995),"")</f>
        <v/>
      </c>
    </row>
    <row r="486">
      <c r="A486" s="25"/>
      <c r="B486" s="25"/>
      <c r="C486" s="25"/>
      <c r="D486" s="25"/>
      <c r="E486" s="25" t="s">
        <v>1333</v>
      </c>
      <c r="F486" s="25" t="str">
        <f t="array" ref="F486">IFERROR(_xlfn.XLOOKUP('Form responses 2'!C486,'Item List'!$I$2:$I$995,'Item List'!C$2:$F$995),"")</f>
        <v/>
      </c>
    </row>
    <row r="487">
      <c r="A487" s="25"/>
      <c r="B487" s="25"/>
      <c r="C487" s="25"/>
      <c r="D487" s="25"/>
      <c r="E487" s="25" t="s">
        <v>1333</v>
      </c>
      <c r="F487" s="25" t="str">
        <f t="array" ref="F487">IFERROR(_xlfn.XLOOKUP('Form responses 2'!C487,'Item List'!$I$2:$I$995,'Item List'!C$2:$F$995),"")</f>
        <v/>
      </c>
    </row>
    <row r="488">
      <c r="A488" s="25"/>
      <c r="B488" s="25"/>
      <c r="C488" s="25"/>
      <c r="D488" s="25"/>
      <c r="E488" s="25" t="s">
        <v>1333</v>
      </c>
      <c r="F488" s="25" t="str">
        <f t="array" ref="F488">IFERROR(_xlfn.XLOOKUP('Form responses 2'!C488,'Item List'!$I$2:$I$995,'Item List'!C$2:$F$995),"")</f>
        <v/>
      </c>
    </row>
    <row r="489">
      <c r="A489" s="25"/>
      <c r="B489" s="25"/>
      <c r="C489" s="25"/>
      <c r="D489" s="25"/>
      <c r="E489" s="25" t="s">
        <v>1333</v>
      </c>
      <c r="F489" s="25" t="str">
        <f t="array" ref="F489">IFERROR(_xlfn.XLOOKUP('Form responses 2'!C489,'Item List'!$I$2:$I$995,'Item List'!C$2:$F$995),"")</f>
        <v/>
      </c>
    </row>
    <row r="490">
      <c r="A490" s="25"/>
      <c r="B490" s="25"/>
      <c r="C490" s="25"/>
      <c r="D490" s="25"/>
      <c r="E490" s="25" t="s">
        <v>1333</v>
      </c>
      <c r="F490" s="25" t="str">
        <f t="array" ref="F490">IFERROR(_xlfn.XLOOKUP('Form responses 2'!C490,'Item List'!$I$2:$I$995,'Item List'!C$2:$F$995),"")</f>
        <v/>
      </c>
    </row>
    <row r="491">
      <c r="A491" s="25"/>
      <c r="B491" s="25"/>
      <c r="C491" s="25"/>
      <c r="D491" s="25"/>
      <c r="E491" s="25" t="s">
        <v>1333</v>
      </c>
      <c r="F491" s="25" t="str">
        <f t="array" ref="F491">IFERROR(_xlfn.XLOOKUP('Form responses 2'!C491,'Item List'!$I$2:$I$995,'Item List'!C$2:$F$995),"")</f>
        <v/>
      </c>
    </row>
    <row r="492">
      <c r="A492" s="25"/>
      <c r="B492" s="25"/>
      <c r="C492" s="25"/>
      <c r="D492" s="25"/>
      <c r="E492" s="25" t="s">
        <v>1333</v>
      </c>
      <c r="F492" s="25" t="str">
        <f t="array" ref="F492">IFERROR(_xlfn.XLOOKUP('Form responses 2'!C492,'Item List'!$I$2:$I$995,'Item List'!C$2:$F$995),"")</f>
        <v/>
      </c>
    </row>
    <row r="493">
      <c r="A493" s="25"/>
      <c r="B493" s="25"/>
      <c r="C493" s="25"/>
      <c r="D493" s="25"/>
      <c r="E493" s="25" t="s">
        <v>1333</v>
      </c>
      <c r="F493" s="25" t="str">
        <f t="array" ref="F493">IFERROR(_xlfn.XLOOKUP('Form responses 2'!C493,'Item List'!$I$2:$I$995,'Item List'!C$2:$F$995),"")</f>
        <v/>
      </c>
    </row>
    <row r="494">
      <c r="A494" s="25"/>
      <c r="B494" s="25"/>
      <c r="C494" s="25"/>
      <c r="D494" s="25"/>
      <c r="E494" s="25" t="s">
        <v>1333</v>
      </c>
      <c r="F494" s="25" t="str">
        <f t="array" ref="F494">IFERROR(_xlfn.XLOOKUP('Form responses 2'!C494,'Item List'!$I$2:$I$995,'Item List'!C$2:$F$995),"")</f>
        <v/>
      </c>
    </row>
    <row r="495">
      <c r="A495" s="25"/>
      <c r="B495" s="25"/>
      <c r="C495" s="25"/>
      <c r="D495" s="25"/>
      <c r="E495" s="25" t="s">
        <v>1333</v>
      </c>
      <c r="F495" s="25" t="str">
        <f t="array" ref="F495">IFERROR(_xlfn.XLOOKUP('Form responses 2'!C495,'Item List'!$I$2:$I$995,'Item List'!C$2:$F$995),"")</f>
        <v/>
      </c>
    </row>
    <row r="496">
      <c r="A496" s="25"/>
      <c r="B496" s="25"/>
      <c r="C496" s="25"/>
      <c r="D496" s="25"/>
      <c r="E496" s="25" t="s">
        <v>1333</v>
      </c>
      <c r="F496" s="25" t="str">
        <f t="array" ref="F496">IFERROR(_xlfn.XLOOKUP('Form responses 2'!C496,'Item List'!$I$2:$I$995,'Item List'!C$2:$F$995),"")</f>
        <v/>
      </c>
    </row>
    <row r="497">
      <c r="A497" s="25"/>
      <c r="B497" s="25"/>
      <c r="C497" s="25"/>
      <c r="D497" s="25"/>
      <c r="E497" s="25" t="s">
        <v>1333</v>
      </c>
      <c r="F497" s="25" t="str">
        <f t="array" ref="F497">IFERROR(_xlfn.XLOOKUP('Form responses 2'!C497,'Item List'!$I$2:$I$995,'Item List'!C$2:$F$995),"")</f>
        <v/>
      </c>
    </row>
    <row r="498">
      <c r="A498" s="25"/>
      <c r="B498" s="25"/>
      <c r="C498" s="25"/>
      <c r="D498" s="25"/>
      <c r="E498" s="25" t="s">
        <v>1333</v>
      </c>
      <c r="F498" s="25" t="str">
        <f t="array" ref="F498">IFERROR(_xlfn.XLOOKUP('Form responses 2'!C498,'Item List'!$I$2:$I$995,'Item List'!C$2:$F$995),"")</f>
        <v/>
      </c>
    </row>
    <row r="499">
      <c r="A499" s="25"/>
      <c r="B499" s="25"/>
      <c r="C499" s="25"/>
      <c r="D499" s="25"/>
      <c r="E499" s="25" t="s">
        <v>1333</v>
      </c>
      <c r="F499" s="25" t="str">
        <f t="array" ref="F499">IFERROR(_xlfn.XLOOKUP('Form responses 2'!C499,'Item List'!$I$2:$I$995,'Item List'!C$2:$F$995),"")</f>
        <v/>
      </c>
    </row>
    <row r="500">
      <c r="A500" s="25"/>
      <c r="B500" s="25"/>
      <c r="C500" s="25"/>
      <c r="D500" s="25"/>
      <c r="E500" s="25" t="s">
        <v>1333</v>
      </c>
      <c r="F500" s="25" t="str">
        <f t="array" ref="F500">IFERROR(_xlfn.XLOOKUP('Form responses 2'!C500,'Item List'!$I$2:$I$995,'Item List'!C$2:$F$995),"")</f>
        <v/>
      </c>
    </row>
    <row r="501">
      <c r="A501" s="25"/>
      <c r="B501" s="25"/>
      <c r="C501" s="25"/>
      <c r="D501" s="25"/>
      <c r="E501" s="25" t="s">
        <v>1333</v>
      </c>
      <c r="F501" s="25" t="str">
        <f t="array" ref="F501">IFERROR(_xlfn.XLOOKUP('Form responses 2'!C501,'Item List'!$I$2:$I$995,'Item List'!C$2:$F$995),"")</f>
        <v/>
      </c>
    </row>
    <row r="502">
      <c r="A502" s="25"/>
      <c r="B502" s="25"/>
      <c r="C502" s="25"/>
      <c r="D502" s="25"/>
      <c r="E502" s="25" t="s">
        <v>1333</v>
      </c>
      <c r="F502" s="25" t="str">
        <f t="array" ref="F502">IFERROR(_xlfn.XLOOKUP('Form responses 2'!C502,'Item List'!$I$2:$I$995,'Item List'!C$2:$F$995),"")</f>
        <v/>
      </c>
    </row>
    <row r="503">
      <c r="A503" s="25"/>
      <c r="B503" s="25"/>
      <c r="C503" s="25"/>
      <c r="D503" s="25"/>
      <c r="E503" s="25" t="s">
        <v>1333</v>
      </c>
      <c r="F503" s="25" t="str">
        <f t="array" ref="F503">IFERROR(_xlfn.XLOOKUP('Form responses 2'!C503,'Item List'!$I$2:$I$995,'Item List'!C$2:$F$995),"")</f>
        <v/>
      </c>
    </row>
    <row r="504">
      <c r="A504" s="25"/>
      <c r="B504" s="25"/>
      <c r="C504" s="25"/>
      <c r="D504" s="25"/>
      <c r="E504" s="25" t="s">
        <v>1333</v>
      </c>
      <c r="F504" s="25" t="str">
        <f t="array" ref="F504">IFERROR(_xlfn.XLOOKUP('Form responses 2'!C504,'Item List'!$I$2:$I$995,'Item List'!C$2:$F$995),"")</f>
        <v/>
      </c>
    </row>
    <row r="505">
      <c r="A505" s="25"/>
      <c r="B505" s="25"/>
      <c r="C505" s="25"/>
      <c r="D505" s="25"/>
      <c r="E505" s="25" t="s">
        <v>1333</v>
      </c>
      <c r="F505" s="25" t="str">
        <f t="array" ref="F505">IFERROR(_xlfn.XLOOKUP('Form responses 2'!C505,'Item List'!$I$2:$I$995,'Item List'!C$2:$F$995),"")</f>
        <v/>
      </c>
    </row>
    <row r="506">
      <c r="A506" s="25"/>
      <c r="B506" s="25"/>
      <c r="C506" s="25"/>
      <c r="D506" s="25"/>
      <c r="E506" s="25" t="s">
        <v>1333</v>
      </c>
      <c r="F506" s="25" t="str">
        <f t="array" ref="F506">IFERROR(_xlfn.XLOOKUP('Form responses 2'!C506,'Item List'!$I$2:$I$995,'Item List'!C$2:$F$995),"")</f>
        <v/>
      </c>
    </row>
    <row r="507">
      <c r="A507" s="25"/>
      <c r="B507" s="25"/>
      <c r="C507" s="25"/>
      <c r="D507" s="25"/>
      <c r="E507" s="25" t="s">
        <v>1333</v>
      </c>
      <c r="F507" s="25" t="str">
        <f t="array" ref="F507">IFERROR(_xlfn.XLOOKUP('Form responses 2'!C507,'Item List'!$I$2:$I$995,'Item List'!C$2:$F$995),"")</f>
        <v/>
      </c>
    </row>
    <row r="508">
      <c r="A508" s="25"/>
      <c r="B508" s="25"/>
      <c r="C508" s="25"/>
      <c r="D508" s="25"/>
      <c r="E508" s="25" t="s">
        <v>1333</v>
      </c>
      <c r="F508" s="25" t="str">
        <f t="array" ref="F508">IFERROR(_xlfn.XLOOKUP('Form responses 2'!C508,'Item List'!$I$2:$I$995,'Item List'!C$2:$F$995),"")</f>
        <v/>
      </c>
    </row>
    <row r="509">
      <c r="A509" s="25"/>
      <c r="B509" s="25"/>
      <c r="C509" s="25"/>
      <c r="D509" s="25"/>
      <c r="E509" s="25" t="s">
        <v>1333</v>
      </c>
      <c r="F509" s="25" t="str">
        <f t="array" ref="F509">IFERROR(_xlfn.XLOOKUP('Form responses 2'!C509,'Item List'!$I$2:$I$995,'Item List'!C$2:$F$995),"")</f>
        <v/>
      </c>
    </row>
    <row r="510">
      <c r="A510" s="25"/>
      <c r="B510" s="25"/>
      <c r="C510" s="25"/>
      <c r="D510" s="25"/>
      <c r="E510" s="25" t="s">
        <v>1333</v>
      </c>
      <c r="F510" s="25" t="str">
        <f t="array" ref="F510">IFERROR(_xlfn.XLOOKUP('Form responses 2'!C510,'Item List'!$I$2:$I$995,'Item List'!C$2:$F$995),"")</f>
        <v/>
      </c>
    </row>
    <row r="511">
      <c r="A511" s="25"/>
      <c r="B511" s="25"/>
      <c r="C511" s="25"/>
      <c r="D511" s="25"/>
      <c r="E511" s="25" t="s">
        <v>1333</v>
      </c>
      <c r="F511" s="25" t="str">
        <f t="array" ref="F511">IFERROR(_xlfn.XLOOKUP('Form responses 2'!C511,'Item List'!$I$2:$I$995,'Item List'!C$2:$F$995),"")</f>
        <v/>
      </c>
    </row>
    <row r="512">
      <c r="A512" s="25"/>
      <c r="B512" s="25"/>
      <c r="C512" s="25"/>
      <c r="D512" s="25"/>
      <c r="E512" s="25" t="s">
        <v>1333</v>
      </c>
      <c r="F512" s="25" t="str">
        <f t="array" ref="F512">IFERROR(_xlfn.XLOOKUP('Form responses 2'!C512,'Item List'!$I$2:$I$995,'Item List'!C$2:$F$995),"")</f>
        <v/>
      </c>
    </row>
    <row r="513">
      <c r="A513" s="25"/>
      <c r="B513" s="25"/>
      <c r="C513" s="25"/>
      <c r="D513" s="25"/>
      <c r="E513" s="25" t="s">
        <v>1333</v>
      </c>
      <c r="F513" s="25" t="str">
        <f t="array" ref="F513">IFERROR(_xlfn.XLOOKUP('Form responses 2'!C513,'Item List'!$I$2:$I$995,'Item List'!C$2:$F$995),"")</f>
        <v/>
      </c>
    </row>
    <row r="514">
      <c r="A514" s="25"/>
      <c r="B514" s="25"/>
      <c r="C514" s="25"/>
      <c r="D514" s="25"/>
      <c r="E514" s="25" t="s">
        <v>1333</v>
      </c>
      <c r="F514" s="25" t="str">
        <f t="array" ref="F514">IFERROR(_xlfn.XLOOKUP('Form responses 2'!C514,'Item List'!$I$2:$I$995,'Item List'!C$2:$F$995),"")</f>
        <v/>
      </c>
    </row>
    <row r="515">
      <c r="A515" s="25"/>
      <c r="B515" s="25"/>
      <c r="C515" s="25"/>
      <c r="D515" s="25"/>
      <c r="E515" s="25" t="s">
        <v>1333</v>
      </c>
      <c r="F515" s="25" t="str">
        <f t="array" ref="F515">IFERROR(_xlfn.XLOOKUP('Form responses 2'!C515,'Item List'!$I$2:$I$995,'Item List'!C$2:$F$995),"")</f>
        <v/>
      </c>
    </row>
    <row r="516">
      <c r="A516" s="25"/>
      <c r="B516" s="25"/>
      <c r="C516" s="25"/>
      <c r="D516" s="25"/>
      <c r="E516" s="25" t="s">
        <v>1333</v>
      </c>
      <c r="F516" s="25" t="str">
        <f t="array" ref="F516">IFERROR(_xlfn.XLOOKUP('Form responses 2'!C516,'Item List'!$I$2:$I$995,'Item List'!C$2:$F$995),"")</f>
        <v/>
      </c>
    </row>
    <row r="517">
      <c r="A517" s="25"/>
      <c r="B517" s="25"/>
      <c r="C517" s="25"/>
      <c r="D517" s="25"/>
      <c r="E517" s="25" t="s">
        <v>1333</v>
      </c>
      <c r="F517" s="25" t="str">
        <f t="array" ref="F517">IFERROR(_xlfn.XLOOKUP('Form responses 2'!C517,'Item List'!$I$2:$I$995,'Item List'!C$2:$F$995),"")</f>
        <v/>
      </c>
    </row>
    <row r="518">
      <c r="A518" s="25"/>
      <c r="B518" s="25"/>
      <c r="C518" s="25"/>
      <c r="D518" s="25"/>
      <c r="E518" s="25" t="s">
        <v>1333</v>
      </c>
      <c r="F518" s="25" t="str">
        <f t="array" ref="F518">IFERROR(_xlfn.XLOOKUP('Form responses 2'!C518,'Item List'!$I$2:$I$995,'Item List'!C$2:$F$995),"")</f>
        <v/>
      </c>
    </row>
    <row r="519">
      <c r="A519" s="25"/>
      <c r="B519" s="25"/>
      <c r="C519" s="25"/>
      <c r="D519" s="25"/>
      <c r="E519" s="25" t="s">
        <v>1333</v>
      </c>
      <c r="F519" s="25" t="str">
        <f t="array" ref="F519">IFERROR(_xlfn.XLOOKUP('Form responses 2'!C519,'Item List'!$I$2:$I$995,'Item List'!C$2:$F$995),"")</f>
        <v/>
      </c>
    </row>
    <row r="520">
      <c r="A520" s="25"/>
      <c r="B520" s="25"/>
      <c r="C520" s="25"/>
      <c r="D520" s="25"/>
      <c r="E520" s="25" t="s">
        <v>1333</v>
      </c>
      <c r="F520" s="25" t="str">
        <f t="array" ref="F520">IFERROR(_xlfn.XLOOKUP('Form responses 2'!C520,'Item List'!$I$2:$I$995,'Item List'!C$2:$F$995),"")</f>
        <v/>
      </c>
    </row>
    <row r="521">
      <c r="A521" s="25"/>
      <c r="B521" s="25"/>
      <c r="C521" s="25"/>
      <c r="D521" s="25"/>
      <c r="E521" s="25" t="s">
        <v>1333</v>
      </c>
      <c r="F521" s="25" t="str">
        <f t="array" ref="F521">IFERROR(_xlfn.XLOOKUP('Form responses 2'!C521,'Item List'!$I$2:$I$995,'Item List'!C$2:$F$995),"")</f>
        <v/>
      </c>
    </row>
    <row r="522">
      <c r="A522" s="25"/>
      <c r="B522" s="25"/>
      <c r="C522" s="25"/>
      <c r="D522" s="25"/>
      <c r="E522" s="25" t="s">
        <v>1333</v>
      </c>
      <c r="F522" s="25" t="str">
        <f t="array" ref="F522">IFERROR(_xlfn.XLOOKUP('Form responses 2'!C522,'Item List'!$I$2:$I$995,'Item List'!C$2:$F$995),"")</f>
        <v/>
      </c>
    </row>
    <row r="523">
      <c r="A523" s="25"/>
      <c r="B523" s="25"/>
      <c r="C523" s="25"/>
      <c r="D523" s="25"/>
      <c r="E523" s="25" t="s">
        <v>1333</v>
      </c>
      <c r="F523" s="25" t="str">
        <f t="array" ref="F523">IFERROR(_xlfn.XLOOKUP('Form responses 2'!C523,'Item List'!$I$2:$I$995,'Item List'!C$2:$F$995),"")</f>
        <v/>
      </c>
    </row>
    <row r="524">
      <c r="A524" s="25"/>
      <c r="B524" s="25"/>
      <c r="C524" s="25"/>
      <c r="D524" s="25"/>
      <c r="E524" s="25" t="s">
        <v>1333</v>
      </c>
      <c r="F524" s="25" t="str">
        <f t="array" ref="F524">IFERROR(_xlfn.XLOOKUP('Form responses 2'!C524,'Item List'!$I$2:$I$995,'Item List'!C$2:$F$995),"")</f>
        <v/>
      </c>
    </row>
    <row r="525">
      <c r="A525" s="25"/>
      <c r="B525" s="25"/>
      <c r="C525" s="25"/>
      <c r="D525" s="25"/>
      <c r="E525" s="25" t="s">
        <v>1333</v>
      </c>
      <c r="F525" s="25" t="str">
        <f t="array" ref="F525">IFERROR(_xlfn.XLOOKUP('Form responses 2'!C525,'Item List'!$I$2:$I$995,'Item List'!C$2:$F$995),"")</f>
        <v/>
      </c>
    </row>
    <row r="526">
      <c r="A526" s="25"/>
      <c r="B526" s="25"/>
      <c r="C526" s="25"/>
      <c r="D526" s="25"/>
      <c r="E526" s="25" t="s">
        <v>1333</v>
      </c>
      <c r="F526" s="25" t="str">
        <f t="array" ref="F526">IFERROR(_xlfn.XLOOKUP('Form responses 2'!C526,'Item List'!$I$2:$I$995,'Item List'!C$2:$F$995),"")</f>
        <v/>
      </c>
    </row>
    <row r="527">
      <c r="A527" s="25"/>
      <c r="B527" s="25"/>
      <c r="C527" s="25"/>
      <c r="D527" s="25"/>
      <c r="E527" s="25" t="s">
        <v>1333</v>
      </c>
      <c r="F527" s="25" t="str">
        <f t="array" ref="F527">IFERROR(_xlfn.XLOOKUP('Form responses 2'!C527,'Item List'!$I$2:$I$995,'Item List'!C$2:$F$995),"")</f>
        <v/>
      </c>
    </row>
    <row r="528">
      <c r="A528" s="25"/>
      <c r="B528" s="25"/>
      <c r="C528" s="25"/>
      <c r="D528" s="25"/>
      <c r="E528" s="25" t="s">
        <v>1333</v>
      </c>
      <c r="F528" s="25" t="str">
        <f t="array" ref="F528">IFERROR(_xlfn.XLOOKUP('Form responses 2'!C528,'Item List'!$I$2:$I$995,'Item List'!C$2:$F$995),"")</f>
        <v/>
      </c>
    </row>
    <row r="529">
      <c r="A529" s="25"/>
      <c r="B529" s="25"/>
      <c r="C529" s="25"/>
      <c r="D529" s="25"/>
      <c r="E529" s="25" t="s">
        <v>1333</v>
      </c>
      <c r="F529" s="25" t="str">
        <f t="array" ref="F529">IFERROR(_xlfn.XLOOKUP('Form responses 2'!C529,'Item List'!$I$2:$I$995,'Item List'!C$2:$F$995),"")</f>
        <v/>
      </c>
    </row>
    <row r="530">
      <c r="A530" s="25"/>
      <c r="B530" s="25"/>
      <c r="C530" s="25"/>
      <c r="D530" s="25"/>
      <c r="E530" s="25" t="s">
        <v>1333</v>
      </c>
      <c r="F530" s="25" t="str">
        <f t="array" ref="F530">IFERROR(_xlfn.XLOOKUP('Form responses 2'!C530,'Item List'!$I$2:$I$995,'Item List'!C$2:$F$995),"")</f>
        <v/>
      </c>
    </row>
    <row r="531">
      <c r="A531" s="25"/>
      <c r="B531" s="25"/>
      <c r="C531" s="25"/>
      <c r="D531" s="25"/>
      <c r="E531" s="25" t="s">
        <v>1333</v>
      </c>
      <c r="F531" s="25" t="str">
        <f t="array" ref="F531">IFERROR(_xlfn.XLOOKUP('Form responses 2'!C531,'Item List'!$I$2:$I$995,'Item List'!C$2:$F$995),"")</f>
        <v/>
      </c>
    </row>
    <row r="532">
      <c r="A532" s="25"/>
      <c r="B532" s="25"/>
      <c r="C532" s="25"/>
      <c r="D532" s="25"/>
      <c r="E532" s="25" t="s">
        <v>1333</v>
      </c>
      <c r="F532" s="25" t="str">
        <f t="array" ref="F532">IFERROR(_xlfn.XLOOKUP('Form responses 2'!C532,'Item List'!$I$2:$I$995,'Item List'!C$2:$F$995),"")</f>
        <v/>
      </c>
    </row>
    <row r="533">
      <c r="A533" s="25"/>
      <c r="B533" s="25"/>
      <c r="C533" s="25"/>
      <c r="D533" s="25"/>
      <c r="E533" s="25" t="s">
        <v>1333</v>
      </c>
      <c r="F533" s="25" t="str">
        <f t="array" ref="F533">IFERROR(_xlfn.XLOOKUP('Form responses 2'!C533,'Item List'!$I$2:$I$995,'Item List'!C$2:$F$995),"")</f>
        <v/>
      </c>
    </row>
    <row r="534">
      <c r="A534" s="25"/>
      <c r="B534" s="25"/>
      <c r="C534" s="25"/>
      <c r="D534" s="25"/>
      <c r="E534" s="25" t="s">
        <v>1333</v>
      </c>
      <c r="F534" s="25" t="str">
        <f t="array" ref="F534">IFERROR(_xlfn.XLOOKUP('Form responses 2'!C534,'Item List'!$I$2:$I$995,'Item List'!C$2:$F$995),"")</f>
        <v/>
      </c>
    </row>
    <row r="535">
      <c r="A535" s="25"/>
      <c r="B535" s="25"/>
      <c r="C535" s="25"/>
      <c r="D535" s="25"/>
      <c r="E535" s="25" t="s">
        <v>1333</v>
      </c>
      <c r="F535" s="25" t="str">
        <f t="array" ref="F535">IFERROR(_xlfn.XLOOKUP('Form responses 2'!C535,'Item List'!$I$2:$I$995,'Item List'!C$2:$F$995),"")</f>
        <v/>
      </c>
    </row>
    <row r="536">
      <c r="A536" s="25"/>
      <c r="B536" s="25"/>
      <c r="C536" s="25"/>
      <c r="D536" s="25"/>
      <c r="E536" s="25" t="s">
        <v>1333</v>
      </c>
      <c r="F536" s="25" t="str">
        <f t="array" ref="F536">IFERROR(_xlfn.XLOOKUP('Form responses 2'!C536,'Item List'!$I$2:$I$995,'Item List'!C$2:$F$995),"")</f>
        <v/>
      </c>
    </row>
    <row r="537">
      <c r="A537" s="25"/>
      <c r="B537" s="25"/>
      <c r="C537" s="25"/>
      <c r="D537" s="25"/>
      <c r="E537" s="25" t="s">
        <v>1333</v>
      </c>
      <c r="F537" s="25" t="str">
        <f t="array" ref="F537">IFERROR(_xlfn.XLOOKUP('Form responses 2'!C537,'Item List'!$I$2:$I$995,'Item List'!C$2:$F$995),"")</f>
        <v/>
      </c>
    </row>
    <row r="538">
      <c r="A538" s="25"/>
      <c r="B538" s="25"/>
      <c r="C538" s="25"/>
      <c r="D538" s="25"/>
      <c r="E538" s="25" t="s">
        <v>1333</v>
      </c>
      <c r="F538" s="25" t="str">
        <f t="array" ref="F538">IFERROR(_xlfn.XLOOKUP('Form responses 2'!C538,'Item List'!$I$2:$I$995,'Item List'!C$2:$F$995),"")</f>
        <v/>
      </c>
    </row>
    <row r="539">
      <c r="A539" s="25"/>
      <c r="B539" s="25"/>
      <c r="C539" s="25"/>
      <c r="D539" s="25"/>
      <c r="E539" s="25" t="s">
        <v>1333</v>
      </c>
      <c r="F539" s="25" t="str">
        <f t="array" ref="F539">IFERROR(_xlfn.XLOOKUP('Form responses 2'!C539,'Item List'!$I$2:$I$995,'Item List'!C$2:$F$995),"")</f>
        <v/>
      </c>
    </row>
    <row r="540">
      <c r="A540" s="25"/>
      <c r="B540" s="25"/>
      <c r="C540" s="25"/>
      <c r="D540" s="25"/>
      <c r="E540" s="25" t="s">
        <v>1333</v>
      </c>
      <c r="F540" s="25" t="str">
        <f t="array" ref="F540">IFERROR(_xlfn.XLOOKUP('Form responses 2'!C540,'Item List'!$I$2:$I$995,'Item List'!C$2:$F$995),"")</f>
        <v/>
      </c>
    </row>
    <row r="541">
      <c r="A541" s="25"/>
      <c r="B541" s="25"/>
      <c r="C541" s="25"/>
      <c r="D541" s="25"/>
      <c r="E541" s="25" t="s">
        <v>1333</v>
      </c>
      <c r="F541" s="25" t="str">
        <f t="array" ref="F541">IFERROR(_xlfn.XLOOKUP('Form responses 2'!C541,'Item List'!$I$2:$I$995,'Item List'!C$2:$F$995),"")</f>
        <v/>
      </c>
    </row>
    <row r="542">
      <c r="A542" s="25"/>
      <c r="B542" s="25"/>
      <c r="C542" s="25"/>
      <c r="D542" s="25"/>
      <c r="E542" s="25" t="s">
        <v>1333</v>
      </c>
      <c r="F542" s="25" t="str">
        <f t="array" ref="F542">IFERROR(_xlfn.XLOOKUP('Form responses 2'!C542,'Item List'!$I$2:$I$995,'Item List'!C$2:$F$995),"")</f>
        <v/>
      </c>
    </row>
    <row r="543">
      <c r="A543" s="25"/>
      <c r="B543" s="25"/>
      <c r="C543" s="25"/>
      <c r="D543" s="25"/>
      <c r="E543" s="25" t="s">
        <v>1333</v>
      </c>
      <c r="F543" s="25" t="str">
        <f t="array" ref="F543">IFERROR(_xlfn.XLOOKUP('Form responses 2'!C543,'Item List'!$I$2:$I$995,'Item List'!C$2:$F$995),"")</f>
        <v/>
      </c>
    </row>
    <row r="544">
      <c r="A544" s="25"/>
      <c r="B544" s="25"/>
      <c r="C544" s="25"/>
      <c r="D544" s="25"/>
      <c r="E544" s="25" t="s">
        <v>1333</v>
      </c>
      <c r="F544" s="25" t="str">
        <f t="array" ref="F544">IFERROR(_xlfn.XLOOKUP('Form responses 2'!C544,'Item List'!$I$2:$I$995,'Item List'!C$2:$F$995),"")</f>
        <v/>
      </c>
    </row>
    <row r="545">
      <c r="A545" s="25"/>
      <c r="B545" s="25"/>
      <c r="C545" s="25"/>
      <c r="D545" s="25"/>
      <c r="E545" s="25" t="s">
        <v>1333</v>
      </c>
      <c r="F545" s="25" t="str">
        <f t="array" ref="F545">IFERROR(_xlfn.XLOOKUP('Form responses 2'!C545,'Item List'!$I$2:$I$995,'Item List'!C$2:$F$995),"")</f>
        <v/>
      </c>
    </row>
    <row r="546">
      <c r="A546" s="25"/>
      <c r="B546" s="25"/>
      <c r="C546" s="25"/>
      <c r="D546" s="25"/>
      <c r="E546" s="25" t="s">
        <v>1333</v>
      </c>
      <c r="F546" s="25" t="str">
        <f t="array" ref="F546">IFERROR(_xlfn.XLOOKUP('Form responses 2'!C546,'Item List'!$I$2:$I$995,'Item List'!C$2:$F$995),"")</f>
        <v/>
      </c>
    </row>
    <row r="547">
      <c r="A547" s="25"/>
      <c r="B547" s="25"/>
      <c r="C547" s="25"/>
      <c r="D547" s="25"/>
      <c r="E547" s="25" t="s">
        <v>1333</v>
      </c>
      <c r="F547" s="25" t="str">
        <f t="array" ref="F547">IFERROR(_xlfn.XLOOKUP('Form responses 2'!C547,'Item List'!$I$2:$I$995,'Item List'!C$2:$F$995),"")</f>
        <v/>
      </c>
    </row>
    <row r="548">
      <c r="A548" s="25"/>
      <c r="B548" s="25"/>
      <c r="C548" s="25"/>
      <c r="D548" s="25"/>
      <c r="E548" s="25" t="s">
        <v>1333</v>
      </c>
      <c r="F548" s="25" t="str">
        <f t="array" ref="F548">IFERROR(_xlfn.XLOOKUP('Form responses 2'!C548,'Item List'!$I$2:$I$995,'Item List'!C$2:$F$995),"")</f>
        <v/>
      </c>
    </row>
    <row r="549">
      <c r="A549" s="25"/>
      <c r="B549" s="25"/>
      <c r="C549" s="25"/>
      <c r="D549" s="25"/>
      <c r="E549" s="25" t="s">
        <v>1333</v>
      </c>
      <c r="F549" s="25" t="str">
        <f t="array" ref="F549">IFERROR(_xlfn.XLOOKUP('Form responses 2'!C549,'Item List'!$I$2:$I$995,'Item List'!C$2:$F$995),"")</f>
        <v/>
      </c>
    </row>
    <row r="550">
      <c r="A550" s="25"/>
      <c r="B550" s="25"/>
      <c r="C550" s="25"/>
      <c r="D550" s="25"/>
      <c r="E550" s="25" t="s">
        <v>1333</v>
      </c>
      <c r="F550" s="25" t="str">
        <f t="array" ref="F550">IFERROR(_xlfn.XLOOKUP('Form responses 2'!C550,'Item List'!$I$2:$I$995,'Item List'!C$2:$F$995),"")</f>
        <v/>
      </c>
    </row>
    <row r="551">
      <c r="A551" s="25"/>
      <c r="B551" s="25"/>
      <c r="C551" s="25"/>
      <c r="D551" s="25"/>
      <c r="E551" s="25" t="s">
        <v>1333</v>
      </c>
      <c r="F551" s="25" t="str">
        <f t="array" ref="F551">IFERROR(_xlfn.XLOOKUP('Form responses 2'!C551,'Item List'!$I$2:$I$995,'Item List'!C$2:$F$995),"")</f>
        <v/>
      </c>
    </row>
    <row r="552">
      <c r="A552" s="25"/>
      <c r="B552" s="25"/>
      <c r="C552" s="25"/>
      <c r="D552" s="25"/>
      <c r="E552" s="25" t="s">
        <v>1333</v>
      </c>
      <c r="F552" s="25" t="str">
        <f t="array" ref="F552">IFERROR(_xlfn.XLOOKUP('Form responses 2'!C552,'Item List'!$I$2:$I$995,'Item List'!C$2:$F$995),"")</f>
        <v/>
      </c>
    </row>
    <row r="553">
      <c r="A553" s="25"/>
      <c r="B553" s="25"/>
      <c r="C553" s="25"/>
      <c r="D553" s="25"/>
      <c r="E553" s="25" t="s">
        <v>1333</v>
      </c>
      <c r="F553" s="25" t="str">
        <f t="array" ref="F553">IFERROR(_xlfn.XLOOKUP('Form responses 2'!C553,'Item List'!$I$2:$I$995,'Item List'!C$2:$F$995),"")</f>
        <v/>
      </c>
    </row>
    <row r="554">
      <c r="A554" s="25"/>
      <c r="B554" s="25"/>
      <c r="C554" s="25"/>
      <c r="D554" s="25"/>
      <c r="E554" s="25" t="s">
        <v>1333</v>
      </c>
      <c r="F554" s="25" t="str">
        <f t="array" ref="F554">IFERROR(_xlfn.XLOOKUP('Form responses 2'!C554,'Item List'!$I$2:$I$995,'Item List'!C$2:$F$995),"")</f>
        <v/>
      </c>
    </row>
    <row r="555">
      <c r="A555" s="25"/>
      <c r="B555" s="25"/>
      <c r="C555" s="25"/>
      <c r="D555" s="25"/>
      <c r="E555" s="25" t="s">
        <v>1333</v>
      </c>
      <c r="F555" s="25" t="str">
        <f t="array" ref="F555">IFERROR(_xlfn.XLOOKUP('Form responses 2'!C555,'Item List'!$I$2:$I$995,'Item List'!C$2:$F$995),"")</f>
        <v/>
      </c>
    </row>
    <row r="556">
      <c r="A556" s="25"/>
      <c r="B556" s="25"/>
      <c r="C556" s="25"/>
      <c r="D556" s="25"/>
      <c r="E556" s="25" t="s">
        <v>1333</v>
      </c>
      <c r="F556" s="25" t="str">
        <f t="array" ref="F556">IFERROR(_xlfn.XLOOKUP('Form responses 2'!C556,'Item List'!$I$2:$I$995,'Item List'!C$2:$F$995),"")</f>
        <v/>
      </c>
    </row>
    <row r="557">
      <c r="A557" s="25"/>
      <c r="B557" s="25"/>
      <c r="C557" s="25"/>
      <c r="D557" s="25"/>
      <c r="E557" s="25" t="s">
        <v>1333</v>
      </c>
      <c r="F557" s="25" t="str">
        <f t="array" ref="F557">IFERROR(_xlfn.XLOOKUP('Form responses 2'!C557,'Item List'!$I$2:$I$995,'Item List'!C$2:$F$995),"")</f>
        <v/>
      </c>
    </row>
    <row r="558">
      <c r="A558" s="25"/>
      <c r="B558" s="25"/>
      <c r="C558" s="25"/>
      <c r="D558" s="25"/>
      <c r="E558" s="25" t="s">
        <v>1333</v>
      </c>
      <c r="F558" s="25" t="str">
        <f t="array" ref="F558">IFERROR(_xlfn.XLOOKUP('Form responses 2'!C558,'Item List'!$I$2:$I$995,'Item List'!C$2:$F$995),"")</f>
        <v/>
      </c>
    </row>
    <row r="559">
      <c r="A559" s="25"/>
      <c r="B559" s="25"/>
      <c r="C559" s="25"/>
      <c r="D559" s="25"/>
      <c r="E559" s="25" t="s">
        <v>1333</v>
      </c>
      <c r="F559" s="25" t="str">
        <f t="array" ref="F559">IFERROR(_xlfn.XLOOKUP('Form responses 2'!C559,'Item List'!$I$2:$I$995,'Item List'!C$2:$F$995),"")</f>
        <v/>
      </c>
    </row>
    <row r="560">
      <c r="A560" s="25"/>
      <c r="B560" s="25"/>
      <c r="C560" s="25"/>
      <c r="D560" s="25"/>
      <c r="E560" s="25" t="s">
        <v>1333</v>
      </c>
      <c r="F560" s="25" t="str">
        <f t="array" ref="F560">IFERROR(_xlfn.XLOOKUP('Form responses 2'!C560,'Item List'!$I$2:$I$995,'Item List'!C$2:$F$995),"")</f>
        <v/>
      </c>
    </row>
    <row r="561">
      <c r="A561" s="25"/>
      <c r="B561" s="25"/>
      <c r="C561" s="25"/>
      <c r="D561" s="25"/>
      <c r="E561" s="25" t="s">
        <v>1333</v>
      </c>
      <c r="F561" s="25" t="str">
        <f t="array" ref="F561">IFERROR(_xlfn.XLOOKUP('Form responses 2'!C561,'Item List'!$I$2:$I$995,'Item List'!C$2:$F$995),"")</f>
        <v/>
      </c>
    </row>
    <row r="562">
      <c r="A562" s="25"/>
      <c r="B562" s="25"/>
      <c r="C562" s="25"/>
      <c r="D562" s="25"/>
      <c r="E562" s="25" t="s">
        <v>1333</v>
      </c>
      <c r="F562" s="25" t="str">
        <f t="array" ref="F562">IFERROR(_xlfn.XLOOKUP('Form responses 2'!C562,'Item List'!$I$2:$I$995,'Item List'!C$2:$F$995),"")</f>
        <v/>
      </c>
    </row>
    <row r="563">
      <c r="A563" s="25"/>
      <c r="B563" s="25"/>
      <c r="C563" s="25"/>
      <c r="D563" s="25"/>
      <c r="E563" s="25" t="s">
        <v>1333</v>
      </c>
      <c r="F563" s="25" t="str">
        <f t="array" ref="F563">IFERROR(_xlfn.XLOOKUP('Form responses 2'!C563,'Item List'!$I$2:$I$995,'Item List'!C$2:$F$995),"")</f>
        <v/>
      </c>
    </row>
    <row r="564">
      <c r="A564" s="25"/>
      <c r="B564" s="25"/>
      <c r="C564" s="25"/>
      <c r="D564" s="25"/>
      <c r="E564" s="25" t="s">
        <v>1333</v>
      </c>
      <c r="F564" s="25" t="str">
        <f t="array" ref="F564">IFERROR(_xlfn.XLOOKUP('Form responses 2'!C564,'Item List'!$I$2:$I$995,'Item List'!C$2:$F$995),"")</f>
        <v/>
      </c>
    </row>
    <row r="565">
      <c r="A565" s="25"/>
      <c r="B565" s="25"/>
      <c r="C565" s="25"/>
      <c r="D565" s="25"/>
      <c r="E565" s="25" t="s">
        <v>1333</v>
      </c>
      <c r="F565" s="25" t="str">
        <f t="array" ref="F565">IFERROR(_xlfn.XLOOKUP('Form responses 2'!C565,'Item List'!$I$2:$I$995,'Item List'!C$2:$F$995),"")</f>
        <v/>
      </c>
    </row>
    <row r="566">
      <c r="A566" s="25"/>
      <c r="B566" s="25"/>
      <c r="C566" s="25"/>
      <c r="D566" s="25"/>
      <c r="E566" s="25" t="s">
        <v>1333</v>
      </c>
      <c r="F566" s="25" t="str">
        <f t="array" ref="F566">IFERROR(_xlfn.XLOOKUP('Form responses 2'!C566,'Item List'!$I$2:$I$995,'Item List'!C$2:$F$995),"")</f>
        <v/>
      </c>
    </row>
    <row r="567">
      <c r="A567" s="25"/>
      <c r="B567" s="25"/>
      <c r="C567" s="25"/>
      <c r="D567" s="25"/>
      <c r="E567" s="25" t="s">
        <v>1333</v>
      </c>
      <c r="F567" s="25" t="str">
        <f t="array" ref="F567">IFERROR(_xlfn.XLOOKUP('Form responses 2'!C567,'Item List'!$I$2:$I$995,'Item List'!C$2:$F$995),"")</f>
        <v/>
      </c>
    </row>
    <row r="568">
      <c r="A568" s="25"/>
      <c r="B568" s="25"/>
      <c r="C568" s="25"/>
      <c r="D568" s="25"/>
      <c r="E568" s="25" t="s">
        <v>1333</v>
      </c>
      <c r="F568" s="25" t="str">
        <f t="array" ref="F568">IFERROR(_xlfn.XLOOKUP('Form responses 2'!C568,'Item List'!$I$2:$I$995,'Item List'!C$2:$F$995),"")</f>
        <v/>
      </c>
    </row>
    <row r="569">
      <c r="A569" s="25"/>
      <c r="B569" s="25"/>
      <c r="C569" s="25"/>
      <c r="D569" s="25"/>
      <c r="E569" s="25" t="s">
        <v>1333</v>
      </c>
      <c r="F569" s="25" t="str">
        <f t="array" ref="F569">IFERROR(_xlfn.XLOOKUP('Form responses 2'!C569,'Item List'!$I$2:$I$995,'Item List'!C$2:$F$995),"")</f>
        <v/>
      </c>
    </row>
    <row r="570">
      <c r="A570" s="25"/>
      <c r="B570" s="25"/>
      <c r="C570" s="25"/>
      <c r="D570" s="25"/>
      <c r="E570" s="25" t="s">
        <v>1333</v>
      </c>
      <c r="F570" s="25" t="str">
        <f t="array" ref="F570">IFERROR(_xlfn.XLOOKUP('Form responses 2'!C570,'Item List'!$I$2:$I$995,'Item List'!C$2:$F$995),"")</f>
        <v/>
      </c>
    </row>
    <row r="571">
      <c r="A571" s="25"/>
      <c r="B571" s="25"/>
      <c r="C571" s="25"/>
      <c r="D571" s="25"/>
      <c r="E571" s="25" t="s">
        <v>1333</v>
      </c>
      <c r="F571" s="25" t="str">
        <f t="array" ref="F571">IFERROR(_xlfn.XLOOKUP('Form responses 2'!C571,'Item List'!$I$2:$I$995,'Item List'!C$2:$F$995),"")</f>
        <v/>
      </c>
    </row>
    <row r="572">
      <c r="A572" s="25"/>
      <c r="B572" s="25"/>
      <c r="C572" s="25"/>
      <c r="D572" s="25"/>
      <c r="E572" s="25" t="s">
        <v>1333</v>
      </c>
      <c r="F572" s="25" t="str">
        <f t="array" ref="F572">IFERROR(_xlfn.XLOOKUP('Form responses 2'!C572,'Item List'!$I$2:$I$995,'Item List'!C$2:$F$995),"")</f>
        <v/>
      </c>
    </row>
    <row r="573">
      <c r="A573" s="25"/>
      <c r="B573" s="25"/>
      <c r="C573" s="25"/>
      <c r="D573" s="25"/>
      <c r="E573" s="25" t="s">
        <v>1333</v>
      </c>
      <c r="F573" s="25" t="str">
        <f t="array" ref="F573">IFERROR(_xlfn.XLOOKUP('Form responses 2'!C573,'Item List'!$I$2:$I$995,'Item List'!C$2:$F$995),"")</f>
        <v/>
      </c>
    </row>
    <row r="574">
      <c r="A574" s="25"/>
      <c r="B574" s="25"/>
      <c r="C574" s="25"/>
      <c r="D574" s="25"/>
      <c r="E574" s="25" t="s">
        <v>1333</v>
      </c>
      <c r="F574" s="25" t="str">
        <f t="array" ref="F574">IFERROR(_xlfn.XLOOKUP('Form responses 2'!C574,'Item List'!$I$2:$I$995,'Item List'!C$2:$F$995),"")</f>
        <v/>
      </c>
    </row>
    <row r="575">
      <c r="A575" s="25"/>
      <c r="B575" s="25"/>
      <c r="C575" s="25"/>
      <c r="D575" s="25"/>
      <c r="E575" s="25" t="s">
        <v>1333</v>
      </c>
      <c r="F575" s="25" t="str">
        <f t="array" ref="F575">IFERROR(_xlfn.XLOOKUP('Form responses 2'!C575,'Item List'!$I$2:$I$995,'Item List'!C$2:$F$995),"")</f>
        <v/>
      </c>
    </row>
    <row r="576">
      <c r="A576" s="25"/>
      <c r="B576" s="25"/>
      <c r="C576" s="25"/>
      <c r="D576" s="25"/>
      <c r="E576" s="25" t="s">
        <v>1333</v>
      </c>
      <c r="F576" s="25" t="str">
        <f t="array" ref="F576">IFERROR(_xlfn.XLOOKUP('Form responses 2'!C576,'Item List'!$I$2:$I$995,'Item List'!C$2:$F$995),"")</f>
        <v/>
      </c>
    </row>
    <row r="577">
      <c r="A577" s="25"/>
      <c r="B577" s="25"/>
      <c r="C577" s="25"/>
      <c r="D577" s="25"/>
      <c r="E577" s="25" t="s">
        <v>1333</v>
      </c>
      <c r="F577" s="25" t="str">
        <f t="array" ref="F577">IFERROR(_xlfn.XLOOKUP('Form responses 2'!C577,'Item List'!$I$2:$I$995,'Item List'!C$2:$F$995),"")</f>
        <v/>
      </c>
    </row>
    <row r="578">
      <c r="A578" s="25"/>
      <c r="B578" s="25"/>
      <c r="C578" s="25"/>
      <c r="D578" s="25"/>
      <c r="E578" s="25" t="s">
        <v>1333</v>
      </c>
      <c r="F578" s="25" t="str">
        <f t="array" ref="F578">IFERROR(_xlfn.XLOOKUP('Form responses 2'!C578,'Item List'!$I$2:$I$995,'Item List'!C$2:$F$995),"")</f>
        <v/>
      </c>
    </row>
    <row r="579">
      <c r="A579" s="25"/>
      <c r="B579" s="25"/>
      <c r="C579" s="25"/>
      <c r="D579" s="25"/>
      <c r="E579" s="25" t="s">
        <v>1333</v>
      </c>
      <c r="F579" s="25" t="str">
        <f t="array" ref="F579">IFERROR(_xlfn.XLOOKUP('Form responses 2'!C579,'Item List'!$I$2:$I$995,'Item List'!C$2:$F$995),"")</f>
        <v/>
      </c>
    </row>
    <row r="580">
      <c r="A580" s="25"/>
      <c r="B580" s="25"/>
      <c r="C580" s="25"/>
      <c r="D580" s="25"/>
      <c r="E580" s="25" t="s">
        <v>1333</v>
      </c>
      <c r="F580" s="25" t="str">
        <f t="array" ref="F580">IFERROR(_xlfn.XLOOKUP('Form responses 2'!C580,'Item List'!$I$2:$I$995,'Item List'!C$2:$F$995),"")</f>
        <v/>
      </c>
    </row>
    <row r="581">
      <c r="A581" s="25"/>
      <c r="B581" s="25"/>
      <c r="C581" s="25"/>
      <c r="D581" s="25"/>
      <c r="E581" s="25" t="s">
        <v>1333</v>
      </c>
      <c r="F581" s="25" t="str">
        <f t="array" ref="F581">IFERROR(_xlfn.XLOOKUP('Form responses 2'!C581,'Item List'!$I$2:$I$995,'Item List'!C$2:$F$995),"")</f>
        <v/>
      </c>
    </row>
    <row r="582">
      <c r="A582" s="25"/>
      <c r="B582" s="25"/>
      <c r="C582" s="25"/>
      <c r="D582" s="25"/>
      <c r="E582" s="25" t="s">
        <v>1333</v>
      </c>
      <c r="F582" s="25" t="str">
        <f t="array" ref="F582">IFERROR(_xlfn.XLOOKUP('Form responses 2'!C582,'Item List'!$I$2:$I$995,'Item List'!C$2:$F$995),"")</f>
        <v/>
      </c>
    </row>
    <row r="583">
      <c r="A583" s="25"/>
      <c r="B583" s="25"/>
      <c r="C583" s="25"/>
      <c r="D583" s="25"/>
      <c r="E583" s="25" t="s">
        <v>1333</v>
      </c>
      <c r="F583" s="25" t="str">
        <f t="array" ref="F583">IFERROR(_xlfn.XLOOKUP('Form responses 2'!C583,'Item List'!$I$2:$I$995,'Item List'!C$2:$F$995),"")</f>
        <v/>
      </c>
    </row>
    <row r="584">
      <c r="A584" s="25"/>
      <c r="B584" s="25"/>
      <c r="C584" s="25"/>
      <c r="D584" s="25"/>
      <c r="E584" s="25" t="s">
        <v>1333</v>
      </c>
      <c r="F584" s="25" t="str">
        <f t="array" ref="F584">IFERROR(_xlfn.XLOOKUP('Form responses 2'!C584,'Item List'!$I$2:$I$995,'Item List'!C$2:$F$995),"")</f>
        <v/>
      </c>
    </row>
    <row r="585">
      <c r="A585" s="25"/>
      <c r="B585" s="25"/>
      <c r="C585" s="25"/>
      <c r="D585" s="25"/>
      <c r="E585" s="25" t="s">
        <v>1333</v>
      </c>
      <c r="F585" s="25" t="str">
        <f t="array" ref="F585">IFERROR(_xlfn.XLOOKUP('Form responses 2'!C585,'Item List'!$I$2:$I$995,'Item List'!C$2:$F$995),"")</f>
        <v/>
      </c>
    </row>
    <row r="586">
      <c r="A586" s="25"/>
      <c r="B586" s="25"/>
      <c r="C586" s="25"/>
      <c r="D586" s="25"/>
      <c r="E586" s="25" t="s">
        <v>1333</v>
      </c>
      <c r="F586" s="25" t="str">
        <f t="array" ref="F586">IFERROR(_xlfn.XLOOKUP('Form responses 2'!C586,'Item List'!$I$2:$I$995,'Item List'!C$2:$F$995),"")</f>
        <v/>
      </c>
    </row>
    <row r="587">
      <c r="A587" s="25"/>
      <c r="B587" s="25"/>
      <c r="C587" s="25"/>
      <c r="D587" s="25"/>
      <c r="E587" s="25" t="s">
        <v>1333</v>
      </c>
      <c r="F587" s="25" t="str">
        <f t="array" ref="F587">IFERROR(_xlfn.XLOOKUP('Form responses 2'!C587,'Item List'!$I$2:$I$995,'Item List'!C$2:$F$995),"")</f>
        <v/>
      </c>
    </row>
    <row r="588">
      <c r="A588" s="25"/>
      <c r="B588" s="25"/>
      <c r="C588" s="25"/>
      <c r="D588" s="25"/>
      <c r="E588" s="25" t="s">
        <v>1333</v>
      </c>
      <c r="F588" s="25" t="str">
        <f t="array" ref="F588">IFERROR(_xlfn.XLOOKUP('Form responses 2'!C588,'Item List'!$I$2:$I$995,'Item List'!C$2:$F$995),"")</f>
        <v/>
      </c>
    </row>
    <row r="589">
      <c r="A589" s="25"/>
      <c r="B589" s="25"/>
      <c r="C589" s="25"/>
      <c r="D589" s="25"/>
      <c r="E589" s="25" t="s">
        <v>1333</v>
      </c>
      <c r="F589" s="25" t="str">
        <f t="array" ref="F589">IFERROR(_xlfn.XLOOKUP('Form responses 2'!C589,'Item List'!$I$2:$I$995,'Item List'!C$2:$F$995),"")</f>
        <v/>
      </c>
    </row>
    <row r="590">
      <c r="A590" s="25"/>
      <c r="B590" s="25"/>
      <c r="C590" s="25"/>
      <c r="D590" s="25"/>
      <c r="E590" s="25" t="s">
        <v>1333</v>
      </c>
      <c r="F590" s="25" t="str">
        <f t="array" ref="F590">IFERROR(_xlfn.XLOOKUP('Form responses 2'!C590,'Item List'!$I$2:$I$995,'Item List'!C$2:$F$995),"")</f>
        <v/>
      </c>
    </row>
    <row r="591">
      <c r="A591" s="25"/>
      <c r="B591" s="25"/>
      <c r="C591" s="25"/>
      <c r="D591" s="25"/>
      <c r="E591" s="25" t="s">
        <v>1333</v>
      </c>
      <c r="F591" s="25" t="str">
        <f t="array" ref="F591">IFERROR(_xlfn.XLOOKUP('Form responses 2'!C591,'Item List'!$I$2:$I$995,'Item List'!C$2:$F$995),"")</f>
        <v/>
      </c>
    </row>
    <row r="592">
      <c r="A592" s="25"/>
      <c r="B592" s="25"/>
      <c r="C592" s="25"/>
      <c r="D592" s="25"/>
      <c r="E592" s="25" t="s">
        <v>1333</v>
      </c>
      <c r="F592" s="25" t="str">
        <f t="array" ref="F592">IFERROR(_xlfn.XLOOKUP('Form responses 2'!C592,'Item List'!$I$2:$I$995,'Item List'!C$2:$F$995),"")</f>
        <v/>
      </c>
    </row>
    <row r="593">
      <c r="A593" s="25"/>
      <c r="B593" s="25"/>
      <c r="C593" s="25"/>
      <c r="D593" s="25"/>
      <c r="E593" s="25" t="s">
        <v>1333</v>
      </c>
      <c r="F593" s="25" t="str">
        <f t="array" ref="F593">IFERROR(_xlfn.XLOOKUP('Form responses 2'!C593,'Item List'!$I$2:$I$995,'Item List'!C$2:$F$995),"")</f>
        <v/>
      </c>
    </row>
    <row r="594">
      <c r="A594" s="25"/>
      <c r="B594" s="25"/>
      <c r="C594" s="25"/>
      <c r="D594" s="25"/>
      <c r="E594" s="25" t="s">
        <v>1333</v>
      </c>
      <c r="F594" s="25" t="str">
        <f t="array" ref="F594">IFERROR(_xlfn.XLOOKUP('Form responses 2'!C594,'Item List'!$I$2:$I$995,'Item List'!C$2:$F$995),"")</f>
        <v/>
      </c>
    </row>
    <row r="595">
      <c r="A595" s="25"/>
      <c r="B595" s="25"/>
      <c r="C595" s="25"/>
      <c r="D595" s="25"/>
      <c r="E595" s="25" t="s">
        <v>1333</v>
      </c>
      <c r="F595" s="25" t="str">
        <f t="array" ref="F595">IFERROR(_xlfn.XLOOKUP('Form responses 2'!C595,'Item List'!$I$2:$I$995,'Item List'!C$2:$F$995),"")</f>
        <v/>
      </c>
    </row>
    <row r="596">
      <c r="A596" s="25"/>
      <c r="B596" s="25"/>
      <c r="C596" s="25"/>
      <c r="D596" s="25"/>
      <c r="E596" s="25" t="s">
        <v>1333</v>
      </c>
      <c r="F596" s="25" t="str">
        <f t="array" ref="F596">IFERROR(_xlfn.XLOOKUP('Form responses 2'!C596,'Item List'!$I$2:$I$995,'Item List'!C$2:$F$995),"")</f>
        <v/>
      </c>
    </row>
    <row r="597">
      <c r="A597" s="25"/>
      <c r="B597" s="25"/>
      <c r="C597" s="25"/>
      <c r="D597" s="25"/>
      <c r="E597" s="25" t="s">
        <v>1333</v>
      </c>
      <c r="F597" s="25" t="str">
        <f t="array" ref="F597">IFERROR(_xlfn.XLOOKUP('Form responses 2'!C597,'Item List'!$I$2:$I$995,'Item List'!C$2:$F$995),"")</f>
        <v/>
      </c>
    </row>
    <row r="598">
      <c r="A598" s="25"/>
      <c r="B598" s="25"/>
      <c r="C598" s="25"/>
      <c r="D598" s="25"/>
      <c r="E598" s="25" t="s">
        <v>1333</v>
      </c>
      <c r="F598" s="25" t="str">
        <f t="array" ref="F598">IFERROR(_xlfn.XLOOKUP('Form responses 2'!C598,'Item List'!$I$2:$I$995,'Item List'!C$2:$F$995),"")</f>
        <v/>
      </c>
    </row>
    <row r="599">
      <c r="A599" s="25"/>
      <c r="B599" s="25"/>
      <c r="C599" s="25"/>
      <c r="D599" s="25"/>
      <c r="E599" s="25" t="s">
        <v>1333</v>
      </c>
      <c r="F599" s="25" t="str">
        <f t="array" ref="F599">IFERROR(_xlfn.XLOOKUP('Form responses 2'!C599,'Item List'!$I$2:$I$995,'Item List'!C$2:$F$995),"")</f>
        <v/>
      </c>
    </row>
    <row r="600">
      <c r="A600" s="25"/>
      <c r="B600" s="25"/>
      <c r="C600" s="25"/>
      <c r="D600" s="25"/>
      <c r="E600" s="25" t="s">
        <v>1333</v>
      </c>
      <c r="F600" s="25" t="str">
        <f t="array" ref="F600">IFERROR(_xlfn.XLOOKUP('Form responses 2'!C600,'Item List'!$I$2:$I$995,'Item List'!C$2:$F$995),"")</f>
        <v/>
      </c>
    </row>
    <row r="601">
      <c r="A601" s="25"/>
      <c r="B601" s="25"/>
      <c r="C601" s="25"/>
      <c r="D601" s="25"/>
      <c r="E601" s="25" t="s">
        <v>1333</v>
      </c>
      <c r="F601" s="25" t="str">
        <f t="array" ref="F601">IFERROR(_xlfn.XLOOKUP('Form responses 2'!C601,'Item List'!$I$2:$I$995,'Item List'!C$2:$F$995),"")</f>
        <v/>
      </c>
    </row>
    <row r="602">
      <c r="A602" s="25"/>
      <c r="B602" s="25"/>
      <c r="C602" s="25"/>
      <c r="D602" s="25"/>
      <c r="E602" s="25" t="s">
        <v>1333</v>
      </c>
      <c r="F602" s="25" t="str">
        <f t="array" ref="F602">IFERROR(_xlfn.XLOOKUP('Form responses 2'!C602,'Item List'!$I$2:$I$995,'Item List'!C$2:$F$995),"")</f>
        <v/>
      </c>
    </row>
    <row r="603">
      <c r="A603" s="25"/>
      <c r="B603" s="25"/>
      <c r="C603" s="25"/>
      <c r="D603" s="25"/>
      <c r="E603" s="25" t="s">
        <v>1333</v>
      </c>
      <c r="F603" s="25" t="str">
        <f t="array" ref="F603">IFERROR(_xlfn.XLOOKUP('Form responses 2'!C603,'Item List'!$I$2:$I$995,'Item List'!C$2:$F$995),"")</f>
        <v/>
      </c>
    </row>
    <row r="604">
      <c r="A604" s="25"/>
      <c r="B604" s="25"/>
      <c r="C604" s="25"/>
      <c r="D604" s="25"/>
      <c r="E604" s="25" t="s">
        <v>1333</v>
      </c>
      <c r="F604" s="25" t="str">
        <f t="array" ref="F604">IFERROR(_xlfn.XLOOKUP('Form responses 2'!C604,'Item List'!$I$2:$I$995,'Item List'!C$2:$F$995),"")</f>
        <v/>
      </c>
    </row>
    <row r="605">
      <c r="A605" s="25"/>
      <c r="B605" s="25"/>
      <c r="C605" s="25"/>
      <c r="D605" s="25"/>
      <c r="E605" s="25" t="s">
        <v>1333</v>
      </c>
      <c r="F605" s="25" t="str">
        <f t="array" ref="F605">IFERROR(_xlfn.XLOOKUP('Form responses 2'!C605,'Item List'!$I$2:$I$995,'Item List'!C$2:$F$995),"")</f>
        <v/>
      </c>
    </row>
    <row r="606">
      <c r="A606" s="25"/>
      <c r="B606" s="25"/>
      <c r="C606" s="25"/>
      <c r="D606" s="25"/>
      <c r="E606" s="25" t="s">
        <v>1333</v>
      </c>
      <c r="F606" s="25" t="str">
        <f t="array" ref="F606">IFERROR(_xlfn.XLOOKUP('Form responses 2'!C606,'Item List'!$I$2:$I$995,'Item List'!C$2:$F$995),"")</f>
        <v/>
      </c>
    </row>
    <row r="607">
      <c r="A607" s="25"/>
      <c r="B607" s="25"/>
      <c r="C607" s="25"/>
      <c r="D607" s="25"/>
      <c r="E607" s="25" t="s">
        <v>1333</v>
      </c>
      <c r="F607" s="25" t="str">
        <f t="array" ref="F607">IFERROR(_xlfn.XLOOKUP('Form responses 2'!C607,'Item List'!$I$2:$I$995,'Item List'!C$2:$F$995),"")</f>
        <v/>
      </c>
    </row>
    <row r="608">
      <c r="A608" s="25"/>
      <c r="B608" s="25"/>
      <c r="C608" s="25"/>
      <c r="D608" s="25"/>
      <c r="E608" s="25" t="s">
        <v>1333</v>
      </c>
      <c r="F608" s="25" t="str">
        <f t="array" ref="F608">IFERROR(_xlfn.XLOOKUP('Form responses 2'!C608,'Item List'!$I$2:$I$995,'Item List'!C$2:$F$995),"")</f>
        <v/>
      </c>
    </row>
    <row r="609">
      <c r="A609" s="25"/>
      <c r="B609" s="25"/>
      <c r="C609" s="25"/>
      <c r="D609" s="25"/>
      <c r="E609" s="25" t="s">
        <v>1333</v>
      </c>
      <c r="F609" s="25" t="str">
        <f t="array" ref="F609">IFERROR(_xlfn.XLOOKUP('Form responses 2'!C609,'Item List'!$I$2:$I$995,'Item List'!C$2:$F$995),"")</f>
        <v/>
      </c>
    </row>
    <row r="610">
      <c r="A610" s="25"/>
      <c r="B610" s="25"/>
      <c r="C610" s="25"/>
      <c r="D610" s="25"/>
      <c r="E610" s="25" t="s">
        <v>1333</v>
      </c>
      <c r="F610" s="25" t="str">
        <f t="array" ref="F610">IFERROR(_xlfn.XLOOKUP('Form responses 2'!C610,'Item List'!$I$2:$I$995,'Item List'!C$2:$F$995),"")</f>
        <v/>
      </c>
    </row>
    <row r="611">
      <c r="A611" s="25"/>
      <c r="B611" s="25"/>
      <c r="C611" s="25"/>
      <c r="D611" s="25"/>
      <c r="E611" s="25" t="s">
        <v>1333</v>
      </c>
      <c r="F611" s="25" t="str">
        <f t="array" ref="F611">IFERROR(_xlfn.XLOOKUP('Form responses 2'!C611,'Item List'!$I$2:$I$995,'Item List'!C$2:$F$995),"")</f>
        <v/>
      </c>
    </row>
    <row r="612">
      <c r="A612" s="25"/>
      <c r="B612" s="25"/>
      <c r="C612" s="25"/>
      <c r="D612" s="25"/>
      <c r="E612" s="25" t="s">
        <v>1333</v>
      </c>
      <c r="F612" s="25" t="str">
        <f t="array" ref="F612">IFERROR(_xlfn.XLOOKUP('Form responses 2'!C612,'Item List'!$I$2:$I$995,'Item List'!C$2:$F$995),"")</f>
        <v/>
      </c>
    </row>
    <row r="613">
      <c r="A613" s="25"/>
      <c r="B613" s="25"/>
      <c r="C613" s="25"/>
      <c r="D613" s="25"/>
      <c r="E613" s="25" t="s">
        <v>1333</v>
      </c>
      <c r="F613" s="25" t="str">
        <f t="array" ref="F613">IFERROR(_xlfn.XLOOKUP('Form responses 2'!C613,'Item List'!$I$2:$I$995,'Item List'!C$2:$F$995),"")</f>
        <v/>
      </c>
    </row>
    <row r="614">
      <c r="A614" s="25"/>
      <c r="B614" s="25"/>
      <c r="C614" s="25"/>
      <c r="D614" s="25"/>
      <c r="E614" s="25" t="s">
        <v>1333</v>
      </c>
      <c r="F614" s="25" t="str">
        <f t="array" ref="F614">IFERROR(_xlfn.XLOOKUP('Form responses 2'!C614,'Item List'!$I$2:$I$995,'Item List'!C$2:$F$995),"")</f>
        <v/>
      </c>
    </row>
    <row r="615">
      <c r="A615" s="25"/>
      <c r="B615" s="25"/>
      <c r="C615" s="25"/>
      <c r="D615" s="25"/>
      <c r="E615" s="25" t="s">
        <v>1333</v>
      </c>
      <c r="F615" s="25" t="str">
        <f t="array" ref="F615">IFERROR(_xlfn.XLOOKUP('Form responses 2'!C615,'Item List'!$I$2:$I$995,'Item List'!C$2:$F$995),"")</f>
        <v/>
      </c>
    </row>
    <row r="616">
      <c r="A616" s="25"/>
      <c r="B616" s="25"/>
      <c r="C616" s="25"/>
      <c r="D616" s="25"/>
      <c r="E616" s="25" t="s">
        <v>1333</v>
      </c>
      <c r="F616" s="25" t="str">
        <f t="array" ref="F616">IFERROR(_xlfn.XLOOKUP('Form responses 2'!C616,'Item List'!$I$2:$I$995,'Item List'!C$2:$F$995),"")</f>
        <v/>
      </c>
    </row>
    <row r="617">
      <c r="A617" s="25"/>
      <c r="B617" s="25"/>
      <c r="C617" s="25"/>
      <c r="D617" s="25"/>
      <c r="E617" s="25" t="s">
        <v>1333</v>
      </c>
      <c r="F617" s="25" t="str">
        <f t="array" ref="F617">IFERROR(_xlfn.XLOOKUP('Form responses 2'!C617,'Item List'!$I$2:$I$995,'Item List'!C$2:$F$995),"")</f>
        <v/>
      </c>
    </row>
    <row r="618">
      <c r="A618" s="25"/>
      <c r="B618" s="25"/>
      <c r="C618" s="25"/>
      <c r="D618" s="25"/>
      <c r="E618" s="25" t="s">
        <v>1333</v>
      </c>
      <c r="F618" s="25" t="str">
        <f t="array" ref="F618">IFERROR(_xlfn.XLOOKUP('Form responses 2'!C618,'Item List'!$I$2:$I$995,'Item List'!C$2:$F$995),"")</f>
        <v/>
      </c>
    </row>
    <row r="619">
      <c r="A619" s="25"/>
      <c r="B619" s="25"/>
      <c r="C619" s="25"/>
      <c r="D619" s="25"/>
      <c r="E619" s="25" t="s">
        <v>1333</v>
      </c>
      <c r="F619" s="25" t="str">
        <f t="array" ref="F619">IFERROR(_xlfn.XLOOKUP('Form responses 2'!C619,'Item List'!$I$2:$I$995,'Item List'!C$2:$F$995),"")</f>
        <v/>
      </c>
    </row>
    <row r="620">
      <c r="A620" s="25"/>
      <c r="B620" s="25"/>
      <c r="C620" s="25"/>
      <c r="D620" s="25"/>
      <c r="E620" s="25" t="s">
        <v>1333</v>
      </c>
      <c r="F620" s="25" t="str">
        <f t="array" ref="F620">IFERROR(_xlfn.XLOOKUP('Form responses 2'!C620,'Item List'!$I$2:$I$995,'Item List'!C$2:$F$995),"")</f>
        <v/>
      </c>
    </row>
    <row r="621">
      <c r="A621" s="25"/>
      <c r="B621" s="25"/>
      <c r="C621" s="25"/>
      <c r="D621" s="25"/>
      <c r="E621" s="25" t="s">
        <v>1333</v>
      </c>
      <c r="F621" s="25" t="str">
        <f t="array" ref="F621">IFERROR(_xlfn.XLOOKUP('Form responses 2'!C621,'Item List'!$I$2:$I$995,'Item List'!C$2:$F$995),"")</f>
        <v/>
      </c>
    </row>
    <row r="622">
      <c r="A622" s="25"/>
      <c r="B622" s="25"/>
      <c r="C622" s="25"/>
      <c r="D622" s="25"/>
      <c r="E622" s="25" t="s">
        <v>1333</v>
      </c>
      <c r="F622" s="25" t="str">
        <f t="array" ref="F622">IFERROR(_xlfn.XLOOKUP('Form responses 2'!C622,'Item List'!$I$2:$I$995,'Item List'!C$2:$F$995),"")</f>
        <v/>
      </c>
    </row>
    <row r="623">
      <c r="A623" s="25"/>
      <c r="B623" s="25"/>
      <c r="C623" s="25"/>
      <c r="D623" s="25"/>
      <c r="E623" s="25" t="s">
        <v>1333</v>
      </c>
      <c r="F623" s="25" t="str">
        <f t="array" ref="F623">IFERROR(_xlfn.XLOOKUP('Form responses 2'!C623,'Item List'!$I$2:$I$995,'Item List'!C$2:$F$995),"")</f>
        <v/>
      </c>
    </row>
    <row r="624">
      <c r="A624" s="25"/>
      <c r="B624" s="25"/>
      <c r="C624" s="25"/>
      <c r="D624" s="25"/>
      <c r="E624" s="25" t="s">
        <v>1333</v>
      </c>
      <c r="F624" s="25" t="str">
        <f t="array" ref="F624">IFERROR(_xlfn.XLOOKUP('Form responses 2'!C624,'Item List'!$I$2:$I$995,'Item List'!C$2:$F$995),"")</f>
        <v/>
      </c>
    </row>
    <row r="625">
      <c r="A625" s="25"/>
      <c r="B625" s="25"/>
      <c r="C625" s="25"/>
      <c r="D625" s="25"/>
      <c r="E625" s="25" t="s">
        <v>1333</v>
      </c>
      <c r="F625" s="25" t="str">
        <f t="array" ref="F625">IFERROR(_xlfn.XLOOKUP('Form responses 2'!C625,'Item List'!$I$2:$I$995,'Item List'!C$2:$F$995),"")</f>
        <v/>
      </c>
    </row>
    <row r="626">
      <c r="A626" s="25"/>
      <c r="B626" s="25"/>
      <c r="C626" s="25"/>
      <c r="D626" s="25"/>
      <c r="E626" s="25" t="s">
        <v>1333</v>
      </c>
      <c r="F626" s="25" t="str">
        <f t="array" ref="F626">IFERROR(_xlfn.XLOOKUP('Form responses 2'!C626,'Item List'!$I$2:$I$995,'Item List'!C$2:$F$995),"")</f>
        <v/>
      </c>
    </row>
    <row r="627">
      <c r="A627" s="25"/>
      <c r="B627" s="25"/>
      <c r="C627" s="25"/>
      <c r="D627" s="25"/>
      <c r="E627" s="25" t="s">
        <v>1333</v>
      </c>
      <c r="F627" s="25" t="str">
        <f t="array" ref="F627">IFERROR(_xlfn.XLOOKUP('Form responses 2'!C627,'Item List'!$I$2:$I$995,'Item List'!C$2:$F$995),"")</f>
        <v/>
      </c>
    </row>
    <row r="628">
      <c r="A628" s="25"/>
      <c r="B628" s="25"/>
      <c r="C628" s="25"/>
      <c r="D628" s="25"/>
      <c r="E628" s="25" t="s">
        <v>1333</v>
      </c>
      <c r="F628" s="25" t="str">
        <f t="array" ref="F628">IFERROR(_xlfn.XLOOKUP('Form responses 2'!C628,'Item List'!$I$2:$I$995,'Item List'!C$2:$F$995),"")</f>
        <v/>
      </c>
    </row>
    <row r="629">
      <c r="A629" s="25"/>
      <c r="B629" s="25"/>
      <c r="C629" s="25"/>
      <c r="D629" s="25"/>
      <c r="E629" s="25" t="s">
        <v>1333</v>
      </c>
      <c r="F629" s="25" t="str">
        <f t="array" ref="F629">IFERROR(_xlfn.XLOOKUP('Form responses 2'!C629,'Item List'!$I$2:$I$995,'Item List'!C$2:$F$995),"")</f>
        <v/>
      </c>
    </row>
    <row r="630">
      <c r="A630" s="25"/>
      <c r="B630" s="25"/>
      <c r="C630" s="25"/>
      <c r="D630" s="25"/>
      <c r="E630" s="25" t="s">
        <v>1333</v>
      </c>
      <c r="F630" s="25" t="str">
        <f t="array" ref="F630">IFERROR(_xlfn.XLOOKUP('Form responses 2'!C630,'Item List'!$I$2:$I$995,'Item List'!C$2:$F$995),"")</f>
        <v/>
      </c>
    </row>
    <row r="631">
      <c r="A631" s="25"/>
      <c r="B631" s="25"/>
      <c r="C631" s="25"/>
      <c r="D631" s="25"/>
      <c r="E631" s="25" t="s">
        <v>1333</v>
      </c>
      <c r="F631" s="25" t="str">
        <f t="array" ref="F631">IFERROR(_xlfn.XLOOKUP('Form responses 2'!C631,'Item List'!$I$2:$I$995,'Item List'!C$2:$F$995),"")</f>
        <v/>
      </c>
    </row>
    <row r="632">
      <c r="A632" s="25"/>
      <c r="B632" s="25"/>
      <c r="C632" s="25"/>
      <c r="D632" s="25"/>
      <c r="E632" s="25" t="s">
        <v>1333</v>
      </c>
      <c r="F632" s="25" t="str">
        <f t="array" ref="F632">IFERROR(_xlfn.XLOOKUP('Form responses 2'!C632,'Item List'!$I$2:$I$995,'Item List'!C$2:$F$995),"")</f>
        <v/>
      </c>
    </row>
    <row r="633">
      <c r="A633" s="25"/>
      <c r="B633" s="25"/>
      <c r="C633" s="25"/>
      <c r="D633" s="25"/>
      <c r="E633" s="25" t="s">
        <v>1333</v>
      </c>
      <c r="F633" s="25" t="str">
        <f t="array" ref="F633">IFERROR(_xlfn.XLOOKUP('Form responses 2'!C633,'Item List'!$I$2:$I$995,'Item List'!C$2:$F$995),"")</f>
        <v/>
      </c>
    </row>
    <row r="634">
      <c r="A634" s="25"/>
      <c r="B634" s="25"/>
      <c r="C634" s="25"/>
      <c r="D634" s="25"/>
      <c r="E634" s="25" t="s">
        <v>1333</v>
      </c>
      <c r="F634" s="25" t="str">
        <f t="array" ref="F634">IFERROR(_xlfn.XLOOKUP('Form responses 2'!C634,'Item List'!$I$2:$I$995,'Item List'!C$2:$F$995),"")</f>
        <v/>
      </c>
    </row>
    <row r="635">
      <c r="A635" s="25"/>
      <c r="B635" s="25"/>
      <c r="C635" s="25"/>
      <c r="D635" s="25"/>
      <c r="E635" s="25" t="s">
        <v>1333</v>
      </c>
      <c r="F635" s="25" t="str">
        <f t="array" ref="F635">IFERROR(_xlfn.XLOOKUP('Form responses 2'!C635,'Item List'!$I$2:$I$995,'Item List'!C$2:$F$995),"")</f>
        <v/>
      </c>
    </row>
    <row r="636">
      <c r="A636" s="25"/>
      <c r="B636" s="25"/>
      <c r="C636" s="25"/>
      <c r="D636" s="25"/>
      <c r="E636" s="25" t="s">
        <v>1333</v>
      </c>
      <c r="F636" s="25" t="str">
        <f t="array" ref="F636">IFERROR(_xlfn.XLOOKUP('Form responses 2'!C636,'Item List'!$I$2:$I$995,'Item List'!C$2:$F$995),"")</f>
        <v/>
      </c>
    </row>
    <row r="637">
      <c r="A637" s="25"/>
      <c r="B637" s="25"/>
      <c r="C637" s="25"/>
      <c r="D637" s="25"/>
      <c r="E637" s="25" t="s">
        <v>1333</v>
      </c>
      <c r="F637" s="25" t="str">
        <f t="array" ref="F637">IFERROR(_xlfn.XLOOKUP('Form responses 2'!C637,'Item List'!$I$2:$I$995,'Item List'!C$2:$F$995),"")</f>
        <v/>
      </c>
    </row>
    <row r="638">
      <c r="A638" s="25"/>
      <c r="B638" s="25"/>
      <c r="C638" s="25"/>
      <c r="D638" s="25"/>
      <c r="E638" s="25" t="s">
        <v>1333</v>
      </c>
      <c r="F638" s="25" t="str">
        <f t="array" ref="F638">IFERROR(_xlfn.XLOOKUP('Form responses 2'!C638,'Item List'!$I$2:$I$995,'Item List'!C$2:$F$995),"")</f>
        <v/>
      </c>
    </row>
    <row r="639">
      <c r="A639" s="25"/>
      <c r="B639" s="25"/>
      <c r="C639" s="25"/>
      <c r="D639" s="25"/>
      <c r="E639" s="25" t="s">
        <v>1333</v>
      </c>
      <c r="F639" s="25" t="str">
        <f t="array" ref="F639">IFERROR(_xlfn.XLOOKUP('Form responses 2'!C639,'Item List'!$I$2:$I$995,'Item List'!C$2:$F$995),"")</f>
        <v/>
      </c>
    </row>
    <row r="640">
      <c r="A640" s="25"/>
      <c r="B640" s="25"/>
      <c r="C640" s="25"/>
      <c r="D640" s="25"/>
      <c r="E640" s="25" t="s">
        <v>1333</v>
      </c>
      <c r="F640" s="25" t="str">
        <f t="array" ref="F640">IFERROR(_xlfn.XLOOKUP('Form responses 2'!C640,'Item List'!$I$2:$I$995,'Item List'!C$2:$F$995),"")</f>
        <v/>
      </c>
    </row>
    <row r="641">
      <c r="A641" s="25"/>
      <c r="B641" s="25"/>
      <c r="C641" s="25"/>
      <c r="D641" s="25"/>
      <c r="E641" s="25" t="s">
        <v>1333</v>
      </c>
      <c r="F641" s="25" t="str">
        <f t="array" ref="F641">IFERROR(_xlfn.XLOOKUP('Form responses 2'!C641,'Item List'!$I$2:$I$995,'Item List'!C$2:$F$995),"")</f>
        <v/>
      </c>
    </row>
    <row r="642">
      <c r="A642" s="25"/>
      <c r="B642" s="25"/>
      <c r="C642" s="25"/>
      <c r="D642" s="25"/>
      <c r="E642" s="25" t="s">
        <v>1333</v>
      </c>
      <c r="F642" s="25" t="str">
        <f t="array" ref="F642">IFERROR(_xlfn.XLOOKUP('Form responses 2'!C642,'Item List'!$I$2:$I$995,'Item List'!C$2:$F$995),"")</f>
        <v/>
      </c>
    </row>
    <row r="643">
      <c r="A643" s="25"/>
      <c r="B643" s="25"/>
      <c r="C643" s="25"/>
      <c r="D643" s="25"/>
      <c r="E643" s="25" t="s">
        <v>1333</v>
      </c>
      <c r="F643" s="25" t="str">
        <f t="array" ref="F643">IFERROR(_xlfn.XLOOKUP('Form responses 2'!C643,'Item List'!$I$2:$I$995,'Item List'!C$2:$F$995),"")</f>
        <v/>
      </c>
    </row>
    <row r="644">
      <c r="A644" s="25"/>
      <c r="B644" s="25"/>
      <c r="C644" s="25"/>
      <c r="D644" s="25"/>
      <c r="E644" s="25" t="s">
        <v>1333</v>
      </c>
      <c r="F644" s="25" t="str">
        <f t="array" ref="F644">IFERROR(_xlfn.XLOOKUP('Form responses 2'!C644,'Item List'!$I$2:$I$995,'Item List'!C$2:$F$995),"")</f>
        <v/>
      </c>
    </row>
    <row r="645">
      <c r="A645" s="25"/>
      <c r="B645" s="25"/>
      <c r="C645" s="25"/>
      <c r="D645" s="25"/>
      <c r="E645" s="25" t="s">
        <v>1333</v>
      </c>
      <c r="F645" s="25" t="str">
        <f t="array" ref="F645">IFERROR(_xlfn.XLOOKUP('Form responses 2'!C645,'Item List'!$I$2:$I$995,'Item List'!C$2:$F$995),"")</f>
        <v/>
      </c>
    </row>
    <row r="646">
      <c r="A646" s="25"/>
      <c r="B646" s="25"/>
      <c r="C646" s="25"/>
      <c r="D646" s="25"/>
      <c r="E646" s="25" t="s">
        <v>1333</v>
      </c>
      <c r="F646" s="25" t="str">
        <f t="array" ref="F646">IFERROR(_xlfn.XLOOKUP('Form responses 2'!C646,'Item List'!$I$2:$I$995,'Item List'!C$2:$F$995),"")</f>
        <v/>
      </c>
    </row>
    <row r="647">
      <c r="A647" s="25"/>
      <c r="B647" s="25"/>
      <c r="C647" s="25"/>
      <c r="D647" s="25"/>
      <c r="E647" s="25" t="s">
        <v>1333</v>
      </c>
      <c r="F647" s="25" t="str">
        <f t="array" ref="F647">IFERROR(_xlfn.XLOOKUP('Form responses 2'!C647,'Item List'!$I$2:$I$995,'Item List'!C$2:$F$995),"")</f>
        <v/>
      </c>
    </row>
    <row r="648">
      <c r="A648" s="25"/>
      <c r="B648" s="25"/>
      <c r="C648" s="25"/>
      <c r="D648" s="25"/>
      <c r="E648" s="25" t="s">
        <v>1333</v>
      </c>
      <c r="F648" s="25" t="str">
        <f t="array" ref="F648">IFERROR(_xlfn.XLOOKUP('Form responses 2'!C648,'Item List'!$I$2:$I$995,'Item List'!C$2:$F$995),"")</f>
        <v/>
      </c>
    </row>
    <row r="649">
      <c r="A649" s="25"/>
      <c r="B649" s="25"/>
      <c r="C649" s="25"/>
      <c r="D649" s="25"/>
      <c r="E649" s="25" t="s">
        <v>1333</v>
      </c>
      <c r="F649" s="25" t="str">
        <f t="array" ref="F649">IFERROR(_xlfn.XLOOKUP('Form responses 2'!C649,'Item List'!$I$2:$I$995,'Item List'!C$2:$F$995),"")</f>
        <v/>
      </c>
    </row>
    <row r="650">
      <c r="A650" s="25"/>
      <c r="B650" s="25"/>
      <c r="C650" s="25"/>
      <c r="D650" s="25"/>
      <c r="E650" s="25" t="s">
        <v>1333</v>
      </c>
      <c r="F650" s="25" t="str">
        <f t="array" ref="F650">IFERROR(_xlfn.XLOOKUP('Form responses 2'!C650,'Item List'!$I$2:$I$995,'Item List'!C$2:$F$995),"")</f>
        <v/>
      </c>
    </row>
    <row r="651">
      <c r="A651" s="25"/>
      <c r="B651" s="25"/>
      <c r="C651" s="25"/>
      <c r="D651" s="25"/>
      <c r="E651" s="25" t="s">
        <v>1333</v>
      </c>
      <c r="F651" s="25" t="str">
        <f t="array" ref="F651">IFERROR(_xlfn.XLOOKUP('Form responses 2'!C651,'Item List'!$I$2:$I$995,'Item List'!C$2:$F$995),"")</f>
        <v/>
      </c>
    </row>
    <row r="652">
      <c r="A652" s="25"/>
      <c r="B652" s="25"/>
      <c r="C652" s="25"/>
      <c r="D652" s="25"/>
      <c r="E652" s="25" t="s">
        <v>1333</v>
      </c>
      <c r="F652" s="25" t="str">
        <f t="array" ref="F652">IFERROR(_xlfn.XLOOKUP('Form responses 2'!C652,'Item List'!$I$2:$I$995,'Item List'!C$2:$F$995),"")</f>
        <v/>
      </c>
    </row>
    <row r="653">
      <c r="A653" s="25"/>
      <c r="B653" s="25"/>
      <c r="C653" s="25"/>
      <c r="D653" s="25"/>
      <c r="E653" s="25" t="s">
        <v>1333</v>
      </c>
      <c r="F653" s="25" t="str">
        <f t="array" ref="F653">IFERROR(_xlfn.XLOOKUP('Form responses 2'!C653,'Item List'!$I$2:$I$995,'Item List'!C$2:$F$995),"")</f>
        <v/>
      </c>
    </row>
    <row r="654">
      <c r="A654" s="25"/>
      <c r="B654" s="25"/>
      <c r="C654" s="25"/>
      <c r="D654" s="25"/>
      <c r="E654" s="25" t="s">
        <v>1333</v>
      </c>
      <c r="F654" s="25" t="str">
        <f t="array" ref="F654">IFERROR(_xlfn.XLOOKUP('Form responses 2'!C654,'Item List'!$I$2:$I$995,'Item List'!C$2:$F$995),"")</f>
        <v/>
      </c>
    </row>
    <row r="655">
      <c r="A655" s="25"/>
      <c r="B655" s="25"/>
      <c r="C655" s="25"/>
      <c r="D655" s="25"/>
      <c r="E655" s="25" t="s">
        <v>1333</v>
      </c>
      <c r="F655" s="25" t="str">
        <f t="array" ref="F655">IFERROR(_xlfn.XLOOKUP('Form responses 2'!C655,'Item List'!$I$2:$I$995,'Item List'!C$2:$F$995),"")</f>
        <v/>
      </c>
    </row>
    <row r="656">
      <c r="A656" s="25"/>
      <c r="B656" s="25"/>
      <c r="C656" s="25"/>
      <c r="D656" s="25"/>
      <c r="E656" s="25" t="s">
        <v>1333</v>
      </c>
      <c r="F656" s="25" t="str">
        <f t="array" ref="F656">IFERROR(_xlfn.XLOOKUP('Form responses 2'!C656,'Item List'!$I$2:$I$995,'Item List'!C$2:$F$995),"")</f>
        <v/>
      </c>
    </row>
    <row r="657">
      <c r="A657" s="25"/>
      <c r="B657" s="25"/>
      <c r="C657" s="25"/>
      <c r="D657" s="25"/>
      <c r="E657" s="25" t="s">
        <v>1333</v>
      </c>
      <c r="F657" s="25" t="str">
        <f t="array" ref="F657">IFERROR(_xlfn.XLOOKUP('Form responses 2'!C657,'Item List'!$I$2:$I$995,'Item List'!C$2:$F$995),"")</f>
        <v/>
      </c>
    </row>
    <row r="658">
      <c r="A658" s="25"/>
      <c r="B658" s="25"/>
      <c r="C658" s="25"/>
      <c r="D658" s="25"/>
      <c r="E658" s="25" t="s">
        <v>1333</v>
      </c>
      <c r="F658" s="25" t="str">
        <f t="array" ref="F658">IFERROR(_xlfn.XLOOKUP('Form responses 2'!C658,'Item List'!$I$2:$I$995,'Item List'!C$2:$F$995),"")</f>
        <v/>
      </c>
    </row>
    <row r="659">
      <c r="A659" s="25"/>
      <c r="B659" s="25"/>
      <c r="C659" s="25"/>
      <c r="D659" s="25"/>
      <c r="E659" s="25" t="s">
        <v>1333</v>
      </c>
      <c r="F659" s="25" t="str">
        <f t="array" ref="F659">IFERROR(_xlfn.XLOOKUP('Form responses 2'!C659,'Item List'!$I$2:$I$995,'Item List'!C$2:$F$995),"")</f>
        <v/>
      </c>
    </row>
    <row r="660">
      <c r="A660" s="25"/>
      <c r="B660" s="25"/>
      <c r="C660" s="25"/>
      <c r="D660" s="25"/>
      <c r="E660" s="25" t="s">
        <v>1333</v>
      </c>
      <c r="F660" s="25" t="str">
        <f t="array" ref="F660">IFERROR(_xlfn.XLOOKUP('Form responses 2'!C660,'Item List'!$I$2:$I$995,'Item List'!C$2:$F$995),"")</f>
        <v/>
      </c>
    </row>
    <row r="661">
      <c r="A661" s="25"/>
      <c r="B661" s="25"/>
      <c r="C661" s="25"/>
      <c r="D661" s="25"/>
      <c r="E661" s="25" t="s">
        <v>1333</v>
      </c>
      <c r="F661" s="25" t="str">
        <f t="array" ref="F661">IFERROR(_xlfn.XLOOKUP('Form responses 2'!C661,'Item List'!$I$2:$I$995,'Item List'!C$2:$F$995),"")</f>
        <v/>
      </c>
    </row>
    <row r="662">
      <c r="A662" s="25"/>
      <c r="B662" s="25"/>
      <c r="C662" s="25"/>
      <c r="D662" s="25"/>
      <c r="E662" s="25" t="s">
        <v>1333</v>
      </c>
      <c r="F662" s="25" t="str">
        <f t="array" ref="F662">IFERROR(_xlfn.XLOOKUP('Form responses 2'!C662,'Item List'!$I$2:$I$995,'Item List'!C$2:$F$995),"")</f>
        <v/>
      </c>
    </row>
    <row r="663">
      <c r="A663" s="25"/>
      <c r="B663" s="25"/>
      <c r="C663" s="25"/>
      <c r="D663" s="25"/>
      <c r="E663" s="25" t="s">
        <v>1333</v>
      </c>
      <c r="F663" s="25" t="str">
        <f t="array" ref="F663">IFERROR(_xlfn.XLOOKUP('Form responses 2'!C663,'Item List'!$I$2:$I$995,'Item List'!C$2:$F$995),"")</f>
        <v/>
      </c>
    </row>
    <row r="664">
      <c r="A664" s="25"/>
      <c r="B664" s="25"/>
      <c r="C664" s="25"/>
      <c r="D664" s="25"/>
      <c r="E664" s="25" t="s">
        <v>1333</v>
      </c>
      <c r="F664" s="25" t="str">
        <f t="array" ref="F664">IFERROR(_xlfn.XLOOKUP('Form responses 2'!C664,'Item List'!$I$2:$I$995,'Item List'!C$2:$F$995),"")</f>
        <v/>
      </c>
    </row>
    <row r="665">
      <c r="A665" s="25"/>
      <c r="B665" s="25"/>
      <c r="C665" s="25"/>
      <c r="D665" s="25"/>
      <c r="E665" s="25" t="s">
        <v>1333</v>
      </c>
      <c r="F665" s="25" t="str">
        <f t="array" ref="F665">IFERROR(_xlfn.XLOOKUP('Form responses 2'!C665,'Item List'!$I$2:$I$995,'Item List'!C$2:$F$995),"")</f>
        <v/>
      </c>
    </row>
    <row r="666">
      <c r="A666" s="25"/>
      <c r="B666" s="25"/>
      <c r="C666" s="25"/>
      <c r="D666" s="25"/>
      <c r="E666" s="25" t="s">
        <v>1333</v>
      </c>
      <c r="F666" s="25" t="str">
        <f t="array" ref="F666">IFERROR(_xlfn.XLOOKUP('Form responses 2'!C666,'Item List'!$I$2:$I$995,'Item List'!C$2:$F$995),"")</f>
        <v/>
      </c>
    </row>
    <row r="667">
      <c r="A667" s="25"/>
      <c r="B667" s="25"/>
      <c r="C667" s="25"/>
      <c r="D667" s="25"/>
      <c r="E667" s="25" t="s">
        <v>1333</v>
      </c>
      <c r="F667" s="25" t="str">
        <f t="array" ref="F667">IFERROR(_xlfn.XLOOKUP('Form responses 2'!C667,'Item List'!$I$2:$I$995,'Item List'!C$2:$F$995),"")</f>
        <v/>
      </c>
    </row>
    <row r="668">
      <c r="A668" s="25"/>
      <c r="B668" s="25"/>
      <c r="C668" s="25"/>
      <c r="D668" s="25"/>
      <c r="E668" s="25" t="s">
        <v>1333</v>
      </c>
      <c r="F668" s="25" t="str">
        <f t="array" ref="F668">IFERROR(_xlfn.XLOOKUP('Form responses 2'!C668,'Item List'!$I$2:$I$995,'Item List'!C$2:$F$995),"")</f>
        <v/>
      </c>
    </row>
    <row r="669">
      <c r="A669" s="25"/>
      <c r="B669" s="25"/>
      <c r="C669" s="25"/>
      <c r="D669" s="25"/>
      <c r="E669" s="25" t="s">
        <v>1333</v>
      </c>
      <c r="F669" s="25" t="str">
        <f t="array" ref="F669">IFERROR(_xlfn.XLOOKUP('Form responses 2'!C669,'Item List'!$I$2:$I$995,'Item List'!C$2:$F$995),"")</f>
        <v/>
      </c>
    </row>
    <row r="670">
      <c r="A670" s="25"/>
      <c r="B670" s="25"/>
      <c r="C670" s="25"/>
      <c r="D670" s="25"/>
      <c r="E670" s="25" t="s">
        <v>1333</v>
      </c>
      <c r="F670" s="25" t="str">
        <f t="array" ref="F670">IFERROR(_xlfn.XLOOKUP('Form responses 2'!C670,'Item List'!$I$2:$I$995,'Item List'!C$2:$F$995),"")</f>
        <v/>
      </c>
    </row>
    <row r="671">
      <c r="A671" s="25"/>
      <c r="B671" s="25"/>
      <c r="C671" s="25"/>
      <c r="D671" s="25"/>
      <c r="E671" s="25" t="s">
        <v>1333</v>
      </c>
      <c r="F671" s="25" t="str">
        <f t="array" ref="F671">IFERROR(_xlfn.XLOOKUP('Form responses 2'!C671,'Item List'!$I$2:$I$995,'Item List'!C$2:$F$995),"")</f>
        <v/>
      </c>
    </row>
    <row r="672">
      <c r="A672" s="25"/>
      <c r="B672" s="25"/>
      <c r="C672" s="25"/>
      <c r="D672" s="25"/>
      <c r="E672" s="25" t="s">
        <v>1333</v>
      </c>
      <c r="F672" s="25" t="str">
        <f t="array" ref="F672">IFERROR(_xlfn.XLOOKUP('Form responses 2'!C672,'Item List'!$I$2:$I$995,'Item List'!C$2:$F$995),"")</f>
        <v/>
      </c>
    </row>
    <row r="673">
      <c r="A673" s="25"/>
      <c r="B673" s="25"/>
      <c r="C673" s="25"/>
      <c r="D673" s="25"/>
      <c r="E673" s="25" t="s">
        <v>1333</v>
      </c>
      <c r="F673" s="25" t="str">
        <f t="array" ref="F673">IFERROR(_xlfn.XLOOKUP('Form responses 2'!C673,'Item List'!$I$2:$I$995,'Item List'!C$2:$F$995),"")</f>
        <v/>
      </c>
    </row>
    <row r="674">
      <c r="A674" s="25"/>
      <c r="B674" s="25"/>
      <c r="C674" s="25"/>
      <c r="D674" s="25"/>
      <c r="E674" s="25" t="s">
        <v>1333</v>
      </c>
      <c r="F674" s="25" t="str">
        <f t="array" ref="F674">IFERROR(_xlfn.XLOOKUP('Form responses 2'!C674,'Item List'!$I$2:$I$995,'Item List'!C$2:$F$995),"")</f>
        <v/>
      </c>
    </row>
    <row r="675">
      <c r="A675" s="25"/>
      <c r="B675" s="25"/>
      <c r="C675" s="25"/>
      <c r="D675" s="25"/>
      <c r="E675" s="25" t="s">
        <v>1333</v>
      </c>
      <c r="F675" s="25" t="str">
        <f t="array" ref="F675">IFERROR(_xlfn.XLOOKUP('Form responses 2'!C675,'Item List'!$I$2:$I$995,'Item List'!C$2:$F$995),"")</f>
        <v/>
      </c>
    </row>
    <row r="676">
      <c r="A676" s="25"/>
      <c r="B676" s="25"/>
      <c r="C676" s="25"/>
      <c r="D676" s="25"/>
      <c r="E676" s="25" t="s">
        <v>1333</v>
      </c>
      <c r="F676" s="25" t="str">
        <f t="array" ref="F676">IFERROR(_xlfn.XLOOKUP('Form responses 2'!C676,'Item List'!$I$2:$I$995,'Item List'!C$2:$F$995),"")</f>
        <v/>
      </c>
    </row>
    <row r="677">
      <c r="A677" s="25"/>
      <c r="B677" s="25"/>
      <c r="C677" s="25"/>
      <c r="D677" s="25"/>
      <c r="E677" s="25" t="s">
        <v>1333</v>
      </c>
      <c r="F677" s="25" t="str">
        <f t="array" ref="F677">IFERROR(_xlfn.XLOOKUP('Form responses 2'!C677,'Item List'!$I$2:$I$995,'Item List'!C$2:$F$995),"")</f>
        <v/>
      </c>
    </row>
    <row r="678">
      <c r="A678" s="25"/>
      <c r="B678" s="25"/>
      <c r="C678" s="25"/>
      <c r="D678" s="25"/>
      <c r="E678" s="25" t="s">
        <v>1333</v>
      </c>
      <c r="F678" s="25" t="str">
        <f t="array" ref="F678">IFERROR(_xlfn.XLOOKUP('Form responses 2'!C678,'Item List'!$I$2:$I$995,'Item List'!C$2:$F$995),"")</f>
        <v/>
      </c>
    </row>
    <row r="679">
      <c r="A679" s="25"/>
      <c r="B679" s="25"/>
      <c r="C679" s="25"/>
      <c r="D679" s="25"/>
      <c r="E679" s="25" t="s">
        <v>1333</v>
      </c>
      <c r="F679" s="25" t="str">
        <f t="array" ref="F679">IFERROR(_xlfn.XLOOKUP('Form responses 2'!C679,'Item List'!$I$2:$I$995,'Item List'!C$2:$F$995),"")</f>
        <v/>
      </c>
    </row>
    <row r="680">
      <c r="A680" s="25"/>
      <c r="B680" s="25"/>
      <c r="C680" s="25"/>
      <c r="D680" s="25"/>
      <c r="E680" s="25" t="s">
        <v>1333</v>
      </c>
      <c r="F680" s="25" t="str">
        <f t="array" ref="F680">IFERROR(_xlfn.XLOOKUP('Form responses 2'!C680,'Item List'!$I$2:$I$995,'Item List'!C$2:$F$995),"")</f>
        <v/>
      </c>
    </row>
    <row r="681">
      <c r="A681" s="25"/>
      <c r="B681" s="25"/>
      <c r="C681" s="25"/>
      <c r="D681" s="25"/>
      <c r="E681" s="25" t="s">
        <v>1333</v>
      </c>
      <c r="F681" s="25" t="str">
        <f t="array" ref="F681">IFERROR(_xlfn.XLOOKUP('Form responses 2'!C681,'Item List'!$I$2:$I$995,'Item List'!C$2:$F$995),"")</f>
        <v/>
      </c>
    </row>
    <row r="682">
      <c r="A682" s="25"/>
      <c r="B682" s="25"/>
      <c r="C682" s="25"/>
      <c r="D682" s="25"/>
      <c r="E682" s="25" t="s">
        <v>1333</v>
      </c>
      <c r="F682" s="25" t="str">
        <f t="array" ref="F682">IFERROR(_xlfn.XLOOKUP('Form responses 2'!C682,'Item List'!$I$2:$I$995,'Item List'!C$2:$F$995),"")</f>
        <v/>
      </c>
    </row>
    <row r="683">
      <c r="A683" s="25"/>
      <c r="B683" s="25"/>
      <c r="C683" s="25"/>
      <c r="D683" s="25"/>
      <c r="E683" s="25" t="s">
        <v>1333</v>
      </c>
      <c r="F683" s="25" t="str">
        <f t="array" ref="F683">IFERROR(_xlfn.XLOOKUP('Form responses 2'!C683,'Item List'!$I$2:$I$995,'Item List'!C$2:$F$995),"")</f>
        <v/>
      </c>
    </row>
    <row r="684">
      <c r="A684" s="25"/>
      <c r="B684" s="25"/>
      <c r="C684" s="25"/>
      <c r="D684" s="25"/>
      <c r="E684" s="25" t="s">
        <v>1333</v>
      </c>
      <c r="F684" s="25" t="str">
        <f t="array" ref="F684">IFERROR(_xlfn.XLOOKUP('Form responses 2'!C684,'Item List'!$I$2:$I$995,'Item List'!C$2:$F$995),"")</f>
        <v/>
      </c>
    </row>
    <row r="685">
      <c r="A685" s="25"/>
      <c r="B685" s="25"/>
      <c r="C685" s="25"/>
      <c r="D685" s="25"/>
      <c r="E685" s="25" t="s">
        <v>1333</v>
      </c>
      <c r="F685" s="25" t="str">
        <f t="array" ref="F685">IFERROR(_xlfn.XLOOKUP('Form responses 2'!C685,'Item List'!$I$2:$I$995,'Item List'!C$2:$F$995),"")</f>
        <v/>
      </c>
    </row>
    <row r="686">
      <c r="A686" s="25"/>
      <c r="B686" s="25"/>
      <c r="C686" s="25"/>
      <c r="D686" s="25"/>
      <c r="E686" s="25" t="s">
        <v>1333</v>
      </c>
      <c r="F686" s="25" t="str">
        <f t="array" ref="F686">IFERROR(_xlfn.XLOOKUP('Form responses 2'!C686,'Item List'!$I$2:$I$995,'Item List'!C$2:$F$995),"")</f>
        <v/>
      </c>
    </row>
    <row r="687">
      <c r="A687" s="25"/>
      <c r="B687" s="25"/>
      <c r="C687" s="25"/>
      <c r="D687" s="25"/>
      <c r="E687" s="25" t="s">
        <v>1333</v>
      </c>
      <c r="F687" s="25" t="str">
        <f t="array" ref="F687">IFERROR(_xlfn.XLOOKUP('Form responses 2'!C687,'Item List'!$I$2:$I$995,'Item List'!C$2:$F$995),"")</f>
        <v/>
      </c>
    </row>
    <row r="688">
      <c r="A688" s="25"/>
      <c r="B688" s="25"/>
      <c r="C688" s="25"/>
      <c r="D688" s="25"/>
      <c r="E688" s="25" t="s">
        <v>1333</v>
      </c>
      <c r="F688" s="25" t="str">
        <f t="array" ref="F688">IFERROR(_xlfn.XLOOKUP('Form responses 2'!C688,'Item List'!$I$2:$I$995,'Item List'!C$2:$F$995),"")</f>
        <v/>
      </c>
    </row>
    <row r="689">
      <c r="A689" s="25"/>
      <c r="B689" s="25"/>
      <c r="C689" s="25"/>
      <c r="D689" s="25"/>
      <c r="E689" s="25" t="s">
        <v>1333</v>
      </c>
      <c r="F689" s="25" t="str">
        <f t="array" ref="F689">IFERROR(_xlfn.XLOOKUP('Form responses 2'!C689,'Item List'!$I$2:$I$995,'Item List'!C$2:$F$995),"")</f>
        <v/>
      </c>
    </row>
    <row r="690">
      <c r="A690" s="25"/>
      <c r="B690" s="25"/>
      <c r="C690" s="25"/>
      <c r="D690" s="25"/>
      <c r="E690" s="25" t="s">
        <v>1333</v>
      </c>
      <c r="F690" s="25" t="str">
        <f t="array" ref="F690">IFERROR(_xlfn.XLOOKUP('Form responses 2'!C690,'Item List'!$I$2:$I$995,'Item List'!C$2:$F$995),"")</f>
        <v/>
      </c>
    </row>
    <row r="691">
      <c r="A691" s="25"/>
      <c r="B691" s="25"/>
      <c r="C691" s="25"/>
      <c r="D691" s="25"/>
      <c r="E691" s="25" t="s">
        <v>1333</v>
      </c>
      <c r="F691" s="25" t="str">
        <f t="array" ref="F691">IFERROR(_xlfn.XLOOKUP('Form responses 2'!C691,'Item List'!$I$2:$I$995,'Item List'!C$2:$F$995),"")</f>
        <v/>
      </c>
    </row>
    <row r="692">
      <c r="A692" s="25"/>
      <c r="B692" s="25"/>
      <c r="C692" s="25"/>
      <c r="D692" s="25"/>
      <c r="E692" s="25" t="s">
        <v>1333</v>
      </c>
      <c r="F692" s="25" t="str">
        <f t="array" ref="F692">IFERROR(_xlfn.XLOOKUP('Form responses 2'!C692,'Item List'!$I$2:$I$995,'Item List'!C$2:$F$995),"")</f>
        <v/>
      </c>
    </row>
    <row r="693">
      <c r="A693" s="25"/>
      <c r="B693" s="25"/>
      <c r="C693" s="25"/>
      <c r="D693" s="25"/>
      <c r="E693" s="25" t="s">
        <v>1333</v>
      </c>
      <c r="F693" s="25" t="str">
        <f t="array" ref="F693">IFERROR(_xlfn.XLOOKUP('Form responses 2'!C693,'Item List'!$I$2:$I$995,'Item List'!C$2:$F$995),"")</f>
        <v/>
      </c>
    </row>
    <row r="694">
      <c r="A694" s="25"/>
      <c r="B694" s="25"/>
      <c r="C694" s="25"/>
      <c r="D694" s="25"/>
      <c r="E694" s="25" t="s">
        <v>1333</v>
      </c>
      <c r="F694" s="25" t="str">
        <f t="array" ref="F694">IFERROR(_xlfn.XLOOKUP('Form responses 2'!C694,'Item List'!$I$2:$I$995,'Item List'!C$2:$F$995),"")</f>
        <v/>
      </c>
    </row>
    <row r="695">
      <c r="A695" s="25"/>
      <c r="B695" s="25"/>
      <c r="C695" s="25"/>
      <c r="D695" s="25"/>
      <c r="E695" s="25" t="s">
        <v>1333</v>
      </c>
      <c r="F695" s="25" t="str">
        <f t="array" ref="F695">IFERROR(_xlfn.XLOOKUP('Form responses 2'!C695,'Item List'!$I$2:$I$995,'Item List'!C$2:$F$995),"")</f>
        <v/>
      </c>
    </row>
    <row r="696">
      <c r="A696" s="25"/>
      <c r="B696" s="25"/>
      <c r="C696" s="25"/>
      <c r="D696" s="25"/>
      <c r="E696" s="25" t="s">
        <v>1333</v>
      </c>
      <c r="F696" s="25" t="str">
        <f t="array" ref="F696">IFERROR(_xlfn.XLOOKUP('Form responses 2'!C696,'Item List'!$I$2:$I$995,'Item List'!C$2:$F$995),"")</f>
        <v/>
      </c>
    </row>
    <row r="697">
      <c r="A697" s="25"/>
      <c r="B697" s="25"/>
      <c r="C697" s="25"/>
      <c r="D697" s="25"/>
      <c r="E697" s="25" t="s">
        <v>1333</v>
      </c>
      <c r="F697" s="25" t="str">
        <f t="array" ref="F697">IFERROR(_xlfn.XLOOKUP('Form responses 2'!C697,'Item List'!$I$2:$I$995,'Item List'!C$2:$F$995),"")</f>
        <v/>
      </c>
    </row>
    <row r="698">
      <c r="A698" s="25"/>
      <c r="B698" s="25"/>
      <c r="C698" s="25"/>
      <c r="D698" s="25"/>
      <c r="E698" s="25" t="s">
        <v>1333</v>
      </c>
      <c r="F698" s="25" t="str">
        <f t="array" ref="F698">IFERROR(_xlfn.XLOOKUP('Form responses 2'!C698,'Item List'!$I$2:$I$995,'Item List'!C$2:$F$995),"")</f>
        <v/>
      </c>
    </row>
    <row r="699">
      <c r="A699" s="25"/>
      <c r="B699" s="25"/>
      <c r="C699" s="25"/>
      <c r="D699" s="25"/>
      <c r="E699" s="25" t="s">
        <v>1333</v>
      </c>
      <c r="F699" s="25" t="str">
        <f t="array" ref="F699">IFERROR(_xlfn.XLOOKUP('Form responses 2'!C699,'Item List'!$I$2:$I$995,'Item List'!C$2:$F$995),"")</f>
        <v/>
      </c>
    </row>
    <row r="700">
      <c r="A700" s="25"/>
      <c r="B700" s="25"/>
      <c r="C700" s="25"/>
      <c r="D700" s="25"/>
      <c r="E700" s="25" t="s">
        <v>1333</v>
      </c>
      <c r="F700" s="25" t="str">
        <f t="array" ref="F700">IFERROR(_xlfn.XLOOKUP('Form responses 2'!C700,'Item List'!$I$2:$I$995,'Item List'!C$2:$F$995),"")</f>
        <v/>
      </c>
    </row>
    <row r="701">
      <c r="A701" s="25"/>
      <c r="B701" s="25"/>
      <c r="C701" s="25"/>
      <c r="D701" s="25"/>
      <c r="E701" s="25" t="s">
        <v>1333</v>
      </c>
      <c r="F701" s="25" t="str">
        <f t="array" ref="F701">IFERROR(_xlfn.XLOOKUP('Form responses 2'!C701,'Item List'!$I$2:$I$995,'Item List'!C$2:$F$995),"")</f>
        <v/>
      </c>
    </row>
    <row r="702">
      <c r="A702" s="25"/>
      <c r="B702" s="25"/>
      <c r="C702" s="25"/>
      <c r="D702" s="25"/>
      <c r="E702" s="25" t="s">
        <v>1333</v>
      </c>
      <c r="F702" s="25" t="str">
        <f t="array" ref="F702">IFERROR(_xlfn.XLOOKUP('Form responses 2'!C702,'Item List'!$I$2:$I$995,'Item List'!C$2:$F$995),"")</f>
        <v/>
      </c>
    </row>
    <row r="703">
      <c r="A703" s="25"/>
      <c r="B703" s="25"/>
      <c r="C703" s="25"/>
      <c r="D703" s="25"/>
      <c r="E703" s="25" t="s">
        <v>1333</v>
      </c>
      <c r="F703" s="25" t="str">
        <f t="array" ref="F703">IFERROR(_xlfn.XLOOKUP('Form responses 2'!C703,'Item List'!$I$2:$I$995,'Item List'!C$2:$F$995),"")</f>
        <v/>
      </c>
    </row>
    <row r="704">
      <c r="A704" s="25"/>
      <c r="B704" s="25"/>
      <c r="C704" s="25"/>
      <c r="D704" s="25"/>
      <c r="E704" s="25" t="s">
        <v>1333</v>
      </c>
      <c r="F704" s="25" t="str">
        <f t="array" ref="F704">IFERROR(_xlfn.XLOOKUP('Form responses 2'!C704,'Item List'!$I$2:$I$995,'Item List'!C$2:$F$995),"")</f>
        <v/>
      </c>
    </row>
    <row r="705">
      <c r="A705" s="25"/>
      <c r="B705" s="25"/>
      <c r="C705" s="25"/>
      <c r="D705" s="25"/>
      <c r="E705" s="25" t="s">
        <v>1333</v>
      </c>
      <c r="F705" s="25" t="str">
        <f t="array" ref="F705">IFERROR(_xlfn.XLOOKUP('Form responses 2'!C705,'Item List'!$I$2:$I$995,'Item List'!C$2:$F$995),"")</f>
        <v/>
      </c>
    </row>
    <row r="706">
      <c r="A706" s="25"/>
      <c r="B706" s="25"/>
      <c r="C706" s="25"/>
      <c r="D706" s="25"/>
      <c r="E706" s="25" t="s">
        <v>1333</v>
      </c>
      <c r="F706" s="25" t="str">
        <f t="array" ref="F706">IFERROR(_xlfn.XLOOKUP('Form responses 2'!C706,'Item List'!$I$2:$I$995,'Item List'!C$2:$F$995),"")</f>
        <v/>
      </c>
    </row>
    <row r="707">
      <c r="A707" s="25"/>
      <c r="B707" s="25"/>
      <c r="C707" s="25"/>
      <c r="D707" s="25"/>
      <c r="E707" s="25" t="s">
        <v>1333</v>
      </c>
      <c r="F707" s="25" t="str">
        <f t="array" ref="F707">IFERROR(_xlfn.XLOOKUP('Form responses 2'!C707,'Item List'!$I$2:$I$995,'Item List'!C$2:$F$995),"")</f>
        <v/>
      </c>
    </row>
    <row r="708">
      <c r="A708" s="25"/>
      <c r="B708" s="25"/>
      <c r="C708" s="25"/>
      <c r="D708" s="25"/>
      <c r="E708" s="25" t="s">
        <v>1333</v>
      </c>
      <c r="F708" s="25" t="str">
        <f t="array" ref="F708">IFERROR(_xlfn.XLOOKUP('Form responses 2'!C708,'Item List'!$I$2:$I$995,'Item List'!C$2:$F$995),"")</f>
        <v/>
      </c>
    </row>
    <row r="709">
      <c r="A709" s="25"/>
      <c r="B709" s="25"/>
      <c r="C709" s="25"/>
      <c r="D709" s="25"/>
      <c r="E709" s="25" t="s">
        <v>1333</v>
      </c>
      <c r="F709" s="25" t="str">
        <f t="array" ref="F709">IFERROR(_xlfn.XLOOKUP('Form responses 2'!C709,'Item List'!$I$2:$I$995,'Item List'!C$2:$F$995),"")</f>
        <v/>
      </c>
    </row>
    <row r="710">
      <c r="A710" s="25"/>
      <c r="B710" s="25"/>
      <c r="C710" s="25"/>
      <c r="D710" s="25"/>
      <c r="E710" s="25" t="s">
        <v>1333</v>
      </c>
      <c r="F710" s="25" t="str">
        <f t="array" ref="F710">IFERROR(_xlfn.XLOOKUP('Form responses 2'!C710,'Item List'!$I$2:$I$995,'Item List'!C$2:$F$995),"")</f>
        <v/>
      </c>
    </row>
    <row r="711">
      <c r="A711" s="25"/>
      <c r="B711" s="25"/>
      <c r="C711" s="25"/>
      <c r="D711" s="25"/>
      <c r="E711" s="25" t="s">
        <v>1333</v>
      </c>
      <c r="F711" s="25" t="str">
        <f t="array" ref="F711">IFERROR(_xlfn.XLOOKUP('Form responses 2'!C711,'Item List'!$I$2:$I$995,'Item List'!C$2:$F$995),"")</f>
        <v/>
      </c>
    </row>
    <row r="712">
      <c r="A712" s="25"/>
      <c r="B712" s="25"/>
      <c r="C712" s="25"/>
      <c r="D712" s="25"/>
      <c r="E712" s="25" t="s">
        <v>1333</v>
      </c>
      <c r="F712" s="25" t="str">
        <f t="array" ref="F712">IFERROR(_xlfn.XLOOKUP('Form responses 2'!C712,'Item List'!$I$2:$I$995,'Item List'!C$2:$F$995),"")</f>
        <v/>
      </c>
    </row>
    <row r="713">
      <c r="A713" s="25"/>
      <c r="B713" s="25"/>
      <c r="C713" s="25"/>
      <c r="D713" s="25"/>
      <c r="E713" s="25" t="s">
        <v>1333</v>
      </c>
      <c r="F713" s="25" t="str">
        <f t="array" ref="F713">IFERROR(_xlfn.XLOOKUP('Form responses 2'!C713,'Item List'!$I$2:$I$995,'Item List'!C$2:$F$995),"")</f>
        <v/>
      </c>
    </row>
    <row r="714">
      <c r="A714" s="25"/>
      <c r="B714" s="25"/>
      <c r="C714" s="25"/>
      <c r="D714" s="25"/>
      <c r="E714" s="25" t="s">
        <v>1333</v>
      </c>
      <c r="F714" s="25" t="str">
        <f t="array" ref="F714">IFERROR(_xlfn.XLOOKUP('Form responses 2'!C714,'Item List'!$I$2:$I$995,'Item List'!C$2:$F$995),"")</f>
        <v/>
      </c>
    </row>
    <row r="715">
      <c r="A715" s="25"/>
      <c r="B715" s="25"/>
      <c r="C715" s="25"/>
      <c r="D715" s="25"/>
      <c r="E715" s="25" t="s">
        <v>1333</v>
      </c>
      <c r="F715" s="25" t="str">
        <f t="array" ref="F715">IFERROR(_xlfn.XLOOKUP('Form responses 2'!C715,'Item List'!$I$2:$I$995,'Item List'!C$2:$F$995),"")</f>
        <v/>
      </c>
    </row>
    <row r="716">
      <c r="A716" s="25"/>
      <c r="B716" s="25"/>
      <c r="C716" s="25"/>
      <c r="D716" s="25"/>
      <c r="E716" s="25" t="s">
        <v>1333</v>
      </c>
      <c r="F716" s="25" t="str">
        <f t="array" ref="F716">IFERROR(_xlfn.XLOOKUP('Form responses 2'!C716,'Item List'!$I$2:$I$995,'Item List'!C$2:$F$995),"")</f>
        <v/>
      </c>
    </row>
    <row r="717">
      <c r="A717" s="25"/>
      <c r="B717" s="25"/>
      <c r="C717" s="25"/>
      <c r="D717" s="25"/>
      <c r="E717" s="25" t="s">
        <v>1333</v>
      </c>
      <c r="F717" s="25" t="str">
        <f t="array" ref="F717">IFERROR(_xlfn.XLOOKUP('Form responses 2'!C717,'Item List'!$I$2:$I$995,'Item List'!C$2:$F$995),"")</f>
        <v/>
      </c>
    </row>
    <row r="718">
      <c r="A718" s="25"/>
      <c r="B718" s="25"/>
      <c r="C718" s="25"/>
      <c r="D718" s="25"/>
      <c r="E718" s="25" t="s">
        <v>1333</v>
      </c>
      <c r="F718" s="25" t="str">
        <f t="array" ref="F718">IFERROR(_xlfn.XLOOKUP('Form responses 2'!C718,'Item List'!$I$2:$I$995,'Item List'!C$2:$F$995),"")</f>
        <v/>
      </c>
    </row>
    <row r="719">
      <c r="A719" s="25"/>
      <c r="B719" s="25"/>
      <c r="C719" s="25"/>
      <c r="D719" s="25"/>
      <c r="E719" s="25" t="s">
        <v>1333</v>
      </c>
      <c r="F719" s="25" t="str">
        <f t="array" ref="F719">IFERROR(_xlfn.XLOOKUP('Form responses 2'!C719,'Item List'!$I$2:$I$995,'Item List'!C$2:$F$995),"")</f>
        <v/>
      </c>
    </row>
    <row r="720">
      <c r="A720" s="25"/>
      <c r="B720" s="25"/>
      <c r="C720" s="25"/>
      <c r="D720" s="25"/>
      <c r="E720" s="25" t="s">
        <v>1333</v>
      </c>
      <c r="F720" s="25" t="str">
        <f t="array" ref="F720">IFERROR(_xlfn.XLOOKUP('Form responses 2'!C720,'Item List'!$I$2:$I$995,'Item List'!C$2:$F$995),"")</f>
        <v/>
      </c>
    </row>
    <row r="721">
      <c r="A721" s="25"/>
      <c r="B721" s="25"/>
      <c r="C721" s="25"/>
      <c r="D721" s="25"/>
      <c r="E721" s="25" t="s">
        <v>1333</v>
      </c>
      <c r="F721" s="25" t="str">
        <f t="array" ref="F721">IFERROR(_xlfn.XLOOKUP('Form responses 2'!C721,'Item List'!$I$2:$I$995,'Item List'!C$2:$F$995),"")</f>
        <v/>
      </c>
    </row>
    <row r="722">
      <c r="A722" s="25"/>
      <c r="B722" s="25"/>
      <c r="C722" s="25"/>
      <c r="D722" s="25"/>
      <c r="E722" s="25" t="s">
        <v>1333</v>
      </c>
      <c r="F722" s="25" t="str">
        <f t="array" ref="F722">IFERROR(_xlfn.XLOOKUP('Form responses 2'!C722,'Item List'!$I$2:$I$995,'Item List'!C$2:$F$995),"")</f>
        <v/>
      </c>
    </row>
    <row r="723">
      <c r="A723" s="25"/>
      <c r="B723" s="25"/>
      <c r="C723" s="25"/>
      <c r="D723" s="25"/>
      <c r="E723" s="25" t="s">
        <v>1333</v>
      </c>
      <c r="F723" s="25" t="str">
        <f t="array" ref="F723">IFERROR(_xlfn.XLOOKUP('Form responses 2'!C723,'Item List'!$I$2:$I$995,'Item List'!C$2:$F$995),"")</f>
        <v/>
      </c>
    </row>
    <row r="724">
      <c r="A724" s="25"/>
      <c r="B724" s="25"/>
      <c r="C724" s="25"/>
      <c r="D724" s="25"/>
      <c r="E724" s="25" t="s">
        <v>1333</v>
      </c>
      <c r="F724" s="25" t="str">
        <f t="array" ref="F724">IFERROR(_xlfn.XLOOKUP('Form responses 2'!C724,'Item List'!$I$2:$I$995,'Item List'!C$2:$F$995),"")</f>
        <v/>
      </c>
    </row>
    <row r="725">
      <c r="A725" s="25"/>
      <c r="B725" s="25"/>
      <c r="C725" s="25"/>
      <c r="D725" s="25"/>
      <c r="E725" s="25" t="s">
        <v>1333</v>
      </c>
      <c r="F725" s="25" t="str">
        <f t="array" ref="F725">IFERROR(_xlfn.XLOOKUP('Form responses 2'!C725,'Item List'!$I$2:$I$995,'Item List'!C$2:$F$995),"")</f>
        <v/>
      </c>
    </row>
    <row r="726">
      <c r="A726" s="25"/>
      <c r="B726" s="25"/>
      <c r="C726" s="25"/>
      <c r="D726" s="25"/>
      <c r="E726" s="25" t="s">
        <v>1333</v>
      </c>
      <c r="F726" s="25" t="str">
        <f t="array" ref="F726">IFERROR(_xlfn.XLOOKUP('Form responses 2'!C726,'Item List'!$I$2:$I$995,'Item List'!C$2:$F$995),"")</f>
        <v/>
      </c>
    </row>
    <row r="727">
      <c r="A727" s="25"/>
      <c r="B727" s="25"/>
      <c r="C727" s="25"/>
      <c r="D727" s="25"/>
      <c r="E727" s="25" t="s">
        <v>1333</v>
      </c>
      <c r="F727" s="25" t="str">
        <f t="array" ref="F727">IFERROR(_xlfn.XLOOKUP('Form responses 2'!C727,'Item List'!$I$2:$I$995,'Item List'!C$2:$F$995),"")</f>
        <v/>
      </c>
    </row>
    <row r="728">
      <c r="A728" s="25"/>
      <c r="B728" s="25"/>
      <c r="C728" s="25"/>
      <c r="D728" s="25"/>
      <c r="E728" s="25" t="s">
        <v>1333</v>
      </c>
      <c r="F728" s="25" t="str">
        <f t="array" ref="F728">IFERROR(_xlfn.XLOOKUP('Form responses 2'!C728,'Item List'!$I$2:$I$995,'Item List'!C$2:$F$995),"")</f>
        <v/>
      </c>
    </row>
    <row r="729">
      <c r="A729" s="25"/>
      <c r="B729" s="25"/>
      <c r="C729" s="25"/>
      <c r="D729" s="25"/>
      <c r="E729" s="25" t="s">
        <v>1333</v>
      </c>
      <c r="F729" s="25" t="str">
        <f t="array" ref="F729">IFERROR(_xlfn.XLOOKUP('Form responses 2'!C729,'Item List'!$I$2:$I$995,'Item List'!C$2:$F$995),"")</f>
        <v/>
      </c>
    </row>
    <row r="730">
      <c r="A730" s="25"/>
      <c r="B730" s="25"/>
      <c r="C730" s="25"/>
      <c r="D730" s="25"/>
      <c r="E730" s="25" t="s">
        <v>1333</v>
      </c>
      <c r="F730" s="25" t="str">
        <f t="array" ref="F730">IFERROR(_xlfn.XLOOKUP('Form responses 2'!C730,'Item List'!$I$2:$I$995,'Item List'!C$2:$F$995),"")</f>
        <v/>
      </c>
    </row>
    <row r="731">
      <c r="A731" s="25"/>
      <c r="B731" s="25"/>
      <c r="C731" s="25"/>
      <c r="D731" s="25"/>
      <c r="E731" s="25" t="s">
        <v>1333</v>
      </c>
      <c r="F731" s="25" t="str">
        <f t="array" ref="F731">IFERROR(_xlfn.XLOOKUP('Form responses 2'!C731,'Item List'!$I$2:$I$995,'Item List'!C$2:$F$995),"")</f>
        <v/>
      </c>
    </row>
    <row r="732">
      <c r="A732" s="25"/>
      <c r="B732" s="25"/>
      <c r="C732" s="25"/>
      <c r="D732" s="25"/>
      <c r="E732" s="25" t="s">
        <v>1333</v>
      </c>
      <c r="F732" s="25" t="str">
        <f t="array" ref="F732">IFERROR(_xlfn.XLOOKUP('Form responses 2'!C732,'Item List'!$I$2:$I$995,'Item List'!C$2:$F$995),"")</f>
        <v/>
      </c>
    </row>
    <row r="733">
      <c r="A733" s="25"/>
      <c r="B733" s="25"/>
      <c r="C733" s="25"/>
      <c r="D733" s="25"/>
      <c r="E733" s="25" t="s">
        <v>1333</v>
      </c>
      <c r="F733" s="25" t="str">
        <f t="array" ref="F733">IFERROR(_xlfn.XLOOKUP('Form responses 2'!C733,'Item List'!$I$2:$I$995,'Item List'!C$2:$F$995),"")</f>
        <v/>
      </c>
    </row>
    <row r="734">
      <c r="A734" s="25"/>
      <c r="B734" s="25"/>
      <c r="C734" s="25"/>
      <c r="D734" s="25"/>
      <c r="E734" s="25" t="s">
        <v>1333</v>
      </c>
      <c r="F734" s="25" t="str">
        <f t="array" ref="F734">IFERROR(_xlfn.XLOOKUP('Form responses 2'!C734,'Item List'!$I$2:$I$995,'Item List'!C$2:$F$995),"")</f>
        <v/>
      </c>
    </row>
    <row r="735">
      <c r="A735" s="25"/>
      <c r="B735" s="25"/>
      <c r="C735" s="25"/>
      <c r="D735" s="25"/>
      <c r="E735" s="25" t="s">
        <v>1333</v>
      </c>
      <c r="F735" s="25" t="str">
        <f t="array" ref="F735">IFERROR(_xlfn.XLOOKUP('Form responses 2'!C735,'Item List'!$I$2:$I$995,'Item List'!C$2:$F$995),"")</f>
        <v/>
      </c>
    </row>
    <row r="736">
      <c r="A736" s="25"/>
      <c r="B736" s="25"/>
      <c r="C736" s="25"/>
      <c r="D736" s="25"/>
      <c r="E736" s="25" t="s">
        <v>1333</v>
      </c>
      <c r="F736" s="25" t="str">
        <f t="array" ref="F736">IFERROR(_xlfn.XLOOKUP('Form responses 2'!C736,'Item List'!$I$2:$I$995,'Item List'!C$2:$F$995),"")</f>
        <v/>
      </c>
    </row>
    <row r="737">
      <c r="A737" s="25"/>
      <c r="B737" s="25"/>
      <c r="C737" s="25"/>
      <c r="D737" s="25"/>
      <c r="E737" s="25" t="s">
        <v>1333</v>
      </c>
      <c r="F737" s="25" t="str">
        <f t="array" ref="F737">IFERROR(_xlfn.XLOOKUP('Form responses 2'!C737,'Item List'!$I$2:$I$995,'Item List'!C$2:$F$995),"")</f>
        <v/>
      </c>
    </row>
    <row r="738">
      <c r="A738" s="25"/>
      <c r="B738" s="25"/>
      <c r="C738" s="25"/>
      <c r="D738" s="25"/>
      <c r="E738" s="25" t="s">
        <v>1333</v>
      </c>
      <c r="F738" s="25" t="str">
        <f t="array" ref="F738">IFERROR(_xlfn.XLOOKUP('Form responses 2'!C738,'Item List'!$I$2:$I$995,'Item List'!C$2:$F$995),"")</f>
        <v/>
      </c>
    </row>
    <row r="739">
      <c r="A739" s="25"/>
      <c r="B739" s="25"/>
      <c r="C739" s="25"/>
      <c r="D739" s="25"/>
      <c r="E739" s="25" t="s">
        <v>1333</v>
      </c>
      <c r="F739" s="25" t="str">
        <f t="array" ref="F739">IFERROR(_xlfn.XLOOKUP('Form responses 2'!C739,'Item List'!$I$2:$I$995,'Item List'!C$2:$F$995),"")</f>
        <v/>
      </c>
    </row>
    <row r="740">
      <c r="A740" s="25"/>
      <c r="B740" s="25"/>
      <c r="C740" s="25"/>
      <c r="D740" s="25"/>
      <c r="E740" s="25" t="s">
        <v>1333</v>
      </c>
      <c r="F740" s="25" t="str">
        <f t="array" ref="F740">IFERROR(_xlfn.XLOOKUP('Form responses 2'!C740,'Item List'!$I$2:$I$995,'Item List'!C$2:$F$995),"")</f>
        <v/>
      </c>
    </row>
    <row r="741">
      <c r="A741" s="25"/>
      <c r="B741" s="25"/>
      <c r="C741" s="25"/>
      <c r="D741" s="25"/>
      <c r="E741" s="25" t="s">
        <v>1333</v>
      </c>
      <c r="F741" s="25" t="str">
        <f t="array" ref="F741">IFERROR(_xlfn.XLOOKUP('Form responses 2'!C741,'Item List'!$I$2:$I$995,'Item List'!C$2:$F$995),"")</f>
        <v/>
      </c>
    </row>
    <row r="742">
      <c r="A742" s="25"/>
      <c r="B742" s="25"/>
      <c r="C742" s="25"/>
      <c r="D742" s="25"/>
      <c r="E742" s="25" t="s">
        <v>1333</v>
      </c>
      <c r="F742" s="25" t="str">
        <f t="array" ref="F742">IFERROR(_xlfn.XLOOKUP('Form responses 2'!C742,'Item List'!$I$2:$I$995,'Item List'!C$2:$F$995),"")</f>
        <v/>
      </c>
    </row>
    <row r="743">
      <c r="A743" s="25"/>
      <c r="B743" s="25"/>
      <c r="C743" s="25"/>
      <c r="D743" s="25"/>
      <c r="E743" s="25" t="s">
        <v>1333</v>
      </c>
      <c r="F743" s="25" t="str">
        <f t="array" ref="F743">IFERROR(_xlfn.XLOOKUP('Form responses 2'!C743,'Item List'!$I$2:$I$995,'Item List'!C$2:$F$995),"")</f>
        <v/>
      </c>
    </row>
    <row r="744">
      <c r="A744" s="25"/>
      <c r="B744" s="25"/>
      <c r="C744" s="25"/>
      <c r="D744" s="25"/>
      <c r="E744" s="25" t="s">
        <v>1333</v>
      </c>
      <c r="F744" s="25" t="str">
        <f t="array" ref="F744">IFERROR(_xlfn.XLOOKUP('Form responses 2'!C744,'Item List'!$I$2:$I$995,'Item List'!C$2:$F$995),"")</f>
        <v/>
      </c>
    </row>
    <row r="745">
      <c r="A745" s="25"/>
      <c r="B745" s="25"/>
      <c r="C745" s="25"/>
      <c r="D745" s="25"/>
      <c r="E745" s="25" t="s">
        <v>1333</v>
      </c>
      <c r="F745" s="25" t="str">
        <f t="array" ref="F745">IFERROR(_xlfn.XLOOKUP('Form responses 2'!C745,'Item List'!$I$2:$I$995,'Item List'!C$2:$F$995),"")</f>
        <v/>
      </c>
    </row>
    <row r="746">
      <c r="A746" s="25"/>
      <c r="B746" s="25"/>
      <c r="C746" s="25"/>
      <c r="D746" s="25"/>
      <c r="E746" s="25" t="s">
        <v>1333</v>
      </c>
      <c r="F746" s="25" t="str">
        <f t="array" ref="F746">IFERROR(_xlfn.XLOOKUP('Form responses 2'!C746,'Item List'!$I$2:$I$995,'Item List'!C$2:$F$995),"")</f>
        <v/>
      </c>
    </row>
    <row r="747">
      <c r="A747" s="25"/>
      <c r="B747" s="25"/>
      <c r="C747" s="25"/>
      <c r="D747" s="25"/>
      <c r="E747" s="25" t="s">
        <v>1333</v>
      </c>
      <c r="F747" s="25" t="str">
        <f t="array" ref="F747">IFERROR(_xlfn.XLOOKUP('Form responses 2'!C747,'Item List'!$I$2:$I$995,'Item List'!C$2:$F$995),"")</f>
        <v/>
      </c>
    </row>
    <row r="748">
      <c r="A748" s="25"/>
      <c r="B748" s="25"/>
      <c r="C748" s="25"/>
      <c r="D748" s="25"/>
      <c r="E748" s="25" t="s">
        <v>1333</v>
      </c>
      <c r="F748" s="25" t="str">
        <f t="array" ref="F748">IFERROR(_xlfn.XLOOKUP('Form responses 2'!C748,'Item List'!$I$2:$I$995,'Item List'!C$2:$F$995),"")</f>
        <v/>
      </c>
    </row>
    <row r="749">
      <c r="A749" s="25"/>
      <c r="B749" s="25"/>
      <c r="C749" s="25"/>
      <c r="D749" s="25"/>
      <c r="E749" s="25" t="s">
        <v>1333</v>
      </c>
      <c r="F749" s="25" t="str">
        <f t="array" ref="F749">IFERROR(_xlfn.XLOOKUP('Form responses 2'!C749,'Item List'!$I$2:$I$995,'Item List'!C$2:$F$995),"")</f>
        <v/>
      </c>
    </row>
    <row r="750">
      <c r="A750" s="25"/>
      <c r="B750" s="25"/>
      <c r="C750" s="25"/>
      <c r="D750" s="25"/>
      <c r="E750" s="25" t="s">
        <v>1333</v>
      </c>
      <c r="F750" s="25" t="str">
        <f t="array" ref="F750">IFERROR(_xlfn.XLOOKUP('Form responses 2'!C750,'Item List'!$I$2:$I$995,'Item List'!C$2:$F$995),"")</f>
        <v/>
      </c>
    </row>
    <row r="751">
      <c r="A751" s="25"/>
      <c r="B751" s="25"/>
      <c r="C751" s="25"/>
      <c r="D751" s="25"/>
      <c r="E751" s="25" t="s">
        <v>1333</v>
      </c>
      <c r="F751" s="25" t="str">
        <f t="array" ref="F751">IFERROR(_xlfn.XLOOKUP('Form responses 2'!C751,'Item List'!$I$2:$I$995,'Item List'!C$2:$F$995),"")</f>
        <v/>
      </c>
    </row>
    <row r="752">
      <c r="A752" s="25"/>
      <c r="B752" s="25"/>
      <c r="C752" s="25"/>
      <c r="D752" s="25"/>
      <c r="E752" s="25" t="s">
        <v>1333</v>
      </c>
      <c r="F752" s="25" t="str">
        <f t="array" ref="F752">IFERROR(_xlfn.XLOOKUP('Form responses 2'!C752,'Item List'!$I$2:$I$995,'Item List'!C$2:$F$995),"")</f>
        <v/>
      </c>
    </row>
    <row r="753">
      <c r="A753" s="25"/>
      <c r="B753" s="25"/>
      <c r="C753" s="25"/>
      <c r="D753" s="25"/>
      <c r="E753" s="25" t="s">
        <v>1333</v>
      </c>
      <c r="F753" s="25" t="str">
        <f t="array" ref="F753">IFERROR(_xlfn.XLOOKUP('Form responses 2'!C753,'Item List'!$I$2:$I$995,'Item List'!C$2:$F$995),"")</f>
        <v/>
      </c>
    </row>
    <row r="754">
      <c r="A754" s="25"/>
      <c r="B754" s="25"/>
      <c r="C754" s="25"/>
      <c r="D754" s="25"/>
      <c r="E754" s="25" t="s">
        <v>1333</v>
      </c>
      <c r="F754" s="25" t="str">
        <f t="array" ref="F754">IFERROR(_xlfn.XLOOKUP('Form responses 2'!C754,'Item List'!$I$2:$I$995,'Item List'!C$2:$F$995),"")</f>
        <v/>
      </c>
    </row>
    <row r="755">
      <c r="A755" s="25"/>
      <c r="B755" s="25"/>
      <c r="C755" s="25"/>
      <c r="D755" s="25"/>
      <c r="E755" s="25" t="s">
        <v>1333</v>
      </c>
      <c r="F755" s="25" t="str">
        <f t="array" ref="F755">IFERROR(_xlfn.XLOOKUP('Form responses 2'!C755,'Item List'!$I$2:$I$995,'Item List'!C$2:$F$995),"")</f>
        <v/>
      </c>
    </row>
    <row r="756">
      <c r="A756" s="25"/>
      <c r="B756" s="25"/>
      <c r="C756" s="25"/>
      <c r="D756" s="25"/>
      <c r="E756" s="25" t="s">
        <v>1333</v>
      </c>
      <c r="F756" s="25" t="str">
        <f t="array" ref="F756">IFERROR(_xlfn.XLOOKUP('Form responses 2'!C756,'Item List'!$I$2:$I$995,'Item List'!C$2:$F$995),"")</f>
        <v/>
      </c>
    </row>
    <row r="757">
      <c r="A757" s="25"/>
      <c r="B757" s="25"/>
      <c r="C757" s="25"/>
      <c r="D757" s="25"/>
      <c r="E757" s="25" t="s">
        <v>1333</v>
      </c>
      <c r="F757" s="25" t="str">
        <f t="array" ref="F757">IFERROR(_xlfn.XLOOKUP('Form responses 2'!C757,'Item List'!$I$2:$I$995,'Item List'!C$2:$F$995),"")</f>
        <v/>
      </c>
    </row>
    <row r="758">
      <c r="A758" s="25"/>
      <c r="B758" s="25"/>
      <c r="C758" s="25"/>
      <c r="D758" s="25"/>
      <c r="E758" s="25" t="s">
        <v>1333</v>
      </c>
      <c r="F758" s="25" t="str">
        <f t="array" ref="F758">IFERROR(_xlfn.XLOOKUP('Form responses 2'!C758,'Item List'!$I$2:$I$995,'Item List'!C$2:$F$995),"")</f>
        <v/>
      </c>
    </row>
    <row r="759">
      <c r="A759" s="25"/>
      <c r="B759" s="25"/>
      <c r="C759" s="25"/>
      <c r="D759" s="25"/>
      <c r="E759" s="25" t="s">
        <v>1333</v>
      </c>
      <c r="F759" s="25" t="str">
        <f t="array" ref="F759">IFERROR(_xlfn.XLOOKUP('Form responses 2'!C759,'Item List'!$I$2:$I$995,'Item List'!C$2:$F$995),"")</f>
        <v/>
      </c>
    </row>
    <row r="760">
      <c r="A760" s="25"/>
      <c r="B760" s="25"/>
      <c r="C760" s="25"/>
      <c r="D760" s="25"/>
      <c r="E760" s="25" t="s">
        <v>1333</v>
      </c>
      <c r="F760" s="25" t="str">
        <f t="array" ref="F760">IFERROR(_xlfn.XLOOKUP('Form responses 2'!C760,'Item List'!$I$2:$I$995,'Item List'!C$2:$F$995),"")</f>
        <v/>
      </c>
    </row>
    <row r="761">
      <c r="A761" s="25"/>
      <c r="B761" s="25"/>
      <c r="C761" s="25"/>
      <c r="D761" s="25"/>
      <c r="E761" s="25" t="s">
        <v>1333</v>
      </c>
      <c r="F761" s="25" t="str">
        <f t="array" ref="F761">IFERROR(_xlfn.XLOOKUP('Form responses 2'!C761,'Item List'!$I$2:$I$995,'Item List'!C$2:$F$995),"")</f>
        <v/>
      </c>
    </row>
    <row r="762">
      <c r="A762" s="25"/>
      <c r="B762" s="25"/>
      <c r="C762" s="25"/>
      <c r="D762" s="25"/>
      <c r="E762" s="25" t="s">
        <v>1333</v>
      </c>
      <c r="F762" s="25" t="str">
        <f t="array" ref="F762">IFERROR(_xlfn.XLOOKUP('Form responses 2'!C762,'Item List'!$I$2:$I$995,'Item List'!C$2:$F$995),"")</f>
        <v/>
      </c>
    </row>
    <row r="763">
      <c r="A763" s="25"/>
      <c r="B763" s="25"/>
      <c r="C763" s="25"/>
      <c r="D763" s="25"/>
      <c r="E763" s="25" t="s">
        <v>1333</v>
      </c>
      <c r="F763" s="25" t="str">
        <f t="array" ref="F763">IFERROR(_xlfn.XLOOKUP('Form responses 2'!C763,'Item List'!$I$2:$I$995,'Item List'!C$2:$F$995),"")</f>
        <v/>
      </c>
    </row>
    <row r="764">
      <c r="A764" s="25"/>
      <c r="B764" s="25"/>
      <c r="C764" s="25"/>
      <c r="D764" s="25"/>
      <c r="E764" s="25" t="s">
        <v>1333</v>
      </c>
      <c r="F764" s="25" t="str">
        <f t="array" ref="F764">IFERROR(_xlfn.XLOOKUP('Form responses 2'!C764,'Item List'!$I$2:$I$995,'Item List'!C$2:$F$995),"")</f>
        <v/>
      </c>
    </row>
    <row r="765">
      <c r="A765" s="25"/>
      <c r="B765" s="25"/>
      <c r="C765" s="25"/>
      <c r="D765" s="25"/>
      <c r="E765" s="25" t="s">
        <v>1333</v>
      </c>
      <c r="F765" s="25" t="str">
        <f t="array" ref="F765">IFERROR(_xlfn.XLOOKUP('Form responses 2'!C765,'Item List'!$I$2:$I$995,'Item List'!C$2:$F$995),"")</f>
        <v/>
      </c>
    </row>
    <row r="766">
      <c r="A766" s="25"/>
      <c r="B766" s="25"/>
      <c r="C766" s="25"/>
      <c r="D766" s="25"/>
      <c r="E766" s="25" t="s">
        <v>1333</v>
      </c>
      <c r="F766" s="25" t="str">
        <f t="array" ref="F766">IFERROR(_xlfn.XLOOKUP('Form responses 2'!C766,'Item List'!$I$2:$I$995,'Item List'!C$2:$F$995),"")</f>
        <v/>
      </c>
    </row>
    <row r="767">
      <c r="A767" s="25"/>
      <c r="B767" s="25"/>
      <c r="C767" s="25"/>
      <c r="D767" s="25"/>
      <c r="E767" s="25" t="s">
        <v>1333</v>
      </c>
      <c r="F767" s="25" t="str">
        <f t="array" ref="F767">IFERROR(_xlfn.XLOOKUP('Form responses 2'!C767,'Item List'!$I$2:$I$995,'Item List'!C$2:$F$995),"")</f>
        <v/>
      </c>
    </row>
    <row r="768">
      <c r="A768" s="25"/>
      <c r="B768" s="25"/>
      <c r="C768" s="25"/>
      <c r="D768" s="25"/>
      <c r="E768" s="25" t="s">
        <v>1333</v>
      </c>
      <c r="F768" s="25" t="str">
        <f t="array" ref="F768">IFERROR(_xlfn.XLOOKUP('Form responses 2'!C768,'Item List'!$I$2:$I$995,'Item List'!C$2:$F$995),"")</f>
        <v/>
      </c>
    </row>
    <row r="769">
      <c r="A769" s="25"/>
      <c r="B769" s="25"/>
      <c r="C769" s="25"/>
      <c r="D769" s="25"/>
      <c r="E769" s="25" t="s">
        <v>1333</v>
      </c>
      <c r="F769" s="25" t="str">
        <f t="array" ref="F769">IFERROR(_xlfn.XLOOKUP('Form responses 2'!C769,'Item List'!$I$2:$I$995,'Item List'!C$2:$F$995),"")</f>
        <v/>
      </c>
    </row>
    <row r="770">
      <c r="A770" s="25"/>
      <c r="B770" s="25"/>
      <c r="C770" s="25"/>
      <c r="D770" s="25"/>
      <c r="E770" s="25" t="s">
        <v>1333</v>
      </c>
      <c r="F770" s="25" t="str">
        <f t="array" ref="F770">IFERROR(_xlfn.XLOOKUP('Form responses 2'!C770,'Item List'!$I$2:$I$995,'Item List'!C$2:$F$995),"")</f>
        <v/>
      </c>
    </row>
    <row r="771">
      <c r="A771" s="25"/>
      <c r="B771" s="25"/>
      <c r="C771" s="25"/>
      <c r="D771" s="25"/>
      <c r="E771" s="25" t="s">
        <v>1333</v>
      </c>
      <c r="F771" s="25" t="str">
        <f t="array" ref="F771">IFERROR(_xlfn.XLOOKUP('Form responses 2'!C771,'Item List'!$I$2:$I$995,'Item List'!C$2:$F$995),"")</f>
        <v/>
      </c>
    </row>
    <row r="772">
      <c r="A772" s="25"/>
      <c r="B772" s="25"/>
      <c r="C772" s="25"/>
      <c r="D772" s="25"/>
      <c r="E772" s="25" t="s">
        <v>1333</v>
      </c>
      <c r="F772" s="25" t="str">
        <f t="array" ref="F772">IFERROR(_xlfn.XLOOKUP('Form responses 2'!C772,'Item List'!$I$2:$I$995,'Item List'!C$2:$F$995),"")</f>
        <v/>
      </c>
    </row>
    <row r="773">
      <c r="A773" s="25"/>
      <c r="B773" s="25"/>
      <c r="C773" s="25"/>
      <c r="D773" s="25"/>
      <c r="E773" s="25" t="s">
        <v>1333</v>
      </c>
      <c r="F773" s="25" t="str">
        <f t="array" ref="F773">IFERROR(_xlfn.XLOOKUP('Form responses 2'!C773,'Item List'!$I$2:$I$995,'Item List'!C$2:$F$995),"")</f>
        <v/>
      </c>
    </row>
    <row r="774">
      <c r="A774" s="25"/>
      <c r="B774" s="25"/>
      <c r="C774" s="25"/>
      <c r="D774" s="25"/>
      <c r="E774" s="25" t="s">
        <v>1333</v>
      </c>
      <c r="F774" s="25" t="str">
        <f t="array" ref="F774">IFERROR(_xlfn.XLOOKUP('Form responses 2'!C774,'Item List'!$I$2:$I$995,'Item List'!C$2:$F$995),"")</f>
        <v/>
      </c>
    </row>
    <row r="775">
      <c r="A775" s="25"/>
      <c r="B775" s="25"/>
      <c r="C775" s="25"/>
      <c r="D775" s="25"/>
      <c r="E775" s="25" t="s">
        <v>1333</v>
      </c>
      <c r="F775" s="25" t="str">
        <f t="array" ref="F775">IFERROR(_xlfn.XLOOKUP('Form responses 2'!C775,'Item List'!$I$2:$I$995,'Item List'!C$2:$F$995),"")</f>
        <v/>
      </c>
    </row>
    <row r="776">
      <c r="A776" s="25"/>
      <c r="B776" s="25"/>
      <c r="C776" s="25"/>
      <c r="D776" s="25"/>
      <c r="E776" s="25" t="s">
        <v>1333</v>
      </c>
      <c r="F776" s="25" t="str">
        <f t="array" ref="F776">IFERROR(_xlfn.XLOOKUP('Form responses 2'!C776,'Item List'!$I$2:$I$995,'Item List'!C$2:$F$995),"")</f>
        <v/>
      </c>
    </row>
    <row r="777">
      <c r="A777" s="25"/>
      <c r="B777" s="25"/>
      <c r="C777" s="25"/>
      <c r="D777" s="25"/>
      <c r="E777" s="25" t="s">
        <v>1333</v>
      </c>
      <c r="F777" s="25" t="str">
        <f t="array" ref="F777">IFERROR(_xlfn.XLOOKUP('Form responses 2'!C777,'Item List'!$I$2:$I$995,'Item List'!C$2:$F$995),"")</f>
        <v/>
      </c>
    </row>
    <row r="778">
      <c r="A778" s="25"/>
      <c r="B778" s="25"/>
      <c r="C778" s="25"/>
      <c r="D778" s="25"/>
      <c r="E778" s="25" t="s">
        <v>1333</v>
      </c>
      <c r="F778" s="25" t="str">
        <f t="array" ref="F778">IFERROR(_xlfn.XLOOKUP('Form responses 2'!C778,'Item List'!$I$2:$I$995,'Item List'!C$2:$F$995),"")</f>
        <v/>
      </c>
    </row>
    <row r="779">
      <c r="A779" s="25"/>
      <c r="B779" s="25"/>
      <c r="C779" s="25"/>
      <c r="D779" s="25"/>
      <c r="E779" s="25" t="s">
        <v>1333</v>
      </c>
      <c r="F779" s="25" t="str">
        <f t="array" ref="F779">IFERROR(_xlfn.XLOOKUP('Form responses 2'!C779,'Item List'!$I$2:$I$995,'Item List'!C$2:$F$995),"")</f>
        <v/>
      </c>
    </row>
    <row r="780">
      <c r="A780" s="25"/>
      <c r="B780" s="25"/>
      <c r="C780" s="25"/>
      <c r="D780" s="25"/>
      <c r="E780" s="25" t="s">
        <v>1333</v>
      </c>
      <c r="F780" s="25" t="str">
        <f t="array" ref="F780">IFERROR(_xlfn.XLOOKUP('Form responses 2'!C780,'Item List'!$I$2:$I$995,'Item List'!C$2:$F$995),"")</f>
        <v/>
      </c>
    </row>
    <row r="781">
      <c r="A781" s="25"/>
      <c r="B781" s="25"/>
      <c r="C781" s="25"/>
      <c r="D781" s="25"/>
      <c r="E781" s="25" t="s">
        <v>1333</v>
      </c>
      <c r="F781" s="25" t="str">
        <f t="array" ref="F781">IFERROR(_xlfn.XLOOKUP('Form responses 2'!C781,'Item List'!$I$2:$I$995,'Item List'!C$2:$F$995),"")</f>
        <v/>
      </c>
    </row>
    <row r="782">
      <c r="A782" s="25"/>
      <c r="B782" s="25"/>
      <c r="C782" s="25"/>
      <c r="D782" s="25"/>
      <c r="E782" s="25" t="s">
        <v>1333</v>
      </c>
      <c r="F782" s="25" t="str">
        <f t="array" ref="F782">IFERROR(_xlfn.XLOOKUP('Form responses 2'!C782,'Item List'!$I$2:$I$995,'Item List'!C$2:$F$995),"")</f>
        <v/>
      </c>
    </row>
    <row r="783">
      <c r="A783" s="25"/>
      <c r="B783" s="25"/>
      <c r="C783" s="25"/>
      <c r="D783" s="25"/>
      <c r="E783" s="25" t="s">
        <v>1333</v>
      </c>
      <c r="F783" s="25" t="str">
        <f t="array" ref="F783">IFERROR(_xlfn.XLOOKUP('Form responses 2'!C783,'Item List'!$I$2:$I$995,'Item List'!C$2:$F$995),"")</f>
        <v/>
      </c>
    </row>
    <row r="784">
      <c r="A784" s="25"/>
      <c r="B784" s="25"/>
      <c r="C784" s="25"/>
      <c r="D784" s="25"/>
      <c r="E784" s="25" t="s">
        <v>1333</v>
      </c>
      <c r="F784" s="25" t="str">
        <f t="array" ref="F784">IFERROR(_xlfn.XLOOKUP('Form responses 2'!C784,'Item List'!$I$2:$I$995,'Item List'!C$2:$F$995),"")</f>
        <v/>
      </c>
    </row>
    <row r="785">
      <c r="A785" s="25"/>
      <c r="B785" s="25"/>
      <c r="C785" s="25"/>
      <c r="D785" s="25"/>
      <c r="E785" s="25" t="s">
        <v>1333</v>
      </c>
      <c r="F785" s="25" t="str">
        <f t="array" ref="F785">IFERROR(_xlfn.XLOOKUP('Form responses 2'!C785,'Item List'!$I$2:$I$995,'Item List'!C$2:$F$995),"")</f>
        <v/>
      </c>
    </row>
    <row r="786">
      <c r="A786" s="25"/>
      <c r="B786" s="25"/>
      <c r="C786" s="25"/>
      <c r="D786" s="25"/>
      <c r="E786" s="25" t="s">
        <v>1333</v>
      </c>
      <c r="F786" s="25" t="str">
        <f t="array" ref="F786">IFERROR(_xlfn.XLOOKUP('Form responses 2'!C786,'Item List'!$I$2:$I$995,'Item List'!C$2:$F$995),"")</f>
        <v/>
      </c>
    </row>
    <row r="787">
      <c r="A787" s="25"/>
      <c r="B787" s="25"/>
      <c r="C787" s="25"/>
      <c r="D787" s="25"/>
      <c r="E787" s="25" t="s">
        <v>1333</v>
      </c>
      <c r="F787" s="25" t="str">
        <f t="array" ref="F787">IFERROR(_xlfn.XLOOKUP('Form responses 2'!C787,'Item List'!$I$2:$I$995,'Item List'!C$2:$F$995),"")</f>
        <v/>
      </c>
    </row>
    <row r="788">
      <c r="A788" s="25"/>
      <c r="B788" s="25"/>
      <c r="C788" s="25"/>
      <c r="D788" s="25"/>
      <c r="E788" s="25" t="s">
        <v>1333</v>
      </c>
      <c r="F788" s="25" t="str">
        <f t="array" ref="F788">IFERROR(_xlfn.XLOOKUP('Form responses 2'!C788,'Item List'!$I$2:$I$995,'Item List'!C$2:$F$995),"")</f>
        <v/>
      </c>
    </row>
    <row r="789">
      <c r="A789" s="25"/>
      <c r="B789" s="25"/>
      <c r="C789" s="25"/>
      <c r="D789" s="25"/>
      <c r="E789" s="25" t="s">
        <v>1333</v>
      </c>
      <c r="F789" s="25" t="str">
        <f t="array" ref="F789">IFERROR(_xlfn.XLOOKUP('Form responses 2'!C789,'Item List'!$I$2:$I$995,'Item List'!C$2:$F$995),"")</f>
        <v/>
      </c>
    </row>
    <row r="790">
      <c r="A790" s="25"/>
      <c r="B790" s="25"/>
      <c r="C790" s="25"/>
      <c r="D790" s="25"/>
      <c r="E790" s="25" t="s">
        <v>1333</v>
      </c>
      <c r="F790" s="25" t="str">
        <f t="array" ref="F790">IFERROR(_xlfn.XLOOKUP('Form responses 2'!C790,'Item List'!$I$2:$I$995,'Item List'!C$2:$F$995),"")</f>
        <v/>
      </c>
    </row>
    <row r="791">
      <c r="A791" s="25"/>
      <c r="B791" s="25"/>
      <c r="C791" s="25"/>
      <c r="D791" s="25"/>
      <c r="E791" s="25" t="s">
        <v>1333</v>
      </c>
      <c r="F791" s="25" t="str">
        <f t="array" ref="F791">IFERROR(_xlfn.XLOOKUP('Form responses 2'!C791,'Item List'!$I$2:$I$995,'Item List'!C$2:$F$995),"")</f>
        <v/>
      </c>
    </row>
    <row r="792">
      <c r="A792" s="25"/>
      <c r="B792" s="25"/>
      <c r="C792" s="25"/>
      <c r="D792" s="25"/>
      <c r="E792" s="25" t="s">
        <v>1333</v>
      </c>
      <c r="F792" s="25" t="str">
        <f t="array" ref="F792">IFERROR(_xlfn.XLOOKUP('Form responses 2'!C792,'Item List'!$I$2:$I$995,'Item List'!C$2:$F$995),"")</f>
        <v/>
      </c>
    </row>
    <row r="793">
      <c r="A793" s="25"/>
      <c r="B793" s="25"/>
      <c r="C793" s="25"/>
      <c r="D793" s="25"/>
      <c r="E793" s="25" t="s">
        <v>1333</v>
      </c>
      <c r="F793" s="25" t="str">
        <f t="array" ref="F793">IFERROR(_xlfn.XLOOKUP('Form responses 2'!C793,'Item List'!$I$2:$I$995,'Item List'!C$2:$F$995),"")</f>
        <v/>
      </c>
    </row>
    <row r="794">
      <c r="A794" s="25"/>
      <c r="B794" s="25"/>
      <c r="C794" s="25"/>
      <c r="D794" s="25"/>
      <c r="E794" s="25" t="s">
        <v>1333</v>
      </c>
      <c r="F794" s="25" t="str">
        <f t="array" ref="F794">IFERROR(_xlfn.XLOOKUP('Form responses 2'!C794,'Item List'!$I$2:$I$995,'Item List'!C$2:$F$995),"")</f>
        <v/>
      </c>
    </row>
    <row r="795">
      <c r="A795" s="25"/>
      <c r="B795" s="25"/>
      <c r="C795" s="25"/>
      <c r="D795" s="25"/>
      <c r="E795" s="25" t="s">
        <v>1333</v>
      </c>
      <c r="F795" s="25" t="str">
        <f t="array" ref="F795">IFERROR(_xlfn.XLOOKUP('Form responses 2'!C795,'Item List'!$I$2:$I$995,'Item List'!C$2:$F$995),"")</f>
        <v/>
      </c>
    </row>
    <row r="796">
      <c r="A796" s="25"/>
      <c r="B796" s="25"/>
      <c r="C796" s="25"/>
      <c r="D796" s="25"/>
      <c r="E796" s="25" t="s">
        <v>1333</v>
      </c>
      <c r="F796" s="25" t="str">
        <f t="array" ref="F796">IFERROR(_xlfn.XLOOKUP('Form responses 2'!C796,'Item List'!$I$2:$I$995,'Item List'!C$2:$F$995),"")</f>
        <v/>
      </c>
    </row>
    <row r="797">
      <c r="A797" s="25"/>
      <c r="B797" s="25"/>
      <c r="C797" s="25"/>
      <c r="D797" s="25"/>
      <c r="E797" s="25" t="s">
        <v>1333</v>
      </c>
      <c r="F797" s="25" t="str">
        <f t="array" ref="F797">IFERROR(_xlfn.XLOOKUP('Form responses 2'!C797,'Item List'!$I$2:$I$995,'Item List'!C$2:$F$995),"")</f>
        <v/>
      </c>
    </row>
    <row r="798">
      <c r="A798" s="25"/>
      <c r="B798" s="25"/>
      <c r="C798" s="25"/>
      <c r="D798" s="25"/>
      <c r="E798" s="25" t="s">
        <v>1333</v>
      </c>
      <c r="F798" s="25" t="str">
        <f t="array" ref="F798">IFERROR(_xlfn.XLOOKUP('Form responses 2'!C798,'Item List'!$I$2:$I$995,'Item List'!C$2:$F$995),"")</f>
        <v/>
      </c>
    </row>
    <row r="799">
      <c r="A799" s="25"/>
      <c r="B799" s="25"/>
      <c r="C799" s="25"/>
      <c r="D799" s="25"/>
      <c r="E799" s="25" t="s">
        <v>1333</v>
      </c>
      <c r="F799" s="25" t="str">
        <f t="array" ref="F799">IFERROR(_xlfn.XLOOKUP('Form responses 2'!C799,'Item List'!$I$2:$I$995,'Item List'!C$2:$F$995),"")</f>
        <v/>
      </c>
    </row>
    <row r="800">
      <c r="A800" s="25"/>
      <c r="B800" s="25"/>
      <c r="C800" s="25"/>
      <c r="D800" s="25"/>
      <c r="E800" s="25" t="s">
        <v>1333</v>
      </c>
      <c r="F800" s="25" t="str">
        <f t="array" ref="F800">IFERROR(_xlfn.XLOOKUP('Form responses 2'!C800,'Item List'!$I$2:$I$995,'Item List'!C$2:$F$995),"")</f>
        <v/>
      </c>
    </row>
    <row r="801">
      <c r="A801" s="25"/>
      <c r="B801" s="25"/>
      <c r="C801" s="25"/>
      <c r="D801" s="25"/>
      <c r="E801" s="25" t="s">
        <v>1333</v>
      </c>
      <c r="F801" s="25" t="str">
        <f t="array" ref="F801">IFERROR(_xlfn.XLOOKUP('Form responses 2'!C801,'Item List'!$I$2:$I$995,'Item List'!C$2:$F$995),"")</f>
        <v/>
      </c>
    </row>
    <row r="802">
      <c r="A802" s="25"/>
      <c r="B802" s="25"/>
      <c r="C802" s="25"/>
      <c r="D802" s="25"/>
      <c r="E802" s="25" t="s">
        <v>1333</v>
      </c>
      <c r="F802" s="25" t="str">
        <f t="array" ref="F802">IFERROR(_xlfn.XLOOKUP('Form responses 2'!C802,'Item List'!$I$2:$I$995,'Item List'!C$2:$F$995),"")</f>
        <v/>
      </c>
    </row>
    <row r="803">
      <c r="A803" s="25"/>
      <c r="B803" s="25"/>
      <c r="C803" s="25"/>
      <c r="D803" s="25"/>
      <c r="E803" s="25" t="s">
        <v>1333</v>
      </c>
      <c r="F803" s="25" t="str">
        <f t="array" ref="F803">IFERROR(_xlfn.XLOOKUP('Form responses 2'!C803,'Item List'!$I$2:$I$995,'Item List'!C$2:$F$995),"")</f>
        <v/>
      </c>
    </row>
    <row r="804">
      <c r="A804" s="25"/>
      <c r="B804" s="25"/>
      <c r="C804" s="25"/>
      <c r="D804" s="25"/>
      <c r="E804" s="25" t="s">
        <v>1333</v>
      </c>
      <c r="F804" s="25" t="str">
        <f t="array" ref="F804">IFERROR(_xlfn.XLOOKUP('Form responses 2'!C804,'Item List'!$I$2:$I$995,'Item List'!C$2:$F$995),"")</f>
        <v/>
      </c>
    </row>
    <row r="805">
      <c r="A805" s="25"/>
      <c r="B805" s="25"/>
      <c r="C805" s="25"/>
      <c r="D805" s="25"/>
      <c r="E805" s="25" t="s">
        <v>1333</v>
      </c>
      <c r="F805" s="25" t="str">
        <f t="array" ref="F805">IFERROR(_xlfn.XLOOKUP('Form responses 2'!C805,'Item List'!$I$2:$I$995,'Item List'!C$2:$F$995),"")</f>
        <v/>
      </c>
    </row>
    <row r="806">
      <c r="A806" s="25"/>
      <c r="B806" s="25"/>
      <c r="C806" s="25"/>
      <c r="D806" s="25"/>
      <c r="E806" s="25" t="s">
        <v>1333</v>
      </c>
      <c r="F806" s="25" t="str">
        <f t="array" ref="F806">IFERROR(_xlfn.XLOOKUP('Form responses 2'!C806,'Item List'!$I$2:$I$995,'Item List'!C$2:$F$995),"")</f>
        <v/>
      </c>
    </row>
    <row r="807">
      <c r="A807" s="25"/>
      <c r="B807" s="25"/>
      <c r="C807" s="25"/>
      <c r="D807" s="25"/>
      <c r="E807" s="25" t="s">
        <v>1333</v>
      </c>
      <c r="F807" s="25" t="str">
        <f t="array" ref="F807">IFERROR(_xlfn.XLOOKUP('Form responses 2'!C807,'Item List'!$I$2:$I$995,'Item List'!C$2:$F$995),"")</f>
        <v/>
      </c>
    </row>
    <row r="808">
      <c r="A808" s="25"/>
      <c r="B808" s="25"/>
      <c r="C808" s="25"/>
      <c r="D808" s="25"/>
      <c r="E808" s="25" t="s">
        <v>1333</v>
      </c>
      <c r="F808" s="25" t="str">
        <f t="array" ref="F808">IFERROR(_xlfn.XLOOKUP('Form responses 2'!C808,'Item List'!$I$2:$I$995,'Item List'!C$2:$F$995),"")</f>
        <v/>
      </c>
    </row>
    <row r="809">
      <c r="A809" s="25"/>
      <c r="B809" s="25"/>
      <c r="C809" s="25"/>
      <c r="D809" s="25"/>
      <c r="E809" s="25" t="s">
        <v>1333</v>
      </c>
      <c r="F809" s="25" t="str">
        <f t="array" ref="F809">IFERROR(_xlfn.XLOOKUP('Form responses 2'!C809,'Item List'!$I$2:$I$995,'Item List'!C$2:$F$995),"")</f>
        <v/>
      </c>
    </row>
    <row r="810">
      <c r="A810" s="25"/>
      <c r="B810" s="25"/>
      <c r="C810" s="25"/>
      <c r="D810" s="25"/>
      <c r="E810" s="25" t="s">
        <v>1333</v>
      </c>
      <c r="F810" s="25" t="str">
        <f t="array" ref="F810">IFERROR(_xlfn.XLOOKUP('Form responses 2'!C810,'Item List'!$I$2:$I$995,'Item List'!C$2:$F$995),"")</f>
        <v/>
      </c>
    </row>
    <row r="811">
      <c r="A811" s="25"/>
      <c r="B811" s="25"/>
      <c r="C811" s="25"/>
      <c r="D811" s="25"/>
      <c r="E811" s="25" t="s">
        <v>1333</v>
      </c>
      <c r="F811" s="25" t="str">
        <f t="array" ref="F811">IFERROR(_xlfn.XLOOKUP('Form responses 2'!C811,'Item List'!$I$2:$I$995,'Item List'!C$2:$F$995),"")</f>
        <v/>
      </c>
    </row>
    <row r="812">
      <c r="A812" s="25"/>
      <c r="B812" s="25"/>
      <c r="C812" s="25"/>
      <c r="D812" s="25"/>
      <c r="E812" s="25" t="s">
        <v>1333</v>
      </c>
      <c r="F812" s="25" t="str">
        <f t="array" ref="F812">IFERROR(_xlfn.XLOOKUP('Form responses 2'!C812,'Item List'!$I$2:$I$995,'Item List'!C$2:$F$995),"")</f>
        <v/>
      </c>
    </row>
    <row r="813">
      <c r="A813" s="25"/>
      <c r="B813" s="25"/>
      <c r="C813" s="25"/>
      <c r="D813" s="25"/>
      <c r="E813" s="25" t="s">
        <v>1333</v>
      </c>
      <c r="F813" s="25" t="str">
        <f t="array" ref="F813">IFERROR(_xlfn.XLOOKUP('Form responses 2'!C813,'Item List'!$I$2:$I$995,'Item List'!C$2:$F$995),"")</f>
        <v/>
      </c>
    </row>
    <row r="814">
      <c r="A814" s="25"/>
      <c r="B814" s="25"/>
      <c r="C814" s="25"/>
      <c r="D814" s="25"/>
      <c r="E814" s="25" t="s">
        <v>1333</v>
      </c>
      <c r="F814" s="25" t="str">
        <f t="array" ref="F814">IFERROR(_xlfn.XLOOKUP('Form responses 2'!C814,'Item List'!$I$2:$I$995,'Item List'!C$2:$F$995),"")</f>
        <v/>
      </c>
    </row>
    <row r="815">
      <c r="A815" s="25"/>
      <c r="B815" s="25"/>
      <c r="C815" s="25"/>
      <c r="D815" s="25"/>
      <c r="E815" s="25" t="s">
        <v>1333</v>
      </c>
      <c r="F815" s="25" t="str">
        <f t="array" ref="F815">IFERROR(_xlfn.XLOOKUP('Form responses 2'!C815,'Item List'!$I$2:$I$995,'Item List'!C$2:$F$995),"")</f>
        <v/>
      </c>
    </row>
    <row r="816">
      <c r="A816" s="25"/>
      <c r="B816" s="25"/>
      <c r="C816" s="25"/>
      <c r="D816" s="25"/>
      <c r="E816" s="25" t="s">
        <v>1333</v>
      </c>
      <c r="F816" s="25" t="str">
        <f t="array" ref="F816">IFERROR(_xlfn.XLOOKUP('Form responses 2'!C816,'Item List'!$I$2:$I$995,'Item List'!C$2:$F$995),"")</f>
        <v/>
      </c>
    </row>
    <row r="817">
      <c r="A817" s="25"/>
      <c r="B817" s="25"/>
      <c r="C817" s="25"/>
      <c r="D817" s="25"/>
      <c r="E817" s="25" t="s">
        <v>1333</v>
      </c>
      <c r="F817" s="25" t="str">
        <f t="array" ref="F817">IFERROR(_xlfn.XLOOKUP('Form responses 2'!C817,'Item List'!$I$2:$I$995,'Item List'!C$2:$F$995),"")</f>
        <v/>
      </c>
    </row>
    <row r="818">
      <c r="A818" s="25"/>
      <c r="B818" s="25"/>
      <c r="C818" s="25"/>
      <c r="D818" s="25"/>
      <c r="E818" s="25" t="s">
        <v>1333</v>
      </c>
      <c r="F818" s="25" t="str">
        <f t="array" ref="F818">IFERROR(_xlfn.XLOOKUP('Form responses 2'!C818,'Item List'!$I$2:$I$995,'Item List'!C$2:$F$995),"")</f>
        <v/>
      </c>
    </row>
    <row r="819">
      <c r="A819" s="25"/>
      <c r="B819" s="25"/>
      <c r="C819" s="25"/>
      <c r="D819" s="25"/>
      <c r="E819" s="25" t="s">
        <v>1333</v>
      </c>
      <c r="F819" s="25" t="str">
        <f t="array" ref="F819">IFERROR(_xlfn.XLOOKUP('Form responses 2'!C819,'Item List'!$I$2:$I$995,'Item List'!C$2:$F$995),"")</f>
        <v/>
      </c>
    </row>
    <row r="820">
      <c r="A820" s="25"/>
      <c r="B820" s="25"/>
      <c r="C820" s="25"/>
      <c r="D820" s="25"/>
      <c r="E820" s="25" t="s">
        <v>1333</v>
      </c>
      <c r="F820" s="25" t="str">
        <f t="array" ref="F820">IFERROR(_xlfn.XLOOKUP('Form responses 2'!C820,'Item List'!$I$2:$I$995,'Item List'!C$2:$F$995),"")</f>
        <v/>
      </c>
    </row>
    <row r="821">
      <c r="A821" s="25"/>
      <c r="B821" s="25"/>
      <c r="C821" s="25"/>
      <c r="D821" s="25"/>
      <c r="E821" s="25" t="s">
        <v>1333</v>
      </c>
      <c r="F821" s="25" t="str">
        <f t="array" ref="F821">IFERROR(_xlfn.XLOOKUP('Form responses 2'!C821,'Item List'!$I$2:$I$995,'Item List'!C$2:$F$995),"")</f>
        <v/>
      </c>
    </row>
    <row r="822">
      <c r="A822" s="25"/>
      <c r="B822" s="25"/>
      <c r="C822" s="25"/>
      <c r="D822" s="25"/>
      <c r="E822" s="25" t="s">
        <v>1333</v>
      </c>
      <c r="F822" s="25" t="str">
        <f t="array" ref="F822">IFERROR(_xlfn.XLOOKUP('Form responses 2'!C822,'Item List'!$I$2:$I$995,'Item List'!C$2:$F$995),"")</f>
        <v/>
      </c>
    </row>
    <row r="823">
      <c r="A823" s="25"/>
      <c r="B823" s="25"/>
      <c r="C823" s="25"/>
      <c r="D823" s="25"/>
      <c r="E823" s="25" t="s">
        <v>1333</v>
      </c>
      <c r="F823" s="25" t="str">
        <f t="array" ref="F823">IFERROR(_xlfn.XLOOKUP('Form responses 2'!C823,'Item List'!$I$2:$I$995,'Item List'!C$2:$F$995),"")</f>
        <v/>
      </c>
    </row>
    <row r="824">
      <c r="A824" s="25"/>
      <c r="B824" s="25"/>
      <c r="C824" s="25"/>
      <c r="D824" s="25"/>
      <c r="E824" s="25" t="s">
        <v>1333</v>
      </c>
      <c r="F824" s="25" t="str">
        <f t="array" ref="F824">IFERROR(_xlfn.XLOOKUP('Form responses 2'!C824,'Item List'!$I$2:$I$995,'Item List'!C$2:$F$995),"")</f>
        <v/>
      </c>
    </row>
    <row r="825">
      <c r="A825" s="25"/>
      <c r="B825" s="25"/>
      <c r="C825" s="25"/>
      <c r="D825" s="25"/>
      <c r="E825" s="25" t="s">
        <v>1333</v>
      </c>
      <c r="F825" s="25" t="str">
        <f t="array" ref="F825">IFERROR(_xlfn.XLOOKUP('Form responses 2'!C825,'Item List'!$I$2:$I$995,'Item List'!C$2:$F$995),"")</f>
        <v/>
      </c>
    </row>
    <row r="826">
      <c r="A826" s="25"/>
      <c r="B826" s="25"/>
      <c r="C826" s="25"/>
      <c r="D826" s="25"/>
      <c r="E826" s="25" t="s">
        <v>1333</v>
      </c>
      <c r="F826" s="25" t="str">
        <f t="array" ref="F826">IFERROR(_xlfn.XLOOKUP('Form responses 2'!C826,'Item List'!$I$2:$I$995,'Item List'!C$2:$F$995),"")</f>
        <v/>
      </c>
    </row>
    <row r="827">
      <c r="A827" s="25"/>
      <c r="B827" s="25"/>
      <c r="C827" s="25"/>
      <c r="D827" s="25"/>
      <c r="E827" s="25" t="s">
        <v>1333</v>
      </c>
      <c r="F827" s="25" t="str">
        <f t="array" ref="F827">IFERROR(_xlfn.XLOOKUP('Form responses 2'!C827,'Item List'!$I$2:$I$995,'Item List'!C$2:$F$995),"")</f>
        <v/>
      </c>
    </row>
    <row r="828">
      <c r="A828" s="25"/>
      <c r="B828" s="25"/>
      <c r="C828" s="25"/>
      <c r="D828" s="25"/>
      <c r="E828" s="25" t="s">
        <v>1333</v>
      </c>
      <c r="F828" s="25" t="str">
        <f t="array" ref="F828">IFERROR(_xlfn.XLOOKUP('Form responses 2'!C828,'Item List'!$I$2:$I$995,'Item List'!C$2:$F$995),"")</f>
        <v/>
      </c>
    </row>
    <row r="829">
      <c r="A829" s="25"/>
      <c r="B829" s="25"/>
      <c r="C829" s="25"/>
      <c r="D829" s="25"/>
      <c r="E829" s="25" t="s">
        <v>1333</v>
      </c>
      <c r="F829" s="25" t="str">
        <f t="array" ref="F829">IFERROR(_xlfn.XLOOKUP('Form responses 2'!C829,'Item List'!$I$2:$I$995,'Item List'!C$2:$F$995),"")</f>
        <v/>
      </c>
    </row>
    <row r="830">
      <c r="A830" s="25"/>
      <c r="B830" s="25"/>
      <c r="C830" s="25"/>
      <c r="D830" s="25"/>
      <c r="E830" s="25" t="s">
        <v>1333</v>
      </c>
      <c r="F830" s="25" t="str">
        <f t="array" ref="F830">IFERROR(_xlfn.XLOOKUP('Form responses 2'!C830,'Item List'!$I$2:$I$995,'Item List'!C$2:$F$995),"")</f>
        <v/>
      </c>
    </row>
    <row r="831">
      <c r="A831" s="25"/>
      <c r="B831" s="25"/>
      <c r="C831" s="25"/>
      <c r="D831" s="25"/>
      <c r="E831" s="25" t="s">
        <v>1333</v>
      </c>
      <c r="F831" s="25" t="str">
        <f t="array" ref="F831">IFERROR(_xlfn.XLOOKUP('Form responses 2'!C831,'Item List'!$I$2:$I$995,'Item List'!C$2:$F$995),"")</f>
        <v/>
      </c>
    </row>
    <row r="832">
      <c r="A832" s="25"/>
      <c r="B832" s="25"/>
      <c r="C832" s="25"/>
      <c r="D832" s="25"/>
      <c r="E832" s="25" t="s">
        <v>1333</v>
      </c>
      <c r="F832" s="25" t="str">
        <f t="array" ref="F832">IFERROR(_xlfn.XLOOKUP('Form responses 2'!C832,'Item List'!$I$2:$I$995,'Item List'!C$2:$F$995),"")</f>
        <v/>
      </c>
    </row>
    <row r="833">
      <c r="A833" s="25"/>
      <c r="B833" s="25"/>
      <c r="C833" s="25"/>
      <c r="D833" s="25"/>
      <c r="E833" s="25" t="s">
        <v>1333</v>
      </c>
      <c r="F833" s="25" t="str">
        <f t="array" ref="F833">IFERROR(_xlfn.XLOOKUP('Form responses 2'!C833,'Item List'!$I$2:$I$995,'Item List'!C$2:$F$995),"")</f>
        <v/>
      </c>
    </row>
    <row r="834">
      <c r="A834" s="25"/>
      <c r="B834" s="25"/>
      <c r="C834" s="25"/>
      <c r="D834" s="25"/>
      <c r="E834" s="25" t="s">
        <v>1333</v>
      </c>
      <c r="F834" s="25" t="str">
        <f t="array" ref="F834">IFERROR(_xlfn.XLOOKUP('Form responses 2'!C834,'Item List'!$I$2:$I$995,'Item List'!C$2:$F$995),"")</f>
        <v/>
      </c>
    </row>
    <row r="835">
      <c r="A835" s="25"/>
      <c r="B835" s="25"/>
      <c r="C835" s="25"/>
      <c r="D835" s="25"/>
      <c r="E835" s="25" t="s">
        <v>1333</v>
      </c>
      <c r="F835" s="25" t="str">
        <f t="array" ref="F835">IFERROR(_xlfn.XLOOKUP('Form responses 2'!C835,'Item List'!$I$2:$I$995,'Item List'!C$2:$F$995),"")</f>
        <v/>
      </c>
    </row>
    <row r="836">
      <c r="A836" s="25"/>
      <c r="B836" s="25"/>
      <c r="C836" s="25"/>
      <c r="D836" s="25"/>
      <c r="E836" s="25" t="s">
        <v>1333</v>
      </c>
      <c r="F836" s="25" t="str">
        <f t="array" ref="F836">IFERROR(_xlfn.XLOOKUP('Form responses 2'!C836,'Item List'!$I$2:$I$995,'Item List'!C$2:$F$995),"")</f>
        <v/>
      </c>
    </row>
    <row r="837">
      <c r="A837" s="25"/>
      <c r="B837" s="25"/>
      <c r="C837" s="25"/>
      <c r="D837" s="25"/>
      <c r="E837" s="25" t="s">
        <v>1333</v>
      </c>
      <c r="F837" s="25" t="str">
        <f t="array" ref="F837">IFERROR(_xlfn.XLOOKUP('Form responses 2'!C837,'Item List'!$I$2:$I$995,'Item List'!C$2:$F$995),"")</f>
        <v/>
      </c>
    </row>
    <row r="838">
      <c r="A838" s="25"/>
      <c r="B838" s="25"/>
      <c r="C838" s="25"/>
      <c r="D838" s="25"/>
      <c r="E838" s="25" t="s">
        <v>1333</v>
      </c>
      <c r="F838" s="25" t="str">
        <f t="array" ref="F838">IFERROR(_xlfn.XLOOKUP('Form responses 2'!C838,'Item List'!$I$2:$I$995,'Item List'!C$2:$F$995),"")</f>
        <v/>
      </c>
    </row>
    <row r="839">
      <c r="A839" s="25"/>
      <c r="B839" s="25"/>
      <c r="C839" s="25"/>
      <c r="D839" s="25"/>
      <c r="E839" s="25" t="s">
        <v>1333</v>
      </c>
      <c r="F839" s="25" t="str">
        <f t="array" ref="F839">IFERROR(_xlfn.XLOOKUP('Form responses 2'!C839,'Item List'!$I$2:$I$995,'Item List'!C$2:$F$995),"")</f>
        <v/>
      </c>
    </row>
    <row r="840">
      <c r="A840" s="25"/>
      <c r="B840" s="25"/>
      <c r="C840" s="25"/>
      <c r="D840" s="25"/>
      <c r="E840" s="25" t="s">
        <v>1333</v>
      </c>
      <c r="F840" s="25" t="str">
        <f t="array" ref="F840">IFERROR(_xlfn.XLOOKUP('Form responses 2'!C840,'Item List'!$I$2:$I$995,'Item List'!C$2:$F$995),"")</f>
        <v/>
      </c>
    </row>
    <row r="841">
      <c r="A841" s="25"/>
      <c r="B841" s="25"/>
      <c r="C841" s="25"/>
      <c r="D841" s="25"/>
      <c r="E841" s="25" t="s">
        <v>1333</v>
      </c>
      <c r="F841" s="25" t="str">
        <f t="array" ref="F841">IFERROR(_xlfn.XLOOKUP('Form responses 2'!C841,'Item List'!$I$2:$I$995,'Item List'!C$2:$F$995),"")</f>
        <v/>
      </c>
    </row>
    <row r="842">
      <c r="A842" s="25"/>
      <c r="B842" s="25"/>
      <c r="C842" s="25"/>
      <c r="D842" s="25"/>
      <c r="E842" s="25" t="s">
        <v>1333</v>
      </c>
      <c r="F842" s="25" t="str">
        <f t="array" ref="F842">IFERROR(_xlfn.XLOOKUP('Form responses 2'!C842,'Item List'!$I$2:$I$995,'Item List'!C$2:$F$995),"")</f>
        <v/>
      </c>
    </row>
    <row r="843">
      <c r="A843" s="25"/>
      <c r="B843" s="25"/>
      <c r="C843" s="25"/>
      <c r="D843" s="25"/>
      <c r="E843" s="25" t="s">
        <v>1333</v>
      </c>
      <c r="F843" s="25" t="str">
        <f t="array" ref="F843">IFERROR(_xlfn.XLOOKUP('Form responses 2'!C843,'Item List'!$I$2:$I$995,'Item List'!C$2:$F$995),"")</f>
        <v/>
      </c>
    </row>
    <row r="844">
      <c r="A844" s="25"/>
      <c r="B844" s="25"/>
      <c r="C844" s="25"/>
      <c r="D844" s="25"/>
      <c r="E844" s="25" t="s">
        <v>1333</v>
      </c>
      <c r="F844" s="25" t="str">
        <f t="array" ref="F844">IFERROR(_xlfn.XLOOKUP('Form responses 2'!C844,'Item List'!$I$2:$I$995,'Item List'!C$2:$F$995),"")</f>
        <v/>
      </c>
    </row>
    <row r="845">
      <c r="A845" s="25"/>
      <c r="B845" s="25"/>
      <c r="C845" s="25"/>
      <c r="D845" s="25"/>
      <c r="E845" s="25" t="s">
        <v>1333</v>
      </c>
      <c r="F845" s="25" t="str">
        <f t="array" ref="F845">IFERROR(_xlfn.XLOOKUP('Form responses 2'!C845,'Item List'!$I$2:$I$995,'Item List'!C$2:$F$995),"")</f>
        <v/>
      </c>
    </row>
    <row r="846">
      <c r="A846" s="25"/>
      <c r="B846" s="25"/>
      <c r="C846" s="25"/>
      <c r="D846" s="25"/>
      <c r="E846" s="25" t="s">
        <v>1333</v>
      </c>
      <c r="F846" s="25" t="str">
        <f t="array" ref="F846">IFERROR(_xlfn.XLOOKUP('Form responses 2'!C846,'Item List'!$I$2:$I$995,'Item List'!C$2:$F$995),"")</f>
        <v/>
      </c>
    </row>
    <row r="847">
      <c r="A847" s="25"/>
      <c r="B847" s="25"/>
      <c r="C847" s="25"/>
      <c r="D847" s="25"/>
      <c r="E847" s="25" t="s">
        <v>1333</v>
      </c>
      <c r="F847" s="25" t="str">
        <f t="array" ref="F847">IFERROR(_xlfn.XLOOKUP('Form responses 2'!C847,'Item List'!$I$2:$I$995,'Item List'!C$2:$F$995),"")</f>
        <v/>
      </c>
    </row>
    <row r="848">
      <c r="A848" s="25"/>
      <c r="B848" s="25"/>
      <c r="C848" s="25"/>
      <c r="D848" s="25"/>
      <c r="E848" s="25" t="s">
        <v>1333</v>
      </c>
      <c r="F848" s="25" t="str">
        <f t="array" ref="F848">IFERROR(_xlfn.XLOOKUP('Form responses 2'!C848,'Item List'!$I$2:$I$995,'Item List'!C$2:$F$995),"")</f>
        <v/>
      </c>
    </row>
    <row r="849">
      <c r="A849" s="25"/>
      <c r="B849" s="25"/>
      <c r="C849" s="25"/>
      <c r="D849" s="25"/>
      <c r="E849" s="25" t="s">
        <v>1333</v>
      </c>
      <c r="F849" s="25" t="str">
        <f t="array" ref="F849">IFERROR(_xlfn.XLOOKUP('Form responses 2'!C849,'Item List'!$I$2:$I$995,'Item List'!C$2:$F$995),"")</f>
        <v/>
      </c>
    </row>
    <row r="850">
      <c r="A850" s="25"/>
      <c r="B850" s="25"/>
      <c r="C850" s="25"/>
      <c r="D850" s="25"/>
      <c r="E850" s="25" t="s">
        <v>1333</v>
      </c>
      <c r="F850" s="25" t="str">
        <f t="array" ref="F850">IFERROR(_xlfn.XLOOKUP('Form responses 2'!C850,'Item List'!$I$2:$I$995,'Item List'!C$2:$F$995),"")</f>
        <v/>
      </c>
    </row>
    <row r="851">
      <c r="A851" s="25"/>
      <c r="B851" s="25"/>
      <c r="C851" s="25"/>
      <c r="D851" s="25"/>
      <c r="E851" s="25" t="s">
        <v>1333</v>
      </c>
      <c r="F851" s="25" t="str">
        <f t="array" ref="F851">IFERROR(_xlfn.XLOOKUP('Form responses 2'!C851,'Item List'!$I$2:$I$995,'Item List'!C$2:$F$995),"")</f>
        <v/>
      </c>
    </row>
    <row r="852">
      <c r="A852" s="25"/>
      <c r="B852" s="25"/>
      <c r="C852" s="25"/>
      <c r="D852" s="25"/>
      <c r="E852" s="25" t="s">
        <v>1333</v>
      </c>
      <c r="F852" s="25" t="str">
        <f t="array" ref="F852">IFERROR(_xlfn.XLOOKUP('Form responses 2'!C852,'Item List'!$I$2:$I$995,'Item List'!C$2:$F$995),"")</f>
        <v/>
      </c>
    </row>
    <row r="853">
      <c r="A853" s="25"/>
      <c r="B853" s="25"/>
      <c r="C853" s="25"/>
      <c r="D853" s="25"/>
      <c r="E853" s="25" t="s">
        <v>1333</v>
      </c>
      <c r="F853" s="25" t="str">
        <f t="array" ref="F853">IFERROR(_xlfn.XLOOKUP('Form responses 2'!C853,'Item List'!$I$2:$I$995,'Item List'!C$2:$F$995),"")</f>
        <v/>
      </c>
    </row>
    <row r="854">
      <c r="A854" s="25"/>
      <c r="B854" s="25"/>
      <c r="C854" s="25"/>
      <c r="D854" s="25"/>
      <c r="E854" s="25" t="s">
        <v>1333</v>
      </c>
      <c r="F854" s="25" t="str">
        <f t="array" ref="F854">IFERROR(_xlfn.XLOOKUP('Form responses 2'!C854,'Item List'!$I$2:$I$995,'Item List'!C$2:$F$995),"")</f>
        <v/>
      </c>
    </row>
    <row r="855">
      <c r="A855" s="25"/>
      <c r="B855" s="25"/>
      <c r="C855" s="25"/>
      <c r="D855" s="25"/>
      <c r="E855" s="25" t="s">
        <v>1333</v>
      </c>
      <c r="F855" s="25" t="str">
        <f t="array" ref="F855">IFERROR(_xlfn.XLOOKUP('Form responses 2'!C855,'Item List'!$I$2:$I$995,'Item List'!C$2:$F$995),"")</f>
        <v/>
      </c>
    </row>
    <row r="856">
      <c r="A856" s="25"/>
      <c r="B856" s="25"/>
      <c r="C856" s="25"/>
      <c r="D856" s="25"/>
      <c r="E856" s="25" t="s">
        <v>1333</v>
      </c>
      <c r="F856" s="25" t="str">
        <f t="array" ref="F856">IFERROR(_xlfn.XLOOKUP('Form responses 2'!C856,'Item List'!$I$2:$I$995,'Item List'!C$2:$F$995),"")</f>
        <v/>
      </c>
    </row>
    <row r="857">
      <c r="A857" s="25"/>
      <c r="B857" s="25"/>
      <c r="C857" s="25"/>
      <c r="D857" s="25"/>
      <c r="E857" s="25" t="s">
        <v>1333</v>
      </c>
      <c r="F857" s="25" t="str">
        <f t="array" ref="F857">IFERROR(_xlfn.XLOOKUP('Form responses 2'!C857,'Item List'!$I$2:$I$995,'Item List'!C$2:$F$995),"")</f>
        <v/>
      </c>
    </row>
    <row r="858">
      <c r="A858" s="25"/>
      <c r="B858" s="25"/>
      <c r="C858" s="25"/>
      <c r="D858" s="25"/>
      <c r="E858" s="25" t="s">
        <v>1333</v>
      </c>
      <c r="F858" s="25" t="str">
        <f t="array" ref="F858">IFERROR(_xlfn.XLOOKUP('Form responses 2'!C858,'Item List'!$I$2:$I$995,'Item List'!C$2:$F$995),"")</f>
        <v/>
      </c>
    </row>
    <row r="859">
      <c r="A859" s="25"/>
      <c r="B859" s="25"/>
      <c r="C859" s="25"/>
      <c r="D859" s="25"/>
      <c r="E859" s="25" t="s">
        <v>1333</v>
      </c>
      <c r="F859" s="25" t="str">
        <f t="array" ref="F859">IFERROR(_xlfn.XLOOKUP('Form responses 2'!C859,'Item List'!$I$2:$I$995,'Item List'!C$2:$F$995),"")</f>
        <v/>
      </c>
    </row>
    <row r="860">
      <c r="A860" s="25"/>
      <c r="B860" s="25"/>
      <c r="C860" s="25"/>
      <c r="D860" s="25"/>
      <c r="E860" s="25" t="s">
        <v>1333</v>
      </c>
      <c r="F860" s="25" t="str">
        <f t="array" ref="F860">IFERROR(_xlfn.XLOOKUP('Form responses 2'!C860,'Item List'!$I$2:$I$995,'Item List'!C$2:$F$995),"")</f>
        <v/>
      </c>
    </row>
    <row r="861">
      <c r="A861" s="25"/>
      <c r="B861" s="25"/>
      <c r="C861" s="25"/>
      <c r="D861" s="25"/>
      <c r="E861" s="25" t="s">
        <v>1333</v>
      </c>
      <c r="F861" s="25" t="str">
        <f t="array" ref="F861">IFERROR(_xlfn.XLOOKUP('Form responses 2'!C861,'Item List'!$I$2:$I$995,'Item List'!C$2:$F$995),"")</f>
        <v/>
      </c>
    </row>
    <row r="862">
      <c r="A862" s="25"/>
      <c r="B862" s="25"/>
      <c r="C862" s="25"/>
      <c r="D862" s="25"/>
      <c r="E862" s="25" t="s">
        <v>1333</v>
      </c>
      <c r="F862" s="25" t="str">
        <f t="array" ref="F862">IFERROR(_xlfn.XLOOKUP('Form responses 2'!C862,'Item List'!$I$2:$I$995,'Item List'!C$2:$F$995),"")</f>
        <v/>
      </c>
    </row>
    <row r="863">
      <c r="A863" s="25"/>
      <c r="B863" s="25"/>
      <c r="C863" s="25"/>
      <c r="D863" s="25"/>
      <c r="E863" s="25" t="s">
        <v>1333</v>
      </c>
      <c r="F863" s="25" t="str">
        <f t="array" ref="F863">IFERROR(_xlfn.XLOOKUP('Form responses 2'!C863,'Item List'!$I$2:$I$995,'Item List'!C$2:$F$995),"")</f>
        <v/>
      </c>
    </row>
    <row r="864">
      <c r="A864" s="25"/>
      <c r="B864" s="25"/>
      <c r="C864" s="25"/>
      <c r="D864" s="25"/>
      <c r="E864" s="25" t="s">
        <v>1333</v>
      </c>
      <c r="F864" s="25" t="str">
        <f t="array" ref="F864">IFERROR(_xlfn.XLOOKUP('Form responses 2'!C864,'Item List'!$I$2:$I$995,'Item List'!C$2:$F$995),"")</f>
        <v/>
      </c>
    </row>
    <row r="865">
      <c r="A865" s="25"/>
      <c r="B865" s="25"/>
      <c r="C865" s="25"/>
      <c r="D865" s="25"/>
      <c r="E865" s="25" t="s">
        <v>1333</v>
      </c>
      <c r="F865" s="25" t="str">
        <f t="array" ref="F865">IFERROR(_xlfn.XLOOKUP('Form responses 2'!C865,'Item List'!$I$2:$I$995,'Item List'!C$2:$F$995),"")</f>
        <v/>
      </c>
    </row>
    <row r="866">
      <c r="A866" s="25"/>
      <c r="B866" s="25"/>
      <c r="C866" s="25"/>
      <c r="D866" s="25"/>
      <c r="E866" s="25" t="s">
        <v>1333</v>
      </c>
      <c r="F866" s="25" t="str">
        <f t="array" ref="F866">IFERROR(_xlfn.XLOOKUP('Form responses 2'!C866,'Item List'!$I$2:$I$995,'Item List'!C$2:$F$995),"")</f>
        <v/>
      </c>
    </row>
    <row r="867">
      <c r="A867" s="25"/>
      <c r="B867" s="25"/>
      <c r="C867" s="25"/>
      <c r="D867" s="25"/>
      <c r="E867" s="25" t="s">
        <v>1333</v>
      </c>
      <c r="F867" s="25" t="str">
        <f t="array" ref="F867">IFERROR(_xlfn.XLOOKUP('Form responses 2'!C867,'Item List'!$I$2:$I$995,'Item List'!C$2:$F$995),"")</f>
        <v/>
      </c>
    </row>
    <row r="868">
      <c r="A868" s="25"/>
      <c r="B868" s="25"/>
      <c r="C868" s="25"/>
      <c r="D868" s="25"/>
      <c r="E868" s="25" t="s">
        <v>1333</v>
      </c>
      <c r="F868" s="25" t="str">
        <f t="array" ref="F868">IFERROR(_xlfn.XLOOKUP('Form responses 2'!C868,'Item List'!$I$2:$I$995,'Item List'!C$2:$F$995),"")</f>
        <v/>
      </c>
    </row>
    <row r="869">
      <c r="A869" s="25"/>
      <c r="B869" s="25"/>
      <c r="C869" s="25"/>
      <c r="D869" s="25"/>
      <c r="E869" s="25" t="s">
        <v>1333</v>
      </c>
      <c r="F869" s="25" t="str">
        <f t="array" ref="F869">IFERROR(_xlfn.XLOOKUP('Form responses 2'!C869,'Item List'!$I$2:$I$995,'Item List'!C$2:$F$995),"")</f>
        <v/>
      </c>
    </row>
    <row r="870">
      <c r="A870" s="25"/>
      <c r="B870" s="25"/>
      <c r="C870" s="25"/>
      <c r="D870" s="25"/>
      <c r="E870" s="25" t="s">
        <v>1333</v>
      </c>
      <c r="F870" s="25" t="str">
        <f t="array" ref="F870">IFERROR(_xlfn.XLOOKUP('Form responses 2'!C870,'Item List'!$I$2:$I$995,'Item List'!C$2:$F$995),"")</f>
        <v/>
      </c>
    </row>
    <row r="871">
      <c r="A871" s="25"/>
      <c r="B871" s="25"/>
      <c r="C871" s="25"/>
      <c r="D871" s="25"/>
      <c r="E871" s="25" t="s">
        <v>1333</v>
      </c>
      <c r="F871" s="25" t="str">
        <f t="array" ref="F871">IFERROR(_xlfn.XLOOKUP('Form responses 2'!C871,'Item List'!$I$2:$I$995,'Item List'!C$2:$F$995),"")</f>
        <v/>
      </c>
    </row>
    <row r="872">
      <c r="A872" s="25"/>
      <c r="B872" s="25"/>
      <c r="C872" s="25"/>
      <c r="D872" s="25"/>
      <c r="E872" s="25" t="s">
        <v>1333</v>
      </c>
      <c r="F872" s="25" t="str">
        <f t="array" ref="F872">IFERROR(_xlfn.XLOOKUP('Form responses 2'!C872,'Item List'!$I$2:$I$995,'Item List'!C$2:$F$995),"")</f>
        <v/>
      </c>
    </row>
    <row r="873">
      <c r="A873" s="25"/>
      <c r="B873" s="25"/>
      <c r="C873" s="25"/>
      <c r="D873" s="25"/>
      <c r="E873" s="25" t="s">
        <v>1333</v>
      </c>
      <c r="F873" s="25" t="str">
        <f t="array" ref="F873">IFERROR(_xlfn.XLOOKUP('Form responses 2'!C873,'Item List'!$I$2:$I$995,'Item List'!C$2:$F$995),"")</f>
        <v/>
      </c>
    </row>
    <row r="874">
      <c r="A874" s="25"/>
      <c r="B874" s="25"/>
      <c r="C874" s="25"/>
      <c r="D874" s="25"/>
      <c r="E874" s="25" t="s">
        <v>1333</v>
      </c>
      <c r="F874" s="25" t="str">
        <f t="array" ref="F874">IFERROR(_xlfn.XLOOKUP('Form responses 2'!C874,'Item List'!$I$2:$I$995,'Item List'!C$2:$F$995),"")</f>
        <v/>
      </c>
    </row>
    <row r="875">
      <c r="A875" s="25"/>
      <c r="B875" s="25"/>
      <c r="C875" s="25"/>
      <c r="D875" s="25"/>
      <c r="E875" s="25" t="s">
        <v>1333</v>
      </c>
      <c r="F875" s="25" t="str">
        <f t="array" ref="F875">IFERROR(_xlfn.XLOOKUP('Form responses 2'!C875,'Item List'!$I$2:$I$995,'Item List'!C$2:$F$995),"")</f>
        <v/>
      </c>
    </row>
    <row r="876">
      <c r="A876" s="25"/>
      <c r="B876" s="25"/>
      <c r="C876" s="25"/>
      <c r="D876" s="25"/>
      <c r="E876" s="25" t="s">
        <v>1333</v>
      </c>
      <c r="F876" s="25" t="str">
        <f t="array" ref="F876">IFERROR(_xlfn.XLOOKUP('Form responses 2'!C876,'Item List'!$I$2:$I$995,'Item List'!C$2:$F$995),"")</f>
        <v/>
      </c>
    </row>
    <row r="877">
      <c r="A877" s="25"/>
      <c r="B877" s="25"/>
      <c r="C877" s="25"/>
      <c r="D877" s="25"/>
      <c r="E877" s="25" t="s">
        <v>1333</v>
      </c>
      <c r="F877" s="25" t="str">
        <f t="array" ref="F877">IFERROR(_xlfn.XLOOKUP('Form responses 2'!C877,'Item List'!$I$2:$I$995,'Item List'!C$2:$F$995),"")</f>
        <v/>
      </c>
    </row>
    <row r="878">
      <c r="A878" s="25"/>
      <c r="B878" s="25"/>
      <c r="C878" s="25"/>
      <c r="D878" s="25"/>
      <c r="E878" s="25" t="s">
        <v>1333</v>
      </c>
      <c r="F878" s="25" t="str">
        <f t="array" ref="F878">IFERROR(_xlfn.XLOOKUP('Form responses 2'!C878,'Item List'!$I$2:$I$995,'Item List'!C$2:$F$995),"")</f>
        <v/>
      </c>
    </row>
    <row r="879">
      <c r="A879" s="25"/>
      <c r="B879" s="25"/>
      <c r="C879" s="25"/>
      <c r="D879" s="25"/>
      <c r="E879" s="25" t="s">
        <v>1333</v>
      </c>
      <c r="F879" s="25" t="str">
        <f t="array" ref="F879">IFERROR(_xlfn.XLOOKUP('Form responses 2'!C879,'Item List'!$I$2:$I$995,'Item List'!C$2:$F$995),"")</f>
        <v/>
      </c>
    </row>
    <row r="880">
      <c r="A880" s="25"/>
      <c r="B880" s="25"/>
      <c r="C880" s="25"/>
      <c r="D880" s="25"/>
      <c r="E880" s="25" t="s">
        <v>1333</v>
      </c>
      <c r="F880" s="25" t="str">
        <f t="array" ref="F880">IFERROR(_xlfn.XLOOKUP('Form responses 2'!C880,'Item List'!$I$2:$I$995,'Item List'!C$2:$F$995),"")</f>
        <v/>
      </c>
    </row>
    <row r="881">
      <c r="A881" s="25"/>
      <c r="B881" s="25"/>
      <c r="C881" s="25"/>
      <c r="D881" s="25"/>
      <c r="E881" s="25" t="s">
        <v>1333</v>
      </c>
      <c r="F881" s="25" t="str">
        <f t="array" ref="F881">IFERROR(_xlfn.XLOOKUP('Form responses 2'!C881,'Item List'!$I$2:$I$995,'Item List'!C$2:$F$995),"")</f>
        <v/>
      </c>
    </row>
    <row r="882">
      <c r="A882" s="25"/>
      <c r="B882" s="25"/>
      <c r="C882" s="25"/>
      <c r="D882" s="25"/>
      <c r="E882" s="25" t="s">
        <v>1333</v>
      </c>
      <c r="F882" s="25" t="str">
        <f t="array" ref="F882">IFERROR(_xlfn.XLOOKUP('Form responses 2'!C882,'Item List'!$I$2:$I$995,'Item List'!C$2:$F$995),"")</f>
        <v/>
      </c>
    </row>
    <row r="883">
      <c r="A883" s="25"/>
      <c r="B883" s="25"/>
      <c r="C883" s="25"/>
      <c r="D883" s="25"/>
      <c r="E883" s="25" t="s">
        <v>1333</v>
      </c>
      <c r="F883" s="25" t="str">
        <f t="array" ref="F883">IFERROR(_xlfn.XLOOKUP('Form responses 2'!C883,'Item List'!$I$2:$I$995,'Item List'!C$2:$F$995),"")</f>
        <v/>
      </c>
    </row>
    <row r="884">
      <c r="A884" s="25"/>
      <c r="B884" s="25"/>
      <c r="C884" s="25"/>
      <c r="D884" s="25"/>
      <c r="E884" s="25" t="s">
        <v>1333</v>
      </c>
      <c r="F884" s="25" t="str">
        <f t="array" ref="F884">IFERROR(_xlfn.XLOOKUP('Form responses 2'!C884,'Item List'!$I$2:$I$995,'Item List'!C$2:$F$995),"")</f>
        <v/>
      </c>
    </row>
    <row r="885">
      <c r="A885" s="25"/>
      <c r="B885" s="25"/>
      <c r="C885" s="25"/>
      <c r="D885" s="25"/>
      <c r="E885" s="25" t="s">
        <v>1333</v>
      </c>
      <c r="F885" s="25" t="str">
        <f t="array" ref="F885">IFERROR(_xlfn.XLOOKUP('Form responses 2'!C885,'Item List'!$I$2:$I$995,'Item List'!C$2:$F$995),"")</f>
        <v/>
      </c>
    </row>
    <row r="886">
      <c r="A886" s="25"/>
      <c r="B886" s="25"/>
      <c r="C886" s="25"/>
      <c r="D886" s="25"/>
      <c r="E886" s="25" t="s">
        <v>1333</v>
      </c>
      <c r="F886" s="25" t="str">
        <f t="array" ref="F886">IFERROR(_xlfn.XLOOKUP('Form responses 2'!C886,'Item List'!$I$2:$I$995,'Item List'!C$2:$F$995),"")</f>
        <v/>
      </c>
    </row>
    <row r="887">
      <c r="A887" s="25"/>
      <c r="B887" s="25"/>
      <c r="C887" s="25"/>
      <c r="D887" s="25"/>
      <c r="E887" s="25" t="s">
        <v>1333</v>
      </c>
      <c r="F887" s="25" t="str">
        <f t="array" ref="F887">IFERROR(_xlfn.XLOOKUP('Form responses 2'!C887,'Item List'!$I$2:$I$995,'Item List'!C$2:$F$995),"")</f>
        <v/>
      </c>
    </row>
    <row r="888">
      <c r="A888" s="25"/>
      <c r="B888" s="25"/>
      <c r="C888" s="25"/>
      <c r="D888" s="25"/>
      <c r="E888" s="25" t="s">
        <v>1333</v>
      </c>
      <c r="F888" s="25" t="str">
        <f t="array" ref="F888">IFERROR(_xlfn.XLOOKUP('Form responses 2'!C888,'Item List'!$I$2:$I$995,'Item List'!C$2:$F$995),"")</f>
        <v/>
      </c>
    </row>
    <row r="889">
      <c r="A889" s="25"/>
      <c r="B889" s="25"/>
      <c r="C889" s="25"/>
      <c r="D889" s="25"/>
      <c r="E889" s="25" t="s">
        <v>1333</v>
      </c>
      <c r="F889" s="25" t="str">
        <f t="array" ref="F889">IFERROR(_xlfn.XLOOKUP('Form responses 2'!C889,'Item List'!$I$2:$I$995,'Item List'!C$2:$F$995),"")</f>
        <v/>
      </c>
    </row>
    <row r="890">
      <c r="A890" s="25"/>
      <c r="B890" s="25"/>
      <c r="C890" s="25"/>
      <c r="D890" s="25"/>
      <c r="E890" s="25" t="s">
        <v>1333</v>
      </c>
      <c r="F890" s="25" t="str">
        <f t="array" ref="F890">IFERROR(_xlfn.XLOOKUP('Form responses 2'!C890,'Item List'!$I$2:$I$995,'Item List'!C$2:$F$995),"")</f>
        <v/>
      </c>
    </row>
    <row r="891">
      <c r="A891" s="25"/>
      <c r="B891" s="25"/>
      <c r="C891" s="25"/>
      <c r="D891" s="25"/>
      <c r="E891" s="25" t="s">
        <v>1333</v>
      </c>
      <c r="F891" s="25" t="str">
        <f t="array" ref="F891">IFERROR(_xlfn.XLOOKUP('Form responses 2'!C891,'Item List'!$I$2:$I$995,'Item List'!C$2:$F$995),"")</f>
        <v/>
      </c>
    </row>
    <row r="892">
      <c r="A892" s="25"/>
      <c r="B892" s="25"/>
      <c r="C892" s="25"/>
      <c r="D892" s="25"/>
      <c r="E892" s="25" t="s">
        <v>1333</v>
      </c>
      <c r="F892" s="25" t="str">
        <f t="array" ref="F892">IFERROR(_xlfn.XLOOKUP('Form responses 2'!C892,'Item List'!$I$2:$I$995,'Item List'!C$2:$F$995),"")</f>
        <v/>
      </c>
    </row>
    <row r="893">
      <c r="A893" s="25"/>
      <c r="B893" s="25"/>
      <c r="C893" s="25"/>
      <c r="D893" s="25"/>
      <c r="E893" s="25" t="s">
        <v>1333</v>
      </c>
      <c r="F893" s="25" t="str">
        <f t="array" ref="F893">IFERROR(_xlfn.XLOOKUP('Form responses 2'!C893,'Item List'!$I$2:$I$995,'Item List'!C$2:$F$995),"")</f>
        <v/>
      </c>
    </row>
    <row r="894">
      <c r="A894" s="25"/>
      <c r="B894" s="25"/>
      <c r="C894" s="25"/>
      <c r="D894" s="25"/>
      <c r="E894" s="25" t="s">
        <v>1333</v>
      </c>
      <c r="F894" s="25" t="str">
        <f t="array" ref="F894">IFERROR(_xlfn.XLOOKUP('Form responses 2'!C894,'Item List'!$I$2:$I$995,'Item List'!C$2:$F$995),"")</f>
        <v/>
      </c>
    </row>
    <row r="895">
      <c r="A895" s="25"/>
      <c r="B895" s="25"/>
      <c r="C895" s="25"/>
      <c r="D895" s="25"/>
      <c r="E895" s="25" t="s">
        <v>1333</v>
      </c>
      <c r="F895" s="25" t="str">
        <f t="array" ref="F895">IFERROR(_xlfn.XLOOKUP('Form responses 2'!C895,'Item List'!$I$2:$I$995,'Item List'!C$2:$F$995),"")</f>
        <v/>
      </c>
    </row>
    <row r="896">
      <c r="A896" s="25"/>
      <c r="B896" s="25"/>
      <c r="C896" s="25"/>
      <c r="D896" s="25"/>
      <c r="E896" s="25" t="s">
        <v>1333</v>
      </c>
      <c r="F896" s="25" t="str">
        <f t="array" ref="F896">IFERROR(_xlfn.XLOOKUP('Form responses 2'!C896,'Item List'!$I$2:$I$995,'Item List'!C$2:$F$995),"")</f>
        <v/>
      </c>
    </row>
    <row r="897">
      <c r="A897" s="25"/>
      <c r="B897" s="25"/>
      <c r="C897" s="25"/>
      <c r="D897" s="25"/>
      <c r="E897" s="25" t="s">
        <v>1333</v>
      </c>
      <c r="F897" s="25" t="str">
        <f t="array" ref="F897">IFERROR(_xlfn.XLOOKUP('Form responses 2'!C897,'Item List'!$I$2:$I$995,'Item List'!C$2:$F$995),"")</f>
        <v/>
      </c>
    </row>
    <row r="898">
      <c r="A898" s="25"/>
      <c r="B898" s="25"/>
      <c r="C898" s="25"/>
      <c r="D898" s="25"/>
      <c r="E898" s="25" t="s">
        <v>1333</v>
      </c>
      <c r="F898" s="25" t="str">
        <f t="array" ref="F898">IFERROR(_xlfn.XLOOKUP('Form responses 2'!C898,'Item List'!$I$2:$I$995,'Item List'!C$2:$F$995),"")</f>
        <v/>
      </c>
    </row>
    <row r="899">
      <c r="A899" s="25"/>
      <c r="B899" s="25"/>
      <c r="C899" s="25"/>
      <c r="D899" s="25"/>
      <c r="E899" s="25" t="s">
        <v>1333</v>
      </c>
      <c r="F899" s="25" t="str">
        <f t="array" ref="F899">IFERROR(_xlfn.XLOOKUP('Form responses 2'!C899,'Item List'!$I$2:$I$995,'Item List'!C$2:$F$995),"")</f>
        <v/>
      </c>
    </row>
    <row r="900">
      <c r="A900" s="25"/>
      <c r="B900" s="25"/>
      <c r="C900" s="25"/>
      <c r="D900" s="25"/>
      <c r="E900" s="25" t="s">
        <v>1333</v>
      </c>
      <c r="F900" s="25" t="str">
        <f t="array" ref="F900">IFERROR(_xlfn.XLOOKUP('Form responses 2'!C900,'Item List'!$I$2:$I$995,'Item List'!C$2:$F$995),"")</f>
        <v/>
      </c>
    </row>
    <row r="901">
      <c r="A901" s="25"/>
      <c r="B901" s="25"/>
      <c r="C901" s="25"/>
      <c r="D901" s="25"/>
      <c r="E901" s="25" t="s">
        <v>1333</v>
      </c>
      <c r="F901" s="25" t="str">
        <f t="array" ref="F901">IFERROR(_xlfn.XLOOKUP('Form responses 2'!C901,'Item List'!$I$2:$I$995,'Item List'!C$2:$F$995),"")</f>
        <v/>
      </c>
    </row>
    <row r="902">
      <c r="A902" s="25"/>
      <c r="B902" s="25"/>
      <c r="C902" s="25"/>
      <c r="D902" s="25"/>
      <c r="E902" s="25" t="s">
        <v>1333</v>
      </c>
      <c r="F902" s="25" t="str">
        <f t="array" ref="F902">IFERROR(_xlfn.XLOOKUP('Form responses 2'!C902,'Item List'!$I$2:$I$995,'Item List'!C$2:$F$995),"")</f>
        <v/>
      </c>
    </row>
    <row r="903">
      <c r="A903" s="25"/>
      <c r="B903" s="25"/>
      <c r="C903" s="25"/>
      <c r="D903" s="25"/>
      <c r="E903" s="25" t="s">
        <v>1333</v>
      </c>
      <c r="F903" s="25" t="str">
        <f t="array" ref="F903">IFERROR(_xlfn.XLOOKUP('Form responses 2'!C903,'Item List'!$I$2:$I$995,'Item List'!C$2:$F$995),"")</f>
        <v/>
      </c>
    </row>
    <row r="904">
      <c r="A904" s="25"/>
      <c r="B904" s="25"/>
      <c r="C904" s="25"/>
      <c r="D904" s="25"/>
      <c r="E904" s="25" t="s">
        <v>1333</v>
      </c>
      <c r="F904" s="25" t="str">
        <f t="array" ref="F904">IFERROR(_xlfn.XLOOKUP('Form responses 2'!C904,'Item List'!$I$2:$I$995,'Item List'!C$2:$F$995),"")</f>
        <v/>
      </c>
    </row>
    <row r="905">
      <c r="A905" s="25"/>
      <c r="B905" s="25"/>
      <c r="C905" s="25"/>
      <c r="D905" s="25"/>
      <c r="E905" s="25" t="s">
        <v>1333</v>
      </c>
      <c r="F905" s="25" t="str">
        <f t="array" ref="F905">IFERROR(_xlfn.XLOOKUP('Form responses 2'!C905,'Item List'!$I$2:$I$995,'Item List'!C$2:$F$995),"")</f>
        <v/>
      </c>
    </row>
    <row r="906">
      <c r="A906" s="25"/>
      <c r="B906" s="25"/>
      <c r="C906" s="25"/>
      <c r="D906" s="25"/>
      <c r="E906" s="25" t="s">
        <v>1333</v>
      </c>
      <c r="F906" s="25" t="str">
        <f t="array" ref="F906">IFERROR(_xlfn.XLOOKUP('Form responses 2'!C906,'Item List'!$I$2:$I$995,'Item List'!C$2:$F$995),"")</f>
        <v/>
      </c>
    </row>
    <row r="907">
      <c r="A907" s="25"/>
      <c r="B907" s="25"/>
      <c r="C907" s="25"/>
      <c r="D907" s="25"/>
      <c r="E907" s="25" t="s">
        <v>1333</v>
      </c>
      <c r="F907" s="25" t="str">
        <f t="array" ref="F907">IFERROR(_xlfn.XLOOKUP('Form responses 2'!C907,'Item List'!$I$2:$I$995,'Item List'!C$2:$F$995),"")</f>
        <v/>
      </c>
    </row>
    <row r="908">
      <c r="A908" s="25"/>
      <c r="B908" s="25"/>
      <c r="C908" s="25"/>
      <c r="D908" s="25"/>
      <c r="E908" s="25" t="s">
        <v>1333</v>
      </c>
      <c r="F908" s="25" t="str">
        <f t="array" ref="F908">IFERROR(_xlfn.XLOOKUP('Form responses 2'!C908,'Item List'!$I$2:$I$995,'Item List'!C$2:$F$995),"")</f>
        <v/>
      </c>
    </row>
    <row r="909">
      <c r="A909" s="25"/>
      <c r="B909" s="25"/>
      <c r="C909" s="25"/>
      <c r="D909" s="25"/>
      <c r="E909" s="25" t="s">
        <v>1333</v>
      </c>
      <c r="F909" s="25" t="str">
        <f t="array" ref="F909">IFERROR(_xlfn.XLOOKUP('Form responses 2'!C909,'Item List'!$I$2:$I$995,'Item List'!C$2:$F$995),"")</f>
        <v/>
      </c>
    </row>
    <row r="910">
      <c r="A910" s="25"/>
      <c r="B910" s="25"/>
      <c r="C910" s="25"/>
      <c r="D910" s="25"/>
      <c r="E910" s="25" t="s">
        <v>1333</v>
      </c>
      <c r="F910" s="25" t="str">
        <f t="array" ref="F910">IFERROR(_xlfn.XLOOKUP('Form responses 2'!C910,'Item List'!$I$2:$I$995,'Item List'!C$2:$F$995),"")</f>
        <v/>
      </c>
    </row>
    <row r="911">
      <c r="A911" s="25"/>
      <c r="B911" s="25"/>
      <c r="C911" s="25"/>
      <c r="D911" s="25"/>
      <c r="E911" s="25" t="s">
        <v>1333</v>
      </c>
      <c r="F911" s="25" t="str">
        <f t="array" ref="F911">IFERROR(_xlfn.XLOOKUP('Form responses 2'!C911,'Item List'!$I$2:$I$995,'Item List'!C$2:$F$995),"")</f>
        <v/>
      </c>
    </row>
    <row r="912">
      <c r="A912" s="25"/>
      <c r="B912" s="25"/>
      <c r="C912" s="25"/>
      <c r="D912" s="25"/>
      <c r="E912" s="25" t="s">
        <v>1333</v>
      </c>
      <c r="F912" s="25" t="str">
        <f t="array" ref="F912">IFERROR(_xlfn.XLOOKUP('Form responses 2'!C912,'Item List'!$I$2:$I$995,'Item List'!C$2:$F$995),"")</f>
        <v/>
      </c>
    </row>
    <row r="913">
      <c r="A913" s="25"/>
      <c r="B913" s="25"/>
      <c r="C913" s="25"/>
      <c r="D913" s="25"/>
      <c r="E913" s="25" t="s">
        <v>1333</v>
      </c>
      <c r="F913" s="25" t="str">
        <f t="array" ref="F913">IFERROR(_xlfn.XLOOKUP('Form responses 2'!C913,'Item List'!$I$2:$I$995,'Item List'!C$2:$F$995),"")</f>
        <v/>
      </c>
    </row>
    <row r="914">
      <c r="A914" s="25"/>
      <c r="B914" s="25"/>
      <c r="C914" s="25"/>
      <c r="D914" s="25"/>
      <c r="E914" s="25" t="s">
        <v>1333</v>
      </c>
      <c r="F914" s="25" t="str">
        <f t="array" ref="F914">IFERROR(_xlfn.XLOOKUP('Form responses 2'!C914,'Item List'!$I$2:$I$995,'Item List'!C$2:$F$995),"")</f>
        <v/>
      </c>
    </row>
    <row r="915">
      <c r="A915" s="25"/>
      <c r="B915" s="25"/>
      <c r="C915" s="25"/>
      <c r="D915" s="25"/>
      <c r="E915" s="25" t="s">
        <v>1333</v>
      </c>
      <c r="F915" s="25" t="str">
        <f t="array" ref="F915">IFERROR(_xlfn.XLOOKUP('Form responses 2'!C915,'Item List'!$I$2:$I$995,'Item List'!C$2:$F$995),"")</f>
        <v/>
      </c>
    </row>
    <row r="916">
      <c r="A916" s="25"/>
      <c r="B916" s="25"/>
      <c r="C916" s="25"/>
      <c r="D916" s="25"/>
      <c r="E916" s="25" t="s">
        <v>1333</v>
      </c>
      <c r="F916" s="25" t="str">
        <f t="array" ref="F916">IFERROR(_xlfn.XLOOKUP('Form responses 2'!C916,'Item List'!$I$2:$I$995,'Item List'!C$2:$F$995),"")</f>
        <v/>
      </c>
    </row>
    <row r="917">
      <c r="A917" s="25"/>
      <c r="B917" s="25"/>
      <c r="C917" s="25"/>
      <c r="D917" s="25"/>
      <c r="E917" s="25" t="s">
        <v>1333</v>
      </c>
      <c r="F917" s="25" t="str">
        <f t="array" ref="F917">IFERROR(_xlfn.XLOOKUP('Form responses 2'!C917,'Item List'!$I$2:$I$995,'Item List'!C$2:$F$995),"")</f>
        <v/>
      </c>
    </row>
    <row r="918">
      <c r="A918" s="25"/>
      <c r="B918" s="25"/>
      <c r="C918" s="25"/>
      <c r="D918" s="25"/>
      <c r="E918" s="25" t="s">
        <v>1333</v>
      </c>
      <c r="F918" s="25" t="str">
        <f t="array" ref="F918">IFERROR(_xlfn.XLOOKUP('Form responses 2'!C918,'Item List'!$I$2:$I$995,'Item List'!C$2:$F$995),"")</f>
        <v/>
      </c>
    </row>
    <row r="919">
      <c r="A919" s="25"/>
      <c r="B919" s="25"/>
      <c r="C919" s="25"/>
      <c r="D919" s="25"/>
      <c r="E919" s="25" t="s">
        <v>1333</v>
      </c>
      <c r="F919" s="25" t="str">
        <f t="array" ref="F919">IFERROR(_xlfn.XLOOKUP('Form responses 2'!C919,'Item List'!$I$2:$I$995,'Item List'!C$2:$F$995),"")</f>
        <v/>
      </c>
    </row>
    <row r="920">
      <c r="A920" s="25"/>
      <c r="B920" s="25"/>
      <c r="C920" s="25"/>
      <c r="D920" s="25"/>
      <c r="E920" s="25" t="s">
        <v>1333</v>
      </c>
      <c r="F920" s="25" t="str">
        <f t="array" ref="F920">IFERROR(_xlfn.XLOOKUP('Form responses 2'!C920,'Item List'!$I$2:$I$995,'Item List'!C$2:$F$995),"")</f>
        <v/>
      </c>
    </row>
    <row r="921">
      <c r="A921" s="25"/>
      <c r="B921" s="25"/>
      <c r="C921" s="25"/>
      <c r="D921" s="25"/>
      <c r="E921" s="25" t="s">
        <v>1333</v>
      </c>
      <c r="F921" s="25" t="str">
        <f t="array" ref="F921">IFERROR(_xlfn.XLOOKUP('Form responses 2'!C921,'Item List'!$I$2:$I$995,'Item List'!C$2:$F$995),"")</f>
        <v/>
      </c>
    </row>
    <row r="922">
      <c r="A922" s="25"/>
      <c r="B922" s="25"/>
      <c r="C922" s="25"/>
      <c r="D922" s="25"/>
      <c r="E922" s="25" t="s">
        <v>1333</v>
      </c>
      <c r="F922" s="25" t="str">
        <f t="array" ref="F922">IFERROR(_xlfn.XLOOKUP('Form responses 2'!C922,'Item List'!$I$2:$I$995,'Item List'!C$2:$F$995),"")</f>
        <v/>
      </c>
    </row>
    <row r="923">
      <c r="A923" s="25"/>
      <c r="B923" s="25"/>
      <c r="C923" s="25"/>
      <c r="D923" s="25"/>
      <c r="E923" s="25" t="s">
        <v>1333</v>
      </c>
      <c r="F923" s="25" t="str">
        <f t="array" ref="F923">IFERROR(_xlfn.XLOOKUP('Form responses 2'!C923,'Item List'!$I$2:$I$995,'Item List'!C$2:$F$995),"")</f>
        <v/>
      </c>
    </row>
    <row r="924">
      <c r="A924" s="25"/>
      <c r="B924" s="25"/>
      <c r="C924" s="25"/>
      <c r="D924" s="25"/>
      <c r="E924" s="25" t="s">
        <v>1333</v>
      </c>
      <c r="F924" s="25" t="str">
        <f t="array" ref="F924">IFERROR(_xlfn.XLOOKUP('Form responses 2'!C924,'Item List'!$I$2:$I$995,'Item List'!C$2:$F$995),"")</f>
        <v/>
      </c>
    </row>
    <row r="925">
      <c r="A925" s="25"/>
      <c r="B925" s="25"/>
      <c r="C925" s="25"/>
      <c r="D925" s="25"/>
      <c r="E925" s="25" t="s">
        <v>1333</v>
      </c>
      <c r="F925" s="25" t="str">
        <f t="array" ref="F925">IFERROR(_xlfn.XLOOKUP('Form responses 2'!C925,'Item List'!$I$2:$I$995,'Item List'!C$2:$F$995),"")</f>
        <v/>
      </c>
    </row>
    <row r="926">
      <c r="A926" s="25"/>
      <c r="B926" s="25"/>
      <c r="C926" s="25"/>
      <c r="D926" s="25"/>
      <c r="E926" s="25" t="s">
        <v>1333</v>
      </c>
      <c r="F926" s="25" t="str">
        <f t="array" ref="F926">IFERROR(_xlfn.XLOOKUP('Form responses 2'!C926,'Item List'!$I$2:$I$995,'Item List'!C$2:$F$995),"")</f>
        <v/>
      </c>
    </row>
    <row r="927">
      <c r="A927" s="25"/>
      <c r="B927" s="25"/>
      <c r="C927" s="25"/>
      <c r="D927" s="25"/>
      <c r="E927" s="25" t="s">
        <v>1333</v>
      </c>
      <c r="F927" s="25" t="str">
        <f t="array" ref="F927">IFERROR(_xlfn.XLOOKUP('Form responses 2'!C927,'Item List'!$I$2:$I$995,'Item List'!C$2:$F$995),"")</f>
        <v/>
      </c>
    </row>
    <row r="928">
      <c r="A928" s="25"/>
      <c r="B928" s="25"/>
      <c r="C928" s="25"/>
      <c r="D928" s="25"/>
      <c r="E928" s="25" t="s">
        <v>1333</v>
      </c>
      <c r="F928" s="25" t="str">
        <f t="array" ref="F928">IFERROR(_xlfn.XLOOKUP('Form responses 2'!C928,'Item List'!$I$2:$I$995,'Item List'!C$2:$F$995),"")</f>
        <v/>
      </c>
    </row>
    <row r="929">
      <c r="A929" s="25"/>
      <c r="B929" s="25"/>
      <c r="C929" s="25"/>
      <c r="D929" s="25"/>
      <c r="E929" s="25" t="s">
        <v>1333</v>
      </c>
      <c r="F929" s="25" t="str">
        <f t="array" ref="F929">IFERROR(_xlfn.XLOOKUP('Form responses 2'!C929,'Item List'!$I$2:$I$995,'Item List'!C$2:$F$995),"")</f>
        <v/>
      </c>
    </row>
    <row r="930">
      <c r="A930" s="25"/>
      <c r="B930" s="25"/>
      <c r="C930" s="25"/>
      <c r="D930" s="25"/>
      <c r="E930" s="25" t="s">
        <v>1333</v>
      </c>
      <c r="F930" s="25" t="str">
        <f t="array" ref="F930">IFERROR(_xlfn.XLOOKUP('Form responses 2'!C930,'Item List'!$I$2:$I$995,'Item List'!C$2:$F$995),"")</f>
        <v/>
      </c>
    </row>
    <row r="931">
      <c r="A931" s="25"/>
      <c r="B931" s="25"/>
      <c r="C931" s="25"/>
      <c r="D931" s="25"/>
      <c r="E931" s="25" t="s">
        <v>1333</v>
      </c>
      <c r="F931" s="25" t="str">
        <f t="array" ref="F931">IFERROR(_xlfn.XLOOKUP('Form responses 2'!C931,'Item List'!$I$2:$I$995,'Item List'!C$2:$F$995),"")</f>
        <v/>
      </c>
    </row>
    <row r="932">
      <c r="A932" s="25"/>
      <c r="B932" s="25"/>
      <c r="C932" s="25"/>
      <c r="D932" s="25"/>
      <c r="E932" s="25" t="s">
        <v>1333</v>
      </c>
      <c r="F932" s="25" t="str">
        <f t="array" ref="F932">IFERROR(_xlfn.XLOOKUP('Form responses 2'!C932,'Item List'!$I$2:$I$995,'Item List'!C$2:$F$995),"")</f>
        <v/>
      </c>
    </row>
    <row r="933">
      <c r="A933" s="25"/>
      <c r="B933" s="25"/>
      <c r="C933" s="25"/>
      <c r="D933" s="25"/>
      <c r="E933" s="25" t="s">
        <v>1333</v>
      </c>
      <c r="F933" s="25" t="str">
        <f t="array" ref="F933">IFERROR(_xlfn.XLOOKUP('Form responses 2'!C933,'Item List'!$I$2:$I$995,'Item List'!C$2:$F$995),"")</f>
        <v/>
      </c>
    </row>
    <row r="934">
      <c r="A934" s="25"/>
      <c r="B934" s="25"/>
      <c r="C934" s="25"/>
      <c r="D934" s="25"/>
      <c r="E934" s="25" t="s">
        <v>1333</v>
      </c>
      <c r="F934" s="25" t="str">
        <f t="array" ref="F934">IFERROR(_xlfn.XLOOKUP('Form responses 2'!C934,'Item List'!$I$2:$I$995,'Item List'!C$2:$F$995),"")</f>
        <v/>
      </c>
    </row>
    <row r="935">
      <c r="A935" s="25"/>
      <c r="B935" s="25"/>
      <c r="C935" s="25"/>
      <c r="D935" s="25"/>
      <c r="E935" s="25" t="s">
        <v>1333</v>
      </c>
      <c r="F935" s="25" t="str">
        <f t="array" ref="F935">IFERROR(_xlfn.XLOOKUP('Form responses 2'!C935,'Item List'!$I$2:$I$995,'Item List'!C$2:$F$995),"")</f>
        <v/>
      </c>
    </row>
    <row r="936">
      <c r="A936" s="25"/>
      <c r="B936" s="25"/>
      <c r="C936" s="25"/>
      <c r="D936" s="25"/>
      <c r="E936" s="25" t="s">
        <v>1333</v>
      </c>
      <c r="F936" s="25" t="str">
        <f t="array" ref="F936">IFERROR(_xlfn.XLOOKUP('Form responses 2'!C936,'Item List'!$I$2:$I$995,'Item List'!C$2:$F$995),"")</f>
        <v/>
      </c>
    </row>
    <row r="937">
      <c r="A937" s="25"/>
      <c r="B937" s="25"/>
      <c r="C937" s="25"/>
      <c r="D937" s="25"/>
      <c r="E937" s="25" t="s">
        <v>1333</v>
      </c>
      <c r="F937" s="25" t="str">
        <f t="array" ref="F937">IFERROR(_xlfn.XLOOKUP('Form responses 2'!C937,'Item List'!$I$2:$I$995,'Item List'!C$2:$F$995),"")</f>
        <v/>
      </c>
    </row>
    <row r="938">
      <c r="A938" s="25"/>
      <c r="B938" s="25"/>
      <c r="C938" s="25"/>
      <c r="D938" s="25"/>
      <c r="E938" s="25" t="s">
        <v>1333</v>
      </c>
      <c r="F938" s="25" t="str">
        <f t="array" ref="F938">IFERROR(_xlfn.XLOOKUP('Form responses 2'!C938,'Item List'!$I$2:$I$995,'Item List'!C$2:$F$995),"")</f>
        <v/>
      </c>
    </row>
    <row r="939">
      <c r="A939" s="25"/>
      <c r="B939" s="25"/>
      <c r="C939" s="25"/>
      <c r="D939" s="25"/>
      <c r="E939" s="25" t="s">
        <v>1333</v>
      </c>
      <c r="F939" s="25" t="str">
        <f t="array" ref="F939">IFERROR(_xlfn.XLOOKUP('Form responses 2'!C939,'Item List'!$I$2:$I$995,'Item List'!C$2:$F$995),"")</f>
        <v/>
      </c>
    </row>
    <row r="940">
      <c r="A940" s="25"/>
      <c r="B940" s="25"/>
      <c r="C940" s="25"/>
      <c r="D940" s="25"/>
      <c r="E940" s="25" t="s">
        <v>1333</v>
      </c>
      <c r="F940" s="25" t="str">
        <f t="array" ref="F940">IFERROR(_xlfn.XLOOKUP('Form responses 2'!C940,'Item List'!$I$2:$I$995,'Item List'!C$2:$F$995),"")</f>
        <v/>
      </c>
    </row>
    <row r="941">
      <c r="A941" s="25"/>
      <c r="B941" s="25"/>
      <c r="C941" s="25"/>
      <c r="D941" s="25"/>
      <c r="E941" s="25" t="s">
        <v>1333</v>
      </c>
      <c r="F941" s="25" t="str">
        <f t="array" ref="F941">IFERROR(_xlfn.XLOOKUP('Form responses 2'!C941,'Item List'!$I$2:$I$995,'Item List'!C$2:$F$995),"")</f>
        <v/>
      </c>
    </row>
    <row r="942">
      <c r="A942" s="25"/>
      <c r="B942" s="25"/>
      <c r="C942" s="25"/>
      <c r="D942" s="25"/>
      <c r="E942" s="25" t="s">
        <v>1333</v>
      </c>
      <c r="F942" s="25" t="str">
        <f t="array" ref="F942">IFERROR(_xlfn.XLOOKUP('Form responses 2'!C942,'Item List'!$I$2:$I$995,'Item List'!C$2:$F$995),"")</f>
        <v/>
      </c>
    </row>
    <row r="943">
      <c r="A943" s="25"/>
      <c r="B943" s="25"/>
      <c r="C943" s="25"/>
      <c r="D943" s="25"/>
      <c r="E943" s="25" t="s">
        <v>1333</v>
      </c>
      <c r="F943" s="25" t="str">
        <f t="array" ref="F943">IFERROR(_xlfn.XLOOKUP('Form responses 2'!C943,'Item List'!$I$2:$I$995,'Item List'!C$2:$F$995),"")</f>
        <v/>
      </c>
    </row>
    <row r="944">
      <c r="A944" s="25"/>
      <c r="B944" s="25"/>
      <c r="C944" s="25"/>
      <c r="D944" s="25"/>
      <c r="E944" s="25" t="s">
        <v>1333</v>
      </c>
      <c r="F944" s="25" t="str">
        <f t="array" ref="F944">IFERROR(_xlfn.XLOOKUP('Form responses 2'!C944,'Item List'!$I$2:$I$995,'Item List'!C$2:$F$995),"")</f>
        <v/>
      </c>
    </row>
    <row r="945">
      <c r="A945" s="25"/>
      <c r="B945" s="25"/>
      <c r="C945" s="25"/>
      <c r="D945" s="25"/>
      <c r="E945" s="25" t="s">
        <v>1333</v>
      </c>
      <c r="F945" s="25" t="str">
        <f t="array" ref="F945">IFERROR(_xlfn.XLOOKUP('Form responses 2'!C945,'Item List'!$I$2:$I$995,'Item List'!C$2:$F$995),"")</f>
        <v/>
      </c>
    </row>
    <row r="946">
      <c r="A946" s="25"/>
      <c r="B946" s="25"/>
      <c r="C946" s="25"/>
      <c r="D946" s="25"/>
      <c r="E946" s="25" t="s">
        <v>1333</v>
      </c>
      <c r="F946" s="25" t="str">
        <f t="array" ref="F946">IFERROR(_xlfn.XLOOKUP('Form responses 2'!C946,'Item List'!$I$2:$I$995,'Item List'!C$2:$F$995),"")</f>
        <v/>
      </c>
    </row>
    <row r="947">
      <c r="A947" s="25"/>
      <c r="B947" s="25"/>
      <c r="C947" s="25"/>
      <c r="D947" s="25"/>
      <c r="E947" s="25" t="s">
        <v>1333</v>
      </c>
      <c r="F947" s="25" t="str">
        <f t="array" ref="F947">IFERROR(_xlfn.XLOOKUP('Form responses 2'!C947,'Item List'!$I$2:$I$995,'Item List'!C$2:$F$995),"")</f>
        <v/>
      </c>
    </row>
    <row r="948">
      <c r="A948" s="25"/>
      <c r="B948" s="25"/>
      <c r="C948" s="25"/>
      <c r="D948" s="25"/>
      <c r="E948" s="25" t="s">
        <v>1333</v>
      </c>
      <c r="F948" s="25" t="str">
        <f t="array" ref="F948">IFERROR(_xlfn.XLOOKUP('Form responses 2'!C948,'Item List'!$I$2:$I$995,'Item List'!C$2:$F$995),"")</f>
        <v/>
      </c>
    </row>
    <row r="949">
      <c r="A949" s="25"/>
      <c r="B949" s="25"/>
      <c r="C949" s="25"/>
      <c r="D949" s="25"/>
      <c r="E949" s="25" t="s">
        <v>1333</v>
      </c>
      <c r="F949" s="25" t="str">
        <f t="array" ref="F949">IFERROR(_xlfn.XLOOKUP('Form responses 2'!C949,'Item List'!$I$2:$I$995,'Item List'!C$2:$F$995),"")</f>
        <v/>
      </c>
    </row>
    <row r="950">
      <c r="A950" s="25"/>
      <c r="B950" s="25"/>
      <c r="C950" s="25"/>
      <c r="D950" s="25"/>
      <c r="E950" s="25" t="s">
        <v>1333</v>
      </c>
      <c r="F950" s="25" t="str">
        <f t="array" ref="F950">IFERROR(_xlfn.XLOOKUP('Form responses 2'!C950,'Item List'!$I$2:$I$995,'Item List'!C$2:$F$995),"")</f>
        <v/>
      </c>
    </row>
    <row r="951">
      <c r="A951" s="25"/>
      <c r="B951" s="25"/>
      <c r="C951" s="25"/>
      <c r="D951" s="25"/>
      <c r="E951" s="25" t="s">
        <v>1333</v>
      </c>
      <c r="F951" s="25" t="str">
        <f t="array" ref="F951">IFERROR(_xlfn.XLOOKUP('Form responses 2'!C951,'Item List'!$I$2:$I$995,'Item List'!C$2:$F$995),"")</f>
        <v/>
      </c>
    </row>
    <row r="952">
      <c r="A952" s="25"/>
      <c r="B952" s="25"/>
      <c r="C952" s="25"/>
      <c r="D952" s="25"/>
      <c r="E952" s="25" t="s">
        <v>1333</v>
      </c>
      <c r="F952" s="25" t="str">
        <f t="array" ref="F952">IFERROR(_xlfn.XLOOKUP('Form responses 2'!C952,'Item List'!$I$2:$I$995,'Item List'!C$2:$F$995),"")</f>
        <v/>
      </c>
    </row>
    <row r="953">
      <c r="A953" s="25"/>
      <c r="B953" s="25"/>
      <c r="C953" s="25"/>
      <c r="D953" s="25"/>
      <c r="E953" s="25" t="s">
        <v>1333</v>
      </c>
      <c r="F953" s="25" t="str">
        <f t="array" ref="F953">IFERROR(_xlfn.XLOOKUP('Form responses 2'!C953,'Item List'!$I$2:$I$995,'Item List'!C$2:$F$995),"")</f>
        <v/>
      </c>
    </row>
    <row r="954">
      <c r="A954" s="25"/>
      <c r="B954" s="25"/>
      <c r="C954" s="25"/>
      <c r="D954" s="25"/>
      <c r="E954" s="25" t="s">
        <v>1333</v>
      </c>
      <c r="F954" s="25" t="str">
        <f t="array" ref="F954">IFERROR(_xlfn.XLOOKUP('Form responses 2'!C954,'Item List'!$I$2:$I$995,'Item List'!C$2:$F$995),"")</f>
        <v/>
      </c>
    </row>
    <row r="955">
      <c r="A955" s="25"/>
      <c r="B955" s="25"/>
      <c r="C955" s="25"/>
      <c r="D955" s="25"/>
      <c r="E955" s="25" t="s">
        <v>1333</v>
      </c>
      <c r="F955" s="25" t="str">
        <f t="array" ref="F955">IFERROR(_xlfn.XLOOKUP('Form responses 2'!C955,'Item List'!$I$2:$I$995,'Item List'!C$2:$F$995),"")</f>
        <v/>
      </c>
    </row>
    <row r="956">
      <c r="A956" s="25"/>
      <c r="B956" s="25"/>
      <c r="C956" s="25"/>
      <c r="D956" s="25"/>
      <c r="E956" s="25" t="s">
        <v>1333</v>
      </c>
      <c r="F956" s="25" t="str">
        <f t="array" ref="F956">IFERROR(_xlfn.XLOOKUP('Form responses 2'!C956,'Item List'!$I$2:$I$995,'Item List'!C$2:$F$995),"")</f>
        <v/>
      </c>
    </row>
    <row r="957">
      <c r="A957" s="25"/>
      <c r="B957" s="25"/>
      <c r="C957" s="25"/>
      <c r="D957" s="25"/>
      <c r="E957" s="25" t="s">
        <v>1333</v>
      </c>
      <c r="F957" s="25" t="str">
        <f t="array" ref="F957">IFERROR(_xlfn.XLOOKUP('Form responses 2'!C957,'Item List'!$I$2:$I$995,'Item List'!C$2:$F$995),"")</f>
        <v/>
      </c>
    </row>
    <row r="958">
      <c r="A958" s="25"/>
      <c r="B958" s="25"/>
      <c r="C958" s="25"/>
      <c r="D958" s="25"/>
      <c r="E958" s="25" t="s">
        <v>1333</v>
      </c>
      <c r="F958" s="25" t="str">
        <f t="array" ref="F958">IFERROR(_xlfn.XLOOKUP('Form responses 2'!C958,'Item List'!$I$2:$I$995,'Item List'!C$2:$F$995),"")</f>
        <v/>
      </c>
    </row>
    <row r="959">
      <c r="A959" s="25"/>
      <c r="B959" s="25"/>
      <c r="C959" s="25"/>
      <c r="D959" s="25"/>
      <c r="E959" s="25" t="s">
        <v>1333</v>
      </c>
      <c r="F959" s="25" t="str">
        <f t="array" ref="F959">IFERROR(_xlfn.XLOOKUP('Form responses 2'!C959,'Item List'!$I$2:$I$995,'Item List'!C$2:$F$995),"")</f>
        <v/>
      </c>
    </row>
    <row r="960">
      <c r="A960" s="25"/>
      <c r="B960" s="25"/>
      <c r="C960" s="25"/>
      <c r="D960" s="25"/>
      <c r="E960" s="25" t="s">
        <v>1333</v>
      </c>
      <c r="F960" s="25" t="str">
        <f t="array" ref="F960">IFERROR(_xlfn.XLOOKUP('Form responses 2'!C960,'Item List'!$I$2:$I$995,'Item List'!C$2:$F$995),"")</f>
        <v/>
      </c>
    </row>
    <row r="961">
      <c r="A961" s="25"/>
      <c r="B961" s="25"/>
      <c r="C961" s="25"/>
      <c r="D961" s="25"/>
      <c r="E961" s="25" t="s">
        <v>1333</v>
      </c>
      <c r="F961" s="25" t="str">
        <f t="array" ref="F961">IFERROR(_xlfn.XLOOKUP('Form responses 2'!C961,'Item List'!$I$2:$I$995,'Item List'!C$2:$F$995),"")</f>
        <v/>
      </c>
    </row>
    <row r="962">
      <c r="A962" s="25"/>
      <c r="B962" s="25"/>
      <c r="C962" s="25"/>
      <c r="D962" s="25"/>
      <c r="E962" s="25" t="s">
        <v>1333</v>
      </c>
      <c r="F962" s="25" t="str">
        <f t="array" ref="F962">IFERROR(_xlfn.XLOOKUP('Form responses 2'!C962,'Item List'!$I$2:$I$995,'Item List'!C$2:$F$995),"")</f>
        <v/>
      </c>
    </row>
    <row r="963">
      <c r="A963" s="25"/>
      <c r="B963" s="25"/>
      <c r="C963" s="25"/>
      <c r="D963" s="25"/>
      <c r="E963" s="25" t="s">
        <v>1333</v>
      </c>
      <c r="F963" s="25" t="str">
        <f t="array" ref="F963">IFERROR(_xlfn.XLOOKUP('Form responses 2'!C963,'Item List'!$I$2:$I$995,'Item List'!C$2:$F$995),"")</f>
        <v/>
      </c>
    </row>
    <row r="964">
      <c r="A964" s="25"/>
      <c r="B964" s="25"/>
      <c r="C964" s="25"/>
      <c r="D964" s="25"/>
      <c r="E964" s="25" t="s">
        <v>1333</v>
      </c>
      <c r="F964" s="25" t="str">
        <f t="array" ref="F964">IFERROR(_xlfn.XLOOKUP('Form responses 2'!C964,'Item List'!$I$2:$I$995,'Item List'!C$2:$F$995),"")</f>
        <v/>
      </c>
    </row>
    <row r="965">
      <c r="A965" s="25"/>
      <c r="B965" s="25"/>
      <c r="C965" s="25"/>
      <c r="D965" s="25"/>
      <c r="E965" s="25" t="s">
        <v>1333</v>
      </c>
      <c r="F965" s="25" t="str">
        <f t="array" ref="F965">IFERROR(_xlfn.XLOOKUP('Form responses 2'!C965,'Item List'!$I$2:$I$995,'Item List'!C$2:$F$995),"")</f>
        <v/>
      </c>
    </row>
    <row r="966">
      <c r="A966" s="25"/>
      <c r="B966" s="25"/>
      <c r="C966" s="25"/>
      <c r="D966" s="25"/>
      <c r="E966" s="25" t="s">
        <v>1333</v>
      </c>
      <c r="F966" s="25" t="str">
        <f t="array" ref="F966">IFERROR(_xlfn.XLOOKUP('Form responses 2'!C966,'Item List'!$I$2:$I$995,'Item List'!C$2:$F$995),"")</f>
        <v/>
      </c>
    </row>
    <row r="967">
      <c r="A967" s="25"/>
      <c r="B967" s="25"/>
      <c r="C967" s="25"/>
      <c r="D967" s="25"/>
      <c r="E967" s="25" t="s">
        <v>1333</v>
      </c>
      <c r="F967" s="25" t="str">
        <f t="array" ref="F967">IFERROR(_xlfn.XLOOKUP('Form responses 2'!C967,'Item List'!$I$2:$I$995,'Item List'!C$2:$F$995),"")</f>
        <v/>
      </c>
    </row>
    <row r="968">
      <c r="A968" s="25"/>
      <c r="B968" s="25"/>
      <c r="C968" s="25"/>
      <c r="D968" s="25"/>
      <c r="E968" s="25" t="s">
        <v>1333</v>
      </c>
      <c r="F968" s="25" t="str">
        <f t="array" ref="F968">IFERROR(_xlfn.XLOOKUP('Form responses 2'!C968,'Item List'!$I$2:$I$995,'Item List'!C$2:$F$995),"")</f>
        <v/>
      </c>
    </row>
    <row r="969">
      <c r="A969" s="25"/>
      <c r="B969" s="25"/>
      <c r="C969" s="25"/>
      <c r="D969" s="25"/>
      <c r="E969" s="25" t="s">
        <v>1333</v>
      </c>
      <c r="F969" s="25" t="str">
        <f t="array" ref="F969">IFERROR(_xlfn.XLOOKUP('Form responses 2'!C969,'Item List'!$I$2:$I$995,'Item List'!C$2:$F$995),"")</f>
        <v/>
      </c>
    </row>
    <row r="970">
      <c r="A970" s="25"/>
      <c r="B970" s="25"/>
      <c r="C970" s="25"/>
      <c r="D970" s="25"/>
      <c r="E970" s="25" t="s">
        <v>1333</v>
      </c>
      <c r="F970" s="25" t="str">
        <f t="array" ref="F970">IFERROR(_xlfn.XLOOKUP('Form responses 2'!C970,'Item List'!$I$2:$I$995,'Item List'!C$2:$F$995),"")</f>
        <v/>
      </c>
    </row>
    <row r="971">
      <c r="A971" s="25"/>
      <c r="B971" s="25"/>
      <c r="C971" s="25"/>
      <c r="D971" s="25"/>
      <c r="E971" s="25" t="s">
        <v>1333</v>
      </c>
      <c r="F971" s="25" t="str">
        <f t="array" ref="F971">IFERROR(_xlfn.XLOOKUP('Form responses 2'!C971,'Item List'!$I$2:$I$995,'Item List'!C$2:$F$995),"")</f>
        <v/>
      </c>
    </row>
    <row r="972">
      <c r="A972" s="25"/>
      <c r="B972" s="25"/>
      <c r="C972" s="25"/>
      <c r="D972" s="25"/>
      <c r="E972" s="25" t="s">
        <v>1333</v>
      </c>
      <c r="F972" s="25" t="str">
        <f t="array" ref="F972">IFERROR(_xlfn.XLOOKUP('Form responses 2'!C972,'Item List'!$I$2:$I$995,'Item List'!C$2:$F$995),"")</f>
        <v/>
      </c>
    </row>
    <row r="973">
      <c r="A973" s="25"/>
      <c r="B973" s="25"/>
      <c r="C973" s="25"/>
      <c r="D973" s="25"/>
      <c r="E973" s="25" t="s">
        <v>1333</v>
      </c>
      <c r="F973" s="25" t="str">
        <f t="array" ref="F973">IFERROR(_xlfn.XLOOKUP('Form responses 2'!C973,'Item List'!$I$2:$I$995,'Item List'!C$2:$F$995),"")</f>
        <v/>
      </c>
    </row>
    <row r="974">
      <c r="A974" s="25"/>
      <c r="B974" s="25"/>
      <c r="C974" s="25"/>
      <c r="D974" s="25"/>
      <c r="E974" s="25" t="s">
        <v>1333</v>
      </c>
      <c r="F974" s="25" t="str">
        <f t="array" ref="F974">IFERROR(_xlfn.XLOOKUP('Form responses 2'!C974,'Item List'!$I$2:$I$995,'Item List'!C$2:$F$995),"")</f>
        <v/>
      </c>
    </row>
    <row r="975">
      <c r="A975" s="25"/>
      <c r="B975" s="25"/>
      <c r="C975" s="25"/>
      <c r="D975" s="25"/>
      <c r="E975" s="25" t="s">
        <v>1333</v>
      </c>
      <c r="F975" s="25" t="str">
        <f t="array" ref="F975">IFERROR(_xlfn.XLOOKUP('Form responses 2'!C975,'Item List'!$I$2:$I$995,'Item List'!C$2:$F$995),"")</f>
        <v/>
      </c>
    </row>
    <row r="976">
      <c r="A976" s="25"/>
      <c r="B976" s="25"/>
      <c r="C976" s="25"/>
      <c r="D976" s="25"/>
      <c r="E976" s="25" t="s">
        <v>1333</v>
      </c>
      <c r="F976" s="25" t="str">
        <f t="array" ref="F976">IFERROR(_xlfn.XLOOKUP('Form responses 2'!C976,'Item List'!$I$2:$I$995,'Item List'!C$2:$F$995),"")</f>
        <v/>
      </c>
    </row>
    <row r="977">
      <c r="A977" s="25"/>
      <c r="B977" s="25"/>
      <c r="C977" s="25"/>
      <c r="D977" s="25"/>
      <c r="E977" s="25" t="s">
        <v>1333</v>
      </c>
      <c r="F977" s="25" t="str">
        <f t="array" ref="F977">IFERROR(_xlfn.XLOOKUP('Form responses 2'!C977,'Item List'!$I$2:$I$995,'Item List'!C$2:$F$995),"")</f>
        <v/>
      </c>
    </row>
    <row r="978">
      <c r="A978" s="25"/>
      <c r="B978" s="25"/>
      <c r="C978" s="25"/>
      <c r="D978" s="25"/>
      <c r="E978" s="25" t="s">
        <v>1333</v>
      </c>
      <c r="F978" s="25" t="str">
        <f t="array" ref="F978">IFERROR(_xlfn.XLOOKUP('Form responses 2'!C978,'Item List'!$I$2:$I$995,'Item List'!C$2:$F$995),"")</f>
        <v/>
      </c>
    </row>
    <row r="979">
      <c r="A979" s="25"/>
      <c r="B979" s="25"/>
      <c r="C979" s="25"/>
      <c r="D979" s="25"/>
      <c r="E979" s="25" t="s">
        <v>1333</v>
      </c>
      <c r="F979" s="25" t="str">
        <f t="array" ref="F979">IFERROR(_xlfn.XLOOKUP('Form responses 2'!C979,'Item List'!$I$2:$I$995,'Item List'!C$2:$F$995),"")</f>
        <v/>
      </c>
    </row>
    <row r="980">
      <c r="A980" s="25"/>
      <c r="B980" s="25"/>
      <c r="C980" s="25"/>
      <c r="D980" s="25"/>
      <c r="E980" s="25" t="s">
        <v>1333</v>
      </c>
      <c r="F980" s="25" t="str">
        <f t="array" ref="F980">IFERROR(_xlfn.XLOOKUP('Form responses 2'!C980,'Item List'!$I$2:$I$995,'Item List'!C$2:$F$995),"")</f>
        <v/>
      </c>
    </row>
    <row r="981">
      <c r="A981" s="25"/>
      <c r="B981" s="25"/>
      <c r="C981" s="25"/>
      <c r="D981" s="25"/>
      <c r="E981" s="25" t="s">
        <v>1333</v>
      </c>
      <c r="F981" s="25" t="str">
        <f t="array" ref="F981">IFERROR(_xlfn.XLOOKUP('Form responses 2'!C981,'Item List'!$I$2:$I$995,'Item List'!C$2:$F$995),"")</f>
        <v/>
      </c>
    </row>
    <row r="982">
      <c r="A982" s="25"/>
      <c r="B982" s="25"/>
      <c r="C982" s="25"/>
      <c r="D982" s="25"/>
      <c r="E982" s="25" t="s">
        <v>1333</v>
      </c>
      <c r="F982" s="25" t="str">
        <f t="array" ref="F982">IFERROR(_xlfn.XLOOKUP('Form responses 2'!C982,'Item List'!$I$2:$I$995,'Item List'!C$2:$F$995),"")</f>
        <v/>
      </c>
    </row>
    <row r="983">
      <c r="A983" s="25"/>
      <c r="B983" s="25"/>
      <c r="C983" s="25"/>
      <c r="D983" s="25"/>
      <c r="E983" s="25" t="s">
        <v>1333</v>
      </c>
      <c r="F983" s="25" t="str">
        <f t="array" ref="F983">IFERROR(_xlfn.XLOOKUP('Form responses 2'!C983,'Item List'!$I$2:$I$995,'Item List'!C$2:$F$995),"")</f>
        <v/>
      </c>
    </row>
    <row r="984">
      <c r="A984" s="25"/>
      <c r="B984" s="25"/>
      <c r="C984" s="25"/>
      <c r="D984" s="25"/>
      <c r="E984" s="25" t="s">
        <v>1333</v>
      </c>
      <c r="F984" s="25" t="str">
        <f t="array" ref="F984">IFERROR(_xlfn.XLOOKUP('Form responses 2'!C984,'Item List'!$I$2:$I$995,'Item List'!C$2:$F$995),"")</f>
        <v/>
      </c>
    </row>
    <row r="985">
      <c r="A985" s="25"/>
      <c r="B985" s="25"/>
      <c r="C985" s="25"/>
      <c r="D985" s="25"/>
      <c r="E985" s="25" t="s">
        <v>1333</v>
      </c>
      <c r="F985" s="25" t="str">
        <f t="array" ref="F985">IFERROR(_xlfn.XLOOKUP('Form responses 2'!C985,'Item List'!$I$2:$I$995,'Item List'!C$2:$F$995),"")</f>
        <v/>
      </c>
    </row>
    <row r="986">
      <c r="A986" s="25"/>
      <c r="B986" s="25"/>
      <c r="C986" s="25"/>
      <c r="D986" s="25"/>
      <c r="E986" s="25" t="s">
        <v>1333</v>
      </c>
      <c r="F986" s="25" t="str">
        <f t="array" ref="F986">IFERROR(_xlfn.XLOOKUP('Form responses 2'!C986,'Item List'!$I$2:$I$995,'Item List'!C$2:$F$995),"")</f>
        <v/>
      </c>
    </row>
    <row r="987">
      <c r="A987" s="25"/>
      <c r="B987" s="25"/>
      <c r="C987" s="25"/>
      <c r="D987" s="25"/>
      <c r="E987" s="25" t="s">
        <v>1333</v>
      </c>
      <c r="F987" s="25" t="str">
        <f t="array" ref="F987">IFERROR(_xlfn.XLOOKUP('Form responses 2'!C987,'Item List'!$I$2:$I$995,'Item List'!C$2:$F$995),"")</f>
        <v/>
      </c>
    </row>
    <row r="988">
      <c r="A988" s="25"/>
      <c r="B988" s="25"/>
      <c r="C988" s="25"/>
      <c r="D988" s="25"/>
      <c r="E988" s="25" t="s">
        <v>1333</v>
      </c>
      <c r="F988" s="25" t="str">
        <f t="array" ref="F988">IFERROR(_xlfn.XLOOKUP('Form responses 2'!C988,'Item List'!$I$2:$I$995,'Item List'!C$2:$F$995),"")</f>
        <v/>
      </c>
    </row>
    <row r="989">
      <c r="A989" s="25"/>
      <c r="B989" s="25"/>
      <c r="C989" s="25"/>
      <c r="D989" s="25"/>
      <c r="E989" s="25" t="s">
        <v>1333</v>
      </c>
      <c r="F989" s="25" t="str">
        <f t="array" ref="F989">IFERROR(_xlfn.XLOOKUP('Form responses 2'!C989,'Item List'!$I$2:$I$995,'Item List'!C$2:$F$995),"")</f>
        <v/>
      </c>
    </row>
    <row r="990">
      <c r="A990" s="25"/>
      <c r="B990" s="25"/>
      <c r="C990" s="25"/>
      <c r="D990" s="25"/>
      <c r="E990" s="25" t="s">
        <v>1333</v>
      </c>
      <c r="F990" s="25" t="str">
        <f t="array" ref="F990">IFERROR(_xlfn.XLOOKUP('Form responses 2'!C990,'Item List'!$I$2:$I$995,'Item List'!C$2:$F$995),"")</f>
        <v/>
      </c>
    </row>
    <row r="991">
      <c r="A991" s="25"/>
      <c r="B991" s="25"/>
      <c r="C991" s="25"/>
      <c r="D991" s="25"/>
      <c r="E991" s="25" t="s">
        <v>1333</v>
      </c>
      <c r="F991" s="25" t="str">
        <f t="array" ref="F991">IFERROR(_xlfn.XLOOKUP('Form responses 2'!C991,'Item List'!$I$2:$I$995,'Item List'!C$2:$F$995),"")</f>
        <v/>
      </c>
    </row>
    <row r="992">
      <c r="A992" s="25"/>
      <c r="B992" s="25"/>
      <c r="C992" s="25"/>
      <c r="D992" s="25"/>
      <c r="E992" s="25" t="s">
        <v>1333</v>
      </c>
      <c r="F992" s="25" t="str">
        <f t="array" ref="F992">IFERROR(_xlfn.XLOOKUP('Form responses 2'!C992,'Item List'!$I$2:$I$995,'Item List'!C$2:$F$995),"")</f>
        <v/>
      </c>
    </row>
    <row r="993">
      <c r="A993" s="25"/>
      <c r="B993" s="25"/>
      <c r="C993" s="25"/>
      <c r="D993" s="25"/>
      <c r="E993" s="25" t="s">
        <v>1333</v>
      </c>
      <c r="F993" s="25" t="str">
        <f t="array" ref="F993">IFERROR(_xlfn.XLOOKUP('Form responses 2'!C993,'Item List'!$I$2:$I$995,'Item List'!C$2:$F$995),"")</f>
        <v/>
      </c>
    </row>
    <row r="994">
      <c r="A994" s="25"/>
      <c r="B994" s="25"/>
      <c r="C994" s="25"/>
      <c r="D994" s="25"/>
      <c r="E994" s="25" t="s">
        <v>1333</v>
      </c>
      <c r="F994" s="25" t="str">
        <f t="array" ref="F994">IFERROR(_xlfn.XLOOKUP('Form responses 2'!C994,'Item List'!$I$2:$I$995,'Item List'!C$2:$F$995),"")</f>
        <v/>
      </c>
    </row>
    <row r="995">
      <c r="A995" s="25"/>
      <c r="B995" s="25"/>
      <c r="C995" s="25"/>
      <c r="D995" s="25"/>
      <c r="E995" s="25" t="s">
        <v>1333</v>
      </c>
      <c r="F995" s="25" t="str">
        <f t="array" ref="F995">IFERROR(_xlfn.XLOOKUP('Form responses 2'!C995,'Item List'!$I$2:$I$995,'Item List'!C$2:$F$995),"")</f>
        <v/>
      </c>
    </row>
    <row r="996">
      <c r="A996" s="25"/>
      <c r="B996" s="25"/>
      <c r="C996" s="25"/>
      <c r="D996" s="25"/>
      <c r="E996" s="25" t="s">
        <v>1333</v>
      </c>
      <c r="F996" s="25" t="str">
        <f t="array" ref="F996">IFERROR(_xlfn.XLOOKUP('Form responses 2'!C996,'Item List'!$I$2:$I$995,'Item List'!C$2:$F$995),"")</f>
        <v/>
      </c>
    </row>
    <row r="997">
      <c r="A997" s="25"/>
      <c r="B997" s="25"/>
      <c r="C997" s="25"/>
      <c r="D997" s="25"/>
      <c r="E997" s="25" t="s">
        <v>1333</v>
      </c>
      <c r="F997" s="25" t="str">
        <f t="array" ref="F997">IFERROR(_xlfn.XLOOKUP('Form responses 2'!C997,'Item List'!$I$2:$I$995,'Item List'!C$2:$F$995),"")</f>
        <v/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6.63"/>
    <col customWidth="1" min="3" max="3" width="11.0"/>
    <col customWidth="1" min="4" max="4" width="18.5"/>
    <col customWidth="1" min="5" max="5" width="33.63"/>
  </cols>
  <sheetData>
    <row r="1">
      <c r="A1" s="28" t="s">
        <v>3</v>
      </c>
      <c r="B1" s="28" t="s">
        <v>4</v>
      </c>
      <c r="C1" s="28" t="s">
        <v>1554</v>
      </c>
      <c r="D1" s="261" t="s">
        <v>1140</v>
      </c>
      <c r="E1" s="28" t="s">
        <v>1555</v>
      </c>
    </row>
    <row r="2">
      <c r="A2" s="28" t="s">
        <v>2567</v>
      </c>
      <c r="B2" s="262" t="s">
        <v>2568</v>
      </c>
      <c r="C2" s="28" t="s">
        <v>1560</v>
      </c>
      <c r="D2" s="261">
        <v>46015.0</v>
      </c>
      <c r="E2" s="263">
        <v>18.0</v>
      </c>
    </row>
    <row r="3">
      <c r="A3" s="28" t="s">
        <v>2567</v>
      </c>
      <c r="B3" s="262" t="s">
        <v>2569</v>
      </c>
      <c r="C3" s="28" t="s">
        <v>1560</v>
      </c>
      <c r="D3" s="261">
        <v>46015.0</v>
      </c>
      <c r="E3" s="263">
        <v>15.0</v>
      </c>
    </row>
    <row r="4">
      <c r="A4" s="28" t="s">
        <v>2567</v>
      </c>
      <c r="B4" s="262" t="s">
        <v>2570</v>
      </c>
      <c r="C4" s="28" t="s">
        <v>1560</v>
      </c>
      <c r="D4" s="261">
        <v>46015.0</v>
      </c>
      <c r="E4" s="263">
        <v>25.0</v>
      </c>
    </row>
    <row r="5">
      <c r="A5" s="28" t="s">
        <v>2567</v>
      </c>
      <c r="B5" s="262" t="s">
        <v>2571</v>
      </c>
      <c r="C5" s="28" t="s">
        <v>1560</v>
      </c>
      <c r="D5" s="261">
        <v>46015.0</v>
      </c>
      <c r="E5" s="263">
        <v>8.0</v>
      </c>
    </row>
    <row r="6">
      <c r="A6" s="28" t="s">
        <v>2567</v>
      </c>
      <c r="B6" s="262" t="s">
        <v>2572</v>
      </c>
      <c r="C6" s="28" t="s">
        <v>1560</v>
      </c>
      <c r="D6" s="261">
        <v>46015.0</v>
      </c>
      <c r="E6" s="263">
        <v>9.0</v>
      </c>
    </row>
    <row r="7">
      <c r="A7" s="28" t="s">
        <v>2567</v>
      </c>
      <c r="B7" s="264" t="s">
        <v>2573</v>
      </c>
      <c r="C7" s="28" t="s">
        <v>1560</v>
      </c>
      <c r="D7" s="261">
        <v>46015.0</v>
      </c>
      <c r="E7" s="265">
        <v>14.0</v>
      </c>
    </row>
    <row r="8">
      <c r="A8" s="28" t="s">
        <v>2567</v>
      </c>
      <c r="B8" s="264" t="s">
        <v>2574</v>
      </c>
      <c r="C8" s="28" t="s">
        <v>1560</v>
      </c>
      <c r="D8" s="261">
        <v>46015.0</v>
      </c>
      <c r="E8" s="265">
        <v>28.0</v>
      </c>
    </row>
    <row r="9">
      <c r="A9" s="28" t="s">
        <v>2567</v>
      </c>
      <c r="B9" s="264" t="s">
        <v>2575</v>
      </c>
      <c r="C9" s="28" t="s">
        <v>1560</v>
      </c>
      <c r="D9" s="261">
        <v>46015.0</v>
      </c>
      <c r="E9" s="265">
        <v>20.0</v>
      </c>
    </row>
    <row r="10">
      <c r="A10" s="28" t="s">
        <v>2567</v>
      </c>
      <c r="B10" s="264" t="s">
        <v>2573</v>
      </c>
      <c r="C10" s="28" t="s">
        <v>1560</v>
      </c>
      <c r="D10" s="261">
        <v>46015.0</v>
      </c>
      <c r="E10" s="265">
        <v>16.0</v>
      </c>
    </row>
    <row r="11">
      <c r="A11" s="28" t="s">
        <v>2567</v>
      </c>
      <c r="B11" s="264" t="s">
        <v>2576</v>
      </c>
      <c r="C11" s="28" t="s">
        <v>1560</v>
      </c>
      <c r="D11" s="261">
        <v>46015.0</v>
      </c>
      <c r="E11" s="265">
        <v>27.0</v>
      </c>
    </row>
    <row r="12">
      <c r="A12" s="28" t="s">
        <v>2567</v>
      </c>
      <c r="B12" s="264" t="s">
        <v>2577</v>
      </c>
      <c r="C12" s="28" t="s">
        <v>1560</v>
      </c>
      <c r="D12" s="261">
        <v>46015.0</v>
      </c>
      <c r="E12" s="265">
        <v>16.0</v>
      </c>
    </row>
    <row r="13">
      <c r="A13" s="28" t="s">
        <v>2567</v>
      </c>
      <c r="B13" s="264" t="s">
        <v>2578</v>
      </c>
      <c r="C13" s="28" t="s">
        <v>1560</v>
      </c>
      <c r="D13" s="261">
        <v>46015.0</v>
      </c>
      <c r="E13" s="265">
        <v>21.0</v>
      </c>
    </row>
    <row r="14">
      <c r="A14" s="28" t="s">
        <v>2567</v>
      </c>
      <c r="B14" s="264" t="s">
        <v>2579</v>
      </c>
      <c r="C14" s="28" t="s">
        <v>1560</v>
      </c>
      <c r="D14" s="261">
        <v>46015.0</v>
      </c>
      <c r="E14" s="265">
        <v>7.0</v>
      </c>
    </row>
    <row r="15">
      <c r="A15" s="28" t="s">
        <v>2567</v>
      </c>
      <c r="B15" s="264" t="s">
        <v>2580</v>
      </c>
      <c r="C15" s="28" t="s">
        <v>1560</v>
      </c>
      <c r="D15" s="261">
        <v>46015.0</v>
      </c>
      <c r="E15" s="265">
        <v>9.0</v>
      </c>
    </row>
    <row r="16">
      <c r="A16" s="28" t="s">
        <v>2567</v>
      </c>
      <c r="B16" s="264" t="s">
        <v>2581</v>
      </c>
      <c r="C16" s="28" t="s">
        <v>1560</v>
      </c>
      <c r="D16" s="261">
        <v>46015.0</v>
      </c>
      <c r="E16" s="265">
        <v>20.0</v>
      </c>
    </row>
    <row r="17">
      <c r="A17" s="28" t="s">
        <v>2567</v>
      </c>
      <c r="B17" s="264" t="s">
        <v>2582</v>
      </c>
      <c r="C17" s="28" t="s">
        <v>1560</v>
      </c>
      <c r="D17" s="261">
        <v>46015.0</v>
      </c>
      <c r="E17" s="265">
        <v>9.0</v>
      </c>
    </row>
    <row r="18">
      <c r="A18" s="28" t="s">
        <v>2567</v>
      </c>
      <c r="B18" s="264" t="s">
        <v>2583</v>
      </c>
      <c r="C18" s="28" t="s">
        <v>1560</v>
      </c>
      <c r="D18" s="261">
        <v>46015.0</v>
      </c>
      <c r="E18" s="265">
        <v>9.0</v>
      </c>
    </row>
    <row r="19">
      <c r="A19" s="28" t="s">
        <v>2567</v>
      </c>
      <c r="B19" s="264" t="s">
        <v>2584</v>
      </c>
      <c r="C19" s="28" t="s">
        <v>1560</v>
      </c>
      <c r="D19" s="261">
        <v>46015.0</v>
      </c>
      <c r="E19" s="265">
        <v>9.0</v>
      </c>
    </row>
    <row r="20">
      <c r="A20" s="28" t="s">
        <v>2567</v>
      </c>
      <c r="B20" s="264" t="s">
        <v>2585</v>
      </c>
      <c r="C20" s="28" t="s">
        <v>1560</v>
      </c>
      <c r="D20" s="261">
        <v>46015.0</v>
      </c>
      <c r="E20" s="265">
        <v>24.0</v>
      </c>
    </row>
    <row r="21">
      <c r="A21" s="28" t="s">
        <v>2567</v>
      </c>
      <c r="B21" s="264" t="s">
        <v>2586</v>
      </c>
      <c r="C21" s="28" t="s">
        <v>1560</v>
      </c>
      <c r="D21" s="261">
        <v>46015.0</v>
      </c>
      <c r="E21" s="265">
        <v>8.0</v>
      </c>
    </row>
    <row r="22">
      <c r="A22" s="28" t="s">
        <v>2567</v>
      </c>
      <c r="B22" s="264" t="s">
        <v>2587</v>
      </c>
      <c r="C22" s="28" t="s">
        <v>1560</v>
      </c>
      <c r="D22" s="261">
        <v>46015.0</v>
      </c>
      <c r="E22" s="265">
        <v>7.0</v>
      </c>
    </row>
    <row r="23">
      <c r="A23" s="28" t="s">
        <v>2567</v>
      </c>
      <c r="B23" s="264" t="s">
        <v>2588</v>
      </c>
      <c r="C23" s="28" t="s">
        <v>1560</v>
      </c>
      <c r="D23" s="261">
        <v>46015.0</v>
      </c>
      <c r="E23" s="265">
        <v>7.0</v>
      </c>
    </row>
    <row r="24">
      <c r="A24" s="28" t="s">
        <v>2567</v>
      </c>
      <c r="B24" s="264" t="s">
        <v>2589</v>
      </c>
      <c r="C24" s="28" t="s">
        <v>1560</v>
      </c>
      <c r="D24" s="261">
        <v>46015.0</v>
      </c>
      <c r="E24" s="265">
        <v>5.0</v>
      </c>
    </row>
    <row r="25">
      <c r="A25" s="28" t="s">
        <v>2567</v>
      </c>
      <c r="B25" s="264" t="s">
        <v>2590</v>
      </c>
      <c r="C25" s="28" t="s">
        <v>1560</v>
      </c>
      <c r="D25" s="261">
        <v>46015.0</v>
      </c>
      <c r="E25" s="265">
        <v>0.0</v>
      </c>
    </row>
    <row r="26">
      <c r="A26" s="28" t="s">
        <v>2567</v>
      </c>
      <c r="B26" s="264" t="s">
        <v>2591</v>
      </c>
      <c r="C26" s="28" t="s">
        <v>1560</v>
      </c>
      <c r="D26" s="261">
        <v>46015.0</v>
      </c>
      <c r="E26" s="265">
        <v>6.0</v>
      </c>
    </row>
    <row r="27">
      <c r="A27" s="28" t="s">
        <v>2567</v>
      </c>
      <c r="B27" s="264" t="s">
        <v>1682</v>
      </c>
      <c r="C27" s="28" t="s">
        <v>1560</v>
      </c>
      <c r="D27" s="261">
        <v>46015.0</v>
      </c>
      <c r="E27" s="265">
        <v>0.0</v>
      </c>
    </row>
    <row r="28">
      <c r="A28" s="28" t="s">
        <v>2567</v>
      </c>
      <c r="B28" s="264" t="s">
        <v>2592</v>
      </c>
      <c r="C28" s="28" t="s">
        <v>1560</v>
      </c>
      <c r="D28" s="261">
        <v>46015.0</v>
      </c>
      <c r="E28" s="265">
        <v>1.0</v>
      </c>
    </row>
    <row r="29">
      <c r="A29" s="28" t="s">
        <v>2567</v>
      </c>
      <c r="B29" s="264" t="s">
        <v>2593</v>
      </c>
      <c r="C29" s="28" t="s">
        <v>1560</v>
      </c>
      <c r="D29" s="261">
        <v>46015.0</v>
      </c>
      <c r="E29" s="265">
        <v>1.0</v>
      </c>
    </row>
    <row r="30">
      <c r="A30" s="28" t="s">
        <v>2567</v>
      </c>
      <c r="B30" s="264" t="s">
        <v>1756</v>
      </c>
      <c r="C30" s="28" t="s">
        <v>1560</v>
      </c>
      <c r="D30" s="261">
        <v>46015.0</v>
      </c>
      <c r="E30" s="265">
        <v>2.0</v>
      </c>
    </row>
    <row r="31">
      <c r="A31" s="28" t="s">
        <v>2567</v>
      </c>
      <c r="B31" s="264" t="s">
        <v>2594</v>
      </c>
      <c r="C31" s="28" t="s">
        <v>1560</v>
      </c>
      <c r="D31" s="261">
        <v>46015.0</v>
      </c>
      <c r="E31" s="265">
        <v>3.0</v>
      </c>
    </row>
    <row r="32">
      <c r="A32" s="28" t="s">
        <v>2567</v>
      </c>
      <c r="B32" s="264" t="s">
        <v>2595</v>
      </c>
      <c r="C32" s="28" t="s">
        <v>1560</v>
      </c>
      <c r="D32" s="261">
        <v>46015.0</v>
      </c>
      <c r="E32" s="265">
        <v>4.0</v>
      </c>
    </row>
    <row r="33">
      <c r="A33" s="28" t="s">
        <v>2567</v>
      </c>
      <c r="B33" s="264" t="s">
        <v>2596</v>
      </c>
      <c r="C33" s="28" t="s">
        <v>1560</v>
      </c>
      <c r="D33" s="261">
        <v>46015.0</v>
      </c>
      <c r="E33" s="265">
        <v>1.0</v>
      </c>
    </row>
    <row r="34">
      <c r="A34" s="28" t="s">
        <v>2567</v>
      </c>
      <c r="B34" s="264" t="s">
        <v>2597</v>
      </c>
      <c r="C34" s="28" t="s">
        <v>1560</v>
      </c>
      <c r="D34" s="261">
        <v>46015.0</v>
      </c>
      <c r="E34" s="265">
        <v>1.0</v>
      </c>
    </row>
    <row r="35">
      <c r="A35" s="28" t="s">
        <v>2567</v>
      </c>
      <c r="B35" s="264" t="s">
        <v>2598</v>
      </c>
      <c r="C35" s="28" t="s">
        <v>1560</v>
      </c>
      <c r="D35" s="261">
        <v>46015.0</v>
      </c>
      <c r="E35" s="265">
        <v>1.0</v>
      </c>
    </row>
    <row r="36">
      <c r="A36" s="28" t="s">
        <v>2567</v>
      </c>
      <c r="B36" s="264" t="s">
        <v>2599</v>
      </c>
      <c r="C36" s="28" t="s">
        <v>1560</v>
      </c>
      <c r="D36" s="261">
        <v>46015.0</v>
      </c>
      <c r="E36" s="265">
        <v>1.0</v>
      </c>
    </row>
    <row r="37">
      <c r="A37" s="28" t="s">
        <v>2567</v>
      </c>
      <c r="B37" s="264" t="s">
        <v>2600</v>
      </c>
      <c r="C37" s="28" t="s">
        <v>1560</v>
      </c>
      <c r="D37" s="261">
        <v>46015.0</v>
      </c>
      <c r="E37" s="265">
        <v>1.0</v>
      </c>
    </row>
    <row r="38">
      <c r="A38" s="28" t="s">
        <v>2567</v>
      </c>
      <c r="B38" s="264" t="s">
        <v>2601</v>
      </c>
      <c r="C38" s="28" t="s">
        <v>1560</v>
      </c>
      <c r="D38" s="261">
        <v>46015.0</v>
      </c>
      <c r="E38" s="265">
        <v>1.0</v>
      </c>
    </row>
    <row r="39">
      <c r="A39" s="28" t="s">
        <v>2567</v>
      </c>
      <c r="B39" s="264" t="s">
        <v>2602</v>
      </c>
      <c r="C39" s="28" t="s">
        <v>1560</v>
      </c>
      <c r="D39" s="261">
        <v>46015.0</v>
      </c>
      <c r="E39" s="265">
        <v>1.0</v>
      </c>
    </row>
    <row r="40">
      <c r="A40" s="28" t="s">
        <v>2567</v>
      </c>
      <c r="B40" s="264" t="s">
        <v>2603</v>
      </c>
      <c r="C40" s="28" t="s">
        <v>1560</v>
      </c>
      <c r="D40" s="261">
        <v>46015.0</v>
      </c>
      <c r="E40" s="265">
        <v>1.0</v>
      </c>
    </row>
    <row r="41">
      <c r="A41" s="28" t="s">
        <v>2567</v>
      </c>
      <c r="B41" s="264" t="s">
        <v>2604</v>
      </c>
      <c r="C41" s="28" t="s">
        <v>1560</v>
      </c>
      <c r="D41" s="261">
        <v>46015.0</v>
      </c>
      <c r="E41" s="265">
        <v>1.0</v>
      </c>
    </row>
    <row r="42">
      <c r="A42" s="28" t="s">
        <v>2567</v>
      </c>
      <c r="B42" s="264" t="s">
        <v>2605</v>
      </c>
      <c r="C42" s="28" t="s">
        <v>1560</v>
      </c>
      <c r="D42" s="261">
        <v>46015.0</v>
      </c>
      <c r="E42" s="265">
        <v>1.0</v>
      </c>
    </row>
    <row r="43">
      <c r="A43" s="28" t="s">
        <v>2567</v>
      </c>
      <c r="B43" s="264" t="s">
        <v>482</v>
      </c>
      <c r="C43" s="28" t="s">
        <v>1560</v>
      </c>
      <c r="D43" s="261">
        <v>46015.0</v>
      </c>
      <c r="E43" s="265">
        <v>1.0</v>
      </c>
    </row>
    <row r="44">
      <c r="A44" s="28" t="s">
        <v>2567</v>
      </c>
      <c r="B44" s="264" t="s">
        <v>2606</v>
      </c>
      <c r="C44" s="28" t="s">
        <v>1560</v>
      </c>
      <c r="D44" s="261">
        <v>46015.0</v>
      </c>
      <c r="E44" s="265">
        <v>1.0</v>
      </c>
    </row>
    <row r="45">
      <c r="A45" s="28" t="s">
        <v>2567</v>
      </c>
      <c r="B45" s="264" t="s">
        <v>2607</v>
      </c>
      <c r="C45" s="28" t="s">
        <v>1560</v>
      </c>
      <c r="D45" s="261">
        <v>46015.0</v>
      </c>
      <c r="E45" s="265">
        <v>3.0</v>
      </c>
    </row>
    <row r="46">
      <c r="A46" s="28" t="s">
        <v>2567</v>
      </c>
      <c r="B46" s="264" t="s">
        <v>2608</v>
      </c>
      <c r="C46" s="28" t="s">
        <v>1560</v>
      </c>
      <c r="D46" s="261">
        <v>46015.0</v>
      </c>
      <c r="E46" s="265">
        <v>3.0</v>
      </c>
    </row>
    <row r="47">
      <c r="A47" s="28" t="s">
        <v>2567</v>
      </c>
      <c r="B47" s="264" t="s">
        <v>2609</v>
      </c>
      <c r="C47" s="28" t="s">
        <v>1560</v>
      </c>
      <c r="D47" s="261">
        <v>46015.0</v>
      </c>
      <c r="E47" s="265">
        <v>1.0</v>
      </c>
    </row>
    <row r="48">
      <c r="A48" s="28" t="s">
        <v>2567</v>
      </c>
      <c r="B48" s="264" t="s">
        <v>2610</v>
      </c>
      <c r="C48" s="28" t="s">
        <v>1560</v>
      </c>
      <c r="D48" s="261">
        <v>46015.0</v>
      </c>
      <c r="E48" s="265">
        <v>1.0</v>
      </c>
    </row>
    <row r="49">
      <c r="A49" s="28" t="s">
        <v>2567</v>
      </c>
      <c r="B49" s="264" t="s">
        <v>2611</v>
      </c>
      <c r="C49" s="28" t="s">
        <v>1560</v>
      </c>
      <c r="D49" s="261">
        <v>46015.0</v>
      </c>
      <c r="E49" s="265">
        <v>1.0</v>
      </c>
    </row>
    <row r="50">
      <c r="A50" s="28" t="s">
        <v>2567</v>
      </c>
      <c r="B50" s="264" t="s">
        <v>2612</v>
      </c>
      <c r="C50" s="28" t="s">
        <v>1560</v>
      </c>
      <c r="D50" s="261">
        <v>46015.0</v>
      </c>
      <c r="E50" s="265">
        <v>4.0</v>
      </c>
    </row>
    <row r="51">
      <c r="A51" s="28" t="s">
        <v>2567</v>
      </c>
      <c r="B51" s="264" t="s">
        <v>2613</v>
      </c>
      <c r="C51" s="28" t="s">
        <v>1560</v>
      </c>
      <c r="D51" s="261">
        <v>46015.0</v>
      </c>
      <c r="E51" s="265">
        <v>1.0</v>
      </c>
    </row>
    <row r="52">
      <c r="A52" s="28" t="s">
        <v>2567</v>
      </c>
      <c r="B52" s="264" t="s">
        <v>2614</v>
      </c>
      <c r="C52" s="28" t="s">
        <v>1560</v>
      </c>
      <c r="D52" s="261">
        <v>46015.0</v>
      </c>
      <c r="E52" s="265">
        <v>2.0</v>
      </c>
    </row>
    <row r="53">
      <c r="A53" s="28" t="s">
        <v>2567</v>
      </c>
      <c r="B53" s="264" t="s">
        <v>2615</v>
      </c>
      <c r="C53" s="28" t="s">
        <v>1560</v>
      </c>
      <c r="D53" s="261">
        <v>46015.0</v>
      </c>
      <c r="E53" s="265">
        <v>1.0</v>
      </c>
    </row>
    <row r="54">
      <c r="A54" s="28" t="s">
        <v>2567</v>
      </c>
      <c r="B54" s="264" t="s">
        <v>2616</v>
      </c>
      <c r="C54" s="28" t="s">
        <v>1560</v>
      </c>
      <c r="D54" s="261">
        <v>46015.0</v>
      </c>
      <c r="E54" s="265">
        <v>2.0</v>
      </c>
    </row>
    <row r="55">
      <c r="A55" s="28" t="s">
        <v>2567</v>
      </c>
      <c r="B55" s="264" t="s">
        <v>2617</v>
      </c>
      <c r="C55" s="28" t="s">
        <v>1560</v>
      </c>
      <c r="D55" s="261">
        <v>46015.0</v>
      </c>
      <c r="E55" s="265">
        <v>1.0</v>
      </c>
    </row>
    <row r="56">
      <c r="A56" s="28" t="s">
        <v>2567</v>
      </c>
      <c r="B56" s="264" t="s">
        <v>2618</v>
      </c>
      <c r="C56" s="28" t="s">
        <v>1560</v>
      </c>
      <c r="D56" s="261">
        <v>46015.0</v>
      </c>
      <c r="E56" s="265">
        <v>2.0</v>
      </c>
    </row>
    <row r="57">
      <c r="A57" s="28" t="s">
        <v>2567</v>
      </c>
      <c r="B57" s="264" t="s">
        <v>2618</v>
      </c>
      <c r="C57" s="28" t="s">
        <v>1560</v>
      </c>
      <c r="D57" s="261">
        <v>46015.0</v>
      </c>
      <c r="E57" s="265">
        <v>1.0</v>
      </c>
    </row>
    <row r="58">
      <c r="A58" s="28" t="s">
        <v>2567</v>
      </c>
      <c r="B58" s="264" t="s">
        <v>2619</v>
      </c>
      <c r="C58" s="28" t="s">
        <v>1560</v>
      </c>
      <c r="D58" s="261">
        <v>46015.0</v>
      </c>
      <c r="E58" s="265">
        <v>1.0</v>
      </c>
    </row>
    <row r="59">
      <c r="A59" s="28" t="s">
        <v>2567</v>
      </c>
      <c r="B59" s="264" t="s">
        <v>2620</v>
      </c>
      <c r="C59" s="28" t="s">
        <v>1560</v>
      </c>
      <c r="D59" s="261">
        <v>46015.0</v>
      </c>
      <c r="E59" s="265">
        <v>1.0</v>
      </c>
    </row>
    <row r="60">
      <c r="A60" s="28" t="s">
        <v>2567</v>
      </c>
      <c r="B60" s="264" t="s">
        <v>2621</v>
      </c>
      <c r="C60" s="28" t="s">
        <v>1560</v>
      </c>
      <c r="D60" s="261">
        <v>46015.0</v>
      </c>
      <c r="E60" s="265">
        <v>6.0</v>
      </c>
    </row>
    <row r="61">
      <c r="A61" s="28" t="s">
        <v>2567</v>
      </c>
      <c r="B61" s="264" t="s">
        <v>2622</v>
      </c>
      <c r="C61" s="28" t="s">
        <v>1560</v>
      </c>
      <c r="D61" s="261">
        <v>46015.0</v>
      </c>
      <c r="E61" s="265">
        <v>1.0</v>
      </c>
    </row>
    <row r="62">
      <c r="A62" s="28" t="s">
        <v>2567</v>
      </c>
      <c r="B62" s="264" t="s">
        <v>2623</v>
      </c>
      <c r="C62" s="28" t="s">
        <v>1560</v>
      </c>
      <c r="D62" s="261">
        <v>46015.0</v>
      </c>
      <c r="E62" s="265">
        <v>1.0</v>
      </c>
    </row>
    <row r="63">
      <c r="A63" s="28" t="s">
        <v>2567</v>
      </c>
      <c r="B63" s="264" t="s">
        <v>2624</v>
      </c>
      <c r="C63" s="28" t="s">
        <v>1560</v>
      </c>
      <c r="D63" s="261">
        <v>46015.0</v>
      </c>
      <c r="E63" s="265">
        <v>1.0</v>
      </c>
    </row>
    <row r="64">
      <c r="A64" s="28" t="s">
        <v>2567</v>
      </c>
      <c r="B64" s="264" t="s">
        <v>2625</v>
      </c>
      <c r="C64" s="28" t="s">
        <v>1560</v>
      </c>
      <c r="D64" s="261">
        <v>46015.0</v>
      </c>
      <c r="E64" s="265">
        <v>1.0</v>
      </c>
    </row>
    <row r="65">
      <c r="A65" s="28" t="s">
        <v>2567</v>
      </c>
      <c r="B65" s="264" t="s">
        <v>2626</v>
      </c>
      <c r="C65" s="28" t="s">
        <v>1560</v>
      </c>
      <c r="D65" s="261">
        <v>46015.0</v>
      </c>
      <c r="E65" s="265">
        <v>1.0</v>
      </c>
    </row>
    <row r="66">
      <c r="A66" s="28" t="s">
        <v>2567</v>
      </c>
      <c r="B66" s="264" t="s">
        <v>2627</v>
      </c>
      <c r="C66" s="28" t="s">
        <v>1560</v>
      </c>
      <c r="D66" s="261">
        <v>46015.0</v>
      </c>
      <c r="E66" s="265">
        <v>2.0</v>
      </c>
    </row>
    <row r="67">
      <c r="A67" s="28" t="s">
        <v>2567</v>
      </c>
      <c r="B67" s="264" t="s">
        <v>2628</v>
      </c>
      <c r="C67" s="28" t="s">
        <v>1560</v>
      </c>
      <c r="D67" s="261">
        <v>46015.0</v>
      </c>
      <c r="E67" s="265">
        <v>5.0</v>
      </c>
    </row>
    <row r="68">
      <c r="A68" s="28" t="s">
        <v>2567</v>
      </c>
      <c r="B68" s="264" t="s">
        <v>1680</v>
      </c>
      <c r="C68" s="28" t="s">
        <v>1560</v>
      </c>
      <c r="D68" s="261">
        <v>46015.0</v>
      </c>
      <c r="E68" s="265">
        <v>6.0</v>
      </c>
    </row>
    <row r="69">
      <c r="A69" s="28" t="s">
        <v>2567</v>
      </c>
      <c r="B69" s="264" t="s">
        <v>1678</v>
      </c>
      <c r="C69" s="28" t="s">
        <v>1560</v>
      </c>
      <c r="D69" s="261">
        <v>46015.0</v>
      </c>
      <c r="E69" s="265">
        <v>2.0</v>
      </c>
    </row>
    <row r="70">
      <c r="A70" s="28" t="s">
        <v>2567</v>
      </c>
      <c r="B70" s="264" t="s">
        <v>2629</v>
      </c>
      <c r="C70" s="28" t="s">
        <v>1560</v>
      </c>
      <c r="D70" s="261">
        <v>46015.0</v>
      </c>
      <c r="E70" s="265">
        <v>2.0</v>
      </c>
    </row>
    <row r="71">
      <c r="A71" s="28" t="s">
        <v>2567</v>
      </c>
      <c r="B71" s="264" t="s">
        <v>2630</v>
      </c>
      <c r="C71" s="28" t="s">
        <v>1560</v>
      </c>
      <c r="D71" s="261">
        <v>46015.0</v>
      </c>
      <c r="E71" s="265">
        <v>1.0</v>
      </c>
    </row>
    <row r="72">
      <c r="A72" s="28" t="s">
        <v>2567</v>
      </c>
      <c r="B72" s="264" t="s">
        <v>2631</v>
      </c>
      <c r="C72" s="28" t="s">
        <v>1560</v>
      </c>
      <c r="D72" s="261">
        <v>46015.0</v>
      </c>
      <c r="E72" s="265">
        <v>1.0</v>
      </c>
    </row>
    <row r="73">
      <c r="A73" s="28" t="s">
        <v>2567</v>
      </c>
      <c r="B73" s="264" t="s">
        <v>2632</v>
      </c>
      <c r="C73" s="28" t="s">
        <v>1560</v>
      </c>
      <c r="D73" s="261">
        <v>46015.0</v>
      </c>
      <c r="E73" s="265">
        <v>1.0</v>
      </c>
    </row>
    <row r="74">
      <c r="A74" s="28" t="s">
        <v>2567</v>
      </c>
      <c r="B74" s="264" t="s">
        <v>2633</v>
      </c>
      <c r="C74" s="28" t="s">
        <v>1560</v>
      </c>
      <c r="D74" s="261">
        <v>46015.0</v>
      </c>
      <c r="E74" s="265">
        <v>1.0</v>
      </c>
    </row>
    <row r="75">
      <c r="A75" s="28" t="s">
        <v>2567</v>
      </c>
      <c r="B75" s="264" t="s">
        <v>582</v>
      </c>
      <c r="C75" s="28" t="s">
        <v>1560</v>
      </c>
      <c r="D75" s="261">
        <v>46015.0</v>
      </c>
      <c r="E75" s="265">
        <v>1.0</v>
      </c>
    </row>
    <row r="76">
      <c r="A76" s="28" t="s">
        <v>2567</v>
      </c>
      <c r="B76" s="264" t="s">
        <v>2634</v>
      </c>
      <c r="C76" s="28" t="s">
        <v>1560</v>
      </c>
      <c r="D76" s="261">
        <v>46015.0</v>
      </c>
      <c r="E76" s="265">
        <v>1.0</v>
      </c>
    </row>
    <row r="77">
      <c r="A77" s="28" t="s">
        <v>2567</v>
      </c>
      <c r="B77" s="264" t="s">
        <v>2635</v>
      </c>
      <c r="C77" s="28" t="s">
        <v>1560</v>
      </c>
      <c r="D77" s="261">
        <v>46015.0</v>
      </c>
      <c r="E77" s="265">
        <v>1.0</v>
      </c>
    </row>
    <row r="78">
      <c r="A78" s="28" t="s">
        <v>2567</v>
      </c>
      <c r="B78" s="264" t="s">
        <v>2636</v>
      </c>
      <c r="C78" s="28" t="s">
        <v>1560</v>
      </c>
      <c r="D78" s="261">
        <v>46015.0</v>
      </c>
      <c r="E78" s="265">
        <v>1.0</v>
      </c>
    </row>
    <row r="79">
      <c r="A79" s="28" t="s">
        <v>2567</v>
      </c>
      <c r="B79" s="264" t="s">
        <v>2637</v>
      </c>
      <c r="C79" s="28" t="s">
        <v>1560</v>
      </c>
      <c r="D79" s="261">
        <v>46015.0</v>
      </c>
      <c r="E79" s="265">
        <v>1.0</v>
      </c>
    </row>
    <row r="80">
      <c r="A80" s="28" t="s">
        <v>2567</v>
      </c>
      <c r="B80" s="264" t="s">
        <v>644</v>
      </c>
      <c r="C80" s="28" t="s">
        <v>1560</v>
      </c>
      <c r="D80" s="261">
        <v>46015.0</v>
      </c>
      <c r="E80" s="265">
        <v>1.0</v>
      </c>
    </row>
    <row r="81">
      <c r="A81" s="28" t="s">
        <v>2567</v>
      </c>
      <c r="B81" s="264" t="s">
        <v>2638</v>
      </c>
      <c r="C81" s="28" t="s">
        <v>1560</v>
      </c>
      <c r="D81" s="261">
        <v>46015.0</v>
      </c>
      <c r="E81" s="265">
        <v>2.0</v>
      </c>
    </row>
    <row r="82">
      <c r="A82" s="28" t="s">
        <v>2567</v>
      </c>
      <c r="B82" s="264" t="s">
        <v>2639</v>
      </c>
      <c r="C82" s="28" t="s">
        <v>1560</v>
      </c>
      <c r="D82" s="261">
        <v>46015.0</v>
      </c>
      <c r="E82" s="265">
        <v>1.0</v>
      </c>
    </row>
    <row r="83">
      <c r="A83" s="28" t="s">
        <v>2567</v>
      </c>
      <c r="B83" s="264" t="s">
        <v>2640</v>
      </c>
      <c r="C83" s="28" t="s">
        <v>1560</v>
      </c>
      <c r="D83" s="261">
        <v>46015.0</v>
      </c>
      <c r="E83" s="265">
        <v>1.0</v>
      </c>
    </row>
    <row r="84">
      <c r="A84" s="28" t="s">
        <v>2567</v>
      </c>
      <c r="B84" s="264" t="s">
        <v>2641</v>
      </c>
      <c r="C84" s="28" t="s">
        <v>1560</v>
      </c>
      <c r="D84" s="261">
        <v>46015.0</v>
      </c>
      <c r="E84" s="265">
        <v>1.0</v>
      </c>
    </row>
    <row r="85">
      <c r="A85" s="28" t="s">
        <v>2567</v>
      </c>
      <c r="B85" s="264" t="s">
        <v>2642</v>
      </c>
      <c r="C85" s="28" t="s">
        <v>1560</v>
      </c>
      <c r="D85" s="261">
        <v>46015.0</v>
      </c>
      <c r="E85" s="265">
        <v>1.0</v>
      </c>
    </row>
    <row r="86">
      <c r="A86" s="28" t="s">
        <v>2567</v>
      </c>
      <c r="B86" s="264" t="s">
        <v>627</v>
      </c>
      <c r="C86" s="28" t="s">
        <v>1560</v>
      </c>
      <c r="D86" s="261">
        <v>46015.0</v>
      </c>
      <c r="E86" s="265">
        <v>1.0</v>
      </c>
    </row>
    <row r="87">
      <c r="A87" s="28" t="s">
        <v>2567</v>
      </c>
      <c r="B87" s="264" t="s">
        <v>2643</v>
      </c>
      <c r="C87" s="28" t="s">
        <v>1560</v>
      </c>
      <c r="D87" s="261">
        <v>46015.0</v>
      </c>
      <c r="E87" s="265">
        <v>1.0</v>
      </c>
    </row>
    <row r="88">
      <c r="A88" s="28" t="s">
        <v>2567</v>
      </c>
      <c r="B88" s="264" t="s">
        <v>2644</v>
      </c>
      <c r="C88" s="28" t="s">
        <v>1560</v>
      </c>
      <c r="D88" s="261">
        <v>46015.0</v>
      </c>
      <c r="E88" s="265">
        <v>1.0</v>
      </c>
    </row>
    <row r="89">
      <c r="A89" s="28" t="s">
        <v>2567</v>
      </c>
      <c r="B89" s="264" t="s">
        <v>2645</v>
      </c>
      <c r="C89" s="28" t="s">
        <v>1560</v>
      </c>
      <c r="D89" s="261">
        <v>46015.0</v>
      </c>
      <c r="E89" s="265">
        <v>1.0</v>
      </c>
    </row>
    <row r="90">
      <c r="A90" s="28" t="s">
        <v>2567</v>
      </c>
      <c r="B90" s="264" t="s">
        <v>2646</v>
      </c>
      <c r="C90" s="28" t="s">
        <v>1560</v>
      </c>
      <c r="D90" s="261">
        <v>46015.0</v>
      </c>
      <c r="E90" s="265">
        <v>1.0</v>
      </c>
    </row>
    <row r="91">
      <c r="A91" s="28" t="s">
        <v>2567</v>
      </c>
      <c r="B91" s="264" t="s">
        <v>2647</v>
      </c>
      <c r="C91" s="28" t="s">
        <v>1560</v>
      </c>
      <c r="D91" s="261">
        <v>46015.0</v>
      </c>
      <c r="E91" s="265">
        <v>1.0</v>
      </c>
    </row>
    <row r="92">
      <c r="A92" s="28" t="s">
        <v>2567</v>
      </c>
      <c r="B92" s="264" t="s">
        <v>2648</v>
      </c>
      <c r="C92" s="28" t="s">
        <v>1560</v>
      </c>
      <c r="D92" s="261">
        <v>46015.0</v>
      </c>
      <c r="E92" s="265">
        <v>1.0</v>
      </c>
    </row>
    <row r="93">
      <c r="A93" s="28" t="s">
        <v>2567</v>
      </c>
      <c r="B93" s="264" t="s">
        <v>2649</v>
      </c>
      <c r="C93" s="28" t="s">
        <v>1560</v>
      </c>
      <c r="D93" s="261">
        <v>46015.0</v>
      </c>
      <c r="E93" s="265">
        <v>1.0</v>
      </c>
    </row>
    <row r="94">
      <c r="A94" s="28" t="s">
        <v>2567</v>
      </c>
      <c r="B94" s="264" t="s">
        <v>2650</v>
      </c>
      <c r="C94" s="28" t="s">
        <v>1560</v>
      </c>
      <c r="D94" s="261">
        <v>46015.0</v>
      </c>
      <c r="E94" s="265">
        <v>1.0</v>
      </c>
    </row>
    <row r="95">
      <c r="A95" s="28" t="s">
        <v>2567</v>
      </c>
      <c r="B95" s="264" t="s">
        <v>2651</v>
      </c>
      <c r="C95" s="28" t="s">
        <v>1560</v>
      </c>
      <c r="D95" s="261">
        <v>46015.0</v>
      </c>
      <c r="E95" s="265">
        <v>1.0</v>
      </c>
    </row>
    <row r="96">
      <c r="A96" s="28" t="s">
        <v>2567</v>
      </c>
      <c r="B96" s="264" t="s">
        <v>2652</v>
      </c>
      <c r="C96" s="28" t="s">
        <v>1560</v>
      </c>
      <c r="D96" s="261">
        <v>46015.0</v>
      </c>
      <c r="E96" s="265">
        <v>1.0</v>
      </c>
    </row>
    <row r="97">
      <c r="A97" s="28" t="s">
        <v>2567</v>
      </c>
      <c r="B97" s="264" t="s">
        <v>878</v>
      </c>
      <c r="C97" s="28" t="s">
        <v>1560</v>
      </c>
      <c r="D97" s="261">
        <v>46015.0</v>
      </c>
      <c r="E97" s="265">
        <v>76.0</v>
      </c>
    </row>
    <row r="98">
      <c r="A98" s="28" t="s">
        <v>2567</v>
      </c>
      <c r="B98" s="264" t="s">
        <v>2653</v>
      </c>
      <c r="C98" s="28" t="s">
        <v>1560</v>
      </c>
      <c r="D98" s="261">
        <v>46015.0</v>
      </c>
      <c r="E98" s="265">
        <v>1.0</v>
      </c>
    </row>
    <row r="99">
      <c r="A99" s="266">
        <v>45992.0</v>
      </c>
      <c r="B99" s="267" t="s">
        <v>2654</v>
      </c>
      <c r="C99" s="268" t="s">
        <v>1560</v>
      </c>
      <c r="D99" s="269">
        <v>45992.0</v>
      </c>
      <c r="E99" s="270">
        <v>1.0</v>
      </c>
      <c r="F99" s="271"/>
    </row>
    <row r="100">
      <c r="A100" s="272">
        <v>45992.0</v>
      </c>
      <c r="B100" s="273" t="s">
        <v>2655</v>
      </c>
      <c r="C100" s="274" t="s">
        <v>1560</v>
      </c>
      <c r="D100" s="275">
        <v>45992.0</v>
      </c>
      <c r="E100" s="276">
        <v>1.0</v>
      </c>
      <c r="F100" s="277"/>
    </row>
    <row r="101">
      <c r="A101" s="266">
        <v>45993.0</v>
      </c>
      <c r="B101" s="267" t="s">
        <v>2656</v>
      </c>
      <c r="C101" s="268" t="s">
        <v>1560</v>
      </c>
      <c r="D101" s="269">
        <v>45993.0</v>
      </c>
      <c r="E101" s="270">
        <v>40.0</v>
      </c>
      <c r="F101" s="271"/>
    </row>
    <row r="102">
      <c r="A102" s="272">
        <v>45993.0</v>
      </c>
      <c r="B102" s="273" t="s">
        <v>2657</v>
      </c>
      <c r="C102" s="274" t="s">
        <v>1560</v>
      </c>
      <c r="D102" s="275">
        <v>45993.0</v>
      </c>
      <c r="E102" s="276">
        <v>25.0</v>
      </c>
      <c r="F102" s="277"/>
    </row>
    <row r="103">
      <c r="A103" s="266">
        <v>45993.0</v>
      </c>
      <c r="B103" s="267" t="s">
        <v>2658</v>
      </c>
      <c r="C103" s="268" t="s">
        <v>1560</v>
      </c>
      <c r="D103" s="269">
        <v>45993.0</v>
      </c>
      <c r="E103" s="270">
        <v>24.0</v>
      </c>
      <c r="F103" s="271"/>
    </row>
    <row r="104">
      <c r="A104" s="272">
        <v>45993.0</v>
      </c>
      <c r="B104" s="273" t="s">
        <v>2659</v>
      </c>
      <c r="C104" s="274" t="s">
        <v>1560</v>
      </c>
      <c r="D104" s="275">
        <v>45993.0</v>
      </c>
      <c r="E104" s="276">
        <v>12.0</v>
      </c>
      <c r="F104" s="277"/>
    </row>
    <row r="105">
      <c r="A105" s="266">
        <v>45993.0</v>
      </c>
      <c r="B105" s="267" t="s">
        <v>2660</v>
      </c>
      <c r="C105" s="268" t="s">
        <v>1560</v>
      </c>
      <c r="D105" s="269">
        <v>45993.0</v>
      </c>
      <c r="E105" s="270">
        <v>22.0</v>
      </c>
      <c r="F105" s="271"/>
    </row>
    <row r="106">
      <c r="A106" s="272">
        <v>45993.0</v>
      </c>
      <c r="B106" s="273" t="s">
        <v>2661</v>
      </c>
      <c r="C106" s="274" t="s">
        <v>1560</v>
      </c>
      <c r="D106" s="275">
        <v>45993.0</v>
      </c>
      <c r="E106" s="276">
        <v>11.0</v>
      </c>
      <c r="F106" s="277"/>
    </row>
    <row r="107">
      <c r="A107" s="266">
        <v>45993.0</v>
      </c>
      <c r="B107" s="267" t="s">
        <v>2662</v>
      </c>
      <c r="C107" s="268" t="s">
        <v>1560</v>
      </c>
      <c r="D107" s="269">
        <v>45993.0</v>
      </c>
      <c r="E107" s="270">
        <v>5.0</v>
      </c>
      <c r="F107" s="271"/>
    </row>
    <row r="108">
      <c r="A108" s="272">
        <v>45993.0</v>
      </c>
      <c r="B108" s="273" t="s">
        <v>2663</v>
      </c>
      <c r="C108" s="274" t="s">
        <v>1560</v>
      </c>
      <c r="D108" s="275">
        <v>45993.0</v>
      </c>
      <c r="E108" s="276">
        <v>12.0</v>
      </c>
      <c r="F108" s="277"/>
    </row>
    <row r="109">
      <c r="A109" s="266">
        <v>45993.0</v>
      </c>
      <c r="B109" s="267" t="s">
        <v>2664</v>
      </c>
      <c r="C109" s="268" t="s">
        <v>1560</v>
      </c>
      <c r="D109" s="269">
        <v>45267.0</v>
      </c>
      <c r="E109" s="270">
        <v>15.0</v>
      </c>
      <c r="F109" s="271"/>
    </row>
    <row r="110">
      <c r="A110" s="272">
        <v>45993.0</v>
      </c>
      <c r="B110" s="273" t="s">
        <v>2665</v>
      </c>
      <c r="C110" s="274" t="s">
        <v>1560</v>
      </c>
      <c r="D110" s="275">
        <v>45993.0</v>
      </c>
      <c r="E110" s="276">
        <v>6.0</v>
      </c>
      <c r="F110" s="277"/>
    </row>
    <row r="111">
      <c r="A111" s="266">
        <v>45993.0</v>
      </c>
      <c r="B111" s="278" t="s">
        <v>902</v>
      </c>
      <c r="C111" s="279" t="s">
        <v>1560</v>
      </c>
      <c r="D111" s="269">
        <v>45993.0</v>
      </c>
      <c r="E111" s="270">
        <v>6.0</v>
      </c>
      <c r="F111" s="271"/>
    </row>
    <row r="112">
      <c r="A112" s="272">
        <v>45993.0</v>
      </c>
      <c r="B112" s="280" t="s">
        <v>2666</v>
      </c>
      <c r="C112" s="281" t="s">
        <v>1560</v>
      </c>
      <c r="D112" s="275">
        <v>45993.0</v>
      </c>
      <c r="E112" s="276">
        <v>6.0</v>
      </c>
      <c r="F112" s="277"/>
    </row>
    <row r="113">
      <c r="A113" s="266">
        <v>45993.0</v>
      </c>
      <c r="B113" s="278" t="s">
        <v>2667</v>
      </c>
      <c r="C113" s="279" t="s">
        <v>1560</v>
      </c>
      <c r="D113" s="269">
        <v>45993.0</v>
      </c>
      <c r="E113" s="270">
        <v>2.0</v>
      </c>
      <c r="F113" s="271"/>
    </row>
    <row r="114">
      <c r="A114" s="272">
        <v>45993.0</v>
      </c>
      <c r="B114" s="280" t="s">
        <v>2668</v>
      </c>
      <c r="C114" s="281" t="s">
        <v>1560</v>
      </c>
      <c r="D114" s="275">
        <v>45993.0</v>
      </c>
      <c r="E114" s="276">
        <v>2.0</v>
      </c>
      <c r="F114" s="277"/>
    </row>
    <row r="115">
      <c r="A115" s="266">
        <v>45994.0</v>
      </c>
      <c r="B115" s="278" t="s">
        <v>2669</v>
      </c>
      <c r="C115" s="279" t="s">
        <v>1560</v>
      </c>
      <c r="D115" s="269">
        <v>45994.0</v>
      </c>
      <c r="E115" s="270">
        <v>1.0</v>
      </c>
      <c r="F115" s="271"/>
    </row>
    <row r="116">
      <c r="A116" s="272">
        <v>45994.0</v>
      </c>
      <c r="B116" s="280" t="s">
        <v>2670</v>
      </c>
      <c r="C116" s="281" t="s">
        <v>1560</v>
      </c>
      <c r="D116" s="275">
        <v>45994.0</v>
      </c>
      <c r="E116" s="276">
        <v>1.0</v>
      </c>
      <c r="F116" s="277"/>
    </row>
    <row r="117">
      <c r="A117" s="266">
        <v>45994.0</v>
      </c>
      <c r="B117" s="278" t="s">
        <v>2671</v>
      </c>
      <c r="C117" s="279" t="s">
        <v>1560</v>
      </c>
      <c r="D117" s="269">
        <v>45994.0</v>
      </c>
      <c r="E117" s="270">
        <v>1.0</v>
      </c>
      <c r="F117" s="271"/>
    </row>
    <row r="118">
      <c r="A118" s="272">
        <v>45994.0</v>
      </c>
      <c r="B118" s="280" t="s">
        <v>2672</v>
      </c>
      <c r="C118" s="281" t="s">
        <v>1560</v>
      </c>
      <c r="D118" s="275">
        <v>45994.0</v>
      </c>
      <c r="E118" s="276">
        <v>6455.0</v>
      </c>
      <c r="F118" s="277"/>
    </row>
    <row r="119">
      <c r="A119" s="266">
        <v>45994.0</v>
      </c>
      <c r="B119" s="278" t="s">
        <v>2673</v>
      </c>
      <c r="C119" s="279" t="s">
        <v>1560</v>
      </c>
      <c r="D119" s="269">
        <v>45994.0</v>
      </c>
      <c r="E119" s="270">
        <v>10816.0</v>
      </c>
      <c r="F119" s="271"/>
    </row>
    <row r="120">
      <c r="A120" s="272">
        <v>45994.0</v>
      </c>
      <c r="B120" s="280" t="s">
        <v>2674</v>
      </c>
      <c r="C120" s="281" t="s">
        <v>1560</v>
      </c>
      <c r="D120" s="275">
        <v>45994.0</v>
      </c>
      <c r="E120" s="276">
        <v>6.0</v>
      </c>
      <c r="F120" s="277"/>
    </row>
    <row r="121">
      <c r="A121" s="266">
        <v>45994.0</v>
      </c>
      <c r="B121" s="278" t="s">
        <v>2675</v>
      </c>
      <c r="C121" s="279" t="s">
        <v>1560</v>
      </c>
      <c r="D121" s="269">
        <v>45994.0</v>
      </c>
      <c r="E121" s="270">
        <v>250.0</v>
      </c>
      <c r="F121" s="271"/>
    </row>
    <row r="122">
      <c r="A122" s="272">
        <v>45994.0</v>
      </c>
      <c r="B122" s="280" t="s">
        <v>2676</v>
      </c>
      <c r="C122" s="281" t="s">
        <v>1560</v>
      </c>
      <c r="D122" s="275">
        <v>45994.0</v>
      </c>
      <c r="E122" s="276">
        <v>245.0</v>
      </c>
      <c r="F122" s="277"/>
    </row>
    <row r="123">
      <c r="A123" s="266">
        <v>45994.0</v>
      </c>
      <c r="B123" s="278" t="s">
        <v>2677</v>
      </c>
      <c r="C123" s="279" t="s">
        <v>1560</v>
      </c>
      <c r="D123" s="269">
        <v>6620359.0</v>
      </c>
      <c r="E123" s="270">
        <v>4100.0</v>
      </c>
      <c r="F123" s="271"/>
    </row>
    <row r="124">
      <c r="A124" s="272">
        <v>45994.0</v>
      </c>
      <c r="B124" s="280" t="s">
        <v>2678</v>
      </c>
      <c r="C124" s="281" t="s">
        <v>1560</v>
      </c>
      <c r="D124" s="275">
        <v>45994.0</v>
      </c>
      <c r="E124" s="276">
        <v>505.0</v>
      </c>
      <c r="F124" s="277"/>
    </row>
    <row r="125">
      <c r="A125" s="266">
        <v>45995.0</v>
      </c>
      <c r="B125" s="278" t="s">
        <v>2679</v>
      </c>
      <c r="C125" s="279" t="s">
        <v>1560</v>
      </c>
      <c r="D125" s="269">
        <v>45995.0</v>
      </c>
      <c r="E125" s="270">
        <v>500.0</v>
      </c>
      <c r="F125" s="271"/>
    </row>
    <row r="126">
      <c r="A126" s="272">
        <v>45995.0</v>
      </c>
      <c r="B126" s="280" t="s">
        <v>2680</v>
      </c>
      <c r="C126" s="281" t="s">
        <v>1560</v>
      </c>
      <c r="D126" s="275">
        <v>45995.0</v>
      </c>
      <c r="E126" s="276">
        <v>1.0</v>
      </c>
      <c r="F126" s="277"/>
    </row>
    <row r="127">
      <c r="A127" s="266">
        <v>45995.0</v>
      </c>
      <c r="B127" s="278" t="s">
        <v>2681</v>
      </c>
      <c r="C127" s="279" t="s">
        <v>1560</v>
      </c>
      <c r="D127" s="269">
        <v>45995.0</v>
      </c>
      <c r="E127" s="270">
        <v>19.4</v>
      </c>
      <c r="F127" s="271"/>
    </row>
    <row r="128">
      <c r="A128" s="272">
        <v>45996.0</v>
      </c>
      <c r="B128" s="280" t="s">
        <v>2682</v>
      </c>
      <c r="C128" s="281" t="s">
        <v>1560</v>
      </c>
      <c r="D128" s="275">
        <v>45996.0</v>
      </c>
      <c r="E128" s="276">
        <v>1.0</v>
      </c>
      <c r="F128" s="277"/>
    </row>
    <row r="129">
      <c r="A129" s="266">
        <v>45996.0</v>
      </c>
      <c r="B129" s="278" t="s">
        <v>2683</v>
      </c>
      <c r="C129" s="279" t="s">
        <v>1560</v>
      </c>
      <c r="D129" s="269">
        <v>45996.0</v>
      </c>
      <c r="E129" s="270">
        <v>1.0</v>
      </c>
      <c r="F129" s="271"/>
    </row>
    <row r="130">
      <c r="A130" s="272">
        <v>45996.0</v>
      </c>
      <c r="B130" s="280" t="s">
        <v>2684</v>
      </c>
      <c r="C130" s="281" t="s">
        <v>1560</v>
      </c>
      <c r="D130" s="275">
        <v>45996.0</v>
      </c>
      <c r="E130" s="276">
        <v>1.0</v>
      </c>
      <c r="F130" s="277"/>
    </row>
    <row r="131">
      <c r="A131" s="266">
        <v>45996.0</v>
      </c>
      <c r="B131" s="278" t="s">
        <v>2685</v>
      </c>
      <c r="C131" s="279" t="s">
        <v>1560</v>
      </c>
      <c r="D131" s="269">
        <v>45996.0</v>
      </c>
      <c r="E131" s="270">
        <v>14.0</v>
      </c>
      <c r="F131" s="271"/>
    </row>
    <row r="132">
      <c r="A132" s="272">
        <v>45996.0</v>
      </c>
      <c r="B132" s="280" t="s">
        <v>2686</v>
      </c>
      <c r="C132" s="281" t="s">
        <v>1560</v>
      </c>
      <c r="D132" s="275">
        <v>45996.0</v>
      </c>
      <c r="E132" s="276">
        <v>11.0</v>
      </c>
      <c r="F132" s="277"/>
    </row>
    <row r="133">
      <c r="A133" s="266">
        <v>45997.0</v>
      </c>
      <c r="B133" s="278" t="s">
        <v>2687</v>
      </c>
      <c r="C133" s="279" t="s">
        <v>1560</v>
      </c>
      <c r="D133" s="269">
        <v>45997.0</v>
      </c>
      <c r="E133" s="270">
        <v>26.9</v>
      </c>
      <c r="F133" s="271"/>
    </row>
    <row r="134">
      <c r="A134" s="272">
        <v>45997.0</v>
      </c>
      <c r="B134" s="280" t="s">
        <v>2688</v>
      </c>
      <c r="C134" s="281" t="s">
        <v>1560</v>
      </c>
      <c r="D134" s="275">
        <v>45997.0</v>
      </c>
      <c r="E134" s="276">
        <v>33.9</v>
      </c>
      <c r="F134" s="277"/>
    </row>
    <row r="135">
      <c r="A135" s="266">
        <v>45997.0</v>
      </c>
      <c r="B135" s="278" t="s">
        <v>2689</v>
      </c>
      <c r="C135" s="279" t="s">
        <v>1560</v>
      </c>
      <c r="D135" s="269">
        <v>45997.0</v>
      </c>
      <c r="E135" s="270">
        <v>20.6</v>
      </c>
      <c r="F135" s="271"/>
    </row>
    <row r="136">
      <c r="A136" s="272">
        <v>45997.0</v>
      </c>
      <c r="B136" s="280" t="s">
        <v>2690</v>
      </c>
      <c r="C136" s="281" t="s">
        <v>1560</v>
      </c>
      <c r="D136" s="275">
        <v>45997.0</v>
      </c>
      <c r="E136" s="276">
        <v>151.8</v>
      </c>
      <c r="F136" s="277"/>
    </row>
    <row r="137">
      <c r="A137" s="266">
        <v>45997.0</v>
      </c>
      <c r="B137" s="278" t="s">
        <v>2691</v>
      </c>
      <c r="C137" s="279" t="s">
        <v>1560</v>
      </c>
      <c r="D137" s="269">
        <v>45997.0</v>
      </c>
      <c r="E137" s="270">
        <v>19.4</v>
      </c>
      <c r="F137" s="271"/>
    </row>
    <row r="138">
      <c r="A138" s="272">
        <v>45997.0</v>
      </c>
      <c r="B138" s="280" t="s">
        <v>2692</v>
      </c>
      <c r="C138" s="281" t="s">
        <v>1560</v>
      </c>
      <c r="D138" s="275">
        <v>45997.0</v>
      </c>
      <c r="E138" s="276">
        <v>25.0</v>
      </c>
      <c r="F138" s="277"/>
    </row>
    <row r="139">
      <c r="A139" s="266">
        <v>45997.0</v>
      </c>
      <c r="B139" s="278" t="s">
        <v>2693</v>
      </c>
      <c r="C139" s="279" t="s">
        <v>1560</v>
      </c>
      <c r="D139" s="269">
        <v>45997.0</v>
      </c>
      <c r="E139" s="270">
        <v>65.0</v>
      </c>
      <c r="F139" s="271"/>
    </row>
    <row r="140">
      <c r="A140" s="272">
        <v>45997.0</v>
      </c>
      <c r="B140" s="280" t="s">
        <v>2694</v>
      </c>
      <c r="C140" s="281" t="s">
        <v>1560</v>
      </c>
      <c r="D140" s="275">
        <v>45997.0</v>
      </c>
      <c r="E140" s="276">
        <v>22.0</v>
      </c>
      <c r="F140" s="277"/>
    </row>
    <row r="141">
      <c r="A141" s="266">
        <v>45997.0</v>
      </c>
      <c r="B141" s="278" t="s">
        <v>2695</v>
      </c>
      <c r="C141" s="279" t="s">
        <v>1560</v>
      </c>
      <c r="D141" s="269">
        <v>45997.0</v>
      </c>
      <c r="E141" s="270">
        <v>47.0</v>
      </c>
      <c r="F141" s="271"/>
    </row>
    <row r="142">
      <c r="A142" s="272">
        <v>45997.0</v>
      </c>
      <c r="B142" s="280" t="s">
        <v>2696</v>
      </c>
      <c r="C142" s="281" t="s">
        <v>1560</v>
      </c>
      <c r="D142" s="275">
        <v>45997.0</v>
      </c>
      <c r="E142" s="276">
        <v>45.0</v>
      </c>
      <c r="F142" s="277"/>
    </row>
    <row r="143">
      <c r="A143" s="266">
        <v>45997.0</v>
      </c>
      <c r="B143" s="278" t="s">
        <v>2697</v>
      </c>
      <c r="C143" s="279" t="s">
        <v>1560</v>
      </c>
      <c r="D143" s="269">
        <v>45997.0</v>
      </c>
      <c r="E143" s="270">
        <v>20.0</v>
      </c>
      <c r="F143" s="271"/>
    </row>
    <row r="144">
      <c r="A144" s="272">
        <v>45997.0</v>
      </c>
      <c r="B144" s="280" t="s">
        <v>2698</v>
      </c>
      <c r="C144" s="281" t="s">
        <v>1560</v>
      </c>
      <c r="D144" s="275">
        <v>45997.0</v>
      </c>
      <c r="E144" s="276">
        <v>15.0</v>
      </c>
      <c r="F144" s="277"/>
    </row>
    <row r="145">
      <c r="A145" s="266">
        <v>45997.0</v>
      </c>
      <c r="B145" s="278" t="s">
        <v>2699</v>
      </c>
      <c r="C145" s="279" t="s">
        <v>1560</v>
      </c>
      <c r="D145" s="269">
        <v>45997.0</v>
      </c>
      <c r="E145" s="270">
        <v>11.0</v>
      </c>
      <c r="F145" s="271"/>
    </row>
    <row r="146">
      <c r="A146" s="272">
        <v>45997.0</v>
      </c>
      <c r="B146" s="280" t="s">
        <v>2700</v>
      </c>
      <c r="C146" s="281" t="s">
        <v>1560</v>
      </c>
      <c r="D146" s="275">
        <v>45997.0</v>
      </c>
      <c r="E146" s="276">
        <v>120.0</v>
      </c>
      <c r="F146" s="277"/>
    </row>
    <row r="147">
      <c r="A147" s="266">
        <v>45997.0</v>
      </c>
      <c r="B147" s="278" t="s">
        <v>2701</v>
      </c>
      <c r="C147" s="279" t="s">
        <v>1560</v>
      </c>
      <c r="D147" s="269">
        <v>45997.0</v>
      </c>
      <c r="E147" s="270">
        <v>3075.0</v>
      </c>
      <c r="F147" s="271"/>
    </row>
    <row r="148">
      <c r="A148" s="272">
        <v>45997.0</v>
      </c>
      <c r="B148" s="280" t="s">
        <v>2702</v>
      </c>
      <c r="C148" s="281" t="s">
        <v>1560</v>
      </c>
      <c r="D148" s="275">
        <v>45997.0</v>
      </c>
      <c r="E148" s="276">
        <v>1.0</v>
      </c>
      <c r="F148" s="277"/>
    </row>
    <row r="149">
      <c r="A149" s="266">
        <v>45997.0</v>
      </c>
      <c r="B149" s="278" t="s">
        <v>2703</v>
      </c>
      <c r="C149" s="279" t="s">
        <v>1560</v>
      </c>
      <c r="D149" s="269">
        <v>45997.0</v>
      </c>
      <c r="E149" s="270">
        <v>3890.0</v>
      </c>
      <c r="F149" s="271"/>
    </row>
    <row r="150">
      <c r="A150" s="272">
        <v>45997.0</v>
      </c>
      <c r="B150" s="280" t="s">
        <v>2704</v>
      </c>
      <c r="C150" s="281" t="s">
        <v>1560</v>
      </c>
      <c r="D150" s="275">
        <v>45997.0</v>
      </c>
      <c r="E150" s="276">
        <v>3810.0</v>
      </c>
      <c r="F150" s="277"/>
    </row>
    <row r="151">
      <c r="A151" s="266">
        <v>45997.0</v>
      </c>
      <c r="B151" s="278" t="s">
        <v>2705</v>
      </c>
      <c r="C151" s="279" t="s">
        <v>1560</v>
      </c>
      <c r="D151" s="269">
        <v>45997.0</v>
      </c>
      <c r="E151" s="270">
        <v>1.0</v>
      </c>
      <c r="F151" s="271"/>
    </row>
    <row r="152">
      <c r="A152" s="272">
        <v>45999.0</v>
      </c>
      <c r="B152" s="280" t="s">
        <v>2706</v>
      </c>
      <c r="C152" s="281" t="s">
        <v>1560</v>
      </c>
      <c r="D152" s="275">
        <v>45997.0</v>
      </c>
      <c r="E152" s="276">
        <v>330.0</v>
      </c>
      <c r="F152" s="277"/>
    </row>
    <row r="153">
      <c r="A153" s="266">
        <v>45999.0</v>
      </c>
      <c r="B153" s="278" t="s">
        <v>2707</v>
      </c>
      <c r="C153" s="279" t="s">
        <v>1560</v>
      </c>
      <c r="D153" s="269">
        <v>45997.0</v>
      </c>
      <c r="E153" s="270">
        <v>70.0</v>
      </c>
      <c r="F153" s="271"/>
    </row>
    <row r="154">
      <c r="A154" s="272">
        <v>45999.0</v>
      </c>
      <c r="B154" s="280" t="s">
        <v>2708</v>
      </c>
      <c r="C154" s="281" t="s">
        <v>1560</v>
      </c>
      <c r="D154" s="275">
        <v>45997.0</v>
      </c>
      <c r="E154" s="276">
        <v>2700.0</v>
      </c>
      <c r="F154" s="277"/>
    </row>
    <row r="155">
      <c r="A155" s="266">
        <v>45999.0</v>
      </c>
      <c r="B155" s="278" t="s">
        <v>2709</v>
      </c>
      <c r="C155" s="279" t="s">
        <v>1560</v>
      </c>
      <c r="D155" s="269">
        <v>45997.0</v>
      </c>
      <c r="E155" s="270">
        <v>1180.0</v>
      </c>
      <c r="F155" s="271"/>
    </row>
    <row r="156">
      <c r="A156" s="272">
        <v>45999.0</v>
      </c>
      <c r="B156" s="280" t="s">
        <v>2710</v>
      </c>
      <c r="C156" s="281" t="s">
        <v>1560</v>
      </c>
      <c r="D156" s="275">
        <v>45997.0</v>
      </c>
      <c r="E156" s="276">
        <v>1080.0</v>
      </c>
      <c r="F156" s="277"/>
    </row>
    <row r="157">
      <c r="A157" s="266">
        <v>46000.0</v>
      </c>
      <c r="B157" s="278" t="s">
        <v>2701</v>
      </c>
      <c r="C157" s="279" t="s">
        <v>1560</v>
      </c>
      <c r="D157" s="269">
        <v>45997.0</v>
      </c>
      <c r="E157" s="270">
        <v>5420.0</v>
      </c>
      <c r="F157" s="271"/>
    </row>
    <row r="158">
      <c r="A158" s="272">
        <v>46000.0</v>
      </c>
      <c r="B158" s="280" t="s">
        <v>2711</v>
      </c>
      <c r="C158" s="281" t="s">
        <v>1560</v>
      </c>
      <c r="D158" s="275">
        <v>45997.0</v>
      </c>
      <c r="E158" s="276">
        <v>1.0</v>
      </c>
      <c r="F158" s="277"/>
    </row>
    <row r="159">
      <c r="A159" s="266">
        <v>46000.0</v>
      </c>
      <c r="B159" s="278" t="s">
        <v>2712</v>
      </c>
      <c r="C159" s="279" t="s">
        <v>1560</v>
      </c>
      <c r="D159" s="269">
        <v>45997.0</v>
      </c>
      <c r="E159" s="270">
        <v>5420.0</v>
      </c>
      <c r="F159" s="271"/>
    </row>
    <row r="160">
      <c r="A160" s="282">
        <v>45999.0</v>
      </c>
      <c r="B160" s="278" t="s">
        <v>2713</v>
      </c>
      <c r="C160" s="279" t="s">
        <v>1560</v>
      </c>
      <c r="D160" s="283">
        <v>45999.0</v>
      </c>
      <c r="E160" s="270">
        <v>35.0</v>
      </c>
      <c r="F160" s="57"/>
    </row>
    <row r="161">
      <c r="A161" s="282">
        <v>45999.0</v>
      </c>
      <c r="B161" s="280" t="s">
        <v>2714</v>
      </c>
      <c r="C161" s="281" t="s">
        <v>1560</v>
      </c>
      <c r="D161" s="284">
        <v>45999.0</v>
      </c>
      <c r="E161" s="276">
        <v>85600.0</v>
      </c>
      <c r="F161" s="285"/>
    </row>
    <row r="162">
      <c r="A162" s="282">
        <v>45999.0</v>
      </c>
      <c r="B162" s="278" t="s">
        <v>2715</v>
      </c>
      <c r="C162" s="279" t="s">
        <v>1560</v>
      </c>
      <c r="D162" s="283">
        <v>45999.0</v>
      </c>
      <c r="E162" s="270">
        <v>34720.0</v>
      </c>
      <c r="F162" s="57"/>
    </row>
    <row r="163">
      <c r="A163" s="282">
        <v>46000.0</v>
      </c>
      <c r="B163" s="280" t="s">
        <v>2716</v>
      </c>
      <c r="C163" s="281" t="s">
        <v>1560</v>
      </c>
      <c r="D163" s="284">
        <v>46000.0</v>
      </c>
      <c r="E163" s="276">
        <v>274.0</v>
      </c>
      <c r="F163" s="285"/>
    </row>
    <row r="164">
      <c r="A164" s="282">
        <v>46000.0</v>
      </c>
      <c r="B164" s="278" t="s">
        <v>2717</v>
      </c>
      <c r="C164" s="279" t="s">
        <v>1560</v>
      </c>
      <c r="D164" s="283">
        <v>46000.0</v>
      </c>
      <c r="E164" s="270">
        <v>796.0</v>
      </c>
      <c r="F164" s="57"/>
    </row>
    <row r="165">
      <c r="A165" s="282">
        <v>46000.0</v>
      </c>
      <c r="B165" s="280" t="s">
        <v>2718</v>
      </c>
      <c r="C165" s="281" t="s">
        <v>1560</v>
      </c>
      <c r="D165" s="284">
        <v>46000.0</v>
      </c>
      <c r="E165" s="276">
        <v>348.0</v>
      </c>
      <c r="F165" s="285"/>
    </row>
    <row r="166">
      <c r="A166" s="282">
        <v>46000.0</v>
      </c>
      <c r="B166" s="286" t="s">
        <v>2715</v>
      </c>
      <c r="C166" s="287" t="s">
        <v>1560</v>
      </c>
      <c r="D166" s="288">
        <v>46000.0</v>
      </c>
      <c r="E166" s="289">
        <v>34720.0</v>
      </c>
      <c r="F166" s="290"/>
    </row>
    <row r="167">
      <c r="A167" s="282">
        <v>46001.0</v>
      </c>
      <c r="B167" s="286" t="s">
        <v>2719</v>
      </c>
      <c r="C167" s="287" t="s">
        <v>1560</v>
      </c>
      <c r="D167" s="291">
        <v>46001.0</v>
      </c>
      <c r="E167" s="289">
        <v>300.0</v>
      </c>
      <c r="F167" s="290"/>
    </row>
    <row r="168">
      <c r="A168" s="282">
        <v>46001.0</v>
      </c>
      <c r="B168" s="286" t="s">
        <v>2720</v>
      </c>
      <c r="C168" s="287" t="s">
        <v>1560</v>
      </c>
      <c r="D168" s="291">
        <v>46001.0</v>
      </c>
      <c r="E168" s="289">
        <v>2260.0</v>
      </c>
      <c r="F168" s="290"/>
    </row>
    <row r="169">
      <c r="A169" s="282">
        <v>46001.0</v>
      </c>
      <c r="B169" s="286" t="s">
        <v>2721</v>
      </c>
      <c r="C169" s="287" t="s">
        <v>1560</v>
      </c>
      <c r="D169" s="291">
        <v>46001.0</v>
      </c>
      <c r="E169" s="289">
        <v>2582.0</v>
      </c>
      <c r="F169" s="290"/>
    </row>
    <row r="170">
      <c r="A170" s="282">
        <v>46002.0</v>
      </c>
      <c r="B170" s="286" t="s">
        <v>2722</v>
      </c>
      <c r="C170" s="287" t="s">
        <v>1560</v>
      </c>
      <c r="D170" s="292">
        <v>46002.0</v>
      </c>
      <c r="E170" s="289">
        <v>25.9</v>
      </c>
      <c r="F170" s="290"/>
    </row>
    <row r="171">
      <c r="A171" s="282">
        <v>46002.0</v>
      </c>
      <c r="B171" s="286" t="s">
        <v>2723</v>
      </c>
      <c r="C171" s="287" t="s">
        <v>2724</v>
      </c>
      <c r="D171" s="292">
        <v>46002.0</v>
      </c>
      <c r="E171" s="289">
        <v>1.0</v>
      </c>
      <c r="F171" s="290"/>
    </row>
    <row r="172">
      <c r="A172" s="282">
        <v>46002.0</v>
      </c>
      <c r="B172" s="286" t="s">
        <v>2725</v>
      </c>
      <c r="C172" s="287" t="s">
        <v>1560</v>
      </c>
      <c r="D172" s="292">
        <v>46002.0</v>
      </c>
      <c r="E172" s="289">
        <v>1.0</v>
      </c>
      <c r="F172" s="290"/>
    </row>
    <row r="173">
      <c r="A173" s="282">
        <v>46002.0</v>
      </c>
      <c r="B173" s="286" t="s">
        <v>2726</v>
      </c>
      <c r="C173" s="287" t="s">
        <v>1560</v>
      </c>
      <c r="D173" s="292">
        <v>46002.0</v>
      </c>
      <c r="E173" s="289">
        <v>40.0</v>
      </c>
      <c r="F173" s="290"/>
    </row>
    <row r="174">
      <c r="A174" s="282">
        <v>46002.0</v>
      </c>
      <c r="B174" s="286" t="s">
        <v>2727</v>
      </c>
      <c r="C174" s="287" t="s">
        <v>1560</v>
      </c>
      <c r="D174" s="292">
        <v>46002.0</v>
      </c>
      <c r="E174" s="289">
        <v>25.0</v>
      </c>
      <c r="F174" s="290"/>
    </row>
    <row r="175">
      <c r="A175" s="282">
        <v>46002.0</v>
      </c>
      <c r="B175" s="286" t="s">
        <v>2728</v>
      </c>
      <c r="C175" s="287" t="s">
        <v>1560</v>
      </c>
      <c r="D175" s="292">
        <v>46002.0</v>
      </c>
      <c r="E175" s="289">
        <v>8.0</v>
      </c>
      <c r="F175" s="290"/>
    </row>
    <row r="176">
      <c r="A176" s="282">
        <v>46002.0</v>
      </c>
      <c r="B176" s="286" t="s">
        <v>2729</v>
      </c>
      <c r="C176" s="287" t="s">
        <v>1560</v>
      </c>
      <c r="D176" s="292">
        <v>46002.0</v>
      </c>
      <c r="E176" s="289">
        <v>22.0</v>
      </c>
      <c r="F176" s="290"/>
    </row>
    <row r="177">
      <c r="A177" s="282">
        <v>46002.0</v>
      </c>
      <c r="B177" s="286" t="s">
        <v>2730</v>
      </c>
      <c r="C177" s="287" t="s">
        <v>1560</v>
      </c>
      <c r="D177" s="292">
        <v>46002.0</v>
      </c>
      <c r="E177" s="289">
        <v>15.0</v>
      </c>
      <c r="F177" s="290"/>
    </row>
    <row r="178">
      <c r="A178" s="282">
        <v>46002.0</v>
      </c>
      <c r="B178" s="286" t="s">
        <v>2731</v>
      </c>
      <c r="C178" s="287" t="s">
        <v>1560</v>
      </c>
      <c r="D178" s="292">
        <v>46002.0</v>
      </c>
      <c r="E178" s="289">
        <v>15.0</v>
      </c>
      <c r="F178" s="290"/>
    </row>
    <row r="179">
      <c r="A179" s="282">
        <v>46002.0</v>
      </c>
      <c r="B179" s="286" t="s">
        <v>2656</v>
      </c>
      <c r="C179" s="287" t="s">
        <v>1560</v>
      </c>
      <c r="D179" s="292">
        <v>46002.0</v>
      </c>
      <c r="E179" s="289">
        <v>40.0</v>
      </c>
      <c r="F179" s="290"/>
    </row>
    <row r="180">
      <c r="A180" s="282">
        <v>46003.0</v>
      </c>
      <c r="B180" s="286" t="s">
        <v>2732</v>
      </c>
      <c r="C180" s="287" t="s">
        <v>1560</v>
      </c>
      <c r="D180" s="292">
        <v>46002.0</v>
      </c>
      <c r="E180" s="289">
        <v>21.0</v>
      </c>
      <c r="F180" s="290"/>
    </row>
    <row r="181">
      <c r="A181" s="282">
        <v>46003.0</v>
      </c>
      <c r="B181" s="286" t="s">
        <v>2733</v>
      </c>
      <c r="C181" s="287" t="s">
        <v>1560</v>
      </c>
      <c r="D181" s="292">
        <v>46003.0</v>
      </c>
      <c r="E181" s="289">
        <v>48.3</v>
      </c>
      <c r="F181" s="290"/>
    </row>
    <row r="182">
      <c r="A182" s="282">
        <v>46003.0</v>
      </c>
      <c r="B182" s="286" t="s">
        <v>2734</v>
      </c>
      <c r="C182" s="287" t="s">
        <v>1560</v>
      </c>
      <c r="D182" s="292">
        <v>46003.0</v>
      </c>
      <c r="E182" s="289">
        <v>4.0</v>
      </c>
      <c r="F182" s="290"/>
    </row>
    <row r="183">
      <c r="A183" s="282">
        <v>46003.0</v>
      </c>
      <c r="B183" s="286" t="s">
        <v>2735</v>
      </c>
      <c r="C183" s="287" t="s">
        <v>1560</v>
      </c>
      <c r="D183" s="292">
        <v>46003.0</v>
      </c>
      <c r="E183" s="289">
        <v>6.0</v>
      </c>
      <c r="F183" s="290"/>
    </row>
    <row r="184">
      <c r="A184" s="282">
        <v>46003.0</v>
      </c>
      <c r="B184" s="286" t="s">
        <v>2736</v>
      </c>
      <c r="C184" s="287" t="s">
        <v>1560</v>
      </c>
      <c r="D184" s="292">
        <v>46003.0</v>
      </c>
      <c r="E184" s="289">
        <v>4.5</v>
      </c>
      <c r="F184" s="290"/>
    </row>
    <row r="185">
      <c r="A185" s="282">
        <v>46003.0</v>
      </c>
      <c r="B185" s="286" t="s">
        <v>306</v>
      </c>
      <c r="C185" s="287" t="s">
        <v>1560</v>
      </c>
      <c r="D185" s="292">
        <v>46003.0</v>
      </c>
      <c r="E185" s="289">
        <v>12.0</v>
      </c>
      <c r="F185" s="290"/>
    </row>
    <row r="186">
      <c r="A186" s="282">
        <v>46003.0</v>
      </c>
      <c r="B186" s="286" t="s">
        <v>2737</v>
      </c>
      <c r="C186" s="287" t="s">
        <v>1560</v>
      </c>
      <c r="D186" s="292">
        <v>46003.0</v>
      </c>
      <c r="E186" s="289">
        <v>12.0</v>
      </c>
      <c r="F186" s="290"/>
    </row>
    <row r="187">
      <c r="A187" s="282">
        <v>46003.0</v>
      </c>
      <c r="B187" s="286" t="s">
        <v>2738</v>
      </c>
      <c r="C187" s="287" t="s">
        <v>1560</v>
      </c>
      <c r="D187" s="292">
        <v>46003.0</v>
      </c>
      <c r="E187" s="289">
        <v>12.0</v>
      </c>
      <c r="F187" s="290"/>
    </row>
    <row r="188">
      <c r="A188" s="282">
        <v>46003.0</v>
      </c>
      <c r="B188" s="286" t="s">
        <v>2739</v>
      </c>
      <c r="C188" s="287" t="s">
        <v>1560</v>
      </c>
      <c r="D188" s="292">
        <v>46003.0</v>
      </c>
      <c r="E188" s="289">
        <v>10.0</v>
      </c>
      <c r="F188" s="290"/>
    </row>
    <row r="189">
      <c r="A189" s="282">
        <v>46003.0</v>
      </c>
      <c r="B189" s="286" t="s">
        <v>2740</v>
      </c>
      <c r="C189" s="287" t="s">
        <v>1560</v>
      </c>
      <c r="D189" s="292">
        <v>46003.0</v>
      </c>
      <c r="E189" s="289">
        <v>1837.0</v>
      </c>
      <c r="F189" s="290"/>
    </row>
    <row r="190">
      <c r="A190" s="282">
        <v>46003.0</v>
      </c>
      <c r="B190" s="286" t="s">
        <v>2741</v>
      </c>
      <c r="C190" s="287" t="s">
        <v>1560</v>
      </c>
      <c r="D190" s="292">
        <v>46003.0</v>
      </c>
      <c r="E190" s="289">
        <v>25.0</v>
      </c>
      <c r="F190" s="290"/>
    </row>
    <row r="191">
      <c r="A191" s="289" t="s">
        <v>2742</v>
      </c>
      <c r="B191" s="286" t="s">
        <v>2743</v>
      </c>
      <c r="C191" s="287" t="s">
        <v>1560</v>
      </c>
      <c r="D191" s="292">
        <v>46004.0</v>
      </c>
      <c r="E191" s="289">
        <v>1.0</v>
      </c>
      <c r="F191" s="290"/>
    </row>
    <row r="192">
      <c r="A192" s="289" t="s">
        <v>2742</v>
      </c>
      <c r="B192" s="286" t="s">
        <v>2744</v>
      </c>
      <c r="C192" s="287" t="s">
        <v>1560</v>
      </c>
      <c r="D192" s="292">
        <v>46004.0</v>
      </c>
      <c r="E192" s="289">
        <v>1.0</v>
      </c>
      <c r="F192" s="290"/>
    </row>
    <row r="193">
      <c r="A193" s="289" t="s">
        <v>2742</v>
      </c>
      <c r="B193" s="286" t="s">
        <v>2745</v>
      </c>
      <c r="C193" s="287" t="s">
        <v>1560</v>
      </c>
      <c r="D193" s="292">
        <v>46004.0</v>
      </c>
      <c r="E193" s="289">
        <v>100.0</v>
      </c>
      <c r="F193" s="290"/>
    </row>
    <row r="194">
      <c r="A194" s="289" t="s">
        <v>2742</v>
      </c>
      <c r="B194" s="286" t="s">
        <v>2746</v>
      </c>
      <c r="C194" s="287" t="s">
        <v>1560</v>
      </c>
      <c r="D194" s="292">
        <v>46004.0</v>
      </c>
      <c r="E194" s="289">
        <v>1.0</v>
      </c>
      <c r="F194" s="290"/>
    </row>
    <row r="195">
      <c r="A195" s="289" t="s">
        <v>2742</v>
      </c>
      <c r="B195" s="286" t="s">
        <v>2747</v>
      </c>
      <c r="C195" s="287" t="s">
        <v>1560</v>
      </c>
      <c r="D195" s="292">
        <v>46004.0</v>
      </c>
      <c r="E195" s="289">
        <v>110.0</v>
      </c>
      <c r="F195" s="290"/>
    </row>
    <row r="196">
      <c r="A196" s="289" t="s">
        <v>2742</v>
      </c>
      <c r="B196" s="286" t="s">
        <v>2663</v>
      </c>
      <c r="C196" s="287" t="s">
        <v>1560</v>
      </c>
      <c r="D196" s="292">
        <v>46004.0</v>
      </c>
      <c r="E196" s="289">
        <v>12.0</v>
      </c>
      <c r="F196" s="290"/>
    </row>
    <row r="197">
      <c r="A197" s="289" t="s">
        <v>2742</v>
      </c>
      <c r="B197" s="286" t="s">
        <v>2748</v>
      </c>
      <c r="C197" s="287" t="s">
        <v>1560</v>
      </c>
      <c r="D197" s="292">
        <v>46004.0</v>
      </c>
      <c r="E197" s="289">
        <v>360.0</v>
      </c>
      <c r="F197" s="290"/>
    </row>
    <row r="198">
      <c r="A198" s="289" t="s">
        <v>2749</v>
      </c>
      <c r="B198" s="286" t="s">
        <v>2750</v>
      </c>
      <c r="C198" s="287" t="s">
        <v>1560</v>
      </c>
      <c r="D198" s="292">
        <v>46006.0</v>
      </c>
      <c r="E198" s="289">
        <v>8.0</v>
      </c>
      <c r="F198" s="290"/>
    </row>
    <row r="199">
      <c r="A199" s="289" t="s">
        <v>2749</v>
      </c>
      <c r="B199" s="286" t="s">
        <v>2751</v>
      </c>
      <c r="C199" s="287" t="s">
        <v>2724</v>
      </c>
      <c r="D199" s="292">
        <v>46006.0</v>
      </c>
      <c r="E199" s="289">
        <v>1.0</v>
      </c>
      <c r="F199" s="290"/>
    </row>
    <row r="200">
      <c r="A200" s="289" t="s">
        <v>2749</v>
      </c>
      <c r="B200" s="286" t="s">
        <v>2752</v>
      </c>
      <c r="C200" s="287" t="s">
        <v>1560</v>
      </c>
      <c r="D200" s="292">
        <v>46006.0</v>
      </c>
      <c r="E200" s="289">
        <v>1.0</v>
      </c>
      <c r="F200" s="290"/>
    </row>
    <row r="201">
      <c r="A201" s="289" t="s">
        <v>2749</v>
      </c>
      <c r="B201" s="286" t="s">
        <v>2753</v>
      </c>
      <c r="C201" s="287" t="s">
        <v>1560</v>
      </c>
      <c r="D201" s="292">
        <v>46006.0</v>
      </c>
      <c r="E201" s="289">
        <v>1.0</v>
      </c>
      <c r="F201" s="290"/>
    </row>
    <row r="202">
      <c r="A202" s="289" t="s">
        <v>2749</v>
      </c>
      <c r="B202" s="286" t="s">
        <v>2754</v>
      </c>
      <c r="C202" s="287" t="s">
        <v>1560</v>
      </c>
      <c r="D202" s="292">
        <v>46006.0</v>
      </c>
      <c r="E202" s="289">
        <v>1.0</v>
      </c>
      <c r="F202" s="290"/>
    </row>
    <row r="203">
      <c r="A203" s="289" t="s">
        <v>2749</v>
      </c>
      <c r="B203" s="286" t="s">
        <v>2755</v>
      </c>
      <c r="C203" s="287" t="s">
        <v>1560</v>
      </c>
      <c r="D203" s="292">
        <v>46006.0</v>
      </c>
      <c r="E203" s="289">
        <v>20.0</v>
      </c>
      <c r="F203" s="290"/>
    </row>
    <row r="204">
      <c r="A204" s="289" t="s">
        <v>2749</v>
      </c>
      <c r="B204" s="286" t="s">
        <v>2756</v>
      </c>
      <c r="C204" s="287" t="s">
        <v>1560</v>
      </c>
      <c r="D204" s="292">
        <v>46006.0</v>
      </c>
      <c r="E204" s="289">
        <v>10.0</v>
      </c>
      <c r="F204" s="290"/>
    </row>
    <row r="205">
      <c r="A205" s="289" t="s">
        <v>2757</v>
      </c>
      <c r="B205" s="286" t="s">
        <v>2656</v>
      </c>
      <c r="C205" s="287" t="s">
        <v>1560</v>
      </c>
      <c r="D205" s="292">
        <v>46008.0</v>
      </c>
      <c r="E205" s="289">
        <v>40.0</v>
      </c>
      <c r="F205" s="290"/>
    </row>
    <row r="206">
      <c r="A206" s="289" t="s">
        <v>2757</v>
      </c>
      <c r="B206" s="286" t="s">
        <v>2758</v>
      </c>
      <c r="C206" s="287" t="s">
        <v>1560</v>
      </c>
      <c r="D206" s="292">
        <v>46008.0</v>
      </c>
      <c r="E206" s="289">
        <v>25.0</v>
      </c>
      <c r="F206" s="290"/>
    </row>
    <row r="207">
      <c r="A207" s="289" t="s">
        <v>2757</v>
      </c>
      <c r="B207" s="286" t="s">
        <v>1820</v>
      </c>
      <c r="C207" s="287" t="s">
        <v>1560</v>
      </c>
      <c r="D207" s="292">
        <v>46008.0</v>
      </c>
      <c r="E207" s="289">
        <v>15.0</v>
      </c>
      <c r="F207" s="290"/>
    </row>
    <row r="208">
      <c r="A208" s="289" t="s">
        <v>2757</v>
      </c>
      <c r="B208" s="286" t="s">
        <v>2759</v>
      </c>
      <c r="C208" s="287" t="s">
        <v>1560</v>
      </c>
      <c r="D208" s="292">
        <v>46008.0</v>
      </c>
      <c r="E208" s="289">
        <v>20.0</v>
      </c>
      <c r="F208" s="290"/>
    </row>
    <row r="209">
      <c r="A209" s="289" t="s">
        <v>2757</v>
      </c>
      <c r="B209" s="286" t="s">
        <v>2760</v>
      </c>
      <c r="C209" s="287" t="s">
        <v>1560</v>
      </c>
      <c r="D209" s="292">
        <v>46008.0</v>
      </c>
      <c r="E209" s="289">
        <v>4.0</v>
      </c>
      <c r="F209" s="290"/>
    </row>
    <row r="210">
      <c r="A210" s="289" t="s">
        <v>2757</v>
      </c>
      <c r="B210" s="286" t="s">
        <v>2761</v>
      </c>
      <c r="C210" s="287" t="s">
        <v>2724</v>
      </c>
      <c r="D210" s="292">
        <v>46008.0</v>
      </c>
      <c r="E210" s="289">
        <v>38.0</v>
      </c>
      <c r="F210" s="290"/>
    </row>
    <row r="211">
      <c r="A211" s="289" t="s">
        <v>2757</v>
      </c>
      <c r="B211" s="286" t="s">
        <v>2762</v>
      </c>
      <c r="C211" s="287" t="s">
        <v>1560</v>
      </c>
      <c r="D211" s="292">
        <v>46008.0</v>
      </c>
      <c r="E211" s="289">
        <v>3500.0</v>
      </c>
      <c r="F211" s="290"/>
    </row>
    <row r="212">
      <c r="A212" s="289" t="s">
        <v>2757</v>
      </c>
      <c r="B212" s="286" t="s">
        <v>2702</v>
      </c>
      <c r="C212" s="287" t="s">
        <v>1560</v>
      </c>
      <c r="D212" s="292">
        <v>46008.0</v>
      </c>
      <c r="E212" s="289">
        <v>1.0</v>
      </c>
      <c r="F212" s="290"/>
    </row>
    <row r="213">
      <c r="A213" s="289" t="s">
        <v>2757</v>
      </c>
      <c r="B213" s="286" t="s">
        <v>2763</v>
      </c>
      <c r="C213" s="287" t="s">
        <v>1560</v>
      </c>
      <c r="D213" s="292">
        <v>46008.0</v>
      </c>
      <c r="E213" s="289">
        <v>3500.0</v>
      </c>
      <c r="F213" s="290"/>
    </row>
    <row r="214">
      <c r="A214" s="289" t="s">
        <v>2757</v>
      </c>
      <c r="B214" s="286" t="s">
        <v>2764</v>
      </c>
      <c r="C214" s="287" t="s">
        <v>1560</v>
      </c>
      <c r="D214" s="292">
        <v>46008.0</v>
      </c>
      <c r="E214" s="289">
        <v>1.0</v>
      </c>
      <c r="F214" s="290"/>
    </row>
    <row r="215">
      <c r="A215" s="289" t="s">
        <v>2757</v>
      </c>
      <c r="B215" s="286" t="s">
        <v>2702</v>
      </c>
      <c r="C215" s="287" t="s">
        <v>1560</v>
      </c>
      <c r="D215" s="292">
        <v>46008.0</v>
      </c>
      <c r="E215" s="289">
        <v>1800.0</v>
      </c>
      <c r="F215" s="290"/>
    </row>
    <row r="216">
      <c r="A216" s="289" t="s">
        <v>2757</v>
      </c>
      <c r="B216" s="286" t="s">
        <v>2702</v>
      </c>
      <c r="C216" s="287" t="s">
        <v>1560</v>
      </c>
      <c r="D216" s="292">
        <v>46008.0</v>
      </c>
      <c r="E216" s="289">
        <v>1.0</v>
      </c>
      <c r="F216" s="290"/>
    </row>
    <row r="217">
      <c r="A217" s="289" t="s">
        <v>2757</v>
      </c>
      <c r="B217" s="286" t="s">
        <v>2764</v>
      </c>
      <c r="C217" s="287" t="s">
        <v>1560</v>
      </c>
      <c r="D217" s="292">
        <v>46008.0</v>
      </c>
      <c r="E217" s="289">
        <v>3870.0</v>
      </c>
      <c r="F217" s="290"/>
    </row>
    <row r="218">
      <c r="A218" s="289" t="s">
        <v>2757</v>
      </c>
      <c r="B218" s="286" t="s">
        <v>2702</v>
      </c>
      <c r="C218" s="287" t="s">
        <v>1560</v>
      </c>
      <c r="D218" s="292">
        <v>46008.0</v>
      </c>
      <c r="E218" s="289">
        <v>1.0</v>
      </c>
      <c r="F218" s="290"/>
    </row>
    <row r="219">
      <c r="A219" s="289" t="s">
        <v>2765</v>
      </c>
      <c r="B219" s="286" t="s">
        <v>2766</v>
      </c>
      <c r="C219" s="287" t="s">
        <v>1560</v>
      </c>
      <c r="D219" s="292">
        <v>46009.0</v>
      </c>
      <c r="E219" s="289">
        <v>80.0</v>
      </c>
      <c r="F219" s="290"/>
    </row>
    <row r="220">
      <c r="A220" s="289" t="s">
        <v>2765</v>
      </c>
      <c r="B220" s="286" t="s">
        <v>2767</v>
      </c>
      <c r="C220" s="287" t="s">
        <v>1560</v>
      </c>
      <c r="D220" s="292">
        <v>46009.0</v>
      </c>
      <c r="E220" s="289">
        <v>1400.0</v>
      </c>
      <c r="F220" s="290"/>
    </row>
    <row r="221">
      <c r="A221" s="289" t="s">
        <v>2768</v>
      </c>
      <c r="B221" s="286" t="s">
        <v>2769</v>
      </c>
      <c r="C221" s="287" t="s">
        <v>1560</v>
      </c>
      <c r="D221" s="289" t="s">
        <v>2770</v>
      </c>
      <c r="E221" s="289">
        <v>6.0</v>
      </c>
      <c r="F221" s="290"/>
    </row>
    <row r="222">
      <c r="A222" s="289" t="s">
        <v>2768</v>
      </c>
      <c r="B222" s="286" t="s">
        <v>2771</v>
      </c>
      <c r="C222" s="287" t="s">
        <v>1560</v>
      </c>
      <c r="D222" s="292">
        <v>46015.0</v>
      </c>
      <c r="E222" s="289">
        <v>1.0</v>
      </c>
      <c r="F222" s="290"/>
    </row>
    <row r="223">
      <c r="A223" s="289" t="s">
        <v>2772</v>
      </c>
      <c r="B223" s="286" t="s">
        <v>2773</v>
      </c>
      <c r="C223" s="287" t="s">
        <v>1560</v>
      </c>
      <c r="D223" s="293">
        <v>46016.0</v>
      </c>
      <c r="E223" s="289">
        <v>5.0</v>
      </c>
      <c r="F223" s="290"/>
    </row>
    <row r="224">
      <c r="A224" s="289" t="s">
        <v>2772</v>
      </c>
      <c r="B224" s="286" t="s">
        <v>2773</v>
      </c>
      <c r="C224" s="287" t="s">
        <v>1560</v>
      </c>
      <c r="D224" s="292">
        <v>46014.0</v>
      </c>
      <c r="E224" s="289">
        <v>21.0</v>
      </c>
      <c r="F224" s="290"/>
    </row>
    <row r="225">
      <c r="A225" s="289" t="s">
        <v>2774</v>
      </c>
      <c r="B225" s="286" t="s">
        <v>2775</v>
      </c>
      <c r="C225" s="287" t="s">
        <v>1560</v>
      </c>
      <c r="D225" s="293">
        <v>46013.0</v>
      </c>
      <c r="E225" s="289">
        <v>2.0</v>
      </c>
      <c r="F225" s="290"/>
    </row>
    <row r="226">
      <c r="A226" s="289" t="s">
        <v>2774</v>
      </c>
      <c r="B226" s="286" t="s">
        <v>2776</v>
      </c>
      <c r="C226" s="287" t="s">
        <v>1560</v>
      </c>
      <c r="D226" s="293">
        <v>46013.0</v>
      </c>
      <c r="E226" s="289">
        <v>3.0</v>
      </c>
      <c r="F226" s="290"/>
    </row>
    <row r="227">
      <c r="A227" s="289" t="s">
        <v>2774</v>
      </c>
      <c r="B227" s="286" t="s">
        <v>2777</v>
      </c>
      <c r="C227" s="287" t="s">
        <v>1560</v>
      </c>
      <c r="D227" s="293">
        <v>46013.0</v>
      </c>
      <c r="E227" s="289">
        <v>11.0</v>
      </c>
      <c r="F227" s="290"/>
    </row>
    <row r="228">
      <c r="A228" s="289" t="s">
        <v>2774</v>
      </c>
      <c r="B228" s="286" t="s">
        <v>2778</v>
      </c>
      <c r="C228" s="287" t="s">
        <v>1560</v>
      </c>
      <c r="D228" s="289" t="s">
        <v>2779</v>
      </c>
      <c r="E228" s="289">
        <v>16.0</v>
      </c>
      <c r="F228" s="290"/>
    </row>
    <row r="229">
      <c r="A229" s="289" t="s">
        <v>2774</v>
      </c>
      <c r="B229" s="286" t="s">
        <v>2780</v>
      </c>
      <c r="C229" s="287" t="s">
        <v>1560</v>
      </c>
      <c r="D229" s="293">
        <v>46013.0</v>
      </c>
      <c r="E229" s="289">
        <v>6.0</v>
      </c>
      <c r="F229" s="290"/>
    </row>
    <row r="230">
      <c r="A230" s="289" t="s">
        <v>2774</v>
      </c>
      <c r="B230" s="286" t="s">
        <v>2781</v>
      </c>
      <c r="C230" s="287" t="s">
        <v>1560</v>
      </c>
      <c r="D230" s="293">
        <v>46013.0</v>
      </c>
      <c r="E230" s="289">
        <v>1.0</v>
      </c>
      <c r="F230" s="290"/>
    </row>
    <row r="231">
      <c r="A231" s="289" t="s">
        <v>2782</v>
      </c>
      <c r="B231" s="286" t="s">
        <v>2783</v>
      </c>
      <c r="C231" s="287" t="s">
        <v>1560</v>
      </c>
      <c r="D231" s="293">
        <v>46011.0</v>
      </c>
      <c r="E231" s="289">
        <v>1.0</v>
      </c>
    </row>
    <row r="232">
      <c r="A232" s="289" t="s">
        <v>2784</v>
      </c>
      <c r="B232" s="286" t="s">
        <v>2785</v>
      </c>
      <c r="C232" s="287" t="s">
        <v>1560</v>
      </c>
      <c r="D232" s="293">
        <v>46010.0</v>
      </c>
      <c r="E232" s="289">
        <v>1.0</v>
      </c>
      <c r="F232" s="290"/>
    </row>
    <row r="233">
      <c r="A233" s="289" t="s">
        <v>2784</v>
      </c>
      <c r="B233" s="286" t="s">
        <v>2786</v>
      </c>
      <c r="C233" s="287" t="s">
        <v>1560</v>
      </c>
      <c r="D233" s="293">
        <v>46010.0</v>
      </c>
      <c r="E233" s="289">
        <v>1.0</v>
      </c>
      <c r="F233" s="290"/>
    </row>
    <row r="234">
      <c r="A234" s="289" t="s">
        <v>2784</v>
      </c>
      <c r="B234" s="286" t="s">
        <v>2787</v>
      </c>
      <c r="C234" s="287" t="s">
        <v>1560</v>
      </c>
      <c r="D234" s="293">
        <v>46010.0</v>
      </c>
      <c r="E234" s="289">
        <v>1.0</v>
      </c>
      <c r="F234" s="290"/>
    </row>
    <row r="235">
      <c r="A235" s="289" t="s">
        <v>2784</v>
      </c>
      <c r="B235" s="286" t="s">
        <v>2788</v>
      </c>
      <c r="C235" s="287" t="s">
        <v>1560</v>
      </c>
      <c r="D235" s="293">
        <v>46010.0</v>
      </c>
      <c r="E235" s="289">
        <v>7.0</v>
      </c>
      <c r="F235" s="290"/>
    </row>
    <row r="236">
      <c r="A236" s="289" t="s">
        <v>2765</v>
      </c>
      <c r="B236" s="286" t="s">
        <v>2789</v>
      </c>
      <c r="C236" s="287" t="s">
        <v>1560</v>
      </c>
      <c r="D236" s="293">
        <v>46009.0</v>
      </c>
      <c r="E236" s="289">
        <v>2.0</v>
      </c>
      <c r="F236" s="290"/>
    </row>
    <row r="237">
      <c r="A237" s="289" t="s">
        <v>2765</v>
      </c>
      <c r="B237" s="286" t="s">
        <v>2790</v>
      </c>
      <c r="C237" s="287" t="s">
        <v>1560</v>
      </c>
      <c r="D237" s="293">
        <v>46009.0</v>
      </c>
      <c r="E237" s="289">
        <v>1.0</v>
      </c>
      <c r="F237" s="290"/>
    </row>
    <row r="238">
      <c r="A238" s="289" t="s">
        <v>2765</v>
      </c>
      <c r="B238" s="286" t="s">
        <v>2792</v>
      </c>
      <c r="C238" s="287" t="s">
        <v>1560</v>
      </c>
      <c r="D238" s="293">
        <v>46009.0</v>
      </c>
      <c r="E238" s="289">
        <v>1.0</v>
      </c>
      <c r="F238" s="290"/>
    </row>
    <row r="239">
      <c r="A239" s="289" t="s">
        <v>2765</v>
      </c>
      <c r="B239" s="286" t="s">
        <v>2793</v>
      </c>
      <c r="C239" s="287" t="s">
        <v>1560</v>
      </c>
      <c r="D239" s="293">
        <v>46009.0</v>
      </c>
      <c r="E239" s="289">
        <v>3.0</v>
      </c>
      <c r="F239" s="290"/>
    </row>
    <row r="240">
      <c r="A240" s="289" t="s">
        <v>2765</v>
      </c>
      <c r="B240" s="286" t="s">
        <v>2794</v>
      </c>
      <c r="C240" s="287" t="s">
        <v>1560</v>
      </c>
      <c r="D240" s="293">
        <v>46009.0</v>
      </c>
      <c r="E240" s="289">
        <v>1.0</v>
      </c>
      <c r="F240" s="290"/>
    </row>
    <row r="241">
      <c r="A241" s="289" t="s">
        <v>2795</v>
      </c>
      <c r="B241" s="286" t="s">
        <v>2796</v>
      </c>
      <c r="C241" s="287" t="s">
        <v>1560</v>
      </c>
      <c r="D241" s="292">
        <v>46006.0</v>
      </c>
      <c r="E241" s="289">
        <v>940.0</v>
      </c>
      <c r="F241" s="290"/>
    </row>
    <row r="242">
      <c r="A242" s="289" t="s">
        <v>2795</v>
      </c>
      <c r="B242" s="286" t="s">
        <v>2797</v>
      </c>
      <c r="C242" s="287" t="s">
        <v>1560</v>
      </c>
      <c r="D242" s="293">
        <v>46006.0</v>
      </c>
      <c r="E242" s="289">
        <v>1.0</v>
      </c>
      <c r="F242" s="290"/>
    </row>
    <row r="243">
      <c r="A243" s="292">
        <v>45700.0</v>
      </c>
      <c r="B243" s="286" t="s">
        <v>2798</v>
      </c>
      <c r="C243" s="287" t="s">
        <v>1892</v>
      </c>
      <c r="D243" s="293">
        <v>45993.0</v>
      </c>
      <c r="E243" s="289">
        <v>2.0</v>
      </c>
      <c r="F243" s="290"/>
    </row>
    <row r="244">
      <c r="A244" s="292">
        <v>45700.0</v>
      </c>
      <c r="B244" s="286" t="s">
        <v>302</v>
      </c>
      <c r="C244" s="287" t="s">
        <v>1892</v>
      </c>
      <c r="D244" s="293">
        <v>45993.0</v>
      </c>
      <c r="E244" s="289">
        <v>10.0</v>
      </c>
      <c r="F244" s="290"/>
    </row>
    <row r="245">
      <c r="A245" s="289" t="s">
        <v>2795</v>
      </c>
      <c r="B245" s="286" t="s">
        <v>2799</v>
      </c>
      <c r="C245" s="287" t="s">
        <v>1892</v>
      </c>
      <c r="D245" s="293">
        <v>45993.0</v>
      </c>
      <c r="E245" s="289">
        <v>5.0</v>
      </c>
      <c r="F245" s="290"/>
    </row>
    <row r="246">
      <c r="A246" s="292">
        <v>45728.0</v>
      </c>
      <c r="B246" s="286" t="s">
        <v>2800</v>
      </c>
      <c r="C246" s="287" t="s">
        <v>1892</v>
      </c>
      <c r="D246" s="302">
        <v>45994.0</v>
      </c>
      <c r="E246" s="289">
        <v>2.0</v>
      </c>
      <c r="F246" s="290"/>
    </row>
    <row r="247">
      <c r="A247" s="292">
        <v>45728.0</v>
      </c>
      <c r="B247" s="286" t="s">
        <v>2801</v>
      </c>
      <c r="C247" s="287" t="s">
        <v>1892</v>
      </c>
      <c r="D247" s="293">
        <v>45994.0</v>
      </c>
      <c r="E247" s="289">
        <v>2.0</v>
      </c>
      <c r="F247" s="290"/>
    </row>
    <row r="248">
      <c r="A248" s="292">
        <v>45728.0</v>
      </c>
      <c r="B248" s="286" t="s">
        <v>2802</v>
      </c>
      <c r="C248" s="287" t="s">
        <v>1892</v>
      </c>
      <c r="D248" s="293">
        <v>45994.0</v>
      </c>
      <c r="E248" s="289">
        <v>2.0</v>
      </c>
      <c r="F248" s="290"/>
    </row>
    <row r="249">
      <c r="A249" s="292">
        <v>45728.0</v>
      </c>
      <c r="B249" s="286" t="s">
        <v>302</v>
      </c>
      <c r="C249" s="287" t="s">
        <v>1892</v>
      </c>
      <c r="D249" s="293">
        <v>45994.0</v>
      </c>
      <c r="E249" s="289">
        <v>10.0</v>
      </c>
      <c r="F249" s="290"/>
    </row>
    <row r="250">
      <c r="A250" s="292">
        <v>45728.0</v>
      </c>
      <c r="B250" s="286" t="s">
        <v>1818</v>
      </c>
      <c r="C250" s="287" t="s">
        <v>1892</v>
      </c>
      <c r="D250" s="293">
        <v>45994.0</v>
      </c>
      <c r="E250" s="289">
        <v>20.0</v>
      </c>
      <c r="F250" s="290"/>
    </row>
    <row r="251">
      <c r="A251" s="289" t="s">
        <v>2765</v>
      </c>
      <c r="B251" s="286" t="s">
        <v>2799</v>
      </c>
      <c r="C251" s="287" t="s">
        <v>1892</v>
      </c>
      <c r="D251" s="293">
        <v>46009.0</v>
      </c>
      <c r="E251" s="289">
        <v>5.0</v>
      </c>
      <c r="F251" s="290"/>
    </row>
    <row r="252">
      <c r="A252" s="289" t="s">
        <v>2765</v>
      </c>
      <c r="B252" s="286" t="s">
        <v>302</v>
      </c>
      <c r="C252" s="287" t="s">
        <v>1892</v>
      </c>
      <c r="D252" s="292">
        <v>46009.0</v>
      </c>
      <c r="E252" s="289">
        <v>10.0</v>
      </c>
      <c r="F252" s="290"/>
    </row>
    <row r="253">
      <c r="A253" s="289" t="s">
        <v>2803</v>
      </c>
      <c r="B253" s="286" t="s">
        <v>2800</v>
      </c>
      <c r="C253" s="287" t="s">
        <v>1892</v>
      </c>
      <c r="D253" s="293">
        <v>46009.0</v>
      </c>
      <c r="E253" s="289">
        <v>2.0</v>
      </c>
      <c r="F253" s="290"/>
    </row>
    <row r="254">
      <c r="A254" s="289" t="s">
        <v>2765</v>
      </c>
      <c r="B254" s="286" t="s">
        <v>1822</v>
      </c>
      <c r="C254" s="287" t="s">
        <v>1892</v>
      </c>
      <c r="D254" s="293">
        <v>46009.0</v>
      </c>
      <c r="E254" s="289">
        <v>2.0</v>
      </c>
      <c r="F254" s="290"/>
    </row>
    <row r="255">
      <c r="A255" s="289" t="s">
        <v>2765</v>
      </c>
      <c r="B255" s="286" t="s">
        <v>2804</v>
      </c>
      <c r="C255" s="287" t="s">
        <v>1892</v>
      </c>
      <c r="D255" s="293">
        <v>46009.0</v>
      </c>
      <c r="E255" s="289">
        <v>2.0</v>
      </c>
      <c r="F255" s="290"/>
    </row>
    <row r="256">
      <c r="A256" s="289" t="s">
        <v>2765</v>
      </c>
      <c r="B256" s="286" t="s">
        <v>1822</v>
      </c>
      <c r="C256" s="287" t="s">
        <v>1892</v>
      </c>
      <c r="D256" s="292">
        <v>46009.0</v>
      </c>
      <c r="E256" s="289">
        <v>1.0</v>
      </c>
      <c r="F256" s="290"/>
    </row>
    <row r="257">
      <c r="A257" s="289" t="s">
        <v>2784</v>
      </c>
      <c r="B257" s="286" t="s">
        <v>2805</v>
      </c>
      <c r="C257" s="287" t="s">
        <v>1892</v>
      </c>
      <c r="D257" s="293">
        <v>46010.0</v>
      </c>
      <c r="E257" s="289">
        <v>2.0</v>
      </c>
      <c r="F257" s="290"/>
    </row>
    <row r="258">
      <c r="A258" s="289" t="s">
        <v>2784</v>
      </c>
      <c r="B258" s="286" t="s">
        <v>2806</v>
      </c>
      <c r="C258" s="287" t="s">
        <v>1892</v>
      </c>
      <c r="D258" s="292">
        <v>46010.0</v>
      </c>
      <c r="E258" s="289">
        <v>2.0</v>
      </c>
      <c r="F258" s="290"/>
    </row>
    <row r="259">
      <c r="A259" s="289" t="s">
        <v>2784</v>
      </c>
      <c r="B259" s="286" t="s">
        <v>2807</v>
      </c>
      <c r="C259" s="287" t="s">
        <v>1892</v>
      </c>
      <c r="D259" s="293">
        <v>46010.0</v>
      </c>
      <c r="E259" s="289">
        <v>2.0</v>
      </c>
      <c r="F259" s="290"/>
    </row>
    <row r="260">
      <c r="A260" s="289" t="s">
        <v>2782</v>
      </c>
      <c r="B260" s="286" t="s">
        <v>1822</v>
      </c>
      <c r="C260" s="287" t="s">
        <v>1892</v>
      </c>
      <c r="D260" s="293">
        <v>46011.0</v>
      </c>
      <c r="E260" s="289">
        <v>2.0</v>
      </c>
      <c r="F260" s="290"/>
    </row>
    <row r="261">
      <c r="A261" s="289" t="s">
        <v>2782</v>
      </c>
      <c r="B261" s="286" t="s">
        <v>2808</v>
      </c>
      <c r="C261" s="287" t="s">
        <v>1892</v>
      </c>
      <c r="D261" s="289" t="s">
        <v>2809</v>
      </c>
      <c r="E261" s="289">
        <v>2.0</v>
      </c>
      <c r="F261" s="290"/>
    </row>
    <row r="262">
      <c r="A262" s="289" t="s">
        <v>2774</v>
      </c>
      <c r="B262" s="286" t="s">
        <v>302</v>
      </c>
      <c r="C262" s="287" t="s">
        <v>1892</v>
      </c>
      <c r="D262" s="293">
        <v>46011.0</v>
      </c>
      <c r="E262" s="289">
        <v>10.0</v>
      </c>
      <c r="F262" s="290"/>
    </row>
    <row r="263">
      <c r="A263" s="292">
        <v>46011.0</v>
      </c>
      <c r="B263" s="286" t="s">
        <v>2804</v>
      </c>
      <c r="C263" s="287" t="s">
        <v>1892</v>
      </c>
      <c r="D263" s="293">
        <v>46011.0</v>
      </c>
      <c r="E263" s="289">
        <v>2.0</v>
      </c>
      <c r="F263" s="290"/>
    </row>
    <row r="264">
      <c r="A264" s="289" t="s">
        <v>2782</v>
      </c>
      <c r="B264" s="286" t="s">
        <v>1822</v>
      </c>
      <c r="C264" s="287" t="s">
        <v>1892</v>
      </c>
      <c r="D264" s="293">
        <v>46011.0</v>
      </c>
      <c r="E264" s="289">
        <v>1.0</v>
      </c>
      <c r="F264" s="290"/>
    </row>
    <row r="265">
      <c r="A265" s="289" t="s">
        <v>2772</v>
      </c>
      <c r="B265" s="286" t="s">
        <v>2810</v>
      </c>
      <c r="C265" s="287" t="s">
        <v>1892</v>
      </c>
      <c r="D265" s="293">
        <v>46014.0</v>
      </c>
      <c r="E265" s="289">
        <v>1.0</v>
      </c>
      <c r="F265" s="290"/>
    </row>
    <row r="266">
      <c r="A266" s="289" t="s">
        <v>2768</v>
      </c>
      <c r="B266" s="286" t="s">
        <v>2653</v>
      </c>
      <c r="C266" s="287" t="s">
        <v>1892</v>
      </c>
      <c r="D266" s="293">
        <v>46015.0</v>
      </c>
      <c r="E266" s="289">
        <v>7.0</v>
      </c>
      <c r="F266" s="290"/>
    </row>
    <row r="267">
      <c r="A267" s="289" t="s">
        <v>2768</v>
      </c>
      <c r="B267" s="286" t="s">
        <v>2807</v>
      </c>
      <c r="C267" s="287" t="s">
        <v>1892</v>
      </c>
      <c r="D267" s="292">
        <v>46015.0</v>
      </c>
      <c r="E267" s="289">
        <v>1.0</v>
      </c>
      <c r="F267" s="290"/>
    </row>
    <row r="268">
      <c r="A268" s="289" t="s">
        <v>2768</v>
      </c>
      <c r="B268" s="286" t="s">
        <v>2811</v>
      </c>
      <c r="C268" s="287" t="s">
        <v>1892</v>
      </c>
      <c r="D268" s="293">
        <v>46015.0</v>
      </c>
      <c r="E268" s="289">
        <v>2.0</v>
      </c>
      <c r="F268" s="290"/>
    </row>
    <row r="269">
      <c r="A269" s="289" t="s">
        <v>2768</v>
      </c>
      <c r="B269" s="286" t="s">
        <v>2811</v>
      </c>
      <c r="C269" s="287" t="s">
        <v>1892</v>
      </c>
      <c r="D269" s="293">
        <v>46015.0</v>
      </c>
      <c r="E269" s="289">
        <v>2.0</v>
      </c>
      <c r="F269" s="290"/>
    </row>
    <row r="270">
      <c r="A270" s="289" t="s">
        <v>2768</v>
      </c>
      <c r="B270" s="286" t="s">
        <v>2804</v>
      </c>
      <c r="C270" s="287" t="s">
        <v>1892</v>
      </c>
      <c r="D270" s="289" t="s">
        <v>2812</v>
      </c>
      <c r="E270" s="289">
        <v>2.0</v>
      </c>
      <c r="F270" s="290"/>
    </row>
    <row r="271">
      <c r="A271" s="289" t="s">
        <v>2813</v>
      </c>
      <c r="B271" s="286" t="s">
        <v>2814</v>
      </c>
      <c r="C271" s="287" t="s">
        <v>1892</v>
      </c>
      <c r="D271" s="293">
        <v>46016.0</v>
      </c>
      <c r="E271" s="289">
        <v>1.0</v>
      </c>
      <c r="F271" s="290"/>
    </row>
    <row r="272">
      <c r="A272" s="289" t="s">
        <v>2815</v>
      </c>
      <c r="B272" s="286" t="s">
        <v>2591</v>
      </c>
      <c r="C272" s="287" t="s">
        <v>1892</v>
      </c>
      <c r="D272" s="293">
        <v>46018.0</v>
      </c>
      <c r="E272" s="289">
        <v>1.0</v>
      </c>
      <c r="F272" s="290"/>
    </row>
    <row r="273">
      <c r="A273" s="289" t="s">
        <v>2815</v>
      </c>
      <c r="B273" s="286" t="s">
        <v>2808</v>
      </c>
      <c r="C273" s="287" t="s">
        <v>1892</v>
      </c>
      <c r="D273" s="292">
        <v>46018.0</v>
      </c>
      <c r="E273" s="289">
        <v>1.0</v>
      </c>
      <c r="F273" s="290"/>
    </row>
    <row r="274">
      <c r="A274" s="289" t="s">
        <v>2815</v>
      </c>
      <c r="B274" s="286" t="s">
        <v>302</v>
      </c>
      <c r="C274" s="287" t="s">
        <v>1892</v>
      </c>
      <c r="D274" s="293">
        <v>46018.0</v>
      </c>
      <c r="E274" s="289">
        <v>10.0</v>
      </c>
      <c r="F274" s="290"/>
    </row>
    <row r="275">
      <c r="A275" s="289" t="s">
        <v>2815</v>
      </c>
      <c r="B275" s="286" t="s">
        <v>302</v>
      </c>
      <c r="C275" s="287" t="s">
        <v>1892</v>
      </c>
      <c r="D275" s="293">
        <v>46018.0</v>
      </c>
      <c r="E275" s="289">
        <v>5.0</v>
      </c>
      <c r="F275" s="290"/>
    </row>
    <row r="276">
      <c r="A276" s="289" t="s">
        <v>2816</v>
      </c>
      <c r="B276" s="286" t="s">
        <v>1818</v>
      </c>
      <c r="C276" s="287" t="s">
        <v>1892</v>
      </c>
      <c r="D276" s="293">
        <v>46020.0</v>
      </c>
      <c r="E276" s="289">
        <v>20.0</v>
      </c>
      <c r="F276" s="290"/>
    </row>
    <row r="277">
      <c r="A277" s="289" t="s">
        <v>2816</v>
      </c>
      <c r="B277" s="286" t="s">
        <v>302</v>
      </c>
      <c r="C277" s="287" t="s">
        <v>1892</v>
      </c>
      <c r="D277" s="293">
        <v>46020.0</v>
      </c>
      <c r="E277" s="289">
        <v>10.0</v>
      </c>
      <c r="F277" s="290"/>
    </row>
    <row r="278">
      <c r="A278" s="289" t="s">
        <v>2816</v>
      </c>
      <c r="B278" s="286" t="s">
        <v>1873</v>
      </c>
      <c r="C278" s="287" t="s">
        <v>1892</v>
      </c>
      <c r="D278" s="293">
        <v>46020.0</v>
      </c>
      <c r="E278" s="289">
        <v>2.0</v>
      </c>
      <c r="F278" s="290"/>
    </row>
    <row r="279">
      <c r="A279" s="289" t="s">
        <v>2817</v>
      </c>
      <c r="B279" s="286" t="s">
        <v>2804</v>
      </c>
      <c r="C279" s="287" t="s">
        <v>1892</v>
      </c>
      <c r="D279" s="293">
        <v>46020.0</v>
      </c>
      <c r="E279" s="289">
        <v>2.0</v>
      </c>
      <c r="F279" s="290"/>
    </row>
    <row r="280">
      <c r="A280" s="289" t="s">
        <v>2816</v>
      </c>
      <c r="B280" s="286" t="s">
        <v>2804</v>
      </c>
      <c r="C280" s="287" t="s">
        <v>1892</v>
      </c>
      <c r="D280" s="292">
        <v>46020.0</v>
      </c>
      <c r="E280" s="289">
        <v>1.0</v>
      </c>
      <c r="F280" s="290"/>
    </row>
    <row r="281">
      <c r="A281" s="289" t="s">
        <v>2816</v>
      </c>
      <c r="B281" s="286" t="s">
        <v>1822</v>
      </c>
      <c r="C281" s="287" t="s">
        <v>1892</v>
      </c>
      <c r="D281" s="293">
        <v>46020.0</v>
      </c>
      <c r="E281" s="289">
        <v>1.0</v>
      </c>
      <c r="F281" s="290"/>
    </row>
    <row r="282">
      <c r="A282" s="289" t="s">
        <v>2818</v>
      </c>
      <c r="B282" s="286" t="s">
        <v>302</v>
      </c>
      <c r="C282" s="287" t="s">
        <v>1892</v>
      </c>
      <c r="D282" s="292">
        <v>46021.0</v>
      </c>
      <c r="E282" s="289">
        <v>10.0</v>
      </c>
      <c r="F282" s="290"/>
    </row>
    <row r="283">
      <c r="A283" s="289" t="s">
        <v>2818</v>
      </c>
      <c r="B283" s="286" t="s">
        <v>2591</v>
      </c>
      <c r="C283" s="287" t="s">
        <v>1892</v>
      </c>
      <c r="D283" s="293">
        <v>46021.0</v>
      </c>
      <c r="E283" s="289">
        <v>2.0</v>
      </c>
      <c r="F283" s="290"/>
    </row>
    <row r="284">
      <c r="A284" s="289" t="s">
        <v>2818</v>
      </c>
      <c r="B284" s="286" t="s">
        <v>2653</v>
      </c>
      <c r="C284" s="287" t="s">
        <v>1892</v>
      </c>
      <c r="D284" s="289" t="s">
        <v>2819</v>
      </c>
      <c r="E284" s="289">
        <v>2.0</v>
      </c>
      <c r="F284" s="290"/>
    </row>
    <row r="285">
      <c r="A285" s="289" t="s">
        <v>2818</v>
      </c>
      <c r="B285" s="286" t="s">
        <v>2805</v>
      </c>
      <c r="C285" s="287" t="s">
        <v>1892</v>
      </c>
      <c r="D285" s="293">
        <v>46021.0</v>
      </c>
      <c r="E285" s="289">
        <v>2.0</v>
      </c>
      <c r="F285" s="290"/>
    </row>
    <row r="286">
      <c r="A286" s="289" t="s">
        <v>2818</v>
      </c>
      <c r="B286" s="286" t="s">
        <v>1873</v>
      </c>
      <c r="C286" s="287" t="s">
        <v>1892</v>
      </c>
      <c r="D286" s="293">
        <v>46021.0</v>
      </c>
      <c r="E286" s="289">
        <v>2.0</v>
      </c>
      <c r="F286" s="290"/>
    </row>
    <row r="287">
      <c r="A287" s="289" t="s">
        <v>2818</v>
      </c>
      <c r="B287" s="286" t="s">
        <v>2653</v>
      </c>
      <c r="C287" s="287" t="s">
        <v>1892</v>
      </c>
      <c r="D287" s="293">
        <v>46021.0</v>
      </c>
      <c r="E287" s="289">
        <v>3.0</v>
      </c>
      <c r="F287" s="290"/>
    </row>
    <row r="288">
      <c r="A288" s="289" t="s">
        <v>2818</v>
      </c>
      <c r="B288" s="286" t="s">
        <v>2804</v>
      </c>
      <c r="C288" s="287" t="s">
        <v>1892</v>
      </c>
      <c r="D288" s="293">
        <v>46021.0</v>
      </c>
      <c r="E288" s="289">
        <v>1.0</v>
      </c>
      <c r="F288" s="290"/>
    </row>
    <row r="289">
      <c r="A289" s="289" t="s">
        <v>2820</v>
      </c>
      <c r="B289" s="286" t="s">
        <v>2653</v>
      </c>
      <c r="C289" s="287" t="s">
        <v>1892</v>
      </c>
      <c r="D289" s="293">
        <v>46022.0</v>
      </c>
      <c r="E289" s="289">
        <v>6.0</v>
      </c>
      <c r="F289" s="290"/>
    </row>
    <row r="290">
      <c r="A290" s="302">
        <v>45658.0</v>
      </c>
      <c r="B290" s="286" t="s">
        <v>2653</v>
      </c>
      <c r="C290" s="287" t="s">
        <v>1892</v>
      </c>
      <c r="D290" s="293">
        <v>46023.0</v>
      </c>
      <c r="E290" s="289">
        <v>6.0</v>
      </c>
      <c r="F290" s="290"/>
    </row>
    <row r="291">
      <c r="A291" s="302">
        <v>46023.0</v>
      </c>
      <c r="B291" s="286" t="s">
        <v>302</v>
      </c>
      <c r="C291" s="287" t="s">
        <v>1892</v>
      </c>
      <c r="D291" s="302">
        <v>46023.0</v>
      </c>
      <c r="E291" s="289">
        <v>5.0</v>
      </c>
      <c r="F291" s="290"/>
    </row>
    <row r="292">
      <c r="A292" s="302">
        <v>46023.0</v>
      </c>
      <c r="B292" s="286" t="s">
        <v>2804</v>
      </c>
      <c r="C292" s="287" t="s">
        <v>1892</v>
      </c>
      <c r="D292" s="302">
        <v>46023.0</v>
      </c>
      <c r="E292" s="289">
        <v>2.0</v>
      </c>
      <c r="F292" s="290"/>
    </row>
    <row r="293">
      <c r="A293" s="302">
        <v>46023.0</v>
      </c>
      <c r="B293" s="286" t="s">
        <v>2821</v>
      </c>
      <c r="C293" s="287" t="s">
        <v>1892</v>
      </c>
      <c r="D293" s="293">
        <v>46023.0</v>
      </c>
      <c r="E293" s="289">
        <v>2.0</v>
      </c>
      <c r="F293" s="290"/>
    </row>
    <row r="294">
      <c r="A294" s="292">
        <v>46055.0</v>
      </c>
      <c r="B294" s="286" t="s">
        <v>2653</v>
      </c>
      <c r="C294" s="287" t="s">
        <v>1892</v>
      </c>
      <c r="D294" s="293">
        <v>46055.0</v>
      </c>
      <c r="E294" s="289">
        <v>2.0</v>
      </c>
      <c r="F294" s="290"/>
    </row>
    <row r="295">
      <c r="A295" s="292">
        <v>46055.0</v>
      </c>
      <c r="B295" s="286" t="s">
        <v>302</v>
      </c>
      <c r="C295" s="287" t="s">
        <v>1892</v>
      </c>
      <c r="D295" s="293">
        <v>46055.0</v>
      </c>
      <c r="E295" s="289">
        <v>10.0</v>
      </c>
      <c r="F295" s="290"/>
    </row>
    <row r="296">
      <c r="A296" s="292">
        <v>46055.0</v>
      </c>
      <c r="B296" s="286" t="s">
        <v>2822</v>
      </c>
      <c r="C296" s="287" t="s">
        <v>1892</v>
      </c>
      <c r="D296" s="293">
        <v>46055.0</v>
      </c>
      <c r="E296" s="289">
        <v>2.0</v>
      </c>
      <c r="F296" s="290"/>
    </row>
    <row r="297">
      <c r="A297" s="292">
        <v>46055.0</v>
      </c>
      <c r="B297" s="286" t="s">
        <v>2804</v>
      </c>
      <c r="C297" s="287" t="s">
        <v>1892</v>
      </c>
      <c r="D297" s="293">
        <v>46055.0</v>
      </c>
      <c r="E297" s="289">
        <v>1.0</v>
      </c>
      <c r="F297" s="290"/>
    </row>
    <row r="298">
      <c r="A298" s="292">
        <v>46055.0</v>
      </c>
      <c r="B298" s="286" t="s">
        <v>2653</v>
      </c>
      <c r="C298" s="287" t="s">
        <v>1892</v>
      </c>
      <c r="D298" s="293">
        <v>46025.0</v>
      </c>
      <c r="E298" s="289">
        <v>8.0</v>
      </c>
      <c r="F298" s="290"/>
    </row>
    <row r="299">
      <c r="A299" s="292">
        <v>46056.0</v>
      </c>
      <c r="B299" s="286" t="s">
        <v>1231</v>
      </c>
      <c r="C299" s="287" t="s">
        <v>1892</v>
      </c>
      <c r="D299" s="293">
        <v>46025.0</v>
      </c>
      <c r="E299" s="289">
        <v>2.0</v>
      </c>
      <c r="F299" s="290"/>
    </row>
    <row r="300">
      <c r="A300" s="292">
        <v>46056.0</v>
      </c>
      <c r="B300" s="286" t="s">
        <v>302</v>
      </c>
      <c r="C300" s="287" t="s">
        <v>1892</v>
      </c>
      <c r="D300" s="293">
        <v>46025.0</v>
      </c>
      <c r="E300" s="289">
        <v>10.0</v>
      </c>
      <c r="F300" s="290"/>
    </row>
    <row r="301">
      <c r="A301" s="292">
        <v>46056.0</v>
      </c>
      <c r="B301" s="286" t="s">
        <v>2591</v>
      </c>
      <c r="C301" s="287" t="s">
        <v>1892</v>
      </c>
      <c r="D301" s="293">
        <v>46025.0</v>
      </c>
      <c r="E301" s="289">
        <v>2.0</v>
      </c>
      <c r="F301" s="290"/>
    </row>
    <row r="302">
      <c r="A302" s="292">
        <v>46025.0</v>
      </c>
      <c r="B302" s="286" t="s">
        <v>2808</v>
      </c>
      <c r="C302" s="287" t="s">
        <v>1892</v>
      </c>
      <c r="D302" s="293">
        <v>46025.0</v>
      </c>
      <c r="E302" s="289">
        <v>1.0</v>
      </c>
      <c r="F302" s="290"/>
    </row>
    <row r="303">
      <c r="A303" s="292">
        <v>46025.0</v>
      </c>
      <c r="B303" s="286" t="s">
        <v>2804</v>
      </c>
      <c r="C303" s="287" t="s">
        <v>1892</v>
      </c>
      <c r="D303" s="293">
        <v>46025.0</v>
      </c>
      <c r="E303" s="289">
        <v>2.0</v>
      </c>
      <c r="F303" s="290"/>
    </row>
    <row r="304">
      <c r="A304" s="289" t="s">
        <v>2795</v>
      </c>
      <c r="B304" s="286" t="s">
        <v>2823</v>
      </c>
      <c r="C304" s="287" t="s">
        <v>1560</v>
      </c>
      <c r="D304" s="293">
        <v>46006.0</v>
      </c>
      <c r="E304" s="289">
        <v>129.0</v>
      </c>
      <c r="F304" s="290"/>
    </row>
    <row r="305">
      <c r="A305" s="289" t="s">
        <v>2795</v>
      </c>
      <c r="B305" s="286" t="s">
        <v>2824</v>
      </c>
      <c r="C305" s="287" t="s">
        <v>1560</v>
      </c>
      <c r="D305" s="293">
        <v>46006.0</v>
      </c>
      <c r="E305" s="289">
        <v>53.0</v>
      </c>
      <c r="F305" s="290"/>
    </row>
    <row r="306">
      <c r="A306" s="289" t="s">
        <v>2782</v>
      </c>
      <c r="B306" s="286" t="s">
        <v>2825</v>
      </c>
      <c r="C306" s="287" t="s">
        <v>1560</v>
      </c>
      <c r="D306" s="293">
        <v>46011.0</v>
      </c>
      <c r="E306" s="289">
        <v>22.5</v>
      </c>
      <c r="F306" s="290"/>
    </row>
    <row r="307">
      <c r="A307" s="289" t="s">
        <v>2782</v>
      </c>
      <c r="B307" s="286" t="s">
        <v>2826</v>
      </c>
      <c r="C307" s="287" t="s">
        <v>1560</v>
      </c>
      <c r="D307" s="293">
        <v>46011.0</v>
      </c>
      <c r="E307" s="289">
        <v>18.2</v>
      </c>
      <c r="F307" s="290"/>
    </row>
    <row r="308">
      <c r="A308" s="289" t="s">
        <v>2774</v>
      </c>
      <c r="B308" s="286" t="s">
        <v>2827</v>
      </c>
      <c r="C308" s="287" t="s">
        <v>1560</v>
      </c>
      <c r="D308" s="293">
        <v>46013.0</v>
      </c>
      <c r="E308" s="289">
        <v>1407.0</v>
      </c>
      <c r="F308" s="290"/>
    </row>
    <row r="309">
      <c r="A309" s="289" t="s">
        <v>2774</v>
      </c>
      <c r="B309" s="286" t="s">
        <v>2828</v>
      </c>
      <c r="C309" s="287" t="s">
        <v>1560</v>
      </c>
      <c r="D309" s="293">
        <v>46013.0</v>
      </c>
      <c r="E309" s="289">
        <v>1670.0</v>
      </c>
      <c r="F309" s="290"/>
    </row>
    <row r="310">
      <c r="A310" s="289" t="s">
        <v>2774</v>
      </c>
      <c r="B310" s="286" t="s">
        <v>2829</v>
      </c>
      <c r="C310" s="287" t="s">
        <v>1560</v>
      </c>
      <c r="D310" s="293">
        <v>46013.0</v>
      </c>
      <c r="E310" s="289">
        <v>500.0</v>
      </c>
      <c r="F310" s="290"/>
    </row>
    <row r="311">
      <c r="A311" s="289" t="s">
        <v>2830</v>
      </c>
      <c r="B311" s="286" t="s">
        <v>2831</v>
      </c>
      <c r="C311" s="287" t="s">
        <v>1560</v>
      </c>
      <c r="D311" s="293">
        <v>46011.0</v>
      </c>
      <c r="E311" s="289">
        <v>1.0</v>
      </c>
      <c r="F311" s="290"/>
    </row>
    <row r="312">
      <c r="A312" s="289" t="s">
        <v>2774</v>
      </c>
      <c r="B312" s="286" t="s">
        <v>2832</v>
      </c>
      <c r="C312" s="287" t="s">
        <v>1560</v>
      </c>
      <c r="D312" s="293">
        <v>46013.0</v>
      </c>
      <c r="E312" s="289">
        <v>20.0</v>
      </c>
      <c r="F312" s="290"/>
    </row>
    <row r="313">
      <c r="A313" s="292">
        <v>46013.0</v>
      </c>
      <c r="B313" s="286" t="s">
        <v>2760</v>
      </c>
      <c r="C313" s="287" t="s">
        <v>1560</v>
      </c>
      <c r="D313" s="293">
        <v>46013.0</v>
      </c>
      <c r="E313" s="289">
        <v>4.0</v>
      </c>
      <c r="F313" s="290"/>
    </row>
    <row r="314">
      <c r="A314" s="289" t="s">
        <v>2774</v>
      </c>
      <c r="B314" s="286" t="s">
        <v>2833</v>
      </c>
      <c r="C314" s="287" t="s">
        <v>1560</v>
      </c>
      <c r="D314" s="292">
        <v>46013.0</v>
      </c>
      <c r="E314" s="289">
        <v>20.0</v>
      </c>
      <c r="F314" s="290"/>
    </row>
    <row r="315">
      <c r="A315" s="289" t="s">
        <v>2774</v>
      </c>
      <c r="B315" s="286" t="s">
        <v>888</v>
      </c>
      <c r="C315" s="287" t="s">
        <v>1560</v>
      </c>
      <c r="D315" s="293">
        <v>46013.0</v>
      </c>
      <c r="E315" s="289">
        <v>5.0</v>
      </c>
      <c r="F315" s="290"/>
    </row>
    <row r="316">
      <c r="A316" s="289" t="s">
        <v>2774</v>
      </c>
      <c r="B316" s="286" t="s">
        <v>2834</v>
      </c>
      <c r="C316" s="287" t="s">
        <v>1560</v>
      </c>
      <c r="D316" s="293">
        <v>46013.0</v>
      </c>
      <c r="E316" s="289">
        <v>1.0</v>
      </c>
      <c r="F316" s="290"/>
    </row>
    <row r="317">
      <c r="A317" s="289" t="s">
        <v>2772</v>
      </c>
      <c r="B317" s="286" t="s">
        <v>2835</v>
      </c>
      <c r="C317" s="287" t="s">
        <v>1560</v>
      </c>
      <c r="D317" s="293">
        <v>46014.0</v>
      </c>
      <c r="E317" s="289">
        <v>120.0</v>
      </c>
      <c r="F317" s="290"/>
    </row>
    <row r="318">
      <c r="A318" s="289" t="s">
        <v>2772</v>
      </c>
      <c r="B318" s="286" t="s">
        <v>2836</v>
      </c>
      <c r="C318" s="287" t="s">
        <v>1560</v>
      </c>
      <c r="D318" s="293">
        <v>46014.0</v>
      </c>
      <c r="E318" s="289">
        <v>180.0</v>
      </c>
      <c r="F318" s="290"/>
    </row>
    <row r="319">
      <c r="A319" s="289" t="s">
        <v>2772</v>
      </c>
      <c r="B319" s="286" t="s">
        <v>2837</v>
      </c>
      <c r="C319" s="287" t="s">
        <v>1560</v>
      </c>
      <c r="D319" s="293">
        <v>46014.0</v>
      </c>
      <c r="E319" s="289">
        <v>5.0</v>
      </c>
      <c r="F319" s="290"/>
    </row>
    <row r="320">
      <c r="A320" s="289" t="s">
        <v>2768</v>
      </c>
      <c r="B320" s="286" t="s">
        <v>2838</v>
      </c>
      <c r="C320" s="287" t="s">
        <v>1560</v>
      </c>
      <c r="D320" s="293">
        <v>46015.0</v>
      </c>
      <c r="E320" s="289">
        <v>200.0</v>
      </c>
      <c r="F320" s="290"/>
    </row>
    <row r="321">
      <c r="A321" s="289" t="s">
        <v>2768</v>
      </c>
      <c r="B321" s="286" t="s">
        <v>2839</v>
      </c>
      <c r="C321" s="287" t="s">
        <v>1560</v>
      </c>
      <c r="D321" s="293">
        <v>46015.0</v>
      </c>
      <c r="E321" s="289">
        <v>72.0</v>
      </c>
      <c r="F321" s="290"/>
    </row>
    <row r="322">
      <c r="A322" s="289" t="s">
        <v>2768</v>
      </c>
      <c r="B322" s="286" t="s">
        <v>2840</v>
      </c>
      <c r="C322" s="287" t="s">
        <v>1560</v>
      </c>
      <c r="D322" s="293">
        <v>46015.0</v>
      </c>
      <c r="E322" s="289">
        <v>100.0</v>
      </c>
      <c r="F322" s="290"/>
    </row>
    <row r="323">
      <c r="A323" s="289" t="s">
        <v>2768</v>
      </c>
      <c r="B323" s="286" t="s">
        <v>2841</v>
      </c>
      <c r="C323" s="287" t="s">
        <v>1560</v>
      </c>
      <c r="D323" s="293">
        <v>46015.0</v>
      </c>
      <c r="E323" s="289">
        <v>50.0</v>
      </c>
      <c r="F323" s="290"/>
    </row>
    <row r="324">
      <c r="A324" s="289" t="s">
        <v>2842</v>
      </c>
      <c r="B324" s="286" t="s">
        <v>2843</v>
      </c>
      <c r="C324" s="287" t="s">
        <v>1560</v>
      </c>
      <c r="D324" s="293">
        <v>46017.0</v>
      </c>
      <c r="E324" s="289">
        <v>3.0</v>
      </c>
      <c r="F324" s="290"/>
    </row>
    <row r="325">
      <c r="A325" s="289" t="s">
        <v>2815</v>
      </c>
      <c r="B325" s="286" t="s">
        <v>2844</v>
      </c>
      <c r="C325" s="287" t="s">
        <v>1560</v>
      </c>
      <c r="D325" s="293">
        <v>46018.0</v>
      </c>
      <c r="E325" s="289">
        <v>2.0</v>
      </c>
      <c r="F325" s="290"/>
    </row>
    <row r="326">
      <c r="A326" s="289" t="s">
        <v>2815</v>
      </c>
      <c r="B326" s="286" t="s">
        <v>2845</v>
      </c>
      <c r="C326" s="287" t="s">
        <v>1560</v>
      </c>
      <c r="D326" s="293">
        <v>46018.0</v>
      </c>
      <c r="E326" s="289">
        <v>10.0</v>
      </c>
      <c r="F326" s="290"/>
    </row>
    <row r="327">
      <c r="A327" s="289" t="s">
        <v>2816</v>
      </c>
      <c r="B327" s="286" t="s">
        <v>2846</v>
      </c>
      <c r="C327" s="287" t="s">
        <v>1560</v>
      </c>
      <c r="D327" s="293">
        <v>46020.0</v>
      </c>
      <c r="E327" s="289">
        <v>1.0</v>
      </c>
      <c r="F327" s="290"/>
    </row>
    <row r="328">
      <c r="A328" s="289" t="s">
        <v>2816</v>
      </c>
      <c r="B328" s="286" t="s">
        <v>2847</v>
      </c>
      <c r="C328" s="287" t="s">
        <v>1560</v>
      </c>
      <c r="D328" s="293">
        <v>46020.0</v>
      </c>
      <c r="E328" s="289">
        <v>1.0</v>
      </c>
      <c r="F328" s="290"/>
    </row>
    <row r="329">
      <c r="A329" s="289" t="s">
        <v>2816</v>
      </c>
      <c r="B329" s="286" t="s">
        <v>2848</v>
      </c>
      <c r="C329" s="287" t="s">
        <v>1560</v>
      </c>
      <c r="D329" s="293">
        <v>46020.0</v>
      </c>
      <c r="E329" s="289">
        <v>1.0</v>
      </c>
      <c r="F329" s="290"/>
    </row>
    <row r="330">
      <c r="A330" s="289" t="s">
        <v>2816</v>
      </c>
      <c r="B330" s="286" t="s">
        <v>2849</v>
      </c>
      <c r="C330" s="287" t="s">
        <v>1560</v>
      </c>
      <c r="D330" s="293">
        <v>46020.0</v>
      </c>
      <c r="E330" s="289">
        <v>1.0</v>
      </c>
      <c r="F330" s="290"/>
    </row>
    <row r="331">
      <c r="A331" s="289" t="s">
        <v>2816</v>
      </c>
      <c r="B331" s="286" t="s">
        <v>2850</v>
      </c>
      <c r="C331" s="287" t="s">
        <v>1560</v>
      </c>
      <c r="D331" s="293">
        <v>46020.0</v>
      </c>
      <c r="E331" s="289">
        <v>1.0</v>
      </c>
      <c r="F331" s="290"/>
    </row>
    <row r="332">
      <c r="A332" s="289" t="s">
        <v>2816</v>
      </c>
      <c r="B332" s="286" t="s">
        <v>2851</v>
      </c>
      <c r="C332" s="287" t="s">
        <v>1560</v>
      </c>
      <c r="D332" s="293">
        <v>46020.0</v>
      </c>
      <c r="E332" s="289">
        <v>5139.0</v>
      </c>
      <c r="F332" s="290"/>
    </row>
    <row r="333">
      <c r="A333" s="289" t="s">
        <v>2816</v>
      </c>
      <c r="B333" s="286" t="s">
        <v>2852</v>
      </c>
      <c r="C333" s="287" t="s">
        <v>1560</v>
      </c>
      <c r="D333" s="293">
        <v>46020.0</v>
      </c>
      <c r="E333" s="289">
        <v>493.0</v>
      </c>
      <c r="F333" s="290"/>
    </row>
    <row r="334">
      <c r="A334" s="289" t="s">
        <v>2816</v>
      </c>
      <c r="B334" s="286" t="s">
        <v>2853</v>
      </c>
      <c r="C334" s="287" t="s">
        <v>1560</v>
      </c>
      <c r="D334" s="293">
        <v>46020.0</v>
      </c>
      <c r="E334" s="289">
        <v>101.0</v>
      </c>
      <c r="F334" s="290"/>
    </row>
    <row r="335">
      <c r="A335" s="289" t="s">
        <v>2818</v>
      </c>
      <c r="B335" s="286" t="s">
        <v>2854</v>
      </c>
      <c r="C335" s="287" t="s">
        <v>1560</v>
      </c>
      <c r="D335" s="293">
        <v>46021.0</v>
      </c>
      <c r="E335" s="289">
        <v>2.0</v>
      </c>
      <c r="F335" s="290"/>
    </row>
    <row r="336">
      <c r="A336" s="289" t="s">
        <v>2818</v>
      </c>
      <c r="B336" s="286" t="s">
        <v>2855</v>
      </c>
      <c r="C336" s="287" t="s">
        <v>1560</v>
      </c>
      <c r="D336" s="293">
        <v>46021.0</v>
      </c>
      <c r="E336" s="289">
        <v>1.0</v>
      </c>
      <c r="F336" s="290"/>
    </row>
    <row r="337">
      <c r="A337" s="289" t="s">
        <v>2818</v>
      </c>
      <c r="B337" s="286" t="s">
        <v>2856</v>
      </c>
      <c r="C337" s="287" t="s">
        <v>1560</v>
      </c>
      <c r="D337" s="293">
        <v>46021.0</v>
      </c>
      <c r="E337" s="289">
        <v>1.0</v>
      </c>
      <c r="F337" s="290"/>
    </row>
    <row r="338">
      <c r="A338" s="289" t="s">
        <v>2818</v>
      </c>
      <c r="B338" s="286" t="s">
        <v>2857</v>
      </c>
      <c r="C338" s="287" t="s">
        <v>1560</v>
      </c>
      <c r="D338" s="293">
        <v>46021.0</v>
      </c>
      <c r="E338" s="289">
        <v>6.0</v>
      </c>
      <c r="F338" s="290"/>
    </row>
    <row r="339">
      <c r="A339" s="289" t="s">
        <v>2818</v>
      </c>
      <c r="B339" s="286" t="s">
        <v>2858</v>
      </c>
      <c r="C339" s="287" t="s">
        <v>1560</v>
      </c>
      <c r="D339" s="293">
        <v>46021.0</v>
      </c>
      <c r="E339" s="289">
        <v>7.0</v>
      </c>
      <c r="F339" s="290"/>
    </row>
    <row r="340">
      <c r="A340" s="289" t="s">
        <v>2818</v>
      </c>
      <c r="B340" s="286" t="s">
        <v>2859</v>
      </c>
      <c r="C340" s="287" t="s">
        <v>1560</v>
      </c>
      <c r="D340" s="293">
        <v>46021.0</v>
      </c>
      <c r="E340" s="289">
        <v>6.0</v>
      </c>
      <c r="F340" s="290"/>
    </row>
    <row r="341">
      <c r="A341" s="289" t="s">
        <v>2818</v>
      </c>
      <c r="B341" s="286" t="s">
        <v>2860</v>
      </c>
      <c r="C341" s="287" t="s">
        <v>1560</v>
      </c>
      <c r="D341" s="292">
        <v>46021.0</v>
      </c>
      <c r="E341" s="289">
        <v>7.0</v>
      </c>
      <c r="F341" s="290"/>
    </row>
    <row r="342">
      <c r="A342" s="289" t="s">
        <v>2818</v>
      </c>
      <c r="B342" s="286" t="s">
        <v>2861</v>
      </c>
      <c r="C342" s="287" t="s">
        <v>1560</v>
      </c>
      <c r="D342" s="293">
        <v>46021.0</v>
      </c>
      <c r="E342" s="289">
        <v>1.0</v>
      </c>
      <c r="F342" s="290"/>
    </row>
    <row r="343">
      <c r="A343" s="289" t="s">
        <v>2818</v>
      </c>
      <c r="B343" s="286"/>
      <c r="C343" s="287" t="s">
        <v>1560</v>
      </c>
      <c r="D343" s="293">
        <v>46021.0</v>
      </c>
      <c r="E343" s="289">
        <v>1.0</v>
      </c>
      <c r="F343" s="290"/>
    </row>
    <row r="344">
      <c r="A344" s="289" t="s">
        <v>2818</v>
      </c>
      <c r="B344" s="286" t="s">
        <v>2862</v>
      </c>
      <c r="C344" s="287" t="s">
        <v>1560</v>
      </c>
      <c r="D344" s="293">
        <v>46021.0</v>
      </c>
      <c r="E344" s="289">
        <v>1.0</v>
      </c>
      <c r="F344" s="290"/>
    </row>
    <row r="345">
      <c r="A345" s="289" t="s">
        <v>2818</v>
      </c>
      <c r="B345" s="286" t="s">
        <v>2863</v>
      </c>
      <c r="C345" s="287" t="s">
        <v>1560</v>
      </c>
      <c r="D345" s="293">
        <v>46021.0</v>
      </c>
      <c r="E345" s="289">
        <v>1.0</v>
      </c>
      <c r="F345" s="290"/>
    </row>
    <row r="346">
      <c r="A346" s="289" t="s">
        <v>2818</v>
      </c>
      <c r="B346" s="286" t="s">
        <v>2864</v>
      </c>
      <c r="C346" s="287" t="s">
        <v>1560</v>
      </c>
      <c r="D346" s="292">
        <v>46021.0</v>
      </c>
      <c r="E346" s="289">
        <v>10.0</v>
      </c>
      <c r="F346" s="290"/>
    </row>
    <row r="347">
      <c r="A347" s="303" t="s">
        <v>2818</v>
      </c>
      <c r="B347" s="286" t="s">
        <v>2865</v>
      </c>
      <c r="C347" s="287" t="s">
        <v>1560</v>
      </c>
      <c r="D347" s="293">
        <v>46021.0</v>
      </c>
      <c r="E347" s="289">
        <v>19.0</v>
      </c>
      <c r="F347" s="290"/>
    </row>
    <row r="348">
      <c r="A348" s="304" t="s">
        <v>2818</v>
      </c>
      <c r="B348" s="286" t="s">
        <v>2866</v>
      </c>
      <c r="C348" s="287" t="s">
        <v>1560</v>
      </c>
      <c r="D348" s="293">
        <v>46021.0</v>
      </c>
      <c r="E348" s="289">
        <v>25.0</v>
      </c>
      <c r="F348" s="290"/>
    </row>
    <row r="349">
      <c r="A349" s="304" t="s">
        <v>2818</v>
      </c>
      <c r="B349" s="286" t="s">
        <v>2823</v>
      </c>
      <c r="C349" s="287" t="s">
        <v>1560</v>
      </c>
      <c r="D349" s="293">
        <v>46021.0</v>
      </c>
      <c r="E349" s="289">
        <v>242.0</v>
      </c>
      <c r="F349" s="290"/>
    </row>
    <row r="350">
      <c r="A350" s="304" t="s">
        <v>2818</v>
      </c>
      <c r="B350" s="286" t="s">
        <v>2824</v>
      </c>
      <c r="C350" s="287" t="s">
        <v>1560</v>
      </c>
      <c r="D350" s="293">
        <v>46021.0</v>
      </c>
      <c r="E350" s="289">
        <v>32.0</v>
      </c>
      <c r="F350" s="290"/>
    </row>
    <row r="351">
      <c r="A351" s="304" t="s">
        <v>2820</v>
      </c>
      <c r="B351" s="286" t="s">
        <v>2867</v>
      </c>
      <c r="C351" s="287" t="s">
        <v>1560</v>
      </c>
      <c r="D351" s="293">
        <v>46022.0</v>
      </c>
      <c r="E351" s="289">
        <v>1235.0</v>
      </c>
      <c r="F351" s="290"/>
    </row>
    <row r="352">
      <c r="A352" s="304" t="s">
        <v>2820</v>
      </c>
      <c r="B352" s="286" t="s">
        <v>2868</v>
      </c>
      <c r="C352" s="287" t="s">
        <v>1560</v>
      </c>
      <c r="D352" s="293">
        <v>46022.0</v>
      </c>
      <c r="E352" s="289">
        <v>1.0</v>
      </c>
      <c r="F352" s="290"/>
    </row>
    <row r="353">
      <c r="A353" s="304" t="s">
        <v>2820</v>
      </c>
      <c r="B353" s="286" t="s">
        <v>2869</v>
      </c>
      <c r="C353" s="287" t="s">
        <v>2724</v>
      </c>
      <c r="D353" s="293">
        <v>46022.0</v>
      </c>
      <c r="E353" s="289">
        <v>36.25</v>
      </c>
      <c r="F353" s="290"/>
    </row>
    <row r="354">
      <c r="A354" s="304" t="s">
        <v>2820</v>
      </c>
      <c r="B354" s="286" t="s">
        <v>2870</v>
      </c>
      <c r="C354" s="287" t="s">
        <v>1560</v>
      </c>
      <c r="D354" s="293">
        <v>46022.0</v>
      </c>
      <c r="E354" s="289">
        <v>14.0</v>
      </c>
      <c r="F354" s="290"/>
    </row>
    <row r="355">
      <c r="A355" s="304" t="s">
        <v>2871</v>
      </c>
      <c r="B355" s="286" t="s">
        <v>2872</v>
      </c>
      <c r="C355" s="287" t="s">
        <v>1560</v>
      </c>
      <c r="D355" s="293">
        <v>46021.0</v>
      </c>
      <c r="E355" s="289">
        <v>20.0</v>
      </c>
      <c r="F355" s="290"/>
    </row>
    <row r="356">
      <c r="A356" s="304" t="s">
        <v>2818</v>
      </c>
      <c r="B356" s="286" t="s">
        <v>2873</v>
      </c>
      <c r="C356" s="287" t="s">
        <v>1560</v>
      </c>
      <c r="D356" s="293">
        <v>46021.0</v>
      </c>
      <c r="E356" s="289">
        <v>10.0</v>
      </c>
      <c r="F356" s="290"/>
    </row>
    <row r="357">
      <c r="A357" s="304" t="s">
        <v>2818</v>
      </c>
      <c r="B357" s="286" t="s">
        <v>2874</v>
      </c>
      <c r="C357" s="287" t="s">
        <v>1560</v>
      </c>
      <c r="D357" s="293">
        <v>46021.0</v>
      </c>
      <c r="E357" s="289">
        <v>15.0</v>
      </c>
      <c r="F357" s="290"/>
    </row>
    <row r="358">
      <c r="A358" s="304" t="s">
        <v>2818</v>
      </c>
      <c r="B358" s="286" t="s">
        <v>2875</v>
      </c>
      <c r="C358" s="287" t="s">
        <v>1560</v>
      </c>
      <c r="D358" s="293">
        <v>46021.0</v>
      </c>
      <c r="E358" s="289">
        <v>9.0</v>
      </c>
      <c r="F358" s="290"/>
    </row>
    <row r="359">
      <c r="A359" s="304" t="s">
        <v>2818</v>
      </c>
      <c r="B359" s="286" t="s">
        <v>2874</v>
      </c>
      <c r="C359" s="287" t="s">
        <v>1560</v>
      </c>
      <c r="D359" s="293">
        <v>46021.0</v>
      </c>
      <c r="E359" s="289">
        <v>26.0</v>
      </c>
      <c r="F359" s="290"/>
    </row>
    <row r="360">
      <c r="A360" s="304" t="s">
        <v>2818</v>
      </c>
      <c r="B360" s="286" t="s">
        <v>2876</v>
      </c>
      <c r="C360" s="287" t="s">
        <v>1560</v>
      </c>
      <c r="D360" s="293">
        <v>46021.0</v>
      </c>
      <c r="E360" s="289">
        <v>4.0</v>
      </c>
      <c r="F360" s="290"/>
    </row>
    <row r="361">
      <c r="A361" s="304" t="s">
        <v>2818</v>
      </c>
      <c r="B361" s="286" t="s">
        <v>2877</v>
      </c>
      <c r="C361" s="287" t="s">
        <v>1560</v>
      </c>
      <c r="D361" s="293">
        <v>46021.0</v>
      </c>
      <c r="E361" s="289">
        <v>9.0</v>
      </c>
      <c r="F361" s="290"/>
    </row>
    <row r="362">
      <c r="A362" s="304" t="s">
        <v>2878</v>
      </c>
      <c r="B362" s="286" t="s">
        <v>2879</v>
      </c>
      <c r="C362" s="287" t="s">
        <v>1560</v>
      </c>
      <c r="D362" s="293">
        <v>46016.0</v>
      </c>
      <c r="E362" s="289">
        <v>62.7</v>
      </c>
      <c r="F362" s="290"/>
    </row>
    <row r="363">
      <c r="A363" s="304" t="s">
        <v>2878</v>
      </c>
      <c r="B363" s="286" t="s">
        <v>2880</v>
      </c>
      <c r="C363" s="287" t="s">
        <v>1560</v>
      </c>
      <c r="D363" s="293">
        <v>46016.0</v>
      </c>
      <c r="E363" s="289">
        <v>1.0</v>
      </c>
      <c r="F363" s="290"/>
    </row>
    <row r="364">
      <c r="A364" s="304" t="s">
        <v>2842</v>
      </c>
      <c r="B364" s="286" t="s">
        <v>2881</v>
      </c>
      <c r="C364" s="287" t="s">
        <v>1560</v>
      </c>
      <c r="D364" s="293">
        <v>46017.0</v>
      </c>
      <c r="E364" s="289">
        <v>4.0</v>
      </c>
      <c r="F364" s="290"/>
    </row>
    <row r="365">
      <c r="A365" s="304" t="s">
        <v>2842</v>
      </c>
      <c r="B365" s="286" t="s">
        <v>2882</v>
      </c>
      <c r="C365" s="287" t="s">
        <v>1560</v>
      </c>
      <c r="D365" s="293">
        <v>46017.0</v>
      </c>
      <c r="E365" s="289">
        <v>20.0</v>
      </c>
      <c r="F365" s="290"/>
    </row>
    <row r="366">
      <c r="A366" s="304" t="s">
        <v>2842</v>
      </c>
      <c r="B366" s="286" t="s">
        <v>2883</v>
      </c>
      <c r="C366" s="287" t="s">
        <v>1560</v>
      </c>
      <c r="D366" s="293">
        <v>46017.0</v>
      </c>
      <c r="E366" s="289">
        <v>20.0</v>
      </c>
      <c r="F366" s="290"/>
    </row>
    <row r="367">
      <c r="A367" s="304" t="s">
        <v>2842</v>
      </c>
      <c r="B367" s="286" t="s">
        <v>2884</v>
      </c>
      <c r="C367" s="287" t="s">
        <v>1560</v>
      </c>
      <c r="D367" s="293">
        <v>46017.0</v>
      </c>
      <c r="E367" s="289">
        <v>25.0</v>
      </c>
      <c r="F367" s="290"/>
    </row>
    <row r="368">
      <c r="A368" s="303" t="s">
        <v>2842</v>
      </c>
      <c r="B368" s="305" t="s">
        <v>2885</v>
      </c>
      <c r="C368" s="287" t="s">
        <v>1560</v>
      </c>
      <c r="D368" s="293">
        <v>45999.0</v>
      </c>
      <c r="E368" s="289">
        <v>2075.0</v>
      </c>
      <c r="F368" s="290"/>
    </row>
    <row r="369">
      <c r="A369" s="304" t="s">
        <v>2820</v>
      </c>
      <c r="B369" s="305" t="s">
        <v>306</v>
      </c>
      <c r="C369" s="287" t="s">
        <v>1560</v>
      </c>
      <c r="D369" s="293">
        <v>46022.0</v>
      </c>
      <c r="E369" s="289">
        <v>12.0</v>
      </c>
      <c r="F369" s="290"/>
    </row>
    <row r="370">
      <c r="A370" s="304" t="s">
        <v>2820</v>
      </c>
      <c r="B370" s="305" t="s">
        <v>2886</v>
      </c>
      <c r="C370" s="287" t="s">
        <v>1560</v>
      </c>
      <c r="D370" s="293">
        <v>46022.0</v>
      </c>
      <c r="E370" s="289">
        <v>35.0</v>
      </c>
      <c r="F370" s="290"/>
    </row>
    <row r="371">
      <c r="A371" s="304" t="s">
        <v>2820</v>
      </c>
      <c r="B371" s="305" t="s">
        <v>2887</v>
      </c>
      <c r="C371" s="287" t="s">
        <v>1560</v>
      </c>
      <c r="D371" s="293">
        <v>46022.0</v>
      </c>
      <c r="E371" s="289">
        <v>19.2</v>
      </c>
      <c r="F371" s="290"/>
    </row>
    <row r="372">
      <c r="A372" s="304" t="s">
        <v>2820</v>
      </c>
      <c r="B372" s="305" t="s">
        <v>2888</v>
      </c>
      <c r="C372" s="287" t="s">
        <v>1560</v>
      </c>
      <c r="D372" s="293">
        <v>46022.0</v>
      </c>
      <c r="E372" s="289">
        <v>16.6</v>
      </c>
      <c r="F372" s="290"/>
    </row>
    <row r="373">
      <c r="A373" s="304" t="s">
        <v>2820</v>
      </c>
      <c r="B373" s="305" t="s">
        <v>2889</v>
      </c>
      <c r="C373" s="287" t="s">
        <v>1560</v>
      </c>
      <c r="D373" s="293">
        <v>46022.0</v>
      </c>
      <c r="E373" s="289">
        <v>1.0</v>
      </c>
      <c r="F373" s="290"/>
    </row>
    <row r="374">
      <c r="A374" s="304" t="s">
        <v>2890</v>
      </c>
      <c r="B374" s="305" t="s">
        <v>2891</v>
      </c>
      <c r="C374" s="287" t="s">
        <v>1560</v>
      </c>
      <c r="D374" s="293">
        <v>46022.0</v>
      </c>
      <c r="E374" s="289">
        <v>1.0</v>
      </c>
      <c r="F374" s="290"/>
    </row>
    <row r="375">
      <c r="A375" s="304" t="s">
        <v>2820</v>
      </c>
      <c r="B375" s="305" t="s">
        <v>2862</v>
      </c>
      <c r="C375" s="287" t="s">
        <v>1560</v>
      </c>
      <c r="D375" s="293">
        <v>46022.0</v>
      </c>
      <c r="E375" s="289">
        <v>1.0</v>
      </c>
      <c r="F375" s="290"/>
    </row>
    <row r="376">
      <c r="A376" s="304" t="s">
        <v>2820</v>
      </c>
      <c r="B376" s="305" t="s">
        <v>2863</v>
      </c>
      <c r="C376" s="287" t="s">
        <v>1560</v>
      </c>
      <c r="D376" s="293">
        <v>46022.0</v>
      </c>
      <c r="E376" s="289">
        <v>1.0</v>
      </c>
      <c r="F376" s="290"/>
    </row>
    <row r="377">
      <c r="A377" s="306">
        <v>46143.0</v>
      </c>
      <c r="B377" s="305" t="s">
        <v>2892</v>
      </c>
      <c r="C377" s="287" t="s">
        <v>1892</v>
      </c>
      <c r="D377" s="293">
        <v>46027.0</v>
      </c>
      <c r="E377" s="289">
        <v>5.0</v>
      </c>
      <c r="F377" s="290"/>
    </row>
    <row r="378">
      <c r="A378" s="306">
        <v>46143.0</v>
      </c>
      <c r="B378" s="305" t="s">
        <v>2893</v>
      </c>
      <c r="C378" s="287" t="s">
        <v>1892</v>
      </c>
      <c r="D378" s="293">
        <v>46027.0</v>
      </c>
      <c r="E378" s="289">
        <v>20.0</v>
      </c>
      <c r="F378" s="290"/>
    </row>
    <row r="379">
      <c r="A379" s="306">
        <v>46143.0</v>
      </c>
      <c r="B379" s="305" t="s">
        <v>1818</v>
      </c>
      <c r="C379" s="287" t="s">
        <v>1892</v>
      </c>
      <c r="D379" s="293">
        <v>46027.0</v>
      </c>
      <c r="E379" s="289">
        <v>20.0</v>
      </c>
      <c r="F379" s="290"/>
    </row>
    <row r="380">
      <c r="A380" s="306">
        <v>46143.0</v>
      </c>
      <c r="B380" s="305" t="s">
        <v>2894</v>
      </c>
      <c r="C380" s="287" t="s">
        <v>1892</v>
      </c>
      <c r="D380" s="293">
        <v>46027.0</v>
      </c>
      <c r="E380" s="289">
        <v>20.0</v>
      </c>
      <c r="F380" s="290"/>
    </row>
    <row r="381">
      <c r="A381" s="306">
        <v>46143.0</v>
      </c>
      <c r="B381" s="305" t="s">
        <v>2895</v>
      </c>
      <c r="C381" s="287" t="s">
        <v>1892</v>
      </c>
      <c r="D381" s="293">
        <v>46027.0</v>
      </c>
      <c r="E381" s="289">
        <v>5.0</v>
      </c>
      <c r="F381" s="290"/>
    </row>
    <row r="382">
      <c r="A382" s="306">
        <v>46174.0</v>
      </c>
      <c r="B382" s="305" t="s">
        <v>2804</v>
      </c>
      <c r="C382" s="287" t="s">
        <v>1892</v>
      </c>
      <c r="D382" s="293">
        <v>46028.0</v>
      </c>
      <c r="E382" s="289">
        <v>1.0</v>
      </c>
      <c r="F382" s="290"/>
    </row>
    <row r="383">
      <c r="A383" s="306">
        <v>46174.0</v>
      </c>
      <c r="B383" s="305" t="s">
        <v>2892</v>
      </c>
      <c r="C383" s="287" t="s">
        <v>1892</v>
      </c>
      <c r="D383" s="293">
        <v>46028.0</v>
      </c>
      <c r="E383" s="289">
        <v>9.0</v>
      </c>
      <c r="F383" s="290"/>
    </row>
    <row r="384">
      <c r="A384" s="306">
        <v>46174.0</v>
      </c>
      <c r="B384" s="305" t="s">
        <v>2896</v>
      </c>
      <c r="C384" s="287" t="s">
        <v>1892</v>
      </c>
      <c r="D384" s="293">
        <v>46028.0</v>
      </c>
      <c r="E384" s="289">
        <v>1.0</v>
      </c>
      <c r="F384" s="290"/>
    </row>
    <row r="385">
      <c r="A385" s="306">
        <v>46174.0</v>
      </c>
      <c r="B385" s="305" t="s">
        <v>2897</v>
      </c>
      <c r="C385" s="287" t="s">
        <v>1892</v>
      </c>
      <c r="D385" s="293">
        <v>46028.0</v>
      </c>
      <c r="E385" s="289">
        <v>1.0</v>
      </c>
      <c r="F385" s="290"/>
    </row>
    <row r="386">
      <c r="A386" s="306">
        <v>46174.0</v>
      </c>
      <c r="B386" s="305" t="s">
        <v>2898</v>
      </c>
      <c r="C386" s="287" t="s">
        <v>1892</v>
      </c>
      <c r="D386" s="293">
        <v>46028.0</v>
      </c>
      <c r="E386" s="289">
        <v>1.0</v>
      </c>
      <c r="F386" s="290"/>
    </row>
    <row r="387">
      <c r="A387" s="306">
        <v>46174.0</v>
      </c>
      <c r="B387" s="305" t="s">
        <v>2899</v>
      </c>
      <c r="C387" s="287" t="s">
        <v>1892</v>
      </c>
      <c r="D387" s="289" t="s">
        <v>2900</v>
      </c>
      <c r="E387" s="289">
        <v>5.0</v>
      </c>
      <c r="F387" s="290"/>
    </row>
    <row r="388">
      <c r="A388" s="306">
        <v>46174.0</v>
      </c>
      <c r="B388" s="305" t="s">
        <v>2653</v>
      </c>
      <c r="C388" s="287" t="s">
        <v>1892</v>
      </c>
      <c r="D388" s="293">
        <v>46028.0</v>
      </c>
      <c r="E388" s="289">
        <v>7.0</v>
      </c>
      <c r="F388" s="290"/>
    </row>
    <row r="389">
      <c r="A389" s="306">
        <v>46204.0</v>
      </c>
      <c r="B389" s="305" t="s">
        <v>1678</v>
      </c>
      <c r="C389" s="287" t="s">
        <v>1892</v>
      </c>
      <c r="D389" s="293">
        <v>46029.0</v>
      </c>
      <c r="E389" s="289">
        <v>2.0</v>
      </c>
      <c r="F389" s="290"/>
    </row>
    <row r="390">
      <c r="A390" s="306">
        <v>46204.0</v>
      </c>
      <c r="B390" s="305" t="s">
        <v>2901</v>
      </c>
      <c r="C390" s="287" t="s">
        <v>1892</v>
      </c>
      <c r="D390" s="293">
        <v>46029.0</v>
      </c>
      <c r="E390" s="289">
        <v>2.0</v>
      </c>
      <c r="F390" s="290"/>
    </row>
    <row r="391">
      <c r="A391" s="306">
        <v>46204.0</v>
      </c>
      <c r="B391" s="305" t="s">
        <v>2808</v>
      </c>
      <c r="C391" s="287" t="s">
        <v>1892</v>
      </c>
      <c r="D391" s="293">
        <v>46029.0</v>
      </c>
      <c r="E391" s="289">
        <v>2.0</v>
      </c>
      <c r="F391" s="290"/>
    </row>
    <row r="392">
      <c r="A392" s="306">
        <v>46204.0</v>
      </c>
      <c r="B392" s="305" t="s">
        <v>1676</v>
      </c>
      <c r="C392" s="287" t="s">
        <v>1892</v>
      </c>
      <c r="D392" s="293">
        <v>46029.0</v>
      </c>
      <c r="E392" s="289">
        <v>2.0</v>
      </c>
      <c r="F392" s="290"/>
    </row>
    <row r="393">
      <c r="A393" s="306">
        <v>46204.0</v>
      </c>
      <c r="B393" s="305" t="s">
        <v>2892</v>
      </c>
      <c r="C393" s="287" t="s">
        <v>1892</v>
      </c>
      <c r="D393" s="293">
        <v>46029.0</v>
      </c>
      <c r="E393" s="289">
        <v>5.0</v>
      </c>
      <c r="F393" s="290"/>
    </row>
    <row r="394">
      <c r="A394" s="306">
        <v>46204.0</v>
      </c>
      <c r="B394" s="305" t="s">
        <v>2821</v>
      </c>
      <c r="C394" s="287" t="s">
        <v>1892</v>
      </c>
      <c r="D394" s="293">
        <v>46029.0</v>
      </c>
      <c r="E394" s="289">
        <v>2.0</v>
      </c>
      <c r="F394" s="290"/>
    </row>
    <row r="395">
      <c r="A395" s="307">
        <v>46235.0</v>
      </c>
      <c r="B395" s="305" t="s">
        <v>2892</v>
      </c>
      <c r="C395" s="287" t="s">
        <v>1892</v>
      </c>
      <c r="D395" s="288">
        <v>46030.0</v>
      </c>
      <c r="E395" s="289">
        <v>10.0</v>
      </c>
      <c r="F395" s="290"/>
    </row>
    <row r="396">
      <c r="A396" s="307">
        <v>46235.0</v>
      </c>
      <c r="B396" s="305" t="s">
        <v>2902</v>
      </c>
      <c r="C396" s="287" t="s">
        <v>1892</v>
      </c>
      <c r="D396" s="288">
        <v>46030.0</v>
      </c>
      <c r="E396" s="289">
        <v>2.0</v>
      </c>
      <c r="F396" s="290"/>
    </row>
    <row r="397">
      <c r="A397" s="307">
        <v>46235.0</v>
      </c>
      <c r="B397" s="305" t="s">
        <v>2902</v>
      </c>
      <c r="C397" s="287" t="s">
        <v>1892</v>
      </c>
      <c r="D397" s="288">
        <v>46030.0</v>
      </c>
      <c r="E397" s="289">
        <v>1.0</v>
      </c>
      <c r="F397" s="290"/>
    </row>
    <row r="398">
      <c r="A398" s="307">
        <v>46235.0</v>
      </c>
      <c r="B398" s="305" t="s">
        <v>2903</v>
      </c>
      <c r="C398" s="287" t="s">
        <v>1892</v>
      </c>
      <c r="D398" s="288">
        <v>46030.0</v>
      </c>
      <c r="E398" s="289">
        <v>2.0</v>
      </c>
      <c r="F398" s="290"/>
    </row>
    <row r="399">
      <c r="A399" s="307">
        <v>46235.0</v>
      </c>
      <c r="B399" s="305" t="s">
        <v>2904</v>
      </c>
      <c r="C399" s="287" t="s">
        <v>1892</v>
      </c>
      <c r="D399" s="288">
        <v>46030.0</v>
      </c>
      <c r="E399" s="289">
        <v>2.0</v>
      </c>
      <c r="F399" s="290"/>
    </row>
    <row r="400">
      <c r="A400" s="307">
        <v>46235.0</v>
      </c>
      <c r="B400" s="305" t="s">
        <v>2901</v>
      </c>
      <c r="C400" s="287" t="s">
        <v>1892</v>
      </c>
      <c r="D400" s="288">
        <v>46030.0</v>
      </c>
      <c r="E400" s="289">
        <v>2.0</v>
      </c>
      <c r="F400" s="290"/>
    </row>
    <row r="401">
      <c r="A401" s="307">
        <v>46235.0</v>
      </c>
      <c r="B401" s="305" t="s">
        <v>2808</v>
      </c>
      <c r="C401" s="287" t="s">
        <v>1892</v>
      </c>
      <c r="D401" s="288">
        <v>46030.0</v>
      </c>
      <c r="E401" s="289">
        <v>2.0</v>
      </c>
      <c r="F401" s="290"/>
    </row>
    <row r="402">
      <c r="A402" s="307">
        <v>46235.0</v>
      </c>
      <c r="B402" s="305" t="s">
        <v>2905</v>
      </c>
      <c r="C402" s="287" t="s">
        <v>1892</v>
      </c>
      <c r="D402" s="288">
        <v>46030.0</v>
      </c>
      <c r="E402" s="289">
        <v>5.0</v>
      </c>
      <c r="F402" s="290"/>
    </row>
    <row r="403">
      <c r="A403" s="307">
        <v>46235.0</v>
      </c>
      <c r="B403" s="305" t="s">
        <v>2906</v>
      </c>
      <c r="C403" s="287" t="s">
        <v>1892</v>
      </c>
      <c r="D403" s="288">
        <v>46030.0</v>
      </c>
      <c r="E403" s="289">
        <v>1.0</v>
      </c>
      <c r="F403" s="290"/>
    </row>
    <row r="404">
      <c r="A404" s="307">
        <v>46266.0</v>
      </c>
      <c r="B404" s="305" t="s">
        <v>2904</v>
      </c>
      <c r="C404" s="287" t="s">
        <v>1892</v>
      </c>
      <c r="D404" s="288">
        <v>46031.0</v>
      </c>
      <c r="E404" s="289">
        <v>1.0</v>
      </c>
      <c r="F404" s="290"/>
    </row>
    <row r="405">
      <c r="A405" s="307">
        <v>46266.0</v>
      </c>
      <c r="B405" s="305" t="s">
        <v>2892</v>
      </c>
      <c r="C405" s="287" t="s">
        <v>1892</v>
      </c>
      <c r="D405" s="288">
        <v>46031.0</v>
      </c>
      <c r="E405" s="289">
        <v>5.0</v>
      </c>
      <c r="F405" s="290"/>
    </row>
    <row r="406">
      <c r="A406" s="307">
        <v>46266.0</v>
      </c>
      <c r="B406" s="305" t="s">
        <v>2907</v>
      </c>
      <c r="C406" s="287" t="s">
        <v>1892</v>
      </c>
      <c r="D406" s="288">
        <v>46031.0</v>
      </c>
      <c r="E406" s="289">
        <v>2.0</v>
      </c>
      <c r="F406" s="290"/>
    </row>
    <row r="407">
      <c r="A407" s="307">
        <v>46266.0</v>
      </c>
      <c r="B407" s="305" t="s">
        <v>2908</v>
      </c>
      <c r="C407" s="287" t="s">
        <v>1892</v>
      </c>
      <c r="D407" s="288">
        <v>46031.0</v>
      </c>
      <c r="E407" s="289">
        <v>2.0</v>
      </c>
      <c r="F407" s="290"/>
    </row>
    <row r="408">
      <c r="A408" s="307">
        <v>46266.0</v>
      </c>
      <c r="B408" s="305" t="s">
        <v>2909</v>
      </c>
      <c r="C408" s="287" t="s">
        <v>1892</v>
      </c>
      <c r="D408" s="288">
        <v>46031.0</v>
      </c>
      <c r="E408" s="289">
        <v>4.0</v>
      </c>
      <c r="F408" s="290"/>
    </row>
    <row r="409">
      <c r="A409" s="307">
        <v>46266.0</v>
      </c>
      <c r="B409" s="305" t="s">
        <v>2892</v>
      </c>
      <c r="C409" s="287" t="s">
        <v>1892</v>
      </c>
      <c r="D409" s="288">
        <v>46031.0</v>
      </c>
      <c r="E409" s="289">
        <v>5.0</v>
      </c>
      <c r="F409" s="290"/>
    </row>
    <row r="410">
      <c r="A410" s="307">
        <v>46266.0</v>
      </c>
      <c r="B410" s="305" t="s">
        <v>2910</v>
      </c>
      <c r="C410" s="287" t="s">
        <v>1892</v>
      </c>
      <c r="D410" s="288">
        <v>46031.0</v>
      </c>
      <c r="E410" s="289">
        <v>2.0</v>
      </c>
      <c r="F410" s="290"/>
    </row>
    <row r="411">
      <c r="A411" s="307">
        <v>46266.0</v>
      </c>
      <c r="B411" s="305" t="s">
        <v>2911</v>
      </c>
      <c r="C411" s="287" t="s">
        <v>1892</v>
      </c>
      <c r="D411" s="288">
        <v>46031.0</v>
      </c>
      <c r="E411" s="289">
        <v>6.0</v>
      </c>
      <c r="F411" s="290"/>
    </row>
    <row r="412">
      <c r="A412" s="307">
        <v>46296.0</v>
      </c>
      <c r="B412" s="305" t="s">
        <v>2892</v>
      </c>
      <c r="C412" s="287" t="s">
        <v>1892</v>
      </c>
      <c r="D412" s="288">
        <v>46032.0</v>
      </c>
      <c r="E412" s="289">
        <v>5.0</v>
      </c>
      <c r="F412" s="290"/>
    </row>
    <row r="413">
      <c r="A413" s="307">
        <v>46296.0</v>
      </c>
      <c r="B413" s="50" t="s">
        <v>2906</v>
      </c>
      <c r="C413" s="287" t="s">
        <v>1892</v>
      </c>
      <c r="D413" s="288">
        <v>46032.0</v>
      </c>
      <c r="E413" s="50">
        <v>2.0</v>
      </c>
    </row>
    <row r="414">
      <c r="A414" s="307">
        <v>46296.0</v>
      </c>
      <c r="B414" s="305" t="s">
        <v>2911</v>
      </c>
      <c r="C414" s="287" t="s">
        <v>1892</v>
      </c>
      <c r="D414" s="288">
        <v>46032.0</v>
      </c>
      <c r="E414" s="289">
        <v>6.0</v>
      </c>
    </row>
    <row r="415">
      <c r="A415" s="307">
        <v>46296.0</v>
      </c>
      <c r="B415" s="50" t="s">
        <v>2910</v>
      </c>
      <c r="C415" s="287" t="s">
        <v>1892</v>
      </c>
      <c r="D415" s="288">
        <v>46032.0</v>
      </c>
      <c r="E415" s="50">
        <v>1.0</v>
      </c>
    </row>
    <row r="416">
      <c r="A416" s="307">
        <v>46296.0</v>
      </c>
      <c r="B416" s="176" t="s">
        <v>2892</v>
      </c>
      <c r="C416" s="287" t="s">
        <v>1892</v>
      </c>
      <c r="D416" s="288">
        <v>46032.0</v>
      </c>
      <c r="E416" s="176">
        <v>8.0</v>
      </c>
    </row>
    <row r="417">
      <c r="A417" s="307">
        <v>46296.0</v>
      </c>
      <c r="B417" s="143" t="s">
        <v>2892</v>
      </c>
      <c r="C417" s="287" t="s">
        <v>1892</v>
      </c>
      <c r="D417" s="288">
        <v>46032.0</v>
      </c>
      <c r="E417" s="143">
        <v>6.0</v>
      </c>
    </row>
    <row r="418">
      <c r="A418" s="308">
        <v>46327.0</v>
      </c>
      <c r="B418" s="176" t="s">
        <v>1818</v>
      </c>
      <c r="C418" s="287" t="s">
        <v>1892</v>
      </c>
      <c r="D418" s="308">
        <v>46033.0</v>
      </c>
      <c r="E418" s="176" t="s">
        <v>2912</v>
      </c>
    </row>
    <row r="419">
      <c r="A419" s="308">
        <v>46327.0</v>
      </c>
      <c r="B419" s="143" t="s">
        <v>2913</v>
      </c>
      <c r="C419" s="287" t="s">
        <v>1892</v>
      </c>
      <c r="D419" s="308">
        <v>46033.0</v>
      </c>
      <c r="E419" s="143" t="s">
        <v>2912</v>
      </c>
    </row>
    <row r="420">
      <c r="A420" s="308">
        <v>46327.0</v>
      </c>
      <c r="B420" s="176" t="s">
        <v>2914</v>
      </c>
      <c r="C420" s="287" t="s">
        <v>1892</v>
      </c>
      <c r="D420" s="308">
        <v>46033.0</v>
      </c>
      <c r="E420" s="176" t="s">
        <v>2915</v>
      </c>
    </row>
    <row r="421">
      <c r="A421" s="308">
        <v>46327.0</v>
      </c>
      <c r="B421" s="143" t="s">
        <v>2901</v>
      </c>
      <c r="C421" s="287" t="s">
        <v>1892</v>
      </c>
      <c r="D421" s="308">
        <v>46033.0</v>
      </c>
      <c r="E421" s="143" t="s">
        <v>2916</v>
      </c>
    </row>
    <row r="422">
      <c r="A422" s="308">
        <v>46327.0</v>
      </c>
      <c r="B422" s="176" t="s">
        <v>2808</v>
      </c>
      <c r="C422" s="287" t="s">
        <v>1892</v>
      </c>
      <c r="D422" s="308">
        <v>46033.0</v>
      </c>
      <c r="E422" s="176" t="s">
        <v>2916</v>
      </c>
    </row>
    <row r="423">
      <c r="A423" s="308">
        <v>46327.0</v>
      </c>
      <c r="B423" s="143" t="s">
        <v>2917</v>
      </c>
      <c r="C423" s="287" t="s">
        <v>1892</v>
      </c>
      <c r="D423" s="308">
        <v>46033.0</v>
      </c>
      <c r="E423" s="143" t="s">
        <v>2916</v>
      </c>
    </row>
    <row r="424">
      <c r="A424" s="308">
        <v>46327.0</v>
      </c>
      <c r="B424" s="176" t="s">
        <v>2892</v>
      </c>
      <c r="C424" s="287" t="s">
        <v>1892</v>
      </c>
      <c r="D424" s="308">
        <v>46033.0</v>
      </c>
      <c r="E424" s="176" t="s">
        <v>2918</v>
      </c>
    </row>
    <row r="425">
      <c r="A425" s="308">
        <v>46357.0</v>
      </c>
      <c r="B425" s="176" t="s">
        <v>2911</v>
      </c>
      <c r="C425" s="287" t="s">
        <v>1892</v>
      </c>
      <c r="D425" s="309">
        <v>46034.0</v>
      </c>
      <c r="E425" s="176" t="s">
        <v>2919</v>
      </c>
    </row>
    <row r="426">
      <c r="A426" s="308">
        <v>46357.0</v>
      </c>
      <c r="B426" s="176" t="s">
        <v>2892</v>
      </c>
      <c r="C426" s="287" t="s">
        <v>1892</v>
      </c>
      <c r="D426" s="309">
        <v>46034.0</v>
      </c>
      <c r="E426" s="176" t="s">
        <v>2918</v>
      </c>
    </row>
    <row r="427">
      <c r="A427" s="308">
        <v>46357.0</v>
      </c>
      <c r="B427" s="143" t="s">
        <v>2910</v>
      </c>
      <c r="C427" s="287" t="s">
        <v>1892</v>
      </c>
      <c r="D427" s="309">
        <v>46034.0</v>
      </c>
      <c r="E427" s="143" t="s">
        <v>2920</v>
      </c>
    </row>
    <row r="428">
      <c r="A428" s="308">
        <v>46357.0</v>
      </c>
      <c r="B428" s="176" t="s">
        <v>2892</v>
      </c>
      <c r="C428" s="287" t="s">
        <v>1892</v>
      </c>
      <c r="D428" s="309">
        <v>46034.0</v>
      </c>
      <c r="E428" s="176" t="s">
        <v>2919</v>
      </c>
    </row>
    <row r="429">
      <c r="A429" s="308">
        <v>46357.0</v>
      </c>
      <c r="B429" s="143" t="s">
        <v>2910</v>
      </c>
      <c r="C429" s="287" t="s">
        <v>1892</v>
      </c>
      <c r="D429" s="309">
        <v>46034.0</v>
      </c>
      <c r="E429" s="143" t="s">
        <v>2920</v>
      </c>
    </row>
    <row r="430">
      <c r="A430" s="308">
        <v>46357.0</v>
      </c>
      <c r="B430" s="176" t="s">
        <v>2892</v>
      </c>
      <c r="C430" s="287" t="s">
        <v>1892</v>
      </c>
      <c r="D430" s="309">
        <v>46034.0</v>
      </c>
      <c r="E430" s="176" t="s">
        <v>2921</v>
      </c>
    </row>
    <row r="431">
      <c r="A431" s="308">
        <v>46357.0</v>
      </c>
      <c r="B431" s="143" t="s">
        <v>2906</v>
      </c>
      <c r="C431" s="287" t="s">
        <v>1892</v>
      </c>
      <c r="D431" s="309">
        <v>46034.0</v>
      </c>
      <c r="E431" s="143" t="s">
        <v>2922</v>
      </c>
    </row>
    <row r="432">
      <c r="A432" s="308">
        <v>46357.0</v>
      </c>
      <c r="B432" s="176" t="s">
        <v>2906</v>
      </c>
      <c r="C432" s="287" t="s">
        <v>1892</v>
      </c>
      <c r="D432" s="309">
        <v>46034.0</v>
      </c>
      <c r="E432" s="176" t="s">
        <v>2923</v>
      </c>
    </row>
    <row r="433">
      <c r="A433" s="308">
        <v>46357.0</v>
      </c>
      <c r="B433" s="143" t="s">
        <v>2924</v>
      </c>
      <c r="C433" s="287" t="s">
        <v>1892</v>
      </c>
      <c r="D433" s="309">
        <v>46034.0</v>
      </c>
      <c r="E433" s="143" t="s">
        <v>2925</v>
      </c>
    </row>
    <row r="434">
      <c r="A434" s="308">
        <v>46357.0</v>
      </c>
      <c r="B434" s="176" t="s">
        <v>2901</v>
      </c>
      <c r="C434" s="287" t="s">
        <v>1892</v>
      </c>
      <c r="D434" s="309">
        <v>46034.0</v>
      </c>
      <c r="E434" s="176" t="s">
        <v>2915</v>
      </c>
    </row>
    <row r="435">
      <c r="A435" s="308">
        <v>46357.0</v>
      </c>
      <c r="B435" s="143" t="s">
        <v>2808</v>
      </c>
      <c r="C435" s="287" t="s">
        <v>1892</v>
      </c>
      <c r="D435" s="309">
        <v>46034.0</v>
      </c>
      <c r="E435" s="143" t="s">
        <v>2915</v>
      </c>
    </row>
    <row r="436">
      <c r="A436" s="176" t="s">
        <v>2926</v>
      </c>
      <c r="B436" s="176" t="s">
        <v>2892</v>
      </c>
      <c r="C436" s="287" t="s">
        <v>1892</v>
      </c>
      <c r="D436" s="308">
        <v>46035.0</v>
      </c>
      <c r="E436" s="176" t="s">
        <v>2919</v>
      </c>
    </row>
    <row r="437">
      <c r="A437" s="176" t="s">
        <v>2926</v>
      </c>
      <c r="B437" s="287" t="s">
        <v>2927</v>
      </c>
      <c r="C437" s="287" t="s">
        <v>1892</v>
      </c>
      <c r="D437" s="308">
        <v>46035.0</v>
      </c>
      <c r="E437" s="287" t="s">
        <v>2928</v>
      </c>
    </row>
    <row r="438">
      <c r="A438" s="176" t="s">
        <v>2926</v>
      </c>
      <c r="B438" s="287" t="s">
        <v>2911</v>
      </c>
      <c r="C438" s="287" t="s">
        <v>1892</v>
      </c>
      <c r="D438" s="308">
        <v>46035.0</v>
      </c>
      <c r="E438" s="287">
        <v>6.0</v>
      </c>
    </row>
    <row r="439">
      <c r="A439" s="176" t="s">
        <v>2926</v>
      </c>
      <c r="B439" s="95" t="s">
        <v>2929</v>
      </c>
      <c r="C439" s="287" t="s">
        <v>1892</v>
      </c>
      <c r="D439" s="308">
        <v>46035.0</v>
      </c>
      <c r="E439" s="95" t="s">
        <v>2915</v>
      </c>
    </row>
    <row r="440">
      <c r="A440" s="95" t="s">
        <v>2930</v>
      </c>
      <c r="B440" s="95" t="s">
        <v>2931</v>
      </c>
      <c r="C440" s="287" t="s">
        <v>1892</v>
      </c>
      <c r="D440" s="308">
        <v>46036.0</v>
      </c>
      <c r="E440" s="95" t="s">
        <v>2932</v>
      </c>
    </row>
    <row r="441">
      <c r="A441" s="95" t="s">
        <v>2930</v>
      </c>
      <c r="B441" s="95" t="s">
        <v>2933</v>
      </c>
      <c r="C441" s="287" t="s">
        <v>1892</v>
      </c>
      <c r="D441" s="308">
        <v>46036.0</v>
      </c>
      <c r="E441" s="95" t="s">
        <v>2934</v>
      </c>
    </row>
    <row r="442">
      <c r="A442" s="95" t="s">
        <v>2930</v>
      </c>
      <c r="B442" s="95" t="s">
        <v>2892</v>
      </c>
      <c r="C442" s="287" t="s">
        <v>1892</v>
      </c>
      <c r="D442" s="308">
        <v>46036.0</v>
      </c>
      <c r="E442" s="95" t="s">
        <v>2935</v>
      </c>
    </row>
    <row r="443">
      <c r="A443" s="95" t="s">
        <v>2930</v>
      </c>
      <c r="B443" s="95" t="s">
        <v>2936</v>
      </c>
      <c r="C443" s="287" t="s">
        <v>1892</v>
      </c>
      <c r="D443" s="308">
        <v>46036.0</v>
      </c>
      <c r="E443" s="95" t="s">
        <v>2937</v>
      </c>
    </row>
    <row r="444">
      <c r="A444" s="95" t="s">
        <v>2930</v>
      </c>
      <c r="B444" s="95" t="s">
        <v>2938</v>
      </c>
      <c r="C444" s="287" t="s">
        <v>1892</v>
      </c>
      <c r="D444" s="308">
        <v>46036.0</v>
      </c>
      <c r="E444" s="95" t="s">
        <v>2939</v>
      </c>
    </row>
    <row r="445">
      <c r="A445" s="95" t="s">
        <v>2930</v>
      </c>
      <c r="B445" s="95" t="s">
        <v>2905</v>
      </c>
      <c r="C445" s="287" t="s">
        <v>1892</v>
      </c>
      <c r="D445" s="308">
        <v>46036.0</v>
      </c>
      <c r="E445" s="95" t="s">
        <v>2940</v>
      </c>
    </row>
    <row r="446">
      <c r="A446" s="95" t="s">
        <v>2930</v>
      </c>
      <c r="B446" s="95" t="s">
        <v>2910</v>
      </c>
      <c r="C446" s="287" t="s">
        <v>1892</v>
      </c>
      <c r="D446" s="308">
        <v>46036.0</v>
      </c>
      <c r="E446" s="95" t="s">
        <v>2932</v>
      </c>
    </row>
    <row r="447">
      <c r="A447" s="95" t="s">
        <v>2930</v>
      </c>
      <c r="B447" s="95" t="s">
        <v>2931</v>
      </c>
      <c r="C447" s="287" t="s">
        <v>1892</v>
      </c>
      <c r="D447" s="308">
        <v>46036.0</v>
      </c>
      <c r="E447" s="95" t="s">
        <v>2932</v>
      </c>
    </row>
    <row r="448">
      <c r="A448" s="95" t="s">
        <v>2941</v>
      </c>
      <c r="B448" s="95" t="s">
        <v>2892</v>
      </c>
      <c r="C448" s="287" t="s">
        <v>1892</v>
      </c>
      <c r="D448" s="310">
        <v>46037.0</v>
      </c>
      <c r="E448" s="95" t="s">
        <v>2919</v>
      </c>
    </row>
    <row r="449">
      <c r="A449" s="95" t="s">
        <v>2941</v>
      </c>
      <c r="B449" s="95" t="s">
        <v>2942</v>
      </c>
      <c r="C449" s="287" t="s">
        <v>1892</v>
      </c>
      <c r="D449" s="310">
        <v>46037.0</v>
      </c>
      <c r="E449" s="95" t="s">
        <v>2940</v>
      </c>
    </row>
    <row r="450">
      <c r="A450" s="95" t="s">
        <v>2941</v>
      </c>
      <c r="B450" s="95" t="s">
        <v>2892</v>
      </c>
      <c r="C450" s="287" t="s">
        <v>1892</v>
      </c>
      <c r="D450" s="310">
        <v>46037.0</v>
      </c>
      <c r="E450" s="95" t="s">
        <v>2918</v>
      </c>
    </row>
    <row r="451">
      <c r="A451" s="95" t="s">
        <v>2941</v>
      </c>
      <c r="B451" s="95" t="s">
        <v>2905</v>
      </c>
      <c r="C451" s="287" t="s">
        <v>1892</v>
      </c>
      <c r="D451" s="310">
        <v>46037.0</v>
      </c>
      <c r="E451" s="95" t="s">
        <v>2943</v>
      </c>
    </row>
    <row r="452">
      <c r="A452" s="95" t="s">
        <v>2941</v>
      </c>
      <c r="B452" s="95" t="s">
        <v>2944</v>
      </c>
      <c r="C452" s="287" t="s">
        <v>1892</v>
      </c>
      <c r="D452" s="310">
        <v>46037.0</v>
      </c>
      <c r="E452" s="95" t="s">
        <v>2915</v>
      </c>
    </row>
    <row r="453">
      <c r="A453" s="95" t="s">
        <v>2945</v>
      </c>
      <c r="B453" s="95" t="s">
        <v>2892</v>
      </c>
      <c r="C453" s="287" t="s">
        <v>1892</v>
      </c>
      <c r="D453" s="310">
        <v>46038.0</v>
      </c>
      <c r="E453" s="95" t="s">
        <v>2918</v>
      </c>
    </row>
    <row r="454">
      <c r="A454" s="95" t="s">
        <v>2945</v>
      </c>
      <c r="B454" s="95" t="s">
        <v>2946</v>
      </c>
      <c r="C454" s="287" t="s">
        <v>1892</v>
      </c>
      <c r="D454" s="310">
        <v>46038.0</v>
      </c>
      <c r="E454" s="95" t="s">
        <v>2947</v>
      </c>
    </row>
    <row r="455">
      <c r="A455" s="95" t="s">
        <v>2945</v>
      </c>
      <c r="B455" s="95" t="s">
        <v>2948</v>
      </c>
      <c r="C455" s="287" t="s">
        <v>1892</v>
      </c>
      <c r="D455" s="310">
        <v>46038.0</v>
      </c>
      <c r="E455" s="95" t="s">
        <v>2920</v>
      </c>
    </row>
    <row r="456">
      <c r="A456" s="95" t="s">
        <v>2945</v>
      </c>
      <c r="B456" s="95" t="s">
        <v>2907</v>
      </c>
      <c r="C456" s="287" t="s">
        <v>1892</v>
      </c>
      <c r="D456" s="310">
        <v>46038.0</v>
      </c>
      <c r="E456" s="95" t="s">
        <v>2932</v>
      </c>
    </row>
    <row r="457">
      <c r="A457" s="95" t="s">
        <v>2945</v>
      </c>
      <c r="B457" s="95" t="s">
        <v>2906</v>
      </c>
      <c r="C457" s="287" t="s">
        <v>1892</v>
      </c>
      <c r="D457" s="310">
        <v>46038.0</v>
      </c>
      <c r="E457" s="95" t="s">
        <v>2923</v>
      </c>
    </row>
    <row r="458">
      <c r="A458" s="95" t="s">
        <v>2949</v>
      </c>
      <c r="B458" s="95" t="s">
        <v>2950</v>
      </c>
      <c r="C458" s="287" t="s">
        <v>1892</v>
      </c>
      <c r="D458" s="310">
        <v>46039.0</v>
      </c>
      <c r="E458" s="95" t="s">
        <v>2915</v>
      </c>
    </row>
    <row r="459">
      <c r="A459" s="95" t="s">
        <v>2949</v>
      </c>
      <c r="B459" s="95" t="s">
        <v>2951</v>
      </c>
      <c r="C459" s="287" t="s">
        <v>1892</v>
      </c>
      <c r="D459" s="310">
        <v>46039.0</v>
      </c>
      <c r="E459" s="95" t="s">
        <v>2919</v>
      </c>
    </row>
    <row r="460">
      <c r="A460" s="95" t="s">
        <v>2952</v>
      </c>
      <c r="B460" s="95" t="s">
        <v>2953</v>
      </c>
      <c r="C460" s="287" t="s">
        <v>1892</v>
      </c>
      <c r="D460" s="310">
        <v>46041.0</v>
      </c>
      <c r="E460" s="95" t="s">
        <v>2954</v>
      </c>
    </row>
    <row r="461">
      <c r="A461" s="95" t="s">
        <v>2952</v>
      </c>
      <c r="B461" s="95" t="s">
        <v>2955</v>
      </c>
      <c r="C461" s="287" t="s">
        <v>1892</v>
      </c>
      <c r="D461" s="310">
        <v>46041.0</v>
      </c>
      <c r="E461" s="95" t="s">
        <v>2954</v>
      </c>
    </row>
    <row r="462">
      <c r="A462" s="95" t="s">
        <v>2952</v>
      </c>
      <c r="B462" s="95" t="s">
        <v>2956</v>
      </c>
      <c r="C462" s="287" t="s">
        <v>1892</v>
      </c>
      <c r="D462" s="310">
        <v>46041.0</v>
      </c>
      <c r="E462" s="95" t="s">
        <v>2957</v>
      </c>
    </row>
    <row r="463">
      <c r="A463" s="95" t="s">
        <v>2952</v>
      </c>
      <c r="B463" s="95" t="s">
        <v>2892</v>
      </c>
      <c r="C463" s="287" t="s">
        <v>1892</v>
      </c>
      <c r="D463" s="310">
        <v>46041.0</v>
      </c>
      <c r="E463" s="95" t="s">
        <v>2958</v>
      </c>
    </row>
    <row r="464">
      <c r="A464" s="95" t="s">
        <v>2952</v>
      </c>
      <c r="B464" s="176" t="s">
        <v>2892</v>
      </c>
      <c r="C464" s="287" t="s">
        <v>1892</v>
      </c>
      <c r="D464" s="310">
        <v>46041.0</v>
      </c>
      <c r="E464" s="176" t="s">
        <v>2958</v>
      </c>
    </row>
    <row r="465">
      <c r="A465" s="95" t="s">
        <v>2952</v>
      </c>
      <c r="B465" s="95" t="s">
        <v>2959</v>
      </c>
      <c r="C465" s="287" t="s">
        <v>1892</v>
      </c>
      <c r="D465" s="310">
        <v>46041.0</v>
      </c>
      <c r="E465" s="95" t="s">
        <v>2960</v>
      </c>
    </row>
    <row r="466">
      <c r="A466" s="95" t="s">
        <v>2961</v>
      </c>
      <c r="B466" s="176" t="s">
        <v>2892</v>
      </c>
      <c r="C466" s="287" t="s">
        <v>1892</v>
      </c>
      <c r="D466" s="310">
        <v>46042.0</v>
      </c>
      <c r="E466" s="176" t="s">
        <v>2958</v>
      </c>
    </row>
    <row r="467">
      <c r="A467" s="95" t="s">
        <v>2961</v>
      </c>
      <c r="B467" s="176" t="s">
        <v>2962</v>
      </c>
      <c r="C467" s="287" t="s">
        <v>1892</v>
      </c>
      <c r="D467" s="310">
        <v>46042.0</v>
      </c>
      <c r="E467" s="176" t="s">
        <v>2963</v>
      </c>
    </row>
    <row r="468">
      <c r="A468" s="95" t="s">
        <v>2961</v>
      </c>
      <c r="B468" s="95" t="s">
        <v>2895</v>
      </c>
      <c r="C468" s="287" t="s">
        <v>1892</v>
      </c>
      <c r="D468" s="310">
        <v>46042.0</v>
      </c>
      <c r="E468" s="95" t="s">
        <v>2964</v>
      </c>
    </row>
    <row r="469">
      <c r="A469" s="95" t="s">
        <v>2961</v>
      </c>
      <c r="B469" s="176" t="s">
        <v>2965</v>
      </c>
      <c r="C469" s="287" t="s">
        <v>1892</v>
      </c>
      <c r="D469" s="310">
        <v>46042.0</v>
      </c>
      <c r="E469" s="176" t="s">
        <v>2966</v>
      </c>
    </row>
    <row r="470">
      <c r="A470" s="311"/>
      <c r="B470" s="311"/>
      <c r="C470" s="287"/>
      <c r="D470" s="310"/>
      <c r="E470" s="311"/>
    </row>
    <row r="471">
      <c r="A471" s="312"/>
      <c r="B471" s="312"/>
      <c r="C471" s="312"/>
      <c r="D471" s="312"/>
      <c r="E471" s="312"/>
    </row>
    <row r="472">
      <c r="A472" s="311"/>
      <c r="B472" s="311"/>
      <c r="C472" s="311"/>
      <c r="D472" s="311"/>
      <c r="E472" s="311"/>
    </row>
    <row r="473">
      <c r="A473" s="311"/>
      <c r="B473" s="311"/>
      <c r="C473" s="311"/>
      <c r="D473" s="311"/>
      <c r="E473" s="311"/>
    </row>
    <row r="474">
      <c r="A474" s="312"/>
      <c r="B474" s="312"/>
      <c r="C474" s="312"/>
      <c r="D474" s="312"/>
      <c r="E474" s="312"/>
    </row>
    <row r="475">
      <c r="A475" s="311"/>
      <c r="B475" s="311"/>
      <c r="C475" s="311"/>
      <c r="D475" s="311"/>
      <c r="E475" s="311"/>
    </row>
    <row r="476">
      <c r="A476" s="311"/>
      <c r="B476" s="311"/>
      <c r="C476" s="311"/>
      <c r="D476" s="311"/>
      <c r="E476" s="311"/>
    </row>
    <row r="477">
      <c r="A477" s="312"/>
      <c r="B477" s="312"/>
      <c r="C477" s="312"/>
      <c r="D477" s="312"/>
      <c r="E477" s="312"/>
    </row>
    <row r="478">
      <c r="A478" s="311"/>
      <c r="B478" s="311"/>
      <c r="C478" s="311"/>
      <c r="D478" s="311"/>
      <c r="E478" s="311"/>
    </row>
    <row r="479">
      <c r="A479" s="311"/>
      <c r="B479" s="311"/>
      <c r="C479" s="311"/>
      <c r="D479" s="311"/>
      <c r="E479" s="311"/>
    </row>
    <row r="480">
      <c r="A480" s="312"/>
      <c r="B480" s="312"/>
      <c r="C480" s="312"/>
      <c r="D480" s="312"/>
      <c r="E480" s="312"/>
    </row>
    <row r="481">
      <c r="A481" s="311"/>
      <c r="B481" s="311"/>
      <c r="C481" s="311"/>
      <c r="D481" s="311"/>
      <c r="E481" s="311"/>
    </row>
    <row r="482">
      <c r="D482" s="313"/>
    </row>
    <row r="483">
      <c r="D483" s="313"/>
    </row>
    <row r="484">
      <c r="D484" s="313"/>
    </row>
    <row r="485">
      <c r="D485" s="313"/>
    </row>
    <row r="486">
      <c r="D486" s="313"/>
    </row>
    <row r="487">
      <c r="D487" s="313"/>
    </row>
    <row r="488">
      <c r="D488" s="313"/>
    </row>
    <row r="489">
      <c r="D489" s="313"/>
    </row>
    <row r="490">
      <c r="D490" s="313"/>
    </row>
    <row r="491">
      <c r="D491" s="313"/>
    </row>
    <row r="492">
      <c r="D492" s="313"/>
    </row>
    <row r="493">
      <c r="D493" s="313"/>
    </row>
    <row r="494">
      <c r="D494" s="313"/>
    </row>
    <row r="495">
      <c r="D495" s="313"/>
    </row>
    <row r="496">
      <c r="D496" s="313"/>
    </row>
    <row r="497">
      <c r="D497" s="313"/>
    </row>
    <row r="498">
      <c r="D498" s="313"/>
    </row>
    <row r="499">
      <c r="D499" s="313"/>
    </row>
    <row r="500">
      <c r="D500" s="313"/>
    </row>
    <row r="501">
      <c r="D501" s="313"/>
    </row>
    <row r="502">
      <c r="D502" s="313"/>
    </row>
    <row r="503">
      <c r="D503" s="313"/>
    </row>
    <row r="504">
      <c r="D504" s="313"/>
    </row>
    <row r="505">
      <c r="D505" s="313"/>
    </row>
    <row r="506">
      <c r="D506" s="313"/>
    </row>
    <row r="507">
      <c r="D507" s="313"/>
    </row>
    <row r="508">
      <c r="D508" s="313"/>
    </row>
    <row r="509">
      <c r="D509" s="313"/>
    </row>
    <row r="510">
      <c r="D510" s="313"/>
    </row>
    <row r="511">
      <c r="D511" s="313"/>
    </row>
    <row r="512">
      <c r="D512" s="313"/>
    </row>
    <row r="513">
      <c r="D513" s="313"/>
    </row>
    <row r="514">
      <c r="D514" s="313"/>
    </row>
    <row r="515">
      <c r="D515" s="313"/>
    </row>
    <row r="516">
      <c r="D516" s="313"/>
    </row>
    <row r="517">
      <c r="D517" s="313"/>
    </row>
    <row r="518">
      <c r="D518" s="313"/>
    </row>
    <row r="519">
      <c r="D519" s="313"/>
    </row>
    <row r="520">
      <c r="D520" s="313"/>
    </row>
    <row r="521">
      <c r="D521" s="313"/>
    </row>
    <row r="522">
      <c r="D522" s="313"/>
    </row>
    <row r="523">
      <c r="D523" s="313"/>
    </row>
    <row r="524">
      <c r="D524" s="313"/>
    </row>
    <row r="525">
      <c r="D525" s="313"/>
    </row>
    <row r="526">
      <c r="D526" s="313"/>
    </row>
    <row r="527">
      <c r="D527" s="313"/>
    </row>
    <row r="528">
      <c r="D528" s="313"/>
    </row>
    <row r="529">
      <c r="D529" s="313"/>
    </row>
    <row r="530">
      <c r="D530" s="313"/>
    </row>
    <row r="531">
      <c r="D531" s="313"/>
    </row>
    <row r="532">
      <c r="D532" s="313"/>
    </row>
    <row r="533">
      <c r="D533" s="313"/>
    </row>
    <row r="534">
      <c r="D534" s="313"/>
    </row>
    <row r="535">
      <c r="D535" s="313"/>
    </row>
    <row r="536">
      <c r="D536" s="313"/>
    </row>
    <row r="537">
      <c r="D537" s="313"/>
    </row>
    <row r="538">
      <c r="D538" s="313"/>
    </row>
    <row r="539">
      <c r="D539" s="313"/>
    </row>
    <row r="540">
      <c r="D540" s="313"/>
    </row>
    <row r="541">
      <c r="D541" s="313"/>
    </row>
    <row r="542">
      <c r="D542" s="313"/>
    </row>
    <row r="543">
      <c r="D543" s="313"/>
    </row>
    <row r="544">
      <c r="D544" s="313"/>
    </row>
    <row r="545">
      <c r="D545" s="313"/>
    </row>
    <row r="546">
      <c r="D546" s="313"/>
    </row>
    <row r="547">
      <c r="D547" s="313"/>
    </row>
    <row r="548">
      <c r="D548" s="313"/>
    </row>
    <row r="549">
      <c r="D549" s="313"/>
    </row>
    <row r="550">
      <c r="D550" s="313"/>
    </row>
    <row r="551">
      <c r="D551" s="313"/>
    </row>
    <row r="552">
      <c r="D552" s="313"/>
    </row>
    <row r="553">
      <c r="D553" s="313"/>
    </row>
    <row r="554">
      <c r="D554" s="313"/>
    </row>
    <row r="555">
      <c r="D555" s="313"/>
    </row>
    <row r="556">
      <c r="D556" s="313"/>
    </row>
    <row r="557">
      <c r="D557" s="313"/>
    </row>
    <row r="558">
      <c r="D558" s="313"/>
    </row>
    <row r="559">
      <c r="D559" s="313"/>
    </row>
    <row r="560">
      <c r="D560" s="313"/>
    </row>
    <row r="561">
      <c r="D561" s="313"/>
    </row>
    <row r="562">
      <c r="D562" s="313"/>
    </row>
    <row r="563">
      <c r="D563" s="313"/>
    </row>
    <row r="564">
      <c r="D564" s="313"/>
    </row>
    <row r="565">
      <c r="D565" s="313"/>
    </row>
    <row r="566">
      <c r="D566" s="313"/>
    </row>
    <row r="567">
      <c r="D567" s="313"/>
    </row>
    <row r="568">
      <c r="D568" s="313"/>
    </row>
    <row r="569">
      <c r="D569" s="313"/>
    </row>
    <row r="570">
      <c r="D570" s="313"/>
    </row>
    <row r="571">
      <c r="D571" s="313"/>
    </row>
    <row r="572">
      <c r="D572" s="313"/>
    </row>
    <row r="573">
      <c r="D573" s="313"/>
    </row>
    <row r="574">
      <c r="D574" s="313"/>
    </row>
    <row r="575">
      <c r="D575" s="313"/>
    </row>
    <row r="576">
      <c r="D576" s="313"/>
    </row>
    <row r="577">
      <c r="D577" s="313"/>
    </row>
    <row r="578">
      <c r="D578" s="313"/>
    </row>
    <row r="579">
      <c r="D579" s="313"/>
    </row>
    <row r="580">
      <c r="D580" s="313"/>
    </row>
    <row r="581">
      <c r="D581" s="313"/>
    </row>
    <row r="582">
      <c r="D582" s="313"/>
    </row>
    <row r="583">
      <c r="D583" s="313"/>
    </row>
    <row r="584">
      <c r="D584" s="313"/>
    </row>
    <row r="585">
      <c r="D585" s="313"/>
    </row>
    <row r="586">
      <c r="D586" s="313"/>
    </row>
    <row r="587">
      <c r="D587" s="313"/>
    </row>
    <row r="588">
      <c r="D588" s="313"/>
    </row>
    <row r="589">
      <c r="D589" s="313"/>
    </row>
    <row r="590">
      <c r="D590" s="313"/>
    </row>
    <row r="591">
      <c r="D591" s="313"/>
    </row>
    <row r="592">
      <c r="D592" s="313"/>
    </row>
    <row r="593">
      <c r="D593" s="313"/>
    </row>
    <row r="594">
      <c r="D594" s="313"/>
    </row>
    <row r="595">
      <c r="D595" s="313"/>
    </row>
    <row r="596">
      <c r="D596" s="313"/>
    </row>
    <row r="597">
      <c r="D597" s="313"/>
    </row>
    <row r="598">
      <c r="D598" s="313"/>
    </row>
    <row r="599">
      <c r="D599" s="313"/>
    </row>
    <row r="600">
      <c r="D600" s="313"/>
    </row>
    <row r="601">
      <c r="D601" s="313"/>
    </row>
    <row r="602">
      <c r="D602" s="313"/>
    </row>
    <row r="603">
      <c r="D603" s="313"/>
    </row>
    <row r="604">
      <c r="D604" s="313"/>
    </row>
    <row r="605">
      <c r="D605" s="313"/>
    </row>
    <row r="606">
      <c r="D606" s="313"/>
    </row>
    <row r="607">
      <c r="D607" s="313"/>
    </row>
    <row r="608">
      <c r="D608" s="313"/>
    </row>
    <row r="609">
      <c r="D609" s="313"/>
    </row>
    <row r="610">
      <c r="D610" s="313"/>
    </row>
    <row r="611">
      <c r="D611" s="313"/>
    </row>
    <row r="612">
      <c r="D612" s="313"/>
    </row>
    <row r="613">
      <c r="D613" s="313"/>
    </row>
    <row r="614">
      <c r="D614" s="313"/>
    </row>
    <row r="615">
      <c r="D615" s="313"/>
    </row>
    <row r="616">
      <c r="D616" s="313"/>
    </row>
    <row r="617">
      <c r="D617" s="313"/>
    </row>
    <row r="618">
      <c r="D618" s="313"/>
    </row>
    <row r="619">
      <c r="D619" s="313"/>
    </row>
    <row r="620">
      <c r="D620" s="313"/>
    </row>
    <row r="621">
      <c r="D621" s="313"/>
    </row>
    <row r="622">
      <c r="D622" s="313"/>
    </row>
    <row r="623">
      <c r="D623" s="313"/>
    </row>
    <row r="624">
      <c r="D624" s="313"/>
    </row>
    <row r="625">
      <c r="D625" s="313"/>
    </row>
    <row r="626">
      <c r="D626" s="313"/>
    </row>
    <row r="627">
      <c r="D627" s="313"/>
    </row>
    <row r="628">
      <c r="D628" s="313"/>
    </row>
    <row r="629">
      <c r="D629" s="313"/>
    </row>
    <row r="630">
      <c r="D630" s="313"/>
    </row>
    <row r="631">
      <c r="D631" s="313"/>
    </row>
    <row r="632">
      <c r="D632" s="313"/>
    </row>
    <row r="633">
      <c r="D633" s="313"/>
    </row>
    <row r="634">
      <c r="D634" s="313"/>
    </row>
    <row r="635">
      <c r="D635" s="313"/>
    </row>
    <row r="636">
      <c r="D636" s="313"/>
    </row>
    <row r="637">
      <c r="D637" s="313"/>
    </row>
    <row r="638">
      <c r="D638" s="313"/>
    </row>
    <row r="639">
      <c r="D639" s="313"/>
    </row>
    <row r="640">
      <c r="D640" s="313"/>
    </row>
    <row r="641">
      <c r="D641" s="313"/>
    </row>
    <row r="642">
      <c r="D642" s="313"/>
    </row>
    <row r="643">
      <c r="D643" s="313"/>
    </row>
    <row r="644">
      <c r="D644" s="313"/>
    </row>
    <row r="645">
      <c r="D645" s="313"/>
    </row>
    <row r="646">
      <c r="D646" s="313"/>
    </row>
    <row r="647">
      <c r="D647" s="313"/>
    </row>
    <row r="648">
      <c r="D648" s="313"/>
    </row>
    <row r="649">
      <c r="D649" s="313"/>
    </row>
    <row r="650">
      <c r="D650" s="313"/>
    </row>
    <row r="651">
      <c r="D651" s="313"/>
    </row>
    <row r="652">
      <c r="D652" s="313"/>
    </row>
    <row r="653">
      <c r="D653" s="313"/>
    </row>
    <row r="654">
      <c r="D654" s="313"/>
    </row>
    <row r="655">
      <c r="D655" s="313"/>
    </row>
    <row r="656">
      <c r="D656" s="313"/>
    </row>
    <row r="657">
      <c r="D657" s="313"/>
    </row>
    <row r="658">
      <c r="D658" s="313"/>
    </row>
    <row r="659">
      <c r="D659" s="313"/>
    </row>
    <row r="660">
      <c r="D660" s="313"/>
    </row>
    <row r="661">
      <c r="D661" s="313"/>
    </row>
    <row r="662">
      <c r="D662" s="313"/>
    </row>
    <row r="663">
      <c r="D663" s="313"/>
    </row>
    <row r="664">
      <c r="D664" s="313"/>
    </row>
    <row r="665">
      <c r="D665" s="313"/>
    </row>
    <row r="666">
      <c r="D666" s="313"/>
    </row>
    <row r="667">
      <c r="D667" s="313"/>
    </row>
    <row r="668">
      <c r="D668" s="313"/>
    </row>
    <row r="669">
      <c r="D669" s="313"/>
    </row>
    <row r="670">
      <c r="D670" s="313"/>
    </row>
    <row r="671">
      <c r="D671" s="313"/>
    </row>
    <row r="672">
      <c r="D672" s="313"/>
    </row>
    <row r="673">
      <c r="D673" s="313"/>
    </row>
    <row r="674">
      <c r="D674" s="313"/>
    </row>
    <row r="675">
      <c r="D675" s="313"/>
    </row>
    <row r="676">
      <c r="D676" s="313"/>
    </row>
    <row r="677">
      <c r="D677" s="313"/>
    </row>
    <row r="678">
      <c r="D678" s="313"/>
    </row>
    <row r="679">
      <c r="D679" s="313"/>
    </row>
    <row r="680">
      <c r="D680" s="313"/>
    </row>
    <row r="681">
      <c r="D681" s="313"/>
    </row>
    <row r="682">
      <c r="D682" s="313"/>
    </row>
    <row r="683">
      <c r="D683" s="313"/>
    </row>
    <row r="684">
      <c r="D684" s="313"/>
    </row>
    <row r="685">
      <c r="D685" s="313"/>
    </row>
    <row r="686">
      <c r="D686" s="313"/>
    </row>
    <row r="687">
      <c r="D687" s="313"/>
    </row>
    <row r="688">
      <c r="D688" s="313"/>
    </row>
    <row r="689">
      <c r="D689" s="313"/>
    </row>
    <row r="690">
      <c r="D690" s="313"/>
    </row>
    <row r="691">
      <c r="D691" s="313"/>
    </row>
    <row r="692">
      <c r="D692" s="313"/>
    </row>
    <row r="693">
      <c r="D693" s="313"/>
    </row>
    <row r="694">
      <c r="D694" s="313"/>
    </row>
    <row r="695">
      <c r="D695" s="313"/>
    </row>
    <row r="696">
      <c r="D696" s="313"/>
    </row>
    <row r="697">
      <c r="D697" s="313"/>
    </row>
    <row r="698">
      <c r="D698" s="313"/>
    </row>
    <row r="699">
      <c r="D699" s="313"/>
    </row>
    <row r="700">
      <c r="D700" s="313"/>
    </row>
    <row r="701">
      <c r="D701" s="313"/>
    </row>
    <row r="702">
      <c r="D702" s="313"/>
    </row>
    <row r="703">
      <c r="D703" s="313"/>
    </row>
    <row r="704">
      <c r="D704" s="313"/>
    </row>
    <row r="705">
      <c r="D705" s="313"/>
    </row>
    <row r="706">
      <c r="D706" s="313"/>
    </row>
    <row r="707">
      <c r="D707" s="313"/>
    </row>
    <row r="708">
      <c r="D708" s="313"/>
    </row>
    <row r="709">
      <c r="D709" s="313"/>
    </row>
    <row r="710">
      <c r="D710" s="313"/>
    </row>
    <row r="711">
      <c r="D711" s="313"/>
    </row>
    <row r="712">
      <c r="D712" s="313"/>
    </row>
    <row r="713">
      <c r="D713" s="313"/>
    </row>
    <row r="714">
      <c r="D714" s="313"/>
    </row>
    <row r="715">
      <c r="D715" s="313"/>
    </row>
    <row r="716">
      <c r="D716" s="313"/>
    </row>
    <row r="717">
      <c r="D717" s="313"/>
    </row>
    <row r="718">
      <c r="D718" s="313"/>
    </row>
    <row r="719">
      <c r="D719" s="313"/>
    </row>
    <row r="720">
      <c r="D720" s="313"/>
    </row>
    <row r="721">
      <c r="D721" s="313"/>
    </row>
    <row r="722">
      <c r="D722" s="313"/>
    </row>
    <row r="723">
      <c r="D723" s="313"/>
    </row>
    <row r="724">
      <c r="D724" s="313"/>
    </row>
    <row r="725">
      <c r="D725" s="313"/>
    </row>
    <row r="726">
      <c r="D726" s="313"/>
    </row>
    <row r="727">
      <c r="D727" s="313"/>
    </row>
    <row r="728">
      <c r="D728" s="313"/>
    </row>
    <row r="729">
      <c r="D729" s="313"/>
    </row>
    <row r="730">
      <c r="D730" s="313"/>
    </row>
    <row r="731">
      <c r="D731" s="313"/>
    </row>
    <row r="732">
      <c r="D732" s="313"/>
    </row>
    <row r="733">
      <c r="D733" s="313"/>
    </row>
    <row r="734">
      <c r="D734" s="313"/>
    </row>
    <row r="735">
      <c r="D735" s="313"/>
    </row>
    <row r="736">
      <c r="D736" s="313"/>
    </row>
    <row r="737">
      <c r="D737" s="313"/>
    </row>
    <row r="738">
      <c r="D738" s="313"/>
    </row>
    <row r="739">
      <c r="D739" s="313"/>
    </row>
    <row r="740">
      <c r="D740" s="313"/>
    </row>
    <row r="741">
      <c r="D741" s="313"/>
    </row>
    <row r="742">
      <c r="D742" s="313"/>
    </row>
    <row r="743">
      <c r="D743" s="313"/>
    </row>
    <row r="744">
      <c r="D744" s="313"/>
    </row>
    <row r="745">
      <c r="D745" s="313"/>
    </row>
    <row r="746">
      <c r="D746" s="313"/>
    </row>
    <row r="747">
      <c r="D747" s="313"/>
    </row>
    <row r="748">
      <c r="D748" s="313"/>
    </row>
    <row r="749">
      <c r="D749" s="313"/>
    </row>
    <row r="750">
      <c r="D750" s="313"/>
    </row>
    <row r="751">
      <c r="D751" s="313"/>
    </row>
    <row r="752">
      <c r="D752" s="313"/>
    </row>
    <row r="753">
      <c r="D753" s="313"/>
    </row>
    <row r="754">
      <c r="D754" s="313"/>
    </row>
    <row r="755">
      <c r="D755" s="313"/>
    </row>
    <row r="756">
      <c r="D756" s="313"/>
    </row>
    <row r="757">
      <c r="D757" s="313"/>
    </row>
    <row r="758">
      <c r="D758" s="313"/>
    </row>
    <row r="759">
      <c r="D759" s="313"/>
    </row>
    <row r="760">
      <c r="D760" s="313"/>
    </row>
    <row r="761">
      <c r="D761" s="313"/>
    </row>
    <row r="762">
      <c r="D762" s="313"/>
    </row>
    <row r="763">
      <c r="D763" s="313"/>
    </row>
    <row r="764">
      <c r="D764" s="313"/>
    </row>
    <row r="765">
      <c r="D765" s="313"/>
    </row>
    <row r="766">
      <c r="D766" s="313"/>
    </row>
    <row r="767">
      <c r="D767" s="313"/>
    </row>
    <row r="768">
      <c r="D768" s="313"/>
    </row>
    <row r="769">
      <c r="D769" s="313"/>
    </row>
    <row r="770">
      <c r="D770" s="313"/>
    </row>
    <row r="771">
      <c r="D771" s="313"/>
    </row>
    <row r="772">
      <c r="D772" s="313"/>
    </row>
    <row r="773">
      <c r="D773" s="313"/>
    </row>
    <row r="774">
      <c r="D774" s="313"/>
    </row>
    <row r="775">
      <c r="D775" s="313"/>
    </row>
    <row r="776">
      <c r="D776" s="313"/>
    </row>
    <row r="777">
      <c r="D777" s="313"/>
    </row>
    <row r="778">
      <c r="D778" s="313"/>
    </row>
    <row r="779">
      <c r="D779" s="313"/>
    </row>
    <row r="780">
      <c r="D780" s="313"/>
    </row>
    <row r="781">
      <c r="D781" s="313"/>
    </row>
    <row r="782">
      <c r="D782" s="313"/>
    </row>
    <row r="783">
      <c r="D783" s="313"/>
    </row>
    <row r="784">
      <c r="D784" s="313"/>
    </row>
    <row r="785">
      <c r="D785" s="313"/>
    </row>
    <row r="786">
      <c r="D786" s="313"/>
    </row>
    <row r="787">
      <c r="D787" s="313"/>
    </row>
    <row r="788">
      <c r="D788" s="313"/>
    </row>
    <row r="789">
      <c r="D789" s="313"/>
    </row>
    <row r="790">
      <c r="D790" s="313"/>
    </row>
    <row r="791">
      <c r="D791" s="313"/>
    </row>
    <row r="792">
      <c r="D792" s="313"/>
    </row>
    <row r="793">
      <c r="D793" s="313"/>
    </row>
    <row r="794">
      <c r="D794" s="313"/>
    </row>
    <row r="795">
      <c r="D795" s="313"/>
    </row>
    <row r="796">
      <c r="D796" s="313"/>
    </row>
    <row r="797">
      <c r="D797" s="313"/>
    </row>
    <row r="798">
      <c r="D798" s="313"/>
    </row>
    <row r="799">
      <c r="D799" s="313"/>
    </row>
    <row r="800">
      <c r="D800" s="313"/>
    </row>
    <row r="801">
      <c r="D801" s="313"/>
    </row>
    <row r="802">
      <c r="D802" s="313"/>
    </row>
    <row r="803">
      <c r="D803" s="313"/>
    </row>
    <row r="804">
      <c r="D804" s="313"/>
    </row>
    <row r="805">
      <c r="D805" s="313"/>
    </row>
    <row r="806">
      <c r="D806" s="313"/>
    </row>
    <row r="807">
      <c r="D807" s="313"/>
    </row>
    <row r="808">
      <c r="D808" s="313"/>
    </row>
    <row r="809">
      <c r="D809" s="313"/>
    </row>
    <row r="810">
      <c r="D810" s="313"/>
    </row>
    <row r="811">
      <c r="D811" s="313"/>
    </row>
    <row r="812">
      <c r="D812" s="313"/>
    </row>
    <row r="813">
      <c r="D813" s="313"/>
    </row>
    <row r="814">
      <c r="D814" s="313"/>
    </row>
    <row r="815">
      <c r="D815" s="313"/>
    </row>
    <row r="816">
      <c r="D816" s="313"/>
    </row>
    <row r="817">
      <c r="D817" s="313"/>
    </row>
    <row r="818">
      <c r="D818" s="313"/>
    </row>
    <row r="819">
      <c r="D819" s="313"/>
    </row>
    <row r="820">
      <c r="D820" s="313"/>
    </row>
    <row r="821">
      <c r="D821" s="313"/>
    </row>
    <row r="822">
      <c r="D822" s="313"/>
    </row>
    <row r="823">
      <c r="D823" s="313"/>
    </row>
    <row r="824">
      <c r="D824" s="313"/>
    </row>
    <row r="825">
      <c r="D825" s="313"/>
    </row>
    <row r="826">
      <c r="D826" s="313"/>
    </row>
    <row r="827">
      <c r="D827" s="313"/>
    </row>
    <row r="828">
      <c r="D828" s="313"/>
    </row>
    <row r="829">
      <c r="D829" s="313"/>
    </row>
    <row r="830">
      <c r="D830" s="313"/>
    </row>
    <row r="831">
      <c r="D831" s="313"/>
    </row>
    <row r="832">
      <c r="D832" s="313"/>
    </row>
    <row r="833">
      <c r="D833" s="313"/>
    </row>
    <row r="834">
      <c r="D834" s="313"/>
    </row>
    <row r="835">
      <c r="D835" s="313"/>
    </row>
    <row r="836">
      <c r="D836" s="313"/>
    </row>
    <row r="837">
      <c r="D837" s="313"/>
    </row>
    <row r="838">
      <c r="D838" s="313"/>
    </row>
    <row r="839">
      <c r="D839" s="313"/>
    </row>
    <row r="840">
      <c r="D840" s="313"/>
    </row>
    <row r="841">
      <c r="D841" s="313"/>
    </row>
    <row r="842">
      <c r="D842" s="313"/>
    </row>
    <row r="843">
      <c r="D843" s="313"/>
    </row>
    <row r="844">
      <c r="D844" s="313"/>
    </row>
    <row r="845">
      <c r="D845" s="313"/>
    </row>
    <row r="846">
      <c r="D846" s="313"/>
    </row>
    <row r="847">
      <c r="D847" s="313"/>
    </row>
    <row r="848">
      <c r="D848" s="313"/>
    </row>
    <row r="849">
      <c r="D849" s="313"/>
    </row>
    <row r="850">
      <c r="D850" s="313"/>
    </row>
    <row r="851">
      <c r="D851" s="313"/>
    </row>
    <row r="852">
      <c r="D852" s="313"/>
    </row>
    <row r="853">
      <c r="D853" s="313"/>
    </row>
    <row r="854">
      <c r="D854" s="313"/>
    </row>
    <row r="855">
      <c r="D855" s="313"/>
    </row>
    <row r="856">
      <c r="D856" s="313"/>
    </row>
    <row r="857">
      <c r="D857" s="313"/>
    </row>
    <row r="858">
      <c r="D858" s="313"/>
    </row>
    <row r="859">
      <c r="D859" s="313"/>
    </row>
    <row r="860">
      <c r="D860" s="313"/>
    </row>
    <row r="861">
      <c r="D861" s="313"/>
    </row>
    <row r="862">
      <c r="D862" s="313"/>
    </row>
    <row r="863">
      <c r="D863" s="313"/>
    </row>
    <row r="864">
      <c r="D864" s="313"/>
    </row>
    <row r="865">
      <c r="D865" s="313"/>
    </row>
    <row r="866">
      <c r="D866" s="313"/>
    </row>
    <row r="867">
      <c r="D867" s="313"/>
    </row>
    <row r="868">
      <c r="D868" s="313"/>
    </row>
    <row r="869">
      <c r="D869" s="313"/>
    </row>
    <row r="870">
      <c r="D870" s="313"/>
    </row>
    <row r="871">
      <c r="D871" s="313"/>
    </row>
    <row r="872">
      <c r="D872" s="313"/>
    </row>
    <row r="873">
      <c r="D873" s="313"/>
    </row>
    <row r="874">
      <c r="D874" s="313"/>
    </row>
    <row r="875">
      <c r="D875" s="313"/>
    </row>
    <row r="876">
      <c r="D876" s="313"/>
    </row>
    <row r="877">
      <c r="D877" s="313"/>
    </row>
    <row r="878">
      <c r="D878" s="313"/>
    </row>
    <row r="879">
      <c r="D879" s="313"/>
    </row>
    <row r="880">
      <c r="D880" s="313"/>
    </row>
    <row r="881">
      <c r="D881" s="313"/>
    </row>
    <row r="882">
      <c r="D882" s="313"/>
    </row>
    <row r="883">
      <c r="D883" s="313"/>
    </row>
    <row r="884">
      <c r="D884" s="313"/>
    </row>
    <row r="885">
      <c r="D885" s="313"/>
    </row>
    <row r="886">
      <c r="D886" s="313"/>
    </row>
    <row r="887">
      <c r="D887" s="313"/>
    </row>
    <row r="888">
      <c r="D888" s="313"/>
    </row>
    <row r="889">
      <c r="D889" s="313"/>
    </row>
    <row r="890">
      <c r="D890" s="313"/>
    </row>
    <row r="891">
      <c r="D891" s="313"/>
    </row>
    <row r="892">
      <c r="D892" s="313"/>
    </row>
    <row r="893">
      <c r="D893" s="313"/>
    </row>
    <row r="894">
      <c r="D894" s="313"/>
    </row>
    <row r="895">
      <c r="D895" s="313"/>
    </row>
    <row r="896">
      <c r="D896" s="313"/>
    </row>
    <row r="897">
      <c r="D897" s="313"/>
    </row>
    <row r="898">
      <c r="D898" s="313"/>
    </row>
    <row r="899">
      <c r="D899" s="313"/>
    </row>
    <row r="900">
      <c r="D900" s="313"/>
    </row>
    <row r="901">
      <c r="D901" s="313"/>
    </row>
    <row r="902">
      <c r="D902" s="313"/>
    </row>
    <row r="903">
      <c r="D903" s="313"/>
    </row>
    <row r="904">
      <c r="D904" s="313"/>
    </row>
    <row r="905">
      <c r="D905" s="313"/>
    </row>
    <row r="906">
      <c r="D906" s="313"/>
    </row>
    <row r="907">
      <c r="D907" s="313"/>
    </row>
    <row r="908">
      <c r="D908" s="313"/>
    </row>
    <row r="909">
      <c r="D909" s="313"/>
    </row>
    <row r="910">
      <c r="D910" s="313"/>
    </row>
    <row r="911">
      <c r="D911" s="313"/>
    </row>
    <row r="912">
      <c r="D912" s="313"/>
    </row>
    <row r="913">
      <c r="D913" s="313"/>
    </row>
    <row r="914">
      <c r="D914" s="313"/>
    </row>
    <row r="915">
      <c r="D915" s="313"/>
    </row>
    <row r="916">
      <c r="D916" s="313"/>
    </row>
    <row r="917">
      <c r="D917" s="313"/>
    </row>
    <row r="918">
      <c r="D918" s="313"/>
    </row>
    <row r="919">
      <c r="D919" s="313"/>
    </row>
    <row r="920">
      <c r="D920" s="313"/>
    </row>
    <row r="921">
      <c r="D921" s="313"/>
    </row>
    <row r="922">
      <c r="D922" s="313"/>
    </row>
    <row r="923">
      <c r="D923" s="313"/>
    </row>
    <row r="924">
      <c r="D924" s="313"/>
    </row>
    <row r="925">
      <c r="D925" s="313"/>
    </row>
    <row r="926">
      <c r="D926" s="313"/>
    </row>
    <row r="927">
      <c r="D927" s="313"/>
    </row>
    <row r="928">
      <c r="D928" s="313"/>
    </row>
    <row r="929">
      <c r="D929" s="313"/>
    </row>
    <row r="930">
      <c r="D930" s="313"/>
    </row>
    <row r="931">
      <c r="D931" s="313"/>
    </row>
    <row r="932">
      <c r="D932" s="313"/>
    </row>
    <row r="933">
      <c r="D933" s="313"/>
    </row>
    <row r="934">
      <c r="D934" s="313"/>
    </row>
    <row r="935">
      <c r="D935" s="313"/>
    </row>
    <row r="936">
      <c r="D936" s="313"/>
    </row>
    <row r="937">
      <c r="D937" s="313"/>
    </row>
    <row r="938">
      <c r="D938" s="313"/>
    </row>
    <row r="939">
      <c r="D939" s="313"/>
    </row>
    <row r="940">
      <c r="D940" s="313"/>
    </row>
    <row r="941">
      <c r="D941" s="313"/>
    </row>
    <row r="942">
      <c r="D942" s="313"/>
    </row>
    <row r="943">
      <c r="D943" s="313"/>
    </row>
    <row r="944">
      <c r="D944" s="313"/>
    </row>
    <row r="945">
      <c r="D945" s="313"/>
    </row>
    <row r="946">
      <c r="D946" s="313"/>
    </row>
    <row r="947">
      <c r="D947" s="313"/>
    </row>
    <row r="948">
      <c r="D948" s="313"/>
    </row>
    <row r="949">
      <c r="D949" s="313"/>
    </row>
    <row r="950">
      <c r="D950" s="313"/>
    </row>
    <row r="951">
      <c r="D951" s="313"/>
    </row>
    <row r="952">
      <c r="D952" s="313"/>
    </row>
    <row r="953">
      <c r="D953" s="313"/>
    </row>
    <row r="954">
      <c r="D954" s="313"/>
    </row>
    <row r="955">
      <c r="D955" s="313"/>
    </row>
    <row r="956">
      <c r="D956" s="313"/>
    </row>
    <row r="957">
      <c r="D957" s="313"/>
    </row>
    <row r="958">
      <c r="D958" s="313"/>
    </row>
    <row r="959">
      <c r="D959" s="313"/>
    </row>
    <row r="960">
      <c r="D960" s="313"/>
    </row>
    <row r="961">
      <c r="D961" s="313"/>
    </row>
    <row r="962">
      <c r="D962" s="313"/>
    </row>
    <row r="963">
      <c r="D963" s="313"/>
    </row>
    <row r="964">
      <c r="D964" s="313"/>
    </row>
    <row r="965">
      <c r="D965" s="313"/>
    </row>
    <row r="966">
      <c r="D966" s="313"/>
    </row>
    <row r="967">
      <c r="D967" s="313"/>
    </row>
    <row r="968">
      <c r="D968" s="313"/>
    </row>
    <row r="969">
      <c r="D969" s="313"/>
    </row>
    <row r="970">
      <c r="D970" s="313"/>
    </row>
    <row r="971">
      <c r="D971" s="313"/>
    </row>
    <row r="972">
      <c r="D972" s="313"/>
    </row>
    <row r="973">
      <c r="D973" s="313"/>
    </row>
    <row r="974">
      <c r="D974" s="313"/>
    </row>
    <row r="975">
      <c r="D975" s="313"/>
    </row>
    <row r="976">
      <c r="D976" s="313"/>
    </row>
    <row r="977">
      <c r="D977" s="313"/>
    </row>
    <row r="978">
      <c r="D978" s="313"/>
    </row>
    <row r="979">
      <c r="D979" s="313"/>
    </row>
    <row r="980">
      <c r="D980" s="313"/>
    </row>
    <row r="981">
      <c r="D981" s="313"/>
    </row>
    <row r="982">
      <c r="D982" s="313"/>
    </row>
    <row r="983">
      <c r="D983" s="313"/>
    </row>
    <row r="984">
      <c r="D984" s="313"/>
    </row>
    <row r="985">
      <c r="D985" s="313"/>
    </row>
    <row r="986">
      <c r="D986" s="313"/>
    </row>
    <row r="987">
      <c r="D987" s="313"/>
    </row>
    <row r="988">
      <c r="D988" s="313"/>
    </row>
    <row r="989">
      <c r="D989" s="313"/>
    </row>
    <row r="990">
      <c r="D990" s="313"/>
    </row>
    <row r="991">
      <c r="D991" s="313"/>
    </row>
    <row r="992">
      <c r="D992" s="313"/>
    </row>
    <row r="993">
      <c r="D993" s="313"/>
    </row>
    <row r="994">
      <c r="D994" s="313"/>
    </row>
    <row r="995">
      <c r="D995" s="313"/>
    </row>
    <row r="996">
      <c r="D996" s="313"/>
    </row>
    <row r="997">
      <c r="D997" s="313"/>
    </row>
    <row r="998">
      <c r="D998" s="313"/>
    </row>
    <row r="999">
      <c r="D999" s="313"/>
    </row>
    <row r="1000">
      <c r="D1000" s="313"/>
    </row>
    <row r="1001">
      <c r="D1001" s="313"/>
    </row>
    <row r="1002">
      <c r="D1002" s="313"/>
    </row>
    <row r="1003">
      <c r="D1003" s="313"/>
    </row>
    <row r="1004">
      <c r="D1004" s="313"/>
    </row>
    <row r="1005">
      <c r="D1005" s="313"/>
    </row>
    <row r="1006">
      <c r="D1006" s="313"/>
    </row>
    <row r="1007">
      <c r="D1007" s="313"/>
    </row>
    <row r="1008">
      <c r="D1008" s="313"/>
    </row>
    <row r="1009">
      <c r="D1009" s="313"/>
    </row>
    <row r="1010">
      <c r="D1010" s="313"/>
    </row>
    <row r="1011">
      <c r="D1011" s="313"/>
    </row>
    <row r="1012">
      <c r="D1012" s="313"/>
    </row>
    <row r="1013">
      <c r="D1013" s="313"/>
    </row>
    <row r="1014">
      <c r="D1014" s="313"/>
    </row>
    <row r="1015">
      <c r="D1015" s="313"/>
    </row>
    <row r="1016">
      <c r="D1016" s="313"/>
    </row>
    <row r="1017">
      <c r="D1017" s="313"/>
    </row>
    <row r="1018">
      <c r="D1018" s="313"/>
    </row>
    <row r="1019">
      <c r="D1019" s="313"/>
    </row>
    <row r="1020">
      <c r="D1020" s="313"/>
    </row>
    <row r="1021">
      <c r="D1021" s="313"/>
    </row>
    <row r="1022">
      <c r="D1022" s="313"/>
    </row>
    <row r="1023">
      <c r="D1023" s="313"/>
    </row>
    <row r="1024">
      <c r="D1024" s="313"/>
    </row>
    <row r="1025">
      <c r="D1025" s="313"/>
    </row>
    <row r="1026">
      <c r="D1026" s="313"/>
    </row>
    <row r="1027">
      <c r="D1027" s="313"/>
    </row>
    <row r="1028">
      <c r="D1028" s="313"/>
    </row>
    <row r="1029">
      <c r="D1029" s="313"/>
    </row>
    <row r="1030">
      <c r="D1030" s="313"/>
    </row>
    <row r="1031">
      <c r="D1031" s="313"/>
    </row>
    <row r="1032">
      <c r="D1032" s="313"/>
    </row>
    <row r="1033">
      <c r="D1033" s="313"/>
    </row>
    <row r="1034">
      <c r="D1034" s="313"/>
    </row>
    <row r="1035">
      <c r="D1035" s="313"/>
    </row>
    <row r="1036">
      <c r="D1036" s="313"/>
    </row>
    <row r="1037">
      <c r="D1037" s="313"/>
    </row>
    <row r="1038">
      <c r="D1038" s="313"/>
    </row>
    <row r="1039">
      <c r="D1039" s="313"/>
    </row>
    <row r="1040">
      <c r="D1040" s="313"/>
    </row>
    <row r="1041">
      <c r="D1041" s="313"/>
    </row>
    <row r="1042">
      <c r="D1042" s="313"/>
    </row>
    <row r="1043">
      <c r="D1043" s="313"/>
    </row>
    <row r="1044">
      <c r="D1044" s="313"/>
    </row>
    <row r="1045">
      <c r="D1045" s="313"/>
    </row>
    <row r="1046">
      <c r="D1046" s="313"/>
    </row>
    <row r="1047">
      <c r="D1047" s="313"/>
    </row>
    <row r="1048">
      <c r="D1048" s="313"/>
    </row>
    <row r="1049">
      <c r="D1049" s="313"/>
    </row>
    <row r="1050">
      <c r="D1050" s="313"/>
    </row>
    <row r="1051">
      <c r="D1051" s="313"/>
    </row>
    <row r="1052">
      <c r="D1052" s="313"/>
    </row>
    <row r="1053">
      <c r="D1053" s="313"/>
    </row>
    <row r="1054">
      <c r="D1054" s="313"/>
    </row>
    <row r="1055">
      <c r="D1055" s="313"/>
    </row>
    <row r="1056">
      <c r="D1056" s="313"/>
    </row>
    <row r="1057">
      <c r="D1057" s="313"/>
    </row>
    <row r="1058">
      <c r="D1058" s="313"/>
    </row>
    <row r="1059">
      <c r="D1059" s="313"/>
    </row>
    <row r="1060">
      <c r="D1060" s="313"/>
    </row>
    <row r="1061">
      <c r="D1061" s="313"/>
    </row>
    <row r="1062">
      <c r="D1062" s="313"/>
    </row>
    <row r="1063">
      <c r="D1063" s="313"/>
    </row>
    <row r="1064">
      <c r="D1064" s="313"/>
    </row>
    <row r="1065">
      <c r="D1065" s="313"/>
    </row>
    <row r="1066">
      <c r="D1066" s="313"/>
    </row>
    <row r="1067">
      <c r="D1067" s="313"/>
    </row>
    <row r="1068">
      <c r="D1068" s="313"/>
    </row>
    <row r="1069">
      <c r="D1069" s="313"/>
    </row>
    <row r="1070">
      <c r="D1070" s="313"/>
    </row>
    <row r="1071">
      <c r="D1071" s="313"/>
    </row>
    <row r="1072">
      <c r="D1072" s="313"/>
    </row>
    <row r="1073">
      <c r="D1073" s="313"/>
    </row>
    <row r="1074">
      <c r="D1074" s="313"/>
    </row>
    <row r="1075">
      <c r="D1075" s="313"/>
    </row>
    <row r="1076">
      <c r="D1076" s="313"/>
    </row>
    <row r="1077">
      <c r="D1077" s="313"/>
    </row>
    <row r="1078">
      <c r="D1078" s="313"/>
    </row>
    <row r="1079">
      <c r="D1079" s="313"/>
    </row>
    <row r="1080">
      <c r="D1080" s="313"/>
    </row>
    <row r="1081">
      <c r="D1081" s="313"/>
    </row>
    <row r="1082">
      <c r="D1082" s="313"/>
    </row>
    <row r="1083">
      <c r="D1083" s="313"/>
    </row>
    <row r="1084">
      <c r="D1084" s="313"/>
    </row>
    <row r="1085">
      <c r="D1085" s="313"/>
    </row>
    <row r="1086">
      <c r="D1086" s="313"/>
    </row>
    <row r="1087">
      <c r="D1087" s="313"/>
    </row>
    <row r="1088">
      <c r="D1088" s="313"/>
    </row>
  </sheetData>
  <dataValidations>
    <dataValidation type="custom" allowBlank="1" showDropDown="1" sqref="A99:A135 D99:D135">
      <formula1>OR(NOT(ISERROR(DATEVALUE(A99))), AND(ISNUMBER(A99), LEFT(CELL("format", A99))="D"))</formula1>
    </dataValidation>
    <dataValidation type="custom" allowBlank="1" showDropDown="1" sqref="E99:E135">
      <formula1>AND(ISNUMBER(E99),(NOT(OR(NOT(ISERROR(DATEVALUE(E99))), AND(ISNUMBER(E99), LEFT(CELL("format", E99))="D")))))</formula1>
    </dataValidation>
    <dataValidation type="list" allowBlank="1" showDropDown="1" showErrorMessage="1" sqref="C99:C135">
      <formula1>"In,Out"</formula1>
    </dataValidation>
  </dataValidations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7" width="18.88"/>
  </cols>
  <sheetData>
    <row r="1">
      <c r="A1" s="294" t="s">
        <v>3</v>
      </c>
      <c r="B1" s="295" t="s">
        <v>2447</v>
      </c>
      <c r="C1" s="296" t="s">
        <v>1194</v>
      </c>
      <c r="D1" s="297" t="s">
        <v>2447</v>
      </c>
      <c r="E1" s="298" t="s">
        <v>2447</v>
      </c>
      <c r="F1" s="299" t="s">
        <v>2447</v>
      </c>
      <c r="G1" s="299" t="s">
        <v>2447</v>
      </c>
      <c r="H1" s="299" t="s">
        <v>2447</v>
      </c>
      <c r="I1" s="299" t="s">
        <v>2447</v>
      </c>
      <c r="J1" s="299" t="s">
        <v>2447</v>
      </c>
      <c r="K1" s="299" t="s">
        <v>2447</v>
      </c>
      <c r="L1" s="299" t="s">
        <v>2447</v>
      </c>
      <c r="M1" s="300" t="s">
        <v>2447</v>
      </c>
      <c r="N1" s="300" t="s">
        <v>2447</v>
      </c>
      <c r="O1" s="300" t="s">
        <v>2447</v>
      </c>
      <c r="P1" s="301" t="s">
        <v>2447</v>
      </c>
      <c r="Q1" s="301" t="s">
        <v>2447</v>
      </c>
      <c r="R1" s="301" t="s">
        <v>2447</v>
      </c>
      <c r="S1" s="301" t="s">
        <v>2447</v>
      </c>
      <c r="T1" s="301" t="s">
        <v>2447</v>
      </c>
      <c r="U1" s="301" t="s">
        <v>2447</v>
      </c>
      <c r="V1" s="301" t="s">
        <v>2447</v>
      </c>
      <c r="W1" s="301" t="s">
        <v>2447</v>
      </c>
      <c r="X1" s="301" t="s">
        <v>2447</v>
      </c>
      <c r="Y1" s="301" t="s">
        <v>2447</v>
      </c>
      <c r="Z1" s="301" t="s">
        <v>2447</v>
      </c>
      <c r="AA1" s="301" t="s">
        <v>2447</v>
      </c>
      <c r="AB1" s="301" t="s">
        <v>2791</v>
      </c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301" t="s">
        <v>1555</v>
      </c>
      <c r="BC1" s="301" t="s">
        <v>1555</v>
      </c>
      <c r="BD1" s="301" t="s">
        <v>1555</v>
      </c>
      <c r="BE1" s="301" t="s">
        <v>1555</v>
      </c>
      <c r="BF1" s="301" t="s">
        <v>1555</v>
      </c>
      <c r="BG1" s="301" t="s">
        <v>1555</v>
      </c>
      <c r="BH1" s="301" t="s">
        <v>1555</v>
      </c>
      <c r="BI1" s="301" t="s">
        <v>1555</v>
      </c>
      <c r="BJ1" s="301" t="s">
        <v>1555</v>
      </c>
      <c r="BK1" s="301" t="s">
        <v>1555</v>
      </c>
      <c r="BL1" s="301" t="s">
        <v>1555</v>
      </c>
      <c r="BM1" s="301" t="s">
        <v>1555</v>
      </c>
      <c r="BN1" s="301" t="s">
        <v>1555</v>
      </c>
      <c r="BO1" s="301" t="s">
        <v>1555</v>
      </c>
      <c r="BP1" s="301" t="s">
        <v>1555</v>
      </c>
      <c r="BQ1" s="301" t="s">
        <v>1555</v>
      </c>
      <c r="BR1" s="301" t="s">
        <v>1555</v>
      </c>
      <c r="BS1" s="301" t="s">
        <v>1555</v>
      </c>
      <c r="BT1" s="301" t="s">
        <v>1555</v>
      </c>
      <c r="BU1" s="301" t="s">
        <v>1555</v>
      </c>
      <c r="BV1" s="301" t="s">
        <v>1555</v>
      </c>
      <c r="BW1" s="301" t="s">
        <v>1555</v>
      </c>
      <c r="BX1" s="301" t="s">
        <v>1555</v>
      </c>
      <c r="BY1" s="301" t="s">
        <v>1555</v>
      </c>
      <c r="BZ1" s="301" t="s">
        <v>1555</v>
      </c>
      <c r="CA1" s="92"/>
      <c r="CB1" s="92"/>
      <c r="CC1" s="92"/>
    </row>
    <row r="2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  <c r="CB2" s="92"/>
      <c r="CC2" s="92"/>
    </row>
    <row r="3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2"/>
      <c r="CC3" s="92"/>
    </row>
    <row r="4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2"/>
      <c r="BR4" s="92"/>
      <c r="BS4" s="92"/>
      <c r="BT4" s="92"/>
      <c r="BU4" s="92"/>
      <c r="BV4" s="92"/>
      <c r="BW4" s="92"/>
      <c r="BX4" s="92"/>
      <c r="BY4" s="92"/>
      <c r="BZ4" s="92"/>
      <c r="CA4" s="92"/>
      <c r="CB4" s="92"/>
      <c r="CC4" s="92"/>
    </row>
    <row r="5">
      <c r="A5" s="58"/>
      <c r="AB5" s="2" t="s">
        <v>1560</v>
      </c>
      <c r="BB5" s="2">
        <v>5000.0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4" max="4" width="18.0"/>
    <col customWidth="1" min="9" max="9" width="22.5"/>
    <col customWidth="1" min="10" max="10" width="20.0"/>
  </cols>
  <sheetData>
    <row r="1">
      <c r="A1" s="314" t="s">
        <v>2967</v>
      </c>
      <c r="B1" s="314" t="s">
        <v>2968</v>
      </c>
      <c r="C1" s="315" t="s">
        <v>2969</v>
      </c>
      <c r="D1" s="315" t="s">
        <v>2970</v>
      </c>
      <c r="E1" s="314" t="s">
        <v>2971</v>
      </c>
      <c r="F1" s="316" t="s">
        <v>2972</v>
      </c>
      <c r="G1" s="316" t="s">
        <v>2973</v>
      </c>
      <c r="H1" s="315" t="s">
        <v>2974</v>
      </c>
      <c r="I1" s="317" t="s">
        <v>1861</v>
      </c>
      <c r="J1" s="318" t="s">
        <v>2975</v>
      </c>
    </row>
    <row r="2">
      <c r="A2" s="2" t="s">
        <v>201</v>
      </c>
      <c r="B2" s="2" t="s">
        <v>2976</v>
      </c>
      <c r="C2" s="4">
        <v>800.0</v>
      </c>
      <c r="D2" s="4">
        <v>640.0</v>
      </c>
      <c r="E2" s="4">
        <v>0.0</v>
      </c>
      <c r="F2" s="2" t="s">
        <v>22</v>
      </c>
      <c r="G2" s="2" t="s">
        <v>2977</v>
      </c>
      <c r="H2" s="2" t="s">
        <v>2978</v>
      </c>
      <c r="I2" s="319">
        <v>46055.56980776621</v>
      </c>
      <c r="J2" s="319">
        <v>46055.569807824075</v>
      </c>
    </row>
    <row r="3">
      <c r="A3" s="2" t="s">
        <v>1601</v>
      </c>
      <c r="B3" s="2" t="s">
        <v>1602</v>
      </c>
      <c r="C3" s="4">
        <v>240.0</v>
      </c>
      <c r="D3" s="4">
        <v>192.0</v>
      </c>
      <c r="E3" s="4">
        <v>0.0</v>
      </c>
      <c r="F3" s="2" t="s">
        <v>22</v>
      </c>
      <c r="G3" s="2" t="s">
        <v>2977</v>
      </c>
      <c r="H3" s="2" t="s">
        <v>2979</v>
      </c>
      <c r="I3" s="319">
        <v>46055.569807824075</v>
      </c>
      <c r="J3" s="319">
        <v>46055.56980787037</v>
      </c>
    </row>
    <row r="4">
      <c r="A4" s="2" t="s">
        <v>304</v>
      </c>
      <c r="B4" s="2" t="s">
        <v>306</v>
      </c>
      <c r="C4" s="4">
        <v>8.0</v>
      </c>
      <c r="D4" s="4">
        <v>6.0</v>
      </c>
      <c r="E4" s="4">
        <v>2.0</v>
      </c>
      <c r="F4" s="2" t="s">
        <v>290</v>
      </c>
      <c r="G4" s="2" t="s">
        <v>2980</v>
      </c>
      <c r="H4" s="2" t="s">
        <v>2978</v>
      </c>
      <c r="I4" s="319">
        <v>46055.56980788194</v>
      </c>
      <c r="J4" s="319">
        <v>46055.56980791666</v>
      </c>
    </row>
    <row r="5">
      <c r="A5" s="2" t="s">
        <v>314</v>
      </c>
      <c r="B5" s="2" t="s">
        <v>315</v>
      </c>
      <c r="C5" s="4">
        <v>2.0</v>
      </c>
      <c r="D5" s="4">
        <v>2.0</v>
      </c>
      <c r="E5" s="4">
        <v>1.0</v>
      </c>
      <c r="F5" s="2" t="s">
        <v>290</v>
      </c>
      <c r="G5" s="2" t="s">
        <v>2981</v>
      </c>
      <c r="H5" s="2" t="s">
        <v>2982</v>
      </c>
      <c r="I5" s="319">
        <v>46055.569807928245</v>
      </c>
      <c r="J5" s="319">
        <v>46055.569807974534</v>
      </c>
    </row>
    <row r="6">
      <c r="A6" s="2" t="s">
        <v>588</v>
      </c>
      <c r="B6" s="2" t="s">
        <v>589</v>
      </c>
      <c r="C6" s="4">
        <v>2.0</v>
      </c>
      <c r="D6" s="4">
        <v>2.0</v>
      </c>
      <c r="E6" s="4">
        <v>1.0</v>
      </c>
      <c r="F6" s="2" t="s">
        <v>290</v>
      </c>
      <c r="G6" s="2" t="s">
        <v>2981</v>
      </c>
      <c r="H6" s="2" t="s">
        <v>2978</v>
      </c>
      <c r="I6" s="319">
        <v>46055.569807974534</v>
      </c>
      <c r="J6" s="319">
        <v>46055.569808009255</v>
      </c>
    </row>
    <row r="7">
      <c r="A7" s="2" t="s">
        <v>1819</v>
      </c>
      <c r="B7" s="2" t="s">
        <v>1820</v>
      </c>
      <c r="C7" s="4">
        <v>2.0</v>
      </c>
      <c r="D7" s="4">
        <v>2.0</v>
      </c>
      <c r="E7" s="4">
        <v>1.0</v>
      </c>
      <c r="F7" s="2" t="s">
        <v>290</v>
      </c>
      <c r="G7" s="2" t="s">
        <v>2981</v>
      </c>
      <c r="H7" s="2" t="s">
        <v>2979</v>
      </c>
      <c r="I7" s="319">
        <v>46055.569808009255</v>
      </c>
      <c r="J7" s="319">
        <v>46055.56980806713</v>
      </c>
    </row>
    <row r="8">
      <c r="A8" s="2" t="s">
        <v>692</v>
      </c>
      <c r="B8" s="2" t="s">
        <v>693</v>
      </c>
      <c r="C8" s="4">
        <v>8.0</v>
      </c>
      <c r="D8" s="4">
        <v>6.0</v>
      </c>
      <c r="E8" s="4">
        <v>2.0</v>
      </c>
      <c r="F8" s="2" t="s">
        <v>661</v>
      </c>
      <c r="G8" s="2" t="s">
        <v>2983</v>
      </c>
      <c r="H8" s="2" t="s">
        <v>2982</v>
      </c>
      <c r="I8" s="319">
        <v>46055.56980806713</v>
      </c>
      <c r="J8" s="319">
        <v>46055.569808125</v>
      </c>
    </row>
    <row r="9">
      <c r="A9" s="2" t="s">
        <v>33</v>
      </c>
      <c r="B9" s="2" t="s">
        <v>2984</v>
      </c>
      <c r="C9" s="4">
        <v>80.0</v>
      </c>
      <c r="D9" s="4">
        <v>64.0</v>
      </c>
      <c r="E9" s="4">
        <v>0.0</v>
      </c>
      <c r="F9" s="2" t="s">
        <v>22</v>
      </c>
      <c r="G9" s="2" t="s">
        <v>2977</v>
      </c>
      <c r="H9" s="2" t="s">
        <v>2982</v>
      </c>
      <c r="I9" s="319">
        <v>46055.724567303245</v>
      </c>
      <c r="J9" s="319">
        <v>46055.72456736111</v>
      </c>
    </row>
    <row r="10">
      <c r="A10" s="2" t="s">
        <v>74</v>
      </c>
      <c r="B10" s="2" t="s">
        <v>2985</v>
      </c>
      <c r="C10" s="4">
        <v>240.0</v>
      </c>
      <c r="D10" s="4">
        <v>192.0</v>
      </c>
      <c r="E10" s="4">
        <v>0.0</v>
      </c>
      <c r="F10" s="2" t="s">
        <v>22</v>
      </c>
      <c r="G10" s="2" t="s">
        <v>2977</v>
      </c>
      <c r="H10" s="2" t="s">
        <v>2979</v>
      </c>
      <c r="I10" s="319">
        <v>46055.72456736111</v>
      </c>
      <c r="J10" s="319">
        <v>46055.72456744213</v>
      </c>
    </row>
    <row r="11">
      <c r="A11" s="2" t="s">
        <v>201</v>
      </c>
      <c r="B11" s="2" t="s">
        <v>2976</v>
      </c>
      <c r="C11" s="4">
        <v>800.0</v>
      </c>
      <c r="D11" s="4">
        <v>640.0</v>
      </c>
      <c r="E11" s="4">
        <v>0.0</v>
      </c>
      <c r="F11" s="2" t="s">
        <v>22</v>
      </c>
      <c r="G11" s="2" t="s">
        <v>2977</v>
      </c>
      <c r="H11" s="2" t="s">
        <v>2978</v>
      </c>
      <c r="I11" s="319">
        <v>46056.037756875</v>
      </c>
      <c r="J11" s="319">
        <v>46056.03775693287</v>
      </c>
    </row>
    <row r="12">
      <c r="A12" s="2" t="s">
        <v>33</v>
      </c>
      <c r="B12" s="2" t="s">
        <v>2984</v>
      </c>
      <c r="C12" s="4">
        <v>80.0</v>
      </c>
      <c r="D12" s="4">
        <v>64.0</v>
      </c>
      <c r="E12" s="4">
        <v>0.0</v>
      </c>
      <c r="F12" s="2" t="s">
        <v>22</v>
      </c>
      <c r="G12" s="2" t="s">
        <v>2977</v>
      </c>
      <c r="H12" s="2" t="s">
        <v>2982</v>
      </c>
      <c r="I12" s="319">
        <v>46056.03775693287</v>
      </c>
      <c r="J12" s="319">
        <v>46056.037757048616</v>
      </c>
    </row>
    <row r="13">
      <c r="A13" s="2" t="s">
        <v>74</v>
      </c>
      <c r="B13" s="2" t="s">
        <v>2985</v>
      </c>
      <c r="C13" s="4">
        <v>240.0</v>
      </c>
      <c r="D13" s="4">
        <v>192.0</v>
      </c>
      <c r="E13" s="4">
        <v>0.0</v>
      </c>
      <c r="F13" s="2" t="s">
        <v>22</v>
      </c>
      <c r="G13" s="2" t="s">
        <v>2977</v>
      </c>
      <c r="H13" s="2" t="s">
        <v>2979</v>
      </c>
      <c r="I13" s="319">
        <v>46056.037757048616</v>
      </c>
      <c r="J13" s="319">
        <v>46056.03775716435</v>
      </c>
    </row>
    <row r="14">
      <c r="A14" s="2" t="s">
        <v>1601</v>
      </c>
      <c r="B14" s="2" t="s">
        <v>1602</v>
      </c>
      <c r="C14" s="4">
        <v>240.0</v>
      </c>
      <c r="D14" s="4">
        <v>192.0</v>
      </c>
      <c r="E14" s="4">
        <v>0.0</v>
      </c>
      <c r="F14" s="2" t="s">
        <v>22</v>
      </c>
      <c r="G14" s="2" t="s">
        <v>2977</v>
      </c>
      <c r="H14" s="2" t="s">
        <v>2979</v>
      </c>
      <c r="I14" s="319">
        <v>46056.03775716435</v>
      </c>
      <c r="J14" s="319">
        <v>46056.037757303246</v>
      </c>
    </row>
    <row r="15">
      <c r="A15" s="2" t="s">
        <v>304</v>
      </c>
      <c r="B15" s="2" t="s">
        <v>306</v>
      </c>
      <c r="C15" s="4">
        <v>8.0</v>
      </c>
      <c r="D15" s="4">
        <v>6.0</v>
      </c>
      <c r="E15" s="4">
        <v>2.0</v>
      </c>
      <c r="F15" s="2" t="s">
        <v>290</v>
      </c>
      <c r="G15" s="2" t="s">
        <v>2980</v>
      </c>
      <c r="H15" s="2" t="s">
        <v>2978</v>
      </c>
      <c r="I15" s="319">
        <v>46056.037757303246</v>
      </c>
      <c r="J15" s="319">
        <v>46056.037757384256</v>
      </c>
    </row>
    <row r="16">
      <c r="A16" s="2" t="s">
        <v>314</v>
      </c>
      <c r="B16" s="2" t="s">
        <v>315</v>
      </c>
      <c r="C16" s="4">
        <v>2.0</v>
      </c>
      <c r="D16" s="4">
        <v>2.0</v>
      </c>
      <c r="E16" s="4">
        <v>1.0</v>
      </c>
      <c r="F16" s="2" t="s">
        <v>290</v>
      </c>
      <c r="G16" s="2" t="s">
        <v>2981</v>
      </c>
      <c r="H16" s="2" t="s">
        <v>2982</v>
      </c>
      <c r="I16" s="319">
        <v>46056.037757384256</v>
      </c>
      <c r="J16" s="319">
        <v>46056.03775751157</v>
      </c>
    </row>
    <row r="17">
      <c r="A17" s="2" t="s">
        <v>588</v>
      </c>
      <c r="B17" s="2" t="s">
        <v>589</v>
      </c>
      <c r="C17" s="4">
        <v>2.0</v>
      </c>
      <c r="D17" s="4">
        <v>2.0</v>
      </c>
      <c r="E17" s="4">
        <v>1.0</v>
      </c>
      <c r="F17" s="2" t="s">
        <v>290</v>
      </c>
      <c r="G17" s="2" t="s">
        <v>2981</v>
      </c>
      <c r="H17" s="2" t="s">
        <v>2978</v>
      </c>
      <c r="I17" s="319">
        <v>46056.03775751157</v>
      </c>
      <c r="J17" s="319">
        <v>46056.037757569444</v>
      </c>
    </row>
    <row r="18">
      <c r="A18" s="2" t="s">
        <v>1819</v>
      </c>
      <c r="B18" s="2" t="s">
        <v>1820</v>
      </c>
      <c r="C18" s="4">
        <v>2.0</v>
      </c>
      <c r="D18" s="4">
        <v>2.0</v>
      </c>
      <c r="E18" s="4">
        <v>1.0</v>
      </c>
      <c r="F18" s="2" t="s">
        <v>290</v>
      </c>
      <c r="G18" s="2" t="s">
        <v>2981</v>
      </c>
      <c r="H18" s="2" t="s">
        <v>2979</v>
      </c>
      <c r="I18" s="319">
        <v>46056.037757569444</v>
      </c>
      <c r="J18" s="319">
        <v>46056.03775766204</v>
      </c>
    </row>
    <row r="19">
      <c r="A19" s="2" t="s">
        <v>692</v>
      </c>
      <c r="B19" s="2" t="s">
        <v>693</v>
      </c>
      <c r="C19" s="4">
        <v>8.0</v>
      </c>
      <c r="D19" s="4">
        <v>6.0</v>
      </c>
      <c r="E19" s="4">
        <v>2.0</v>
      </c>
      <c r="F19" s="2" t="s">
        <v>661</v>
      </c>
      <c r="G19" s="2" t="s">
        <v>2983</v>
      </c>
      <c r="H19" s="2" t="s">
        <v>2982</v>
      </c>
      <c r="I19" s="319">
        <v>46056.03775766204</v>
      </c>
      <c r="J19" s="319">
        <v>46056.037757743055</v>
      </c>
    </row>
    <row r="20">
      <c r="A20" s="2" t="s">
        <v>201</v>
      </c>
      <c r="B20" s="2" t="s">
        <v>2976</v>
      </c>
      <c r="C20" s="4">
        <v>800.0</v>
      </c>
      <c r="D20" s="4">
        <v>640.0</v>
      </c>
      <c r="E20" s="4">
        <v>0.0</v>
      </c>
      <c r="F20" s="2" t="s">
        <v>22</v>
      </c>
      <c r="G20" s="2" t="s">
        <v>2977</v>
      </c>
      <c r="H20" s="2" t="s">
        <v>2978</v>
      </c>
      <c r="I20" s="319">
        <v>46057.03771957176</v>
      </c>
      <c r="J20" s="319">
        <v>46057.0377196412</v>
      </c>
    </row>
    <row r="21">
      <c r="A21" s="2" t="s">
        <v>33</v>
      </c>
      <c r="B21" s="2" t="s">
        <v>2984</v>
      </c>
      <c r="C21" s="4">
        <v>80.0</v>
      </c>
      <c r="D21" s="4">
        <v>64.0</v>
      </c>
      <c r="E21" s="4">
        <v>0.0</v>
      </c>
      <c r="F21" s="2" t="s">
        <v>22</v>
      </c>
      <c r="G21" s="2" t="s">
        <v>2977</v>
      </c>
      <c r="H21" s="2" t="s">
        <v>2982</v>
      </c>
      <c r="I21" s="319">
        <v>46057.0377196412</v>
      </c>
      <c r="J21" s="319">
        <v>46057.037719699074</v>
      </c>
    </row>
    <row r="22">
      <c r="A22" s="2" t="s">
        <v>74</v>
      </c>
      <c r="B22" s="2" t="s">
        <v>2985</v>
      </c>
      <c r="C22" s="4">
        <v>240.0</v>
      </c>
      <c r="D22" s="4">
        <v>192.0</v>
      </c>
      <c r="E22" s="4">
        <v>0.0</v>
      </c>
      <c r="F22" s="2" t="s">
        <v>22</v>
      </c>
      <c r="G22" s="2" t="s">
        <v>2977</v>
      </c>
      <c r="H22" s="2" t="s">
        <v>2979</v>
      </c>
      <c r="I22" s="319">
        <v>46057.037719699074</v>
      </c>
      <c r="J22" s="319">
        <v>46057.037719768516</v>
      </c>
    </row>
    <row r="23">
      <c r="A23" s="2" t="s">
        <v>1601</v>
      </c>
      <c r="B23" s="2" t="s">
        <v>1602</v>
      </c>
      <c r="C23" s="4">
        <v>240.0</v>
      </c>
      <c r="D23" s="4">
        <v>192.0</v>
      </c>
      <c r="E23" s="4">
        <v>0.0</v>
      </c>
      <c r="F23" s="2" t="s">
        <v>22</v>
      </c>
      <c r="G23" s="2" t="s">
        <v>2977</v>
      </c>
      <c r="H23" s="2" t="s">
        <v>2979</v>
      </c>
      <c r="I23" s="319">
        <v>46057.037719768516</v>
      </c>
      <c r="J23" s="319">
        <v>46057.03771982639</v>
      </c>
    </row>
    <row r="24">
      <c r="A24" s="2" t="s">
        <v>304</v>
      </c>
      <c r="B24" s="2" t="s">
        <v>306</v>
      </c>
      <c r="C24" s="4">
        <v>8.0</v>
      </c>
      <c r="D24" s="4">
        <v>6.0</v>
      </c>
      <c r="E24" s="4">
        <v>2.0</v>
      </c>
      <c r="F24" s="2" t="s">
        <v>290</v>
      </c>
      <c r="G24" s="2" t="s">
        <v>2980</v>
      </c>
      <c r="H24" s="2" t="s">
        <v>2978</v>
      </c>
      <c r="I24" s="319">
        <v>46057.03771982639</v>
      </c>
      <c r="J24" s="319">
        <v>46057.037719942135</v>
      </c>
    </row>
    <row r="25">
      <c r="A25" s="2" t="s">
        <v>314</v>
      </c>
      <c r="B25" s="2" t="s">
        <v>315</v>
      </c>
      <c r="C25" s="4">
        <v>2.0</v>
      </c>
      <c r="D25" s="4">
        <v>2.0</v>
      </c>
      <c r="E25" s="4">
        <v>1.0</v>
      </c>
      <c r="F25" s="2" t="s">
        <v>290</v>
      </c>
      <c r="G25" s="2" t="s">
        <v>2981</v>
      </c>
      <c r="H25" s="2" t="s">
        <v>2982</v>
      </c>
      <c r="I25" s="319">
        <v>46057.037719942135</v>
      </c>
      <c r="J25" s="319">
        <v>46057.03772015046</v>
      </c>
    </row>
    <row r="26">
      <c r="A26" s="2" t="s">
        <v>588</v>
      </c>
      <c r="B26" s="2" t="s">
        <v>589</v>
      </c>
      <c r="C26" s="4">
        <v>2.0</v>
      </c>
      <c r="D26" s="4">
        <v>2.0</v>
      </c>
      <c r="E26" s="4">
        <v>1.0</v>
      </c>
      <c r="F26" s="2" t="s">
        <v>290</v>
      </c>
      <c r="G26" s="2" t="s">
        <v>2981</v>
      </c>
      <c r="H26" s="2" t="s">
        <v>2978</v>
      </c>
      <c r="I26" s="319">
        <v>46057.03772015046</v>
      </c>
      <c r="J26" s="319">
        <v>46057.037720266206</v>
      </c>
    </row>
    <row r="27">
      <c r="A27" s="2" t="s">
        <v>1819</v>
      </c>
      <c r="B27" s="2" t="s">
        <v>1820</v>
      </c>
      <c r="C27" s="4">
        <v>2.0</v>
      </c>
      <c r="D27" s="4">
        <v>2.0</v>
      </c>
      <c r="E27" s="4">
        <v>1.0</v>
      </c>
      <c r="F27" s="2" t="s">
        <v>290</v>
      </c>
      <c r="G27" s="2" t="s">
        <v>2981</v>
      </c>
      <c r="H27" s="2" t="s">
        <v>2979</v>
      </c>
      <c r="I27" s="319">
        <v>46057.037720266206</v>
      </c>
      <c r="J27" s="319">
        <v>46057.0377203588</v>
      </c>
    </row>
    <row r="28">
      <c r="A28" s="2" t="s">
        <v>692</v>
      </c>
      <c r="B28" s="2" t="s">
        <v>693</v>
      </c>
      <c r="C28" s="4">
        <v>8.0</v>
      </c>
      <c r="D28" s="4">
        <v>6.0</v>
      </c>
      <c r="E28" s="4">
        <v>2.0</v>
      </c>
      <c r="F28" s="2" t="s">
        <v>661</v>
      </c>
      <c r="G28" s="2" t="s">
        <v>2983</v>
      </c>
      <c r="H28" s="2" t="s">
        <v>2982</v>
      </c>
      <c r="I28" s="319">
        <v>46057.0377203588</v>
      </c>
      <c r="J28" s="319">
        <v>46057.037720555556</v>
      </c>
    </row>
    <row r="29">
      <c r="A29" s="2" t="s">
        <v>201</v>
      </c>
      <c r="B29" s="2" t="s">
        <v>2976</v>
      </c>
      <c r="C29" s="4">
        <v>800.0</v>
      </c>
      <c r="D29" s="4">
        <v>640.0</v>
      </c>
      <c r="E29" s="4">
        <v>0.0</v>
      </c>
      <c r="F29" s="2" t="s">
        <v>22</v>
      </c>
      <c r="G29" s="2" t="s">
        <v>2977</v>
      </c>
      <c r="H29" s="2" t="s">
        <v>2978</v>
      </c>
      <c r="I29" s="319">
        <v>46058.037746076385</v>
      </c>
      <c r="J29" s="319">
        <v>46058.03774622685</v>
      </c>
    </row>
    <row r="30">
      <c r="A30" s="2" t="s">
        <v>33</v>
      </c>
      <c r="B30" s="2" t="s">
        <v>2984</v>
      </c>
      <c r="C30" s="4">
        <v>80.0</v>
      </c>
      <c r="D30" s="4">
        <v>64.0</v>
      </c>
      <c r="E30" s="4">
        <v>0.0</v>
      </c>
      <c r="F30" s="2" t="s">
        <v>22</v>
      </c>
      <c r="G30" s="2" t="s">
        <v>2977</v>
      </c>
      <c r="H30" s="2" t="s">
        <v>2982</v>
      </c>
      <c r="I30" s="319">
        <v>46058.03774622685</v>
      </c>
      <c r="J30" s="319">
        <v>46058.03774703704</v>
      </c>
    </row>
    <row r="31">
      <c r="A31" s="2" t="s">
        <v>74</v>
      </c>
      <c r="B31" s="2" t="s">
        <v>2985</v>
      </c>
      <c r="C31" s="4">
        <v>240.0</v>
      </c>
      <c r="D31" s="4">
        <v>192.0</v>
      </c>
      <c r="E31" s="4">
        <v>0.0</v>
      </c>
      <c r="F31" s="2" t="s">
        <v>22</v>
      </c>
      <c r="G31" s="2" t="s">
        <v>2977</v>
      </c>
      <c r="H31" s="2" t="s">
        <v>2979</v>
      </c>
      <c r="I31" s="319">
        <v>46058.03774703704</v>
      </c>
      <c r="J31" s="319">
        <v>46058.03774726852</v>
      </c>
    </row>
    <row r="32">
      <c r="A32" s="2" t="s">
        <v>1601</v>
      </c>
      <c r="B32" s="2" t="s">
        <v>1602</v>
      </c>
      <c r="C32" s="4">
        <v>240.0</v>
      </c>
      <c r="D32" s="4">
        <v>192.0</v>
      </c>
      <c r="E32" s="4">
        <v>0.0</v>
      </c>
      <c r="F32" s="2" t="s">
        <v>22</v>
      </c>
      <c r="G32" s="2" t="s">
        <v>2977</v>
      </c>
      <c r="H32" s="2" t="s">
        <v>2979</v>
      </c>
      <c r="I32" s="319">
        <v>46058.03774726852</v>
      </c>
      <c r="J32" s="319">
        <v>46058.03774759259</v>
      </c>
    </row>
    <row r="33">
      <c r="A33" s="2" t="s">
        <v>304</v>
      </c>
      <c r="B33" s="2" t="s">
        <v>306</v>
      </c>
      <c r="C33" s="4">
        <v>8.0</v>
      </c>
      <c r="D33" s="4">
        <v>6.0</v>
      </c>
      <c r="E33" s="4">
        <v>2.0</v>
      </c>
      <c r="F33" s="2" t="s">
        <v>290</v>
      </c>
      <c r="G33" s="2" t="s">
        <v>2980</v>
      </c>
      <c r="H33" s="2" t="s">
        <v>2978</v>
      </c>
      <c r="I33" s="319">
        <v>46058.03774759259</v>
      </c>
      <c r="J33" s="319">
        <v>46058.03774775463</v>
      </c>
    </row>
    <row r="34">
      <c r="A34" s="2" t="s">
        <v>314</v>
      </c>
      <c r="B34" s="2" t="s">
        <v>315</v>
      </c>
      <c r="C34" s="4">
        <v>2.0</v>
      </c>
      <c r="D34" s="4">
        <v>2.0</v>
      </c>
      <c r="E34" s="4">
        <v>1.0</v>
      </c>
      <c r="F34" s="2" t="s">
        <v>290</v>
      </c>
      <c r="G34" s="2" t="s">
        <v>2981</v>
      </c>
      <c r="H34" s="2" t="s">
        <v>2982</v>
      </c>
      <c r="I34" s="319">
        <v>46058.03774775463</v>
      </c>
      <c r="J34" s="319">
        <v>46058.037747905095</v>
      </c>
    </row>
    <row r="35">
      <c r="A35" s="2" t="s">
        <v>588</v>
      </c>
      <c r="B35" s="2" t="s">
        <v>589</v>
      </c>
      <c r="C35" s="4">
        <v>2.0</v>
      </c>
      <c r="D35" s="4">
        <v>2.0</v>
      </c>
      <c r="E35" s="4">
        <v>1.0</v>
      </c>
      <c r="F35" s="2" t="s">
        <v>290</v>
      </c>
      <c r="G35" s="2" t="s">
        <v>2981</v>
      </c>
      <c r="H35" s="2" t="s">
        <v>2978</v>
      </c>
      <c r="I35" s="319">
        <v>46058.037747905095</v>
      </c>
      <c r="J35" s="319">
        <v>46058.03774804398</v>
      </c>
    </row>
    <row r="36">
      <c r="A36" s="2" t="s">
        <v>1819</v>
      </c>
      <c r="B36" s="2" t="s">
        <v>1820</v>
      </c>
      <c r="C36" s="4">
        <v>2.0</v>
      </c>
      <c r="D36" s="4">
        <v>2.0</v>
      </c>
      <c r="E36" s="4">
        <v>1.0</v>
      </c>
      <c r="F36" s="2" t="s">
        <v>290</v>
      </c>
      <c r="G36" s="2" t="s">
        <v>2981</v>
      </c>
      <c r="H36" s="2" t="s">
        <v>2979</v>
      </c>
      <c r="I36" s="319">
        <v>46058.03774804398</v>
      </c>
      <c r="J36" s="319">
        <v>46058.03774836806</v>
      </c>
    </row>
    <row r="37">
      <c r="A37" s="2" t="s">
        <v>692</v>
      </c>
      <c r="B37" s="2" t="s">
        <v>693</v>
      </c>
      <c r="C37" s="4">
        <v>8.0</v>
      </c>
      <c r="D37" s="4">
        <v>6.0</v>
      </c>
      <c r="E37" s="4">
        <v>2.0</v>
      </c>
      <c r="F37" s="2" t="s">
        <v>661</v>
      </c>
      <c r="G37" s="2" t="s">
        <v>2983</v>
      </c>
      <c r="H37" s="2" t="s">
        <v>2982</v>
      </c>
      <c r="I37" s="319">
        <v>46058.03774836806</v>
      </c>
      <c r="J37" s="319">
        <v>46058.03774886574</v>
      </c>
    </row>
    <row r="38">
      <c r="A38" s="2" t="s">
        <v>201</v>
      </c>
      <c r="B38" s="2" t="s">
        <v>2976</v>
      </c>
      <c r="C38" s="4">
        <v>800.0</v>
      </c>
      <c r="D38" s="4">
        <v>640.0</v>
      </c>
      <c r="E38" s="4">
        <v>0.0</v>
      </c>
      <c r="F38" s="2" t="s">
        <v>22</v>
      </c>
      <c r="G38" s="2" t="s">
        <v>2977</v>
      </c>
      <c r="H38" s="2" t="s">
        <v>2978</v>
      </c>
      <c r="I38" s="319">
        <v>46059.037783935186</v>
      </c>
      <c r="J38" s="319">
        <v>46059.037784155094</v>
      </c>
    </row>
    <row r="39">
      <c r="A39" s="2" t="s">
        <v>33</v>
      </c>
      <c r="B39" s="2" t="s">
        <v>2984</v>
      </c>
      <c r="C39" s="4">
        <v>80.0</v>
      </c>
      <c r="D39" s="4">
        <v>64.0</v>
      </c>
      <c r="E39" s="4">
        <v>0.0</v>
      </c>
      <c r="F39" s="2" t="s">
        <v>22</v>
      </c>
      <c r="G39" s="2" t="s">
        <v>2977</v>
      </c>
      <c r="H39" s="2" t="s">
        <v>2982</v>
      </c>
      <c r="I39" s="319">
        <v>46059.037784155094</v>
      </c>
      <c r="J39" s="319">
        <v>46059.03778483796</v>
      </c>
    </row>
    <row r="40">
      <c r="A40" s="2" t="s">
        <v>74</v>
      </c>
      <c r="B40" s="2" t="s">
        <v>2985</v>
      </c>
      <c r="C40" s="4">
        <v>240.0</v>
      </c>
      <c r="D40" s="4">
        <v>192.0</v>
      </c>
      <c r="E40" s="4">
        <v>0.0</v>
      </c>
      <c r="F40" s="2" t="s">
        <v>22</v>
      </c>
      <c r="G40" s="2" t="s">
        <v>2977</v>
      </c>
      <c r="H40" s="2" t="s">
        <v>2979</v>
      </c>
      <c r="I40" s="319">
        <v>46059.03778483796</v>
      </c>
      <c r="J40" s="319">
        <v>46059.03778490741</v>
      </c>
    </row>
    <row r="41">
      <c r="A41" s="2" t="s">
        <v>1601</v>
      </c>
      <c r="B41" s="2" t="s">
        <v>1602</v>
      </c>
      <c r="C41" s="4">
        <v>240.0</v>
      </c>
      <c r="D41" s="4">
        <v>192.0</v>
      </c>
      <c r="E41" s="4">
        <v>0.0</v>
      </c>
      <c r="F41" s="2" t="s">
        <v>22</v>
      </c>
      <c r="G41" s="2" t="s">
        <v>2977</v>
      </c>
      <c r="H41" s="2" t="s">
        <v>2979</v>
      </c>
      <c r="I41" s="319">
        <v>46059.03778490741</v>
      </c>
      <c r="J41" s="319">
        <v>46059.037784988424</v>
      </c>
    </row>
    <row r="42">
      <c r="A42" s="2" t="s">
        <v>304</v>
      </c>
      <c r="B42" s="2" t="s">
        <v>306</v>
      </c>
      <c r="C42" s="4">
        <v>8.0</v>
      </c>
      <c r="D42" s="4">
        <v>6.0</v>
      </c>
      <c r="E42" s="4">
        <v>2.0</v>
      </c>
      <c r="F42" s="2" t="s">
        <v>290</v>
      </c>
      <c r="G42" s="2" t="s">
        <v>2980</v>
      </c>
      <c r="H42" s="2" t="s">
        <v>2978</v>
      </c>
      <c r="I42" s="319">
        <v>46059.037784988424</v>
      </c>
      <c r="J42" s="319">
        <v>46059.03778506945</v>
      </c>
    </row>
    <row r="43">
      <c r="A43" s="2" t="s">
        <v>314</v>
      </c>
      <c r="B43" s="2" t="s">
        <v>315</v>
      </c>
      <c r="C43" s="4">
        <v>2.0</v>
      </c>
      <c r="D43" s="4">
        <v>2.0</v>
      </c>
      <c r="E43" s="4">
        <v>1.0</v>
      </c>
      <c r="F43" s="2" t="s">
        <v>290</v>
      </c>
      <c r="G43" s="2" t="s">
        <v>2981</v>
      </c>
      <c r="H43" s="2" t="s">
        <v>2982</v>
      </c>
      <c r="I43" s="319">
        <v>46059.03778508102</v>
      </c>
      <c r="J43" s="319">
        <v>46059.037785162036</v>
      </c>
    </row>
    <row r="44">
      <c r="A44" s="2" t="s">
        <v>588</v>
      </c>
      <c r="B44" s="2" t="s">
        <v>589</v>
      </c>
      <c r="C44" s="4">
        <v>2.0</v>
      </c>
      <c r="D44" s="4">
        <v>2.0</v>
      </c>
      <c r="E44" s="4">
        <v>1.0</v>
      </c>
      <c r="F44" s="2" t="s">
        <v>290</v>
      </c>
      <c r="G44" s="2" t="s">
        <v>2981</v>
      </c>
      <c r="H44" s="2" t="s">
        <v>2978</v>
      </c>
      <c r="I44" s="319">
        <v>46059.037785162036</v>
      </c>
      <c r="J44" s="319">
        <v>46059.037785347224</v>
      </c>
    </row>
    <row r="45">
      <c r="A45" s="2" t="s">
        <v>1819</v>
      </c>
      <c r="B45" s="2" t="s">
        <v>1820</v>
      </c>
      <c r="C45" s="4">
        <v>2.0</v>
      </c>
      <c r="D45" s="4">
        <v>2.0</v>
      </c>
      <c r="E45" s="4">
        <v>1.0</v>
      </c>
      <c r="F45" s="2" t="s">
        <v>290</v>
      </c>
      <c r="G45" s="2" t="s">
        <v>2981</v>
      </c>
      <c r="H45" s="2" t="s">
        <v>2979</v>
      </c>
      <c r="I45" s="319">
        <v>46059.0377853588</v>
      </c>
      <c r="J45" s="319">
        <v>46059.03778561343</v>
      </c>
    </row>
    <row r="46">
      <c r="A46" s="2" t="s">
        <v>692</v>
      </c>
      <c r="B46" s="2" t="s">
        <v>693</v>
      </c>
      <c r="C46" s="4">
        <v>8.0</v>
      </c>
      <c r="D46" s="4">
        <v>6.0</v>
      </c>
      <c r="E46" s="4">
        <v>2.0</v>
      </c>
      <c r="F46" s="2" t="s">
        <v>661</v>
      </c>
      <c r="G46" s="2" t="s">
        <v>2983</v>
      </c>
      <c r="H46" s="2" t="s">
        <v>2982</v>
      </c>
      <c r="I46" s="319">
        <v>46059.03778561343</v>
      </c>
      <c r="J46" s="319">
        <v>46059.03778605324</v>
      </c>
    </row>
    <row r="47">
      <c r="A47" s="2" t="s">
        <v>201</v>
      </c>
      <c r="B47" s="2" t="s">
        <v>2976</v>
      </c>
      <c r="C47" s="4">
        <v>800.0</v>
      </c>
      <c r="D47" s="4">
        <v>640.0</v>
      </c>
      <c r="E47" s="4">
        <v>0.0</v>
      </c>
      <c r="F47" s="2" t="s">
        <v>22</v>
      </c>
      <c r="G47" s="2" t="s">
        <v>2977</v>
      </c>
      <c r="H47" s="2" t="s">
        <v>2978</v>
      </c>
      <c r="I47" s="319">
        <v>46060.03782844907</v>
      </c>
      <c r="J47" s="319">
        <v>46060.037829050925</v>
      </c>
    </row>
    <row r="48">
      <c r="A48" s="2" t="s">
        <v>33</v>
      </c>
      <c r="B48" s="2" t="s">
        <v>2984</v>
      </c>
      <c r="C48" s="4">
        <v>80.0</v>
      </c>
      <c r="D48" s="4">
        <v>64.0</v>
      </c>
      <c r="E48" s="4">
        <v>0.0</v>
      </c>
      <c r="F48" s="2" t="s">
        <v>22</v>
      </c>
      <c r="G48" s="2" t="s">
        <v>2977</v>
      </c>
      <c r="H48" s="2" t="s">
        <v>2982</v>
      </c>
      <c r="I48" s="319">
        <v>46060.037829050925</v>
      </c>
      <c r="J48" s="319">
        <v>46060.03783053241</v>
      </c>
    </row>
    <row r="49">
      <c r="A49" s="2" t="s">
        <v>74</v>
      </c>
      <c r="B49" s="2" t="s">
        <v>2985</v>
      </c>
      <c r="C49" s="4">
        <v>240.0</v>
      </c>
      <c r="D49" s="4">
        <v>192.0</v>
      </c>
      <c r="E49" s="4">
        <v>0.0</v>
      </c>
      <c r="F49" s="2" t="s">
        <v>22</v>
      </c>
      <c r="G49" s="2" t="s">
        <v>2977</v>
      </c>
      <c r="H49" s="2" t="s">
        <v>2979</v>
      </c>
      <c r="I49" s="319">
        <v>46060.03783053241</v>
      </c>
      <c r="J49" s="319">
        <v>46060.037830914356</v>
      </c>
    </row>
    <row r="50">
      <c r="A50" s="2" t="s">
        <v>1601</v>
      </c>
      <c r="B50" s="2" t="s">
        <v>1602</v>
      </c>
      <c r="C50" s="4">
        <v>240.0</v>
      </c>
      <c r="D50" s="4">
        <v>192.0</v>
      </c>
      <c r="E50" s="4">
        <v>0.0</v>
      </c>
      <c r="F50" s="2" t="s">
        <v>22</v>
      </c>
      <c r="G50" s="2" t="s">
        <v>2977</v>
      </c>
      <c r="H50" s="2" t="s">
        <v>2979</v>
      </c>
      <c r="I50" s="319">
        <v>46060.037830914356</v>
      </c>
      <c r="J50" s="319">
        <v>46060.03783291667</v>
      </c>
    </row>
    <row r="51">
      <c r="A51" s="2" t="s">
        <v>304</v>
      </c>
      <c r="B51" s="2" t="s">
        <v>306</v>
      </c>
      <c r="C51" s="4">
        <v>8.0</v>
      </c>
      <c r="D51" s="4">
        <v>6.0</v>
      </c>
      <c r="E51" s="4">
        <v>2.0</v>
      </c>
      <c r="F51" s="2" t="s">
        <v>290</v>
      </c>
      <c r="G51" s="2" t="s">
        <v>2980</v>
      </c>
      <c r="H51" s="2" t="s">
        <v>2978</v>
      </c>
      <c r="I51" s="319">
        <v>46060.03783291667</v>
      </c>
      <c r="J51" s="319">
        <v>46060.03783335648</v>
      </c>
    </row>
    <row r="52">
      <c r="A52" s="2" t="s">
        <v>314</v>
      </c>
      <c r="B52" s="2" t="s">
        <v>315</v>
      </c>
      <c r="C52" s="4">
        <v>2.0</v>
      </c>
      <c r="D52" s="4">
        <v>2.0</v>
      </c>
      <c r="E52" s="4">
        <v>1.0</v>
      </c>
      <c r="F52" s="2" t="s">
        <v>290</v>
      </c>
      <c r="G52" s="2" t="s">
        <v>2981</v>
      </c>
      <c r="H52" s="2" t="s">
        <v>2982</v>
      </c>
      <c r="I52" s="319">
        <v>46060.03783335648</v>
      </c>
      <c r="J52" s="319">
        <v>46060.037834456016</v>
      </c>
    </row>
    <row r="53">
      <c r="A53" s="2" t="s">
        <v>588</v>
      </c>
      <c r="B53" s="2" t="s">
        <v>589</v>
      </c>
      <c r="C53" s="4">
        <v>2.0</v>
      </c>
      <c r="D53" s="4">
        <v>2.0</v>
      </c>
      <c r="E53" s="4">
        <v>1.0</v>
      </c>
      <c r="F53" s="2" t="s">
        <v>290</v>
      </c>
      <c r="G53" s="2" t="s">
        <v>2981</v>
      </c>
      <c r="H53" s="2" t="s">
        <v>2978</v>
      </c>
      <c r="I53" s="319">
        <v>46060.037834456016</v>
      </c>
      <c r="J53" s="319">
        <v>46060.037835428244</v>
      </c>
    </row>
    <row r="54">
      <c r="A54" s="2" t="s">
        <v>1819</v>
      </c>
      <c r="B54" s="2" t="s">
        <v>1820</v>
      </c>
      <c r="C54" s="4">
        <v>2.0</v>
      </c>
      <c r="D54" s="4">
        <v>2.0</v>
      </c>
      <c r="E54" s="4">
        <v>1.0</v>
      </c>
      <c r="F54" s="2" t="s">
        <v>290</v>
      </c>
      <c r="G54" s="2" t="s">
        <v>2981</v>
      </c>
      <c r="H54" s="2" t="s">
        <v>2979</v>
      </c>
      <c r="I54" s="319">
        <v>46060.037835428244</v>
      </c>
      <c r="J54" s="319">
        <v>46060.03783641204</v>
      </c>
    </row>
    <row r="55">
      <c r="A55" s="2" t="s">
        <v>692</v>
      </c>
      <c r="B55" s="2" t="s">
        <v>693</v>
      </c>
      <c r="C55" s="4">
        <v>8.0</v>
      </c>
      <c r="D55" s="4">
        <v>6.0</v>
      </c>
      <c r="E55" s="4">
        <v>2.0</v>
      </c>
      <c r="F55" s="2" t="s">
        <v>661</v>
      </c>
      <c r="G55" s="2" t="s">
        <v>2983</v>
      </c>
      <c r="H55" s="2" t="s">
        <v>2982</v>
      </c>
      <c r="I55" s="319">
        <v>46060.03783641204</v>
      </c>
      <c r="J55" s="319">
        <v>46060.037838958335</v>
      </c>
    </row>
    <row r="56">
      <c r="A56" s="2" t="s">
        <v>201</v>
      </c>
      <c r="B56" s="2" t="s">
        <v>2976</v>
      </c>
      <c r="C56" s="4">
        <v>800.0</v>
      </c>
      <c r="D56" s="4">
        <v>640.0</v>
      </c>
      <c r="E56" s="4">
        <v>0.0</v>
      </c>
      <c r="F56" s="2" t="s">
        <v>22</v>
      </c>
      <c r="G56" s="2" t="s">
        <v>2977</v>
      </c>
      <c r="H56" s="2" t="s">
        <v>2978</v>
      </c>
      <c r="I56" s="319">
        <v>46061.03770570602</v>
      </c>
      <c r="J56" s="319">
        <v>46061.03770572916</v>
      </c>
    </row>
    <row r="57">
      <c r="A57" s="2" t="s">
        <v>33</v>
      </c>
      <c r="B57" s="2" t="s">
        <v>2984</v>
      </c>
      <c r="C57" s="4">
        <v>80.0</v>
      </c>
      <c r="D57" s="4">
        <v>64.0</v>
      </c>
      <c r="E57" s="4">
        <v>0.0</v>
      </c>
      <c r="F57" s="2" t="s">
        <v>22</v>
      </c>
      <c r="G57" s="2" t="s">
        <v>2977</v>
      </c>
      <c r="H57" s="2" t="s">
        <v>2982</v>
      </c>
      <c r="I57" s="319">
        <v>46061.03770572916</v>
      </c>
      <c r="J57" s="319">
        <v>46061.037705752315</v>
      </c>
    </row>
    <row r="58">
      <c r="A58" s="2" t="s">
        <v>74</v>
      </c>
      <c r="B58" s="2" t="s">
        <v>2985</v>
      </c>
      <c r="C58" s="4">
        <v>240.0</v>
      </c>
      <c r="D58" s="4">
        <v>192.0</v>
      </c>
      <c r="E58" s="4">
        <v>0.0</v>
      </c>
      <c r="F58" s="2" t="s">
        <v>22</v>
      </c>
      <c r="G58" s="2" t="s">
        <v>2977</v>
      </c>
      <c r="H58" s="2" t="s">
        <v>2979</v>
      </c>
      <c r="I58" s="319">
        <v>46061.037705752315</v>
      </c>
      <c r="J58" s="319">
        <v>46061.03770576389</v>
      </c>
    </row>
    <row r="59">
      <c r="A59" s="2" t="s">
        <v>1601</v>
      </c>
      <c r="B59" s="2" t="s">
        <v>1602</v>
      </c>
      <c r="C59" s="4">
        <v>240.0</v>
      </c>
      <c r="D59" s="4">
        <v>192.0</v>
      </c>
      <c r="E59" s="4">
        <v>0.0</v>
      </c>
      <c r="F59" s="2" t="s">
        <v>22</v>
      </c>
      <c r="G59" s="2" t="s">
        <v>2977</v>
      </c>
      <c r="H59" s="2" t="s">
        <v>2979</v>
      </c>
      <c r="I59" s="319">
        <v>46061.03770576389</v>
      </c>
      <c r="J59" s="319">
        <v>46061.03770577547</v>
      </c>
    </row>
    <row r="60">
      <c r="A60" s="2" t="s">
        <v>304</v>
      </c>
      <c r="B60" s="2" t="s">
        <v>306</v>
      </c>
      <c r="C60" s="4">
        <v>8.0</v>
      </c>
      <c r="D60" s="4">
        <v>6.0</v>
      </c>
      <c r="E60" s="4">
        <v>0.0</v>
      </c>
      <c r="F60" s="2" t="s">
        <v>290</v>
      </c>
      <c r="G60" s="2" t="s">
        <v>2988</v>
      </c>
      <c r="H60" s="2" t="s">
        <v>2978</v>
      </c>
      <c r="I60" s="319">
        <v>46061.03770577547</v>
      </c>
      <c r="J60" s="319">
        <v>46061.03770579861</v>
      </c>
    </row>
    <row r="61">
      <c r="A61" s="2" t="s">
        <v>314</v>
      </c>
      <c r="B61" s="2" t="s">
        <v>315</v>
      </c>
      <c r="C61" s="4">
        <v>2.0</v>
      </c>
      <c r="D61" s="4">
        <v>2.0</v>
      </c>
      <c r="E61" s="4">
        <v>1.0</v>
      </c>
      <c r="F61" s="2" t="s">
        <v>290</v>
      </c>
      <c r="G61" s="2" t="s">
        <v>2981</v>
      </c>
      <c r="H61" s="2" t="s">
        <v>2982</v>
      </c>
      <c r="I61" s="319">
        <v>46061.03770579861</v>
      </c>
      <c r="J61" s="319">
        <v>46061.03770585648</v>
      </c>
    </row>
    <row r="62">
      <c r="A62" s="2" t="s">
        <v>588</v>
      </c>
      <c r="B62" s="2" t="s">
        <v>589</v>
      </c>
      <c r="C62" s="4">
        <v>2.0</v>
      </c>
      <c r="D62" s="4">
        <v>2.0</v>
      </c>
      <c r="E62" s="4">
        <v>1.0</v>
      </c>
      <c r="F62" s="2" t="s">
        <v>290</v>
      </c>
      <c r="G62" s="2" t="s">
        <v>2981</v>
      </c>
      <c r="H62" s="2" t="s">
        <v>2978</v>
      </c>
      <c r="I62" s="319">
        <v>46061.03770585648</v>
      </c>
      <c r="J62" s="319">
        <v>46061.03770652778</v>
      </c>
    </row>
    <row r="63">
      <c r="A63" s="2" t="s">
        <v>1819</v>
      </c>
      <c r="B63" s="2" t="s">
        <v>1820</v>
      </c>
      <c r="C63" s="4">
        <v>2.0</v>
      </c>
      <c r="D63" s="4">
        <v>2.0</v>
      </c>
      <c r="E63" s="4">
        <v>1.0</v>
      </c>
      <c r="F63" s="2" t="s">
        <v>290</v>
      </c>
      <c r="G63" s="2" t="s">
        <v>2981</v>
      </c>
      <c r="H63" s="2" t="s">
        <v>2979</v>
      </c>
      <c r="I63" s="319">
        <v>46061.03770652778</v>
      </c>
      <c r="J63" s="319">
        <v>46061.037706620365</v>
      </c>
    </row>
    <row r="64">
      <c r="A64" s="2" t="s">
        <v>692</v>
      </c>
      <c r="B64" s="2" t="s">
        <v>693</v>
      </c>
      <c r="C64" s="4">
        <v>8.0</v>
      </c>
      <c r="D64" s="4">
        <v>6.0</v>
      </c>
      <c r="E64" s="4">
        <v>2.0</v>
      </c>
      <c r="F64" s="2" t="s">
        <v>661</v>
      </c>
      <c r="G64" s="2" t="s">
        <v>2983</v>
      </c>
      <c r="H64" s="2" t="s">
        <v>2982</v>
      </c>
      <c r="I64" s="319">
        <v>46061.037706620365</v>
      </c>
      <c r="J64" s="319">
        <v>46061.03770664352</v>
      </c>
    </row>
    <row r="65">
      <c r="A65" s="2" t="s">
        <v>201</v>
      </c>
      <c r="B65" s="2" t="s">
        <v>2976</v>
      </c>
      <c r="C65" s="4">
        <v>800.0</v>
      </c>
      <c r="D65" s="4">
        <v>640.0</v>
      </c>
      <c r="E65" s="4">
        <v>0.0</v>
      </c>
      <c r="F65" s="2" t="s">
        <v>22</v>
      </c>
      <c r="G65" s="2" t="s">
        <v>2977</v>
      </c>
      <c r="H65" s="2" t="s">
        <v>2978</v>
      </c>
      <c r="I65" s="319">
        <v>46062.037730717595</v>
      </c>
      <c r="J65" s="319">
        <v>46062.03773094907</v>
      </c>
    </row>
    <row r="66">
      <c r="A66" s="2" t="s">
        <v>33</v>
      </c>
      <c r="B66" s="2" t="s">
        <v>2984</v>
      </c>
      <c r="C66" s="4">
        <v>80.0</v>
      </c>
      <c r="D66" s="4">
        <v>64.0</v>
      </c>
      <c r="E66" s="4">
        <v>0.0</v>
      </c>
      <c r="F66" s="2" t="s">
        <v>22</v>
      </c>
      <c r="G66" s="2" t="s">
        <v>2977</v>
      </c>
      <c r="H66" s="2" t="s">
        <v>2982</v>
      </c>
      <c r="I66" s="319">
        <v>46062.03773094907</v>
      </c>
      <c r="J66" s="319">
        <v>46062.037731006945</v>
      </c>
    </row>
    <row r="67">
      <c r="A67" s="2" t="s">
        <v>74</v>
      </c>
      <c r="B67" s="2" t="s">
        <v>2985</v>
      </c>
      <c r="C67" s="4">
        <v>240.0</v>
      </c>
      <c r="D67" s="4">
        <v>192.0</v>
      </c>
      <c r="E67" s="4">
        <v>0.0</v>
      </c>
      <c r="F67" s="2" t="s">
        <v>22</v>
      </c>
      <c r="G67" s="2" t="s">
        <v>2977</v>
      </c>
      <c r="H67" s="2" t="s">
        <v>2979</v>
      </c>
      <c r="I67" s="319">
        <v>46062.037731006945</v>
      </c>
      <c r="J67" s="319">
        <v>46062.03773105324</v>
      </c>
    </row>
    <row r="68">
      <c r="A68" s="2" t="s">
        <v>1601</v>
      </c>
      <c r="B68" s="2" t="s">
        <v>1602</v>
      </c>
      <c r="C68" s="4">
        <v>240.0</v>
      </c>
      <c r="D68" s="4">
        <v>192.0</v>
      </c>
      <c r="E68" s="4">
        <v>0.0</v>
      </c>
      <c r="F68" s="2" t="s">
        <v>22</v>
      </c>
      <c r="G68" s="2" t="s">
        <v>2977</v>
      </c>
      <c r="H68" s="2" t="s">
        <v>2979</v>
      </c>
      <c r="I68" s="319">
        <v>46062.03773105324</v>
      </c>
      <c r="J68" s="319">
        <v>46062.03773109954</v>
      </c>
    </row>
    <row r="69">
      <c r="A69" s="2" t="s">
        <v>304</v>
      </c>
      <c r="B69" s="2" t="s">
        <v>306</v>
      </c>
      <c r="C69" s="4">
        <v>8.0</v>
      </c>
      <c r="D69" s="4">
        <v>6.0</v>
      </c>
      <c r="E69" s="4">
        <v>0.0</v>
      </c>
      <c r="F69" s="2" t="s">
        <v>290</v>
      </c>
      <c r="G69" s="2" t="s">
        <v>2988</v>
      </c>
      <c r="H69" s="2" t="s">
        <v>2978</v>
      </c>
      <c r="I69" s="319">
        <v>46062.03773109954</v>
      </c>
      <c r="J69" s="319">
        <v>46062.03773131945</v>
      </c>
    </row>
    <row r="70">
      <c r="A70" s="2" t="s">
        <v>314</v>
      </c>
      <c r="B70" s="2" t="s">
        <v>315</v>
      </c>
      <c r="C70" s="4">
        <v>2.0</v>
      </c>
      <c r="D70" s="4">
        <v>2.0</v>
      </c>
      <c r="E70" s="4">
        <v>1.0</v>
      </c>
      <c r="F70" s="2" t="s">
        <v>290</v>
      </c>
      <c r="G70" s="2" t="s">
        <v>2981</v>
      </c>
      <c r="H70" s="2" t="s">
        <v>2982</v>
      </c>
      <c r="I70" s="319">
        <v>46062.03773131945</v>
      </c>
      <c r="J70" s="319">
        <v>46062.03773165509</v>
      </c>
    </row>
    <row r="71">
      <c r="A71" s="2" t="s">
        <v>588</v>
      </c>
      <c r="B71" s="2" t="s">
        <v>589</v>
      </c>
      <c r="C71" s="4">
        <v>2.0</v>
      </c>
      <c r="D71" s="4">
        <v>2.0</v>
      </c>
      <c r="E71" s="4">
        <v>1.0</v>
      </c>
      <c r="F71" s="2" t="s">
        <v>290</v>
      </c>
      <c r="G71" s="2" t="s">
        <v>2981</v>
      </c>
      <c r="H71" s="2" t="s">
        <v>2978</v>
      </c>
      <c r="I71" s="319">
        <v>46062.03773173611</v>
      </c>
      <c r="J71" s="319">
        <v>46062.037731805554</v>
      </c>
    </row>
    <row r="72">
      <c r="A72" s="2" t="s">
        <v>1819</v>
      </c>
      <c r="B72" s="2" t="s">
        <v>1820</v>
      </c>
      <c r="C72" s="4">
        <v>2.0</v>
      </c>
      <c r="D72" s="4">
        <v>2.0</v>
      </c>
      <c r="E72" s="4">
        <v>1.0</v>
      </c>
      <c r="F72" s="2" t="s">
        <v>290</v>
      </c>
      <c r="G72" s="2" t="s">
        <v>2981</v>
      </c>
      <c r="H72" s="2" t="s">
        <v>2979</v>
      </c>
      <c r="I72" s="319">
        <v>46062.037731805554</v>
      </c>
      <c r="J72" s="319">
        <v>46062.03773186343</v>
      </c>
    </row>
    <row r="73">
      <c r="A73" s="2" t="s">
        <v>692</v>
      </c>
      <c r="B73" s="2" t="s">
        <v>693</v>
      </c>
      <c r="C73" s="4">
        <v>8.0</v>
      </c>
      <c r="D73" s="4">
        <v>6.0</v>
      </c>
      <c r="E73" s="4">
        <v>2.0</v>
      </c>
      <c r="F73" s="2" t="s">
        <v>661</v>
      </c>
      <c r="G73" s="2" t="s">
        <v>2983</v>
      </c>
      <c r="H73" s="2" t="s">
        <v>2982</v>
      </c>
      <c r="I73" s="319">
        <v>46062.03773186343</v>
      </c>
      <c r="J73" s="319">
        <v>46062.0377319213</v>
      </c>
    </row>
    <row r="74">
      <c r="A74" s="2" t="s">
        <v>201</v>
      </c>
      <c r="B74" s="2" t="s">
        <v>2976</v>
      </c>
      <c r="C74" s="4">
        <v>800.0</v>
      </c>
      <c r="D74" s="4">
        <v>640.0</v>
      </c>
      <c r="E74" s="4">
        <v>0.0</v>
      </c>
      <c r="F74" s="2" t="s">
        <v>22</v>
      </c>
      <c r="G74" s="2" t="s">
        <v>2977</v>
      </c>
      <c r="H74" s="2" t="s">
        <v>2978</v>
      </c>
      <c r="I74" s="319">
        <v>46063.03770523148</v>
      </c>
      <c r="J74" s="319">
        <v>46063.03770526621</v>
      </c>
    </row>
    <row r="75">
      <c r="A75" s="2" t="s">
        <v>33</v>
      </c>
      <c r="B75" s="2" t="s">
        <v>2984</v>
      </c>
      <c r="C75" s="4">
        <v>80.0</v>
      </c>
      <c r="D75" s="4">
        <v>64.0</v>
      </c>
      <c r="E75" s="4">
        <v>0.0</v>
      </c>
      <c r="F75" s="2" t="s">
        <v>22</v>
      </c>
      <c r="G75" s="2" t="s">
        <v>2977</v>
      </c>
      <c r="H75" s="2" t="s">
        <v>2982</v>
      </c>
      <c r="I75" s="319">
        <v>46063.03770526621</v>
      </c>
      <c r="J75" s="319">
        <v>46063.03770528935</v>
      </c>
    </row>
    <row r="76">
      <c r="A76" s="2" t="s">
        <v>74</v>
      </c>
      <c r="B76" s="2" t="s">
        <v>2985</v>
      </c>
      <c r="C76" s="4">
        <v>240.0</v>
      </c>
      <c r="D76" s="4">
        <v>192.0</v>
      </c>
      <c r="E76" s="4">
        <v>0.0</v>
      </c>
      <c r="F76" s="2" t="s">
        <v>22</v>
      </c>
      <c r="G76" s="2" t="s">
        <v>2977</v>
      </c>
      <c r="H76" s="2" t="s">
        <v>2979</v>
      </c>
      <c r="I76" s="319">
        <v>46063.03770528935</v>
      </c>
      <c r="J76" s="319">
        <v>46063.03770533565</v>
      </c>
    </row>
    <row r="77">
      <c r="A77" s="2" t="s">
        <v>1601</v>
      </c>
      <c r="B77" s="2" t="s">
        <v>1602</v>
      </c>
      <c r="C77" s="4">
        <v>240.0</v>
      </c>
      <c r="D77" s="4">
        <v>192.0</v>
      </c>
      <c r="E77" s="4">
        <v>0.0</v>
      </c>
      <c r="F77" s="2" t="s">
        <v>22</v>
      </c>
      <c r="G77" s="2" t="s">
        <v>2977</v>
      </c>
      <c r="H77" s="2" t="s">
        <v>2979</v>
      </c>
      <c r="I77" s="319">
        <v>46063.03770533565</v>
      </c>
      <c r="J77" s="319">
        <v>46063.037705358794</v>
      </c>
    </row>
    <row r="78">
      <c r="A78" s="2" t="s">
        <v>314</v>
      </c>
      <c r="B78" s="2" t="s">
        <v>315</v>
      </c>
      <c r="C78" s="4">
        <v>2.0</v>
      </c>
      <c r="D78" s="4">
        <v>2.0</v>
      </c>
      <c r="E78" s="4">
        <v>1.0</v>
      </c>
      <c r="F78" s="2" t="s">
        <v>290</v>
      </c>
      <c r="G78" s="2" t="s">
        <v>2981</v>
      </c>
      <c r="H78" s="2" t="s">
        <v>2982</v>
      </c>
      <c r="I78" s="319">
        <v>46063.037705358794</v>
      </c>
      <c r="J78" s="319">
        <v>46063.03770538194</v>
      </c>
    </row>
    <row r="79">
      <c r="A79" s="2" t="s">
        <v>588</v>
      </c>
      <c r="B79" s="2" t="s">
        <v>589</v>
      </c>
      <c r="C79" s="4">
        <v>2.0</v>
      </c>
      <c r="D79" s="4">
        <v>2.0</v>
      </c>
      <c r="E79" s="4">
        <v>1.0</v>
      </c>
      <c r="F79" s="2" t="s">
        <v>290</v>
      </c>
      <c r="G79" s="2" t="s">
        <v>2981</v>
      </c>
      <c r="H79" s="2" t="s">
        <v>2978</v>
      </c>
      <c r="I79" s="319">
        <v>46063.03770538194</v>
      </c>
      <c r="J79" s="319">
        <v>46063.03770545139</v>
      </c>
    </row>
    <row r="80">
      <c r="A80" s="2" t="s">
        <v>1819</v>
      </c>
      <c r="B80" s="2" t="s">
        <v>1820</v>
      </c>
      <c r="C80" s="4">
        <v>2.0</v>
      </c>
      <c r="D80" s="4">
        <v>2.0</v>
      </c>
      <c r="E80" s="4">
        <v>1.0</v>
      </c>
      <c r="F80" s="2" t="s">
        <v>290</v>
      </c>
      <c r="G80" s="2" t="s">
        <v>2981</v>
      </c>
      <c r="H80" s="2" t="s">
        <v>2979</v>
      </c>
      <c r="I80" s="319">
        <v>46063.03770545139</v>
      </c>
      <c r="J80" s="319">
        <v>46063.03770547453</v>
      </c>
    </row>
    <row r="81">
      <c r="A81" s="2" t="s">
        <v>692</v>
      </c>
      <c r="B81" s="2" t="s">
        <v>693</v>
      </c>
      <c r="C81" s="4">
        <v>8.0</v>
      </c>
      <c r="D81" s="4">
        <v>6.0</v>
      </c>
      <c r="E81" s="4">
        <v>2.0</v>
      </c>
      <c r="F81" s="2" t="s">
        <v>661</v>
      </c>
      <c r="G81" s="2" t="s">
        <v>2983</v>
      </c>
      <c r="H81" s="2" t="s">
        <v>2982</v>
      </c>
      <c r="I81" s="319">
        <v>46063.03770547453</v>
      </c>
      <c r="J81" s="319">
        <v>46063.037705497685</v>
      </c>
    </row>
    <row r="82">
      <c r="A82" s="2" t="s">
        <v>201</v>
      </c>
      <c r="B82" s="2" t="s">
        <v>2976</v>
      </c>
      <c r="C82" s="4">
        <v>800.0</v>
      </c>
      <c r="D82" s="4">
        <v>640.0</v>
      </c>
      <c r="E82" s="4">
        <v>0.0</v>
      </c>
      <c r="F82" s="2" t="s">
        <v>22</v>
      </c>
      <c r="G82" s="2" t="s">
        <v>2977</v>
      </c>
      <c r="H82" s="2" t="s">
        <v>2978</v>
      </c>
      <c r="I82" s="319">
        <v>46064.03781432871</v>
      </c>
      <c r="J82" s="319">
        <v>46064.03781436343</v>
      </c>
    </row>
    <row r="83">
      <c r="A83" s="2" t="s">
        <v>33</v>
      </c>
      <c r="B83" s="2" t="s">
        <v>2984</v>
      </c>
      <c r="C83" s="4">
        <v>80.0</v>
      </c>
      <c r="D83" s="4">
        <v>64.0</v>
      </c>
      <c r="E83" s="4">
        <v>0.0</v>
      </c>
      <c r="F83" s="2" t="s">
        <v>22</v>
      </c>
      <c r="G83" s="2" t="s">
        <v>2977</v>
      </c>
      <c r="H83" s="2" t="s">
        <v>2982</v>
      </c>
      <c r="I83" s="319">
        <v>46064.03781436343</v>
      </c>
      <c r="J83" s="319">
        <v>46064.037814386575</v>
      </c>
    </row>
    <row r="84">
      <c r="A84" s="2" t="s">
        <v>74</v>
      </c>
      <c r="B84" s="2" t="s">
        <v>2985</v>
      </c>
      <c r="C84" s="4">
        <v>240.0</v>
      </c>
      <c r="D84" s="4">
        <v>192.0</v>
      </c>
      <c r="E84" s="4">
        <v>0.0</v>
      </c>
      <c r="F84" s="2" t="s">
        <v>22</v>
      </c>
      <c r="G84" s="2" t="s">
        <v>2977</v>
      </c>
      <c r="H84" s="2" t="s">
        <v>2979</v>
      </c>
      <c r="I84" s="319">
        <v>46064.037814386575</v>
      </c>
      <c r="J84" s="319">
        <v>46064.037814421295</v>
      </c>
    </row>
    <row r="85">
      <c r="A85" s="2" t="s">
        <v>1601</v>
      </c>
      <c r="B85" s="2" t="s">
        <v>1602</v>
      </c>
      <c r="C85" s="4">
        <v>240.0</v>
      </c>
      <c r="D85" s="4">
        <v>192.0</v>
      </c>
      <c r="E85" s="4">
        <v>0.0</v>
      </c>
      <c r="F85" s="2" t="s">
        <v>22</v>
      </c>
      <c r="G85" s="2" t="s">
        <v>2977</v>
      </c>
      <c r="H85" s="2" t="s">
        <v>2979</v>
      </c>
      <c r="I85" s="319">
        <v>46064.037814421295</v>
      </c>
      <c r="J85" s="319">
        <v>46064.037814537034</v>
      </c>
    </row>
    <row r="86">
      <c r="A86" s="2" t="s">
        <v>314</v>
      </c>
      <c r="B86" s="2" t="s">
        <v>315</v>
      </c>
      <c r="C86" s="4">
        <v>2.0</v>
      </c>
      <c r="D86" s="4">
        <v>2.0</v>
      </c>
      <c r="E86" s="4">
        <v>1.0</v>
      </c>
      <c r="F86" s="2" t="s">
        <v>290</v>
      </c>
      <c r="G86" s="2" t="s">
        <v>2981</v>
      </c>
      <c r="H86" s="2" t="s">
        <v>2982</v>
      </c>
      <c r="I86" s="319">
        <v>46064.037814537034</v>
      </c>
      <c r="J86" s="319">
        <v>46064.037814571755</v>
      </c>
    </row>
    <row r="87">
      <c r="A87" s="2" t="s">
        <v>588</v>
      </c>
      <c r="B87" s="2" t="s">
        <v>589</v>
      </c>
      <c r="C87" s="4">
        <v>2.0</v>
      </c>
      <c r="D87" s="4">
        <v>2.0</v>
      </c>
      <c r="E87" s="4">
        <v>1.0</v>
      </c>
      <c r="F87" s="2" t="s">
        <v>290</v>
      </c>
      <c r="G87" s="2" t="s">
        <v>2981</v>
      </c>
      <c r="H87" s="2" t="s">
        <v>2978</v>
      </c>
      <c r="I87" s="319">
        <v>46064.037814571755</v>
      </c>
      <c r="J87" s="319">
        <v>46064.03781484954</v>
      </c>
    </row>
    <row r="88">
      <c r="A88" s="2" t="s">
        <v>1819</v>
      </c>
      <c r="B88" s="2" t="s">
        <v>1820</v>
      </c>
      <c r="C88" s="4">
        <v>2.0</v>
      </c>
      <c r="D88" s="4">
        <v>2.0</v>
      </c>
      <c r="E88" s="4">
        <v>1.0</v>
      </c>
      <c r="F88" s="2" t="s">
        <v>290</v>
      </c>
      <c r="G88" s="2" t="s">
        <v>2981</v>
      </c>
      <c r="H88" s="2" t="s">
        <v>2979</v>
      </c>
      <c r="I88" s="319">
        <v>46064.03781486111</v>
      </c>
      <c r="J88" s="319">
        <v>46064.03781520833</v>
      </c>
    </row>
    <row r="89">
      <c r="A89" s="2" t="s">
        <v>692</v>
      </c>
      <c r="B89" s="2" t="s">
        <v>693</v>
      </c>
      <c r="C89" s="4">
        <v>8.0</v>
      </c>
      <c r="D89" s="4">
        <v>6.0</v>
      </c>
      <c r="E89" s="4">
        <v>2.0</v>
      </c>
      <c r="F89" s="2" t="s">
        <v>661</v>
      </c>
      <c r="G89" s="2" t="s">
        <v>2983</v>
      </c>
      <c r="H89" s="2" t="s">
        <v>2982</v>
      </c>
      <c r="I89" s="319">
        <v>46064.03781520833</v>
      </c>
      <c r="J89" s="319">
        <v>46064.03781527778</v>
      </c>
    </row>
    <row r="90">
      <c r="A90" s="2" t="s">
        <v>201</v>
      </c>
      <c r="B90" s="2" t="s">
        <v>2976</v>
      </c>
      <c r="C90" s="4">
        <v>800.0</v>
      </c>
      <c r="D90" s="4">
        <v>640.0</v>
      </c>
      <c r="E90" s="4">
        <v>0.0</v>
      </c>
      <c r="F90" s="2" t="s">
        <v>22</v>
      </c>
      <c r="G90" s="2" t="s">
        <v>2977</v>
      </c>
      <c r="H90" s="2" t="s">
        <v>2978</v>
      </c>
      <c r="I90" s="319">
        <v>46065.03775628472</v>
      </c>
      <c r="J90" s="319">
        <v>46065.0377562963</v>
      </c>
    </row>
    <row r="91">
      <c r="A91" s="2" t="s">
        <v>33</v>
      </c>
      <c r="B91" s="2" t="s">
        <v>2984</v>
      </c>
      <c r="C91" s="4">
        <v>80.0</v>
      </c>
      <c r="D91" s="4">
        <v>64.0</v>
      </c>
      <c r="E91" s="4">
        <v>0.0</v>
      </c>
      <c r="F91" s="2" t="s">
        <v>22</v>
      </c>
      <c r="G91" s="2" t="s">
        <v>2977</v>
      </c>
      <c r="H91" s="2" t="s">
        <v>2982</v>
      </c>
      <c r="I91" s="319">
        <v>46065.0377562963</v>
      </c>
      <c r="J91" s="319">
        <v>46065.03775633102</v>
      </c>
    </row>
    <row r="92">
      <c r="A92" s="2" t="s">
        <v>74</v>
      </c>
      <c r="B92" s="2" t="s">
        <v>2985</v>
      </c>
      <c r="C92" s="4">
        <v>240.0</v>
      </c>
      <c r="D92" s="4">
        <v>192.0</v>
      </c>
      <c r="E92" s="4">
        <v>0.0</v>
      </c>
      <c r="F92" s="2" t="s">
        <v>22</v>
      </c>
      <c r="G92" s="2" t="s">
        <v>2977</v>
      </c>
      <c r="H92" s="2" t="s">
        <v>2979</v>
      </c>
      <c r="I92" s="319">
        <v>46065.03775633102</v>
      </c>
      <c r="J92" s="319">
        <v>46065.037756342594</v>
      </c>
    </row>
    <row r="93">
      <c r="A93" s="2" t="s">
        <v>1601</v>
      </c>
      <c r="B93" s="2" t="s">
        <v>1602</v>
      </c>
      <c r="C93" s="4">
        <v>240.0</v>
      </c>
      <c r="D93" s="4">
        <v>192.0</v>
      </c>
      <c r="E93" s="4">
        <v>0.0</v>
      </c>
      <c r="F93" s="2" t="s">
        <v>22</v>
      </c>
      <c r="G93" s="2" t="s">
        <v>2977</v>
      </c>
      <c r="H93" s="2" t="s">
        <v>2979</v>
      </c>
      <c r="I93" s="319">
        <v>46065.037756342594</v>
      </c>
      <c r="J93" s="319">
        <v>46065.037756342594</v>
      </c>
    </row>
    <row r="94">
      <c r="A94" s="2" t="s">
        <v>314</v>
      </c>
      <c r="B94" s="2" t="s">
        <v>315</v>
      </c>
      <c r="C94" s="4">
        <v>2.0</v>
      </c>
      <c r="D94" s="4">
        <v>2.0</v>
      </c>
      <c r="E94" s="4">
        <v>1.0</v>
      </c>
      <c r="F94" s="2" t="s">
        <v>290</v>
      </c>
      <c r="G94" s="2" t="s">
        <v>2981</v>
      </c>
      <c r="H94" s="2" t="s">
        <v>2982</v>
      </c>
      <c r="I94" s="319">
        <v>46065.037756342594</v>
      </c>
      <c r="J94" s="319">
        <v>46065.03775635417</v>
      </c>
    </row>
    <row r="95">
      <c r="A95" s="2" t="s">
        <v>588</v>
      </c>
      <c r="B95" s="2" t="s">
        <v>589</v>
      </c>
      <c r="C95" s="4">
        <v>2.0</v>
      </c>
      <c r="D95" s="4">
        <v>2.0</v>
      </c>
      <c r="E95" s="4">
        <v>1.0</v>
      </c>
      <c r="F95" s="2" t="s">
        <v>290</v>
      </c>
      <c r="G95" s="2" t="s">
        <v>2981</v>
      </c>
      <c r="H95" s="2" t="s">
        <v>2978</v>
      </c>
      <c r="I95" s="319">
        <v>46065.03775635417</v>
      </c>
      <c r="J95" s="319">
        <v>46065.03775636574</v>
      </c>
    </row>
    <row r="96">
      <c r="A96" s="2" t="s">
        <v>1819</v>
      </c>
      <c r="B96" s="2" t="s">
        <v>1820</v>
      </c>
      <c r="C96" s="4">
        <v>2.0</v>
      </c>
      <c r="D96" s="4">
        <v>2.0</v>
      </c>
      <c r="E96" s="4">
        <v>1.0</v>
      </c>
      <c r="F96" s="2" t="s">
        <v>290</v>
      </c>
      <c r="G96" s="2" t="s">
        <v>2981</v>
      </c>
      <c r="H96" s="2" t="s">
        <v>2979</v>
      </c>
      <c r="I96" s="319">
        <v>46065.03775636574</v>
      </c>
      <c r="J96" s="319">
        <v>46065.037756377315</v>
      </c>
    </row>
    <row r="97">
      <c r="A97" s="2" t="s">
        <v>692</v>
      </c>
      <c r="B97" s="2" t="s">
        <v>693</v>
      </c>
      <c r="C97" s="4">
        <v>8.0</v>
      </c>
      <c r="D97" s="4">
        <v>6.0</v>
      </c>
      <c r="E97" s="4">
        <v>2.0</v>
      </c>
      <c r="F97" s="2" t="s">
        <v>661</v>
      </c>
      <c r="G97" s="2" t="s">
        <v>2983</v>
      </c>
      <c r="H97" s="2" t="s">
        <v>2982</v>
      </c>
      <c r="I97" s="319">
        <v>46065.037756377315</v>
      </c>
      <c r="J97" s="319">
        <v>46065.03775638889</v>
      </c>
    </row>
    <row r="98">
      <c r="A98" s="2" t="s">
        <v>201</v>
      </c>
      <c r="B98" s="2" t="s">
        <v>2976</v>
      </c>
      <c r="C98" s="4">
        <v>800.0</v>
      </c>
      <c r="D98" s="4">
        <v>640.0</v>
      </c>
      <c r="E98" s="4">
        <v>0.0</v>
      </c>
      <c r="F98" s="2" t="s">
        <v>22</v>
      </c>
      <c r="G98" s="2" t="s">
        <v>2977</v>
      </c>
      <c r="H98" s="2" t="s">
        <v>2978</v>
      </c>
      <c r="I98" s="319">
        <v>46066.03774951389</v>
      </c>
      <c r="J98" s="319">
        <v>46066.037750069445</v>
      </c>
    </row>
    <row r="99">
      <c r="A99" s="2" t="s">
        <v>33</v>
      </c>
      <c r="B99" s="2" t="s">
        <v>2984</v>
      </c>
      <c r="C99" s="4">
        <v>80.0</v>
      </c>
      <c r="D99" s="4">
        <v>64.0</v>
      </c>
      <c r="E99" s="4">
        <v>0.0</v>
      </c>
      <c r="F99" s="2" t="s">
        <v>22</v>
      </c>
      <c r="G99" s="2" t="s">
        <v>2977</v>
      </c>
      <c r="H99" s="2" t="s">
        <v>2982</v>
      </c>
      <c r="I99" s="319">
        <v>46066.037750069445</v>
      </c>
      <c r="J99" s="319">
        <v>46066.03775042824</v>
      </c>
    </row>
    <row r="100">
      <c r="A100" s="2" t="s">
        <v>74</v>
      </c>
      <c r="B100" s="2" t="s">
        <v>2985</v>
      </c>
      <c r="C100" s="4">
        <v>240.0</v>
      </c>
      <c r="D100" s="4">
        <v>192.0</v>
      </c>
      <c r="E100" s="4">
        <v>0.0</v>
      </c>
      <c r="F100" s="2" t="s">
        <v>22</v>
      </c>
      <c r="G100" s="2" t="s">
        <v>2977</v>
      </c>
      <c r="H100" s="2" t="s">
        <v>2979</v>
      </c>
      <c r="I100" s="319">
        <v>46066.03775042824</v>
      </c>
      <c r="J100" s="319">
        <v>46066.037750601856</v>
      </c>
    </row>
    <row r="101">
      <c r="A101" s="2" t="s">
        <v>1601</v>
      </c>
      <c r="B101" s="2" t="s">
        <v>1602</v>
      </c>
      <c r="C101" s="4">
        <v>240.0</v>
      </c>
      <c r="D101" s="4">
        <v>192.0</v>
      </c>
      <c r="E101" s="4">
        <v>0.0</v>
      </c>
      <c r="F101" s="2" t="s">
        <v>22</v>
      </c>
      <c r="G101" s="2" t="s">
        <v>2977</v>
      </c>
      <c r="H101" s="2" t="s">
        <v>2979</v>
      </c>
      <c r="I101" s="319">
        <v>46066.037750601856</v>
      </c>
      <c r="J101" s="319">
        <v>46066.03775074074</v>
      </c>
    </row>
    <row r="102">
      <c r="A102" s="2" t="s">
        <v>314</v>
      </c>
      <c r="B102" s="2" t="s">
        <v>315</v>
      </c>
      <c r="C102" s="4">
        <v>2.0</v>
      </c>
      <c r="D102" s="4">
        <v>2.0</v>
      </c>
      <c r="E102" s="4">
        <v>1.0</v>
      </c>
      <c r="F102" s="2" t="s">
        <v>290</v>
      </c>
      <c r="G102" s="2" t="s">
        <v>2981</v>
      </c>
      <c r="H102" s="2" t="s">
        <v>2982</v>
      </c>
      <c r="I102" s="319">
        <v>46066.03775074074</v>
      </c>
      <c r="J102" s="319">
        <v>46066.037750787036</v>
      </c>
    </row>
    <row r="103">
      <c r="A103" s="2" t="s">
        <v>588</v>
      </c>
      <c r="B103" s="2" t="s">
        <v>589</v>
      </c>
      <c r="C103" s="4">
        <v>2.0</v>
      </c>
      <c r="D103" s="4">
        <v>2.0</v>
      </c>
      <c r="E103" s="4">
        <v>1.0</v>
      </c>
      <c r="F103" s="2" t="s">
        <v>290</v>
      </c>
      <c r="G103" s="2" t="s">
        <v>2981</v>
      </c>
      <c r="H103" s="2" t="s">
        <v>2978</v>
      </c>
      <c r="I103" s="319">
        <v>46066.037750787036</v>
      </c>
      <c r="J103" s="319">
        <v>46066.037750937496</v>
      </c>
    </row>
    <row r="104">
      <c r="A104" s="2" t="s">
        <v>1819</v>
      </c>
      <c r="B104" s="2" t="s">
        <v>1820</v>
      </c>
      <c r="C104" s="4">
        <v>2.0</v>
      </c>
      <c r="D104" s="4">
        <v>2.0</v>
      </c>
      <c r="E104" s="4">
        <v>1.0</v>
      </c>
      <c r="F104" s="2" t="s">
        <v>290</v>
      </c>
      <c r="G104" s="2" t="s">
        <v>2981</v>
      </c>
      <c r="H104" s="2" t="s">
        <v>2979</v>
      </c>
      <c r="I104" s="319">
        <v>46066.037750937496</v>
      </c>
      <c r="J104" s="319">
        <v>46066.037751076394</v>
      </c>
    </row>
    <row r="105">
      <c r="A105" s="2" t="s">
        <v>692</v>
      </c>
      <c r="B105" s="2" t="s">
        <v>693</v>
      </c>
      <c r="C105" s="4">
        <v>8.0</v>
      </c>
      <c r="D105" s="4">
        <v>6.0</v>
      </c>
      <c r="E105" s="4">
        <v>2.0</v>
      </c>
      <c r="F105" s="2" t="s">
        <v>661</v>
      </c>
      <c r="G105" s="2" t="s">
        <v>2983</v>
      </c>
      <c r="H105" s="2" t="s">
        <v>2982</v>
      </c>
      <c r="I105" s="319">
        <v>46066.037751076394</v>
      </c>
      <c r="J105" s="319">
        <v>46066.03775158565</v>
      </c>
    </row>
    <row r="106">
      <c r="A106" s="2" t="s">
        <v>201</v>
      </c>
      <c r="B106" s="2" t="s">
        <v>2976</v>
      </c>
      <c r="C106" s="4">
        <v>800.0</v>
      </c>
      <c r="D106" s="4">
        <v>640.0</v>
      </c>
      <c r="E106" s="4">
        <v>0.0</v>
      </c>
      <c r="F106" s="2" t="s">
        <v>22</v>
      </c>
      <c r="G106" s="2" t="s">
        <v>2977</v>
      </c>
      <c r="H106" s="2" t="s">
        <v>2978</v>
      </c>
      <c r="I106" s="319">
        <v>46067.0377997801</v>
      </c>
      <c r="J106" s="319">
        <v>46067.03780052083</v>
      </c>
    </row>
    <row r="107">
      <c r="A107" s="2" t="s">
        <v>33</v>
      </c>
      <c r="B107" s="2" t="s">
        <v>2984</v>
      </c>
      <c r="C107" s="4">
        <v>80.0</v>
      </c>
      <c r="D107" s="4">
        <v>64.0</v>
      </c>
      <c r="E107" s="4">
        <v>0.0</v>
      </c>
      <c r="F107" s="2" t="s">
        <v>22</v>
      </c>
      <c r="G107" s="2" t="s">
        <v>2977</v>
      </c>
      <c r="H107" s="2" t="s">
        <v>2982</v>
      </c>
      <c r="I107" s="319">
        <v>46067.03780052083</v>
      </c>
      <c r="J107" s="319">
        <v>46067.03780082176</v>
      </c>
    </row>
    <row r="108">
      <c r="A108" s="2" t="s">
        <v>74</v>
      </c>
      <c r="B108" s="2" t="s">
        <v>2985</v>
      </c>
      <c r="C108" s="4">
        <v>240.0</v>
      </c>
      <c r="D108" s="4">
        <v>192.0</v>
      </c>
      <c r="E108" s="4">
        <v>0.0</v>
      </c>
      <c r="F108" s="2" t="s">
        <v>22</v>
      </c>
      <c r="G108" s="2" t="s">
        <v>2977</v>
      </c>
      <c r="H108" s="2" t="s">
        <v>2979</v>
      </c>
      <c r="I108" s="319">
        <v>46067.03780082176</v>
      </c>
      <c r="J108" s="319">
        <v>46067.03780158565</v>
      </c>
    </row>
    <row r="109">
      <c r="A109" s="2" t="s">
        <v>1601</v>
      </c>
      <c r="B109" s="2" t="s">
        <v>1602</v>
      </c>
      <c r="C109" s="4">
        <v>240.0</v>
      </c>
      <c r="D109" s="4">
        <v>192.0</v>
      </c>
      <c r="E109" s="4">
        <v>0.0</v>
      </c>
      <c r="F109" s="2" t="s">
        <v>22</v>
      </c>
      <c r="G109" s="2" t="s">
        <v>2977</v>
      </c>
      <c r="H109" s="2" t="s">
        <v>2979</v>
      </c>
      <c r="I109" s="319">
        <v>46067.03780158565</v>
      </c>
      <c r="J109" s="319">
        <v>46067.037801909726</v>
      </c>
    </row>
    <row r="110">
      <c r="A110" s="2" t="s">
        <v>314</v>
      </c>
      <c r="B110" s="2" t="s">
        <v>315</v>
      </c>
      <c r="C110" s="4">
        <v>2.0</v>
      </c>
      <c r="D110" s="4">
        <v>2.0</v>
      </c>
      <c r="E110" s="4">
        <v>1.0</v>
      </c>
      <c r="F110" s="2" t="s">
        <v>290</v>
      </c>
      <c r="G110" s="2" t="s">
        <v>2981</v>
      </c>
      <c r="H110" s="2" t="s">
        <v>2982</v>
      </c>
      <c r="I110" s="319">
        <v>46067.037801909726</v>
      </c>
      <c r="J110" s="319">
        <v>46067.03780197917</v>
      </c>
    </row>
    <row r="111">
      <c r="A111" s="2" t="s">
        <v>588</v>
      </c>
      <c r="B111" s="2" t="s">
        <v>589</v>
      </c>
      <c r="C111" s="4">
        <v>2.0</v>
      </c>
      <c r="D111" s="4">
        <v>2.0</v>
      </c>
      <c r="E111" s="4">
        <v>1.0</v>
      </c>
      <c r="F111" s="2" t="s">
        <v>290</v>
      </c>
      <c r="G111" s="2" t="s">
        <v>2981</v>
      </c>
      <c r="H111" s="2" t="s">
        <v>2978</v>
      </c>
      <c r="I111" s="319">
        <v>46067.03780197917</v>
      </c>
      <c r="J111" s="319">
        <v>46067.03780209491</v>
      </c>
    </row>
    <row r="112">
      <c r="A112" s="2" t="s">
        <v>1819</v>
      </c>
      <c r="B112" s="2" t="s">
        <v>1820</v>
      </c>
      <c r="C112" s="4">
        <v>2.0</v>
      </c>
      <c r="D112" s="4">
        <v>2.0</v>
      </c>
      <c r="E112" s="4">
        <v>1.0</v>
      </c>
      <c r="F112" s="2" t="s">
        <v>290</v>
      </c>
      <c r="G112" s="2" t="s">
        <v>2981</v>
      </c>
      <c r="H112" s="2" t="s">
        <v>2979</v>
      </c>
      <c r="I112" s="319">
        <v>46067.03780209491</v>
      </c>
      <c r="J112" s="319">
        <v>46067.037804039355</v>
      </c>
    </row>
    <row r="113">
      <c r="A113" s="2" t="s">
        <v>692</v>
      </c>
      <c r="B113" s="2" t="s">
        <v>693</v>
      </c>
      <c r="C113" s="4">
        <v>8.0</v>
      </c>
      <c r="D113" s="4">
        <v>6.0</v>
      </c>
      <c r="E113" s="4">
        <v>2.0</v>
      </c>
      <c r="F113" s="2" t="s">
        <v>661</v>
      </c>
      <c r="G113" s="2" t="s">
        <v>2983</v>
      </c>
      <c r="H113" s="2" t="s">
        <v>2982</v>
      </c>
      <c r="I113" s="319">
        <v>46067.037804039355</v>
      </c>
      <c r="J113" s="319">
        <v>46067.03780413195</v>
      </c>
    </row>
    <row r="114">
      <c r="A114" s="2" t="s">
        <v>201</v>
      </c>
      <c r="B114" s="2" t="s">
        <v>2976</v>
      </c>
      <c r="C114" s="4">
        <v>800.0</v>
      </c>
      <c r="D114" s="4">
        <v>640.0</v>
      </c>
      <c r="E114" s="4">
        <v>0.0</v>
      </c>
      <c r="F114" s="2" t="s">
        <v>22</v>
      </c>
      <c r="G114" s="2" t="s">
        <v>2977</v>
      </c>
      <c r="H114" s="2" t="s">
        <v>2978</v>
      </c>
      <c r="I114" s="319">
        <v>46068.03771658565</v>
      </c>
      <c r="J114" s="319">
        <v>46068.03771659722</v>
      </c>
    </row>
    <row r="115">
      <c r="A115" s="2" t="s">
        <v>33</v>
      </c>
      <c r="B115" s="2" t="s">
        <v>2984</v>
      </c>
      <c r="C115" s="4">
        <v>80.0</v>
      </c>
      <c r="D115" s="4">
        <v>64.0</v>
      </c>
      <c r="E115" s="4">
        <v>0.0</v>
      </c>
      <c r="F115" s="2" t="s">
        <v>22</v>
      </c>
      <c r="G115" s="2" t="s">
        <v>2977</v>
      </c>
      <c r="H115" s="2" t="s">
        <v>2982</v>
      </c>
      <c r="I115" s="319">
        <v>46068.03771659722</v>
      </c>
      <c r="J115" s="319">
        <v>46068.0377166088</v>
      </c>
    </row>
    <row r="116">
      <c r="A116" s="2" t="s">
        <v>74</v>
      </c>
      <c r="B116" s="2" t="s">
        <v>2985</v>
      </c>
      <c r="C116" s="4">
        <v>240.0</v>
      </c>
      <c r="D116" s="4">
        <v>192.0</v>
      </c>
      <c r="E116" s="4">
        <v>0.0</v>
      </c>
      <c r="F116" s="2" t="s">
        <v>22</v>
      </c>
      <c r="G116" s="2" t="s">
        <v>2977</v>
      </c>
      <c r="H116" s="2" t="s">
        <v>2979</v>
      </c>
      <c r="I116" s="319">
        <v>46068.0377166088</v>
      </c>
      <c r="J116" s="319">
        <v>46068.03771662037</v>
      </c>
    </row>
    <row r="117">
      <c r="A117" s="2" t="s">
        <v>1601</v>
      </c>
      <c r="B117" s="2" t="s">
        <v>1602</v>
      </c>
      <c r="C117" s="4">
        <v>240.0</v>
      </c>
      <c r="D117" s="4">
        <v>192.0</v>
      </c>
      <c r="E117" s="4">
        <v>0.0</v>
      </c>
      <c r="F117" s="2" t="s">
        <v>22</v>
      </c>
      <c r="G117" s="2" t="s">
        <v>2977</v>
      </c>
      <c r="H117" s="2" t="s">
        <v>2979</v>
      </c>
      <c r="I117" s="319">
        <v>46068.03771662037</v>
      </c>
      <c r="J117" s="319">
        <v>46068.03771664352</v>
      </c>
    </row>
    <row r="118">
      <c r="A118" s="2" t="s">
        <v>314</v>
      </c>
      <c r="B118" s="2" t="s">
        <v>315</v>
      </c>
      <c r="C118" s="4">
        <v>2.0</v>
      </c>
      <c r="D118" s="4">
        <v>2.0</v>
      </c>
      <c r="E118" s="4">
        <v>1.0</v>
      </c>
      <c r="F118" s="2" t="s">
        <v>290</v>
      </c>
      <c r="G118" s="2" t="s">
        <v>2981</v>
      </c>
      <c r="H118" s="2" t="s">
        <v>2982</v>
      </c>
      <c r="I118" s="319">
        <v>46068.03771664352</v>
      </c>
      <c r="J118" s="319">
        <v>46068.03771665509</v>
      </c>
    </row>
    <row r="119">
      <c r="A119" s="2" t="s">
        <v>588</v>
      </c>
      <c r="B119" s="2" t="s">
        <v>589</v>
      </c>
      <c r="C119" s="4">
        <v>2.0</v>
      </c>
      <c r="D119" s="4">
        <v>2.0</v>
      </c>
      <c r="E119" s="4">
        <v>1.0</v>
      </c>
      <c r="F119" s="2" t="s">
        <v>290</v>
      </c>
      <c r="G119" s="2" t="s">
        <v>2981</v>
      </c>
      <c r="H119" s="2" t="s">
        <v>2978</v>
      </c>
      <c r="I119" s="319">
        <v>46068.03771665509</v>
      </c>
      <c r="J119" s="319">
        <v>46068.037716666666</v>
      </c>
    </row>
    <row r="120">
      <c r="A120" s="2" t="s">
        <v>1819</v>
      </c>
      <c r="B120" s="2" t="s">
        <v>1820</v>
      </c>
      <c r="C120" s="4">
        <v>2.0</v>
      </c>
      <c r="D120" s="4">
        <v>2.0</v>
      </c>
      <c r="E120" s="4">
        <v>1.0</v>
      </c>
      <c r="F120" s="2" t="s">
        <v>290</v>
      </c>
      <c r="G120" s="2" t="s">
        <v>2981</v>
      </c>
      <c r="H120" s="2" t="s">
        <v>2979</v>
      </c>
      <c r="I120" s="319">
        <v>46068.037716666666</v>
      </c>
      <c r="J120" s="319">
        <v>46068.03771667824</v>
      </c>
    </row>
    <row r="121">
      <c r="A121" s="2" t="s">
        <v>692</v>
      </c>
      <c r="B121" s="2" t="s">
        <v>693</v>
      </c>
      <c r="C121" s="4">
        <v>8.0</v>
      </c>
      <c r="D121" s="4">
        <v>6.0</v>
      </c>
      <c r="E121" s="4">
        <v>2.0</v>
      </c>
      <c r="F121" s="2" t="s">
        <v>661</v>
      </c>
      <c r="G121" s="2" t="s">
        <v>2983</v>
      </c>
      <c r="H121" s="2" t="s">
        <v>2982</v>
      </c>
      <c r="I121" s="319">
        <v>46068.03771667824</v>
      </c>
      <c r="J121" s="319">
        <v>46068.03771668981</v>
      </c>
    </row>
    <row r="122">
      <c r="A122" s="2" t="s">
        <v>201</v>
      </c>
      <c r="B122" s="2" t="s">
        <v>2976</v>
      </c>
      <c r="C122" s="4">
        <v>800.0</v>
      </c>
      <c r="D122" s="4">
        <v>640.0</v>
      </c>
      <c r="E122" s="4">
        <v>0.0</v>
      </c>
      <c r="F122" s="2" t="s">
        <v>22</v>
      </c>
      <c r="G122" s="2" t="s">
        <v>2977</v>
      </c>
      <c r="H122" s="2" t="s">
        <v>2978</v>
      </c>
      <c r="I122" s="319">
        <v>46069.03776648148</v>
      </c>
      <c r="J122" s="319">
        <v>46069.03776662037</v>
      </c>
    </row>
    <row r="123">
      <c r="A123" s="2" t="s">
        <v>33</v>
      </c>
      <c r="B123" s="2" t="s">
        <v>2984</v>
      </c>
      <c r="C123" s="4">
        <v>80.0</v>
      </c>
      <c r="D123" s="4">
        <v>64.0</v>
      </c>
      <c r="E123" s="4">
        <v>0.0</v>
      </c>
      <c r="F123" s="2" t="s">
        <v>22</v>
      </c>
      <c r="G123" s="2" t="s">
        <v>2977</v>
      </c>
      <c r="H123" s="2" t="s">
        <v>2982</v>
      </c>
      <c r="I123" s="319">
        <v>46069.03776662037</v>
      </c>
      <c r="J123" s="319">
        <v>46069.037767256945</v>
      </c>
    </row>
    <row r="124">
      <c r="A124" s="2" t="s">
        <v>74</v>
      </c>
      <c r="B124" s="2" t="s">
        <v>2985</v>
      </c>
      <c r="C124" s="4">
        <v>240.0</v>
      </c>
      <c r="D124" s="4">
        <v>192.0</v>
      </c>
      <c r="E124" s="4">
        <v>0.0</v>
      </c>
      <c r="F124" s="2" t="s">
        <v>22</v>
      </c>
      <c r="G124" s="2" t="s">
        <v>2977</v>
      </c>
      <c r="H124" s="2" t="s">
        <v>2979</v>
      </c>
      <c r="I124" s="319">
        <v>46069.037767256945</v>
      </c>
      <c r="J124" s="319">
        <v>46069.0377672801</v>
      </c>
    </row>
    <row r="125">
      <c r="A125" s="2" t="s">
        <v>1601</v>
      </c>
      <c r="B125" s="2" t="s">
        <v>1602</v>
      </c>
      <c r="C125" s="4">
        <v>240.0</v>
      </c>
      <c r="D125" s="4">
        <v>192.0</v>
      </c>
      <c r="E125" s="4">
        <v>0.0</v>
      </c>
      <c r="F125" s="2" t="s">
        <v>22</v>
      </c>
      <c r="G125" s="2" t="s">
        <v>2977</v>
      </c>
      <c r="H125" s="2" t="s">
        <v>2979</v>
      </c>
      <c r="I125" s="319">
        <v>46069.0377672801</v>
      </c>
      <c r="J125" s="319">
        <v>46069.03776730324</v>
      </c>
    </row>
    <row r="126">
      <c r="A126" s="2" t="s">
        <v>314</v>
      </c>
      <c r="B126" s="2" t="s">
        <v>315</v>
      </c>
      <c r="C126" s="4">
        <v>2.0</v>
      </c>
      <c r="D126" s="4">
        <v>2.0</v>
      </c>
      <c r="E126" s="4">
        <v>1.0</v>
      </c>
      <c r="F126" s="2" t="s">
        <v>290</v>
      </c>
      <c r="G126" s="2" t="s">
        <v>2981</v>
      </c>
      <c r="H126" s="2" t="s">
        <v>2982</v>
      </c>
      <c r="I126" s="319">
        <v>46069.03776730324</v>
      </c>
      <c r="J126" s="319">
        <v>46069.03776732639</v>
      </c>
    </row>
    <row r="127">
      <c r="A127" s="2" t="s">
        <v>588</v>
      </c>
      <c r="B127" s="2" t="s">
        <v>589</v>
      </c>
      <c r="C127" s="4">
        <v>2.0</v>
      </c>
      <c r="D127" s="4">
        <v>2.0</v>
      </c>
      <c r="E127" s="4">
        <v>1.0</v>
      </c>
      <c r="F127" s="2" t="s">
        <v>290</v>
      </c>
      <c r="G127" s="2" t="s">
        <v>2981</v>
      </c>
      <c r="H127" s="2" t="s">
        <v>2978</v>
      </c>
      <c r="I127" s="319">
        <v>46069.03776732639</v>
      </c>
      <c r="J127" s="319">
        <v>46069.03776739583</v>
      </c>
    </row>
    <row r="128">
      <c r="A128" s="2" t="s">
        <v>1819</v>
      </c>
      <c r="B128" s="2" t="s">
        <v>1820</v>
      </c>
      <c r="C128" s="4">
        <v>2.0</v>
      </c>
      <c r="D128" s="4">
        <v>2.0</v>
      </c>
      <c r="E128" s="4">
        <v>1.0</v>
      </c>
      <c r="F128" s="2" t="s">
        <v>290</v>
      </c>
      <c r="G128" s="2" t="s">
        <v>2981</v>
      </c>
      <c r="H128" s="2" t="s">
        <v>2979</v>
      </c>
      <c r="I128" s="319">
        <v>46069.03776739583</v>
      </c>
      <c r="J128" s="319">
        <v>46069.03776743056</v>
      </c>
    </row>
    <row r="129">
      <c r="A129" s="2" t="s">
        <v>692</v>
      </c>
      <c r="B129" s="2" t="s">
        <v>693</v>
      </c>
      <c r="C129" s="4">
        <v>8.0</v>
      </c>
      <c r="D129" s="4">
        <v>6.0</v>
      </c>
      <c r="E129" s="4">
        <v>2.0</v>
      </c>
      <c r="F129" s="2" t="s">
        <v>661</v>
      </c>
      <c r="G129" s="2" t="s">
        <v>2983</v>
      </c>
      <c r="H129" s="2" t="s">
        <v>2982</v>
      </c>
      <c r="I129" s="319">
        <v>46069.03776743056</v>
      </c>
      <c r="J129" s="319">
        <v>46069.03776748842</v>
      </c>
    </row>
    <row r="130">
      <c r="A130" s="2" t="s">
        <v>201</v>
      </c>
      <c r="B130" s="2" t="s">
        <v>2976</v>
      </c>
      <c r="C130" s="4">
        <v>800.0</v>
      </c>
      <c r="D130" s="4">
        <v>640.0</v>
      </c>
      <c r="E130" s="4">
        <v>0.0</v>
      </c>
      <c r="F130" s="2" t="s">
        <v>22</v>
      </c>
      <c r="G130" s="2" t="s">
        <v>2977</v>
      </c>
      <c r="H130" s="2" t="s">
        <v>2978</v>
      </c>
      <c r="I130" s="319">
        <v>46070.037715196755</v>
      </c>
      <c r="J130" s="319">
        <v>46070.03771521991</v>
      </c>
    </row>
    <row r="131">
      <c r="A131" s="2" t="s">
        <v>33</v>
      </c>
      <c r="B131" s="2" t="s">
        <v>2984</v>
      </c>
      <c r="C131" s="4">
        <v>80.0</v>
      </c>
      <c r="D131" s="4">
        <v>64.0</v>
      </c>
      <c r="E131" s="4">
        <v>0.0</v>
      </c>
      <c r="F131" s="2" t="s">
        <v>22</v>
      </c>
      <c r="G131" s="2" t="s">
        <v>2977</v>
      </c>
      <c r="H131" s="2" t="s">
        <v>2982</v>
      </c>
      <c r="I131" s="319">
        <v>46070.03771521991</v>
      </c>
      <c r="J131" s="319">
        <v>46070.03771524306</v>
      </c>
    </row>
    <row r="132">
      <c r="A132" s="2" t="s">
        <v>74</v>
      </c>
      <c r="B132" s="2" t="s">
        <v>2985</v>
      </c>
      <c r="C132" s="4">
        <v>240.0</v>
      </c>
      <c r="D132" s="4">
        <v>192.0</v>
      </c>
      <c r="E132" s="4">
        <v>0.0</v>
      </c>
      <c r="F132" s="2" t="s">
        <v>22</v>
      </c>
      <c r="G132" s="2" t="s">
        <v>2977</v>
      </c>
      <c r="H132" s="2" t="s">
        <v>2979</v>
      </c>
      <c r="I132" s="319">
        <v>46070.03771524306</v>
      </c>
      <c r="J132" s="319">
        <v>46070.037715266204</v>
      </c>
    </row>
    <row r="133">
      <c r="A133" s="2" t="s">
        <v>1601</v>
      </c>
      <c r="B133" s="2" t="s">
        <v>1602</v>
      </c>
      <c r="C133" s="4">
        <v>240.0</v>
      </c>
      <c r="D133" s="4">
        <v>192.0</v>
      </c>
      <c r="E133" s="4">
        <v>0.0</v>
      </c>
      <c r="F133" s="2" t="s">
        <v>22</v>
      </c>
      <c r="G133" s="2" t="s">
        <v>2977</v>
      </c>
      <c r="H133" s="2" t="s">
        <v>2979</v>
      </c>
      <c r="I133" s="319">
        <v>46070.037715266204</v>
      </c>
      <c r="J133" s="319">
        <v>46070.037715300925</v>
      </c>
    </row>
    <row r="134">
      <c r="A134" s="2" t="s">
        <v>314</v>
      </c>
      <c r="B134" s="2" t="s">
        <v>315</v>
      </c>
      <c r="C134" s="4">
        <v>2.0</v>
      </c>
      <c r="D134" s="4">
        <v>2.0</v>
      </c>
      <c r="E134" s="4">
        <v>1.0</v>
      </c>
      <c r="F134" s="2" t="s">
        <v>290</v>
      </c>
      <c r="G134" s="2" t="s">
        <v>2981</v>
      </c>
      <c r="H134" s="2" t="s">
        <v>2982</v>
      </c>
      <c r="I134" s="319">
        <v>46070.037715300925</v>
      </c>
      <c r="J134" s="319">
        <v>46070.03771532407</v>
      </c>
    </row>
    <row r="135">
      <c r="A135" s="2" t="s">
        <v>588</v>
      </c>
      <c r="B135" s="2" t="s">
        <v>589</v>
      </c>
      <c r="C135" s="4">
        <v>2.0</v>
      </c>
      <c r="D135" s="4">
        <v>2.0</v>
      </c>
      <c r="E135" s="4">
        <v>1.0</v>
      </c>
      <c r="F135" s="2" t="s">
        <v>290</v>
      </c>
      <c r="G135" s="2" t="s">
        <v>2981</v>
      </c>
      <c r="H135" s="2" t="s">
        <v>2978</v>
      </c>
      <c r="I135" s="319">
        <v>46070.03771532407</v>
      </c>
      <c r="J135" s="319">
        <v>46070.03771533565</v>
      </c>
    </row>
    <row r="136">
      <c r="A136" s="2" t="s">
        <v>1819</v>
      </c>
      <c r="B136" s="2" t="s">
        <v>1820</v>
      </c>
      <c r="C136" s="4">
        <v>2.0</v>
      </c>
      <c r="D136" s="4">
        <v>2.0</v>
      </c>
      <c r="E136" s="4">
        <v>1.0</v>
      </c>
      <c r="F136" s="2" t="s">
        <v>290</v>
      </c>
      <c r="G136" s="2" t="s">
        <v>2981</v>
      </c>
      <c r="H136" s="2" t="s">
        <v>2979</v>
      </c>
      <c r="I136" s="319">
        <v>46070.03771533565</v>
      </c>
      <c r="J136" s="319">
        <v>46070.03771534722</v>
      </c>
    </row>
    <row r="137">
      <c r="A137" s="2" t="s">
        <v>692</v>
      </c>
      <c r="B137" s="2" t="s">
        <v>693</v>
      </c>
      <c r="C137" s="4">
        <v>8.0</v>
      </c>
      <c r="D137" s="4">
        <v>6.0</v>
      </c>
      <c r="E137" s="4">
        <v>2.0</v>
      </c>
      <c r="F137" s="2" t="s">
        <v>661</v>
      </c>
      <c r="G137" s="2" t="s">
        <v>2983</v>
      </c>
      <c r="H137" s="2" t="s">
        <v>2982</v>
      </c>
      <c r="I137" s="319">
        <v>46070.03771534722</v>
      </c>
      <c r="J137" s="319">
        <v>46070.037715370374</v>
      </c>
    </row>
    <row r="138">
      <c r="A138" s="2" t="s">
        <v>201</v>
      </c>
      <c r="B138" s="2" t="s">
        <v>2976</v>
      </c>
      <c r="C138" s="4">
        <v>800.0</v>
      </c>
      <c r="D138" s="4">
        <v>640.0</v>
      </c>
      <c r="E138" s="4">
        <v>0.0</v>
      </c>
      <c r="F138" s="2" t="s">
        <v>22</v>
      </c>
      <c r="G138" s="2" t="s">
        <v>2977</v>
      </c>
      <c r="H138" s="2" t="s">
        <v>2978</v>
      </c>
      <c r="I138" s="319">
        <v>46071.03769902777</v>
      </c>
      <c r="J138" s="319">
        <v>46071.03769902777</v>
      </c>
    </row>
    <row r="139">
      <c r="A139" s="2" t="s">
        <v>33</v>
      </c>
      <c r="B139" s="2" t="s">
        <v>2984</v>
      </c>
      <c r="C139" s="4">
        <v>80.0</v>
      </c>
      <c r="D139" s="4">
        <v>64.0</v>
      </c>
      <c r="E139" s="4">
        <v>0.0</v>
      </c>
      <c r="F139" s="2" t="s">
        <v>22</v>
      </c>
      <c r="G139" s="2" t="s">
        <v>2977</v>
      </c>
      <c r="H139" s="2" t="s">
        <v>2982</v>
      </c>
      <c r="I139" s="319">
        <v>46071.03769902777</v>
      </c>
      <c r="J139" s="319">
        <v>46071.037699039356</v>
      </c>
    </row>
    <row r="140">
      <c r="A140" s="2" t="s">
        <v>74</v>
      </c>
      <c r="B140" s="2" t="s">
        <v>2985</v>
      </c>
      <c r="C140" s="4">
        <v>240.0</v>
      </c>
      <c r="D140" s="4">
        <v>192.0</v>
      </c>
      <c r="E140" s="4">
        <v>0.0</v>
      </c>
      <c r="F140" s="2" t="s">
        <v>22</v>
      </c>
      <c r="G140" s="2" t="s">
        <v>2977</v>
      </c>
      <c r="H140" s="2" t="s">
        <v>2979</v>
      </c>
      <c r="I140" s="319">
        <v>46071.037699039356</v>
      </c>
      <c r="J140" s="319">
        <v>46071.03769907408</v>
      </c>
    </row>
    <row r="141">
      <c r="A141" s="2" t="s">
        <v>1601</v>
      </c>
      <c r="B141" s="2" t="s">
        <v>1602</v>
      </c>
      <c r="C141" s="4">
        <v>240.0</v>
      </c>
      <c r="D141" s="4">
        <v>192.0</v>
      </c>
      <c r="E141" s="4">
        <v>0.0</v>
      </c>
      <c r="F141" s="2" t="s">
        <v>22</v>
      </c>
      <c r="G141" s="2" t="s">
        <v>2977</v>
      </c>
      <c r="H141" s="2" t="s">
        <v>2979</v>
      </c>
      <c r="I141" s="319">
        <v>46071.03769907408</v>
      </c>
      <c r="J141" s="319">
        <v>46071.037699085646</v>
      </c>
    </row>
    <row r="142">
      <c r="A142" s="2" t="s">
        <v>314</v>
      </c>
      <c r="B142" s="2" t="s">
        <v>315</v>
      </c>
      <c r="C142" s="4">
        <v>2.0</v>
      </c>
      <c r="D142" s="4">
        <v>2.0</v>
      </c>
      <c r="E142" s="4">
        <v>1.0</v>
      </c>
      <c r="F142" s="2" t="s">
        <v>290</v>
      </c>
      <c r="G142" s="2" t="s">
        <v>2981</v>
      </c>
      <c r="H142" s="2" t="s">
        <v>2982</v>
      </c>
      <c r="I142" s="319">
        <v>46071.037699085646</v>
      </c>
      <c r="J142" s="319">
        <v>46071.03769909722</v>
      </c>
    </row>
    <row r="143">
      <c r="A143" s="2" t="s">
        <v>588</v>
      </c>
      <c r="B143" s="2" t="s">
        <v>589</v>
      </c>
      <c r="C143" s="4">
        <v>2.0</v>
      </c>
      <c r="D143" s="4">
        <v>2.0</v>
      </c>
      <c r="E143" s="4">
        <v>1.0</v>
      </c>
      <c r="F143" s="2" t="s">
        <v>290</v>
      </c>
      <c r="G143" s="2" t="s">
        <v>2981</v>
      </c>
      <c r="H143" s="2" t="s">
        <v>2978</v>
      </c>
      <c r="I143" s="319">
        <v>46071.03769909722</v>
      </c>
      <c r="J143" s="319">
        <v>46071.0376991088</v>
      </c>
    </row>
    <row r="144">
      <c r="A144" s="2" t="s">
        <v>1819</v>
      </c>
      <c r="B144" s="2" t="s">
        <v>1820</v>
      </c>
      <c r="C144" s="4">
        <v>2.0</v>
      </c>
      <c r="D144" s="4">
        <v>2.0</v>
      </c>
      <c r="E144" s="4">
        <v>1.0</v>
      </c>
      <c r="F144" s="2" t="s">
        <v>290</v>
      </c>
      <c r="G144" s="2" t="s">
        <v>2981</v>
      </c>
      <c r="H144" s="2" t="s">
        <v>2979</v>
      </c>
      <c r="I144" s="319">
        <v>46071.0376991088</v>
      </c>
      <c r="J144" s="319">
        <v>46071.03769912037</v>
      </c>
    </row>
    <row r="145">
      <c r="A145" s="2" t="s">
        <v>692</v>
      </c>
      <c r="B145" s="2" t="s">
        <v>693</v>
      </c>
      <c r="C145" s="4">
        <v>8.0</v>
      </c>
      <c r="D145" s="4">
        <v>6.0</v>
      </c>
      <c r="E145" s="4">
        <v>2.0</v>
      </c>
      <c r="F145" s="2" t="s">
        <v>661</v>
      </c>
      <c r="G145" s="2" t="s">
        <v>2983</v>
      </c>
      <c r="H145" s="2" t="s">
        <v>2982</v>
      </c>
      <c r="I145" s="319">
        <v>46071.03769912037</v>
      </c>
      <c r="J145" s="319">
        <v>46071.03769912037</v>
      </c>
    </row>
    <row r="146">
      <c r="A146" s="2" t="s">
        <v>201</v>
      </c>
      <c r="B146" s="2" t="s">
        <v>2976</v>
      </c>
      <c r="C146" s="4">
        <v>800.0</v>
      </c>
      <c r="D146" s="4">
        <v>640.0</v>
      </c>
      <c r="E146" s="4">
        <v>0.0</v>
      </c>
      <c r="F146" s="2" t="s">
        <v>22</v>
      </c>
      <c r="G146" s="2" t="s">
        <v>2977</v>
      </c>
      <c r="H146" s="2" t="s">
        <v>2978</v>
      </c>
      <c r="I146" s="319">
        <v>46072.03777127315</v>
      </c>
      <c r="J146" s="319">
        <v>46072.037771284726</v>
      </c>
    </row>
    <row r="147">
      <c r="A147" s="2" t="s">
        <v>74</v>
      </c>
      <c r="B147" s="2" t="s">
        <v>2985</v>
      </c>
      <c r="C147" s="4">
        <v>240.0</v>
      </c>
      <c r="D147" s="4">
        <v>192.0</v>
      </c>
      <c r="E147" s="4">
        <v>0.0</v>
      </c>
      <c r="F147" s="2" t="s">
        <v>22</v>
      </c>
      <c r="G147" s="2" t="s">
        <v>2977</v>
      </c>
      <c r="H147" s="2" t="s">
        <v>2979</v>
      </c>
      <c r="I147" s="319">
        <v>46072.037771284726</v>
      </c>
      <c r="J147" s="319">
        <v>46072.03777130787</v>
      </c>
    </row>
    <row r="148">
      <c r="A148" s="2" t="s">
        <v>1601</v>
      </c>
      <c r="B148" s="2" t="s">
        <v>1602</v>
      </c>
      <c r="C148" s="4">
        <v>240.0</v>
      </c>
      <c r="D148" s="4">
        <v>192.0</v>
      </c>
      <c r="E148" s="4">
        <v>0.0</v>
      </c>
      <c r="F148" s="2" t="s">
        <v>22</v>
      </c>
      <c r="G148" s="2" t="s">
        <v>2977</v>
      </c>
      <c r="H148" s="2" t="s">
        <v>2979</v>
      </c>
      <c r="I148" s="319">
        <v>46072.03777130787</v>
      </c>
      <c r="J148" s="319">
        <v>46072.037771365736</v>
      </c>
    </row>
    <row r="149">
      <c r="A149" s="2" t="s">
        <v>314</v>
      </c>
      <c r="B149" s="2" t="s">
        <v>315</v>
      </c>
      <c r="C149" s="4">
        <v>2.0</v>
      </c>
      <c r="D149" s="4">
        <v>2.0</v>
      </c>
      <c r="E149" s="4">
        <v>1.0</v>
      </c>
      <c r="F149" s="2" t="s">
        <v>290</v>
      </c>
      <c r="G149" s="2" t="s">
        <v>2981</v>
      </c>
      <c r="H149" s="2" t="s">
        <v>2982</v>
      </c>
      <c r="I149" s="319">
        <v>46072.037771365736</v>
      </c>
      <c r="J149" s="319">
        <v>46072.03777138889</v>
      </c>
    </row>
    <row r="150">
      <c r="A150" s="2" t="s">
        <v>588</v>
      </c>
      <c r="B150" s="2" t="s">
        <v>589</v>
      </c>
      <c r="C150" s="4">
        <v>2.0</v>
      </c>
      <c r="D150" s="4">
        <v>2.0</v>
      </c>
      <c r="E150" s="4">
        <v>1.0</v>
      </c>
      <c r="F150" s="2" t="s">
        <v>290</v>
      </c>
      <c r="G150" s="2" t="s">
        <v>2981</v>
      </c>
      <c r="H150" s="2" t="s">
        <v>2978</v>
      </c>
      <c r="I150" s="319">
        <v>46072.03777138889</v>
      </c>
      <c r="J150" s="319">
        <v>46072.037771400464</v>
      </c>
    </row>
    <row r="151">
      <c r="A151" s="2" t="s">
        <v>1819</v>
      </c>
      <c r="B151" s="2" t="s">
        <v>1820</v>
      </c>
      <c r="C151" s="4">
        <v>2.0</v>
      </c>
      <c r="D151" s="4">
        <v>2.0</v>
      </c>
      <c r="E151" s="4">
        <v>1.0</v>
      </c>
      <c r="F151" s="2" t="s">
        <v>290</v>
      </c>
      <c r="G151" s="2" t="s">
        <v>2981</v>
      </c>
      <c r="H151" s="2" t="s">
        <v>2979</v>
      </c>
      <c r="I151" s="319">
        <v>46072.037771400464</v>
      </c>
      <c r="J151" s="319">
        <v>46072.037771400464</v>
      </c>
    </row>
    <row r="152">
      <c r="A152" s="2" t="s">
        <v>692</v>
      </c>
      <c r="B152" s="2" t="s">
        <v>693</v>
      </c>
      <c r="C152" s="4">
        <v>8.0</v>
      </c>
      <c r="D152" s="4">
        <v>6.0</v>
      </c>
      <c r="E152" s="4">
        <v>2.0</v>
      </c>
      <c r="F152" s="2" t="s">
        <v>661</v>
      </c>
      <c r="G152" s="2" t="s">
        <v>2983</v>
      </c>
      <c r="H152" s="2" t="s">
        <v>2982</v>
      </c>
      <c r="I152" s="319">
        <v>46072.037771400464</v>
      </c>
      <c r="J152" s="319">
        <v>46072.03777141204</v>
      </c>
    </row>
    <row r="153">
      <c r="A153" s="2" t="s">
        <v>201</v>
      </c>
      <c r="B153" s="2" t="s">
        <v>2976</v>
      </c>
      <c r="C153" s="4">
        <v>800.0</v>
      </c>
      <c r="D153" s="4">
        <v>640.0</v>
      </c>
      <c r="E153" s="4">
        <v>0.0</v>
      </c>
      <c r="F153" s="2" t="s">
        <v>22</v>
      </c>
      <c r="G153" s="2" t="s">
        <v>2977</v>
      </c>
      <c r="H153" s="2" t="s">
        <v>2978</v>
      </c>
      <c r="I153" s="319">
        <v>46073.03772049768</v>
      </c>
      <c r="J153" s="319">
        <v>46073.03772054398</v>
      </c>
    </row>
    <row r="154">
      <c r="A154" s="2" t="s">
        <v>74</v>
      </c>
      <c r="B154" s="2" t="s">
        <v>2985</v>
      </c>
      <c r="C154" s="4">
        <v>240.0</v>
      </c>
      <c r="D154" s="4">
        <v>192.0</v>
      </c>
      <c r="E154" s="4">
        <v>0.0</v>
      </c>
      <c r="F154" s="2" t="s">
        <v>22</v>
      </c>
      <c r="G154" s="2" t="s">
        <v>2977</v>
      </c>
      <c r="H154" s="2" t="s">
        <v>2979</v>
      </c>
      <c r="I154" s="319">
        <v>46073.03772054398</v>
      </c>
      <c r="J154" s="319">
        <v>46073.03772057871</v>
      </c>
    </row>
    <row r="155">
      <c r="A155" s="2" t="s">
        <v>1601</v>
      </c>
      <c r="B155" s="2" t="s">
        <v>1602</v>
      </c>
      <c r="C155" s="4">
        <v>240.0</v>
      </c>
      <c r="D155" s="4">
        <v>192.0</v>
      </c>
      <c r="E155" s="4">
        <v>0.0</v>
      </c>
      <c r="F155" s="2" t="s">
        <v>22</v>
      </c>
      <c r="G155" s="2" t="s">
        <v>2977</v>
      </c>
      <c r="H155" s="2" t="s">
        <v>2979</v>
      </c>
      <c r="I155" s="319">
        <v>46073.03772057871</v>
      </c>
      <c r="J155" s="319">
        <v>46073.03772072917</v>
      </c>
    </row>
    <row r="156">
      <c r="A156" s="2" t="s">
        <v>314</v>
      </c>
      <c r="B156" s="2" t="s">
        <v>315</v>
      </c>
      <c r="C156" s="4">
        <v>2.0</v>
      </c>
      <c r="D156" s="4">
        <v>2.0</v>
      </c>
      <c r="E156" s="4">
        <v>1.0</v>
      </c>
      <c r="F156" s="2" t="s">
        <v>290</v>
      </c>
      <c r="G156" s="2" t="s">
        <v>2981</v>
      </c>
      <c r="H156" s="2" t="s">
        <v>2982</v>
      </c>
      <c r="I156" s="319">
        <v>46073.03772072917</v>
      </c>
      <c r="J156" s="319">
        <v>46073.03772083334</v>
      </c>
    </row>
    <row r="157">
      <c r="A157" s="2" t="s">
        <v>588</v>
      </c>
      <c r="B157" s="2" t="s">
        <v>589</v>
      </c>
      <c r="C157" s="4">
        <v>2.0</v>
      </c>
      <c r="D157" s="4">
        <v>2.0</v>
      </c>
      <c r="E157" s="4">
        <v>1.0</v>
      </c>
      <c r="F157" s="2" t="s">
        <v>290</v>
      </c>
      <c r="G157" s="2" t="s">
        <v>2981</v>
      </c>
      <c r="H157" s="2" t="s">
        <v>2978</v>
      </c>
      <c r="I157" s="319">
        <v>46073.03772083334</v>
      </c>
      <c r="J157" s="319">
        <v>46073.03772086806</v>
      </c>
    </row>
    <row r="158">
      <c r="A158" s="2" t="s">
        <v>1819</v>
      </c>
      <c r="B158" s="2" t="s">
        <v>1820</v>
      </c>
      <c r="C158" s="4">
        <v>2.0</v>
      </c>
      <c r="D158" s="4">
        <v>2.0</v>
      </c>
      <c r="E158" s="4">
        <v>1.0</v>
      </c>
      <c r="F158" s="2" t="s">
        <v>290</v>
      </c>
      <c r="G158" s="2" t="s">
        <v>2981</v>
      </c>
      <c r="H158" s="2" t="s">
        <v>2979</v>
      </c>
      <c r="I158" s="319">
        <v>46073.03772086806</v>
      </c>
      <c r="J158" s="319">
        <v>46073.03772092593</v>
      </c>
    </row>
    <row r="159">
      <c r="A159" s="2" t="s">
        <v>692</v>
      </c>
      <c r="B159" s="2" t="s">
        <v>693</v>
      </c>
      <c r="C159" s="4">
        <v>8.0</v>
      </c>
      <c r="D159" s="4">
        <v>6.0</v>
      </c>
      <c r="E159" s="4">
        <v>2.0</v>
      </c>
      <c r="F159" s="2" t="s">
        <v>661</v>
      </c>
      <c r="G159" s="2" t="s">
        <v>2983</v>
      </c>
      <c r="H159" s="2" t="s">
        <v>2982</v>
      </c>
      <c r="I159" s="319">
        <v>46073.03772092593</v>
      </c>
      <c r="J159" s="319">
        <v>46073.03772107638</v>
      </c>
    </row>
    <row r="160">
      <c r="A160" s="2" t="s">
        <v>201</v>
      </c>
      <c r="B160" s="2" t="s">
        <v>2976</v>
      </c>
      <c r="C160" s="4">
        <v>800.0</v>
      </c>
      <c r="D160" s="4">
        <v>640.0</v>
      </c>
      <c r="E160" s="4">
        <v>0.0</v>
      </c>
      <c r="F160" s="2" t="s">
        <v>22</v>
      </c>
      <c r="G160" s="2" t="s">
        <v>2977</v>
      </c>
      <c r="H160" s="2" t="s">
        <v>2982</v>
      </c>
      <c r="I160" s="319">
        <v>46073.415188900464</v>
      </c>
      <c r="J160" s="319">
        <v>46073.41518892361</v>
      </c>
    </row>
    <row r="161">
      <c r="A161" s="2" t="s">
        <v>314</v>
      </c>
      <c r="B161" s="2" t="s">
        <v>315</v>
      </c>
      <c r="C161" s="4">
        <v>2.0</v>
      </c>
      <c r="D161" s="4">
        <v>2.0</v>
      </c>
      <c r="E161" s="4">
        <v>1.0</v>
      </c>
      <c r="F161" s="2" t="s">
        <v>290</v>
      </c>
      <c r="G161" s="2" t="s">
        <v>2981</v>
      </c>
      <c r="H161" s="2" t="s">
        <v>2979</v>
      </c>
      <c r="I161" s="319">
        <v>46073.41603734954</v>
      </c>
      <c r="J161" s="319">
        <v>46073.41603734954</v>
      </c>
    </row>
    <row r="162">
      <c r="A162" s="2" t="s">
        <v>74</v>
      </c>
      <c r="B162" s="2" t="s">
        <v>2985</v>
      </c>
      <c r="C162" s="4">
        <v>240.0</v>
      </c>
      <c r="D162" s="4">
        <v>192.0</v>
      </c>
      <c r="E162" s="4">
        <v>0.0</v>
      </c>
      <c r="F162" s="2" t="s">
        <v>22</v>
      </c>
      <c r="G162" s="2" t="s">
        <v>2977</v>
      </c>
      <c r="H162" s="2" t="s">
        <v>2979</v>
      </c>
      <c r="I162" s="319">
        <v>46074.03772581018</v>
      </c>
      <c r="J162" s="319">
        <v>46074.03772583333</v>
      </c>
    </row>
    <row r="163">
      <c r="A163" s="2" t="s">
        <v>1601</v>
      </c>
      <c r="B163" s="2" t="s">
        <v>1602</v>
      </c>
      <c r="C163" s="4">
        <v>240.0</v>
      </c>
      <c r="D163" s="4">
        <v>192.0</v>
      </c>
      <c r="E163" s="4">
        <v>0.0</v>
      </c>
      <c r="F163" s="2" t="s">
        <v>22</v>
      </c>
      <c r="G163" s="2" t="s">
        <v>2977</v>
      </c>
      <c r="H163" s="2" t="s">
        <v>2979</v>
      </c>
      <c r="I163" s="319">
        <v>46074.03772583333</v>
      </c>
      <c r="J163" s="319">
        <v>46074.03772584491</v>
      </c>
    </row>
    <row r="164">
      <c r="A164" s="2" t="s">
        <v>314</v>
      </c>
      <c r="B164" s="2" t="s">
        <v>315</v>
      </c>
      <c r="C164" s="4">
        <v>2.0</v>
      </c>
      <c r="D164" s="4">
        <v>2.0</v>
      </c>
      <c r="E164" s="4">
        <v>1.0</v>
      </c>
      <c r="F164" s="2" t="s">
        <v>290</v>
      </c>
      <c r="G164" s="2" t="s">
        <v>2981</v>
      </c>
      <c r="H164" s="2" t="s">
        <v>2979</v>
      </c>
      <c r="I164" s="319">
        <v>46074.03772584491</v>
      </c>
      <c r="J164" s="319">
        <v>46074.037725856484</v>
      </c>
    </row>
    <row r="165">
      <c r="A165" s="2" t="s">
        <v>588</v>
      </c>
      <c r="B165" s="2" t="s">
        <v>589</v>
      </c>
      <c r="C165" s="4">
        <v>2.0</v>
      </c>
      <c r="D165" s="4">
        <v>2.0</v>
      </c>
      <c r="E165" s="4">
        <v>1.0</v>
      </c>
      <c r="F165" s="2" t="s">
        <v>290</v>
      </c>
      <c r="G165" s="2" t="s">
        <v>2981</v>
      </c>
      <c r="H165" s="2" t="s">
        <v>2978</v>
      </c>
      <c r="I165" s="319">
        <v>46074.037725856484</v>
      </c>
      <c r="J165" s="319">
        <v>46074.03772587963</v>
      </c>
    </row>
    <row r="166">
      <c r="A166" s="2" t="s">
        <v>1819</v>
      </c>
      <c r="B166" s="2" t="s">
        <v>1820</v>
      </c>
      <c r="C166" s="4">
        <v>2.0</v>
      </c>
      <c r="D166" s="4">
        <v>2.0</v>
      </c>
      <c r="E166" s="4">
        <v>1.0</v>
      </c>
      <c r="F166" s="2" t="s">
        <v>290</v>
      </c>
      <c r="G166" s="2" t="s">
        <v>2981</v>
      </c>
      <c r="H166" s="2" t="s">
        <v>2979</v>
      </c>
      <c r="I166" s="319">
        <v>46074.03772587963</v>
      </c>
      <c r="J166" s="319">
        <v>46074.037725902774</v>
      </c>
    </row>
    <row r="167">
      <c r="A167" s="2" t="s">
        <v>692</v>
      </c>
      <c r="B167" s="2" t="s">
        <v>693</v>
      </c>
      <c r="C167" s="4">
        <v>8.0</v>
      </c>
      <c r="D167" s="4">
        <v>6.0</v>
      </c>
      <c r="E167" s="4">
        <v>2.0</v>
      </c>
      <c r="F167" s="2" t="s">
        <v>661</v>
      </c>
      <c r="G167" s="2" t="s">
        <v>2983</v>
      </c>
      <c r="H167" s="2" t="s">
        <v>2982</v>
      </c>
      <c r="I167" s="319">
        <v>46074.037725902774</v>
      </c>
      <c r="J167" s="319">
        <v>46074.03772591436</v>
      </c>
    </row>
    <row r="168">
      <c r="A168" s="2" t="s">
        <v>74</v>
      </c>
      <c r="B168" s="2" t="s">
        <v>2985</v>
      </c>
      <c r="C168" s="4">
        <v>240.0</v>
      </c>
      <c r="D168" s="4">
        <v>192.0</v>
      </c>
      <c r="E168" s="4">
        <v>0.0</v>
      </c>
      <c r="F168" s="2" t="s">
        <v>22</v>
      </c>
      <c r="G168" s="2" t="s">
        <v>2977</v>
      </c>
      <c r="H168" s="2" t="s">
        <v>2979</v>
      </c>
      <c r="I168" s="319">
        <v>46075.037742071756</v>
      </c>
      <c r="J168" s="319">
        <v>46075.03774208333</v>
      </c>
    </row>
    <row r="169">
      <c r="A169" s="2" t="s">
        <v>1601</v>
      </c>
      <c r="B169" s="2" t="s">
        <v>1602</v>
      </c>
      <c r="C169" s="4">
        <v>240.0</v>
      </c>
      <c r="D169" s="4">
        <v>192.0</v>
      </c>
      <c r="E169" s="4">
        <v>0.0</v>
      </c>
      <c r="F169" s="2" t="s">
        <v>22</v>
      </c>
      <c r="G169" s="2" t="s">
        <v>2977</v>
      </c>
      <c r="H169" s="2" t="s">
        <v>2979</v>
      </c>
      <c r="I169" s="319">
        <v>46075.03774208333</v>
      </c>
      <c r="J169" s="319">
        <v>46075.03774212963</v>
      </c>
    </row>
    <row r="170">
      <c r="A170" s="2" t="s">
        <v>314</v>
      </c>
      <c r="B170" s="2" t="s">
        <v>315</v>
      </c>
      <c r="C170" s="4">
        <v>2.0</v>
      </c>
      <c r="D170" s="4">
        <v>2.0</v>
      </c>
      <c r="E170" s="4">
        <v>1.0</v>
      </c>
      <c r="F170" s="2" t="s">
        <v>290</v>
      </c>
      <c r="G170" s="2" t="s">
        <v>2981</v>
      </c>
      <c r="H170" s="2" t="s">
        <v>2979</v>
      </c>
      <c r="I170" s="319">
        <v>46075.03774212963</v>
      </c>
      <c r="J170" s="319">
        <v>46075.03774215278</v>
      </c>
    </row>
    <row r="171">
      <c r="A171" s="2" t="s">
        <v>588</v>
      </c>
      <c r="B171" s="2" t="s">
        <v>589</v>
      </c>
      <c r="C171" s="4">
        <v>2.0</v>
      </c>
      <c r="D171" s="4">
        <v>2.0</v>
      </c>
      <c r="E171" s="4">
        <v>1.0</v>
      </c>
      <c r="F171" s="2" t="s">
        <v>290</v>
      </c>
      <c r="G171" s="2" t="s">
        <v>2981</v>
      </c>
      <c r="H171" s="2" t="s">
        <v>2978</v>
      </c>
      <c r="I171" s="319">
        <v>46075.03774215278</v>
      </c>
      <c r="J171" s="319">
        <v>46075.03774216435</v>
      </c>
    </row>
    <row r="172">
      <c r="A172" s="2" t="s">
        <v>1819</v>
      </c>
      <c r="B172" s="2" t="s">
        <v>1820</v>
      </c>
      <c r="C172" s="4">
        <v>2.0</v>
      </c>
      <c r="D172" s="4">
        <v>2.0</v>
      </c>
      <c r="E172" s="4">
        <v>1.0</v>
      </c>
      <c r="F172" s="2" t="s">
        <v>290</v>
      </c>
      <c r="G172" s="2" t="s">
        <v>2981</v>
      </c>
      <c r="H172" s="2" t="s">
        <v>2979</v>
      </c>
      <c r="I172" s="319">
        <v>46075.03774216435</v>
      </c>
      <c r="J172" s="319">
        <v>46075.037742175926</v>
      </c>
    </row>
    <row r="173">
      <c r="A173" s="2" t="s">
        <v>692</v>
      </c>
      <c r="B173" s="2" t="s">
        <v>693</v>
      </c>
      <c r="C173" s="4">
        <v>8.0</v>
      </c>
      <c r="D173" s="4">
        <v>6.0</v>
      </c>
      <c r="E173" s="4">
        <v>2.0</v>
      </c>
      <c r="F173" s="2" t="s">
        <v>661</v>
      </c>
      <c r="G173" s="2" t="s">
        <v>2983</v>
      </c>
      <c r="H173" s="2" t="s">
        <v>2982</v>
      </c>
      <c r="I173" s="319">
        <v>46075.037742175926</v>
      </c>
      <c r="J173" s="319">
        <v>46075.037742175926</v>
      </c>
    </row>
    <row r="174">
      <c r="A174" s="2" t="s">
        <v>74</v>
      </c>
      <c r="B174" s="2" t="s">
        <v>2985</v>
      </c>
      <c r="C174" s="4">
        <v>240.0</v>
      </c>
      <c r="D174" s="4">
        <v>192.0</v>
      </c>
      <c r="E174" s="4">
        <v>0.0</v>
      </c>
      <c r="F174" s="2" t="s">
        <v>22</v>
      </c>
      <c r="G174" s="2" t="s">
        <v>2977</v>
      </c>
      <c r="H174" s="2" t="s">
        <v>2979</v>
      </c>
      <c r="I174" s="319">
        <v>46076.037694108796</v>
      </c>
      <c r="J174" s="319">
        <v>46076.03769412037</v>
      </c>
    </row>
    <row r="175">
      <c r="A175" s="2" t="s">
        <v>1601</v>
      </c>
      <c r="B175" s="2" t="s">
        <v>1602</v>
      </c>
      <c r="C175" s="4">
        <v>240.0</v>
      </c>
      <c r="D175" s="4">
        <v>192.0</v>
      </c>
      <c r="E175" s="4">
        <v>0.0</v>
      </c>
      <c r="F175" s="2" t="s">
        <v>22</v>
      </c>
      <c r="G175" s="2" t="s">
        <v>2977</v>
      </c>
      <c r="H175" s="2" t="s">
        <v>2979</v>
      </c>
      <c r="I175" s="319">
        <v>46076.03769412037</v>
      </c>
      <c r="J175" s="319">
        <v>46076.03769413194</v>
      </c>
    </row>
    <row r="176">
      <c r="A176" s="2" t="s">
        <v>314</v>
      </c>
      <c r="B176" s="2" t="s">
        <v>315</v>
      </c>
      <c r="C176" s="4">
        <v>2.0</v>
      </c>
      <c r="D176" s="4">
        <v>2.0</v>
      </c>
      <c r="E176" s="4">
        <v>1.0</v>
      </c>
      <c r="F176" s="2" t="s">
        <v>290</v>
      </c>
      <c r="G176" s="2" t="s">
        <v>2981</v>
      </c>
      <c r="H176" s="2" t="s">
        <v>2979</v>
      </c>
      <c r="I176" s="319">
        <v>46076.03769413194</v>
      </c>
      <c r="J176" s="319">
        <v>46076.03769413194</v>
      </c>
    </row>
    <row r="177">
      <c r="A177" s="2" t="s">
        <v>588</v>
      </c>
      <c r="B177" s="2" t="s">
        <v>589</v>
      </c>
      <c r="C177" s="4">
        <v>2.0</v>
      </c>
      <c r="D177" s="4">
        <v>2.0</v>
      </c>
      <c r="E177" s="4">
        <v>1.0</v>
      </c>
      <c r="F177" s="2" t="s">
        <v>290</v>
      </c>
      <c r="G177" s="2" t="s">
        <v>2981</v>
      </c>
      <c r="H177" s="2" t="s">
        <v>2978</v>
      </c>
      <c r="I177" s="319">
        <v>46076.03769413194</v>
      </c>
      <c r="J177" s="319">
        <v>46076.03769414352</v>
      </c>
    </row>
    <row r="178">
      <c r="A178" s="2" t="s">
        <v>1819</v>
      </c>
      <c r="B178" s="2" t="s">
        <v>1820</v>
      </c>
      <c r="C178" s="4">
        <v>2.0</v>
      </c>
      <c r="D178" s="4">
        <v>2.0</v>
      </c>
      <c r="E178" s="4">
        <v>1.0</v>
      </c>
      <c r="F178" s="2" t="s">
        <v>290</v>
      </c>
      <c r="G178" s="2" t="s">
        <v>2981</v>
      </c>
      <c r="H178" s="2" t="s">
        <v>2979</v>
      </c>
      <c r="I178" s="319">
        <v>46076.03769414352</v>
      </c>
      <c r="J178" s="319">
        <v>46076.03769414352</v>
      </c>
    </row>
    <row r="179">
      <c r="A179" s="2" t="s">
        <v>692</v>
      </c>
      <c r="B179" s="2" t="s">
        <v>693</v>
      </c>
      <c r="C179" s="4">
        <v>8.0</v>
      </c>
      <c r="D179" s="4">
        <v>6.0</v>
      </c>
      <c r="E179" s="4">
        <v>2.0</v>
      </c>
      <c r="F179" s="2" t="s">
        <v>661</v>
      </c>
      <c r="G179" s="2" t="s">
        <v>2983</v>
      </c>
      <c r="H179" s="2" t="s">
        <v>2982</v>
      </c>
      <c r="I179" s="319">
        <v>46076.03769414352</v>
      </c>
      <c r="J179" s="319">
        <v>46076.03769415509</v>
      </c>
    </row>
    <row r="180">
      <c r="A180" s="2" t="s">
        <v>74</v>
      </c>
      <c r="B180" s="2" t="s">
        <v>2985</v>
      </c>
      <c r="C180" s="4">
        <v>240.0</v>
      </c>
      <c r="D180" s="4">
        <v>192.0</v>
      </c>
      <c r="E180" s="4">
        <v>0.0</v>
      </c>
      <c r="F180" s="2" t="s">
        <v>22</v>
      </c>
      <c r="G180" s="2" t="s">
        <v>2977</v>
      </c>
      <c r="H180" s="2" t="s">
        <v>2979</v>
      </c>
      <c r="I180" s="319">
        <v>46077.03775145834</v>
      </c>
      <c r="J180" s="319">
        <v>46077.03775148148</v>
      </c>
    </row>
    <row r="181">
      <c r="A181" s="2" t="s">
        <v>1601</v>
      </c>
      <c r="B181" s="2" t="s">
        <v>1602</v>
      </c>
      <c r="C181" s="4">
        <v>240.0</v>
      </c>
      <c r="D181" s="4">
        <v>192.0</v>
      </c>
      <c r="E181" s="4">
        <v>0.0</v>
      </c>
      <c r="F181" s="2" t="s">
        <v>22</v>
      </c>
      <c r="G181" s="2" t="s">
        <v>2977</v>
      </c>
      <c r="H181" s="2" t="s">
        <v>2979</v>
      </c>
      <c r="I181" s="319">
        <v>46077.03775148148</v>
      </c>
      <c r="J181" s="319">
        <v>46077.037751701384</v>
      </c>
    </row>
    <row r="182">
      <c r="A182" s="2" t="s">
        <v>588</v>
      </c>
      <c r="B182" s="2" t="s">
        <v>589</v>
      </c>
      <c r="C182" s="4">
        <v>2.0</v>
      </c>
      <c r="D182" s="4">
        <v>2.0</v>
      </c>
      <c r="E182" s="4">
        <v>1.0</v>
      </c>
      <c r="F182" s="2" t="s">
        <v>290</v>
      </c>
      <c r="G182" s="2" t="s">
        <v>2981</v>
      </c>
      <c r="H182" s="2" t="s">
        <v>2978</v>
      </c>
      <c r="I182" s="319">
        <v>46077.037751701384</v>
      </c>
      <c r="J182" s="319">
        <v>46077.03775200232</v>
      </c>
    </row>
    <row r="183">
      <c r="A183" s="2" t="s">
        <v>1819</v>
      </c>
      <c r="B183" s="2" t="s">
        <v>1820</v>
      </c>
      <c r="C183" s="4">
        <v>2.0</v>
      </c>
      <c r="D183" s="4">
        <v>2.0</v>
      </c>
      <c r="E183" s="4">
        <v>1.0</v>
      </c>
      <c r="F183" s="2" t="s">
        <v>290</v>
      </c>
      <c r="G183" s="2" t="s">
        <v>2981</v>
      </c>
      <c r="H183" s="2" t="s">
        <v>2979</v>
      </c>
      <c r="I183" s="319">
        <v>46077.03775200232</v>
      </c>
      <c r="J183" s="319">
        <v>46077.037752013886</v>
      </c>
    </row>
    <row r="184">
      <c r="A184" s="2" t="s">
        <v>692</v>
      </c>
      <c r="B184" s="2" t="s">
        <v>693</v>
      </c>
      <c r="C184" s="4">
        <v>8.0</v>
      </c>
      <c r="D184" s="4">
        <v>6.0</v>
      </c>
      <c r="E184" s="4">
        <v>2.0</v>
      </c>
      <c r="F184" s="2" t="s">
        <v>661</v>
      </c>
      <c r="G184" s="2" t="s">
        <v>2983</v>
      </c>
      <c r="H184" s="2" t="s">
        <v>2982</v>
      </c>
      <c r="I184" s="319">
        <v>46077.037752013886</v>
      </c>
      <c r="J184" s="319">
        <v>46077.037752222226</v>
      </c>
    </row>
    <row r="185">
      <c r="A185" s="2" t="s">
        <v>74</v>
      </c>
      <c r="B185" s="2" t="s">
        <v>2985</v>
      </c>
      <c r="C185" s="4">
        <v>240.0</v>
      </c>
      <c r="D185" s="4">
        <v>192.0</v>
      </c>
      <c r="E185" s="4">
        <v>0.0</v>
      </c>
      <c r="F185" s="2" t="s">
        <v>22</v>
      </c>
      <c r="G185" s="2" t="s">
        <v>2977</v>
      </c>
      <c r="H185" s="2" t="s">
        <v>2979</v>
      </c>
      <c r="I185" s="319">
        <v>46078.03773185185</v>
      </c>
      <c r="J185" s="319">
        <v>46078.03773188658</v>
      </c>
    </row>
    <row r="186">
      <c r="A186" s="2" t="s">
        <v>1601</v>
      </c>
      <c r="B186" s="2" t="s">
        <v>1602</v>
      </c>
      <c r="C186" s="4">
        <v>240.0</v>
      </c>
      <c r="D186" s="4">
        <v>192.0</v>
      </c>
      <c r="E186" s="4">
        <v>0.0</v>
      </c>
      <c r="F186" s="2" t="s">
        <v>22</v>
      </c>
      <c r="G186" s="2" t="s">
        <v>2977</v>
      </c>
      <c r="H186" s="2" t="s">
        <v>2979</v>
      </c>
      <c r="I186" s="319">
        <v>46078.03773188658</v>
      </c>
      <c r="J186" s="319">
        <v>46078.03773196759</v>
      </c>
    </row>
    <row r="187">
      <c r="A187" s="2" t="s">
        <v>588</v>
      </c>
      <c r="B187" s="2" t="s">
        <v>589</v>
      </c>
      <c r="C187" s="4">
        <v>2.0</v>
      </c>
      <c r="D187" s="4">
        <v>2.0</v>
      </c>
      <c r="E187" s="4">
        <v>1.0</v>
      </c>
      <c r="F187" s="2" t="s">
        <v>290</v>
      </c>
      <c r="G187" s="2" t="s">
        <v>2981</v>
      </c>
      <c r="H187" s="2" t="s">
        <v>2978</v>
      </c>
      <c r="I187" s="319">
        <v>46078.03773196759</v>
      </c>
      <c r="J187" s="319">
        <v>46078.037732083336</v>
      </c>
    </row>
    <row r="188">
      <c r="A188" s="2" t="s">
        <v>1819</v>
      </c>
      <c r="B188" s="2" t="s">
        <v>1820</v>
      </c>
      <c r="C188" s="4">
        <v>2.0</v>
      </c>
      <c r="D188" s="4">
        <v>2.0</v>
      </c>
      <c r="E188" s="4">
        <v>1.0</v>
      </c>
      <c r="F188" s="2" t="s">
        <v>290</v>
      </c>
      <c r="G188" s="2" t="s">
        <v>2981</v>
      </c>
      <c r="H188" s="2" t="s">
        <v>2979</v>
      </c>
      <c r="I188" s="319">
        <v>46078.037732083336</v>
      </c>
      <c r="J188" s="319">
        <v>46078.03773210648</v>
      </c>
    </row>
    <row r="189">
      <c r="A189" s="2" t="s">
        <v>692</v>
      </c>
      <c r="B189" s="2" t="s">
        <v>693</v>
      </c>
      <c r="C189" s="4">
        <v>8.0</v>
      </c>
      <c r="D189" s="4">
        <v>6.0</v>
      </c>
      <c r="E189" s="4">
        <v>2.0</v>
      </c>
      <c r="F189" s="2" t="s">
        <v>661</v>
      </c>
      <c r="G189" s="2" t="s">
        <v>2983</v>
      </c>
      <c r="H189" s="2" t="s">
        <v>2982</v>
      </c>
      <c r="I189" s="319">
        <v>46078.03773210648</v>
      </c>
      <c r="J189" s="319">
        <v>46078.03773215278</v>
      </c>
    </row>
    <row r="190">
      <c r="A190" s="2" t="s">
        <v>74</v>
      </c>
      <c r="B190" s="2" t="s">
        <v>75</v>
      </c>
      <c r="C190" s="4">
        <v>240.0</v>
      </c>
      <c r="D190" s="4">
        <v>192.0</v>
      </c>
      <c r="E190" s="4">
        <v>0.0</v>
      </c>
      <c r="F190" s="2" t="s">
        <v>22</v>
      </c>
      <c r="G190" s="2" t="s">
        <v>2977</v>
      </c>
      <c r="H190" s="2" t="s">
        <v>2979</v>
      </c>
      <c r="I190" s="319">
        <v>46079.03775846065</v>
      </c>
      <c r="J190" s="319">
        <v>46079.03775846065</v>
      </c>
    </row>
    <row r="191">
      <c r="A191" s="2" t="s">
        <v>1601</v>
      </c>
      <c r="B191" s="2" t="s">
        <v>1602</v>
      </c>
      <c r="C191" s="4">
        <v>240.0</v>
      </c>
      <c r="D191" s="4">
        <v>192.0</v>
      </c>
      <c r="E191" s="4">
        <v>0.0</v>
      </c>
      <c r="F191" s="2" t="s">
        <v>22</v>
      </c>
      <c r="G191" s="2" t="s">
        <v>2977</v>
      </c>
      <c r="H191" s="2" t="s">
        <v>2979</v>
      </c>
      <c r="I191" s="319">
        <v>46079.03775846065</v>
      </c>
      <c r="J191" s="319">
        <v>46079.03775847222</v>
      </c>
    </row>
    <row r="192">
      <c r="A192" s="2" t="s">
        <v>588</v>
      </c>
      <c r="B192" s="2" t="s">
        <v>589</v>
      </c>
      <c r="C192" s="4">
        <v>2.0</v>
      </c>
      <c r="D192" s="4">
        <v>2.0</v>
      </c>
      <c r="E192" s="4">
        <v>1.0</v>
      </c>
      <c r="F192" s="2" t="s">
        <v>290</v>
      </c>
      <c r="G192" s="2" t="s">
        <v>2981</v>
      </c>
      <c r="H192" s="2" t="s">
        <v>2978</v>
      </c>
      <c r="I192" s="319">
        <v>46079.03775847222</v>
      </c>
      <c r="J192" s="319">
        <v>46079.0377584838</v>
      </c>
    </row>
    <row r="193">
      <c r="A193" s="2" t="s">
        <v>1819</v>
      </c>
      <c r="B193" s="2" t="s">
        <v>1820</v>
      </c>
      <c r="C193" s="4">
        <v>2.0</v>
      </c>
      <c r="D193" s="4">
        <v>2.0</v>
      </c>
      <c r="E193" s="4">
        <v>1.0</v>
      </c>
      <c r="F193" s="2" t="s">
        <v>290</v>
      </c>
      <c r="G193" s="2" t="s">
        <v>2981</v>
      </c>
      <c r="H193" s="2" t="s">
        <v>2979</v>
      </c>
      <c r="I193" s="319">
        <v>46079.0377584838</v>
      </c>
      <c r="J193" s="319">
        <v>46079.0377584838</v>
      </c>
    </row>
    <row r="194">
      <c r="A194" s="2" t="s">
        <v>692</v>
      </c>
      <c r="B194" s="2" t="s">
        <v>693</v>
      </c>
      <c r="C194" s="4">
        <v>8.0</v>
      </c>
      <c r="D194" s="4">
        <v>6.0</v>
      </c>
      <c r="E194" s="4">
        <v>2.0</v>
      </c>
      <c r="F194" s="2" t="s">
        <v>661</v>
      </c>
      <c r="G194" s="2" t="s">
        <v>2983</v>
      </c>
      <c r="H194" s="2" t="s">
        <v>2982</v>
      </c>
      <c r="I194" s="319">
        <v>46079.0377584838</v>
      </c>
      <c r="J194" s="319">
        <v>46079.03775849537</v>
      </c>
    </row>
    <row r="195">
      <c r="A195" s="2" t="s">
        <v>74</v>
      </c>
      <c r="B195" s="2" t="s">
        <v>75</v>
      </c>
      <c r="C195" s="4">
        <v>240.0</v>
      </c>
      <c r="D195" s="4">
        <v>192.0</v>
      </c>
      <c r="E195" s="4">
        <v>0.0</v>
      </c>
      <c r="F195" s="2" t="s">
        <v>22</v>
      </c>
      <c r="G195" s="2" t="s">
        <v>2977</v>
      </c>
      <c r="H195" s="2" t="s">
        <v>2979</v>
      </c>
      <c r="I195" s="319">
        <v>46080.03773625</v>
      </c>
      <c r="J195" s="319">
        <v>46080.03773630787</v>
      </c>
    </row>
    <row r="196">
      <c r="A196" s="2" t="s">
        <v>1601</v>
      </c>
      <c r="B196" s="2" t="s">
        <v>1602</v>
      </c>
      <c r="C196" s="4">
        <v>240.0</v>
      </c>
      <c r="D196" s="4">
        <v>192.0</v>
      </c>
      <c r="E196" s="4">
        <v>0.0</v>
      </c>
      <c r="F196" s="2" t="s">
        <v>22</v>
      </c>
      <c r="G196" s="2" t="s">
        <v>2977</v>
      </c>
      <c r="H196" s="2" t="s">
        <v>2979</v>
      </c>
      <c r="I196" s="319">
        <v>46080.03773630787</v>
      </c>
      <c r="J196" s="319">
        <v>46080.03773631944</v>
      </c>
    </row>
    <row r="197">
      <c r="A197" s="2" t="s">
        <v>588</v>
      </c>
      <c r="B197" s="2" t="s">
        <v>589</v>
      </c>
      <c r="C197" s="4">
        <v>2.0</v>
      </c>
      <c r="D197" s="4">
        <v>2.0</v>
      </c>
      <c r="E197" s="4">
        <v>1.0</v>
      </c>
      <c r="F197" s="2" t="s">
        <v>290</v>
      </c>
      <c r="G197" s="2" t="s">
        <v>2981</v>
      </c>
      <c r="H197" s="2" t="s">
        <v>2978</v>
      </c>
      <c r="I197" s="319">
        <v>46080.03773631944</v>
      </c>
      <c r="J197" s="319">
        <v>46080.03773633102</v>
      </c>
    </row>
    <row r="198">
      <c r="A198" s="2" t="s">
        <v>1819</v>
      </c>
      <c r="B198" s="2" t="s">
        <v>1820</v>
      </c>
      <c r="C198" s="4">
        <v>2.0</v>
      </c>
      <c r="D198" s="4">
        <v>2.0</v>
      </c>
      <c r="E198" s="4">
        <v>1.0</v>
      </c>
      <c r="F198" s="2" t="s">
        <v>290</v>
      </c>
      <c r="G198" s="2" t="s">
        <v>2981</v>
      </c>
      <c r="H198" s="2" t="s">
        <v>2979</v>
      </c>
      <c r="I198" s="319">
        <v>46080.03773633102</v>
      </c>
      <c r="J198" s="319">
        <v>46080.037736388884</v>
      </c>
    </row>
    <row r="199">
      <c r="A199" s="2" t="s">
        <v>692</v>
      </c>
      <c r="B199" s="2" t="s">
        <v>693</v>
      </c>
      <c r="C199" s="4">
        <v>8.0</v>
      </c>
      <c r="D199" s="4">
        <v>6.0</v>
      </c>
      <c r="E199" s="4">
        <v>2.0</v>
      </c>
      <c r="F199" s="2" t="s">
        <v>661</v>
      </c>
      <c r="G199" s="2" t="s">
        <v>2983</v>
      </c>
      <c r="H199" s="2" t="s">
        <v>2982</v>
      </c>
      <c r="I199" s="319">
        <v>46080.037736388884</v>
      </c>
      <c r="J199" s="319">
        <v>46080.037737245366</v>
      </c>
    </row>
    <row r="200">
      <c r="A200" s="2" t="s">
        <v>74</v>
      </c>
      <c r="B200" s="2" t="s">
        <v>75</v>
      </c>
      <c r="C200" s="4">
        <v>240.0</v>
      </c>
      <c r="D200" s="4">
        <v>192.0</v>
      </c>
      <c r="E200" s="4">
        <v>0.0</v>
      </c>
      <c r="F200" s="2" t="s">
        <v>22</v>
      </c>
      <c r="G200" s="2" t="s">
        <v>2977</v>
      </c>
      <c r="H200" s="2" t="s">
        <v>2979</v>
      </c>
      <c r="I200" s="319">
        <v>46081.03777224537</v>
      </c>
      <c r="J200" s="319">
        <v>46081.03777225694</v>
      </c>
    </row>
    <row r="201">
      <c r="A201" s="2" t="s">
        <v>1601</v>
      </c>
      <c r="B201" s="2" t="s">
        <v>1602</v>
      </c>
      <c r="C201" s="4">
        <v>240.0</v>
      </c>
      <c r="D201" s="4">
        <v>192.0</v>
      </c>
      <c r="E201" s="4">
        <v>0.0</v>
      </c>
      <c r="F201" s="2" t="s">
        <v>22</v>
      </c>
      <c r="G201" s="2" t="s">
        <v>2977</v>
      </c>
      <c r="H201" s="2" t="s">
        <v>2979</v>
      </c>
      <c r="I201" s="319">
        <v>46081.03777225694</v>
      </c>
      <c r="J201" s="319">
        <v>46081.03777226852</v>
      </c>
    </row>
    <row r="202">
      <c r="A202" s="2" t="s">
        <v>588</v>
      </c>
      <c r="B202" s="2" t="s">
        <v>589</v>
      </c>
      <c r="C202" s="4">
        <v>2.0</v>
      </c>
      <c r="D202" s="4">
        <v>2.0</v>
      </c>
      <c r="E202" s="4">
        <v>1.0</v>
      </c>
      <c r="F202" s="2" t="s">
        <v>290</v>
      </c>
      <c r="G202" s="2" t="s">
        <v>2981</v>
      </c>
      <c r="H202" s="2" t="s">
        <v>2978</v>
      </c>
      <c r="I202" s="319">
        <v>46081.03777226852</v>
      </c>
      <c r="J202" s="319">
        <v>46081.03777229167</v>
      </c>
    </row>
    <row r="203">
      <c r="A203" s="2" t="s">
        <v>1819</v>
      </c>
      <c r="B203" s="2" t="s">
        <v>1820</v>
      </c>
      <c r="C203" s="4">
        <v>2.0</v>
      </c>
      <c r="D203" s="4">
        <v>2.0</v>
      </c>
      <c r="E203" s="4">
        <v>1.0</v>
      </c>
      <c r="F203" s="2" t="s">
        <v>290</v>
      </c>
      <c r="G203" s="2" t="s">
        <v>2981</v>
      </c>
      <c r="H203" s="2" t="s">
        <v>2979</v>
      </c>
      <c r="I203" s="319">
        <v>46081.03777229167</v>
      </c>
      <c r="J203" s="319">
        <v>46081.03777231481</v>
      </c>
    </row>
    <row r="204">
      <c r="A204" s="2" t="s">
        <v>692</v>
      </c>
      <c r="B204" s="2" t="s">
        <v>693</v>
      </c>
      <c r="C204" s="4">
        <v>8.0</v>
      </c>
      <c r="D204" s="4">
        <v>6.0</v>
      </c>
      <c r="E204" s="4">
        <v>2.0</v>
      </c>
      <c r="F204" s="2" t="s">
        <v>661</v>
      </c>
      <c r="G204" s="2" t="s">
        <v>2983</v>
      </c>
      <c r="H204" s="2" t="s">
        <v>2982</v>
      </c>
      <c r="I204" s="319">
        <v>46081.03777231481</v>
      </c>
      <c r="J204" s="319">
        <v>46081.03777232639</v>
      </c>
    </row>
    <row r="205">
      <c r="A205" s="2" t="s">
        <v>74</v>
      </c>
      <c r="B205" s="2" t="s">
        <v>75</v>
      </c>
      <c r="C205" s="4">
        <v>240.0</v>
      </c>
      <c r="D205" s="4">
        <v>192.0</v>
      </c>
      <c r="E205" s="4">
        <v>0.0</v>
      </c>
      <c r="F205" s="2" t="s">
        <v>22</v>
      </c>
      <c r="G205" s="2" t="s">
        <v>2977</v>
      </c>
      <c r="H205" s="2" t="s">
        <v>2979</v>
      </c>
      <c r="I205" s="319">
        <v>46082.0377316088</v>
      </c>
      <c r="J205" s="319">
        <v>46082.03773165509</v>
      </c>
    </row>
    <row r="206">
      <c r="A206" s="2" t="s">
        <v>1601</v>
      </c>
      <c r="B206" s="2" t="s">
        <v>1602</v>
      </c>
      <c r="C206" s="4">
        <v>240.0</v>
      </c>
      <c r="D206" s="4">
        <v>192.0</v>
      </c>
      <c r="E206" s="4">
        <v>0.0</v>
      </c>
      <c r="F206" s="2" t="s">
        <v>22</v>
      </c>
      <c r="G206" s="2" t="s">
        <v>2977</v>
      </c>
      <c r="H206" s="2" t="s">
        <v>2979</v>
      </c>
      <c r="I206" s="319">
        <v>46082.03773165509</v>
      </c>
      <c r="J206" s="319">
        <v>46082.03773166667</v>
      </c>
    </row>
    <row r="207">
      <c r="A207" s="2" t="s">
        <v>588</v>
      </c>
      <c r="B207" s="2" t="s">
        <v>589</v>
      </c>
      <c r="C207" s="4">
        <v>2.0</v>
      </c>
      <c r="D207" s="4">
        <v>2.0</v>
      </c>
      <c r="E207" s="4">
        <v>1.0</v>
      </c>
      <c r="F207" s="2" t="s">
        <v>290</v>
      </c>
      <c r="G207" s="2" t="s">
        <v>2981</v>
      </c>
      <c r="H207" s="2" t="s">
        <v>2978</v>
      </c>
      <c r="I207" s="319">
        <v>46082.03773166667</v>
      </c>
      <c r="J207" s="319">
        <v>46082.0377319213</v>
      </c>
    </row>
    <row r="208">
      <c r="A208" s="2" t="s">
        <v>1819</v>
      </c>
      <c r="B208" s="2" t="s">
        <v>1820</v>
      </c>
      <c r="C208" s="4">
        <v>2.0</v>
      </c>
      <c r="D208" s="4">
        <v>2.0</v>
      </c>
      <c r="E208" s="4">
        <v>1.0</v>
      </c>
      <c r="F208" s="2" t="s">
        <v>290</v>
      </c>
      <c r="G208" s="2" t="s">
        <v>2981</v>
      </c>
      <c r="H208" s="2" t="s">
        <v>2979</v>
      </c>
      <c r="I208" s="319">
        <v>46082.0377319213</v>
      </c>
      <c r="J208" s="319">
        <v>46082.03773199074</v>
      </c>
    </row>
    <row r="209">
      <c r="A209" s="2" t="s">
        <v>692</v>
      </c>
      <c r="B209" s="2" t="s">
        <v>693</v>
      </c>
      <c r="C209" s="4">
        <v>8.0</v>
      </c>
      <c r="D209" s="4">
        <v>6.0</v>
      </c>
      <c r="E209" s="4">
        <v>2.0</v>
      </c>
      <c r="F209" s="2" t="s">
        <v>661</v>
      </c>
      <c r="G209" s="2" t="s">
        <v>2983</v>
      </c>
      <c r="H209" s="2" t="s">
        <v>2982</v>
      </c>
      <c r="I209" s="319">
        <v>46082.03773199074</v>
      </c>
      <c r="J209" s="319">
        <v>46082.03773215278</v>
      </c>
    </row>
    <row r="210">
      <c r="A210" s="2" t="s">
        <v>74</v>
      </c>
      <c r="B210" s="2" t="s">
        <v>75</v>
      </c>
      <c r="C210" s="4">
        <v>240.0</v>
      </c>
      <c r="D210" s="4">
        <v>192.0</v>
      </c>
      <c r="E210" s="4">
        <v>0.0</v>
      </c>
      <c r="F210" s="2" t="s">
        <v>22</v>
      </c>
      <c r="G210" s="2" t="s">
        <v>2977</v>
      </c>
      <c r="H210" s="2" t="s">
        <v>2979</v>
      </c>
      <c r="I210" s="319">
        <v>46083.03772767361</v>
      </c>
      <c r="J210" s="319">
        <v>46083.03772768519</v>
      </c>
    </row>
    <row r="211">
      <c r="A211" s="2" t="s">
        <v>1601</v>
      </c>
      <c r="B211" s="2" t="s">
        <v>1602</v>
      </c>
      <c r="C211" s="4">
        <v>240.0</v>
      </c>
      <c r="D211" s="4">
        <v>192.0</v>
      </c>
      <c r="E211" s="4">
        <v>0.0</v>
      </c>
      <c r="F211" s="2" t="s">
        <v>22</v>
      </c>
      <c r="G211" s="2" t="s">
        <v>2977</v>
      </c>
      <c r="H211" s="2" t="s">
        <v>2979</v>
      </c>
      <c r="I211" s="319">
        <v>46083.03772768519</v>
      </c>
      <c r="J211" s="319">
        <v>46083.03772774305</v>
      </c>
    </row>
    <row r="212">
      <c r="A212" s="2" t="s">
        <v>588</v>
      </c>
      <c r="B212" s="2" t="s">
        <v>589</v>
      </c>
      <c r="C212" s="4">
        <v>2.0</v>
      </c>
      <c r="D212" s="4">
        <v>2.0</v>
      </c>
      <c r="E212" s="4">
        <v>1.0</v>
      </c>
      <c r="F212" s="2" t="s">
        <v>290</v>
      </c>
      <c r="G212" s="2" t="s">
        <v>2981</v>
      </c>
      <c r="H212" s="2" t="s">
        <v>2978</v>
      </c>
      <c r="I212" s="319">
        <v>46083.03772774305</v>
      </c>
      <c r="J212" s="319">
        <v>46083.03772778936</v>
      </c>
    </row>
    <row r="213">
      <c r="A213" s="2" t="s">
        <v>1819</v>
      </c>
      <c r="B213" s="2" t="s">
        <v>1820</v>
      </c>
      <c r="C213" s="4">
        <v>2.0</v>
      </c>
      <c r="D213" s="4">
        <v>2.0</v>
      </c>
      <c r="E213" s="4">
        <v>1.0</v>
      </c>
      <c r="F213" s="2" t="s">
        <v>290</v>
      </c>
      <c r="G213" s="2" t="s">
        <v>2981</v>
      </c>
      <c r="H213" s="2" t="s">
        <v>2979</v>
      </c>
      <c r="I213" s="319">
        <v>46083.03772778936</v>
      </c>
      <c r="J213" s="319">
        <v>46083.03772791667</v>
      </c>
    </row>
    <row r="214">
      <c r="A214" s="2" t="s">
        <v>692</v>
      </c>
      <c r="B214" s="2" t="s">
        <v>693</v>
      </c>
      <c r="C214" s="4">
        <v>8.0</v>
      </c>
      <c r="D214" s="4">
        <v>6.0</v>
      </c>
      <c r="E214" s="4">
        <v>2.0</v>
      </c>
      <c r="F214" s="2" t="s">
        <v>661</v>
      </c>
      <c r="G214" s="2" t="s">
        <v>2983</v>
      </c>
      <c r="H214" s="2" t="s">
        <v>2982</v>
      </c>
      <c r="I214" s="319">
        <v>46083.03772791667</v>
      </c>
      <c r="J214" s="319">
        <v>46083.03772792824</v>
      </c>
    </row>
    <row r="215">
      <c r="A215" s="2" t="s">
        <v>74</v>
      </c>
      <c r="B215" s="2" t="s">
        <v>75</v>
      </c>
      <c r="C215" s="4">
        <v>240.0</v>
      </c>
      <c r="D215" s="4">
        <v>192.0</v>
      </c>
      <c r="E215" s="4">
        <v>0.0</v>
      </c>
      <c r="F215" s="2" t="s">
        <v>22</v>
      </c>
      <c r="G215" s="2" t="s">
        <v>2977</v>
      </c>
      <c r="H215" s="2" t="s">
        <v>2979</v>
      </c>
      <c r="I215" s="319">
        <v>46084.03774515046</v>
      </c>
      <c r="J215" s="319">
        <v>46084.03774517361</v>
      </c>
    </row>
    <row r="216">
      <c r="A216" s="2" t="s">
        <v>1601</v>
      </c>
      <c r="B216" s="2" t="s">
        <v>1602</v>
      </c>
      <c r="C216" s="4">
        <v>240.0</v>
      </c>
      <c r="D216" s="4">
        <v>192.0</v>
      </c>
      <c r="E216" s="4">
        <v>0.0</v>
      </c>
      <c r="F216" s="2" t="s">
        <v>22</v>
      </c>
      <c r="G216" s="2" t="s">
        <v>2977</v>
      </c>
      <c r="H216" s="2" t="s">
        <v>2979</v>
      </c>
      <c r="I216" s="319">
        <v>46084.03774517361</v>
      </c>
      <c r="J216" s="319">
        <v>46084.03774519676</v>
      </c>
    </row>
    <row r="217">
      <c r="A217" s="2" t="s">
        <v>588</v>
      </c>
      <c r="B217" s="2" t="s">
        <v>589</v>
      </c>
      <c r="C217" s="4">
        <v>2.0</v>
      </c>
      <c r="D217" s="4">
        <v>2.0</v>
      </c>
      <c r="E217" s="4">
        <v>1.0</v>
      </c>
      <c r="F217" s="2" t="s">
        <v>290</v>
      </c>
      <c r="G217" s="2" t="s">
        <v>2981</v>
      </c>
      <c r="H217" s="2" t="s">
        <v>2978</v>
      </c>
      <c r="I217" s="319">
        <v>46084.03774519676</v>
      </c>
      <c r="J217" s="319">
        <v>46084.037745208334</v>
      </c>
    </row>
    <row r="218">
      <c r="A218" s="2" t="s">
        <v>1819</v>
      </c>
      <c r="B218" s="2" t="s">
        <v>1820</v>
      </c>
      <c r="C218" s="4">
        <v>2.0</v>
      </c>
      <c r="D218" s="4">
        <v>2.0</v>
      </c>
      <c r="E218" s="4">
        <v>0.0</v>
      </c>
      <c r="F218" s="2" t="s">
        <v>290</v>
      </c>
      <c r="G218" s="2" t="s">
        <v>2988</v>
      </c>
      <c r="H218" s="2" t="s">
        <v>2979</v>
      </c>
      <c r="I218" s="319">
        <v>46084.037745208334</v>
      </c>
      <c r="J218" s="319">
        <v>46084.03774528935</v>
      </c>
    </row>
    <row r="219">
      <c r="A219" s="2" t="s">
        <v>692</v>
      </c>
      <c r="B219" s="2" t="s">
        <v>693</v>
      </c>
      <c r="C219" s="4">
        <v>8.0</v>
      </c>
      <c r="D219" s="4">
        <v>6.0</v>
      </c>
      <c r="E219" s="4">
        <v>2.0</v>
      </c>
      <c r="F219" s="2" t="s">
        <v>661</v>
      </c>
      <c r="G219" s="2" t="s">
        <v>2983</v>
      </c>
      <c r="H219" s="2" t="s">
        <v>2982</v>
      </c>
      <c r="I219" s="319">
        <v>46084.03774528935</v>
      </c>
      <c r="J219" s="319">
        <v>46084.03774530093</v>
      </c>
    </row>
    <row r="220">
      <c r="A220" s="2" t="s">
        <v>1601</v>
      </c>
      <c r="B220" s="2" t="s">
        <v>1602</v>
      </c>
      <c r="C220" s="4">
        <v>240.0</v>
      </c>
      <c r="D220" s="4">
        <v>192.0</v>
      </c>
      <c r="E220" s="4">
        <v>0.0</v>
      </c>
      <c r="F220" s="2" t="s">
        <v>22</v>
      </c>
      <c r="G220" s="2" t="s">
        <v>2977</v>
      </c>
      <c r="H220" s="2" t="s">
        <v>2979</v>
      </c>
      <c r="I220" s="319">
        <v>46085.03771321759</v>
      </c>
      <c r="J220" s="319">
        <v>46085.03771322916</v>
      </c>
    </row>
    <row r="221">
      <c r="A221" s="2" t="s">
        <v>588</v>
      </c>
      <c r="B221" s="2" t="s">
        <v>589</v>
      </c>
      <c r="C221" s="4">
        <v>2.0</v>
      </c>
      <c r="D221" s="4">
        <v>2.0</v>
      </c>
      <c r="E221" s="4">
        <v>1.0</v>
      </c>
      <c r="F221" s="2" t="s">
        <v>290</v>
      </c>
      <c r="G221" s="2" t="s">
        <v>2981</v>
      </c>
      <c r="H221" s="2" t="s">
        <v>2978</v>
      </c>
      <c r="I221" s="319">
        <v>46085.03771322916</v>
      </c>
      <c r="J221" s="319">
        <v>46085.037713240745</v>
      </c>
    </row>
    <row r="222">
      <c r="A222" s="2" t="s">
        <v>1819</v>
      </c>
      <c r="B222" s="2" t="s">
        <v>1820</v>
      </c>
      <c r="C222" s="4">
        <v>2.0</v>
      </c>
      <c r="D222" s="4">
        <v>2.0</v>
      </c>
      <c r="E222" s="4">
        <v>0.0</v>
      </c>
      <c r="F222" s="2" t="s">
        <v>290</v>
      </c>
      <c r="G222" s="2" t="s">
        <v>2988</v>
      </c>
      <c r="H222" s="2" t="s">
        <v>2979</v>
      </c>
      <c r="I222" s="319">
        <v>46085.037713240745</v>
      </c>
      <c r="J222" s="319">
        <v>46085.03771325231</v>
      </c>
    </row>
    <row r="223">
      <c r="A223" s="2" t="s">
        <v>692</v>
      </c>
      <c r="B223" s="2" t="s">
        <v>693</v>
      </c>
      <c r="C223" s="4">
        <v>8.0</v>
      </c>
      <c r="D223" s="4">
        <v>6.0</v>
      </c>
      <c r="E223" s="4">
        <v>2.0</v>
      </c>
      <c r="F223" s="2" t="s">
        <v>661</v>
      </c>
      <c r="G223" s="2" t="s">
        <v>2983</v>
      </c>
      <c r="H223" s="2" t="s">
        <v>2982</v>
      </c>
      <c r="I223" s="319">
        <v>46085.03771325231</v>
      </c>
      <c r="J223" s="319">
        <v>46085.03771326389</v>
      </c>
    </row>
    <row r="224">
      <c r="A224" s="2" t="s">
        <v>1601</v>
      </c>
      <c r="B224" s="2" t="s">
        <v>1602</v>
      </c>
      <c r="C224" s="4">
        <v>240.0</v>
      </c>
      <c r="D224" s="4">
        <v>192.0</v>
      </c>
      <c r="E224" s="4">
        <v>0.0</v>
      </c>
      <c r="F224" s="2" t="s">
        <v>22</v>
      </c>
      <c r="G224" s="2" t="s">
        <v>2977</v>
      </c>
      <c r="H224" s="2" t="s">
        <v>2979</v>
      </c>
      <c r="I224" s="319">
        <v>46086.03773269676</v>
      </c>
      <c r="J224" s="319">
        <v>46086.03773273148</v>
      </c>
    </row>
    <row r="225">
      <c r="A225" s="2" t="s">
        <v>588</v>
      </c>
      <c r="B225" s="2" t="s">
        <v>589</v>
      </c>
      <c r="C225" s="4">
        <v>2.0</v>
      </c>
      <c r="D225" s="4">
        <v>2.0</v>
      </c>
      <c r="E225" s="4">
        <v>1.0</v>
      </c>
      <c r="F225" s="2" t="s">
        <v>290</v>
      </c>
      <c r="G225" s="2" t="s">
        <v>2981</v>
      </c>
      <c r="H225" s="2" t="s">
        <v>2978</v>
      </c>
      <c r="I225" s="319">
        <v>46086.03773273148</v>
      </c>
      <c r="J225" s="319">
        <v>46086.0377327662</v>
      </c>
    </row>
    <row r="226">
      <c r="A226" s="2" t="s">
        <v>1819</v>
      </c>
      <c r="B226" s="2" t="s">
        <v>1820</v>
      </c>
      <c r="C226" s="4">
        <v>2.0</v>
      </c>
      <c r="D226" s="4">
        <v>2.0</v>
      </c>
      <c r="E226" s="4">
        <v>0.0</v>
      </c>
      <c r="F226" s="2" t="s">
        <v>290</v>
      </c>
      <c r="G226" s="2" t="s">
        <v>2988</v>
      </c>
      <c r="H226" s="2" t="s">
        <v>2979</v>
      </c>
      <c r="I226" s="319">
        <v>46086.0377327662</v>
      </c>
      <c r="J226" s="319">
        <v>46086.03773278935</v>
      </c>
    </row>
    <row r="227">
      <c r="A227" s="2" t="s">
        <v>692</v>
      </c>
      <c r="B227" s="2" t="s">
        <v>693</v>
      </c>
      <c r="C227" s="4">
        <v>8.0</v>
      </c>
      <c r="D227" s="4">
        <v>6.0</v>
      </c>
      <c r="E227" s="4">
        <v>2.0</v>
      </c>
      <c r="F227" s="2" t="s">
        <v>661</v>
      </c>
      <c r="G227" s="2" t="s">
        <v>2983</v>
      </c>
      <c r="H227" s="2" t="s">
        <v>2982</v>
      </c>
      <c r="I227" s="319">
        <v>46086.03773278935</v>
      </c>
      <c r="J227" s="319">
        <v>46086.03773297454</v>
      </c>
    </row>
    <row r="228">
      <c r="A228" s="2" t="s">
        <v>1601</v>
      </c>
      <c r="B228" s="2" t="s">
        <v>1602</v>
      </c>
      <c r="C228" s="4">
        <v>240.0</v>
      </c>
      <c r="D228" s="4">
        <v>192.0</v>
      </c>
      <c r="E228" s="4">
        <v>0.0</v>
      </c>
      <c r="F228" s="2" t="s">
        <v>22</v>
      </c>
      <c r="G228" s="2" t="s">
        <v>2977</v>
      </c>
      <c r="H228" s="2" t="s">
        <v>2979</v>
      </c>
      <c r="I228" s="319">
        <v>46087.03773199074</v>
      </c>
      <c r="J228" s="319">
        <v>46087.03773202546</v>
      </c>
    </row>
    <row r="229">
      <c r="A229" s="2" t="s">
        <v>588</v>
      </c>
      <c r="B229" s="2" t="s">
        <v>589</v>
      </c>
      <c r="C229" s="4">
        <v>2.0</v>
      </c>
      <c r="D229" s="4">
        <v>2.0</v>
      </c>
      <c r="E229" s="4">
        <v>1.0</v>
      </c>
      <c r="F229" s="2" t="s">
        <v>290</v>
      </c>
      <c r="G229" s="2" t="s">
        <v>2981</v>
      </c>
      <c r="H229" s="2" t="s">
        <v>2978</v>
      </c>
      <c r="I229" s="319">
        <v>46087.03773202546</v>
      </c>
      <c r="J229" s="319">
        <v>46087.037732083336</v>
      </c>
    </row>
    <row r="230">
      <c r="A230" s="2" t="s">
        <v>1819</v>
      </c>
      <c r="B230" s="2" t="s">
        <v>1820</v>
      </c>
      <c r="C230" s="4">
        <v>2.0</v>
      </c>
      <c r="D230" s="4">
        <v>2.0</v>
      </c>
      <c r="E230" s="4">
        <v>0.0</v>
      </c>
      <c r="F230" s="2" t="s">
        <v>290</v>
      </c>
      <c r="G230" s="2" t="s">
        <v>2988</v>
      </c>
      <c r="H230" s="2" t="s">
        <v>2979</v>
      </c>
      <c r="I230" s="319">
        <v>46087.037732083336</v>
      </c>
      <c r="J230" s="319">
        <v>46087.037732094905</v>
      </c>
    </row>
    <row r="231">
      <c r="A231" s="2" t="s">
        <v>692</v>
      </c>
      <c r="B231" s="2" t="s">
        <v>693</v>
      </c>
      <c r="C231" s="4">
        <v>8.0</v>
      </c>
      <c r="D231" s="4">
        <v>6.0</v>
      </c>
      <c r="E231" s="4">
        <v>2.0</v>
      </c>
      <c r="F231" s="2" t="s">
        <v>661</v>
      </c>
      <c r="G231" s="2" t="s">
        <v>2983</v>
      </c>
      <c r="H231" s="2" t="s">
        <v>2982</v>
      </c>
      <c r="I231" s="319">
        <v>46087.037732094905</v>
      </c>
      <c r="J231" s="319">
        <v>46087.037732129626</v>
      </c>
    </row>
    <row r="232">
      <c r="A232" s="2" t="s">
        <v>1601</v>
      </c>
      <c r="B232" s="2" t="s">
        <v>1602</v>
      </c>
      <c r="C232" s="4">
        <v>240.0</v>
      </c>
      <c r="D232" s="4">
        <v>192.0</v>
      </c>
      <c r="E232" s="4">
        <v>0.0</v>
      </c>
      <c r="F232" s="2" t="s">
        <v>22</v>
      </c>
      <c r="G232" s="2" t="s">
        <v>2977</v>
      </c>
      <c r="H232" s="2" t="s">
        <v>2979</v>
      </c>
      <c r="I232" s="319">
        <v>46088.03776359954</v>
      </c>
      <c r="J232" s="319">
        <v>46088.037763622684</v>
      </c>
    </row>
    <row r="233">
      <c r="A233" s="2" t="s">
        <v>588</v>
      </c>
      <c r="B233" s="2" t="s">
        <v>589</v>
      </c>
      <c r="C233" s="4">
        <v>2.0</v>
      </c>
      <c r="D233" s="4">
        <v>2.0</v>
      </c>
      <c r="E233" s="4">
        <v>1.0</v>
      </c>
      <c r="F233" s="2" t="s">
        <v>290</v>
      </c>
      <c r="G233" s="2" t="s">
        <v>2981</v>
      </c>
      <c r="H233" s="2" t="s">
        <v>2978</v>
      </c>
      <c r="I233" s="319">
        <v>46088.037763622684</v>
      </c>
      <c r="J233" s="319">
        <v>46088.03776363426</v>
      </c>
    </row>
    <row r="234">
      <c r="A234" s="2" t="s">
        <v>1819</v>
      </c>
      <c r="B234" s="2" t="s">
        <v>1820</v>
      </c>
      <c r="C234" s="4">
        <v>2.0</v>
      </c>
      <c r="D234" s="4">
        <v>2.0</v>
      </c>
      <c r="E234" s="4">
        <v>0.0</v>
      </c>
      <c r="F234" s="2" t="s">
        <v>290</v>
      </c>
      <c r="G234" s="2" t="s">
        <v>2988</v>
      </c>
      <c r="H234" s="2" t="s">
        <v>2979</v>
      </c>
      <c r="I234" s="319">
        <v>46088.03776363426</v>
      </c>
      <c r="J234" s="319">
        <v>46088.03776363426</v>
      </c>
    </row>
    <row r="235">
      <c r="A235" s="2" t="s">
        <v>692</v>
      </c>
      <c r="B235" s="2" t="s">
        <v>693</v>
      </c>
      <c r="C235" s="4">
        <v>8.0</v>
      </c>
      <c r="D235" s="4">
        <v>6.0</v>
      </c>
      <c r="E235" s="4">
        <v>2.0</v>
      </c>
      <c r="F235" s="2" t="s">
        <v>661</v>
      </c>
      <c r="G235" s="2" t="s">
        <v>2983</v>
      </c>
      <c r="H235" s="2" t="s">
        <v>2982</v>
      </c>
      <c r="I235" s="319">
        <v>46088.03776363426</v>
      </c>
      <c r="J235" s="319">
        <v>46088.03776364583</v>
      </c>
    </row>
    <row r="236">
      <c r="A236" s="2" t="s">
        <v>1601</v>
      </c>
      <c r="B236" s="2" t="s">
        <v>1602</v>
      </c>
      <c r="C236" s="4">
        <v>240.0</v>
      </c>
      <c r="D236" s="4">
        <v>192.0</v>
      </c>
      <c r="E236" s="4">
        <v>0.0</v>
      </c>
      <c r="F236" s="2" t="s">
        <v>22</v>
      </c>
      <c r="G236" s="2" t="s">
        <v>2977</v>
      </c>
      <c r="H236" s="2" t="s">
        <v>2979</v>
      </c>
      <c r="I236" s="319">
        <v>46089.03772635417</v>
      </c>
      <c r="J236" s="319">
        <v>46089.03772637731</v>
      </c>
    </row>
    <row r="237">
      <c r="A237" s="2" t="s">
        <v>588</v>
      </c>
      <c r="B237" s="2" t="s">
        <v>589</v>
      </c>
      <c r="C237" s="4">
        <v>2.0</v>
      </c>
      <c r="D237" s="4">
        <v>2.0</v>
      </c>
      <c r="E237" s="4">
        <v>1.0</v>
      </c>
      <c r="F237" s="2" t="s">
        <v>290</v>
      </c>
      <c r="G237" s="2" t="s">
        <v>2981</v>
      </c>
      <c r="H237" s="2" t="s">
        <v>2978</v>
      </c>
      <c r="I237" s="319">
        <v>46089.03772637731</v>
      </c>
      <c r="J237" s="319">
        <v>46089.03772641203</v>
      </c>
    </row>
    <row r="238">
      <c r="A238" s="2" t="s">
        <v>1819</v>
      </c>
      <c r="B238" s="2" t="s">
        <v>1820</v>
      </c>
      <c r="C238" s="4">
        <v>2.0</v>
      </c>
      <c r="D238" s="4">
        <v>2.0</v>
      </c>
      <c r="E238" s="4">
        <v>0.0</v>
      </c>
      <c r="F238" s="2" t="s">
        <v>290</v>
      </c>
      <c r="G238" s="2" t="s">
        <v>2988</v>
      </c>
      <c r="H238" s="2" t="s">
        <v>2979</v>
      </c>
      <c r="I238" s="319">
        <v>46089.03772641203</v>
      </c>
      <c r="J238" s="319">
        <v>46089.03772644676</v>
      </c>
    </row>
    <row r="239">
      <c r="A239" s="2" t="s">
        <v>692</v>
      </c>
      <c r="B239" s="2" t="s">
        <v>693</v>
      </c>
      <c r="C239" s="4">
        <v>8.0</v>
      </c>
      <c r="D239" s="4">
        <v>6.0</v>
      </c>
      <c r="E239" s="4">
        <v>2.0</v>
      </c>
      <c r="F239" s="2" t="s">
        <v>661</v>
      </c>
      <c r="G239" s="2" t="s">
        <v>2983</v>
      </c>
      <c r="H239" s="2" t="s">
        <v>2982</v>
      </c>
      <c r="I239" s="319">
        <v>46089.03772644676</v>
      </c>
      <c r="J239" s="319">
        <v>46089.03772648148</v>
      </c>
    </row>
    <row r="240">
      <c r="A240" s="2" t="s">
        <v>1601</v>
      </c>
      <c r="B240" s="2" t="s">
        <v>1602</v>
      </c>
      <c r="C240" s="4">
        <v>240.0</v>
      </c>
      <c r="D240" s="4">
        <v>192.0</v>
      </c>
      <c r="E240" s="4">
        <v>0.0</v>
      </c>
      <c r="F240" s="2" t="s">
        <v>22</v>
      </c>
      <c r="G240" s="2" t="s">
        <v>2977</v>
      </c>
      <c r="H240" s="2" t="s">
        <v>2979</v>
      </c>
      <c r="I240" s="319">
        <v>46090.03804025463</v>
      </c>
      <c r="J240" s="319">
        <v>46090.03804028935</v>
      </c>
    </row>
    <row r="241">
      <c r="A241" s="2" t="s">
        <v>588</v>
      </c>
      <c r="B241" s="2" t="s">
        <v>589</v>
      </c>
      <c r="C241" s="4">
        <v>2.0</v>
      </c>
      <c r="D241" s="4">
        <v>2.0</v>
      </c>
      <c r="E241" s="4">
        <v>1.0</v>
      </c>
      <c r="F241" s="2" t="s">
        <v>290</v>
      </c>
      <c r="G241" s="2" t="s">
        <v>2981</v>
      </c>
      <c r="H241" s="2" t="s">
        <v>2978</v>
      </c>
      <c r="I241" s="319">
        <v>46090.03804028935</v>
      </c>
      <c r="J241" s="319">
        <v>46090.0380403125</v>
      </c>
    </row>
    <row r="242">
      <c r="A242" s="2" t="s">
        <v>1819</v>
      </c>
      <c r="B242" s="2" t="s">
        <v>1820</v>
      </c>
      <c r="C242" s="4">
        <v>2.0</v>
      </c>
      <c r="D242" s="4">
        <v>2.0</v>
      </c>
      <c r="E242" s="4">
        <v>0.0</v>
      </c>
      <c r="F242" s="2" t="s">
        <v>290</v>
      </c>
      <c r="G242" s="2" t="s">
        <v>2988</v>
      </c>
      <c r="H242" s="2" t="s">
        <v>2979</v>
      </c>
      <c r="I242" s="319">
        <v>46090.0380403125</v>
      </c>
      <c r="J242" s="319">
        <v>46090.03804050926</v>
      </c>
    </row>
    <row r="243">
      <c r="A243" s="2" t="s">
        <v>692</v>
      </c>
      <c r="B243" s="2" t="s">
        <v>693</v>
      </c>
      <c r="C243" s="4">
        <v>8.0</v>
      </c>
      <c r="D243" s="4">
        <v>6.0</v>
      </c>
      <c r="E243" s="4">
        <v>2.0</v>
      </c>
      <c r="F243" s="2" t="s">
        <v>661</v>
      </c>
      <c r="G243" s="2" t="s">
        <v>2983</v>
      </c>
      <c r="H243" s="2" t="s">
        <v>2982</v>
      </c>
      <c r="I243" s="319">
        <v>46090.03804050926</v>
      </c>
      <c r="J243" s="319">
        <v>46090.038040520834</v>
      </c>
    </row>
    <row r="244">
      <c r="A244" s="2" t="s">
        <v>1601</v>
      </c>
      <c r="B244" s="2" t="s">
        <v>1602</v>
      </c>
      <c r="C244" s="4">
        <v>240.0</v>
      </c>
      <c r="D244" s="4">
        <v>192.0</v>
      </c>
      <c r="E244" s="4">
        <v>0.0</v>
      </c>
      <c r="F244" s="2" t="s">
        <v>22</v>
      </c>
      <c r="G244" s="2" t="s">
        <v>2977</v>
      </c>
      <c r="H244" s="2" t="s">
        <v>2979</v>
      </c>
      <c r="I244" s="319">
        <v>46091.0376900463</v>
      </c>
      <c r="J244" s="319">
        <v>46091.03769005787</v>
      </c>
    </row>
    <row r="245">
      <c r="A245" s="2" t="s">
        <v>588</v>
      </c>
      <c r="B245" s="2" t="s">
        <v>589</v>
      </c>
      <c r="C245" s="4">
        <v>2.0</v>
      </c>
      <c r="D245" s="4">
        <v>2.0</v>
      </c>
      <c r="E245" s="4">
        <v>1.0</v>
      </c>
      <c r="F245" s="2" t="s">
        <v>290</v>
      </c>
      <c r="G245" s="2" t="s">
        <v>2981</v>
      </c>
      <c r="H245" s="2" t="s">
        <v>2978</v>
      </c>
      <c r="I245" s="319">
        <v>46091.03769005787</v>
      </c>
      <c r="J245" s="319">
        <v>46091.03769006944</v>
      </c>
    </row>
    <row r="246">
      <c r="A246" s="2" t="s">
        <v>1819</v>
      </c>
      <c r="B246" s="2" t="s">
        <v>1820</v>
      </c>
      <c r="C246" s="4">
        <v>2.0</v>
      </c>
      <c r="D246" s="4">
        <v>2.0</v>
      </c>
      <c r="E246" s="4">
        <v>0.0</v>
      </c>
      <c r="F246" s="2" t="s">
        <v>290</v>
      </c>
      <c r="G246" s="2" t="s">
        <v>2988</v>
      </c>
      <c r="H246" s="2" t="s">
        <v>2979</v>
      </c>
      <c r="I246" s="319">
        <v>46091.03769006944</v>
      </c>
      <c r="J246" s="319">
        <v>46091.03769008102</v>
      </c>
    </row>
    <row r="247">
      <c r="A247" s="2" t="s">
        <v>692</v>
      </c>
      <c r="B247" s="2" t="s">
        <v>693</v>
      </c>
      <c r="C247" s="4">
        <v>8.0</v>
      </c>
      <c r="D247" s="4">
        <v>6.0</v>
      </c>
      <c r="E247" s="4">
        <v>2.0</v>
      </c>
      <c r="F247" s="2" t="s">
        <v>661</v>
      </c>
      <c r="G247" s="2" t="s">
        <v>2983</v>
      </c>
      <c r="H247" s="2" t="s">
        <v>2982</v>
      </c>
      <c r="I247" s="319">
        <v>46091.03769008102</v>
      </c>
      <c r="J247" s="319">
        <v>46091.03769009259</v>
      </c>
    </row>
    <row r="248">
      <c r="A248" s="2" t="s">
        <v>1601</v>
      </c>
      <c r="B248" s="2" t="s">
        <v>1602</v>
      </c>
      <c r="C248" s="4">
        <v>240.0</v>
      </c>
      <c r="D248" s="4">
        <v>192.0</v>
      </c>
      <c r="E248" s="4">
        <v>0.0</v>
      </c>
      <c r="F248" s="2" t="s">
        <v>22</v>
      </c>
      <c r="G248" s="2" t="s">
        <v>2977</v>
      </c>
      <c r="H248" s="2" t="s">
        <v>2979</v>
      </c>
      <c r="I248" s="319">
        <v>46092.03774359953</v>
      </c>
      <c r="J248" s="319">
        <v>46092.037743622685</v>
      </c>
    </row>
    <row r="249">
      <c r="A249" s="2" t="s">
        <v>588</v>
      </c>
      <c r="B249" s="2" t="s">
        <v>589</v>
      </c>
      <c r="C249" s="4">
        <v>2.0</v>
      </c>
      <c r="D249" s="4">
        <v>2.0</v>
      </c>
      <c r="E249" s="4">
        <v>1.0</v>
      </c>
      <c r="F249" s="2" t="s">
        <v>290</v>
      </c>
      <c r="G249" s="2" t="s">
        <v>2981</v>
      </c>
      <c r="H249" s="2" t="s">
        <v>2978</v>
      </c>
      <c r="I249" s="319">
        <v>46092.037743622685</v>
      </c>
      <c r="J249" s="319">
        <v>46092.03774363426</v>
      </c>
    </row>
    <row r="250">
      <c r="A250" s="2" t="s">
        <v>1819</v>
      </c>
      <c r="B250" s="2" t="s">
        <v>1820</v>
      </c>
      <c r="C250" s="4">
        <v>2.0</v>
      </c>
      <c r="D250" s="4">
        <v>2.0</v>
      </c>
      <c r="E250" s="4">
        <v>0.0</v>
      </c>
      <c r="F250" s="2" t="s">
        <v>290</v>
      </c>
      <c r="G250" s="2" t="s">
        <v>2988</v>
      </c>
      <c r="H250" s="2" t="s">
        <v>2979</v>
      </c>
      <c r="I250" s="319">
        <v>46092.03774363426</v>
      </c>
      <c r="J250" s="319">
        <v>46092.037743657405</v>
      </c>
    </row>
    <row r="251">
      <c r="A251" s="2" t="s">
        <v>692</v>
      </c>
      <c r="B251" s="2" t="s">
        <v>693</v>
      </c>
      <c r="C251" s="4">
        <v>8.0</v>
      </c>
      <c r="D251" s="4">
        <v>6.0</v>
      </c>
      <c r="E251" s="4">
        <v>2.0</v>
      </c>
      <c r="F251" s="2" t="s">
        <v>661</v>
      </c>
      <c r="G251" s="2" t="s">
        <v>2983</v>
      </c>
      <c r="H251" s="2" t="s">
        <v>2982</v>
      </c>
      <c r="I251" s="319">
        <v>46092.037743657405</v>
      </c>
      <c r="J251" s="319">
        <v>46092.03774368056</v>
      </c>
    </row>
    <row r="252">
      <c r="A252" s="2" t="s">
        <v>1601</v>
      </c>
      <c r="B252" s="2" t="s">
        <v>1602</v>
      </c>
      <c r="C252" s="4">
        <v>240.0</v>
      </c>
      <c r="D252" s="4">
        <v>192.0</v>
      </c>
      <c r="E252" s="4">
        <v>0.0</v>
      </c>
      <c r="F252" s="2" t="s">
        <v>22</v>
      </c>
      <c r="G252" s="2" t="s">
        <v>2977</v>
      </c>
      <c r="H252" s="2" t="s">
        <v>2979</v>
      </c>
      <c r="I252" s="319">
        <v>46093.037768483795</v>
      </c>
      <c r="J252" s="319">
        <v>46093.03776850694</v>
      </c>
    </row>
    <row r="253">
      <c r="A253" s="2" t="s">
        <v>588</v>
      </c>
      <c r="B253" s="2" t="s">
        <v>589</v>
      </c>
      <c r="C253" s="4">
        <v>2.0</v>
      </c>
      <c r="D253" s="4">
        <v>2.0</v>
      </c>
      <c r="E253" s="4">
        <v>1.0</v>
      </c>
      <c r="F253" s="2" t="s">
        <v>290</v>
      </c>
      <c r="G253" s="2" t="s">
        <v>2981</v>
      </c>
      <c r="H253" s="2" t="s">
        <v>2978</v>
      </c>
      <c r="I253" s="319">
        <v>46093.03776850694</v>
      </c>
      <c r="J253" s="319">
        <v>46093.03776851852</v>
      </c>
    </row>
    <row r="254">
      <c r="A254" s="2" t="s">
        <v>1819</v>
      </c>
      <c r="B254" s="2" t="s">
        <v>1820</v>
      </c>
      <c r="C254" s="4">
        <v>2.0</v>
      </c>
      <c r="D254" s="4">
        <v>2.0</v>
      </c>
      <c r="E254" s="4">
        <v>0.0</v>
      </c>
      <c r="F254" s="2" t="s">
        <v>290</v>
      </c>
      <c r="G254" s="2" t="s">
        <v>2988</v>
      </c>
      <c r="H254" s="2" t="s">
        <v>2979</v>
      </c>
      <c r="I254" s="319">
        <v>46093.03776851852</v>
      </c>
      <c r="J254" s="319">
        <v>46093.03776853009</v>
      </c>
    </row>
    <row r="255">
      <c r="A255" s="2" t="s">
        <v>692</v>
      </c>
      <c r="B255" s="2" t="s">
        <v>693</v>
      </c>
      <c r="C255" s="4">
        <v>8.0</v>
      </c>
      <c r="D255" s="4">
        <v>6.0</v>
      </c>
      <c r="E255" s="4">
        <v>2.0</v>
      </c>
      <c r="F255" s="2" t="s">
        <v>661</v>
      </c>
      <c r="G255" s="2" t="s">
        <v>2983</v>
      </c>
      <c r="H255" s="2" t="s">
        <v>2982</v>
      </c>
      <c r="I255" s="319">
        <v>46093.03776853009</v>
      </c>
      <c r="J255" s="319">
        <v>46093.03776854167</v>
      </c>
    </row>
    <row r="256">
      <c r="A256" s="2" t="s">
        <v>1601</v>
      </c>
      <c r="B256" s="2" t="s">
        <v>1602</v>
      </c>
      <c r="C256" s="4">
        <v>240.0</v>
      </c>
      <c r="D256" s="4">
        <v>192.0</v>
      </c>
      <c r="E256" s="4">
        <v>0.0</v>
      </c>
      <c r="F256" s="2" t="s">
        <v>22</v>
      </c>
      <c r="G256" s="2" t="s">
        <v>2977</v>
      </c>
      <c r="H256" s="2" t="s">
        <v>2979</v>
      </c>
      <c r="I256" s="319">
        <v>46094.0378762037</v>
      </c>
      <c r="J256" s="319">
        <v>46094.037877511575</v>
      </c>
    </row>
    <row r="257">
      <c r="A257" s="2" t="s">
        <v>588</v>
      </c>
      <c r="B257" s="2" t="s">
        <v>589</v>
      </c>
      <c r="C257" s="4">
        <v>2.0</v>
      </c>
      <c r="D257" s="4">
        <v>2.0</v>
      </c>
      <c r="E257" s="4">
        <v>1.0</v>
      </c>
      <c r="F257" s="2" t="s">
        <v>290</v>
      </c>
      <c r="G257" s="2" t="s">
        <v>2981</v>
      </c>
      <c r="H257" s="2" t="s">
        <v>2978</v>
      </c>
      <c r="I257" s="319">
        <v>46094.037877511575</v>
      </c>
      <c r="J257" s="319">
        <v>46094.03787855324</v>
      </c>
    </row>
    <row r="258">
      <c r="A258" s="2" t="s">
        <v>1819</v>
      </c>
      <c r="B258" s="2" t="s">
        <v>1820</v>
      </c>
      <c r="C258" s="4">
        <v>2.0</v>
      </c>
      <c r="D258" s="4">
        <v>2.0</v>
      </c>
      <c r="E258" s="4">
        <v>0.0</v>
      </c>
      <c r="F258" s="2" t="s">
        <v>290</v>
      </c>
      <c r="G258" s="2" t="s">
        <v>2988</v>
      </c>
      <c r="H258" s="2" t="s">
        <v>2979</v>
      </c>
      <c r="I258" s="319">
        <v>46094.03787855324</v>
      </c>
      <c r="J258" s="319">
        <v>46094.03787914352</v>
      </c>
    </row>
    <row r="259">
      <c r="A259" s="2" t="s">
        <v>692</v>
      </c>
      <c r="B259" s="2" t="s">
        <v>693</v>
      </c>
      <c r="C259" s="4">
        <v>8.0</v>
      </c>
      <c r="D259" s="4">
        <v>6.0</v>
      </c>
      <c r="E259" s="4">
        <v>2.0</v>
      </c>
      <c r="F259" s="2" t="s">
        <v>661</v>
      </c>
      <c r="G259" s="2" t="s">
        <v>2983</v>
      </c>
      <c r="H259" s="2" t="s">
        <v>2982</v>
      </c>
      <c r="I259" s="319">
        <v>46094.03787914352</v>
      </c>
      <c r="J259" s="319">
        <v>46094.03787934028</v>
      </c>
    </row>
    <row r="260">
      <c r="A260" s="2" t="s">
        <v>1601</v>
      </c>
      <c r="B260" s="2" t="s">
        <v>1602</v>
      </c>
      <c r="C260" s="4">
        <v>240.0</v>
      </c>
      <c r="D260" s="4">
        <v>192.0</v>
      </c>
      <c r="E260" s="4">
        <v>0.0</v>
      </c>
      <c r="F260" s="2" t="s">
        <v>22</v>
      </c>
      <c r="G260" s="2" t="s">
        <v>2977</v>
      </c>
      <c r="H260" s="2" t="s">
        <v>2979</v>
      </c>
      <c r="I260" s="319">
        <v>46095.037743043984</v>
      </c>
      <c r="J260" s="319">
        <v>46095.03774383102</v>
      </c>
    </row>
    <row r="261">
      <c r="A261" s="2" t="s">
        <v>588</v>
      </c>
      <c r="B261" s="2" t="s">
        <v>589</v>
      </c>
      <c r="C261" s="4">
        <v>2.0</v>
      </c>
      <c r="D261" s="4">
        <v>2.0</v>
      </c>
      <c r="E261" s="4">
        <v>1.0</v>
      </c>
      <c r="F261" s="2" t="s">
        <v>290</v>
      </c>
      <c r="G261" s="2" t="s">
        <v>2981</v>
      </c>
      <c r="H261" s="2" t="s">
        <v>2978</v>
      </c>
      <c r="I261" s="319">
        <v>46095.03774383102</v>
      </c>
      <c r="J261" s="319">
        <v>46095.03774384259</v>
      </c>
    </row>
    <row r="262">
      <c r="A262" s="2" t="s">
        <v>1819</v>
      </c>
      <c r="B262" s="2" t="s">
        <v>1820</v>
      </c>
      <c r="C262" s="4">
        <v>2.0</v>
      </c>
      <c r="D262" s="4">
        <v>2.0</v>
      </c>
      <c r="E262" s="4">
        <v>0.0</v>
      </c>
      <c r="F262" s="2" t="s">
        <v>290</v>
      </c>
      <c r="G262" s="2" t="s">
        <v>2988</v>
      </c>
      <c r="H262" s="2" t="s">
        <v>2979</v>
      </c>
      <c r="I262" s="319">
        <v>46095.03774384259</v>
      </c>
      <c r="J262" s="319">
        <v>46095.03774392361</v>
      </c>
    </row>
    <row r="263">
      <c r="A263" s="2" t="s">
        <v>692</v>
      </c>
      <c r="B263" s="2" t="s">
        <v>693</v>
      </c>
      <c r="C263" s="4">
        <v>8.0</v>
      </c>
      <c r="D263" s="4">
        <v>6.0</v>
      </c>
      <c r="E263" s="4">
        <v>1.0</v>
      </c>
      <c r="F263" s="2" t="s">
        <v>661</v>
      </c>
      <c r="G263" s="2" t="s">
        <v>2990</v>
      </c>
      <c r="H263" s="2" t="s">
        <v>2982</v>
      </c>
      <c r="I263" s="319">
        <v>46095.03774392361</v>
      </c>
      <c r="J263" s="319">
        <v>46095.037743946756</v>
      </c>
    </row>
    <row r="264">
      <c r="A264" s="2" t="s">
        <v>1601</v>
      </c>
      <c r="B264" s="2" t="s">
        <v>1602</v>
      </c>
      <c r="C264" s="4">
        <v>240.0</v>
      </c>
      <c r="D264" s="4">
        <v>192.0</v>
      </c>
      <c r="E264" s="4">
        <v>0.0</v>
      </c>
      <c r="F264" s="2" t="s">
        <v>22</v>
      </c>
      <c r="G264" s="2" t="s">
        <v>2977</v>
      </c>
      <c r="H264" s="2" t="s">
        <v>2979</v>
      </c>
      <c r="I264" s="319">
        <v>46096.03785039352</v>
      </c>
      <c r="J264" s="319">
        <v>46096.037850775465</v>
      </c>
    </row>
    <row r="265">
      <c r="A265" s="2" t="s">
        <v>588</v>
      </c>
      <c r="B265" s="2" t="s">
        <v>589</v>
      </c>
      <c r="C265" s="4">
        <v>2.0</v>
      </c>
      <c r="D265" s="4">
        <v>2.0</v>
      </c>
      <c r="E265" s="4">
        <v>1.0</v>
      </c>
      <c r="F265" s="2" t="s">
        <v>290</v>
      </c>
      <c r="G265" s="2" t="s">
        <v>2981</v>
      </c>
      <c r="H265" s="2" t="s">
        <v>2978</v>
      </c>
      <c r="I265" s="319">
        <v>46096.037850775465</v>
      </c>
      <c r="J265" s="319">
        <v>46096.03785100694</v>
      </c>
    </row>
    <row r="266">
      <c r="A266" s="2" t="s">
        <v>1819</v>
      </c>
      <c r="B266" s="2" t="s">
        <v>1820</v>
      </c>
      <c r="C266" s="4">
        <v>2.0</v>
      </c>
      <c r="D266" s="4">
        <v>2.0</v>
      </c>
      <c r="E266" s="4">
        <v>0.0</v>
      </c>
      <c r="F266" s="2" t="s">
        <v>290</v>
      </c>
      <c r="G266" s="2" t="s">
        <v>2988</v>
      </c>
      <c r="H266" s="2" t="s">
        <v>2979</v>
      </c>
      <c r="I266" s="319">
        <v>46096.03785100694</v>
      </c>
      <c r="J266" s="319">
        <v>46096.03785108797</v>
      </c>
    </row>
    <row r="267">
      <c r="A267" s="2" t="s">
        <v>692</v>
      </c>
      <c r="B267" s="2" t="s">
        <v>693</v>
      </c>
      <c r="C267" s="4">
        <v>8.0</v>
      </c>
      <c r="D267" s="4">
        <v>6.0</v>
      </c>
      <c r="E267" s="4">
        <v>1.0</v>
      </c>
      <c r="F267" s="2" t="s">
        <v>661</v>
      </c>
      <c r="G267" s="2" t="s">
        <v>2990</v>
      </c>
      <c r="H267" s="2" t="s">
        <v>2982</v>
      </c>
      <c r="I267" s="319">
        <v>46096.03785108797</v>
      </c>
      <c r="J267" s="319">
        <v>46096.03785150463</v>
      </c>
    </row>
    <row r="268">
      <c r="A268" s="2" t="s">
        <v>1601</v>
      </c>
      <c r="B268" s="2" t="s">
        <v>1602</v>
      </c>
      <c r="C268" s="4">
        <v>240.0</v>
      </c>
      <c r="D268" s="4">
        <v>192.0</v>
      </c>
      <c r="E268" s="4">
        <v>0.0</v>
      </c>
      <c r="F268" s="2" t="s">
        <v>22</v>
      </c>
      <c r="G268" s="2" t="s">
        <v>2977</v>
      </c>
      <c r="H268" s="2" t="s">
        <v>2979</v>
      </c>
      <c r="I268" s="319">
        <v>46097.03771603009</v>
      </c>
      <c r="J268" s="319">
        <v>46097.03771605324</v>
      </c>
    </row>
    <row r="269">
      <c r="A269" s="2" t="s">
        <v>588</v>
      </c>
      <c r="B269" s="2" t="s">
        <v>589</v>
      </c>
      <c r="C269" s="4">
        <v>2.0</v>
      </c>
      <c r="D269" s="4">
        <v>2.0</v>
      </c>
      <c r="E269" s="4">
        <v>1.0</v>
      </c>
      <c r="F269" s="2" t="s">
        <v>290</v>
      </c>
      <c r="G269" s="2" t="s">
        <v>2981</v>
      </c>
      <c r="H269" s="2" t="s">
        <v>2978</v>
      </c>
      <c r="I269" s="319">
        <v>46097.03771605324</v>
      </c>
      <c r="J269" s="319">
        <v>46097.03771606481</v>
      </c>
    </row>
    <row r="270">
      <c r="A270" s="2" t="s">
        <v>1819</v>
      </c>
      <c r="B270" s="2" t="s">
        <v>1820</v>
      </c>
      <c r="C270" s="4">
        <v>2.0</v>
      </c>
      <c r="D270" s="4">
        <v>2.0</v>
      </c>
      <c r="E270" s="4">
        <v>0.0</v>
      </c>
      <c r="F270" s="2" t="s">
        <v>290</v>
      </c>
      <c r="G270" s="2" t="s">
        <v>2988</v>
      </c>
      <c r="H270" s="2" t="s">
        <v>2979</v>
      </c>
      <c r="I270" s="319">
        <v>46097.03771606481</v>
      </c>
      <c r="J270" s="319">
        <v>46097.03771607639</v>
      </c>
    </row>
    <row r="271">
      <c r="A271" s="2" t="s">
        <v>692</v>
      </c>
      <c r="B271" s="2" t="s">
        <v>693</v>
      </c>
      <c r="C271" s="4">
        <v>8.0</v>
      </c>
      <c r="D271" s="4">
        <v>6.0</v>
      </c>
      <c r="E271" s="4">
        <v>1.0</v>
      </c>
      <c r="F271" s="2" t="s">
        <v>661</v>
      </c>
      <c r="G271" s="2" t="s">
        <v>2990</v>
      </c>
      <c r="H271" s="2" t="s">
        <v>2982</v>
      </c>
      <c r="I271" s="319">
        <v>46097.03771607639</v>
      </c>
      <c r="J271" s="319">
        <v>46097.03771608796</v>
      </c>
    </row>
    <row r="272">
      <c r="A272" s="2" t="s">
        <v>1601</v>
      </c>
      <c r="B272" s="2" t="s">
        <v>1602</v>
      </c>
      <c r="C272" s="4">
        <v>240.0</v>
      </c>
      <c r="D272" s="4">
        <v>192.0</v>
      </c>
      <c r="E272" s="4">
        <v>0.0</v>
      </c>
      <c r="F272" s="2" t="s">
        <v>22</v>
      </c>
      <c r="G272" s="2" t="s">
        <v>2977</v>
      </c>
      <c r="H272" s="2" t="s">
        <v>2979</v>
      </c>
      <c r="I272" s="319">
        <v>46098.037771863426</v>
      </c>
      <c r="J272" s="319">
        <v>46098.0377719213</v>
      </c>
    </row>
    <row r="273">
      <c r="A273" s="2" t="s">
        <v>588</v>
      </c>
      <c r="B273" s="2" t="s">
        <v>589</v>
      </c>
      <c r="C273" s="4">
        <v>2.0</v>
      </c>
      <c r="D273" s="4">
        <v>2.0</v>
      </c>
      <c r="E273" s="4">
        <v>1.0</v>
      </c>
      <c r="F273" s="2" t="s">
        <v>290</v>
      </c>
      <c r="G273" s="2" t="s">
        <v>2981</v>
      </c>
      <c r="H273" s="2" t="s">
        <v>2978</v>
      </c>
      <c r="I273" s="319">
        <v>46098.0377719213</v>
      </c>
      <c r="J273" s="319">
        <v>46098.03777196759</v>
      </c>
    </row>
    <row r="274">
      <c r="A274" s="2" t="s">
        <v>1819</v>
      </c>
      <c r="B274" s="2" t="s">
        <v>1820</v>
      </c>
      <c r="C274" s="4">
        <v>2.0</v>
      </c>
      <c r="D274" s="4">
        <v>2.0</v>
      </c>
      <c r="E274" s="4">
        <v>0.0</v>
      </c>
      <c r="F274" s="2" t="s">
        <v>290</v>
      </c>
      <c r="G274" s="2" t="s">
        <v>2988</v>
      </c>
      <c r="H274" s="2" t="s">
        <v>2979</v>
      </c>
      <c r="I274" s="319">
        <v>46098.03777196759</v>
      </c>
      <c r="J274" s="319">
        <v>46098.03777203704</v>
      </c>
    </row>
    <row r="275">
      <c r="A275" s="2" t="s">
        <v>692</v>
      </c>
      <c r="B275" s="2" t="s">
        <v>693</v>
      </c>
      <c r="C275" s="4">
        <v>8.0</v>
      </c>
      <c r="D275" s="4">
        <v>6.0</v>
      </c>
      <c r="E275" s="4">
        <v>1.0</v>
      </c>
      <c r="F275" s="2" t="s">
        <v>661</v>
      </c>
      <c r="G275" s="2" t="s">
        <v>2990</v>
      </c>
      <c r="H275" s="2" t="s">
        <v>2982</v>
      </c>
      <c r="I275" s="319">
        <v>46098.03777203704</v>
      </c>
      <c r="J275" s="319">
        <v>46098.0377720949</v>
      </c>
    </row>
    <row r="276">
      <c r="A276" s="2" t="s">
        <v>1601</v>
      </c>
      <c r="B276" s="2" t="s">
        <v>1602</v>
      </c>
      <c r="C276" s="4">
        <v>240.0</v>
      </c>
      <c r="D276" s="4">
        <v>192.0</v>
      </c>
      <c r="E276" s="4">
        <v>0.0</v>
      </c>
      <c r="F276" s="2" t="s">
        <v>22</v>
      </c>
      <c r="G276" s="2" t="s">
        <v>2977</v>
      </c>
      <c r="H276" s="2" t="s">
        <v>2979</v>
      </c>
      <c r="I276" s="319">
        <v>46099.03774431713</v>
      </c>
      <c r="J276" s="319">
        <v>46099.037744409725</v>
      </c>
    </row>
    <row r="277">
      <c r="A277" s="2" t="s">
        <v>588</v>
      </c>
      <c r="B277" s="2" t="s">
        <v>589</v>
      </c>
      <c r="C277" s="4">
        <v>2.0</v>
      </c>
      <c r="D277" s="4">
        <v>2.0</v>
      </c>
      <c r="E277" s="4">
        <v>1.0</v>
      </c>
      <c r="F277" s="2" t="s">
        <v>290</v>
      </c>
      <c r="G277" s="2" t="s">
        <v>2981</v>
      </c>
      <c r="H277" s="2" t="s">
        <v>2978</v>
      </c>
      <c r="I277" s="319">
        <v>46099.037744409725</v>
      </c>
      <c r="J277" s="319">
        <v>46099.037744444446</v>
      </c>
    </row>
    <row r="278">
      <c r="A278" s="2" t="s">
        <v>1819</v>
      </c>
      <c r="B278" s="2" t="s">
        <v>1820</v>
      </c>
      <c r="C278" s="4">
        <v>2.0</v>
      </c>
      <c r="D278" s="4">
        <v>2.0</v>
      </c>
      <c r="E278" s="4">
        <v>0.0</v>
      </c>
      <c r="F278" s="2" t="s">
        <v>290</v>
      </c>
      <c r="G278" s="2" t="s">
        <v>2988</v>
      </c>
      <c r="H278" s="2" t="s">
        <v>2979</v>
      </c>
      <c r="I278" s="319">
        <v>46099.037744444446</v>
      </c>
      <c r="J278" s="319">
        <v>46099.037744560184</v>
      </c>
    </row>
    <row r="279">
      <c r="A279" s="2" t="s">
        <v>692</v>
      </c>
      <c r="B279" s="2" t="s">
        <v>693</v>
      </c>
      <c r="C279" s="4">
        <v>8.0</v>
      </c>
      <c r="D279" s="4">
        <v>6.0</v>
      </c>
      <c r="E279" s="4">
        <v>1.0</v>
      </c>
      <c r="F279" s="2" t="s">
        <v>661</v>
      </c>
      <c r="G279" s="2" t="s">
        <v>2990</v>
      </c>
      <c r="H279" s="2" t="s">
        <v>2982</v>
      </c>
      <c r="I279" s="319">
        <v>46099.037744560184</v>
      </c>
      <c r="J279" s="319">
        <v>46099.03774461806</v>
      </c>
    </row>
    <row r="280">
      <c r="A280" s="2" t="s">
        <v>1601</v>
      </c>
      <c r="B280" s="2" t="s">
        <v>1602</v>
      </c>
      <c r="C280" s="4">
        <v>240.0</v>
      </c>
      <c r="D280" s="4">
        <v>192.0</v>
      </c>
      <c r="E280" s="4">
        <v>0.0</v>
      </c>
      <c r="F280" s="2" t="s">
        <v>22</v>
      </c>
      <c r="G280" s="2" t="s">
        <v>2977</v>
      </c>
      <c r="H280" s="2" t="s">
        <v>2979</v>
      </c>
      <c r="I280" s="319">
        <v>46100.0377500926</v>
      </c>
      <c r="J280" s="319">
        <v>46100.03775015046</v>
      </c>
    </row>
    <row r="281">
      <c r="A281" s="2" t="s">
        <v>588</v>
      </c>
      <c r="B281" s="2" t="s">
        <v>589</v>
      </c>
      <c r="C281" s="4">
        <v>2.0</v>
      </c>
      <c r="D281" s="4">
        <v>2.0</v>
      </c>
      <c r="E281" s="4">
        <v>1.0</v>
      </c>
      <c r="F281" s="2" t="s">
        <v>290</v>
      </c>
      <c r="G281" s="2" t="s">
        <v>2981</v>
      </c>
      <c r="H281" s="2" t="s">
        <v>2978</v>
      </c>
      <c r="I281" s="319">
        <v>46100.03775015046</v>
      </c>
      <c r="J281" s="319">
        <v>46100.03775016204</v>
      </c>
    </row>
    <row r="282">
      <c r="A282" s="2" t="s">
        <v>1819</v>
      </c>
      <c r="B282" s="2" t="s">
        <v>1820</v>
      </c>
      <c r="C282" s="4">
        <v>2.0</v>
      </c>
      <c r="D282" s="4">
        <v>2.0</v>
      </c>
      <c r="E282" s="4">
        <v>0.0</v>
      </c>
      <c r="F282" s="2" t="s">
        <v>290</v>
      </c>
      <c r="G282" s="2" t="s">
        <v>2988</v>
      </c>
      <c r="H282" s="2" t="s">
        <v>2979</v>
      </c>
      <c r="I282" s="319">
        <v>46100.03775016204</v>
      </c>
      <c r="J282" s="319">
        <v>46100.03775019676</v>
      </c>
    </row>
    <row r="283">
      <c r="A283" s="2" t="s">
        <v>692</v>
      </c>
      <c r="B283" s="2" t="s">
        <v>693</v>
      </c>
      <c r="C283" s="4">
        <v>8.0</v>
      </c>
      <c r="D283" s="4">
        <v>6.0</v>
      </c>
      <c r="E283" s="4">
        <v>1.0</v>
      </c>
      <c r="F283" s="2" t="s">
        <v>661</v>
      </c>
      <c r="G283" s="2" t="s">
        <v>2990</v>
      </c>
      <c r="H283" s="2" t="s">
        <v>2982</v>
      </c>
      <c r="I283" s="319">
        <v>46100.03775019676</v>
      </c>
      <c r="J283" s="319">
        <v>46100.03775020833</v>
      </c>
    </row>
    <row r="284">
      <c r="A284" s="2" t="s">
        <v>1601</v>
      </c>
      <c r="B284" s="2" t="s">
        <v>1602</v>
      </c>
      <c r="C284" s="4">
        <v>240.0</v>
      </c>
      <c r="D284" s="4">
        <v>192.0</v>
      </c>
      <c r="E284" s="4">
        <v>0.0</v>
      </c>
      <c r="F284" s="2" t="s">
        <v>22</v>
      </c>
      <c r="G284" s="2" t="s">
        <v>2977</v>
      </c>
      <c r="H284" s="2" t="s">
        <v>2979</v>
      </c>
      <c r="I284" s="319">
        <v>46101.03775070602</v>
      </c>
      <c r="J284" s="319">
        <v>46101.03775071759</v>
      </c>
    </row>
    <row r="285">
      <c r="A285" s="2" t="s">
        <v>588</v>
      </c>
      <c r="B285" s="2" t="s">
        <v>589</v>
      </c>
      <c r="C285" s="4">
        <v>2.0</v>
      </c>
      <c r="D285" s="4">
        <v>2.0</v>
      </c>
      <c r="E285" s="4">
        <v>1.0</v>
      </c>
      <c r="F285" s="2" t="s">
        <v>290</v>
      </c>
      <c r="G285" s="2" t="s">
        <v>2981</v>
      </c>
      <c r="H285" s="2" t="s">
        <v>2978</v>
      </c>
      <c r="I285" s="319">
        <v>46101.03775071759</v>
      </c>
      <c r="J285" s="319">
        <v>46101.03775072917</v>
      </c>
    </row>
    <row r="286">
      <c r="A286" s="2" t="s">
        <v>1819</v>
      </c>
      <c r="B286" s="2" t="s">
        <v>1820</v>
      </c>
      <c r="C286" s="4">
        <v>2.0</v>
      </c>
      <c r="D286" s="4">
        <v>2.0</v>
      </c>
      <c r="E286" s="4">
        <v>0.0</v>
      </c>
      <c r="F286" s="2" t="s">
        <v>290</v>
      </c>
      <c r="G286" s="2" t="s">
        <v>2988</v>
      </c>
      <c r="H286" s="2" t="s">
        <v>2979</v>
      </c>
      <c r="I286" s="319">
        <v>46101.03775072917</v>
      </c>
      <c r="J286" s="319">
        <v>46101.03775074074</v>
      </c>
    </row>
    <row r="287">
      <c r="A287" s="2" t="s">
        <v>692</v>
      </c>
      <c r="B287" s="2" t="s">
        <v>693</v>
      </c>
      <c r="C287" s="4">
        <v>8.0</v>
      </c>
      <c r="D287" s="4">
        <v>6.0</v>
      </c>
      <c r="E287" s="4">
        <v>1.0</v>
      </c>
      <c r="F287" s="2" t="s">
        <v>661</v>
      </c>
      <c r="G287" s="2" t="s">
        <v>2990</v>
      </c>
      <c r="H287" s="2" t="s">
        <v>2982</v>
      </c>
      <c r="I287" s="319">
        <v>46101.03775074074</v>
      </c>
      <c r="J287" s="319">
        <v>46101.037750752315</v>
      </c>
    </row>
    <row r="288">
      <c r="A288" s="2" t="s">
        <v>1601</v>
      </c>
      <c r="B288" s="2" t="s">
        <v>1602</v>
      </c>
      <c r="C288" s="4">
        <v>240.0</v>
      </c>
      <c r="D288" s="4">
        <v>192.0</v>
      </c>
      <c r="E288" s="4">
        <v>0.0</v>
      </c>
      <c r="F288" s="2" t="s">
        <v>22</v>
      </c>
      <c r="G288" s="2" t="s">
        <v>2977</v>
      </c>
      <c r="H288" s="2" t="s">
        <v>2979</v>
      </c>
      <c r="I288" s="319">
        <v>46102.03791621528</v>
      </c>
      <c r="J288" s="319">
        <v>46102.03791623843</v>
      </c>
    </row>
    <row r="289">
      <c r="A289" s="2" t="s">
        <v>588</v>
      </c>
      <c r="B289" s="2" t="s">
        <v>589</v>
      </c>
      <c r="C289" s="4">
        <v>2.0</v>
      </c>
      <c r="D289" s="4">
        <v>2.0</v>
      </c>
      <c r="E289" s="4">
        <v>1.0</v>
      </c>
      <c r="F289" s="2" t="s">
        <v>290</v>
      </c>
      <c r="G289" s="2" t="s">
        <v>2981</v>
      </c>
      <c r="H289" s="2" t="s">
        <v>2978</v>
      </c>
      <c r="I289" s="319">
        <v>46102.03791623843</v>
      </c>
      <c r="J289" s="319">
        <v>46102.03791626157</v>
      </c>
    </row>
    <row r="290">
      <c r="A290" s="2" t="s">
        <v>1819</v>
      </c>
      <c r="B290" s="2" t="s">
        <v>1820</v>
      </c>
      <c r="C290" s="4">
        <v>2.0</v>
      </c>
      <c r="D290" s="4">
        <v>2.0</v>
      </c>
      <c r="E290" s="4">
        <v>0.0</v>
      </c>
      <c r="F290" s="2" t="s">
        <v>290</v>
      </c>
      <c r="G290" s="2" t="s">
        <v>2988</v>
      </c>
      <c r="H290" s="2" t="s">
        <v>2979</v>
      </c>
      <c r="I290" s="319">
        <v>46102.03791626157</v>
      </c>
      <c r="J290" s="319">
        <v>46102.03791627315</v>
      </c>
    </row>
    <row r="291">
      <c r="A291" s="2" t="s">
        <v>692</v>
      </c>
      <c r="B291" s="2" t="s">
        <v>693</v>
      </c>
      <c r="C291" s="4">
        <v>8.0</v>
      </c>
      <c r="D291" s="4">
        <v>6.0</v>
      </c>
      <c r="E291" s="4">
        <v>1.0</v>
      </c>
      <c r="F291" s="2" t="s">
        <v>661</v>
      </c>
      <c r="G291" s="2" t="s">
        <v>2990</v>
      </c>
      <c r="H291" s="2" t="s">
        <v>2982</v>
      </c>
      <c r="I291" s="319">
        <v>46102.03791627315</v>
      </c>
      <c r="J291" s="319">
        <v>46102.03791630787</v>
      </c>
    </row>
    <row r="292">
      <c r="A292" s="2" t="s">
        <v>1601</v>
      </c>
      <c r="B292" s="2" t="s">
        <v>1602</v>
      </c>
      <c r="C292" s="4">
        <v>240.0</v>
      </c>
      <c r="D292" s="4">
        <v>192.0</v>
      </c>
      <c r="E292" s="4">
        <v>0.0</v>
      </c>
      <c r="F292" s="2" t="s">
        <v>22</v>
      </c>
      <c r="G292" s="2" t="s">
        <v>2977</v>
      </c>
      <c r="H292" s="2" t="s">
        <v>2979</v>
      </c>
      <c r="I292" s="319">
        <v>46103.037730509255</v>
      </c>
      <c r="J292" s="319">
        <v>46103.037730578704</v>
      </c>
    </row>
    <row r="293">
      <c r="A293" s="2" t="s">
        <v>588</v>
      </c>
      <c r="B293" s="2" t="s">
        <v>589</v>
      </c>
      <c r="C293" s="4">
        <v>2.0</v>
      </c>
      <c r="D293" s="4">
        <v>2.0</v>
      </c>
      <c r="E293" s="4">
        <v>1.0</v>
      </c>
      <c r="F293" s="2" t="s">
        <v>290</v>
      </c>
      <c r="G293" s="2" t="s">
        <v>2981</v>
      </c>
      <c r="H293" s="2" t="s">
        <v>2978</v>
      </c>
      <c r="I293" s="319">
        <v>46103.037730578704</v>
      </c>
      <c r="J293" s="319">
        <v>46103.037730613425</v>
      </c>
    </row>
    <row r="294">
      <c r="A294" s="2" t="s">
        <v>1819</v>
      </c>
      <c r="B294" s="2" t="s">
        <v>1820</v>
      </c>
      <c r="C294" s="4">
        <v>2.0</v>
      </c>
      <c r="D294" s="4">
        <v>2.0</v>
      </c>
      <c r="E294" s="4">
        <v>0.0</v>
      </c>
      <c r="F294" s="2" t="s">
        <v>290</v>
      </c>
      <c r="G294" s="2" t="s">
        <v>2988</v>
      </c>
      <c r="H294" s="2" t="s">
        <v>2979</v>
      </c>
      <c r="I294" s="319">
        <v>46103.037730613425</v>
      </c>
      <c r="J294" s="319">
        <v>46103.03773063657</v>
      </c>
    </row>
    <row r="295">
      <c r="A295" s="2" t="s">
        <v>692</v>
      </c>
      <c r="B295" s="2" t="s">
        <v>693</v>
      </c>
      <c r="C295" s="4">
        <v>8.0</v>
      </c>
      <c r="D295" s="4">
        <v>6.0</v>
      </c>
      <c r="E295" s="4">
        <v>1.0</v>
      </c>
      <c r="F295" s="2" t="s">
        <v>661</v>
      </c>
      <c r="G295" s="2" t="s">
        <v>2990</v>
      </c>
      <c r="H295" s="2" t="s">
        <v>2982</v>
      </c>
      <c r="I295" s="319">
        <v>46103.03773063657</v>
      </c>
      <c r="J295" s="319">
        <v>46103.03773064815</v>
      </c>
    </row>
    <row r="296">
      <c r="A296" s="2" t="s">
        <v>1601</v>
      </c>
      <c r="B296" s="2" t="s">
        <v>1602</v>
      </c>
      <c r="C296" s="4">
        <v>240.0</v>
      </c>
      <c r="D296" s="4">
        <v>192.0</v>
      </c>
      <c r="E296" s="4">
        <v>0.0</v>
      </c>
      <c r="F296" s="2" t="s">
        <v>22</v>
      </c>
      <c r="G296" s="2" t="s">
        <v>2977</v>
      </c>
      <c r="H296" s="2" t="s">
        <v>2979</v>
      </c>
      <c r="I296" s="319">
        <v>46104.037740405096</v>
      </c>
      <c r="J296" s="319">
        <v>46104.03774104167</v>
      </c>
    </row>
    <row r="297">
      <c r="A297" s="2" t="s">
        <v>588</v>
      </c>
      <c r="B297" s="2" t="s">
        <v>589</v>
      </c>
      <c r="C297" s="4">
        <v>2.0</v>
      </c>
      <c r="D297" s="4">
        <v>2.0</v>
      </c>
      <c r="E297" s="4">
        <v>1.0</v>
      </c>
      <c r="F297" s="2" t="s">
        <v>290</v>
      </c>
      <c r="G297" s="2" t="s">
        <v>2981</v>
      </c>
      <c r="H297" s="2" t="s">
        <v>2978</v>
      </c>
      <c r="I297" s="319">
        <v>46104.03774104167</v>
      </c>
      <c r="J297" s="319">
        <v>46104.037741064814</v>
      </c>
    </row>
    <row r="298">
      <c r="A298" s="2" t="s">
        <v>1819</v>
      </c>
      <c r="B298" s="2" t="s">
        <v>1820</v>
      </c>
      <c r="C298" s="4">
        <v>2.0</v>
      </c>
      <c r="D298" s="4">
        <v>2.0</v>
      </c>
      <c r="E298" s="4">
        <v>0.0</v>
      </c>
      <c r="F298" s="2" t="s">
        <v>290</v>
      </c>
      <c r="G298" s="2" t="s">
        <v>2988</v>
      </c>
      <c r="H298" s="2" t="s">
        <v>2979</v>
      </c>
      <c r="I298" s="319">
        <v>46104.037741064814</v>
      </c>
      <c r="J298" s="319">
        <v>46104.03774112268</v>
      </c>
    </row>
    <row r="299">
      <c r="A299" s="2" t="s">
        <v>692</v>
      </c>
      <c r="B299" s="2" t="s">
        <v>693</v>
      </c>
      <c r="C299" s="4">
        <v>8.0</v>
      </c>
      <c r="D299" s="4">
        <v>6.0</v>
      </c>
      <c r="E299" s="4">
        <v>1.0</v>
      </c>
      <c r="F299" s="2" t="s">
        <v>661</v>
      </c>
      <c r="G299" s="2" t="s">
        <v>2990</v>
      </c>
      <c r="H299" s="2" t="s">
        <v>2982</v>
      </c>
      <c r="I299" s="319">
        <v>46104.03774112268</v>
      </c>
      <c r="J299" s="319">
        <v>46104.03774143518</v>
      </c>
    </row>
    <row r="300">
      <c r="A300" s="2" t="s">
        <v>1601</v>
      </c>
      <c r="B300" s="2" t="s">
        <v>1602</v>
      </c>
      <c r="C300" s="4">
        <v>240.0</v>
      </c>
      <c r="D300" s="4">
        <v>192.0</v>
      </c>
      <c r="E300" s="4">
        <v>0.0</v>
      </c>
      <c r="F300" s="2" t="s">
        <v>22</v>
      </c>
      <c r="G300" s="2" t="s">
        <v>2977</v>
      </c>
      <c r="H300" s="2" t="s">
        <v>2979</v>
      </c>
      <c r="I300" s="319">
        <v>46105.037709641205</v>
      </c>
      <c r="J300" s="319">
        <v>46105.037709641205</v>
      </c>
    </row>
    <row r="301">
      <c r="A301" s="2" t="s">
        <v>588</v>
      </c>
      <c r="B301" s="2" t="s">
        <v>589</v>
      </c>
      <c r="C301" s="4">
        <v>2.0</v>
      </c>
      <c r="D301" s="4">
        <v>2.0</v>
      </c>
      <c r="E301" s="4">
        <v>1.0</v>
      </c>
      <c r="F301" s="2" t="s">
        <v>290</v>
      </c>
      <c r="G301" s="2" t="s">
        <v>2981</v>
      </c>
      <c r="H301" s="2" t="s">
        <v>2978</v>
      </c>
      <c r="I301" s="319">
        <v>46105.037709641205</v>
      </c>
      <c r="J301" s="319">
        <v>46105.03770965278</v>
      </c>
    </row>
    <row r="302">
      <c r="A302" s="2" t="s">
        <v>1819</v>
      </c>
      <c r="B302" s="2" t="s">
        <v>1820</v>
      </c>
      <c r="C302" s="4">
        <v>2.0</v>
      </c>
      <c r="D302" s="4">
        <v>2.0</v>
      </c>
      <c r="E302" s="4">
        <v>0.0</v>
      </c>
      <c r="F302" s="2" t="s">
        <v>290</v>
      </c>
      <c r="G302" s="2" t="s">
        <v>2988</v>
      </c>
      <c r="H302" s="2" t="s">
        <v>2979</v>
      </c>
      <c r="I302" s="319">
        <v>46105.03770965278</v>
      </c>
      <c r="J302" s="319">
        <v>46105.03770966435</v>
      </c>
    </row>
    <row r="303">
      <c r="A303" s="2" t="s">
        <v>692</v>
      </c>
      <c r="B303" s="2" t="s">
        <v>693</v>
      </c>
      <c r="C303" s="4">
        <v>8.0</v>
      </c>
      <c r="D303" s="4">
        <v>6.0</v>
      </c>
      <c r="E303" s="4">
        <v>1.0</v>
      </c>
      <c r="F303" s="2" t="s">
        <v>661</v>
      </c>
      <c r="G303" s="2" t="s">
        <v>2990</v>
      </c>
      <c r="H303" s="2" t="s">
        <v>2982</v>
      </c>
      <c r="I303" s="319">
        <v>46105.03770966435</v>
      </c>
      <c r="J303" s="319">
        <v>46105.03770966435</v>
      </c>
    </row>
    <row r="304">
      <c r="A304" s="2" t="s">
        <v>1601</v>
      </c>
      <c r="B304" s="2" t="s">
        <v>1602</v>
      </c>
      <c r="C304" s="4">
        <v>240.0</v>
      </c>
      <c r="D304" s="4">
        <v>192.0</v>
      </c>
      <c r="E304" s="4">
        <v>0.0</v>
      </c>
      <c r="F304" s="2" t="s">
        <v>22</v>
      </c>
      <c r="G304" s="2" t="s">
        <v>2977</v>
      </c>
      <c r="H304" s="2" t="s">
        <v>2979</v>
      </c>
      <c r="I304" s="319">
        <v>46106.03778840278</v>
      </c>
      <c r="J304" s="319">
        <v>46106.03778893518</v>
      </c>
    </row>
    <row r="305">
      <c r="A305" s="2" t="s">
        <v>588</v>
      </c>
      <c r="B305" s="2" t="s">
        <v>589</v>
      </c>
      <c r="C305" s="4">
        <v>2.0</v>
      </c>
      <c r="D305" s="4">
        <v>2.0</v>
      </c>
      <c r="E305" s="4">
        <v>1.0</v>
      </c>
      <c r="F305" s="2" t="s">
        <v>290</v>
      </c>
      <c r="G305" s="2" t="s">
        <v>2981</v>
      </c>
      <c r="H305" s="2" t="s">
        <v>2978</v>
      </c>
      <c r="I305" s="319">
        <v>46106.03778893518</v>
      </c>
      <c r="J305" s="319">
        <v>46106.037790208335</v>
      </c>
    </row>
    <row r="306">
      <c r="A306" s="2" t="s">
        <v>1819</v>
      </c>
      <c r="B306" s="2" t="s">
        <v>1820</v>
      </c>
      <c r="C306" s="4">
        <v>2.0</v>
      </c>
      <c r="D306" s="4">
        <v>2.0</v>
      </c>
      <c r="E306" s="4">
        <v>0.0</v>
      </c>
      <c r="F306" s="2" t="s">
        <v>290</v>
      </c>
      <c r="G306" s="2" t="s">
        <v>2988</v>
      </c>
      <c r="H306" s="2" t="s">
        <v>2979</v>
      </c>
      <c r="I306" s="319">
        <v>46106.037790208335</v>
      </c>
      <c r="J306" s="319">
        <v>46106.03779043982</v>
      </c>
    </row>
    <row r="307">
      <c r="A307" s="2" t="s">
        <v>692</v>
      </c>
      <c r="B307" s="2" t="s">
        <v>693</v>
      </c>
      <c r="C307" s="4">
        <v>8.0</v>
      </c>
      <c r="D307" s="4">
        <v>6.0</v>
      </c>
      <c r="E307" s="4">
        <v>1.0</v>
      </c>
      <c r="F307" s="2" t="s">
        <v>661</v>
      </c>
      <c r="G307" s="2" t="s">
        <v>2990</v>
      </c>
      <c r="H307" s="2" t="s">
        <v>2982</v>
      </c>
      <c r="I307" s="319">
        <v>46106.03779043982</v>
      </c>
      <c r="J307" s="319">
        <v>46106.03779153935</v>
      </c>
    </row>
    <row r="308">
      <c r="A308" s="2" t="s">
        <v>1601</v>
      </c>
      <c r="B308" s="2" t="s">
        <v>1602</v>
      </c>
      <c r="C308" s="4">
        <v>240.0</v>
      </c>
      <c r="D308" s="4">
        <v>192.0</v>
      </c>
      <c r="E308" s="4">
        <v>0.0</v>
      </c>
      <c r="F308" s="2" t="s">
        <v>22</v>
      </c>
      <c r="G308" s="2" t="s">
        <v>2977</v>
      </c>
      <c r="H308" s="2" t="s">
        <v>2979</v>
      </c>
      <c r="I308" s="319">
        <v>46107.03839502315</v>
      </c>
      <c r="J308" s="319">
        <v>46107.038397083335</v>
      </c>
    </row>
    <row r="309">
      <c r="A309" s="2" t="s">
        <v>588</v>
      </c>
      <c r="B309" s="2" t="s">
        <v>589</v>
      </c>
      <c r="C309" s="4">
        <v>2.0</v>
      </c>
      <c r="D309" s="4">
        <v>2.0</v>
      </c>
      <c r="E309" s="4">
        <v>1.0</v>
      </c>
      <c r="F309" s="2" t="s">
        <v>290</v>
      </c>
      <c r="G309" s="2" t="s">
        <v>2981</v>
      </c>
      <c r="H309" s="2" t="s">
        <v>2978</v>
      </c>
      <c r="I309" s="319">
        <v>46107.038397083335</v>
      </c>
      <c r="J309" s="319">
        <v>46107.03840140047</v>
      </c>
    </row>
    <row r="310">
      <c r="A310" s="2" t="s">
        <v>1819</v>
      </c>
      <c r="B310" s="2" t="s">
        <v>1820</v>
      </c>
      <c r="C310" s="4">
        <v>2.0</v>
      </c>
      <c r="D310" s="4">
        <v>2.0</v>
      </c>
      <c r="E310" s="4">
        <v>0.0</v>
      </c>
      <c r="F310" s="2" t="s">
        <v>290</v>
      </c>
      <c r="G310" s="2" t="s">
        <v>2988</v>
      </c>
      <c r="H310" s="2" t="s">
        <v>2979</v>
      </c>
      <c r="I310" s="319">
        <v>46107.03840140047</v>
      </c>
      <c r="J310" s="319">
        <v>46107.03840369213</v>
      </c>
    </row>
    <row r="311">
      <c r="A311" s="2" t="s">
        <v>692</v>
      </c>
      <c r="B311" s="2" t="s">
        <v>693</v>
      </c>
      <c r="C311" s="4">
        <v>8.0</v>
      </c>
      <c r="D311" s="4">
        <v>6.0</v>
      </c>
      <c r="E311" s="4">
        <v>1.0</v>
      </c>
      <c r="F311" s="2" t="s">
        <v>661</v>
      </c>
      <c r="G311" s="2" t="s">
        <v>2990</v>
      </c>
      <c r="H311" s="2" t="s">
        <v>2982</v>
      </c>
      <c r="I311" s="319">
        <v>46107.03840369213</v>
      </c>
      <c r="J311" s="319">
        <v>46107.03840626158</v>
      </c>
    </row>
    <row r="312">
      <c r="A312" s="2" t="s">
        <v>1601</v>
      </c>
      <c r="B312" s="2" t="s">
        <v>1602</v>
      </c>
      <c r="C312" s="4">
        <v>240.0</v>
      </c>
      <c r="D312" s="4">
        <v>192.0</v>
      </c>
      <c r="E312" s="4">
        <v>0.0</v>
      </c>
      <c r="F312" s="2" t="s">
        <v>22</v>
      </c>
      <c r="G312" s="2" t="s">
        <v>2977</v>
      </c>
      <c r="H312" s="2" t="s">
        <v>2979</v>
      </c>
      <c r="I312" s="319">
        <v>46108.037721712964</v>
      </c>
      <c r="J312" s="319">
        <v>46108.03772173611</v>
      </c>
    </row>
    <row r="313">
      <c r="A313" s="2" t="s">
        <v>588</v>
      </c>
      <c r="B313" s="2" t="s">
        <v>589</v>
      </c>
      <c r="C313" s="4">
        <v>2.0</v>
      </c>
      <c r="D313" s="4">
        <v>2.0</v>
      </c>
      <c r="E313" s="4">
        <v>1.0</v>
      </c>
      <c r="F313" s="2" t="s">
        <v>290</v>
      </c>
      <c r="G313" s="2" t="s">
        <v>2981</v>
      </c>
      <c r="H313" s="2" t="s">
        <v>2978</v>
      </c>
      <c r="I313" s="319">
        <v>46108.03772173611</v>
      </c>
      <c r="J313" s="319">
        <v>46108.037721747685</v>
      </c>
    </row>
    <row r="314">
      <c r="A314" s="2" t="s">
        <v>1819</v>
      </c>
      <c r="B314" s="2" t="s">
        <v>1820</v>
      </c>
      <c r="C314" s="4">
        <v>2.0</v>
      </c>
      <c r="D314" s="4">
        <v>2.0</v>
      </c>
      <c r="E314" s="4">
        <v>0.0</v>
      </c>
      <c r="F314" s="2" t="s">
        <v>290</v>
      </c>
      <c r="G314" s="2" t="s">
        <v>2988</v>
      </c>
      <c r="H314" s="2" t="s">
        <v>2979</v>
      </c>
      <c r="I314" s="319">
        <v>46108.037721747685</v>
      </c>
      <c r="J314" s="319">
        <v>46108.03772175926</v>
      </c>
    </row>
    <row r="315">
      <c r="A315" s="2" t="s">
        <v>692</v>
      </c>
      <c r="B315" s="2" t="s">
        <v>693</v>
      </c>
      <c r="C315" s="4">
        <v>8.0</v>
      </c>
      <c r="D315" s="4">
        <v>6.0</v>
      </c>
      <c r="E315" s="4">
        <v>1.0</v>
      </c>
      <c r="F315" s="2" t="s">
        <v>661</v>
      </c>
      <c r="G315" s="2" t="s">
        <v>2990</v>
      </c>
      <c r="H315" s="2" t="s">
        <v>2982</v>
      </c>
      <c r="I315" s="319">
        <v>46108.03772175926</v>
      </c>
      <c r="J315" s="319">
        <v>46108.037721782406</v>
      </c>
    </row>
    <row r="316">
      <c r="A316" s="2" t="s">
        <v>1601</v>
      </c>
      <c r="B316" s="2" t="s">
        <v>1602</v>
      </c>
      <c r="C316" s="4">
        <v>240.0</v>
      </c>
      <c r="D316" s="4">
        <v>192.0</v>
      </c>
      <c r="E316" s="4">
        <v>0.0</v>
      </c>
      <c r="F316" s="2" t="s">
        <v>22</v>
      </c>
      <c r="G316" s="2" t="s">
        <v>2977</v>
      </c>
      <c r="H316" s="2" t="s">
        <v>2979</v>
      </c>
      <c r="I316" s="319">
        <v>46109.03778663195</v>
      </c>
      <c r="J316" s="319">
        <v>46109.03778668982</v>
      </c>
    </row>
    <row r="317">
      <c r="A317" s="2" t="s">
        <v>588</v>
      </c>
      <c r="B317" s="2" t="s">
        <v>589</v>
      </c>
      <c r="C317" s="4">
        <v>2.0</v>
      </c>
      <c r="D317" s="4">
        <v>2.0</v>
      </c>
      <c r="E317" s="4">
        <v>1.0</v>
      </c>
      <c r="F317" s="2" t="s">
        <v>290</v>
      </c>
      <c r="G317" s="2" t="s">
        <v>2981</v>
      </c>
      <c r="H317" s="2" t="s">
        <v>2978</v>
      </c>
      <c r="I317" s="319">
        <v>46109.03778668982</v>
      </c>
      <c r="J317" s="319">
        <v>46109.037786712965</v>
      </c>
    </row>
    <row r="318">
      <c r="A318" s="2" t="s">
        <v>1819</v>
      </c>
      <c r="B318" s="2" t="s">
        <v>1820</v>
      </c>
      <c r="C318" s="4">
        <v>2.0</v>
      </c>
      <c r="D318" s="4">
        <v>2.0</v>
      </c>
      <c r="E318" s="4">
        <v>0.0</v>
      </c>
      <c r="F318" s="2" t="s">
        <v>290</v>
      </c>
      <c r="G318" s="2" t="s">
        <v>2988</v>
      </c>
      <c r="H318" s="2" t="s">
        <v>2979</v>
      </c>
      <c r="I318" s="319">
        <v>46109.037786712965</v>
      </c>
      <c r="J318" s="319">
        <v>46109.037786967594</v>
      </c>
    </row>
    <row r="319">
      <c r="A319" s="2" t="s">
        <v>692</v>
      </c>
      <c r="B319" s="2" t="s">
        <v>693</v>
      </c>
      <c r="C319" s="4">
        <v>8.0</v>
      </c>
      <c r="D319" s="4">
        <v>6.0</v>
      </c>
      <c r="E319" s="4">
        <v>1.0</v>
      </c>
      <c r="F319" s="2" t="s">
        <v>661</v>
      </c>
      <c r="G319" s="2" t="s">
        <v>2990</v>
      </c>
      <c r="H319" s="2" t="s">
        <v>2982</v>
      </c>
      <c r="I319" s="319">
        <v>46109.037786967594</v>
      </c>
      <c r="J319" s="319">
        <v>46109.037787071764</v>
      </c>
    </row>
    <row r="320">
      <c r="A320" s="2" t="s">
        <v>1601</v>
      </c>
      <c r="B320" s="2" t="s">
        <v>1602</v>
      </c>
      <c r="C320" s="4">
        <v>240.0</v>
      </c>
      <c r="D320" s="4">
        <v>192.0</v>
      </c>
      <c r="E320" s="4">
        <v>0.0</v>
      </c>
      <c r="F320" s="2" t="s">
        <v>22</v>
      </c>
      <c r="G320" s="2" t="s">
        <v>2977</v>
      </c>
      <c r="H320" s="2" t="s">
        <v>2979</v>
      </c>
      <c r="I320" s="319">
        <v>46110.03772030093</v>
      </c>
      <c r="J320" s="319">
        <v>46110.037720312495</v>
      </c>
    </row>
    <row r="321">
      <c r="A321" s="2" t="s">
        <v>588</v>
      </c>
      <c r="B321" s="2" t="s">
        <v>589</v>
      </c>
      <c r="C321" s="4">
        <v>2.0</v>
      </c>
      <c r="D321" s="4">
        <v>2.0</v>
      </c>
      <c r="E321" s="4">
        <v>1.0</v>
      </c>
      <c r="F321" s="2" t="s">
        <v>290</v>
      </c>
      <c r="G321" s="2" t="s">
        <v>2981</v>
      </c>
      <c r="H321" s="2" t="s">
        <v>2978</v>
      </c>
      <c r="I321" s="319">
        <v>46110.037720312495</v>
      </c>
      <c r="J321" s="319">
        <v>46110.03772032408</v>
      </c>
    </row>
    <row r="322">
      <c r="A322" s="2" t="s">
        <v>1819</v>
      </c>
      <c r="B322" s="2" t="s">
        <v>1820</v>
      </c>
      <c r="C322" s="4">
        <v>2.0</v>
      </c>
      <c r="D322" s="4">
        <v>2.0</v>
      </c>
      <c r="E322" s="4">
        <v>0.0</v>
      </c>
      <c r="F322" s="2" t="s">
        <v>290</v>
      </c>
      <c r="G322" s="2" t="s">
        <v>2988</v>
      </c>
      <c r="H322" s="2" t="s">
        <v>2979</v>
      </c>
      <c r="I322" s="319">
        <v>46110.03772032408</v>
      </c>
      <c r="J322" s="319">
        <v>46110.03772033565</v>
      </c>
    </row>
    <row r="323">
      <c r="A323" s="2" t="s">
        <v>692</v>
      </c>
      <c r="B323" s="2" t="s">
        <v>693</v>
      </c>
      <c r="C323" s="4">
        <v>8.0</v>
      </c>
      <c r="D323" s="4">
        <v>6.0</v>
      </c>
      <c r="E323" s="4">
        <v>1.0</v>
      </c>
      <c r="F323" s="2" t="s">
        <v>661</v>
      </c>
      <c r="G323" s="2" t="s">
        <v>2990</v>
      </c>
      <c r="H323" s="2" t="s">
        <v>2982</v>
      </c>
      <c r="I323" s="319">
        <v>46110.03772033565</v>
      </c>
      <c r="J323" s="319">
        <v>46110.03772034722</v>
      </c>
    </row>
    <row r="324">
      <c r="A324" s="2" t="s">
        <v>1601</v>
      </c>
      <c r="B324" s="2" t="s">
        <v>1602</v>
      </c>
      <c r="C324" s="4">
        <v>240.0</v>
      </c>
      <c r="D324" s="4">
        <v>192.0</v>
      </c>
      <c r="E324" s="4">
        <v>0.0</v>
      </c>
      <c r="F324" s="2" t="s">
        <v>22</v>
      </c>
      <c r="G324" s="2" t="s">
        <v>2977</v>
      </c>
      <c r="H324" s="2" t="s">
        <v>2979</v>
      </c>
      <c r="I324" s="319">
        <v>46111.03770395833</v>
      </c>
      <c r="J324" s="319">
        <v>46111.03770395833</v>
      </c>
    </row>
    <row r="325">
      <c r="A325" s="2" t="s">
        <v>588</v>
      </c>
      <c r="B325" s="2" t="s">
        <v>589</v>
      </c>
      <c r="C325" s="4">
        <v>2.0</v>
      </c>
      <c r="D325" s="4">
        <v>2.0</v>
      </c>
      <c r="E325" s="4">
        <v>1.0</v>
      </c>
      <c r="F325" s="2" t="s">
        <v>290</v>
      </c>
      <c r="G325" s="2" t="s">
        <v>2981</v>
      </c>
      <c r="H325" s="2" t="s">
        <v>2978</v>
      </c>
      <c r="I325" s="319">
        <v>46111.03770395833</v>
      </c>
      <c r="J325" s="319">
        <v>46111.03770396991</v>
      </c>
    </row>
    <row r="326">
      <c r="A326" s="2" t="s">
        <v>1819</v>
      </c>
      <c r="B326" s="2" t="s">
        <v>1820</v>
      </c>
      <c r="C326" s="4">
        <v>2.0</v>
      </c>
      <c r="D326" s="4">
        <v>2.0</v>
      </c>
      <c r="E326" s="4">
        <v>0.0</v>
      </c>
      <c r="F326" s="2" t="s">
        <v>290</v>
      </c>
      <c r="G326" s="2" t="s">
        <v>2988</v>
      </c>
      <c r="H326" s="2" t="s">
        <v>2979</v>
      </c>
      <c r="I326" s="319">
        <v>46111.03770396991</v>
      </c>
      <c r="J326" s="319">
        <v>46111.03770396991</v>
      </c>
    </row>
    <row r="327">
      <c r="A327" s="2" t="s">
        <v>692</v>
      </c>
      <c r="B327" s="2" t="s">
        <v>693</v>
      </c>
      <c r="C327" s="4">
        <v>8.0</v>
      </c>
      <c r="D327" s="4">
        <v>6.0</v>
      </c>
      <c r="E327" s="4">
        <v>1.0</v>
      </c>
      <c r="F327" s="2" t="s">
        <v>661</v>
      </c>
      <c r="G327" s="2" t="s">
        <v>2990</v>
      </c>
      <c r="H327" s="2" t="s">
        <v>2982</v>
      </c>
      <c r="I327" s="319">
        <v>46111.03770396991</v>
      </c>
      <c r="J327" s="319">
        <v>46111.03770402778</v>
      </c>
    </row>
    <row r="328">
      <c r="A328" s="2" t="s">
        <v>1601</v>
      </c>
      <c r="B328" s="2" t="s">
        <v>1602</v>
      </c>
      <c r="C328" s="4">
        <v>240.0</v>
      </c>
      <c r="D328" s="4">
        <v>192.0</v>
      </c>
      <c r="E328" s="4">
        <v>0.0</v>
      </c>
      <c r="F328" s="2" t="s">
        <v>22</v>
      </c>
      <c r="G328" s="2" t="s">
        <v>2977</v>
      </c>
      <c r="H328" s="2" t="s">
        <v>2979</v>
      </c>
      <c r="I328" s="319">
        <v>46112.037949537036</v>
      </c>
      <c r="J328" s="319">
        <v>46112.03795009259</v>
      </c>
    </row>
    <row r="329">
      <c r="A329" s="2" t="s">
        <v>588</v>
      </c>
      <c r="B329" s="2" t="s">
        <v>589</v>
      </c>
      <c r="C329" s="4">
        <v>2.0</v>
      </c>
      <c r="D329" s="4">
        <v>2.0</v>
      </c>
      <c r="E329" s="4">
        <v>1.0</v>
      </c>
      <c r="F329" s="2" t="s">
        <v>290</v>
      </c>
      <c r="G329" s="2" t="s">
        <v>2981</v>
      </c>
      <c r="H329" s="2" t="s">
        <v>2978</v>
      </c>
      <c r="I329" s="319">
        <v>46112.03795009259</v>
      </c>
      <c r="J329" s="319">
        <v>46112.037950682876</v>
      </c>
    </row>
    <row r="330">
      <c r="A330" s="2" t="s">
        <v>1819</v>
      </c>
      <c r="B330" s="2" t="s">
        <v>1820</v>
      </c>
      <c r="C330" s="4">
        <v>2.0</v>
      </c>
      <c r="D330" s="4">
        <v>2.0</v>
      </c>
      <c r="E330" s="4">
        <v>0.0</v>
      </c>
      <c r="F330" s="2" t="s">
        <v>290</v>
      </c>
      <c r="G330" s="2" t="s">
        <v>2988</v>
      </c>
      <c r="H330" s="2" t="s">
        <v>2979</v>
      </c>
      <c r="I330" s="319">
        <v>46112.037950682876</v>
      </c>
      <c r="J330" s="319">
        <v>46112.037950763886</v>
      </c>
    </row>
    <row r="331">
      <c r="A331" s="2" t="s">
        <v>692</v>
      </c>
      <c r="B331" s="2" t="s">
        <v>693</v>
      </c>
      <c r="C331" s="4">
        <v>8.0</v>
      </c>
      <c r="D331" s="4">
        <v>6.0</v>
      </c>
      <c r="E331" s="4">
        <v>1.0</v>
      </c>
      <c r="F331" s="2" t="s">
        <v>661</v>
      </c>
      <c r="G331" s="2" t="s">
        <v>2990</v>
      </c>
      <c r="H331" s="2" t="s">
        <v>2982</v>
      </c>
      <c r="I331" s="319">
        <v>46112.037950763886</v>
      </c>
      <c r="J331" s="319">
        <v>46112.03795078704</v>
      </c>
    </row>
    <row r="332">
      <c r="I332" s="313"/>
      <c r="J332" s="313"/>
    </row>
    <row r="333">
      <c r="I333" s="313"/>
      <c r="J333" s="313"/>
    </row>
    <row r="334">
      <c r="I334" s="313"/>
      <c r="J334" s="313"/>
    </row>
    <row r="335">
      <c r="I335" s="313"/>
      <c r="J335" s="313"/>
    </row>
    <row r="336">
      <c r="I336" s="313"/>
      <c r="J336" s="313"/>
    </row>
    <row r="337">
      <c r="I337" s="313"/>
      <c r="J337" s="313"/>
    </row>
    <row r="338">
      <c r="I338" s="313"/>
      <c r="J338" s="313"/>
    </row>
    <row r="339">
      <c r="I339" s="313"/>
      <c r="J339" s="313"/>
    </row>
    <row r="340">
      <c r="I340" s="313"/>
      <c r="J340" s="313"/>
    </row>
    <row r="341">
      <c r="I341" s="313"/>
      <c r="J341" s="313"/>
    </row>
    <row r="342">
      <c r="I342" s="313"/>
      <c r="J342" s="313"/>
    </row>
    <row r="343">
      <c r="I343" s="313"/>
      <c r="J343" s="313"/>
    </row>
    <row r="344">
      <c r="I344" s="313"/>
      <c r="J344" s="313"/>
    </row>
    <row r="345">
      <c r="I345" s="313"/>
      <c r="J345" s="313"/>
    </row>
    <row r="346">
      <c r="I346" s="313"/>
      <c r="J346" s="313"/>
    </row>
    <row r="347">
      <c r="I347" s="313"/>
      <c r="J347" s="313"/>
    </row>
    <row r="348">
      <c r="I348" s="313"/>
      <c r="J348" s="313"/>
    </row>
    <row r="349">
      <c r="I349" s="313"/>
      <c r="J349" s="313"/>
    </row>
    <row r="350">
      <c r="I350" s="313"/>
      <c r="J350" s="313"/>
    </row>
    <row r="351">
      <c r="I351" s="313"/>
      <c r="J351" s="313"/>
    </row>
    <row r="352">
      <c r="I352" s="313"/>
      <c r="J352" s="313"/>
    </row>
    <row r="353">
      <c r="I353" s="313"/>
      <c r="J353" s="313"/>
    </row>
    <row r="354">
      <c r="I354" s="313"/>
      <c r="J354" s="313"/>
    </row>
    <row r="355">
      <c r="I355" s="313"/>
      <c r="J355" s="313"/>
    </row>
    <row r="356">
      <c r="I356" s="313"/>
      <c r="J356" s="313"/>
    </row>
    <row r="357">
      <c r="I357" s="313"/>
      <c r="J357" s="313"/>
    </row>
    <row r="358">
      <c r="I358" s="313"/>
      <c r="J358" s="313"/>
    </row>
    <row r="359">
      <c r="I359" s="313"/>
      <c r="J359" s="313"/>
    </row>
    <row r="360">
      <c r="I360" s="313"/>
      <c r="J360" s="313"/>
    </row>
    <row r="361">
      <c r="I361" s="313"/>
      <c r="J361" s="313"/>
    </row>
    <row r="362">
      <c r="I362" s="313"/>
      <c r="J362" s="313"/>
    </row>
    <row r="363">
      <c r="I363" s="313"/>
      <c r="J363" s="313"/>
    </row>
    <row r="364">
      <c r="I364" s="313"/>
      <c r="J364" s="313"/>
    </row>
    <row r="365">
      <c r="I365" s="313"/>
      <c r="J365" s="313"/>
    </row>
    <row r="366">
      <c r="I366" s="313"/>
      <c r="J366" s="313"/>
    </row>
    <row r="367">
      <c r="I367" s="313"/>
      <c r="J367" s="313"/>
    </row>
    <row r="368">
      <c r="I368" s="313"/>
      <c r="J368" s="313"/>
    </row>
    <row r="369">
      <c r="I369" s="313"/>
      <c r="J369" s="313"/>
    </row>
    <row r="370">
      <c r="I370" s="313"/>
      <c r="J370" s="313"/>
    </row>
    <row r="371">
      <c r="I371" s="313"/>
      <c r="J371" s="313"/>
    </row>
    <row r="372">
      <c r="I372" s="313"/>
      <c r="J372" s="313"/>
    </row>
    <row r="373">
      <c r="I373" s="313"/>
      <c r="J373" s="313"/>
    </row>
    <row r="374">
      <c r="I374" s="313"/>
      <c r="J374" s="313"/>
    </row>
    <row r="375">
      <c r="I375" s="313"/>
      <c r="J375" s="313"/>
    </row>
    <row r="376">
      <c r="I376" s="313"/>
      <c r="J376" s="313"/>
    </row>
    <row r="377">
      <c r="I377" s="313"/>
      <c r="J377" s="313"/>
    </row>
    <row r="378">
      <c r="I378" s="313"/>
      <c r="J378" s="313"/>
    </row>
    <row r="379">
      <c r="I379" s="313"/>
      <c r="J379" s="313"/>
    </row>
    <row r="380">
      <c r="I380" s="313"/>
      <c r="J380" s="313"/>
    </row>
    <row r="381">
      <c r="I381" s="313"/>
      <c r="J381" s="313"/>
    </row>
    <row r="382">
      <c r="I382" s="313"/>
      <c r="J382" s="313"/>
    </row>
    <row r="383">
      <c r="I383" s="313"/>
      <c r="J383" s="313"/>
    </row>
    <row r="384">
      <c r="I384" s="313"/>
      <c r="J384" s="313"/>
    </row>
    <row r="385">
      <c r="I385" s="313"/>
      <c r="J385" s="313"/>
    </row>
    <row r="386">
      <c r="I386" s="313"/>
      <c r="J386" s="313"/>
    </row>
    <row r="387">
      <c r="I387" s="313"/>
      <c r="J387" s="313"/>
    </row>
    <row r="388">
      <c r="I388" s="313"/>
      <c r="J388" s="313"/>
    </row>
    <row r="389">
      <c r="I389" s="313"/>
      <c r="J389" s="313"/>
    </row>
    <row r="390">
      <c r="I390" s="313"/>
      <c r="J390" s="313"/>
    </row>
    <row r="391">
      <c r="I391" s="313"/>
      <c r="J391" s="313"/>
    </row>
    <row r="392">
      <c r="I392" s="313"/>
      <c r="J392" s="313"/>
    </row>
    <row r="393">
      <c r="I393" s="313"/>
      <c r="J393" s="313"/>
    </row>
    <row r="394">
      <c r="I394" s="313"/>
      <c r="J394" s="313"/>
    </row>
    <row r="395">
      <c r="I395" s="313"/>
      <c r="J395" s="313"/>
    </row>
    <row r="396">
      <c r="I396" s="313"/>
      <c r="J396" s="313"/>
    </row>
    <row r="397">
      <c r="I397" s="313"/>
      <c r="J397" s="313"/>
    </row>
    <row r="398">
      <c r="I398" s="313"/>
      <c r="J398" s="313"/>
    </row>
    <row r="399">
      <c r="I399" s="313"/>
      <c r="J399" s="313"/>
    </row>
    <row r="400">
      <c r="I400" s="313"/>
      <c r="J400" s="313"/>
    </row>
    <row r="401">
      <c r="I401" s="313"/>
      <c r="J401" s="313"/>
    </row>
    <row r="402">
      <c r="I402" s="313"/>
      <c r="J402" s="313"/>
    </row>
    <row r="403">
      <c r="I403" s="313"/>
      <c r="J403" s="313"/>
    </row>
    <row r="404">
      <c r="I404" s="313"/>
      <c r="J404" s="313"/>
    </row>
    <row r="405">
      <c r="I405" s="313"/>
      <c r="J405" s="313"/>
    </row>
    <row r="406">
      <c r="I406" s="313"/>
      <c r="J406" s="313"/>
    </row>
    <row r="407">
      <c r="I407" s="313"/>
      <c r="J407" s="313"/>
    </row>
    <row r="408">
      <c r="I408" s="313"/>
      <c r="J408" s="313"/>
    </row>
    <row r="409">
      <c r="I409" s="313"/>
      <c r="J409" s="313"/>
    </row>
    <row r="410">
      <c r="I410" s="313"/>
      <c r="J410" s="313"/>
    </row>
    <row r="411">
      <c r="I411" s="313"/>
      <c r="J411" s="313"/>
    </row>
    <row r="412">
      <c r="I412" s="313"/>
      <c r="J412" s="313"/>
    </row>
    <row r="413">
      <c r="I413" s="313"/>
      <c r="J413" s="313"/>
    </row>
    <row r="414">
      <c r="I414" s="313"/>
      <c r="J414" s="313"/>
    </row>
    <row r="415">
      <c r="I415" s="313"/>
      <c r="J415" s="313"/>
    </row>
    <row r="416">
      <c r="I416" s="313"/>
      <c r="J416" s="313"/>
    </row>
    <row r="417">
      <c r="I417" s="313"/>
      <c r="J417" s="313"/>
    </row>
    <row r="418">
      <c r="I418" s="313"/>
      <c r="J418" s="313"/>
    </row>
    <row r="419">
      <c r="I419" s="313"/>
      <c r="J419" s="313"/>
    </row>
    <row r="420">
      <c r="I420" s="313"/>
      <c r="J420" s="313"/>
    </row>
    <row r="421">
      <c r="I421" s="313"/>
      <c r="J421" s="313"/>
    </row>
    <row r="422">
      <c r="I422" s="313"/>
      <c r="J422" s="313"/>
    </row>
    <row r="423">
      <c r="I423" s="313"/>
      <c r="J423" s="313"/>
    </row>
    <row r="424">
      <c r="I424" s="313"/>
      <c r="J424" s="313"/>
    </row>
    <row r="425">
      <c r="I425" s="313"/>
      <c r="J425" s="313"/>
    </row>
    <row r="426">
      <c r="I426" s="313"/>
      <c r="J426" s="313"/>
    </row>
    <row r="427">
      <c r="I427" s="313"/>
      <c r="J427" s="313"/>
    </row>
    <row r="428">
      <c r="I428" s="313"/>
      <c r="J428" s="313"/>
    </row>
    <row r="429">
      <c r="I429" s="313"/>
      <c r="J429" s="313"/>
    </row>
    <row r="430">
      <c r="I430" s="313"/>
      <c r="J430" s="313"/>
    </row>
    <row r="431">
      <c r="I431" s="313"/>
      <c r="J431" s="313"/>
    </row>
    <row r="432">
      <c r="I432" s="313"/>
      <c r="J432" s="313"/>
    </row>
    <row r="433">
      <c r="I433" s="313"/>
      <c r="J433" s="313"/>
    </row>
    <row r="434">
      <c r="I434" s="313"/>
      <c r="J434" s="313"/>
    </row>
    <row r="435">
      <c r="I435" s="313"/>
      <c r="J435" s="313"/>
    </row>
    <row r="436">
      <c r="I436" s="313"/>
      <c r="J436" s="313"/>
    </row>
    <row r="437">
      <c r="I437" s="313"/>
      <c r="J437" s="313"/>
    </row>
    <row r="438">
      <c r="I438" s="313"/>
      <c r="J438" s="313"/>
    </row>
    <row r="439">
      <c r="I439" s="313"/>
      <c r="J439" s="313"/>
    </row>
    <row r="440">
      <c r="I440" s="313"/>
      <c r="J440" s="313"/>
    </row>
    <row r="441">
      <c r="I441" s="313"/>
      <c r="J441" s="313"/>
    </row>
    <row r="442">
      <c r="I442" s="313"/>
      <c r="J442" s="313"/>
    </row>
    <row r="443">
      <c r="I443" s="313"/>
      <c r="J443" s="313"/>
    </row>
    <row r="444">
      <c r="I444" s="313"/>
      <c r="J444" s="313"/>
    </row>
    <row r="445">
      <c r="I445" s="313"/>
      <c r="J445" s="313"/>
    </row>
    <row r="446">
      <c r="I446" s="313"/>
      <c r="J446" s="313"/>
    </row>
    <row r="447">
      <c r="I447" s="313"/>
      <c r="J447" s="313"/>
    </row>
    <row r="448">
      <c r="I448" s="313"/>
      <c r="J448" s="313"/>
    </row>
    <row r="449">
      <c r="I449" s="313"/>
      <c r="J449" s="313"/>
    </row>
    <row r="450">
      <c r="I450" s="313"/>
      <c r="J450" s="313"/>
    </row>
    <row r="451">
      <c r="I451" s="313"/>
      <c r="J451" s="313"/>
    </row>
    <row r="452">
      <c r="I452" s="313"/>
      <c r="J452" s="313"/>
    </row>
    <row r="453">
      <c r="I453" s="313"/>
      <c r="J453" s="313"/>
    </row>
    <row r="454">
      <c r="I454" s="313"/>
      <c r="J454" s="313"/>
    </row>
    <row r="455">
      <c r="I455" s="313"/>
      <c r="J455" s="313"/>
    </row>
    <row r="456">
      <c r="I456" s="313"/>
      <c r="J456" s="313"/>
    </row>
    <row r="457">
      <c r="I457" s="313"/>
      <c r="J457" s="313"/>
    </row>
    <row r="458">
      <c r="I458" s="313"/>
      <c r="J458" s="313"/>
    </row>
    <row r="459">
      <c r="I459" s="313"/>
      <c r="J459" s="313"/>
    </row>
    <row r="460">
      <c r="I460" s="313"/>
      <c r="J460" s="313"/>
    </row>
    <row r="461">
      <c r="I461" s="313"/>
      <c r="J461" s="313"/>
    </row>
    <row r="462">
      <c r="I462" s="313"/>
      <c r="J462" s="313"/>
    </row>
    <row r="463">
      <c r="I463" s="313"/>
      <c r="J463" s="313"/>
    </row>
    <row r="464">
      <c r="I464" s="313"/>
      <c r="J464" s="313"/>
    </row>
    <row r="465">
      <c r="I465" s="313"/>
      <c r="J465" s="313"/>
    </row>
    <row r="466">
      <c r="I466" s="313"/>
      <c r="J466" s="313"/>
    </row>
    <row r="467">
      <c r="I467" s="313"/>
      <c r="J467" s="313"/>
    </row>
    <row r="468">
      <c r="I468" s="313"/>
      <c r="J468" s="313"/>
    </row>
    <row r="469">
      <c r="I469" s="313"/>
      <c r="J469" s="313"/>
    </row>
    <row r="470">
      <c r="I470" s="313"/>
      <c r="J470" s="313"/>
    </row>
    <row r="471">
      <c r="I471" s="313"/>
      <c r="J471" s="313"/>
    </row>
    <row r="472">
      <c r="I472" s="313"/>
      <c r="J472" s="313"/>
    </row>
    <row r="473">
      <c r="I473" s="313"/>
      <c r="J473" s="313"/>
    </row>
    <row r="474">
      <c r="I474" s="313"/>
      <c r="J474" s="313"/>
    </row>
    <row r="475">
      <c r="I475" s="313"/>
      <c r="J475" s="313"/>
    </row>
    <row r="476">
      <c r="I476" s="313"/>
      <c r="J476" s="313"/>
    </row>
    <row r="477">
      <c r="I477" s="313"/>
      <c r="J477" s="313"/>
    </row>
    <row r="478">
      <c r="I478" s="313"/>
      <c r="J478" s="313"/>
    </row>
    <row r="479">
      <c r="I479" s="313"/>
      <c r="J479" s="313"/>
    </row>
    <row r="480">
      <c r="I480" s="313"/>
      <c r="J480" s="313"/>
    </row>
    <row r="481">
      <c r="I481" s="313"/>
      <c r="J481" s="313"/>
    </row>
    <row r="482">
      <c r="I482" s="313"/>
      <c r="J482" s="313"/>
    </row>
    <row r="483">
      <c r="I483" s="313"/>
      <c r="J483" s="313"/>
    </row>
    <row r="484">
      <c r="I484" s="313"/>
      <c r="J484" s="313"/>
    </row>
    <row r="485">
      <c r="I485" s="313"/>
      <c r="J485" s="313"/>
    </row>
    <row r="486">
      <c r="I486" s="313"/>
      <c r="J486" s="313"/>
    </row>
    <row r="487">
      <c r="I487" s="313"/>
      <c r="J487" s="313"/>
    </row>
    <row r="488">
      <c r="I488" s="313"/>
      <c r="J488" s="313"/>
    </row>
    <row r="489">
      <c r="I489" s="313"/>
      <c r="J489" s="313"/>
    </row>
    <row r="490">
      <c r="I490" s="313"/>
      <c r="J490" s="313"/>
    </row>
    <row r="491">
      <c r="I491" s="313"/>
      <c r="J491" s="313"/>
    </row>
    <row r="492">
      <c r="I492" s="313"/>
      <c r="J492" s="313"/>
    </row>
    <row r="493">
      <c r="I493" s="313"/>
      <c r="J493" s="313"/>
    </row>
    <row r="494">
      <c r="I494" s="313"/>
      <c r="J494" s="313"/>
    </row>
    <row r="495">
      <c r="I495" s="313"/>
      <c r="J495" s="313"/>
    </row>
    <row r="496">
      <c r="I496" s="313"/>
      <c r="J496" s="313"/>
    </row>
    <row r="497">
      <c r="I497" s="313"/>
      <c r="J497" s="313"/>
    </row>
    <row r="498">
      <c r="I498" s="313"/>
      <c r="J498" s="313"/>
    </row>
    <row r="499">
      <c r="I499" s="313"/>
      <c r="J499" s="313"/>
    </row>
    <row r="500">
      <c r="I500" s="313"/>
      <c r="J500" s="313"/>
    </row>
    <row r="501">
      <c r="I501" s="313"/>
      <c r="J501" s="313"/>
    </row>
    <row r="502">
      <c r="I502" s="313"/>
      <c r="J502" s="313"/>
    </row>
    <row r="503">
      <c r="I503" s="313"/>
      <c r="J503" s="313"/>
    </row>
    <row r="504">
      <c r="I504" s="313"/>
      <c r="J504" s="313"/>
    </row>
    <row r="505">
      <c r="I505" s="313"/>
      <c r="J505" s="313"/>
    </row>
    <row r="506">
      <c r="I506" s="313"/>
      <c r="J506" s="313"/>
    </row>
    <row r="507">
      <c r="I507" s="313"/>
      <c r="J507" s="313"/>
    </row>
    <row r="508">
      <c r="I508" s="313"/>
      <c r="J508" s="313"/>
    </row>
    <row r="509">
      <c r="I509" s="313"/>
      <c r="J509" s="313"/>
    </row>
    <row r="510">
      <c r="I510" s="313"/>
      <c r="J510" s="313"/>
    </row>
    <row r="511">
      <c r="I511" s="313"/>
      <c r="J511" s="313"/>
    </row>
    <row r="512">
      <c r="I512" s="313"/>
      <c r="J512" s="313"/>
    </row>
    <row r="513">
      <c r="I513" s="313"/>
      <c r="J513" s="313"/>
    </row>
    <row r="514">
      <c r="I514" s="313"/>
      <c r="J514" s="313"/>
    </row>
    <row r="515">
      <c r="I515" s="313"/>
      <c r="J515" s="313"/>
    </row>
    <row r="516">
      <c r="I516" s="313"/>
      <c r="J516" s="313"/>
    </row>
    <row r="517">
      <c r="I517" s="313"/>
      <c r="J517" s="313"/>
    </row>
    <row r="518">
      <c r="I518" s="313"/>
      <c r="J518" s="313"/>
    </row>
    <row r="519">
      <c r="I519" s="313"/>
      <c r="J519" s="313"/>
    </row>
    <row r="520">
      <c r="I520" s="313"/>
      <c r="J520" s="313"/>
    </row>
    <row r="521">
      <c r="I521" s="313"/>
      <c r="J521" s="313"/>
    </row>
    <row r="522">
      <c r="I522" s="313"/>
      <c r="J522" s="313"/>
    </row>
    <row r="523">
      <c r="I523" s="313"/>
      <c r="J523" s="313"/>
    </row>
    <row r="524">
      <c r="I524" s="313"/>
      <c r="J524" s="313"/>
    </row>
    <row r="525">
      <c r="I525" s="313"/>
      <c r="J525" s="313"/>
    </row>
    <row r="526">
      <c r="I526" s="313"/>
      <c r="J526" s="313"/>
    </row>
    <row r="527">
      <c r="I527" s="313"/>
      <c r="J527" s="313"/>
    </row>
    <row r="528">
      <c r="I528" s="313"/>
      <c r="J528" s="313"/>
    </row>
    <row r="529">
      <c r="I529" s="313"/>
      <c r="J529" s="313"/>
    </row>
    <row r="530">
      <c r="I530" s="313"/>
      <c r="J530" s="313"/>
    </row>
    <row r="531">
      <c r="I531" s="313"/>
      <c r="J531" s="313"/>
    </row>
    <row r="532">
      <c r="I532" s="313"/>
      <c r="J532" s="313"/>
    </row>
    <row r="533">
      <c r="I533" s="313"/>
      <c r="J533" s="313"/>
    </row>
    <row r="534">
      <c r="I534" s="313"/>
      <c r="J534" s="313"/>
    </row>
    <row r="535">
      <c r="I535" s="313"/>
      <c r="J535" s="313"/>
    </row>
    <row r="536">
      <c r="I536" s="313"/>
      <c r="J536" s="313"/>
    </row>
    <row r="537">
      <c r="I537" s="313"/>
      <c r="J537" s="313"/>
    </row>
    <row r="538">
      <c r="I538" s="313"/>
      <c r="J538" s="313"/>
    </row>
    <row r="539">
      <c r="I539" s="313"/>
      <c r="J539" s="313"/>
    </row>
    <row r="540">
      <c r="I540" s="313"/>
      <c r="J540" s="313"/>
    </row>
    <row r="541">
      <c r="I541" s="313"/>
      <c r="J541" s="313"/>
    </row>
    <row r="542">
      <c r="I542" s="313"/>
      <c r="J542" s="313"/>
    </row>
    <row r="543">
      <c r="I543" s="313"/>
      <c r="J543" s="313"/>
    </row>
    <row r="544">
      <c r="I544" s="313"/>
      <c r="J544" s="313"/>
    </row>
    <row r="545">
      <c r="I545" s="313"/>
      <c r="J545" s="313"/>
    </row>
    <row r="546">
      <c r="I546" s="313"/>
      <c r="J546" s="313"/>
    </row>
    <row r="547">
      <c r="I547" s="313"/>
      <c r="J547" s="313"/>
    </row>
    <row r="548">
      <c r="I548" s="313"/>
      <c r="J548" s="313"/>
    </row>
    <row r="549">
      <c r="I549" s="313"/>
      <c r="J549" s="313"/>
    </row>
    <row r="550">
      <c r="I550" s="313"/>
      <c r="J550" s="313"/>
    </row>
    <row r="551">
      <c r="I551" s="313"/>
      <c r="J551" s="313"/>
    </row>
    <row r="552">
      <c r="I552" s="313"/>
      <c r="J552" s="313"/>
    </row>
    <row r="553">
      <c r="I553" s="313"/>
      <c r="J553" s="313"/>
    </row>
    <row r="554">
      <c r="I554" s="313"/>
      <c r="J554" s="313"/>
    </row>
    <row r="555">
      <c r="I555" s="313"/>
      <c r="J555" s="313"/>
    </row>
    <row r="556">
      <c r="I556" s="313"/>
      <c r="J556" s="313"/>
    </row>
    <row r="557">
      <c r="I557" s="313"/>
      <c r="J557" s="313"/>
    </row>
    <row r="558">
      <c r="I558" s="313"/>
      <c r="J558" s="313"/>
    </row>
    <row r="559">
      <c r="I559" s="313"/>
      <c r="J559" s="313"/>
    </row>
    <row r="560">
      <c r="I560" s="313"/>
      <c r="J560" s="313"/>
    </row>
    <row r="561">
      <c r="I561" s="313"/>
      <c r="J561" s="313"/>
    </row>
    <row r="562">
      <c r="I562" s="313"/>
      <c r="J562" s="313"/>
    </row>
    <row r="563">
      <c r="I563" s="313"/>
      <c r="J563" s="313"/>
    </row>
    <row r="564">
      <c r="I564" s="313"/>
      <c r="J564" s="313"/>
    </row>
    <row r="565">
      <c r="I565" s="313"/>
      <c r="J565" s="313"/>
    </row>
    <row r="566">
      <c r="I566" s="313"/>
      <c r="J566" s="313"/>
    </row>
    <row r="567">
      <c r="I567" s="313"/>
      <c r="J567" s="313"/>
    </row>
    <row r="568">
      <c r="I568" s="313"/>
      <c r="J568" s="313"/>
    </row>
    <row r="569">
      <c r="I569" s="313"/>
      <c r="J569" s="313"/>
    </row>
    <row r="570">
      <c r="I570" s="313"/>
      <c r="J570" s="313"/>
    </row>
    <row r="571">
      <c r="I571" s="313"/>
      <c r="J571" s="313"/>
    </row>
    <row r="572">
      <c r="I572" s="313"/>
      <c r="J572" s="313"/>
    </row>
    <row r="573">
      <c r="I573" s="313"/>
      <c r="J573" s="313"/>
    </row>
    <row r="574">
      <c r="I574" s="313"/>
      <c r="J574" s="313"/>
    </row>
    <row r="575">
      <c r="I575" s="313"/>
      <c r="J575" s="313"/>
    </row>
    <row r="576">
      <c r="I576" s="313"/>
      <c r="J576" s="313"/>
    </row>
    <row r="577">
      <c r="I577" s="313"/>
      <c r="J577" s="313"/>
    </row>
    <row r="578">
      <c r="I578" s="313"/>
      <c r="J578" s="313"/>
    </row>
    <row r="579">
      <c r="I579" s="313"/>
      <c r="J579" s="313"/>
    </row>
    <row r="580">
      <c r="I580" s="313"/>
      <c r="J580" s="313"/>
    </row>
    <row r="581">
      <c r="I581" s="313"/>
      <c r="J581" s="313"/>
    </row>
    <row r="582">
      <c r="I582" s="313"/>
      <c r="J582" s="313"/>
    </row>
    <row r="583">
      <c r="I583" s="313"/>
      <c r="J583" s="313"/>
    </row>
    <row r="584">
      <c r="I584" s="313"/>
      <c r="J584" s="313"/>
    </row>
    <row r="585">
      <c r="I585" s="313"/>
      <c r="J585" s="313"/>
    </row>
    <row r="586">
      <c r="I586" s="313"/>
      <c r="J586" s="313"/>
    </row>
    <row r="587">
      <c r="I587" s="313"/>
      <c r="J587" s="313"/>
    </row>
    <row r="588">
      <c r="I588" s="313"/>
      <c r="J588" s="313"/>
    </row>
    <row r="589">
      <c r="I589" s="313"/>
      <c r="J589" s="313"/>
    </row>
    <row r="590">
      <c r="I590" s="313"/>
      <c r="J590" s="313"/>
    </row>
    <row r="591">
      <c r="I591" s="313"/>
      <c r="J591" s="313"/>
    </row>
    <row r="592">
      <c r="I592" s="313"/>
      <c r="J592" s="313"/>
    </row>
    <row r="593">
      <c r="I593" s="313"/>
      <c r="J593" s="313"/>
    </row>
    <row r="594">
      <c r="I594" s="313"/>
      <c r="J594" s="313"/>
    </row>
    <row r="595">
      <c r="I595" s="313"/>
      <c r="J595" s="313"/>
    </row>
    <row r="596">
      <c r="I596" s="313"/>
      <c r="J596" s="313"/>
    </row>
    <row r="597">
      <c r="I597" s="313"/>
      <c r="J597" s="313"/>
    </row>
    <row r="598">
      <c r="I598" s="313"/>
      <c r="J598" s="313"/>
    </row>
    <row r="599">
      <c r="I599" s="313"/>
      <c r="J599" s="313"/>
    </row>
    <row r="600">
      <c r="I600" s="313"/>
      <c r="J600" s="313"/>
    </row>
    <row r="601">
      <c r="I601" s="313"/>
      <c r="J601" s="313"/>
    </row>
    <row r="602">
      <c r="I602" s="313"/>
      <c r="J602" s="313"/>
    </row>
    <row r="603">
      <c r="I603" s="313"/>
      <c r="J603" s="313"/>
    </row>
    <row r="604">
      <c r="I604" s="313"/>
      <c r="J604" s="313"/>
    </row>
    <row r="605">
      <c r="I605" s="313"/>
      <c r="J605" s="313"/>
    </row>
    <row r="606">
      <c r="I606" s="313"/>
      <c r="J606" s="313"/>
    </row>
    <row r="607">
      <c r="I607" s="313"/>
      <c r="J607" s="313"/>
    </row>
    <row r="608">
      <c r="I608" s="313"/>
      <c r="J608" s="313"/>
    </row>
    <row r="609">
      <c r="I609" s="313"/>
      <c r="J609" s="313"/>
    </row>
    <row r="610">
      <c r="I610" s="313"/>
      <c r="J610" s="313"/>
    </row>
    <row r="611">
      <c r="I611" s="313"/>
      <c r="J611" s="313"/>
    </row>
    <row r="612">
      <c r="I612" s="313"/>
      <c r="J612" s="313"/>
    </row>
    <row r="613">
      <c r="I613" s="313"/>
      <c r="J613" s="313"/>
    </row>
    <row r="614">
      <c r="I614" s="313"/>
      <c r="J614" s="313"/>
    </row>
    <row r="615">
      <c r="I615" s="313"/>
      <c r="J615" s="313"/>
    </row>
    <row r="616">
      <c r="I616" s="313"/>
      <c r="J616" s="313"/>
    </row>
    <row r="617">
      <c r="I617" s="313"/>
      <c r="J617" s="313"/>
    </row>
    <row r="618">
      <c r="I618" s="313"/>
      <c r="J618" s="313"/>
    </row>
    <row r="619">
      <c r="I619" s="313"/>
      <c r="J619" s="313"/>
    </row>
    <row r="620">
      <c r="I620" s="313"/>
      <c r="J620" s="313"/>
    </row>
    <row r="621">
      <c r="I621" s="313"/>
      <c r="J621" s="313"/>
    </row>
    <row r="622">
      <c r="I622" s="313"/>
      <c r="J622" s="313"/>
    </row>
    <row r="623">
      <c r="I623" s="313"/>
      <c r="J623" s="313"/>
    </row>
    <row r="624">
      <c r="I624" s="313"/>
      <c r="J624" s="313"/>
    </row>
    <row r="625">
      <c r="I625" s="313"/>
      <c r="J625" s="313"/>
    </row>
    <row r="626">
      <c r="I626" s="313"/>
      <c r="J626" s="313"/>
    </row>
    <row r="627">
      <c r="I627" s="313"/>
      <c r="J627" s="313"/>
    </row>
    <row r="628">
      <c r="I628" s="313"/>
      <c r="J628" s="313"/>
    </row>
    <row r="629">
      <c r="I629" s="313"/>
      <c r="J629" s="313"/>
    </row>
    <row r="630">
      <c r="I630" s="313"/>
      <c r="J630" s="313"/>
    </row>
    <row r="631">
      <c r="I631" s="313"/>
      <c r="J631" s="313"/>
    </row>
    <row r="632">
      <c r="I632" s="313"/>
      <c r="J632" s="313"/>
    </row>
    <row r="633">
      <c r="I633" s="313"/>
      <c r="J633" s="313"/>
    </row>
    <row r="634">
      <c r="I634" s="313"/>
      <c r="J634" s="313"/>
    </row>
    <row r="635">
      <c r="I635" s="313"/>
      <c r="J635" s="313"/>
    </row>
    <row r="636">
      <c r="I636" s="313"/>
      <c r="J636" s="313"/>
    </row>
    <row r="637">
      <c r="I637" s="313"/>
      <c r="J637" s="313"/>
    </row>
    <row r="638">
      <c r="I638" s="313"/>
      <c r="J638" s="313"/>
    </row>
    <row r="639">
      <c r="I639" s="313"/>
      <c r="J639" s="313"/>
    </row>
    <row r="640">
      <c r="I640" s="313"/>
      <c r="J640" s="313"/>
    </row>
    <row r="641">
      <c r="I641" s="313"/>
      <c r="J641" s="313"/>
    </row>
    <row r="642">
      <c r="I642" s="313"/>
      <c r="J642" s="313"/>
    </row>
    <row r="643">
      <c r="I643" s="313"/>
      <c r="J643" s="313"/>
    </row>
    <row r="644">
      <c r="I644" s="313"/>
      <c r="J644" s="313"/>
    </row>
    <row r="645">
      <c r="I645" s="313"/>
      <c r="J645" s="313"/>
    </row>
    <row r="646">
      <c r="I646" s="313"/>
      <c r="J646" s="313"/>
    </row>
    <row r="647">
      <c r="I647" s="313"/>
      <c r="J647" s="313"/>
    </row>
    <row r="648">
      <c r="I648" s="313"/>
      <c r="J648" s="313"/>
    </row>
    <row r="649">
      <c r="I649" s="313"/>
      <c r="J649" s="313"/>
    </row>
    <row r="650">
      <c r="I650" s="313"/>
      <c r="J650" s="313"/>
    </row>
    <row r="651">
      <c r="I651" s="313"/>
      <c r="J651" s="313"/>
    </row>
    <row r="652">
      <c r="I652" s="313"/>
      <c r="J652" s="313"/>
    </row>
    <row r="653">
      <c r="I653" s="313"/>
      <c r="J653" s="313"/>
    </row>
    <row r="654">
      <c r="I654" s="313"/>
      <c r="J654" s="313"/>
    </row>
    <row r="655">
      <c r="I655" s="313"/>
      <c r="J655" s="313"/>
    </row>
    <row r="656">
      <c r="I656" s="313"/>
      <c r="J656" s="313"/>
    </row>
    <row r="657">
      <c r="I657" s="313"/>
      <c r="J657" s="313"/>
    </row>
    <row r="658">
      <c r="I658" s="313"/>
      <c r="J658" s="313"/>
    </row>
    <row r="659">
      <c r="I659" s="313"/>
      <c r="J659" s="313"/>
    </row>
    <row r="660">
      <c r="I660" s="313"/>
      <c r="J660" s="313"/>
    </row>
    <row r="661">
      <c r="I661" s="313"/>
      <c r="J661" s="313"/>
    </row>
    <row r="662">
      <c r="I662" s="313"/>
      <c r="J662" s="313"/>
    </row>
    <row r="663">
      <c r="I663" s="313"/>
      <c r="J663" s="313"/>
    </row>
    <row r="664">
      <c r="I664" s="313"/>
      <c r="J664" s="313"/>
    </row>
    <row r="665">
      <c r="I665" s="313"/>
      <c r="J665" s="313"/>
    </row>
    <row r="666">
      <c r="I666" s="313"/>
      <c r="J666" s="313"/>
    </row>
    <row r="667">
      <c r="I667" s="313"/>
      <c r="J667" s="313"/>
    </row>
    <row r="668">
      <c r="I668" s="313"/>
      <c r="J668" s="313"/>
    </row>
    <row r="669">
      <c r="I669" s="313"/>
      <c r="J669" s="313"/>
    </row>
    <row r="670">
      <c r="I670" s="313"/>
      <c r="J670" s="313"/>
    </row>
    <row r="671">
      <c r="I671" s="313"/>
      <c r="J671" s="313"/>
    </row>
    <row r="672">
      <c r="I672" s="313"/>
      <c r="J672" s="313"/>
    </row>
    <row r="673">
      <c r="I673" s="313"/>
      <c r="J673" s="313"/>
    </row>
    <row r="674">
      <c r="I674" s="313"/>
      <c r="J674" s="313"/>
    </row>
    <row r="675">
      <c r="I675" s="313"/>
      <c r="J675" s="313"/>
    </row>
    <row r="676">
      <c r="I676" s="313"/>
      <c r="J676" s="313"/>
    </row>
    <row r="677">
      <c r="I677" s="313"/>
      <c r="J677" s="313"/>
    </row>
    <row r="678">
      <c r="I678" s="313"/>
      <c r="J678" s="313"/>
    </row>
    <row r="679">
      <c r="I679" s="313"/>
      <c r="J679" s="313"/>
    </row>
    <row r="680">
      <c r="I680" s="313"/>
      <c r="J680" s="313"/>
    </row>
    <row r="681">
      <c r="I681" s="313"/>
      <c r="J681" s="313"/>
    </row>
    <row r="682">
      <c r="I682" s="313"/>
      <c r="J682" s="313"/>
    </row>
    <row r="683">
      <c r="I683" s="313"/>
      <c r="J683" s="313"/>
    </row>
    <row r="684">
      <c r="I684" s="313"/>
      <c r="J684" s="313"/>
    </row>
    <row r="685">
      <c r="I685" s="313"/>
      <c r="J685" s="313"/>
    </row>
    <row r="686">
      <c r="I686" s="313"/>
      <c r="J686" s="313"/>
    </row>
    <row r="687">
      <c r="I687" s="313"/>
      <c r="J687" s="313"/>
    </row>
    <row r="688">
      <c r="I688" s="313"/>
      <c r="J688" s="313"/>
    </row>
    <row r="689">
      <c r="I689" s="313"/>
      <c r="J689" s="313"/>
    </row>
    <row r="690">
      <c r="I690" s="313"/>
      <c r="J690" s="313"/>
    </row>
    <row r="691">
      <c r="I691" s="313"/>
      <c r="J691" s="313"/>
    </row>
    <row r="692">
      <c r="I692" s="313"/>
      <c r="J692" s="313"/>
    </row>
    <row r="693">
      <c r="I693" s="313"/>
      <c r="J693" s="313"/>
    </row>
    <row r="694">
      <c r="I694" s="313"/>
      <c r="J694" s="313"/>
    </row>
    <row r="695">
      <c r="I695" s="313"/>
      <c r="J695" s="313"/>
    </row>
    <row r="696">
      <c r="I696" s="313"/>
      <c r="J696" s="313"/>
    </row>
    <row r="697">
      <c r="I697" s="313"/>
      <c r="J697" s="313"/>
    </row>
    <row r="698">
      <c r="I698" s="313"/>
      <c r="J698" s="313"/>
    </row>
    <row r="699">
      <c r="I699" s="313"/>
      <c r="J699" s="313"/>
    </row>
    <row r="700">
      <c r="I700" s="313"/>
      <c r="J700" s="313"/>
    </row>
    <row r="701">
      <c r="I701" s="313"/>
      <c r="J701" s="313"/>
    </row>
    <row r="702">
      <c r="I702" s="313"/>
      <c r="J702" s="313"/>
    </row>
    <row r="703">
      <c r="I703" s="313"/>
      <c r="J703" s="313"/>
    </row>
    <row r="704">
      <c r="I704" s="313"/>
      <c r="J704" s="313"/>
    </row>
    <row r="705">
      <c r="I705" s="313"/>
      <c r="J705" s="313"/>
    </row>
    <row r="706">
      <c r="I706" s="313"/>
      <c r="J706" s="313"/>
    </row>
    <row r="707">
      <c r="I707" s="313"/>
      <c r="J707" s="313"/>
    </row>
    <row r="708">
      <c r="I708" s="313"/>
      <c r="J708" s="313"/>
    </row>
    <row r="709">
      <c r="I709" s="313"/>
      <c r="J709" s="313"/>
    </row>
    <row r="710">
      <c r="I710" s="313"/>
      <c r="J710" s="313"/>
    </row>
    <row r="711">
      <c r="I711" s="313"/>
      <c r="J711" s="313"/>
    </row>
    <row r="712">
      <c r="I712" s="313"/>
      <c r="J712" s="313"/>
    </row>
    <row r="713">
      <c r="I713" s="313"/>
      <c r="J713" s="313"/>
    </row>
    <row r="714">
      <c r="I714" s="313"/>
      <c r="J714" s="313"/>
    </row>
    <row r="715">
      <c r="I715" s="313"/>
      <c r="J715" s="313"/>
    </row>
    <row r="716">
      <c r="I716" s="313"/>
      <c r="J716" s="313"/>
    </row>
    <row r="717">
      <c r="I717" s="313"/>
      <c r="J717" s="313"/>
    </row>
    <row r="718">
      <c r="I718" s="313"/>
      <c r="J718" s="313"/>
    </row>
    <row r="719">
      <c r="I719" s="313"/>
      <c r="J719" s="313"/>
    </row>
    <row r="720">
      <c r="I720" s="313"/>
      <c r="J720" s="313"/>
    </row>
    <row r="721">
      <c r="I721" s="313"/>
      <c r="J721" s="313"/>
    </row>
    <row r="722">
      <c r="I722" s="313"/>
      <c r="J722" s="313"/>
    </row>
    <row r="723">
      <c r="I723" s="313"/>
      <c r="J723" s="313"/>
    </row>
    <row r="724">
      <c r="I724" s="313"/>
      <c r="J724" s="313"/>
    </row>
    <row r="725">
      <c r="I725" s="313"/>
      <c r="J725" s="313"/>
    </row>
    <row r="726">
      <c r="I726" s="313"/>
      <c r="J726" s="313"/>
    </row>
    <row r="727">
      <c r="I727" s="313"/>
      <c r="J727" s="313"/>
    </row>
    <row r="728">
      <c r="I728" s="313"/>
      <c r="J728" s="313"/>
    </row>
    <row r="729">
      <c r="I729" s="313"/>
      <c r="J729" s="313"/>
    </row>
    <row r="730">
      <c r="I730" s="313"/>
      <c r="J730" s="313"/>
    </row>
    <row r="731">
      <c r="I731" s="313"/>
      <c r="J731" s="313"/>
    </row>
    <row r="732">
      <c r="I732" s="313"/>
      <c r="J732" s="313"/>
    </row>
    <row r="733">
      <c r="I733" s="313"/>
      <c r="J733" s="313"/>
    </row>
    <row r="734">
      <c r="I734" s="313"/>
      <c r="J734" s="313"/>
    </row>
    <row r="735">
      <c r="I735" s="313"/>
      <c r="J735" s="313"/>
    </row>
    <row r="736">
      <c r="I736" s="313"/>
      <c r="J736" s="313"/>
    </row>
    <row r="737">
      <c r="I737" s="313"/>
      <c r="J737" s="313"/>
    </row>
    <row r="738">
      <c r="I738" s="313"/>
      <c r="J738" s="313"/>
    </row>
    <row r="739">
      <c r="I739" s="313"/>
      <c r="J739" s="313"/>
    </row>
    <row r="740">
      <c r="I740" s="313"/>
      <c r="J740" s="313"/>
    </row>
    <row r="741">
      <c r="I741" s="313"/>
      <c r="J741" s="313"/>
    </row>
    <row r="742">
      <c r="I742" s="313"/>
      <c r="J742" s="313"/>
    </row>
    <row r="743">
      <c r="I743" s="313"/>
      <c r="J743" s="313"/>
    </row>
    <row r="744">
      <c r="I744" s="313"/>
      <c r="J744" s="313"/>
    </row>
    <row r="745">
      <c r="I745" s="313"/>
      <c r="J745" s="313"/>
    </row>
    <row r="746">
      <c r="I746" s="313"/>
      <c r="J746" s="313"/>
    </row>
    <row r="747">
      <c r="I747" s="313"/>
      <c r="J747" s="313"/>
    </row>
    <row r="748">
      <c r="I748" s="313"/>
      <c r="J748" s="313"/>
    </row>
    <row r="749">
      <c r="I749" s="313"/>
      <c r="J749" s="313"/>
    </row>
    <row r="750">
      <c r="I750" s="313"/>
      <c r="J750" s="313"/>
    </row>
    <row r="751">
      <c r="I751" s="313"/>
      <c r="J751" s="313"/>
    </row>
    <row r="752">
      <c r="I752" s="313"/>
      <c r="J752" s="313"/>
    </row>
    <row r="753">
      <c r="I753" s="313"/>
      <c r="J753" s="313"/>
    </row>
    <row r="754">
      <c r="I754" s="313"/>
      <c r="J754" s="313"/>
    </row>
    <row r="755">
      <c r="I755" s="313"/>
      <c r="J755" s="313"/>
    </row>
    <row r="756">
      <c r="I756" s="313"/>
      <c r="J756" s="313"/>
    </row>
    <row r="757">
      <c r="I757" s="313"/>
      <c r="J757" s="313"/>
    </row>
    <row r="758">
      <c r="I758" s="313"/>
      <c r="J758" s="313"/>
    </row>
    <row r="759">
      <c r="I759" s="313"/>
      <c r="J759" s="313"/>
    </row>
    <row r="760">
      <c r="I760" s="313"/>
      <c r="J760" s="313"/>
    </row>
    <row r="761">
      <c r="I761" s="313"/>
      <c r="J761" s="313"/>
    </row>
    <row r="762">
      <c r="I762" s="313"/>
      <c r="J762" s="313"/>
    </row>
    <row r="763">
      <c r="I763" s="313"/>
      <c r="J763" s="313"/>
    </row>
    <row r="764">
      <c r="I764" s="313"/>
      <c r="J764" s="313"/>
    </row>
    <row r="765">
      <c r="I765" s="313"/>
      <c r="J765" s="313"/>
    </row>
    <row r="766">
      <c r="I766" s="313"/>
      <c r="J766" s="313"/>
    </row>
    <row r="767">
      <c r="I767" s="313"/>
      <c r="J767" s="313"/>
    </row>
    <row r="768">
      <c r="I768" s="313"/>
      <c r="J768" s="313"/>
    </row>
    <row r="769">
      <c r="I769" s="313"/>
      <c r="J769" s="313"/>
    </row>
    <row r="770">
      <c r="I770" s="313"/>
      <c r="J770" s="313"/>
    </row>
    <row r="771">
      <c r="I771" s="313"/>
      <c r="J771" s="313"/>
    </row>
    <row r="772">
      <c r="I772" s="313"/>
      <c r="J772" s="313"/>
    </row>
    <row r="773">
      <c r="I773" s="313"/>
      <c r="J773" s="313"/>
    </row>
    <row r="774">
      <c r="I774" s="313"/>
      <c r="J774" s="313"/>
    </row>
    <row r="775">
      <c r="I775" s="313"/>
      <c r="J775" s="313"/>
    </row>
    <row r="776">
      <c r="I776" s="313"/>
      <c r="J776" s="313"/>
    </row>
    <row r="777">
      <c r="I777" s="313"/>
      <c r="J777" s="313"/>
    </row>
    <row r="778">
      <c r="I778" s="313"/>
      <c r="J778" s="313"/>
    </row>
    <row r="779">
      <c r="I779" s="313"/>
      <c r="J779" s="313"/>
    </row>
    <row r="780">
      <c r="I780" s="313"/>
      <c r="J780" s="313"/>
    </row>
    <row r="781">
      <c r="I781" s="313"/>
      <c r="J781" s="313"/>
    </row>
    <row r="782">
      <c r="I782" s="313"/>
      <c r="J782" s="313"/>
    </row>
    <row r="783">
      <c r="I783" s="313"/>
      <c r="J783" s="313"/>
    </row>
    <row r="784">
      <c r="I784" s="313"/>
      <c r="J784" s="313"/>
    </row>
    <row r="785">
      <c r="I785" s="313"/>
      <c r="J785" s="313"/>
    </row>
    <row r="786">
      <c r="I786" s="313"/>
      <c r="J786" s="313"/>
    </row>
    <row r="787">
      <c r="I787" s="313"/>
      <c r="J787" s="313"/>
    </row>
    <row r="788">
      <c r="I788" s="313"/>
      <c r="J788" s="313"/>
    </row>
    <row r="789">
      <c r="I789" s="313"/>
      <c r="J789" s="313"/>
    </row>
    <row r="790">
      <c r="I790" s="313"/>
      <c r="J790" s="313"/>
    </row>
    <row r="791">
      <c r="I791" s="313"/>
      <c r="J791" s="313"/>
    </row>
    <row r="792">
      <c r="I792" s="313"/>
      <c r="J792" s="313"/>
    </row>
    <row r="793">
      <c r="I793" s="313"/>
      <c r="J793" s="313"/>
    </row>
    <row r="794">
      <c r="I794" s="313"/>
      <c r="J794" s="313"/>
    </row>
    <row r="795">
      <c r="I795" s="313"/>
      <c r="J795" s="313"/>
    </row>
    <row r="796">
      <c r="I796" s="313"/>
      <c r="J796" s="313"/>
    </row>
    <row r="797">
      <c r="I797" s="313"/>
      <c r="J797" s="313"/>
    </row>
    <row r="798">
      <c r="I798" s="313"/>
      <c r="J798" s="313"/>
    </row>
    <row r="799">
      <c r="I799" s="313"/>
      <c r="J799" s="313"/>
    </row>
    <row r="800">
      <c r="I800" s="313"/>
      <c r="J800" s="313"/>
    </row>
    <row r="801">
      <c r="I801" s="313"/>
      <c r="J801" s="313"/>
    </row>
    <row r="802">
      <c r="I802" s="313"/>
      <c r="J802" s="313"/>
    </row>
    <row r="803">
      <c r="I803" s="313"/>
      <c r="J803" s="313"/>
    </row>
    <row r="804">
      <c r="I804" s="313"/>
      <c r="J804" s="313"/>
    </row>
    <row r="805">
      <c r="I805" s="313"/>
      <c r="J805" s="313"/>
    </row>
    <row r="806">
      <c r="I806" s="313"/>
      <c r="J806" s="313"/>
    </row>
    <row r="807">
      <c r="I807" s="313"/>
      <c r="J807" s="313"/>
    </row>
    <row r="808">
      <c r="I808" s="313"/>
      <c r="J808" s="313"/>
    </row>
    <row r="809">
      <c r="I809" s="313"/>
      <c r="J809" s="313"/>
    </row>
    <row r="810">
      <c r="I810" s="313"/>
      <c r="J810" s="313"/>
    </row>
    <row r="811">
      <c r="I811" s="313"/>
      <c r="J811" s="313"/>
    </row>
    <row r="812">
      <c r="I812" s="313"/>
      <c r="J812" s="313"/>
    </row>
    <row r="813">
      <c r="I813" s="313"/>
      <c r="J813" s="313"/>
    </row>
    <row r="814">
      <c r="I814" s="313"/>
      <c r="J814" s="313"/>
    </row>
    <row r="815">
      <c r="I815" s="313"/>
      <c r="J815" s="313"/>
    </row>
    <row r="816">
      <c r="I816" s="313"/>
      <c r="J816" s="313"/>
    </row>
    <row r="817">
      <c r="I817" s="313"/>
      <c r="J817" s="313"/>
    </row>
    <row r="818">
      <c r="I818" s="313"/>
      <c r="J818" s="313"/>
    </row>
    <row r="819">
      <c r="I819" s="313"/>
      <c r="J819" s="313"/>
    </row>
    <row r="820">
      <c r="I820" s="313"/>
      <c r="J820" s="313"/>
    </row>
    <row r="821">
      <c r="I821" s="313"/>
      <c r="J821" s="313"/>
    </row>
    <row r="822">
      <c r="I822" s="313"/>
      <c r="J822" s="313"/>
    </row>
    <row r="823">
      <c r="I823" s="313"/>
      <c r="J823" s="313"/>
    </row>
    <row r="824">
      <c r="I824" s="313"/>
      <c r="J824" s="313"/>
    </row>
    <row r="825">
      <c r="I825" s="313"/>
      <c r="J825" s="313"/>
    </row>
    <row r="826">
      <c r="I826" s="313"/>
      <c r="J826" s="313"/>
    </row>
    <row r="827">
      <c r="I827" s="313"/>
      <c r="J827" s="313"/>
    </row>
    <row r="828">
      <c r="I828" s="313"/>
      <c r="J828" s="313"/>
    </row>
    <row r="829">
      <c r="I829" s="313"/>
      <c r="J829" s="313"/>
    </row>
    <row r="830">
      <c r="I830" s="313"/>
      <c r="J830" s="313"/>
    </row>
    <row r="831">
      <c r="I831" s="313"/>
      <c r="J831" s="313"/>
    </row>
    <row r="832">
      <c r="I832" s="313"/>
      <c r="J832" s="313"/>
    </row>
    <row r="833">
      <c r="I833" s="313"/>
      <c r="J833" s="313"/>
    </row>
    <row r="834">
      <c r="I834" s="313"/>
      <c r="J834" s="313"/>
    </row>
    <row r="835">
      <c r="I835" s="313"/>
      <c r="J835" s="313"/>
    </row>
    <row r="836">
      <c r="I836" s="313"/>
      <c r="J836" s="313"/>
    </row>
    <row r="837">
      <c r="I837" s="313"/>
      <c r="J837" s="313"/>
    </row>
    <row r="838">
      <c r="I838" s="313"/>
      <c r="J838" s="313"/>
    </row>
    <row r="839">
      <c r="I839" s="313"/>
      <c r="J839" s="313"/>
    </row>
    <row r="840">
      <c r="I840" s="313"/>
      <c r="J840" s="313"/>
    </row>
    <row r="841">
      <c r="I841" s="313"/>
      <c r="J841" s="313"/>
    </row>
    <row r="842">
      <c r="I842" s="313"/>
      <c r="J842" s="313"/>
    </row>
    <row r="843">
      <c r="I843" s="313"/>
      <c r="J843" s="313"/>
    </row>
    <row r="844">
      <c r="I844" s="313"/>
      <c r="J844" s="313"/>
    </row>
    <row r="845">
      <c r="I845" s="313"/>
      <c r="J845" s="313"/>
    </row>
    <row r="846">
      <c r="I846" s="313"/>
      <c r="J846" s="313"/>
    </row>
    <row r="847">
      <c r="I847" s="313"/>
      <c r="J847" s="313"/>
    </row>
    <row r="848">
      <c r="I848" s="313"/>
      <c r="J848" s="313"/>
    </row>
    <row r="849">
      <c r="I849" s="313"/>
      <c r="J849" s="313"/>
    </row>
    <row r="850">
      <c r="I850" s="313"/>
      <c r="J850" s="313"/>
    </row>
    <row r="851">
      <c r="I851" s="313"/>
      <c r="J851" s="313"/>
    </row>
    <row r="852">
      <c r="I852" s="313"/>
      <c r="J852" s="313"/>
    </row>
    <row r="853">
      <c r="I853" s="313"/>
      <c r="J853" s="313"/>
    </row>
    <row r="854">
      <c r="I854" s="313"/>
      <c r="J854" s="313"/>
    </row>
    <row r="855">
      <c r="I855" s="313"/>
      <c r="J855" s="313"/>
    </row>
    <row r="856">
      <c r="I856" s="313"/>
      <c r="J856" s="313"/>
    </row>
    <row r="857">
      <c r="I857" s="313"/>
      <c r="J857" s="313"/>
    </row>
    <row r="858">
      <c r="I858" s="313"/>
      <c r="J858" s="313"/>
    </row>
    <row r="859">
      <c r="I859" s="313"/>
      <c r="J859" s="313"/>
    </row>
    <row r="860">
      <c r="I860" s="313"/>
      <c r="J860" s="313"/>
    </row>
    <row r="861">
      <c r="I861" s="313"/>
      <c r="J861" s="313"/>
    </row>
    <row r="862">
      <c r="I862" s="313"/>
      <c r="J862" s="313"/>
    </row>
    <row r="863">
      <c r="I863" s="313"/>
      <c r="J863" s="313"/>
    </row>
    <row r="864">
      <c r="I864" s="313"/>
      <c r="J864" s="313"/>
    </row>
    <row r="865">
      <c r="I865" s="313"/>
      <c r="J865" s="313"/>
    </row>
    <row r="866">
      <c r="I866" s="313"/>
      <c r="J866" s="313"/>
    </row>
    <row r="867">
      <c r="I867" s="313"/>
      <c r="J867" s="313"/>
    </row>
    <row r="868">
      <c r="I868" s="313"/>
      <c r="J868" s="313"/>
    </row>
    <row r="869">
      <c r="I869" s="313"/>
      <c r="J869" s="313"/>
    </row>
    <row r="870">
      <c r="I870" s="313"/>
      <c r="J870" s="313"/>
    </row>
    <row r="871">
      <c r="I871" s="313"/>
      <c r="J871" s="313"/>
    </row>
    <row r="872">
      <c r="I872" s="313"/>
      <c r="J872" s="313"/>
    </row>
    <row r="873">
      <c r="I873" s="313"/>
      <c r="J873" s="313"/>
    </row>
    <row r="874">
      <c r="I874" s="313"/>
      <c r="J874" s="313"/>
    </row>
    <row r="875">
      <c r="I875" s="313"/>
      <c r="J875" s="313"/>
    </row>
    <row r="876">
      <c r="I876" s="313"/>
      <c r="J876" s="313"/>
    </row>
    <row r="877">
      <c r="I877" s="313"/>
      <c r="J877" s="313"/>
    </row>
    <row r="878">
      <c r="I878" s="313"/>
      <c r="J878" s="313"/>
    </row>
    <row r="879">
      <c r="I879" s="313"/>
      <c r="J879" s="313"/>
    </row>
    <row r="880">
      <c r="I880" s="313"/>
      <c r="J880" s="313"/>
    </row>
    <row r="881">
      <c r="I881" s="313"/>
      <c r="J881" s="313"/>
    </row>
    <row r="882">
      <c r="I882" s="313"/>
      <c r="J882" s="313"/>
    </row>
    <row r="883">
      <c r="I883" s="313"/>
      <c r="J883" s="313"/>
    </row>
    <row r="884">
      <c r="I884" s="313"/>
      <c r="J884" s="313"/>
    </row>
    <row r="885">
      <c r="I885" s="313"/>
      <c r="J885" s="313"/>
    </row>
    <row r="886">
      <c r="I886" s="313"/>
      <c r="J886" s="313"/>
    </row>
    <row r="887">
      <c r="I887" s="313"/>
      <c r="J887" s="313"/>
    </row>
    <row r="888">
      <c r="I888" s="313"/>
      <c r="J888" s="313"/>
    </row>
    <row r="889">
      <c r="I889" s="313"/>
      <c r="J889" s="313"/>
    </row>
    <row r="890">
      <c r="I890" s="313"/>
      <c r="J890" s="313"/>
    </row>
    <row r="891">
      <c r="I891" s="313"/>
      <c r="J891" s="313"/>
    </row>
    <row r="892">
      <c r="I892" s="313"/>
      <c r="J892" s="313"/>
    </row>
    <row r="893">
      <c r="I893" s="313"/>
      <c r="J893" s="313"/>
    </row>
    <row r="894">
      <c r="I894" s="313"/>
      <c r="J894" s="313"/>
    </row>
    <row r="895">
      <c r="I895" s="313"/>
      <c r="J895" s="313"/>
    </row>
    <row r="896">
      <c r="I896" s="313"/>
      <c r="J896" s="313"/>
    </row>
    <row r="897">
      <c r="I897" s="313"/>
      <c r="J897" s="313"/>
    </row>
    <row r="898">
      <c r="I898" s="313"/>
      <c r="J898" s="313"/>
    </row>
    <row r="899">
      <c r="I899" s="313"/>
      <c r="J899" s="313"/>
    </row>
    <row r="900">
      <c r="I900" s="313"/>
      <c r="J900" s="313"/>
    </row>
    <row r="901">
      <c r="I901" s="313"/>
      <c r="J901" s="313"/>
    </row>
    <row r="902">
      <c r="I902" s="313"/>
      <c r="J902" s="313"/>
    </row>
    <row r="903">
      <c r="I903" s="313"/>
      <c r="J903" s="313"/>
    </row>
    <row r="904">
      <c r="I904" s="313"/>
      <c r="J904" s="313"/>
    </row>
    <row r="905">
      <c r="I905" s="313"/>
      <c r="J905" s="313"/>
    </row>
    <row r="906">
      <c r="I906" s="313"/>
      <c r="J906" s="313"/>
    </row>
    <row r="907">
      <c r="I907" s="313"/>
      <c r="J907" s="313"/>
    </row>
    <row r="908">
      <c r="I908" s="313"/>
      <c r="J908" s="313"/>
    </row>
    <row r="909">
      <c r="I909" s="313"/>
      <c r="J909" s="313"/>
    </row>
    <row r="910">
      <c r="I910" s="313"/>
      <c r="J910" s="313"/>
    </row>
    <row r="911">
      <c r="I911" s="313"/>
      <c r="J911" s="313"/>
    </row>
    <row r="912">
      <c r="I912" s="313"/>
      <c r="J912" s="313"/>
    </row>
    <row r="913">
      <c r="I913" s="313"/>
      <c r="J913" s="313"/>
    </row>
    <row r="914">
      <c r="I914" s="313"/>
      <c r="J914" s="313"/>
    </row>
    <row r="915">
      <c r="I915" s="313"/>
      <c r="J915" s="313"/>
    </row>
    <row r="916">
      <c r="I916" s="313"/>
      <c r="J916" s="313"/>
    </row>
    <row r="917">
      <c r="I917" s="313"/>
      <c r="J917" s="313"/>
    </row>
    <row r="918">
      <c r="I918" s="313"/>
      <c r="J918" s="313"/>
    </row>
    <row r="919">
      <c r="I919" s="313"/>
      <c r="J919" s="313"/>
    </row>
    <row r="920">
      <c r="I920" s="313"/>
      <c r="J920" s="313"/>
    </row>
    <row r="921">
      <c r="I921" s="313"/>
      <c r="J921" s="313"/>
    </row>
    <row r="922">
      <c r="I922" s="313"/>
      <c r="J922" s="313"/>
    </row>
    <row r="923">
      <c r="I923" s="313"/>
      <c r="J923" s="313"/>
    </row>
    <row r="924">
      <c r="I924" s="313"/>
      <c r="J924" s="313"/>
    </row>
    <row r="925">
      <c r="I925" s="313"/>
      <c r="J925" s="313"/>
    </row>
    <row r="926">
      <c r="I926" s="313"/>
      <c r="J926" s="313"/>
    </row>
    <row r="927">
      <c r="I927" s="313"/>
      <c r="J927" s="313"/>
    </row>
    <row r="928">
      <c r="I928" s="313"/>
      <c r="J928" s="313"/>
    </row>
    <row r="929">
      <c r="I929" s="313"/>
      <c r="J929" s="313"/>
    </row>
    <row r="930">
      <c r="I930" s="313"/>
      <c r="J930" s="313"/>
    </row>
    <row r="931">
      <c r="I931" s="313"/>
      <c r="J931" s="313"/>
    </row>
    <row r="932">
      <c r="I932" s="313"/>
      <c r="J932" s="313"/>
    </row>
    <row r="933">
      <c r="I933" s="313"/>
      <c r="J933" s="313"/>
    </row>
    <row r="934">
      <c r="I934" s="313"/>
      <c r="J934" s="313"/>
    </row>
    <row r="935">
      <c r="I935" s="313"/>
      <c r="J935" s="313"/>
    </row>
    <row r="936">
      <c r="I936" s="313"/>
      <c r="J936" s="313"/>
    </row>
    <row r="937">
      <c r="I937" s="313"/>
      <c r="J937" s="313"/>
    </row>
    <row r="938">
      <c r="I938" s="313"/>
      <c r="J938" s="313"/>
    </row>
    <row r="939">
      <c r="I939" s="313"/>
      <c r="J939" s="313"/>
    </row>
    <row r="940">
      <c r="I940" s="313"/>
      <c r="J940" s="313"/>
    </row>
    <row r="941">
      <c r="I941" s="313"/>
      <c r="J941" s="313"/>
    </row>
    <row r="942">
      <c r="I942" s="313"/>
      <c r="J942" s="313"/>
    </row>
    <row r="943">
      <c r="I943" s="313"/>
      <c r="J943" s="313"/>
    </row>
    <row r="944">
      <c r="I944" s="313"/>
      <c r="J944" s="313"/>
    </row>
    <row r="945">
      <c r="I945" s="313"/>
      <c r="J945" s="313"/>
    </row>
    <row r="946">
      <c r="I946" s="313"/>
      <c r="J946" s="313"/>
    </row>
    <row r="947">
      <c r="I947" s="313"/>
      <c r="J947" s="313"/>
    </row>
    <row r="948">
      <c r="I948" s="313"/>
      <c r="J948" s="313"/>
    </row>
    <row r="949">
      <c r="I949" s="313"/>
      <c r="J949" s="313"/>
    </row>
    <row r="950">
      <c r="I950" s="313"/>
      <c r="J950" s="313"/>
    </row>
    <row r="951">
      <c r="I951" s="313"/>
      <c r="J951" s="313"/>
    </row>
    <row r="952">
      <c r="I952" s="313"/>
      <c r="J952" s="313"/>
    </row>
    <row r="953">
      <c r="I953" s="313"/>
      <c r="J953" s="313"/>
    </row>
    <row r="954">
      <c r="I954" s="313"/>
      <c r="J954" s="313"/>
    </row>
    <row r="955">
      <c r="I955" s="313"/>
      <c r="J955" s="313"/>
    </row>
    <row r="956">
      <c r="I956" s="313"/>
      <c r="J956" s="313"/>
    </row>
    <row r="957">
      <c r="I957" s="313"/>
      <c r="J957" s="313"/>
    </row>
    <row r="958">
      <c r="I958" s="313"/>
      <c r="J958" s="313"/>
    </row>
    <row r="959">
      <c r="I959" s="313"/>
      <c r="J959" s="313"/>
    </row>
    <row r="960">
      <c r="I960" s="313"/>
      <c r="J960" s="313"/>
    </row>
    <row r="961">
      <c r="I961" s="313"/>
      <c r="J961" s="313"/>
    </row>
    <row r="962">
      <c r="I962" s="313"/>
      <c r="J962" s="313"/>
    </row>
    <row r="963">
      <c r="I963" s="313"/>
      <c r="J963" s="313"/>
    </row>
    <row r="964">
      <c r="I964" s="313"/>
      <c r="J964" s="313"/>
    </row>
    <row r="965">
      <c r="I965" s="313"/>
      <c r="J965" s="313"/>
    </row>
    <row r="966">
      <c r="I966" s="313"/>
      <c r="J966" s="313"/>
    </row>
    <row r="967">
      <c r="I967" s="313"/>
      <c r="J967" s="313"/>
    </row>
    <row r="968">
      <c r="I968" s="313"/>
      <c r="J968" s="313"/>
    </row>
    <row r="969">
      <c r="I969" s="313"/>
      <c r="J969" s="313"/>
    </row>
    <row r="970">
      <c r="I970" s="313"/>
      <c r="J970" s="313"/>
    </row>
    <row r="971">
      <c r="I971" s="313"/>
      <c r="J971" s="313"/>
    </row>
    <row r="972">
      <c r="I972" s="313"/>
      <c r="J972" s="313"/>
    </row>
    <row r="973">
      <c r="I973" s="313"/>
      <c r="J973" s="313"/>
    </row>
    <row r="974">
      <c r="I974" s="313"/>
      <c r="J974" s="313"/>
    </row>
    <row r="975">
      <c r="I975" s="313"/>
      <c r="J975" s="313"/>
    </row>
    <row r="976">
      <c r="I976" s="313"/>
      <c r="J976" s="313"/>
    </row>
    <row r="977">
      <c r="I977" s="313"/>
      <c r="J977" s="313"/>
    </row>
    <row r="978">
      <c r="I978" s="313"/>
      <c r="J978" s="313"/>
    </row>
    <row r="979">
      <c r="I979" s="313"/>
      <c r="J979" s="313"/>
    </row>
    <row r="980">
      <c r="I980" s="313"/>
      <c r="J980" s="313"/>
    </row>
    <row r="981">
      <c r="I981" s="313"/>
      <c r="J981" s="313"/>
    </row>
    <row r="982">
      <c r="I982" s="313"/>
      <c r="J982" s="313"/>
    </row>
    <row r="983">
      <c r="I983" s="313"/>
      <c r="J983" s="313"/>
    </row>
    <row r="984">
      <c r="I984" s="313"/>
      <c r="J984" s="313"/>
    </row>
    <row r="985">
      <c r="I985" s="313"/>
      <c r="J985" s="313"/>
    </row>
    <row r="986">
      <c r="I986" s="313"/>
      <c r="J986" s="313"/>
    </row>
    <row r="987">
      <c r="I987" s="313"/>
      <c r="J987" s="313"/>
    </row>
    <row r="988">
      <c r="I988" s="313"/>
      <c r="J988" s="313"/>
    </row>
    <row r="989">
      <c r="I989" s="313"/>
      <c r="J989" s="313"/>
    </row>
    <row r="990">
      <c r="I990" s="313"/>
      <c r="J990" s="313"/>
    </row>
    <row r="991">
      <c r="I991" s="313"/>
      <c r="J991" s="313"/>
    </row>
    <row r="992">
      <c r="I992" s="313"/>
      <c r="J992" s="313"/>
    </row>
    <row r="993">
      <c r="I993" s="313"/>
      <c r="J993" s="313"/>
    </row>
    <row r="994">
      <c r="I994" s="313"/>
      <c r="J994" s="313"/>
    </row>
    <row r="995">
      <c r="I995" s="313"/>
      <c r="J995" s="313"/>
    </row>
    <row r="996">
      <c r="I996" s="313"/>
      <c r="J996" s="313"/>
    </row>
    <row r="997">
      <c r="I997" s="313"/>
      <c r="J997" s="313"/>
    </row>
    <row r="998">
      <c r="I998" s="313"/>
      <c r="J998" s="313"/>
    </row>
    <row r="999">
      <c r="I999" s="313"/>
      <c r="J999" s="313"/>
    </row>
    <row r="1000">
      <c r="I1000" s="313"/>
      <c r="J1000" s="313"/>
    </row>
    <row r="1001">
      <c r="I1001" s="313"/>
      <c r="J1001" s="313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320" t="s">
        <v>1194</v>
      </c>
      <c r="B1" s="64"/>
      <c r="C1" s="320" t="s">
        <v>1198</v>
      </c>
      <c r="D1" s="64"/>
      <c r="E1" s="320" t="s">
        <v>6</v>
      </c>
      <c r="F1" s="64"/>
      <c r="G1" s="320" t="s">
        <v>12</v>
      </c>
      <c r="H1" s="64"/>
      <c r="I1" s="186"/>
      <c r="J1" s="321" t="s">
        <v>2986</v>
      </c>
      <c r="K1" s="321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ht="22.5" customHeight="1">
      <c r="A2" s="322" t="s">
        <v>1225</v>
      </c>
      <c r="B2" s="64"/>
      <c r="C2" s="323" t="s">
        <v>1562</v>
      </c>
      <c r="D2" s="64"/>
      <c r="E2" s="324" t="s">
        <v>22</v>
      </c>
      <c r="F2" s="64"/>
      <c r="G2" s="324" t="s">
        <v>1688</v>
      </c>
      <c r="H2" s="64"/>
      <c r="I2" s="64"/>
      <c r="J2" s="325" t="s">
        <v>2987</v>
      </c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ht="22.5" customHeight="1">
      <c r="A3" s="326" t="s">
        <v>1674</v>
      </c>
      <c r="B3" s="64"/>
      <c r="C3" s="327" t="s">
        <v>1640</v>
      </c>
      <c r="D3" s="64"/>
      <c r="E3" s="326" t="s">
        <v>290</v>
      </c>
      <c r="F3" s="64"/>
      <c r="G3" s="326" t="s">
        <v>1689</v>
      </c>
      <c r="H3" s="64"/>
      <c r="I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ht="22.5" customHeight="1">
      <c r="A4" s="324" t="s">
        <v>1807</v>
      </c>
      <c r="B4" s="64"/>
      <c r="C4" s="328" t="s">
        <v>1896</v>
      </c>
      <c r="D4" s="64"/>
      <c r="E4" s="324" t="s">
        <v>661</v>
      </c>
      <c r="F4" s="64"/>
      <c r="G4" s="64"/>
      <c r="H4" s="64"/>
      <c r="I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ht="22.5" customHeight="1">
      <c r="A5" s="326" t="s">
        <v>1812</v>
      </c>
      <c r="B5" s="64"/>
      <c r="C5" s="328" t="s">
        <v>1642</v>
      </c>
      <c r="D5" s="64"/>
      <c r="E5" s="326" t="s">
        <v>643</v>
      </c>
      <c r="F5" s="64"/>
      <c r="G5" s="64"/>
      <c r="H5" s="64"/>
      <c r="I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ht="22.5" customHeight="1">
      <c r="A6" s="324" t="s">
        <v>1821</v>
      </c>
      <c r="B6" s="64"/>
      <c r="C6" s="327" t="s">
        <v>1646</v>
      </c>
      <c r="D6" s="64"/>
      <c r="E6" s="324" t="s">
        <v>616</v>
      </c>
      <c r="F6" s="64"/>
      <c r="G6" s="64"/>
      <c r="H6" s="64"/>
      <c r="I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ht="22.5" customHeight="1">
      <c r="A7" s="326" t="s">
        <v>370</v>
      </c>
      <c r="B7" s="64"/>
      <c r="C7" s="323" t="s">
        <v>1651</v>
      </c>
      <c r="D7" s="64"/>
      <c r="E7" s="64"/>
      <c r="F7" s="64"/>
      <c r="G7" s="64"/>
      <c r="H7" s="64"/>
      <c r="I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ht="22.5" customHeight="1">
      <c r="A8" s="324" t="s">
        <v>1830</v>
      </c>
      <c r="B8" s="64"/>
      <c r="C8" s="327" t="s">
        <v>1653</v>
      </c>
      <c r="D8" s="64"/>
      <c r="E8" s="64"/>
      <c r="F8" s="64"/>
      <c r="G8" s="64"/>
      <c r="H8" s="64"/>
      <c r="I8" s="64"/>
      <c r="J8" s="329"/>
      <c r="K8" s="329"/>
      <c r="L8" s="329"/>
      <c r="M8" s="329"/>
      <c r="N8" s="329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ht="22.5" customHeight="1">
      <c r="A9" s="326" t="s">
        <v>1844</v>
      </c>
      <c r="B9" s="64"/>
      <c r="C9" s="323" t="s">
        <v>1675</v>
      </c>
      <c r="D9" s="64"/>
      <c r="E9" s="64"/>
      <c r="F9" s="64"/>
      <c r="G9" s="64"/>
      <c r="H9" s="64"/>
      <c r="I9" s="64"/>
      <c r="J9" s="329"/>
      <c r="K9" s="329"/>
      <c r="L9" s="329"/>
      <c r="M9" s="329"/>
      <c r="N9" s="329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ht="22.5" customHeight="1">
      <c r="A10" s="324" t="s">
        <v>1833</v>
      </c>
      <c r="B10" s="64"/>
      <c r="C10" s="327" t="s">
        <v>1691</v>
      </c>
      <c r="D10" s="64"/>
      <c r="E10" s="64"/>
      <c r="F10" s="64"/>
      <c r="G10" s="64"/>
      <c r="H10" s="64"/>
      <c r="I10" s="64"/>
      <c r="J10" s="329"/>
      <c r="K10" s="329"/>
      <c r="L10" s="329"/>
      <c r="M10" s="329"/>
      <c r="N10" s="329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22.5" customHeight="1">
      <c r="A11" s="64"/>
      <c r="B11" s="64"/>
      <c r="C11" s="323" t="s">
        <v>1807</v>
      </c>
      <c r="D11" s="64"/>
      <c r="E11" s="64"/>
      <c r="F11" s="64"/>
      <c r="G11" s="64"/>
      <c r="H11" s="64"/>
      <c r="I11" s="64"/>
      <c r="J11" s="329"/>
      <c r="K11" s="329"/>
      <c r="L11" s="329"/>
      <c r="M11" s="329"/>
      <c r="N11" s="329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ht="22.5" customHeight="1">
      <c r="A12" s="64"/>
      <c r="B12" s="64"/>
      <c r="C12" s="327" t="s">
        <v>1815</v>
      </c>
      <c r="D12" s="64"/>
      <c r="E12" s="64"/>
      <c r="F12" s="64"/>
      <c r="G12" s="64"/>
      <c r="H12" s="64"/>
      <c r="I12" s="64"/>
      <c r="J12" s="329"/>
      <c r="K12" s="329"/>
      <c r="L12" s="329"/>
      <c r="M12" s="329"/>
      <c r="N12" s="329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ht="22.5" customHeight="1">
      <c r="A13" s="64"/>
      <c r="B13" s="64"/>
      <c r="C13" s="328" t="s">
        <v>2125</v>
      </c>
      <c r="D13" s="64"/>
      <c r="E13" s="64"/>
      <c r="F13" s="64"/>
      <c r="G13" s="64"/>
      <c r="H13" s="64"/>
      <c r="I13" s="64"/>
      <c r="J13" s="329"/>
      <c r="K13" s="329"/>
      <c r="L13" s="329"/>
      <c r="M13" s="329"/>
      <c r="N13" s="329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ht="22.5" customHeight="1">
      <c r="A14" s="64"/>
      <c r="B14" s="64"/>
      <c r="C14" s="323" t="s">
        <v>1813</v>
      </c>
      <c r="D14" s="64"/>
      <c r="E14" s="64"/>
      <c r="F14" s="64"/>
      <c r="G14" s="64"/>
      <c r="H14" s="64"/>
      <c r="I14" s="64"/>
      <c r="J14" s="329"/>
      <c r="K14" s="329"/>
      <c r="L14" s="329"/>
      <c r="M14" s="329"/>
      <c r="N14" s="329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ht="22.5" customHeight="1">
      <c r="A15" s="64"/>
      <c r="B15" s="64"/>
      <c r="C15" s="327" t="s">
        <v>1831</v>
      </c>
      <c r="D15" s="64"/>
      <c r="E15" s="64"/>
      <c r="F15" s="64"/>
      <c r="G15" s="64"/>
      <c r="H15" s="64"/>
      <c r="I15" s="64"/>
      <c r="J15" s="329"/>
      <c r="K15" s="329"/>
      <c r="L15" s="329"/>
      <c r="M15" s="329"/>
      <c r="N15" s="329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ht="22.5" customHeight="1">
      <c r="A16" s="64"/>
      <c r="B16" s="64"/>
      <c r="C16" s="323" t="s">
        <v>2989</v>
      </c>
      <c r="D16" s="64"/>
      <c r="E16" s="64"/>
      <c r="F16" s="64"/>
      <c r="G16" s="64"/>
      <c r="H16" s="64"/>
      <c r="I16" s="64"/>
      <c r="J16" s="329"/>
      <c r="K16" s="329"/>
      <c r="L16" s="329"/>
      <c r="M16" s="329"/>
      <c r="N16" s="329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ht="22.5" customHeight="1">
      <c r="A17" s="64"/>
      <c r="B17" s="64"/>
      <c r="C17" s="327" t="s">
        <v>1821</v>
      </c>
      <c r="D17" s="64"/>
      <c r="E17" s="64"/>
      <c r="F17" s="64"/>
      <c r="G17" s="64"/>
      <c r="H17" s="64"/>
      <c r="I17" s="64"/>
      <c r="J17" s="329"/>
      <c r="K17" s="329"/>
      <c r="L17" s="329"/>
      <c r="M17" s="329"/>
      <c r="N17" s="329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ht="22.5" customHeight="1">
      <c r="A18" s="64"/>
      <c r="B18" s="64"/>
      <c r="C18" s="323" t="s">
        <v>1822</v>
      </c>
      <c r="D18" s="64"/>
      <c r="E18" s="64"/>
      <c r="F18" s="64"/>
      <c r="G18" s="64"/>
      <c r="H18" s="64"/>
      <c r="I18" s="64"/>
      <c r="J18" s="329"/>
      <c r="K18" s="329"/>
      <c r="L18" s="329"/>
      <c r="M18" s="329"/>
      <c r="N18" s="329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ht="22.5" customHeight="1">
      <c r="A19" s="64"/>
      <c r="B19" s="64"/>
      <c r="C19" s="327" t="s">
        <v>370</v>
      </c>
      <c r="D19" s="64"/>
      <c r="E19" s="64"/>
      <c r="F19" s="64"/>
      <c r="G19" s="64"/>
      <c r="H19" s="64"/>
      <c r="I19" s="64"/>
      <c r="J19" s="329"/>
      <c r="K19" s="329"/>
      <c r="L19" s="329"/>
      <c r="M19" s="329"/>
      <c r="N19" s="329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ht="22.5" customHeight="1">
      <c r="A20" s="64"/>
      <c r="B20" s="64"/>
      <c r="C20" s="323" t="s">
        <v>1846</v>
      </c>
      <c r="D20" s="64"/>
      <c r="E20" s="64"/>
      <c r="F20" s="64"/>
      <c r="G20" s="64"/>
      <c r="H20" s="64"/>
      <c r="I20" s="64"/>
      <c r="J20" s="329"/>
      <c r="K20" s="329"/>
      <c r="L20" s="329"/>
      <c r="M20" s="329"/>
      <c r="N20" s="329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ht="22.5" customHeight="1">
      <c r="A21" s="64"/>
      <c r="B21" s="64"/>
      <c r="C21" s="327" t="s">
        <v>1872</v>
      </c>
      <c r="D21" s="64"/>
      <c r="E21" s="64"/>
      <c r="F21" s="64"/>
      <c r="G21" s="64"/>
      <c r="H21" s="64"/>
      <c r="I21" s="64"/>
      <c r="J21" s="330"/>
      <c r="K21" s="330"/>
      <c r="L21" s="330"/>
      <c r="M21" s="330"/>
      <c r="N21" s="330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ht="22.5" customHeight="1">
      <c r="A22" s="64"/>
      <c r="B22" s="64"/>
      <c r="C22" s="323" t="s">
        <v>1873</v>
      </c>
      <c r="D22" s="64"/>
      <c r="E22" s="64"/>
      <c r="F22" s="64"/>
      <c r="G22" s="64"/>
      <c r="H22" s="64"/>
      <c r="I22" s="64"/>
      <c r="J22" s="330"/>
      <c r="K22" s="330"/>
      <c r="L22" s="330"/>
      <c r="M22" s="330"/>
      <c r="N22" s="330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ht="22.5" customHeight="1">
      <c r="A23" s="64"/>
      <c r="B23" s="64"/>
      <c r="C23" s="327" t="s">
        <v>1889</v>
      </c>
      <c r="D23" s="64"/>
      <c r="E23" s="64"/>
      <c r="F23" s="64"/>
      <c r="G23" s="64"/>
      <c r="H23" s="64"/>
      <c r="I23" s="64"/>
      <c r="J23" s="330"/>
      <c r="K23" s="330"/>
      <c r="L23" s="330"/>
      <c r="M23" s="330"/>
      <c r="N23" s="330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ht="22.5" customHeight="1">
      <c r="A24" s="64"/>
      <c r="B24" s="64"/>
      <c r="C24" s="323" t="s">
        <v>1833</v>
      </c>
      <c r="D24" s="64"/>
      <c r="E24" s="64"/>
      <c r="F24" s="64"/>
      <c r="G24" s="64"/>
      <c r="H24" s="64"/>
      <c r="I24" s="64"/>
      <c r="J24" s="330"/>
      <c r="K24" s="330"/>
      <c r="L24" s="330"/>
      <c r="M24" s="330"/>
      <c r="N24" s="330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22.5" customHeight="1">
      <c r="A25" s="64"/>
      <c r="B25" s="64"/>
      <c r="C25" s="327" t="s">
        <v>1879</v>
      </c>
      <c r="D25" s="64"/>
      <c r="E25" s="64"/>
      <c r="F25" s="64"/>
      <c r="G25" s="64"/>
      <c r="H25" s="64"/>
      <c r="I25" s="64"/>
      <c r="J25" s="330"/>
      <c r="K25" s="330"/>
      <c r="L25" s="330"/>
      <c r="M25" s="330"/>
      <c r="N25" s="330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22.5" customHeight="1">
      <c r="A26" s="64"/>
      <c r="B26" s="64"/>
      <c r="C26" s="327" t="s">
        <v>302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22.5" customHeight="1">
      <c r="A27" s="64"/>
      <c r="B27" s="64"/>
      <c r="C27" s="323" t="s">
        <v>1882</v>
      </c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22.5" customHeight="1">
      <c r="A28" s="64"/>
      <c r="B28" s="64"/>
      <c r="C28" s="327" t="s">
        <v>1888</v>
      </c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22.5" customHeight="1">
      <c r="A29" s="64"/>
      <c r="B29" s="64"/>
      <c r="C29" s="326" t="s">
        <v>1830</v>
      </c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22.5" customHeight="1">
      <c r="A30" s="64"/>
      <c r="B30" s="64"/>
      <c r="C30" s="331" t="s">
        <v>1839</v>
      </c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mergeCells count="1">
    <mergeCell ref="J2:N7"/>
  </mergeCells>
  <drawing r:id="rId1"/>
  <tableParts count="4">
    <tablePart r:id="rId6"/>
    <tablePart r:id="rId7"/>
    <tablePart r:id="rId8"/>
    <tablePart r:id="rId9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2" t="s">
        <v>2991</v>
      </c>
      <c r="B1" s="332" t="s">
        <v>2992</v>
      </c>
      <c r="C1" s="332" t="s">
        <v>2993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>
      <c r="A2" s="64" t="s">
        <v>2994</v>
      </c>
      <c r="B2" s="64" t="s">
        <v>1225</v>
      </c>
      <c r="C2" s="64" t="s">
        <v>2995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>
      <c r="A3" s="64" t="s">
        <v>2994</v>
      </c>
      <c r="B3" s="64" t="s">
        <v>1674</v>
      </c>
      <c r="C3" s="64" t="s">
        <v>2996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>
      <c r="A4" s="64" t="s">
        <v>2994</v>
      </c>
      <c r="B4" s="64" t="s">
        <v>1807</v>
      </c>
      <c r="C4" s="64" t="s">
        <v>2997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>
      <c r="A5" s="64" t="s">
        <v>2994</v>
      </c>
      <c r="B5" s="64" t="s">
        <v>1844</v>
      </c>
      <c r="C5" s="64" t="s">
        <v>2998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>
      <c r="A6" s="64" t="s">
        <v>2994</v>
      </c>
      <c r="B6" s="64" t="s">
        <v>1812</v>
      </c>
      <c r="C6" s="64" t="s">
        <v>2999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>
      <c r="A7" s="64" t="s">
        <v>2994</v>
      </c>
      <c r="B7" s="64" t="s">
        <v>1821</v>
      </c>
      <c r="C7" s="64" t="s">
        <v>3000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>
      <c r="A8" s="64" t="s">
        <v>2994</v>
      </c>
      <c r="B8" s="64" t="s">
        <v>1830</v>
      </c>
      <c r="C8" s="64" t="s">
        <v>3001</v>
      </c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64" t="s">
        <v>3002</v>
      </c>
      <c r="B9" s="64" t="s">
        <v>1562</v>
      </c>
      <c r="C9" s="64" t="s">
        <v>3003</v>
      </c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>
      <c r="A10" s="64" t="s">
        <v>3002</v>
      </c>
      <c r="B10" s="64" t="s">
        <v>1640</v>
      </c>
      <c r="C10" s="64" t="s">
        <v>3004</v>
      </c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64" t="s">
        <v>3002</v>
      </c>
      <c r="B11" s="64" t="s">
        <v>1653</v>
      </c>
      <c r="C11" s="64" t="s">
        <v>3005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>
      <c r="A12" s="64" t="s">
        <v>3002</v>
      </c>
      <c r="B12" s="64" t="s">
        <v>1675</v>
      </c>
      <c r="C12" s="64" t="s">
        <v>3006</v>
      </c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>
      <c r="A13" s="64" t="s">
        <v>3002</v>
      </c>
      <c r="B13" s="64" t="s">
        <v>1846</v>
      </c>
      <c r="C13" s="64" t="s">
        <v>3007</v>
      </c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>
      <c r="A14" s="64" t="s">
        <v>3008</v>
      </c>
      <c r="B14" s="64" t="s">
        <v>1565</v>
      </c>
      <c r="C14" s="64" t="s">
        <v>3009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>
      <c r="A15" s="64" t="s">
        <v>3008</v>
      </c>
      <c r="B15" s="64" t="s">
        <v>1676</v>
      </c>
      <c r="C15" s="64" t="s">
        <v>3010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>
      <c r="A16" s="64" t="s">
        <v>3008</v>
      </c>
      <c r="B16" s="64" t="s">
        <v>1678</v>
      </c>
      <c r="C16" s="64" t="s">
        <v>2997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>
      <c r="A17" s="64" t="s">
        <v>3008</v>
      </c>
      <c r="B17" s="64" t="s">
        <v>1682</v>
      </c>
      <c r="C17" s="64" t="s">
        <v>3011</v>
      </c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64" t="s">
        <v>3012</v>
      </c>
      <c r="B18" s="64" t="s">
        <v>1677</v>
      </c>
      <c r="C18" s="64" t="s">
        <v>3013</v>
      </c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>
      <c r="A19" s="64" t="s">
        <v>3012</v>
      </c>
      <c r="B19" s="64" t="s">
        <v>1808</v>
      </c>
      <c r="C19" s="64" t="s">
        <v>3014</v>
      </c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>
      <c r="A20" s="64" t="s">
        <v>3012</v>
      </c>
      <c r="B20" s="64" t="s">
        <v>3015</v>
      </c>
      <c r="C20" s="64" t="s">
        <v>3016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>
      <c r="A21" s="64" t="s">
        <v>3012</v>
      </c>
      <c r="B21" s="64" t="s">
        <v>3017</v>
      </c>
      <c r="C21" s="64" t="s">
        <v>3018</v>
      </c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>
      <c r="A22" s="64" t="s">
        <v>3012</v>
      </c>
      <c r="B22" s="64" t="s">
        <v>1809</v>
      </c>
      <c r="C22" s="64" t="s">
        <v>3019</v>
      </c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drawing r:id="rId1"/>
</worksheet>
</file>